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専攻科\"/>
    </mc:Choice>
  </mc:AlternateContent>
  <xr:revisionPtr revIDLastSave="0" documentId="13_ncr:1_{F34701C2-503F-4946-9A80-A3A09F1AD40A}" xr6:coauthVersionLast="47" xr6:coauthVersionMax="47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7194" r:id="rId6"/>
    <sheet name="れんたろう" sheetId="7196" r:id="rId7"/>
    <sheet name="だいち" sheetId="7198" r:id="rId8"/>
    <sheet name="ともき" sheetId="7200" r:id="rId9"/>
    <sheet name="ただ" sheetId="7202" r:id="rId10"/>
    <sheet name="りくと" sheetId="7204" r:id="rId11"/>
    <sheet name="ぱぱ" sheetId="7206" r:id="rId12"/>
    <sheet name="ぱぱ2" sheetId="7207" state="hidden" r:id="rId13"/>
    <sheet name="りくと2" sheetId="7205" state="hidden" r:id="rId14"/>
    <sheet name="ただ2" sheetId="7203" state="hidden" r:id="rId15"/>
    <sheet name="ともき2" sheetId="7201" state="hidden" r:id="rId16"/>
    <sheet name="だいち2" sheetId="7199" state="hidden" r:id="rId17"/>
    <sheet name="れんたろう2" sheetId="7197" state="hidden" r:id="rId18"/>
    <sheet name="全体2" sheetId="7195" state="hidden" r:id="rId19"/>
    <sheet name="通算スコア" sheetId="3331" state="hidden" r:id="rId20"/>
    <sheet name="平均スコア" sheetId="3493" state="hidden" r:id="rId21"/>
    <sheet name="平均順位" sheetId="3183" state="hidden" r:id="rId22"/>
    <sheet name="トップ率" sheetId="3185" state="hidden" r:id="rId23"/>
    <sheet name="ラス率" sheetId="4886" state="hidden" r:id="rId24"/>
    <sheet name="アガリ率" sheetId="3189" state="hidden" r:id="rId25"/>
    <sheet name="放銃率" sheetId="3190" state="hidden" r:id="rId26"/>
    <sheet name="平均アガリ点" sheetId="3520" state="hidden" r:id="rId27"/>
    <sheet name="平均放銃点" sheetId="3521" state="hidden" r:id="rId28"/>
    <sheet name="ふっとび率" sheetId="3522" state="hidden" r:id="rId29"/>
    <sheet name="リーチ率" sheetId="3524" state="hidden" r:id="rId30"/>
    <sheet name="副露率" sheetId="3525" state="hidden" r:id="rId31"/>
    <sheet name="リーチ成功率" sheetId="4841" state="hidden" r:id="rId32"/>
    <sheet name="副露成功率" sheetId="3527" state="hidden" r:id="rId33"/>
    <sheet name="ツモ率" sheetId="3528" state="hidden" r:id="rId34"/>
  </sheets>
  <definedNames>
    <definedName name="アガリ数" localSheetId="3">Template1!$B$20</definedName>
    <definedName name="アガリ数" localSheetId="7">だいち!$B$20</definedName>
    <definedName name="アガリ数" localSheetId="9">ただ!$B$20</definedName>
    <definedName name="アガリ数" localSheetId="8">ともき!$B$20</definedName>
    <definedName name="アガリ数" localSheetId="11">ぱぱ!$B$20</definedName>
    <definedName name="アガリ数" localSheetId="10">りくと!$B$20</definedName>
    <definedName name="アガリ数" localSheetId="6">れんたろう!$B$20</definedName>
    <definedName name="アガリ数" localSheetId="5">全体!$B$20</definedName>
    <definedName name="アガリ率" localSheetId="3">Template1!$C$20</definedName>
    <definedName name="アガリ率" localSheetId="7">だいち!$C$20</definedName>
    <definedName name="アガリ率" localSheetId="9">ただ!$C$20</definedName>
    <definedName name="アガリ率" localSheetId="8">ともき!$C$20</definedName>
    <definedName name="アガリ率" localSheetId="11">ぱぱ!$C$20</definedName>
    <definedName name="アガリ率" localSheetId="10">りくと!$C$20</definedName>
    <definedName name="アガリ率" localSheetId="6">れんたろう!$C$20</definedName>
    <definedName name="アガリ率" localSheetId="5">全体!$C$20</definedName>
    <definedName name="ダマアガリ数" localSheetId="3">Template1!$B$26</definedName>
    <definedName name="ダマアガリ数" localSheetId="7">だいち!$B$26</definedName>
    <definedName name="ダマアガリ数" localSheetId="9">ただ!$B$26</definedName>
    <definedName name="ダマアガリ数" localSheetId="8">ともき!$B$26</definedName>
    <definedName name="ダマアガリ数" localSheetId="11">ぱぱ!$B$26</definedName>
    <definedName name="ダマアガリ数" localSheetId="10">りくと!$B$26</definedName>
    <definedName name="ダマアガリ数" localSheetId="6">れんたろう!$B$26</definedName>
    <definedName name="ダマアガリ数" localSheetId="5">全体!$B$26</definedName>
    <definedName name="ダマアガリ率" localSheetId="3">Template1!$C$26</definedName>
    <definedName name="ダマアガリ率" localSheetId="7">だいち!$C$26</definedName>
    <definedName name="ダマアガリ率" localSheetId="9">ただ!$C$26</definedName>
    <definedName name="ダマアガリ率" localSheetId="8">ともき!$C$26</definedName>
    <definedName name="ダマアガリ率" localSheetId="11">ぱぱ!$C$26</definedName>
    <definedName name="ダマアガリ率" localSheetId="10">りくと!$C$26</definedName>
    <definedName name="ダマアガリ率" localSheetId="6">れんたろう!$C$26</definedName>
    <definedName name="ダマアガリ率" localSheetId="5">全体!$C$26</definedName>
    <definedName name="チョンボ数" localSheetId="3">Template1!$B$35</definedName>
    <definedName name="チョンボ数" localSheetId="7">だいち!$B$35</definedName>
    <definedName name="チョンボ数" localSheetId="9">ただ!$B$35</definedName>
    <definedName name="チョンボ数" localSheetId="8">ともき!$B$35</definedName>
    <definedName name="チョンボ数" localSheetId="11">ぱぱ!$B$35</definedName>
    <definedName name="チョンボ数" localSheetId="10">りくと!$B$35</definedName>
    <definedName name="チョンボ数" localSheetId="6">れんたろう!$B$35</definedName>
    <definedName name="チョンボ数" localSheetId="5">全体!$B$35</definedName>
    <definedName name="チョンボ率" localSheetId="3">Template1!$C$35</definedName>
    <definedName name="チョンボ率" localSheetId="7">だいち!$C$35</definedName>
    <definedName name="チョンボ率" localSheetId="9">ただ!$C$35</definedName>
    <definedName name="チョンボ率" localSheetId="8">ともき!$C$35</definedName>
    <definedName name="チョンボ率" localSheetId="11">ぱぱ!$C$35</definedName>
    <definedName name="チョンボ率" localSheetId="10">りくと!$C$35</definedName>
    <definedName name="チョンボ率" localSheetId="6">れんたろう!$C$35</definedName>
    <definedName name="チョンボ率" localSheetId="5">全体!$C$35</definedName>
    <definedName name="ツモ数" localSheetId="3">Template1!$B$22</definedName>
    <definedName name="ツモ数" localSheetId="7">だいち!$B$22</definedName>
    <definedName name="ツモ数" localSheetId="9">ただ!$B$22</definedName>
    <definedName name="ツモ数" localSheetId="8">ともき!$B$22</definedName>
    <definedName name="ツモ数" localSheetId="11">ぱぱ!$B$22</definedName>
    <definedName name="ツモ数" localSheetId="10">りくと!$B$22</definedName>
    <definedName name="ツモ数" localSheetId="6">れんたろう!$B$22</definedName>
    <definedName name="ツモ数" localSheetId="5">全体!$B$22</definedName>
    <definedName name="ツモ率" localSheetId="3">Template1!$C$22</definedName>
    <definedName name="ツモ率" localSheetId="7">だいち!$C$22</definedName>
    <definedName name="ツモ率" localSheetId="9">ただ!$C$22</definedName>
    <definedName name="ツモ率" localSheetId="8">ともき!$C$22</definedName>
    <definedName name="ツモ率" localSheetId="11">ぱぱ!$C$22</definedName>
    <definedName name="ツモ率" localSheetId="10">りくと!$C$22</definedName>
    <definedName name="ツモ率" localSheetId="6">れんたろう!$C$22</definedName>
    <definedName name="ツモ率" localSheetId="5">全体!$C$22</definedName>
    <definedName name="トップ数" localSheetId="3">Template1!$B$8</definedName>
    <definedName name="トップ数" localSheetId="7">だいち!$B$8</definedName>
    <definedName name="トップ数" localSheetId="9">ただ!$B$8</definedName>
    <definedName name="トップ数" localSheetId="8">ともき!$B$8</definedName>
    <definedName name="トップ数" localSheetId="11">ぱぱ!$B$8</definedName>
    <definedName name="トップ数" localSheetId="10">りくと!$B$8</definedName>
    <definedName name="トップ数" localSheetId="6">れんたろう!$B$8</definedName>
    <definedName name="トップ数" localSheetId="5">全体!$B$8</definedName>
    <definedName name="トップ率" localSheetId="3">Template1!$C$8</definedName>
    <definedName name="トップ率" localSheetId="7">だいち!$C$8</definedName>
    <definedName name="トップ率" localSheetId="9">ただ!$C$8</definedName>
    <definedName name="トップ率" localSheetId="8">ともき!$C$8</definedName>
    <definedName name="トップ率" localSheetId="11">ぱぱ!$C$8</definedName>
    <definedName name="トップ率" localSheetId="10">りくと!$C$8</definedName>
    <definedName name="トップ率" localSheetId="6">れんたろう!$C$8</definedName>
    <definedName name="トップ率" localSheetId="5">全体!$C$8</definedName>
    <definedName name="バランス" localSheetId="7">だいち!$B$14</definedName>
    <definedName name="バランス" localSheetId="9">ただ!$B$14</definedName>
    <definedName name="バランス" localSheetId="8">ともき!$B$14</definedName>
    <definedName name="バランス" localSheetId="11">ぱぱ!$B$14</definedName>
    <definedName name="バランス" localSheetId="10">りくと!$B$14</definedName>
    <definedName name="バランス" localSheetId="6">れんたろう!$B$14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7">だいち!$B$15</definedName>
    <definedName name="ふっとび数" localSheetId="9">ただ!$B$15</definedName>
    <definedName name="ふっとび数" localSheetId="8">ともき!$B$15</definedName>
    <definedName name="ふっとび数" localSheetId="11">ぱぱ!$B$15</definedName>
    <definedName name="ふっとび数" localSheetId="10">りくと!$B$15</definedName>
    <definedName name="ふっとび数" localSheetId="6">れんたろう!$B$15</definedName>
    <definedName name="ふっとび数" localSheetId="5">全体!$B$15</definedName>
    <definedName name="ふっとび率" localSheetId="3">Template1!$C$15</definedName>
    <definedName name="ふっとび率" localSheetId="7">だいち!$C$15</definedName>
    <definedName name="ふっとび率" localSheetId="9">ただ!$C$15</definedName>
    <definedName name="ふっとび率" localSheetId="8">ともき!$C$15</definedName>
    <definedName name="ふっとび率" localSheetId="11">ぱぱ!$C$15</definedName>
    <definedName name="ふっとび率" localSheetId="10">りくと!$C$15</definedName>
    <definedName name="ふっとび率" localSheetId="6">れんたろう!$C$15</definedName>
    <definedName name="ふっとび率" localSheetId="5">全体!$C$15</definedName>
    <definedName name="ラス数" localSheetId="3">Template1!$B$10</definedName>
    <definedName name="ラス数" localSheetId="7">だいち!$B$10</definedName>
    <definedName name="ラス数" localSheetId="9">ただ!$B$10</definedName>
    <definedName name="ラス数" localSheetId="8">ともき!$B$10</definedName>
    <definedName name="ラス数" localSheetId="11">ぱぱ!$B$10</definedName>
    <definedName name="ラス数" localSheetId="10">りくと!$B$10</definedName>
    <definedName name="ラス数" localSheetId="6">れんたろう!$B$10</definedName>
    <definedName name="ラス数" localSheetId="5">全体!$B$10</definedName>
    <definedName name="ラス率" localSheetId="3">Template1!$C$10</definedName>
    <definedName name="ラス率" localSheetId="7">だいち!$C$10</definedName>
    <definedName name="ラス率" localSheetId="9">ただ!$C$10</definedName>
    <definedName name="ラス率" localSheetId="8">ともき!$C$10</definedName>
    <definedName name="ラス率" localSheetId="11">ぱぱ!$C$10</definedName>
    <definedName name="ラス率" localSheetId="10">りくと!$C$10</definedName>
    <definedName name="ラス率" localSheetId="6">れんたろう!$C$10</definedName>
    <definedName name="ラス率" localSheetId="5">全体!$C$10</definedName>
    <definedName name="リーチアガリ数" localSheetId="3">Template1!$B$24</definedName>
    <definedName name="リーチアガリ数" localSheetId="7">だいち!$B$24</definedName>
    <definedName name="リーチアガリ数" localSheetId="9">ただ!$B$24</definedName>
    <definedName name="リーチアガリ数" localSheetId="8">ともき!$B$24</definedName>
    <definedName name="リーチアガリ数" localSheetId="11">ぱぱ!$B$24</definedName>
    <definedName name="リーチアガリ数" localSheetId="10">りくと!$B$24</definedName>
    <definedName name="リーチアガリ数" localSheetId="6">れんたろう!$B$24</definedName>
    <definedName name="リーチアガリ数" localSheetId="5">全体!$B$24</definedName>
    <definedName name="リーチアガリ率" localSheetId="3">Template1!$C$24</definedName>
    <definedName name="リーチアガリ率" localSheetId="7">だいち!$C$24</definedName>
    <definedName name="リーチアガリ率" localSheetId="9">ただ!$C$24</definedName>
    <definedName name="リーチアガリ率" localSheetId="8">ともき!$C$24</definedName>
    <definedName name="リーチアガリ率" localSheetId="11">ぱぱ!$C$24</definedName>
    <definedName name="リーチアガリ率" localSheetId="10">りくと!$C$24</definedName>
    <definedName name="リーチアガリ率" localSheetId="6">れんたろう!$C$24</definedName>
    <definedName name="リーチアガリ率" localSheetId="5">全体!$C$24</definedName>
    <definedName name="リーチ数" localSheetId="3">Template1!$B$16</definedName>
    <definedName name="リーチ数" localSheetId="7">だいち!$B$16</definedName>
    <definedName name="リーチ数" localSheetId="9">ただ!$B$16</definedName>
    <definedName name="リーチ数" localSheetId="8">ともき!$B$16</definedName>
    <definedName name="リーチ数" localSheetId="11">ぱぱ!$B$16</definedName>
    <definedName name="リーチ数" localSheetId="10">りくと!$B$16</definedName>
    <definedName name="リーチ数" localSheetId="6">れんたろう!$B$16</definedName>
    <definedName name="リーチ数" localSheetId="5">全体!$B$16</definedName>
    <definedName name="リーチ成功数" localSheetId="3">Template1!$B$18</definedName>
    <definedName name="リーチ成功数" localSheetId="7">だいち!$B$18</definedName>
    <definedName name="リーチ成功数" localSheetId="9">ただ!$B$18</definedName>
    <definedName name="リーチ成功数" localSheetId="8">ともき!$B$18</definedName>
    <definedName name="リーチ成功数" localSheetId="11">ぱぱ!$B$18</definedName>
    <definedName name="リーチ成功数" localSheetId="10">りくと!$B$18</definedName>
    <definedName name="リーチ成功数" localSheetId="6">れんたろう!$B$18</definedName>
    <definedName name="リーチ成功数" localSheetId="5">全体!$B$18</definedName>
    <definedName name="リーチ成功率" localSheetId="3">Template1!$C$18</definedName>
    <definedName name="リーチ成功率" localSheetId="7">だいち!$C$18</definedName>
    <definedName name="リーチ成功率" localSheetId="9">ただ!$C$18</definedName>
    <definedName name="リーチ成功率" localSheetId="8">ともき!$C$18</definedName>
    <definedName name="リーチ成功率" localSheetId="11">ぱぱ!$C$18</definedName>
    <definedName name="リーチ成功率" localSheetId="10">りくと!$C$18</definedName>
    <definedName name="リーチ成功率" localSheetId="6">れんたろう!$C$18</definedName>
    <definedName name="リーチ成功率" localSheetId="5">全体!$C$18</definedName>
    <definedName name="リーチ率" localSheetId="3">Template1!$C$16</definedName>
    <definedName name="リーチ率" localSheetId="7">だいち!$C$16</definedName>
    <definedName name="リーチ率" localSheetId="9">ただ!$C$16</definedName>
    <definedName name="リーチ率" localSheetId="8">ともき!$C$16</definedName>
    <definedName name="リーチ率" localSheetId="11">ぱぱ!$C$16</definedName>
    <definedName name="リーチ率" localSheetId="10">りくと!$C$16</definedName>
    <definedName name="リーチ率" localSheetId="6">れんたろう!$C$16</definedName>
    <definedName name="リーチ率" localSheetId="5">全体!$C$16</definedName>
    <definedName name="レーティング" localSheetId="7">だいち!$B$6</definedName>
    <definedName name="レーティング" localSheetId="9">ただ!$B$6</definedName>
    <definedName name="レーティング" localSheetId="8">ともき!$B$6</definedName>
    <definedName name="レーティング" localSheetId="11">ぱぱ!$B$6</definedName>
    <definedName name="レーティング" localSheetId="10">りくと!$B$6</definedName>
    <definedName name="レーティング" localSheetId="6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7">だいち!$B$23</definedName>
    <definedName name="ロン数" localSheetId="9">ただ!$B$23</definedName>
    <definedName name="ロン数" localSheetId="8">ともき!$B$23</definedName>
    <definedName name="ロン数" localSheetId="11">ぱぱ!$B$23</definedName>
    <definedName name="ロン数" localSheetId="10">りくと!$B$23</definedName>
    <definedName name="ロン数" localSheetId="6">れんたろう!$B$23</definedName>
    <definedName name="ロン数" localSheetId="5">全体!$B$23</definedName>
    <definedName name="ロン率" localSheetId="3">Template1!$C$23</definedName>
    <definedName name="ロン率" localSheetId="7">だいち!$C$23</definedName>
    <definedName name="ロン率" localSheetId="9">ただ!$C$23</definedName>
    <definedName name="ロン率" localSheetId="8">ともき!$C$23</definedName>
    <definedName name="ロン率" localSheetId="11">ぱぱ!$C$23</definedName>
    <definedName name="ロン率" localSheetId="10">りくと!$C$23</definedName>
    <definedName name="ロン率" localSheetId="6">れんたろう!$C$23</definedName>
    <definedName name="ロン率" localSheetId="5">全体!$C$23</definedName>
    <definedName name="一位スコア" localSheetId="7">だいち!$B$11</definedName>
    <definedName name="一位スコア" localSheetId="9">ただ!$B$11</definedName>
    <definedName name="一位スコア" localSheetId="8">ともき!$B$11</definedName>
    <definedName name="一位スコア" localSheetId="11">ぱぱ!$B$11</definedName>
    <definedName name="一位スコア" localSheetId="10">りくと!$B$11</definedName>
    <definedName name="一位スコア" localSheetId="6">れんたろう!$B$11</definedName>
    <definedName name="一位スコア" localSheetId="5">全体!$B$11</definedName>
    <definedName name="一位スコア">Template1!$B$11</definedName>
    <definedName name="一位通算スコア" localSheetId="7">だいち!$C$11</definedName>
    <definedName name="一位通算スコア" localSheetId="9">ただ!$C$11</definedName>
    <definedName name="一位通算スコア" localSheetId="8">ともき!$C$11</definedName>
    <definedName name="一位通算スコア" localSheetId="11">ぱぱ!$C$11</definedName>
    <definedName name="一位通算スコア" localSheetId="10">りくと!$C$11</definedName>
    <definedName name="一位通算スコア" localSheetId="6">れんたろう!$C$11</definedName>
    <definedName name="一位通算スコア" localSheetId="5">全体!$C$11</definedName>
    <definedName name="一位通算スコア">Template1!$C$11</definedName>
    <definedName name="一翻数" localSheetId="7">だいち!$B$37</definedName>
    <definedName name="一翻数" localSheetId="9">ただ!$B$37</definedName>
    <definedName name="一翻数" localSheetId="8">ともき!$B$37</definedName>
    <definedName name="一翻数" localSheetId="11">ぱぱ!$B$37</definedName>
    <definedName name="一翻数" localSheetId="10">りくと!$B$37</definedName>
    <definedName name="一翻数" localSheetId="6">れんたろう!$B$37</definedName>
    <definedName name="一翻数" localSheetId="5">全体!$B$37</definedName>
    <definedName name="一翻数">Template1!$B$37</definedName>
    <definedName name="一翻率" localSheetId="7">だいち!$C$37</definedName>
    <definedName name="一翻率" localSheetId="9">ただ!$C$37</definedName>
    <definedName name="一翻率" localSheetId="8">ともき!$C$37</definedName>
    <definedName name="一翻率" localSheetId="11">ぱぱ!$C$37</definedName>
    <definedName name="一翻率" localSheetId="10">りくと!$C$37</definedName>
    <definedName name="一翻率" localSheetId="6">れんたろう!$C$37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7">だいち!$C$31</definedName>
    <definedName name="現行連続アガリ" localSheetId="9">ただ!$C$31</definedName>
    <definedName name="現行連続アガリ" localSheetId="8">ともき!$C$31</definedName>
    <definedName name="現行連続アガリ" localSheetId="11">ぱぱ!$C$31</definedName>
    <definedName name="現行連続アガリ" localSheetId="10">りくと!$C$31</definedName>
    <definedName name="現行連続アガリ" localSheetId="6">れんたろう!$C$31</definedName>
    <definedName name="現行連続アガリ" localSheetId="5">全体!$C$31</definedName>
    <definedName name="現行連続無放銃" localSheetId="3">Template1!$C$32</definedName>
    <definedName name="現行連続無放銃" localSheetId="7">だいち!$C$32</definedName>
    <definedName name="現行連続無放銃" localSheetId="9">ただ!$C$32</definedName>
    <definedName name="現行連続無放銃" localSheetId="8">ともき!$C$32</definedName>
    <definedName name="現行連続無放銃" localSheetId="11">ぱぱ!$C$32</definedName>
    <definedName name="現行連続無放銃" localSheetId="10">りくと!$C$32</definedName>
    <definedName name="現行連続無放銃" localSheetId="6">れんたろう!$C$32</definedName>
    <definedName name="現行連続無放銃" localSheetId="5">全体!$C$32</definedName>
    <definedName name="最高点" localSheetId="3">Template1!$B$34</definedName>
    <definedName name="最高点" localSheetId="7">だいち!$B$34</definedName>
    <definedName name="最高点" localSheetId="9">ただ!$B$34</definedName>
    <definedName name="最高点" localSheetId="8">ともき!$B$34</definedName>
    <definedName name="最高点" localSheetId="11">ぱぱ!$B$34</definedName>
    <definedName name="最高点" localSheetId="10">りくと!$B$34</definedName>
    <definedName name="最高点" localSheetId="6">れんたろう!$B$34</definedName>
    <definedName name="最高点" localSheetId="5">全体!$B$34</definedName>
    <definedName name="最大ドラ数" localSheetId="3">Template1!$B$33</definedName>
    <definedName name="最大ドラ数" localSheetId="7">だいち!$B$33</definedName>
    <definedName name="最大ドラ数" localSheetId="9">ただ!$B$33</definedName>
    <definedName name="最大ドラ数" localSheetId="8">ともき!$B$33</definedName>
    <definedName name="最大ドラ数" localSheetId="11">ぱぱ!$B$33</definedName>
    <definedName name="最大ドラ数" localSheetId="10">りくと!$B$33</definedName>
    <definedName name="最大ドラ数" localSheetId="6">れんたろう!$B$33</definedName>
    <definedName name="最大ドラ数" localSheetId="5">全体!$B$33</definedName>
    <definedName name="最大点数" localSheetId="3">Template1!$B$34</definedName>
    <definedName name="最大点数" localSheetId="7">だいち!$B$34</definedName>
    <definedName name="最大点数" localSheetId="9">ただ!$B$34</definedName>
    <definedName name="最大点数" localSheetId="8">ともき!$B$34</definedName>
    <definedName name="最大点数" localSheetId="11">ぱぱ!$B$34</definedName>
    <definedName name="最大点数" localSheetId="10">りくと!$B$34</definedName>
    <definedName name="最大点数" localSheetId="6">れんたろう!$B$34</definedName>
    <definedName name="最大点数" localSheetId="5">全体!$B$34</definedName>
    <definedName name="三位スコア" localSheetId="7">だいち!$B$13</definedName>
    <definedName name="三位スコア" localSheetId="9">ただ!$B$13</definedName>
    <definedName name="三位スコア" localSheetId="8">ともき!$B$13</definedName>
    <definedName name="三位スコア" localSheetId="11">ぱぱ!$B$13</definedName>
    <definedName name="三位スコア" localSheetId="10">りくと!$B$13</definedName>
    <definedName name="三位スコア" localSheetId="6">れんたろう!$B$13</definedName>
    <definedName name="三位スコア" localSheetId="5">全体!$B$13</definedName>
    <definedName name="三位スコア">Template1!$B$13</definedName>
    <definedName name="三位通算スコア" localSheetId="7">だいち!$C$13</definedName>
    <definedName name="三位通算スコア" localSheetId="9">ただ!$C$13</definedName>
    <definedName name="三位通算スコア" localSheetId="8">ともき!$C$13</definedName>
    <definedName name="三位通算スコア" localSheetId="11">ぱぱ!$C$13</definedName>
    <definedName name="三位通算スコア" localSheetId="10">りくと!$C$13</definedName>
    <definedName name="三位通算スコア" localSheetId="6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7">だいち!$B$3</definedName>
    <definedName name="総局数" localSheetId="9">ただ!$B$3</definedName>
    <definedName name="総局数" localSheetId="8">ともき!$B$3</definedName>
    <definedName name="総局数" localSheetId="11">ぱぱ!$B$3</definedName>
    <definedName name="総局数" localSheetId="10">りくと!$B$3</definedName>
    <definedName name="総局数" localSheetId="6">れんたろう!$B$3</definedName>
    <definedName name="総局数" localSheetId="5">全体!$B$3</definedName>
    <definedName name="対戦数" localSheetId="3">Template1!$B$2</definedName>
    <definedName name="対戦数" localSheetId="7">だいち!$B$2</definedName>
    <definedName name="対戦数" localSheetId="9">ただ!$B$2</definedName>
    <definedName name="対戦数" localSheetId="8">ともき!$B$2</definedName>
    <definedName name="対戦数" localSheetId="11">ぱぱ!$B$2</definedName>
    <definedName name="対戦数" localSheetId="10">りくと!$B$2</definedName>
    <definedName name="対戦数" localSheetId="6">れんたろう!$B$2</definedName>
    <definedName name="対戦数" localSheetId="5">全体!$B$2</definedName>
    <definedName name="通算アガリ点" localSheetId="3">Template1!$C$27</definedName>
    <definedName name="通算アガリ点" localSheetId="7">だいち!$C$27</definedName>
    <definedName name="通算アガリ点" localSheetId="9">ただ!$C$27</definedName>
    <definedName name="通算アガリ点" localSheetId="8">ともき!$C$27</definedName>
    <definedName name="通算アガリ点" localSheetId="11">ぱぱ!$C$27</definedName>
    <definedName name="通算アガリ点" localSheetId="10">りくと!$C$27</definedName>
    <definedName name="通算アガリ点" localSheetId="6">れんたろう!$C$27</definedName>
    <definedName name="通算アガリ点" localSheetId="5">全体!$C$27</definedName>
    <definedName name="通算スコア" localSheetId="3">Template1!$B$4</definedName>
    <definedName name="通算スコア" localSheetId="7">だいち!$B$4</definedName>
    <definedName name="通算スコア" localSheetId="9">ただ!$B$4</definedName>
    <definedName name="通算スコア" localSheetId="8">ともき!$B$4</definedName>
    <definedName name="通算スコア" localSheetId="11">ぱぱ!$B$4</definedName>
    <definedName name="通算スコア" localSheetId="10">りくと!$B$4</definedName>
    <definedName name="通算スコア" localSheetId="6">れんたろう!$B$4</definedName>
    <definedName name="通算スコア" localSheetId="5">全体!$B$4</definedName>
    <definedName name="通算副露アガリ点" localSheetId="3">Template1!$C$29</definedName>
    <definedName name="通算副露アガリ点" localSheetId="7">だいち!$C$29</definedName>
    <definedName name="通算副露アガリ点" localSheetId="9">ただ!$C$29</definedName>
    <definedName name="通算副露アガリ点" localSheetId="8">ともき!$C$29</definedName>
    <definedName name="通算副露アガリ点" localSheetId="11">ぱぱ!$C$29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5">全体!$C$29</definedName>
    <definedName name="通算放銃点" localSheetId="3">Template1!$C$30</definedName>
    <definedName name="通算放銃点" localSheetId="7">だいち!$C$30</definedName>
    <definedName name="通算放銃点" localSheetId="9">ただ!$C$30</definedName>
    <definedName name="通算放銃点" localSheetId="8">ともき!$C$30</definedName>
    <definedName name="通算放銃点" localSheetId="11">ぱぱ!$C$30</definedName>
    <definedName name="通算放銃点" localSheetId="10">りくと!$C$30</definedName>
    <definedName name="通算放銃点" localSheetId="6">れんたろう!$C$30</definedName>
    <definedName name="通算放銃点" localSheetId="5">全体!$C$30</definedName>
    <definedName name="通算門前アガリ点" localSheetId="3">Template1!$C$28</definedName>
    <definedName name="通算門前アガリ点" localSheetId="7">だいち!$C$28</definedName>
    <definedName name="通算門前アガリ点" localSheetId="9">ただ!$C$28</definedName>
    <definedName name="通算門前アガリ点" localSheetId="8">ともき!$C$28</definedName>
    <definedName name="通算門前アガリ点" localSheetId="11">ぱぱ!$C$28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5">全体!$C$28</definedName>
    <definedName name="二位スコア" localSheetId="7">だいち!$B$12</definedName>
    <definedName name="二位スコア" localSheetId="9">ただ!$B$12</definedName>
    <definedName name="二位スコア" localSheetId="8">ともき!$B$12</definedName>
    <definedName name="二位スコア" localSheetId="11">ぱぱ!$B$12</definedName>
    <definedName name="二位スコア" localSheetId="10">りくと!$B$12</definedName>
    <definedName name="二位スコア" localSheetId="6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7">だいち!$B$9</definedName>
    <definedName name="二位数" localSheetId="9">ただ!$B$9</definedName>
    <definedName name="二位数" localSheetId="8">ともき!$B$9</definedName>
    <definedName name="二位数" localSheetId="11">ぱぱ!$B$9</definedName>
    <definedName name="二位数" localSheetId="10">りくと!$B$9</definedName>
    <definedName name="二位数" localSheetId="6">れんたろう!$B$9</definedName>
    <definedName name="二位数" localSheetId="5">全体!$B$9</definedName>
    <definedName name="二位通算スコア" localSheetId="7">だいち!$C$12</definedName>
    <definedName name="二位通算スコア" localSheetId="9">ただ!$C$12</definedName>
    <definedName name="二位通算スコア" localSheetId="8">ともき!$C$12</definedName>
    <definedName name="二位通算スコア" localSheetId="11">ぱぱ!$C$12</definedName>
    <definedName name="二位通算スコア" localSheetId="10">りくと!$C$12</definedName>
    <definedName name="二位通算スコア" localSheetId="6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7">だいち!$C$9</definedName>
    <definedName name="二位率" localSheetId="9">ただ!$C$9</definedName>
    <definedName name="二位率" localSheetId="8">ともき!$C$9</definedName>
    <definedName name="二位率" localSheetId="11">ぱぱ!$C$9</definedName>
    <definedName name="二位率" localSheetId="10">りくと!$C$9</definedName>
    <definedName name="二位率" localSheetId="6">れんたろう!$C$9</definedName>
    <definedName name="二位率" localSheetId="5">全体!$C$9</definedName>
    <definedName name="副露アガリ数" localSheetId="3">Template1!$B$25</definedName>
    <definedName name="副露アガリ数" localSheetId="7">だいち!$B$25</definedName>
    <definedName name="副露アガリ数" localSheetId="9">ただ!$B$25</definedName>
    <definedName name="副露アガリ数" localSheetId="8">ともき!$B$25</definedName>
    <definedName name="副露アガリ数" localSheetId="11">ぱぱ!$B$25</definedName>
    <definedName name="副露アガリ数" localSheetId="10">りくと!$B$25</definedName>
    <definedName name="副露アガリ数" localSheetId="6">れんたろう!$B$25</definedName>
    <definedName name="副露アガリ数" localSheetId="5">全体!$B$25</definedName>
    <definedName name="副露アガリ点" localSheetId="3">Template1!$B$29</definedName>
    <definedName name="副露アガリ点" localSheetId="7">だいち!$B$29</definedName>
    <definedName name="副露アガリ点" localSheetId="9">ただ!$B$29</definedName>
    <definedName name="副露アガリ点" localSheetId="8">ともき!$B$29</definedName>
    <definedName name="副露アガリ点" localSheetId="11">ぱぱ!$B$29</definedName>
    <definedName name="副露アガリ点" localSheetId="10">りくと!$B$29</definedName>
    <definedName name="副露アガリ点" localSheetId="6">れんたろう!$B$29</definedName>
    <definedName name="副露アガリ点" localSheetId="5">全体!$B$29</definedName>
    <definedName name="副露アガリ率" localSheetId="3">Template1!$C$25</definedName>
    <definedName name="副露アガリ率" localSheetId="7">だいち!$C$25</definedName>
    <definedName name="副露アガリ率" localSheetId="9">ただ!$C$25</definedName>
    <definedName name="副露アガリ率" localSheetId="8">ともき!$C$25</definedName>
    <definedName name="副露アガリ率" localSheetId="11">ぱぱ!$C$25</definedName>
    <definedName name="副露アガリ率" localSheetId="10">りくと!$C$25</definedName>
    <definedName name="副露アガリ率" localSheetId="6">れんたろう!$C$25</definedName>
    <definedName name="副露アガリ率" localSheetId="5">全体!$C$25</definedName>
    <definedName name="副露数" localSheetId="3">Template1!$B$17</definedName>
    <definedName name="副露数" localSheetId="7">だいち!$B$17</definedName>
    <definedName name="副露数" localSheetId="9">ただ!$B$17</definedName>
    <definedName name="副露数" localSheetId="8">ともき!$B$17</definedName>
    <definedName name="副露数" localSheetId="11">ぱぱ!$B$17</definedName>
    <definedName name="副露数" localSheetId="10">りくと!$B$17</definedName>
    <definedName name="副露数" localSheetId="6">れんたろう!$B$17</definedName>
    <definedName name="副露数" localSheetId="5">全体!$B$17</definedName>
    <definedName name="副露成功数" localSheetId="3">Template1!$B$19</definedName>
    <definedName name="副露成功数" localSheetId="7">だいち!$B$19</definedName>
    <definedName name="副露成功数" localSheetId="9">ただ!$B$19</definedName>
    <definedName name="副露成功数" localSheetId="8">ともき!$B$19</definedName>
    <definedName name="副露成功数" localSheetId="11">ぱぱ!$B$19</definedName>
    <definedName name="副露成功数" localSheetId="10">りくと!$B$19</definedName>
    <definedName name="副露成功数" localSheetId="6">れんたろう!$B$19</definedName>
    <definedName name="副露成功数" localSheetId="5">全体!$B$19</definedName>
    <definedName name="副露成功率" localSheetId="3">Template1!$C$19</definedName>
    <definedName name="副露成功率" localSheetId="7">だいち!$C$19</definedName>
    <definedName name="副露成功率" localSheetId="9">ただ!$C$19</definedName>
    <definedName name="副露成功率" localSheetId="8">ともき!$C$19</definedName>
    <definedName name="副露成功率" localSheetId="11">ぱぱ!$C$19</definedName>
    <definedName name="副露成功率" localSheetId="10">りくと!$C$19</definedName>
    <definedName name="副露成功率" localSheetId="6">れんたろう!$C$19</definedName>
    <definedName name="副露成功率" localSheetId="5">全体!$C$19</definedName>
    <definedName name="副露率" localSheetId="3">Template1!$C$17</definedName>
    <definedName name="副露率" localSheetId="7">だいち!$C$17</definedName>
    <definedName name="副露率" localSheetId="9">ただ!$C$17</definedName>
    <definedName name="副露率" localSheetId="8">ともき!$C$17</definedName>
    <definedName name="副露率" localSheetId="11">ぱぱ!$C$17</definedName>
    <definedName name="副露率" localSheetId="10">りくと!$C$17</definedName>
    <definedName name="副露率" localSheetId="6">れんたろう!$C$17</definedName>
    <definedName name="副露率" localSheetId="5">全体!$C$17</definedName>
    <definedName name="平均アガリ点" localSheetId="3">Template1!$B$27</definedName>
    <definedName name="平均アガリ点" localSheetId="7">だいち!$B$27</definedName>
    <definedName name="平均アガリ点" localSheetId="9">ただ!$B$27</definedName>
    <definedName name="平均アガリ点" localSheetId="8">ともき!$B$27</definedName>
    <definedName name="平均アガリ点" localSheetId="11">ぱぱ!$B$27</definedName>
    <definedName name="平均アガリ点" localSheetId="10">りくと!$B$27</definedName>
    <definedName name="平均アガリ点" localSheetId="6">れんたろう!$B$27</definedName>
    <definedName name="平均アガリ点" localSheetId="5">全体!$B$27</definedName>
    <definedName name="平均スコア" localSheetId="3">Template1!$B$5</definedName>
    <definedName name="平均スコア" localSheetId="7">だいち!$B$5</definedName>
    <definedName name="平均スコア" localSheetId="9">ただ!$B$5</definedName>
    <definedName name="平均スコア" localSheetId="8">ともき!$B$5</definedName>
    <definedName name="平均スコア" localSheetId="11">ぱぱ!$B$5</definedName>
    <definedName name="平均スコア" localSheetId="10">りくと!$B$5</definedName>
    <definedName name="平均スコア" localSheetId="6">れんたろう!$B$5</definedName>
    <definedName name="平均スコア" localSheetId="5">全体!$B$5</definedName>
    <definedName name="平均順位" localSheetId="3">Template1!$B$7</definedName>
    <definedName name="平均順位" localSheetId="7">だいち!$B$7</definedName>
    <definedName name="平均順位" localSheetId="9">ただ!$B$7</definedName>
    <definedName name="平均順位" localSheetId="8">ともき!$B$7</definedName>
    <definedName name="平均順位" localSheetId="11">ぱぱ!$B$7</definedName>
    <definedName name="平均順位" localSheetId="10">りくと!$B$7</definedName>
    <definedName name="平均順位" localSheetId="6">れんたろう!$B$7</definedName>
    <definedName name="平均順位" localSheetId="5">全体!$B$7</definedName>
    <definedName name="平均放銃点" localSheetId="3">Template1!$B$30</definedName>
    <definedName name="平均放銃点" localSheetId="7">だいち!$B$30</definedName>
    <definedName name="平均放銃点" localSheetId="9">ただ!$B$30</definedName>
    <definedName name="平均放銃点" localSheetId="8">ともき!$B$30</definedName>
    <definedName name="平均放銃点" localSheetId="11">ぱぱ!$B$30</definedName>
    <definedName name="平均放銃点" localSheetId="10">りくと!$B$30</definedName>
    <definedName name="平均放銃点" localSheetId="6">れんたろう!$B$30</definedName>
    <definedName name="平均放銃点" localSheetId="5">全体!$B$30</definedName>
    <definedName name="放銃数" localSheetId="3">Template1!$B$21</definedName>
    <definedName name="放銃数" localSheetId="7">だいち!$B$21</definedName>
    <definedName name="放銃数" localSheetId="9">ただ!$B$21</definedName>
    <definedName name="放銃数" localSheetId="8">ともき!$B$21</definedName>
    <definedName name="放銃数" localSheetId="11">ぱぱ!$B$21</definedName>
    <definedName name="放銃数" localSheetId="10">りくと!$B$21</definedName>
    <definedName name="放銃数" localSheetId="6">れんたろう!$B$21</definedName>
    <definedName name="放銃数" localSheetId="5">全体!$B$21</definedName>
    <definedName name="放銃率" localSheetId="3">Template1!$C$21</definedName>
    <definedName name="放銃率" localSheetId="7">だいち!$C$21</definedName>
    <definedName name="放銃率" localSheetId="9">ただ!$C$21</definedName>
    <definedName name="放銃率" localSheetId="8">ともき!$C$21</definedName>
    <definedName name="放銃率" localSheetId="11">ぱぱ!$C$21</definedName>
    <definedName name="放銃率" localSheetId="10">りくと!$C$21</definedName>
    <definedName name="放銃率" localSheetId="6">れんたろう!$C$21</definedName>
    <definedName name="放銃率" localSheetId="5">全体!$C$21</definedName>
    <definedName name="名前" localSheetId="3">Template1!$B$1</definedName>
    <definedName name="名前" localSheetId="7">だいち!$B$1</definedName>
    <definedName name="名前" localSheetId="9">ただ!$B$1</definedName>
    <definedName name="名前" localSheetId="8">ともき!$B$1</definedName>
    <definedName name="名前" localSheetId="11">ぱぱ!$B$1</definedName>
    <definedName name="名前" localSheetId="10">りくと!$B$1</definedName>
    <definedName name="名前" localSheetId="6">れんたろう!$B$1</definedName>
    <definedName name="名前" localSheetId="5">全体!$B$1</definedName>
    <definedName name="門前アガリ点" localSheetId="3">Template1!$B$28</definedName>
    <definedName name="門前アガリ点" localSheetId="7">だいち!$B$28</definedName>
    <definedName name="門前アガリ点" localSheetId="9">ただ!$B$28</definedName>
    <definedName name="門前アガリ点" localSheetId="8">ともき!$B$28</definedName>
    <definedName name="門前アガリ点" localSheetId="11">ぱぱ!$B$28</definedName>
    <definedName name="門前アガリ点" localSheetId="10">りくと!$B$28</definedName>
    <definedName name="門前アガリ点" localSheetId="6">れんたろう!$B$28</definedName>
    <definedName name="門前アガリ点" localSheetId="5">全体!$B$28</definedName>
    <definedName name="連続アガリ" localSheetId="3">Template1!$B$31</definedName>
    <definedName name="連続アガリ" localSheetId="7">だいち!$B$31</definedName>
    <definedName name="連続アガリ" localSheetId="9">ただ!$B$31</definedName>
    <definedName name="連続アガリ" localSheetId="8">ともき!$B$31</definedName>
    <definedName name="連続アガリ" localSheetId="11">ぱぱ!$B$31</definedName>
    <definedName name="連続アガリ" localSheetId="10">りくと!$B$31</definedName>
    <definedName name="連続アガリ" localSheetId="6">れんたろう!$B$31</definedName>
    <definedName name="連続アガリ" localSheetId="5">全体!$B$31</definedName>
    <definedName name="連続無放銃" localSheetId="3">Template1!$B$32</definedName>
    <definedName name="連続無放銃" localSheetId="7">だいち!$B$32</definedName>
    <definedName name="連続無放銃" localSheetId="9">ただ!$B$32</definedName>
    <definedName name="連続無放銃" localSheetId="8">ともき!$B$32</definedName>
    <definedName name="連続無放銃" localSheetId="11">ぱぱ!$B$32</definedName>
    <definedName name="連続無放銃" localSheetId="10">りくと!$B$32</definedName>
    <definedName name="連続無放銃" localSheetId="6">れんたろう!$B$32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8" i="7196" l="1"/>
  <c r="P16" i="7206"/>
  <c r="P15" i="7206" l="1"/>
  <c r="P17" i="7206"/>
  <c r="C35" i="7206"/>
  <c r="B30" i="7206"/>
  <c r="C21" i="7206"/>
  <c r="B20" i="7206"/>
  <c r="H4" i="7206" s="1"/>
  <c r="B19" i="7206"/>
  <c r="B29" i="7206" s="1"/>
  <c r="B18" i="7206"/>
  <c r="C18" i="7206" s="1"/>
  <c r="C17" i="7206"/>
  <c r="C16" i="7206"/>
  <c r="C15" i="7206"/>
  <c r="B13" i="7206"/>
  <c r="P12" i="7206"/>
  <c r="B12" i="7206"/>
  <c r="P11" i="7206"/>
  <c r="B11" i="7206"/>
  <c r="P10" i="7206"/>
  <c r="C10" i="7206"/>
  <c r="C9" i="7206"/>
  <c r="C8" i="7206"/>
  <c r="P7" i="7206"/>
  <c r="B7" i="7206"/>
  <c r="P6" i="7206"/>
  <c r="P5" i="7206"/>
  <c r="B5" i="7206"/>
  <c r="P4" i="7206"/>
  <c r="P3" i="7206"/>
  <c r="P2" i="7206"/>
  <c r="P16" i="7202"/>
  <c r="P16" i="7198"/>
  <c r="P18" i="7194"/>
  <c r="B14" i="7206" l="1"/>
  <c r="C19" i="7206"/>
  <c r="C25" i="7206"/>
  <c r="H36" i="7206"/>
  <c r="H18" i="7206"/>
  <c r="C43" i="7206"/>
  <c r="H52" i="7206"/>
  <c r="H9" i="7206"/>
  <c r="H17" i="7206"/>
  <c r="H21" i="7206"/>
  <c r="C20" i="7206"/>
  <c r="B27" i="7206"/>
  <c r="H37" i="7206"/>
  <c r="C44" i="7206"/>
  <c r="H7" i="7206"/>
  <c r="H29" i="7206"/>
  <c r="H32" i="7206"/>
  <c r="H39" i="7206"/>
  <c r="H47" i="7206"/>
  <c r="H5" i="7206"/>
  <c r="C39" i="7206"/>
  <c r="C47" i="7206"/>
  <c r="H45" i="7206"/>
  <c r="H3" i="7206"/>
  <c r="H25" i="7206"/>
  <c r="H28" i="7206"/>
  <c r="H14" i="7206"/>
  <c r="H15" i="7206"/>
  <c r="H41" i="7206"/>
  <c r="H49" i="7206"/>
  <c r="C23" i="7206"/>
  <c r="C40" i="7206"/>
  <c r="C48" i="7206"/>
  <c r="H10" i="7206"/>
  <c r="H23" i="7206"/>
  <c r="H26" i="7206"/>
  <c r="H12" i="7206"/>
  <c r="H16" i="7206"/>
  <c r="H43" i="7206"/>
  <c r="H51" i="7206"/>
  <c r="C22" i="7206"/>
  <c r="C26" i="7206"/>
  <c r="H38" i="7206"/>
  <c r="H42" i="7206"/>
  <c r="H46" i="7206"/>
  <c r="H50" i="7206"/>
  <c r="H6" i="7206"/>
  <c r="H11" i="7206"/>
  <c r="H19" i="7206"/>
  <c r="H20" i="7206"/>
  <c r="H31" i="7206"/>
  <c r="H33" i="7206"/>
  <c r="C37" i="7206"/>
  <c r="C41" i="7206"/>
  <c r="C45" i="7206"/>
  <c r="C49" i="7206"/>
  <c r="H30" i="7206"/>
  <c r="H13" i="7206"/>
  <c r="H34" i="7206"/>
  <c r="C38" i="7206"/>
  <c r="C42" i="7206"/>
  <c r="C46" i="7206"/>
  <c r="H22" i="7206"/>
  <c r="H2" i="7206"/>
  <c r="H8" i="7206"/>
  <c r="H24" i="7206"/>
  <c r="H27" i="7206"/>
  <c r="C24" i="7206"/>
  <c r="B28" i="7206"/>
  <c r="H35" i="7206"/>
  <c r="H40" i="7206"/>
  <c r="H44" i="7206"/>
  <c r="H48" i="7206"/>
  <c r="P17" i="7196" l="1"/>
  <c r="P15" i="7204"/>
  <c r="P17" i="7198" l="1"/>
  <c r="P15" i="7202"/>
  <c r="P16" i="7194"/>
  <c r="P17" i="7204"/>
  <c r="P16" i="7204"/>
  <c r="C35" i="7204"/>
  <c r="B30" i="7204"/>
  <c r="C21" i="7204"/>
  <c r="B20" i="7204"/>
  <c r="H52" i="7204" s="1"/>
  <c r="B19" i="7204"/>
  <c r="C19" i="7204" s="1"/>
  <c r="B18" i="7204"/>
  <c r="C18" i="7204" s="1"/>
  <c r="C17" i="7204"/>
  <c r="C16" i="7204"/>
  <c r="C15" i="7204"/>
  <c r="B13" i="7204"/>
  <c r="P12" i="7204"/>
  <c r="B12" i="7204"/>
  <c r="P11" i="7204"/>
  <c r="B11" i="7204"/>
  <c r="P10" i="7204"/>
  <c r="C10" i="7204"/>
  <c r="C9" i="7204"/>
  <c r="C8" i="7204"/>
  <c r="P7" i="7204"/>
  <c r="B7" i="7204"/>
  <c r="P6" i="7204"/>
  <c r="P5" i="7204"/>
  <c r="B5" i="7204"/>
  <c r="P4" i="7204"/>
  <c r="P3" i="7204"/>
  <c r="P2" i="7204"/>
  <c r="B29" i="7204" l="1"/>
  <c r="H15" i="7204"/>
  <c r="H49" i="7204"/>
  <c r="H45" i="7204"/>
  <c r="H8" i="7204"/>
  <c r="H16" i="7204"/>
  <c r="C48" i="7204"/>
  <c r="H24" i="7204"/>
  <c r="C25" i="7204"/>
  <c r="H18" i="7204"/>
  <c r="C40" i="7204"/>
  <c r="H41" i="7204"/>
  <c r="B14" i="7204"/>
  <c r="H9" i="7204"/>
  <c r="H20" i="7204"/>
  <c r="H13" i="7204"/>
  <c r="H30" i="7204"/>
  <c r="H37" i="7204"/>
  <c r="C44" i="7204"/>
  <c r="C26" i="7204"/>
  <c r="H38" i="7204"/>
  <c r="H46" i="7204"/>
  <c r="H10" i="7204"/>
  <c r="C20" i="7204"/>
  <c r="B27" i="7204"/>
  <c r="H39" i="7204"/>
  <c r="H47" i="7204"/>
  <c r="H5" i="7204"/>
  <c r="H23" i="7204"/>
  <c r="H26" i="7204"/>
  <c r="C22" i="7204"/>
  <c r="H42" i="7204"/>
  <c r="H50" i="7204"/>
  <c r="H2" i="7204"/>
  <c r="C23" i="7204"/>
  <c r="H33" i="7204"/>
  <c r="H43" i="7204"/>
  <c r="H51" i="7204"/>
  <c r="H4" i="7204"/>
  <c r="H14" i="7204"/>
  <c r="H21" i="7204"/>
  <c r="H28" i="7204"/>
  <c r="H31" i="7204"/>
  <c r="H32" i="7204"/>
  <c r="C37" i="7204"/>
  <c r="C41" i="7204"/>
  <c r="C45" i="7204"/>
  <c r="C49" i="7204"/>
  <c r="H29" i="7204"/>
  <c r="H11" i="7204"/>
  <c r="H34" i="7204"/>
  <c r="C38" i="7204"/>
  <c r="C42" i="7204"/>
  <c r="C46" i="7204"/>
  <c r="H19" i="7204"/>
  <c r="H3" i="7204"/>
  <c r="H7" i="7204"/>
  <c r="H22" i="7204"/>
  <c r="H25" i="7204"/>
  <c r="C24" i="7204"/>
  <c r="B28" i="7204"/>
  <c r="H35" i="7204"/>
  <c r="H40" i="7204"/>
  <c r="H44" i="7204"/>
  <c r="H48" i="7204"/>
  <c r="H6" i="7204"/>
  <c r="H27" i="7204"/>
  <c r="H12" i="7204"/>
  <c r="H17" i="7204"/>
  <c r="H36" i="7204"/>
  <c r="C39" i="7204"/>
  <c r="C43" i="7204"/>
  <c r="C47" i="7204"/>
  <c r="P16" i="7196" l="1"/>
  <c r="P17" i="7202"/>
  <c r="P18" i="7202"/>
  <c r="C35" i="7202"/>
  <c r="B30" i="7202"/>
  <c r="C21" i="7202"/>
  <c r="B20" i="7202"/>
  <c r="H52" i="7202" s="1"/>
  <c r="B19" i="7202"/>
  <c r="B29" i="7202" s="1"/>
  <c r="B18" i="7202"/>
  <c r="C18" i="7202" s="1"/>
  <c r="C17" i="7202"/>
  <c r="C16" i="7202"/>
  <c r="C15" i="7202"/>
  <c r="B13" i="7202"/>
  <c r="P12" i="7202"/>
  <c r="B12" i="7202"/>
  <c r="P11" i="7202"/>
  <c r="B11" i="7202"/>
  <c r="P10" i="7202"/>
  <c r="C10" i="7202"/>
  <c r="C9" i="7202"/>
  <c r="C8" i="7202"/>
  <c r="P7" i="7202"/>
  <c r="B7" i="7202"/>
  <c r="P6" i="7202"/>
  <c r="P5" i="7202"/>
  <c r="B5" i="7202"/>
  <c r="P4" i="7202"/>
  <c r="P3" i="7202"/>
  <c r="P2" i="7202"/>
  <c r="P18" i="7198"/>
  <c r="P17" i="7194"/>
  <c r="C19" i="7202" l="1"/>
  <c r="H18" i="7202"/>
  <c r="H26" i="7202"/>
  <c r="H3" i="7202"/>
  <c r="B14" i="7202"/>
  <c r="H37" i="7202"/>
  <c r="C20" i="7202"/>
  <c r="H39" i="7202"/>
  <c r="H17" i="7202"/>
  <c r="H20" i="7202"/>
  <c r="H43" i="7202"/>
  <c r="C22" i="7202"/>
  <c r="H46" i="7202"/>
  <c r="H10" i="7202"/>
  <c r="C26" i="7202"/>
  <c r="H50" i="7202"/>
  <c r="H7" i="7202"/>
  <c r="H9" i="7202"/>
  <c r="H25" i="7202"/>
  <c r="H28" i="7202"/>
  <c r="H41" i="7202"/>
  <c r="C45" i="7202"/>
  <c r="H4" i="7202"/>
  <c r="C23" i="7202"/>
  <c r="H32" i="7202"/>
  <c r="C40" i="7202"/>
  <c r="H47" i="7202"/>
  <c r="H6" i="7202"/>
  <c r="H12" i="7202"/>
  <c r="H19" i="7202"/>
  <c r="H15" i="7202"/>
  <c r="H13" i="7202"/>
  <c r="C25" i="7202"/>
  <c r="H33" i="7202"/>
  <c r="H42" i="7202"/>
  <c r="H49" i="7202"/>
  <c r="H30" i="7202"/>
  <c r="C41" i="7202"/>
  <c r="C48" i="7202"/>
  <c r="H2" i="7202"/>
  <c r="H11" i="7202"/>
  <c r="H23" i="7202"/>
  <c r="H31" i="7202"/>
  <c r="H38" i="7202"/>
  <c r="H45" i="7202"/>
  <c r="C49" i="7202"/>
  <c r="H24" i="7202"/>
  <c r="H14" i="7202"/>
  <c r="B27" i="7202"/>
  <c r="C37" i="7202"/>
  <c r="C44" i="7202"/>
  <c r="H51" i="7202"/>
  <c r="H29" i="7202"/>
  <c r="H8" i="7202"/>
  <c r="H34" i="7202"/>
  <c r="C38" i="7202"/>
  <c r="C42" i="7202"/>
  <c r="C46" i="7202"/>
  <c r="H22" i="7202"/>
  <c r="C24" i="7202"/>
  <c r="B28" i="7202"/>
  <c r="H35" i="7202"/>
  <c r="H40" i="7202"/>
  <c r="H44" i="7202"/>
  <c r="H48" i="7202"/>
  <c r="H5" i="7202"/>
  <c r="H27" i="7202"/>
  <c r="H16" i="7202"/>
  <c r="H21" i="7202"/>
  <c r="H36" i="7202"/>
  <c r="C39" i="7202"/>
  <c r="C43" i="7202"/>
  <c r="C47" i="7202"/>
  <c r="P16" i="7200" l="1"/>
  <c r="P15" i="7200"/>
  <c r="C44" i="7200"/>
  <c r="C35" i="7200"/>
  <c r="H32" i="7200"/>
  <c r="B30" i="7200"/>
  <c r="C22" i="7200"/>
  <c r="C21" i="7200"/>
  <c r="B20" i="7200"/>
  <c r="H52" i="7200" s="1"/>
  <c r="C19" i="7200"/>
  <c r="B19" i="7200"/>
  <c r="B29" i="7200" s="1"/>
  <c r="H19" i="7200"/>
  <c r="C18" i="7200"/>
  <c r="B18" i="7200"/>
  <c r="C17" i="7200"/>
  <c r="C16" i="7200"/>
  <c r="C15" i="7200"/>
  <c r="B13" i="7200"/>
  <c r="P12" i="7200"/>
  <c r="B12" i="7200"/>
  <c r="P11" i="7200"/>
  <c r="B11" i="7200"/>
  <c r="P10" i="7200"/>
  <c r="C10" i="7200"/>
  <c r="C9" i="7200"/>
  <c r="H10" i="7200"/>
  <c r="C8" i="7200"/>
  <c r="P7" i="7200"/>
  <c r="B7" i="7200"/>
  <c r="P6" i="7200"/>
  <c r="P5" i="7200"/>
  <c r="B5" i="7200"/>
  <c r="P4" i="7200"/>
  <c r="P3" i="7200"/>
  <c r="P2" i="7200"/>
  <c r="P19" i="7198"/>
  <c r="P15" i="7198"/>
  <c r="C35" i="7198"/>
  <c r="B30" i="7198"/>
  <c r="C21" i="7198"/>
  <c r="B20" i="7198"/>
  <c r="H52" i="7198" s="1"/>
  <c r="B19" i="7198"/>
  <c r="B29" i="7198" s="1"/>
  <c r="B18" i="7198"/>
  <c r="C18" i="7198" s="1"/>
  <c r="C17" i="7198"/>
  <c r="C16" i="7198"/>
  <c r="C15" i="7198"/>
  <c r="B13" i="7198"/>
  <c r="P12" i="7198"/>
  <c r="B12" i="7198"/>
  <c r="P11" i="7198"/>
  <c r="B11" i="7198"/>
  <c r="P10" i="7198"/>
  <c r="C10" i="7198"/>
  <c r="C9" i="7198"/>
  <c r="C8" i="7198"/>
  <c r="P7" i="7198"/>
  <c r="B7" i="7198"/>
  <c r="P6" i="7198"/>
  <c r="P5" i="7198"/>
  <c r="B5" i="7198"/>
  <c r="P4" i="7198"/>
  <c r="P3" i="7198"/>
  <c r="P2" i="7198"/>
  <c r="P19" i="7194"/>
  <c r="P15" i="7196"/>
  <c r="P19" i="7196"/>
  <c r="C35" i="7196"/>
  <c r="B30" i="7196"/>
  <c r="C21" i="7196"/>
  <c r="B20" i="7196"/>
  <c r="H52" i="7196" s="1"/>
  <c r="B19" i="7196"/>
  <c r="B29" i="7196" s="1"/>
  <c r="B18" i="7196"/>
  <c r="C18" i="7196" s="1"/>
  <c r="C17" i="7196"/>
  <c r="C16" i="7196"/>
  <c r="C15" i="7196"/>
  <c r="B13" i="7196"/>
  <c r="P12" i="7196"/>
  <c r="B12" i="7196"/>
  <c r="P11" i="7196"/>
  <c r="B11" i="7196"/>
  <c r="P10" i="7196"/>
  <c r="C10" i="7196"/>
  <c r="C9" i="7196"/>
  <c r="C8" i="7196"/>
  <c r="P7" i="7196"/>
  <c r="B7" i="7196"/>
  <c r="P6" i="7196"/>
  <c r="P5" i="7196"/>
  <c r="B5" i="7196"/>
  <c r="P4" i="7196"/>
  <c r="P3" i="7196"/>
  <c r="P2" i="7196"/>
  <c r="P15" i="7194"/>
  <c r="P20" i="7194"/>
  <c r="C35" i="7194"/>
  <c r="B30" i="7194"/>
  <c r="C21" i="7194"/>
  <c r="B20" i="7194"/>
  <c r="H52" i="7194" s="1"/>
  <c r="B19" i="7194"/>
  <c r="B29" i="7194" s="1"/>
  <c r="B18" i="7194"/>
  <c r="C18" i="7194" s="1"/>
  <c r="C17" i="7194"/>
  <c r="C16" i="7194"/>
  <c r="C15" i="7194"/>
  <c r="B13" i="7194"/>
  <c r="P12" i="7194"/>
  <c r="B12" i="7194"/>
  <c r="P11" i="7194"/>
  <c r="B11" i="7194"/>
  <c r="P10" i="7194"/>
  <c r="C10" i="7194"/>
  <c r="C9" i="7194"/>
  <c r="C8" i="7194"/>
  <c r="P7" i="7194"/>
  <c r="B7" i="7194"/>
  <c r="P6" i="7194"/>
  <c r="P5" i="7194"/>
  <c r="B5" i="7194"/>
  <c r="P4" i="7194"/>
  <c r="P3" i="7194"/>
  <c r="P2" i="7194"/>
  <c r="B14" i="7198" l="1"/>
  <c r="B14" i="7194"/>
  <c r="H45" i="7200"/>
  <c r="H22" i="7200"/>
  <c r="C23" i="7200"/>
  <c r="H46" i="7200"/>
  <c r="H2" i="7200"/>
  <c r="H16" i="7200"/>
  <c r="H26" i="7200"/>
  <c r="H37" i="7200"/>
  <c r="C48" i="7200"/>
  <c r="H7" i="7200"/>
  <c r="H36" i="7200"/>
  <c r="H4" i="7200"/>
  <c r="H20" i="7200"/>
  <c r="C26" i="7200"/>
  <c r="H38" i="7200"/>
  <c r="H49" i="7200"/>
  <c r="H17" i="7200"/>
  <c r="C40" i="7200"/>
  <c r="H50" i="7200"/>
  <c r="H5" i="7200"/>
  <c r="C20" i="7200"/>
  <c r="H30" i="7200"/>
  <c r="H41" i="7200"/>
  <c r="B27" i="7200"/>
  <c r="H42" i="7200"/>
  <c r="H30" i="7198"/>
  <c r="H42" i="7198"/>
  <c r="H16" i="7198"/>
  <c r="H5" i="7198"/>
  <c r="C20" i="7198"/>
  <c r="B14" i="7196"/>
  <c r="C19" i="7196"/>
  <c r="B14" i="7200"/>
  <c r="H28" i="7200"/>
  <c r="C38" i="7200"/>
  <c r="H51" i="7200"/>
  <c r="H12" i="7200"/>
  <c r="H15" i="7200"/>
  <c r="C25" i="7200"/>
  <c r="H40" i="7200"/>
  <c r="H44" i="7200"/>
  <c r="H48" i="7200"/>
  <c r="H8" i="7200"/>
  <c r="H11" i="7200"/>
  <c r="H13" i="7200"/>
  <c r="H23" i="7200"/>
  <c r="H27" i="7200"/>
  <c r="H31" i="7200"/>
  <c r="C37" i="7200"/>
  <c r="C41" i="7200"/>
  <c r="C45" i="7200"/>
  <c r="C49" i="7200"/>
  <c r="H6" i="7200"/>
  <c r="H9" i="7200"/>
  <c r="H14" i="7200"/>
  <c r="H18" i="7200"/>
  <c r="C24" i="7200"/>
  <c r="B28" i="7200"/>
  <c r="H34" i="7200"/>
  <c r="H39" i="7200"/>
  <c r="H43" i="7200"/>
  <c r="H47" i="7200"/>
  <c r="H3" i="7200"/>
  <c r="H24" i="7200"/>
  <c r="H33" i="7200"/>
  <c r="C42" i="7200"/>
  <c r="C46" i="7200"/>
  <c r="H21" i="7200"/>
  <c r="H25" i="7200"/>
  <c r="H29" i="7200"/>
  <c r="H35" i="7200"/>
  <c r="C39" i="7200"/>
  <c r="C43" i="7200"/>
  <c r="C47" i="7200"/>
  <c r="H40" i="7198"/>
  <c r="H22" i="7198"/>
  <c r="H14" i="7198"/>
  <c r="H44" i="7198"/>
  <c r="H46" i="7198"/>
  <c r="C23" i="7198"/>
  <c r="H8" i="7198"/>
  <c r="C25" i="7198"/>
  <c r="H47" i="7198"/>
  <c r="B27" i="7198"/>
  <c r="H49" i="7198"/>
  <c r="C19" i="7198"/>
  <c r="H20" i="7198"/>
  <c r="H51" i="7198"/>
  <c r="H11" i="7198"/>
  <c r="H15" i="7198"/>
  <c r="H35" i="7198"/>
  <c r="C40" i="7198"/>
  <c r="C48" i="7198"/>
  <c r="H3" i="7198"/>
  <c r="H31" i="7198"/>
  <c r="C22" i="7198"/>
  <c r="C26" i="7198"/>
  <c r="H26" i="7198"/>
  <c r="H43" i="7198"/>
  <c r="H27" i="7198"/>
  <c r="H50" i="7198"/>
  <c r="H7" i="7198"/>
  <c r="H32" i="7198"/>
  <c r="H19" i="7198"/>
  <c r="H39" i="7198"/>
  <c r="C44" i="7198"/>
  <c r="H6" i="7198"/>
  <c r="H13" i="7198"/>
  <c r="H28" i="7198"/>
  <c r="H34" i="7198"/>
  <c r="H18" i="7198"/>
  <c r="H17" i="7198"/>
  <c r="C37" i="7198"/>
  <c r="C41" i="7198"/>
  <c r="C45" i="7198"/>
  <c r="C49" i="7198"/>
  <c r="H10" i="7198"/>
  <c r="C42" i="7198"/>
  <c r="H21" i="7198"/>
  <c r="H2" i="7198"/>
  <c r="H9" i="7198"/>
  <c r="H29" i="7198"/>
  <c r="H23" i="7198"/>
  <c r="C24" i="7198"/>
  <c r="B28" i="7198"/>
  <c r="H37" i="7198"/>
  <c r="H41" i="7198"/>
  <c r="H45" i="7198"/>
  <c r="H48" i="7198"/>
  <c r="H4" i="7198"/>
  <c r="H24" i="7198"/>
  <c r="H36" i="7198"/>
  <c r="C38" i="7198"/>
  <c r="C46" i="7198"/>
  <c r="H33" i="7198"/>
  <c r="H12" i="7198"/>
  <c r="H25" i="7198"/>
  <c r="H38" i="7198"/>
  <c r="C39" i="7198"/>
  <c r="C43" i="7198"/>
  <c r="C47" i="7198"/>
  <c r="H9" i="7194"/>
  <c r="C19" i="7194"/>
  <c r="H25" i="7196"/>
  <c r="H3" i="7196"/>
  <c r="C20" i="7196"/>
  <c r="H4" i="7196"/>
  <c r="H18" i="7196"/>
  <c r="C25" i="7196"/>
  <c r="H41" i="7196"/>
  <c r="H45" i="7196"/>
  <c r="H49" i="7196"/>
  <c r="H7" i="7196"/>
  <c r="H11" i="7196"/>
  <c r="H28" i="7196"/>
  <c r="H17" i="7196"/>
  <c r="H32" i="7196"/>
  <c r="H20" i="7196"/>
  <c r="H37" i="7196"/>
  <c r="C40" i="7196"/>
  <c r="C44" i="7196"/>
  <c r="C48" i="7196"/>
  <c r="C26" i="7196"/>
  <c r="H38" i="7196"/>
  <c r="H50" i="7196"/>
  <c r="H6" i="7196"/>
  <c r="H12" i="7196"/>
  <c r="H24" i="7196"/>
  <c r="H30" i="7196"/>
  <c r="H33" i="7196"/>
  <c r="H21" i="7196"/>
  <c r="C37" i="7196"/>
  <c r="C41" i="7196"/>
  <c r="C45" i="7196"/>
  <c r="C49" i="7196"/>
  <c r="H26" i="7196"/>
  <c r="C22" i="7196"/>
  <c r="H42" i="7196"/>
  <c r="H46" i="7196"/>
  <c r="H10" i="7196"/>
  <c r="H15" i="7196"/>
  <c r="H16" i="7196"/>
  <c r="C23" i="7196"/>
  <c r="B27" i="7196"/>
  <c r="H22" i="7196"/>
  <c r="H39" i="7196"/>
  <c r="H43" i="7196"/>
  <c r="H47" i="7196"/>
  <c r="H51" i="7196"/>
  <c r="H31" i="7196"/>
  <c r="C38" i="7196"/>
  <c r="H14" i="7196"/>
  <c r="H2" i="7196"/>
  <c r="H8" i="7196"/>
  <c r="H19" i="7196"/>
  <c r="H27" i="7196"/>
  <c r="C24" i="7196"/>
  <c r="B28" i="7196"/>
  <c r="H35" i="7196"/>
  <c r="H40" i="7196"/>
  <c r="H44" i="7196"/>
  <c r="H48" i="7196"/>
  <c r="H5" i="7196"/>
  <c r="H9" i="7196"/>
  <c r="H23" i="7196"/>
  <c r="C42" i="7196"/>
  <c r="C46" i="7196"/>
  <c r="H29" i="7196"/>
  <c r="H13" i="7196"/>
  <c r="H34" i="7196"/>
  <c r="H36" i="7196"/>
  <c r="C39" i="7196"/>
  <c r="C43" i="7196"/>
  <c r="C47" i="7196"/>
  <c r="H21" i="7194"/>
  <c r="H15" i="7194"/>
  <c r="H40" i="7194"/>
  <c r="H11" i="7194"/>
  <c r="H42" i="7194"/>
  <c r="H7" i="7194"/>
  <c r="C25" i="7194"/>
  <c r="H33" i="7194"/>
  <c r="H3" i="7194"/>
  <c r="H6" i="7194"/>
  <c r="H17" i="7194"/>
  <c r="C45" i="7194"/>
  <c r="H28" i="7194"/>
  <c r="H23" i="7194"/>
  <c r="C23" i="7194"/>
  <c r="C40" i="7194"/>
  <c r="H13" i="7194"/>
  <c r="H27" i="7194"/>
  <c r="H16" i="7194"/>
  <c r="H47" i="7194"/>
  <c r="H30" i="7194"/>
  <c r="H19" i="7194"/>
  <c r="H43" i="7194"/>
  <c r="H49" i="7194"/>
  <c r="H8" i="7194"/>
  <c r="H26" i="7194"/>
  <c r="H25" i="7194"/>
  <c r="H39" i="7194"/>
  <c r="H50" i="7194"/>
  <c r="H34" i="7194"/>
  <c r="H14" i="7194"/>
  <c r="B27" i="7194"/>
  <c r="H32" i="7194"/>
  <c r="H46" i="7194"/>
  <c r="C49" i="7194"/>
  <c r="H4" i="7194"/>
  <c r="H24" i="7194"/>
  <c r="C20" i="7194"/>
  <c r="C26" i="7194"/>
  <c r="C41" i="7194"/>
  <c r="C48" i="7194"/>
  <c r="H2" i="7194"/>
  <c r="H44" i="7194"/>
  <c r="H20" i="7194"/>
  <c r="H35" i="7194"/>
  <c r="C22" i="7194"/>
  <c r="C37" i="7194"/>
  <c r="C44" i="7194"/>
  <c r="H51" i="7194"/>
  <c r="H29" i="7194"/>
  <c r="H10" i="7194"/>
  <c r="H31" i="7194"/>
  <c r="C38" i="7194"/>
  <c r="C42" i="7194"/>
  <c r="C46" i="7194"/>
  <c r="H18" i="7194"/>
  <c r="C24" i="7194"/>
  <c r="B28" i="7194"/>
  <c r="H37" i="7194"/>
  <c r="H41" i="7194"/>
  <c r="H45" i="7194"/>
  <c r="H48" i="7194"/>
  <c r="H5" i="7194"/>
  <c r="H36" i="7194"/>
  <c r="H12" i="7194"/>
  <c r="H22" i="7194"/>
  <c r="H38" i="7194"/>
  <c r="C39" i="7194"/>
  <c r="C43" i="7194"/>
  <c r="C47" i="7194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<sst xmlns="http://schemas.openxmlformats.org/spreadsheetml/2006/main" count="1975" uniqueCount="236">
  <si>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</si>
  <si>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</si>
  <si>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</si>
  <si>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</si>
  <si>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</si>
  <si>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</si>
  <si>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</si>
  <si>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</si>
  <si>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</si>
  <si>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</si>
  <si>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</si>
  <si>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</si>
  <si>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</si>
  <si>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</si>
  <si>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</si>
  <si>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</si>
  <si>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</si>
  <si>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</si>
  <si>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</si>
  <si>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</si>
  <si>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</si>
  <si>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</si>
  <si>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</si>
  <si>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</si>
  <si>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</si>
  <si>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</si>
  <si>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</si>
  <si>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</si>
  <si>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</si>
  <si>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</si>
  <si>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</si>
  <si>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</si>
  <si>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</si>
  <si>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</si>
  <si>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</si>
  <si>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</si>
  <si>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</si>
  <si>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</si>
  <si>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</si>
  <si>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</si>
  <si>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</si>
  <si>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</si>
  <si>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</si>
  <si>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</si>
  <si>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</si>
  <si>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</si>
  <si>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</si>
  <si>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</si>
  <si>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</si>
  <si>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</si>
  <si>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</si>
  <si>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</si>
  <si>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</si>
  <si>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</si>
  <si>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</si>
  <si>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</si>
  <si>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</si>
  <si>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</si>
  <si>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</si>
  <si>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</si>
  <si>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</si>
  <si>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</si>
  <si>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</si>
  <si>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</si>
  <si>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</si>
  <si>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</si>
  <si>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</si>
  <si>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</si>
  <si>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</si>
  <si>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</si>
  <si>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</si>
  <si>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</si>
  <si>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</si>
  <si>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</si>
  <si>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</si>
  <si>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</si>
  <si>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</si>
  <si>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</si>
  <si>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</si>
  <si>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</si>
  <si>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</si>
  <si>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</si>
  <si>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</si>
  <si>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</si>
  <si>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</si>
  <si>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</si>
  <si>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</si>
  <si>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</si>
  <si>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</si>
  <si>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</si>
  <si>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</si>
  <si>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</si>
  <si>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</si>
  <si>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</si>
  <si>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</si>
  <si>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</si>
  <si>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</si>
  <si>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</si>
  <si>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</si>
  <si>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</si>
  <si>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</si>
  <si>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</si>
  <si>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</si>
  <si>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</si>
  <si>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</si>
  <si>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</si>
  <si>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</si>
  <si>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</si>
  <si>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</si>
  <si>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</si>
  <si>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</si>
  <si>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</si>
  <si>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</si>
  <si>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</si>
  <si>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</si>
  <si>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</si>
  <si>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</si>
  <si>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</si>
  <si>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</si>
  <si>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</si>
  <si>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</si>
  <si>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</si>
  <si>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</si>
  <si>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</si>
  <si>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</si>
  <si>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</si>
  <si>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</si>
  <si>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</si>
  <si>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</si>
  <si>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</si>
  <si>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</si>
  <si>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</si>
  <si>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</si>
  <si>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</si>
  <si>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</si>
  <si>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</si>
  <si>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</si>
  <si>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</si>
  <si>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</si>
  <si>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</si>
  <si>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</si>
  <si>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</si>
  <si>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</si>
  <si>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</si>
  <si>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</si>
  <si>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</si>
  <si>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</si>
  <si>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</si>
  <si>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</si>
  <si>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</si>
  <si>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</si>
  <si>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</si>
  <si>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</si>
  <si>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</si>
  <si>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</si>
  <si>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</si>
  <si>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</si>
  <si>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</si>
  <si>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</si>
  <si>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</si>
  <si>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</si>
  <si>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</si>
  <si>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</si>
  <si>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</si>
  <si>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</si>
  <si>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</si>
  <si>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</si>
  <si>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</si>
  <si>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</si>
  <si>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</si>
  <si>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</si>
  <si>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</si>
  <si>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</si>
  <si>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</si>
  <si>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</si>
  <si>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</si>
  <si>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</si>
  <si>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</si>
  <si>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</si>
  <si>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</si>
  <si>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</si>
  <si>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</si>
  <si>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</si>
  <si>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</si>
  <si>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</si>
  <si>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</si>
  <si>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</si>
  <si>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</si>
  <si>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</si>
  <si>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</si>
  <si>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</si>
  <si>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</si>
  <si>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</si>
  <si>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</si>
  <si>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</si>
  <si>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</si>
  <si>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</si>
  <si>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</si>
  <si>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</si>
  <si>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</si>
  <si>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</si>
  <si>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</si>
  <si>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</si>
  <si>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</si>
  <si>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</si>
  <si>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</si>
  <si>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</si>
  <si>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</si>
  <si>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</si>
  <si>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</si>
  <si>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</si>
  <si>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</si>
  <si>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</si>
  <si>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</si>
  <si>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</si>
  <si>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</si>
  <si>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</si>
  <si>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</si>
  <si>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</si>
  <si>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</si>
  <si>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</si>
  <si>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</si>
  <si>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</si>
  <si>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2022-07-24@Ina.xlsm</t>
  </si>
  <si>
    <t>2021-02-13@Ina.xlsm</t>
  </si>
  <si>
    <t>2021-05-01@Ina.xlsm</t>
  </si>
  <si>
    <t>2022-03-13@Kohama.xlsm</t>
  </si>
  <si>
    <t>2022-03-21@Ina.xlsm</t>
  </si>
  <si>
    <t>2022-04-30@Kohama.xlsm</t>
  </si>
  <si>
    <t>Sheet13</t>
  </si>
  <si>
    <t>Sheet14</t>
  </si>
  <si>
    <t>Sheet15</t>
  </si>
  <si>
    <t>2022-05-07@Ina.xlsm</t>
  </si>
  <si>
    <t>ぱぱ</t>
    <phoneticPr fontId="1"/>
  </si>
  <si>
    <t>2022-06-11@Ina.xlsm</t>
  </si>
  <si>
    <t>2022-08-28@Ina.xlsm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</si>
</sst>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39" Type="http://schemas.microsoft.com/office/2006/relationships/vbaProject" Target="vbaProject.bin"/><Relationship Id="rId21" Type="http://schemas.openxmlformats.org/officeDocument/2006/relationships/chartsheet" Target="chartsheets/sheet2.xml"/><Relationship Id="rId34" Type="http://schemas.openxmlformats.org/officeDocument/2006/relationships/chartsheet" Target="chartsheets/sheet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chartsheet" Target="chartsheets/sheet14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29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chartsheet" Target="chartsheets/sheet13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chartsheet" Target="chartsheets/sheet9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3.xml"/><Relationship Id="rId27" Type="http://schemas.openxmlformats.org/officeDocument/2006/relationships/chartsheet" Target="chartsheets/sheet8.xml"/><Relationship Id="rId30" Type="http://schemas.openxmlformats.org/officeDocument/2006/relationships/chartsheet" Target="chartsheets/sheet11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全体!$K$2:$K$248</c:f>
              <c:numCache>
                <c:formatCode>General</c:formatCode>
                <c:ptCount val="2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</c:numCache>
            </c:numRef>
          </c:xVal>
          <c:yVal>
            <c:numRef>
              <c:f>全体!$L$2:$L$248</c:f>
              <c:numCache>
                <c:formatCode>\+0.0;\-0.0;\±0</c:formatCode>
                <c:ptCount val="247"/>
                <c:pt idx="0">
                  <c:v>0</c:v>
                </c:pt>
                <c:pt idx="1">
                  <c:v>50.6</c:v>
                </c:pt>
                <c:pt idx="2">
                  <c:v>46</c:v>
                </c:pt>
                <c:pt idx="3">
                  <c:v>0</c:v>
                </c:pt>
                <c:pt idx="4">
                  <c:v>3.7</c:v>
                </c:pt>
                <c:pt idx="5">
                  <c:v>50.900000000000006</c:v>
                </c:pt>
                <c:pt idx="6">
                  <c:v>7.1054273576010019E-15</c:v>
                </c:pt>
                <c:pt idx="7">
                  <c:v>-5.2999999999999927</c:v>
                </c:pt>
                <c:pt idx="8">
                  <c:v>16.500000000000007</c:v>
                </c:pt>
                <c:pt idx="9">
                  <c:v>7.1054273576010019E-15</c:v>
                </c:pt>
                <c:pt idx="10">
                  <c:v>18.000000000000007</c:v>
                </c:pt>
                <c:pt idx="11">
                  <c:v>21.600000000000009</c:v>
                </c:pt>
                <c:pt idx="12">
                  <c:v>7.1054273576010019E-15</c:v>
                </c:pt>
                <c:pt idx="13">
                  <c:v>16.900000000000006</c:v>
                </c:pt>
                <c:pt idx="14">
                  <c:v>18.100000000000005</c:v>
                </c:pt>
                <c:pt idx="15">
                  <c:v>3.5527136788005009E-15</c:v>
                </c:pt>
                <c:pt idx="16">
                  <c:v>76.5</c:v>
                </c:pt>
                <c:pt idx="17">
                  <c:v>46</c:v>
                </c:pt>
                <c:pt idx="18">
                  <c:v>0</c:v>
                </c:pt>
                <c:pt idx="19">
                  <c:v>-51.2</c:v>
                </c:pt>
                <c:pt idx="20">
                  <c:v>-52.6</c:v>
                </c:pt>
                <c:pt idx="21">
                  <c:v>0</c:v>
                </c:pt>
                <c:pt idx="22">
                  <c:v>51.1</c:v>
                </c:pt>
                <c:pt idx="23">
                  <c:v>38.299999999999997</c:v>
                </c:pt>
                <c:pt idx="24">
                  <c:v>0</c:v>
                </c:pt>
                <c:pt idx="25">
                  <c:v>-21.2</c:v>
                </c:pt>
                <c:pt idx="26">
                  <c:v>-28.299999999999997</c:v>
                </c:pt>
                <c:pt idx="27">
                  <c:v>3.5527136788005009E-15</c:v>
                </c:pt>
                <c:pt idx="28">
                  <c:v>-24.299999999999997</c:v>
                </c:pt>
                <c:pt idx="29">
                  <c:v>4.6000000000000014</c:v>
                </c:pt>
                <c:pt idx="30">
                  <c:v>1.7763568394002505E-15</c:v>
                </c:pt>
                <c:pt idx="31">
                  <c:v>20</c:v>
                </c:pt>
                <c:pt idx="32">
                  <c:v>19.399999999999999</c:v>
                </c:pt>
                <c:pt idx="33">
                  <c:v>0</c:v>
                </c:pt>
                <c:pt idx="34">
                  <c:v>-18.600000000000001</c:v>
                </c:pt>
                <c:pt idx="35">
                  <c:v>-57.800000000000004</c:v>
                </c:pt>
                <c:pt idx="36">
                  <c:v>-7.1054273576010019E-15</c:v>
                </c:pt>
                <c:pt idx="37">
                  <c:v>-22.600000000000009</c:v>
                </c:pt>
                <c:pt idx="38">
                  <c:v>-20.20000000000001</c:v>
                </c:pt>
                <c:pt idx="39">
                  <c:v>-1.0658141036401503E-14</c:v>
                </c:pt>
                <c:pt idx="40">
                  <c:v>-40.800000000000011</c:v>
                </c:pt>
                <c:pt idx="41">
                  <c:v>-43.300000000000011</c:v>
                </c:pt>
                <c:pt idx="42">
                  <c:v>-1.4210854715202004E-14</c:v>
                </c:pt>
                <c:pt idx="43">
                  <c:v>-47.500000000000014</c:v>
                </c:pt>
                <c:pt idx="44">
                  <c:v>-56.800000000000011</c:v>
                </c:pt>
                <c:pt idx="45">
                  <c:v>-1.4210854715202004E-14</c:v>
                </c:pt>
                <c:pt idx="46">
                  <c:v>57.599999999999987</c:v>
                </c:pt>
                <c:pt idx="47">
                  <c:v>11.599999999999987</c:v>
                </c:pt>
                <c:pt idx="48">
                  <c:v>-1.2434497875801753E-14</c:v>
                </c:pt>
                <c:pt idx="49">
                  <c:v>-27.600000000000016</c:v>
                </c:pt>
                <c:pt idx="50">
                  <c:v>-1.6000000000000156</c:v>
                </c:pt>
                <c:pt idx="51">
                  <c:v>-1.5543122344752192E-14</c:v>
                </c:pt>
                <c:pt idx="52">
                  <c:v>-28.600000000000016</c:v>
                </c:pt>
                <c:pt idx="53">
                  <c:v>14.799999999999983</c:v>
                </c:pt>
                <c:pt idx="54">
                  <c:v>-1.7763568394002505E-14</c:v>
                </c:pt>
                <c:pt idx="55">
                  <c:v>10.299999999999983</c:v>
                </c:pt>
                <c:pt idx="56">
                  <c:v>-22.40000000000002</c:v>
                </c:pt>
                <c:pt idx="57">
                  <c:v>-2.1316282072803006E-14</c:v>
                </c:pt>
                <c:pt idx="58">
                  <c:v>-1.2000000000000213</c:v>
                </c:pt>
                <c:pt idx="59">
                  <c:v>22.799999999999979</c:v>
                </c:pt>
                <c:pt idx="60">
                  <c:v>-2.1316282072803006E-14</c:v>
                </c:pt>
                <c:pt idx="61">
                  <c:v>37.199999999999982</c:v>
                </c:pt>
                <c:pt idx="62">
                  <c:v>-3.2000000000000171</c:v>
                </c:pt>
                <c:pt idx="63">
                  <c:v>-1.6875389974302379E-14</c:v>
                </c:pt>
                <c:pt idx="64">
                  <c:v>-2.2000000000000171</c:v>
                </c:pt>
                <c:pt idx="65">
                  <c:v>-51.800000000000018</c:v>
                </c:pt>
                <c:pt idx="66">
                  <c:v>-2.1316282072803006E-14</c:v>
                </c:pt>
                <c:pt idx="67">
                  <c:v>11.699999999999978</c:v>
                </c:pt>
                <c:pt idx="68">
                  <c:v>-46.40000000000002</c:v>
                </c:pt>
                <c:pt idx="69">
                  <c:v>-2.1316282072803006E-14</c:v>
                </c:pt>
                <c:pt idx="70">
                  <c:v>-0.70000000000002127</c:v>
                </c:pt>
                <c:pt idx="71">
                  <c:v>-31.700000000000021</c:v>
                </c:pt>
                <c:pt idx="72">
                  <c:v>-2.1316282072803006E-14</c:v>
                </c:pt>
                <c:pt idx="73">
                  <c:v>-2.1316282072803006E-14</c:v>
                </c:pt>
                <c:pt idx="74">
                  <c:v>-2.1316282072803006E-14</c:v>
                </c:pt>
                <c:pt idx="75">
                  <c:v>-2.1316282072803006E-14</c:v>
                </c:pt>
                <c:pt idx="76">
                  <c:v>-48.800000000000018</c:v>
                </c:pt>
                <c:pt idx="77">
                  <c:v>-71.000000000000014</c:v>
                </c:pt>
                <c:pt idx="78">
                  <c:v>-1.4210854715202004E-14</c:v>
                </c:pt>
                <c:pt idx="79">
                  <c:v>24.299999999999986</c:v>
                </c:pt>
                <c:pt idx="80">
                  <c:v>23.099999999999987</c:v>
                </c:pt>
                <c:pt idx="81">
                  <c:v>-1.4210854715202004E-14</c:v>
                </c:pt>
                <c:pt idx="82">
                  <c:v>-35.500000000000014</c:v>
                </c:pt>
                <c:pt idx="83">
                  <c:v>-29.700000000000014</c:v>
                </c:pt>
                <c:pt idx="84">
                  <c:v>-1.4210854715202004E-14</c:v>
                </c:pt>
                <c:pt idx="85">
                  <c:v>-42.100000000000016</c:v>
                </c:pt>
                <c:pt idx="86">
                  <c:v>-9.2000000000000171</c:v>
                </c:pt>
                <c:pt idx="87">
                  <c:v>-1.7763568394002505E-14</c:v>
                </c:pt>
                <c:pt idx="88">
                  <c:v>45.299999999999983</c:v>
                </c:pt>
                <c:pt idx="89">
                  <c:v>51.199999999999982</c:v>
                </c:pt>
                <c:pt idx="90">
                  <c:v>-2.1316282072803006E-14</c:v>
                </c:pt>
                <c:pt idx="91">
                  <c:v>0.49999999999997868</c:v>
                </c:pt>
                <c:pt idx="92">
                  <c:v>-26.90000000000002</c:v>
                </c:pt>
                <c:pt idx="93">
                  <c:v>-2.1316282072803006E-14</c:v>
                </c:pt>
                <c:pt idx="94">
                  <c:v>-20.300000000000022</c:v>
                </c:pt>
                <c:pt idx="95">
                  <c:v>53.199999999999974</c:v>
                </c:pt>
                <c:pt idx="96">
                  <c:v>-2.8421709430404007E-14</c:v>
                </c:pt>
                <c:pt idx="97">
                  <c:v>-60.500000000000028</c:v>
                </c:pt>
                <c:pt idx="98">
                  <c:v>-60.300000000000026</c:v>
                </c:pt>
                <c:pt idx="99">
                  <c:v>-2.8421709430404007E-14</c:v>
                </c:pt>
                <c:pt idx="100">
                  <c:v>-68.000000000000028</c:v>
                </c:pt>
                <c:pt idx="101">
                  <c:v>-2.8421709430404007E-14</c:v>
                </c:pt>
                <c:pt idx="102">
                  <c:v>-2.8421709430404007E-14</c:v>
                </c:pt>
                <c:pt idx="103">
                  <c:v>42.199999999999974</c:v>
                </c:pt>
                <c:pt idx="104">
                  <c:v>-12.300000000000026</c:v>
                </c:pt>
                <c:pt idx="105">
                  <c:v>-2.4868995751603507E-14</c:v>
                </c:pt>
                <c:pt idx="106">
                  <c:v>16.199999999999974</c:v>
                </c:pt>
                <c:pt idx="107">
                  <c:v>56.799999999999976</c:v>
                </c:pt>
                <c:pt idx="108">
                  <c:v>-2.1316282072803006E-14</c:v>
                </c:pt>
                <c:pt idx="109">
                  <c:v>-16.000000000000021</c:v>
                </c:pt>
                <c:pt idx="110">
                  <c:v>-80.000000000000028</c:v>
                </c:pt>
                <c:pt idx="111">
                  <c:v>-2.8421709430404007E-14</c:v>
                </c:pt>
                <c:pt idx="112">
                  <c:v>-31.900000000000027</c:v>
                </c:pt>
                <c:pt idx="113">
                  <c:v>0.79999999999997584</c:v>
                </c:pt>
                <c:pt idx="114">
                  <c:v>-2.4202861936828413E-14</c:v>
                </c:pt>
                <c:pt idx="115">
                  <c:v>-13.200000000000024</c:v>
                </c:pt>
                <c:pt idx="116">
                  <c:v>49.899999999999977</c:v>
                </c:pt>
                <c:pt idx="117">
                  <c:v>-2.1316282072803006E-14</c:v>
                </c:pt>
                <c:pt idx="118">
                  <c:v>51.799999999999976</c:v>
                </c:pt>
                <c:pt idx="119">
                  <c:v>55.399999999999977</c:v>
                </c:pt>
                <c:pt idx="120">
                  <c:v>-2.1316282072803006E-14</c:v>
                </c:pt>
                <c:pt idx="121">
                  <c:v>-6.5000000000000213</c:v>
                </c:pt>
                <c:pt idx="122">
                  <c:v>-34.100000000000023</c:v>
                </c:pt>
                <c:pt idx="123">
                  <c:v>-2.1316282072803006E-14</c:v>
                </c:pt>
                <c:pt idx="124">
                  <c:v>-1.3000000000000214</c:v>
                </c:pt>
                <c:pt idx="125">
                  <c:v>-38.300000000000018</c:v>
                </c:pt>
                <c:pt idx="126">
                  <c:v>-2.1316282072803006E-14</c:v>
                </c:pt>
                <c:pt idx="127">
                  <c:v>-35.000000000000021</c:v>
                </c:pt>
                <c:pt idx="128">
                  <c:v>-38.000000000000021</c:v>
                </c:pt>
                <c:pt idx="129">
                  <c:v>-2.1316282072803006E-14</c:v>
                </c:pt>
                <c:pt idx="130">
                  <c:v>46.199999999999982</c:v>
                </c:pt>
                <c:pt idx="131">
                  <c:v>10.199999999999982</c:v>
                </c:pt>
                <c:pt idx="132">
                  <c:v>-1.7763568394002505E-14</c:v>
                </c:pt>
                <c:pt idx="133">
                  <c:v>-19.600000000000019</c:v>
                </c:pt>
                <c:pt idx="134">
                  <c:v>56.899999999999977</c:v>
                </c:pt>
                <c:pt idx="135">
                  <c:v>-2.1316282072803006E-14</c:v>
                </c:pt>
                <c:pt idx="136">
                  <c:v>35.09999999999998</c:v>
                </c:pt>
                <c:pt idx="137">
                  <c:v>28.999999999999979</c:v>
                </c:pt>
                <c:pt idx="138">
                  <c:v>-2.1316282072803006E-14</c:v>
                </c:pt>
                <c:pt idx="139">
                  <c:v>-79.000000000000028</c:v>
                </c:pt>
                <c:pt idx="140">
                  <c:v>-127.70000000000003</c:v>
                </c:pt>
                <c:pt idx="141">
                  <c:v>-2.8421709430404007E-14</c:v>
                </c:pt>
                <c:pt idx="142">
                  <c:v>44.299999999999969</c:v>
                </c:pt>
                <c:pt idx="143">
                  <c:v>-11.800000000000033</c:v>
                </c:pt>
                <c:pt idx="144">
                  <c:v>-3.1974423109204508E-14</c:v>
                </c:pt>
                <c:pt idx="145">
                  <c:v>-31.400000000000031</c:v>
                </c:pt>
                <c:pt idx="146">
                  <c:v>-3.1000000000000298</c:v>
                </c:pt>
                <c:pt idx="147">
                  <c:v>-2.9753977059954195E-14</c:v>
                </c:pt>
                <c:pt idx="148">
                  <c:v>56.39999999999997</c:v>
                </c:pt>
                <c:pt idx="149">
                  <c:v>44.39999999999997</c:v>
                </c:pt>
                <c:pt idx="150">
                  <c:v>-2.8421709430404007E-14</c:v>
                </c:pt>
                <c:pt idx="151">
                  <c:v>44.199999999999974</c:v>
                </c:pt>
                <c:pt idx="152">
                  <c:v>9.599999999999973</c:v>
                </c:pt>
                <c:pt idx="153">
                  <c:v>-2.6645352591003757E-14</c:v>
                </c:pt>
                <c:pt idx="154">
                  <c:v>-25.000000000000028</c:v>
                </c:pt>
                <c:pt idx="155">
                  <c:v>56.199999999999974</c:v>
                </c:pt>
                <c:pt idx="156">
                  <c:v>-2.8421709430404007E-14</c:v>
                </c:pt>
                <c:pt idx="157">
                  <c:v>1.5999999999999717</c:v>
                </c:pt>
                <c:pt idx="158">
                  <c:v>-43.60000000000003</c:v>
                </c:pt>
                <c:pt idx="159">
                  <c:v>-2.8421709430404007E-14</c:v>
                </c:pt>
                <c:pt idx="160">
                  <c:v>50.999999999999972</c:v>
                </c:pt>
                <c:pt idx="161">
                  <c:v>0.99999999999997158</c:v>
                </c:pt>
                <c:pt idx="162">
                  <c:v>-2.8421709430404007E-14</c:v>
                </c:pt>
                <c:pt idx="163">
                  <c:v>-46.200000000000031</c:v>
                </c:pt>
                <c:pt idx="164">
                  <c:v>-37.10000000000003</c:v>
                </c:pt>
                <c:pt idx="165">
                  <c:v>-2.8421709430404007E-14</c:v>
                </c:pt>
                <c:pt idx="166">
                  <c:v>5.7999999999999714</c:v>
                </c:pt>
                <c:pt idx="167">
                  <c:v>-51.10000000000003</c:v>
                </c:pt>
                <c:pt idx="168">
                  <c:v>-2.8421709430404007E-14</c:v>
                </c:pt>
                <c:pt idx="169">
                  <c:v>-6.8000000000000282</c:v>
                </c:pt>
                <c:pt idx="170">
                  <c:v>62.199999999999974</c:v>
                </c:pt>
                <c:pt idx="171">
                  <c:v>-2.8421709430404007E-14</c:v>
                </c:pt>
                <c:pt idx="172">
                  <c:v>11.999999999999972</c:v>
                </c:pt>
                <c:pt idx="173">
                  <c:v>46.799999999999969</c:v>
                </c:pt>
                <c:pt idx="174">
                  <c:v>-2.8421709430404007E-14</c:v>
                </c:pt>
                <c:pt idx="175">
                  <c:v>-61.300000000000026</c:v>
                </c:pt>
                <c:pt idx="176">
                  <c:v>6.1999999999999744</c:v>
                </c:pt>
                <c:pt idx="177">
                  <c:v>-2.5757174171303632E-14</c:v>
                </c:pt>
                <c:pt idx="178">
                  <c:v>-63.500000000000028</c:v>
                </c:pt>
                <c:pt idx="179">
                  <c:v>-88.000000000000028</c:v>
                </c:pt>
                <c:pt idx="180">
                  <c:v>-2.8421709430404007E-14</c:v>
                </c:pt>
                <c:pt idx="181">
                  <c:v>-30.500000000000028</c:v>
                </c:pt>
                <c:pt idx="182">
                  <c:v>-30.60000000000003</c:v>
                </c:pt>
                <c:pt idx="183">
                  <c:v>-2.8421709430404007E-14</c:v>
                </c:pt>
                <c:pt idx="184">
                  <c:v>55.699999999999974</c:v>
                </c:pt>
                <c:pt idx="185">
                  <c:v>10.199999999999974</c:v>
                </c:pt>
                <c:pt idx="186">
                  <c:v>-2.4868995751603507E-14</c:v>
                </c:pt>
                <c:pt idx="187">
                  <c:v>3.9999999999999751</c:v>
                </c:pt>
                <c:pt idx="188">
                  <c:v>-28.800000000000022</c:v>
                </c:pt>
                <c:pt idx="189">
                  <c:v>-2.1316282072803006E-14</c:v>
                </c:pt>
                <c:pt idx="190">
                  <c:v>36.799999999999976</c:v>
                </c:pt>
                <c:pt idx="191">
                  <c:v>6.1999999999999744</c:v>
                </c:pt>
                <c:pt idx="192">
                  <c:v>-2.5757174171303632E-14</c:v>
                </c:pt>
                <c:pt idx="193">
                  <c:v>55.999999999999972</c:v>
                </c:pt>
                <c:pt idx="194">
                  <c:v>50.89999999999997</c:v>
                </c:pt>
                <c:pt idx="195">
                  <c:v>-2.8421709430404007E-14</c:v>
                </c:pt>
                <c:pt idx="196">
                  <c:v>-0.90000000000002844</c:v>
                </c:pt>
                <c:pt idx="197">
                  <c:v>-35.200000000000024</c:v>
                </c:pt>
                <c:pt idx="198">
                  <c:v>-2.1316282072803006E-14</c:v>
                </c:pt>
                <c:pt idx="199">
                  <c:v>29.59999999999998</c:v>
                </c:pt>
                <c:pt idx="200">
                  <c:v>26.799999999999979</c:v>
                </c:pt>
                <c:pt idx="201">
                  <c:v>-2.1316282072803006E-14</c:v>
                </c:pt>
                <c:pt idx="202">
                  <c:v>-7.3000000000000211</c:v>
                </c:pt>
                <c:pt idx="203">
                  <c:v>58.799999999999976</c:v>
                </c:pt>
                <c:pt idx="204">
                  <c:v>-2.1316282072803006E-14</c:v>
                </c:pt>
                <c:pt idx="205">
                  <c:v>42.899999999999977</c:v>
                </c:pt>
                <c:pt idx="206">
                  <c:v>57.799999999999976</c:v>
                </c:pt>
                <c:pt idx="207">
                  <c:v>-2.1316282072803006E-14</c:v>
                </c:pt>
                <c:pt idx="208">
                  <c:v>85.599999999999966</c:v>
                </c:pt>
                <c:pt idx="209">
                  <c:v>60.699999999999967</c:v>
                </c:pt>
                <c:pt idx="210">
                  <c:v>-3.5527136788005009E-14</c:v>
                </c:pt>
                <c:pt idx="211">
                  <c:v>-23.400000000000034</c:v>
                </c:pt>
                <c:pt idx="212">
                  <c:v>-3.5527136788005009E-14</c:v>
                </c:pt>
                <c:pt idx="213">
                  <c:v>-3.5527136788005009E-14</c:v>
                </c:pt>
                <c:pt idx="214">
                  <c:v>8.8999999999999648</c:v>
                </c:pt>
                <c:pt idx="215">
                  <c:v>55.599999999999966</c:v>
                </c:pt>
                <c:pt idx="216">
                  <c:v>-3.5527136788005009E-14</c:v>
                </c:pt>
                <c:pt idx="217">
                  <c:v>60.599999999999966</c:v>
                </c:pt>
                <c:pt idx="218">
                  <c:v>57.899999999999963</c:v>
                </c:pt>
                <c:pt idx="219">
                  <c:v>-3.5527136788005009E-14</c:v>
                </c:pt>
                <c:pt idx="220">
                  <c:v>45.199999999999967</c:v>
                </c:pt>
                <c:pt idx="221">
                  <c:v>34.499999999999972</c:v>
                </c:pt>
                <c:pt idx="222">
                  <c:v>-2.8421709430404007E-14</c:v>
                </c:pt>
                <c:pt idx="223">
                  <c:v>44.699999999999974</c:v>
                </c:pt>
                <c:pt idx="224">
                  <c:v>33.599999999999973</c:v>
                </c:pt>
                <c:pt idx="225">
                  <c:v>-2.8421709430404007E-14</c:v>
                </c:pt>
                <c:pt idx="226">
                  <c:v>47.199999999999974</c:v>
                </c:pt>
                <c:pt idx="227">
                  <c:v>56.799999999999976</c:v>
                </c:pt>
                <c:pt idx="228">
                  <c:v>-2.1316282072803006E-14</c:v>
                </c:pt>
                <c:pt idx="229">
                  <c:v>-59.40000000000002</c:v>
                </c:pt>
                <c:pt idx="230">
                  <c:v>-45.300000000000018</c:v>
                </c:pt>
                <c:pt idx="231">
                  <c:v>-2.1316282072803006E-14</c:v>
                </c:pt>
                <c:pt idx="232">
                  <c:v>-2.1316282072803006E-14</c:v>
                </c:pt>
                <c:pt idx="233">
                  <c:v>58.59999999999998</c:v>
                </c:pt>
                <c:pt idx="234">
                  <c:v>-2.1316282072803006E-14</c:v>
                </c:pt>
                <c:pt idx="235">
                  <c:v>-0.70000000000002127</c:v>
                </c:pt>
                <c:pt idx="236">
                  <c:v>-25.100000000000019</c:v>
                </c:pt>
                <c:pt idx="237">
                  <c:v>-1.7763568394002505E-14</c:v>
                </c:pt>
                <c:pt idx="238">
                  <c:v>-33.90000000000002</c:v>
                </c:pt>
                <c:pt idx="239">
                  <c:v>7.0999999999999801</c:v>
                </c:pt>
                <c:pt idx="240">
                  <c:v>-1.9539925233402755E-14</c:v>
                </c:pt>
                <c:pt idx="241">
                  <c:v>-100.60000000000001</c:v>
                </c:pt>
                <c:pt idx="242">
                  <c:v>-116.4</c:v>
                </c:pt>
                <c:pt idx="243">
                  <c:v>0</c:v>
                </c:pt>
                <c:pt idx="244">
                  <c:v>-3.5</c:v>
                </c:pt>
                <c:pt idx="245">
                  <c:v>-58.9</c:v>
                </c:pt>
                <c:pt idx="2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5D-4126-A565-2A5127A0D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-32.921810699588477</c:v>
                </c:pt>
                <c:pt idx="1">
                  <c:v>26.315789473684209</c:v>
                </c:pt>
                <c:pt idx="2">
                  <c:v>-4.5662100456621006</c:v>
                </c:pt>
                <c:pt idx="3">
                  <c:v>-19.607843137254903</c:v>
                </c:pt>
                <c:pt idx="4">
                  <c:v>0</c:v>
                </c:pt>
                <c:pt idx="5">
                  <c:v>36.363636363636367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15-47AA-9579-6B2D0DD84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27</c:v>
                </c:pt>
                <c:pt idx="1">
                  <c:v>84</c:v>
                </c:pt>
                <c:pt idx="2">
                  <c:v>104</c:v>
                </c:pt>
                <c:pt idx="3">
                  <c:v>137</c:v>
                </c:pt>
                <c:pt idx="4">
                  <c:v>93</c:v>
                </c:pt>
                <c:pt idx="5">
                  <c:v>56</c:v>
                </c:pt>
                <c:pt idx="6">
                  <c:v>27</c:v>
                </c:pt>
                <c:pt idx="7">
                  <c:v>17</c:v>
                </c:pt>
                <c:pt idx="8">
                  <c:v>14</c:v>
                </c:pt>
                <c:pt idx="9">
                  <c:v>6</c:v>
                </c:pt>
                <c:pt idx="10">
                  <c:v>3</c:v>
                </c:pt>
                <c:pt idx="11">
                  <c:v>0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6-45E9-BB41-2F561EDD6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全体!$K$2:$K$248</c:f>
              <c:numCache>
                <c:formatCode>General</c:formatCode>
                <c:ptCount val="2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</c:numCache>
            </c:numRef>
          </c:xVal>
          <c:yVal>
            <c:numRef>
              <c:f>全体!$M$2:$M$248</c:f>
              <c:numCache>
                <c:formatCode>0</c:formatCode>
                <c:ptCount val="247"/>
                <c:pt idx="0">
                  <c:v>1604.9485979299698</c:v>
                </c:pt>
                <c:pt idx="1">
                  <c:v>1613.4269063423899</c:v>
                </c:pt>
                <c:pt idx="2">
                  <c:v>1611.9183449043355</c:v>
                </c:pt>
                <c:pt idx="3">
                  <c:v>1602.9668348349096</c:v>
                </c:pt>
                <c:pt idx="4">
                  <c:v>1603.6630338259001</c:v>
                </c:pt>
                <c:pt idx="5">
                  <c:v>1612.1850556229447</c:v>
                </c:pt>
                <c:pt idx="6">
                  <c:v>1602.9979452892071</c:v>
                </c:pt>
                <c:pt idx="7">
                  <c:v>1602.0739576174719</c:v>
                </c:pt>
                <c:pt idx="8">
                  <c:v>1606.0335138717671</c:v>
                </c:pt>
                <c:pt idx="9">
                  <c:v>1603.0753127885366</c:v>
                </c:pt>
                <c:pt idx="10">
                  <c:v>1606.4528609118054</c:v>
                </c:pt>
                <c:pt idx="11">
                  <c:v>1607.2181437463346</c:v>
                </c:pt>
                <c:pt idx="12">
                  <c:v>1603.4428348838567</c:v>
                </c:pt>
                <c:pt idx="13">
                  <c:v>1606.8361778745536</c:v>
                </c:pt>
                <c:pt idx="14">
                  <c:v>1607.3831608073062</c:v>
                </c:pt>
                <c:pt idx="15">
                  <c:v>1604.4528618424624</c:v>
                </c:pt>
                <c:pt idx="16">
                  <c:v>1618.5681446714077</c:v>
                </c:pt>
                <c:pt idx="17">
                  <c:v>1613.3387358033792</c:v>
                </c:pt>
                <c:pt idx="18">
                  <c:v>1605.3507033885589</c:v>
                </c:pt>
                <c:pt idx="19">
                  <c:v>1596.4745991682275</c:v>
                </c:pt>
                <c:pt idx="20">
                  <c:v>1596.6157515732182</c:v>
                </c:pt>
                <c:pt idx="21">
                  <c:v>1606.4760570637789</c:v>
                </c:pt>
                <c:pt idx="22">
                  <c:v>1616.0072007213962</c:v>
                </c:pt>
                <c:pt idx="23">
                  <c:v>1613.9791575170677</c:v>
                </c:pt>
                <c:pt idx="24">
                  <c:v>1607.3732825719653</c:v>
                </c:pt>
                <c:pt idx="25">
                  <c:v>1603.8850428765336</c:v>
                </c:pt>
                <c:pt idx="26">
                  <c:v>1602.9557326192744</c:v>
                </c:pt>
                <c:pt idx="27">
                  <c:v>1608.4039982235588</c:v>
                </c:pt>
                <c:pt idx="28">
                  <c:v>1604.1235742342174</c:v>
                </c:pt>
                <c:pt idx="29">
                  <c:v>1609.4448327888122</c:v>
                </c:pt>
                <c:pt idx="30">
                  <c:v>1608.7041637920793</c:v>
                </c:pt>
                <c:pt idx="31">
                  <c:v>1612.1499388093268</c:v>
                </c:pt>
                <c:pt idx="32">
                  <c:v>1611.8670391764708</c:v>
                </c:pt>
                <c:pt idx="33">
                  <c:v>1608.201836941412</c:v>
                </c:pt>
                <c:pt idx="34">
                  <c:v>1604.7026259197635</c:v>
                </c:pt>
                <c:pt idx="35">
                  <c:v>1597.5164101642449</c:v>
                </c:pt>
                <c:pt idx="36">
                  <c:v>1607.8333117032594</c:v>
                </c:pt>
                <c:pt idx="37">
                  <c:v>1603.6163118330398</c:v>
                </c:pt>
                <c:pt idx="38">
                  <c:v>1603.9246139620416</c:v>
                </c:pt>
                <c:pt idx="39">
                  <c:v>1607.4350662782692</c:v>
                </c:pt>
                <c:pt idx="40">
                  <c:v>1599.9444558805997</c:v>
                </c:pt>
                <c:pt idx="41">
                  <c:v>1599.3927891453161</c:v>
                </c:pt>
                <c:pt idx="42">
                  <c:v>1607.0884324104443</c:v>
                </c:pt>
                <c:pt idx="43">
                  <c:v>1598.3939018159815</c:v>
                </c:pt>
                <c:pt idx="44">
                  <c:v>1596.6275384050857</c:v>
                </c:pt>
                <c:pt idx="45">
                  <c:v>1606.7697731746553</c:v>
                </c:pt>
                <c:pt idx="46">
                  <c:v>1616.9951545356073</c:v>
                </c:pt>
                <c:pt idx="47">
                  <c:v>1608.5111836083936</c:v>
                </c:pt>
                <c:pt idx="48">
                  <c:v>1606.2701165067433</c:v>
                </c:pt>
                <c:pt idx="49">
                  <c:v>1601.162495807703</c:v>
                </c:pt>
                <c:pt idx="50">
                  <c:v>1605.7335208328568</c:v>
                </c:pt>
                <c:pt idx="51">
                  <c:v>1605.8851197078598</c:v>
                </c:pt>
                <c:pt idx="52">
                  <c:v>1600.5998089896127</c:v>
                </c:pt>
                <c:pt idx="53">
                  <c:v>1608.306210135675</c:v>
                </c:pt>
                <c:pt idx="54">
                  <c:v>1605.4903728748609</c:v>
                </c:pt>
                <c:pt idx="55">
                  <c:v>1607.2094306376118</c:v>
                </c:pt>
                <c:pt idx="56">
                  <c:v>1601.1781740537861</c:v>
                </c:pt>
                <c:pt idx="57">
                  <c:v>1605.1011050094633</c:v>
                </c:pt>
                <c:pt idx="58">
                  <c:v>1605.2444983794064</c:v>
                </c:pt>
                <c:pt idx="59">
                  <c:v>1609.9230313891301</c:v>
                </c:pt>
                <c:pt idx="60">
                  <c:v>1606.1494932007954</c:v>
                </c:pt>
                <c:pt idx="61">
                  <c:v>1613.1985962415906</c:v>
                </c:pt>
                <c:pt idx="62">
                  <c:v>1606.237404664141</c:v>
                </c:pt>
                <c:pt idx="63">
                  <c:v>1607.1659802361562</c:v>
                </c:pt>
                <c:pt idx="64">
                  <c:v>1607.1169843547393</c:v>
                </c:pt>
                <c:pt idx="65">
                  <c:v>1598.5362824486108</c:v>
                </c:pt>
                <c:pt idx="66">
                  <c:v>1608.2590647539191</c:v>
                </c:pt>
                <c:pt idx="67">
                  <c:v>1610.7055103653956</c:v>
                </c:pt>
                <c:pt idx="68">
                  <c:v>1600.5732773032032</c:v>
                </c:pt>
                <c:pt idx="69">
                  <c:v>1609.3118376393841</c:v>
                </c:pt>
                <c:pt idx="70">
                  <c:v>1609.5199666135477</c:v>
                </c:pt>
                <c:pt idx="71">
                  <c:v>1604.2728468138664</c:v>
                </c:pt>
                <c:pt idx="72">
                  <c:v>1610.3432097329833</c:v>
                </c:pt>
                <c:pt idx="73">
                  <c:v>1610.6711504745854</c:v>
                </c:pt>
                <c:pt idx="74">
                  <c:v>1610.9971235717378</c:v>
                </c:pt>
                <c:pt idx="75">
                  <c:v>1611.3211408303073</c:v>
                </c:pt>
                <c:pt idx="76">
                  <c:v>1602.8592139853254</c:v>
                </c:pt>
                <c:pt idx="77">
                  <c:v>1599.2360587014134</c:v>
                </c:pt>
                <c:pt idx="78">
                  <c:v>1612.4106423492049</c:v>
                </c:pt>
                <c:pt idx="79">
                  <c:v>1616.6861784951097</c:v>
                </c:pt>
                <c:pt idx="80">
                  <c:v>1616.3460614241392</c:v>
                </c:pt>
                <c:pt idx="81">
                  <c:v>1612.0659850555944</c:v>
                </c:pt>
                <c:pt idx="82">
                  <c:v>1605.5855891452609</c:v>
                </c:pt>
                <c:pt idx="83">
                  <c:v>1606.5780756103893</c:v>
                </c:pt>
                <c:pt idx="84">
                  <c:v>1611.866607156727</c:v>
                </c:pt>
                <c:pt idx="85">
                  <c:v>1604.1934075137867</c:v>
                </c:pt>
                <c:pt idx="86">
                  <c:v>1610.0662470687041</c:v>
                </c:pt>
                <c:pt idx="87">
                  <c:v>1611.6378495862918</c:v>
                </c:pt>
                <c:pt idx="88">
                  <c:v>1619.7040224887742</c:v>
                </c:pt>
                <c:pt idx="89">
                  <c:v>1620.6297983538416</c:v>
                </c:pt>
                <c:pt idx="90">
                  <c:v>1611.2720195637185</c:v>
                </c:pt>
                <c:pt idx="91">
                  <c:v>1611.2703874463361</c:v>
                </c:pt>
                <c:pt idx="92">
                  <c:v>1606.2467651216582</c:v>
                </c:pt>
                <c:pt idx="93">
                  <c:v>1611.0272845309282</c:v>
                </c:pt>
                <c:pt idx="94">
                  <c:v>1607.2891208237427</c:v>
                </c:pt>
                <c:pt idx="95">
                  <c:v>1620.4573860988003</c:v>
                </c:pt>
                <c:pt idx="96">
                  <c:v>1610.7406417822074</c:v>
                </c:pt>
                <c:pt idx="97">
                  <c:v>1599.762197931514</c:v>
                </c:pt>
                <c:pt idx="98">
                  <c:v>1599.7756247439249</c:v>
                </c:pt>
                <c:pt idx="99">
                  <c:v>1610.6069709954613</c:v>
                </c:pt>
                <c:pt idx="100">
                  <c:v>1598.2853291694885</c:v>
                </c:pt>
                <c:pt idx="101">
                  <c:v>1610.5176171944715</c:v>
                </c:pt>
                <c:pt idx="102">
                  <c:v>1610.4365114913046</c:v>
                </c:pt>
                <c:pt idx="103">
                  <c:v>1617.9458924223568</c:v>
                </c:pt>
                <c:pt idx="104">
                  <c:v>1608.0042170678225</c:v>
                </c:pt>
                <c:pt idx="105">
                  <c:v>1610.1461917654156</c:v>
                </c:pt>
                <c:pt idx="106">
                  <c:v>1612.9773146148232</c:v>
                </c:pt>
                <c:pt idx="107">
                  <c:v>1620.1834507271342</c:v>
                </c:pt>
                <c:pt idx="108">
                  <c:v>1609.8143500227714</c:v>
                </c:pt>
                <c:pt idx="109">
                  <c:v>1606.8514639226348</c:v>
                </c:pt>
                <c:pt idx="110">
                  <c:v>1595.266355139099</c:v>
                </c:pt>
                <c:pt idx="111">
                  <c:v>1609.6707570082644</c:v>
                </c:pt>
                <c:pt idx="112">
                  <c:v>1603.8467324662149</c:v>
                </c:pt>
                <c:pt idx="113">
                  <c:v>1609.6856520714177</c:v>
                </c:pt>
                <c:pt idx="114">
                  <c:v>1609.4595381589893</c:v>
                </c:pt>
                <c:pt idx="115">
                  <c:v>1607.0027809300354</c:v>
                </c:pt>
                <c:pt idx="116">
                  <c:v>1618.2947642444553</c:v>
                </c:pt>
                <c:pt idx="117">
                  <c:v>1609.1789956589887</c:v>
                </c:pt>
                <c:pt idx="118">
                  <c:v>1618.4239216850347</c:v>
                </c:pt>
                <c:pt idx="119">
                  <c:v>1618.9373781549245</c:v>
                </c:pt>
                <c:pt idx="120">
                  <c:v>1608.827753885995</c:v>
                </c:pt>
                <c:pt idx="121">
                  <c:v>1607.5807873626791</c:v>
                </c:pt>
                <c:pt idx="122">
                  <c:v>1602.5433026385031</c:v>
                </c:pt>
                <c:pt idx="123">
                  <c:v>1608.642042822672</c:v>
                </c:pt>
                <c:pt idx="124">
                  <c:v>1608.4641905657361</c:v>
                </c:pt>
                <c:pt idx="125">
                  <c:v>1601.8614054223417</c:v>
                </c:pt>
                <c:pt idx="126">
                  <c:v>1608.8522369898076</c:v>
                </c:pt>
                <c:pt idx="127">
                  <c:v>1602.3731235678688</c:v>
                </c:pt>
                <c:pt idx="128">
                  <c:v>1601.6928848264615</c:v>
                </c:pt>
                <c:pt idx="129">
                  <c:v>1608.3967275175028</c:v>
                </c:pt>
                <c:pt idx="130">
                  <c:v>1616.5363471523976</c:v>
                </c:pt>
                <c:pt idx="131">
                  <c:v>1609.8311290694833</c:v>
                </c:pt>
                <c:pt idx="132">
                  <c:v>1607.8101422950663</c:v>
                </c:pt>
                <c:pt idx="133">
                  <c:v>1604.1092814412959</c:v>
                </c:pt>
                <c:pt idx="134">
                  <c:v>1617.7286257526482</c:v>
                </c:pt>
                <c:pt idx="135">
                  <c:v>1607.2542539981323</c:v>
                </c:pt>
                <c:pt idx="136">
                  <c:v>1613.4027284741435</c:v>
                </c:pt>
                <c:pt idx="137">
                  <c:v>1612.0983121032987</c:v>
                </c:pt>
                <c:pt idx="138">
                  <c:v>1606.6797222306789</c:v>
                </c:pt>
                <c:pt idx="139">
                  <c:v>1592.2936438972947</c:v>
                </c:pt>
                <c:pt idx="140">
                  <c:v>1583.4478820339109</c:v>
                </c:pt>
                <c:pt idx="141">
                  <c:v>1606.4071947417074</c:v>
                </c:pt>
                <c:pt idx="142">
                  <c:v>1614.2167515732572</c:v>
                </c:pt>
                <c:pt idx="143">
                  <c:v>1603.9074510638177</c:v>
                </c:pt>
                <c:pt idx="144">
                  <c:v>1605.8820063574349</c:v>
                </c:pt>
                <c:pt idx="145">
                  <c:v>1600.0687143192902</c:v>
                </c:pt>
                <c:pt idx="146">
                  <c:v>1605.0363020333743</c:v>
                </c:pt>
                <c:pt idx="147">
                  <c:v>1605.438084221174</c:v>
                </c:pt>
                <c:pt idx="148">
                  <c:v>1615.4314557158471</c:v>
                </c:pt>
                <c:pt idx="149">
                  <c:v>1613.0528669815519</c:v>
                </c:pt>
                <c:pt idx="150">
                  <c:v>1604.8565497796626</c:v>
                </c:pt>
                <c:pt idx="151">
                  <c:v>1612.6574104809847</c:v>
                </c:pt>
                <c:pt idx="152">
                  <c:v>1606.2274660180988</c:v>
                </c:pt>
                <c:pt idx="153">
                  <c:v>1604.3361012219902</c:v>
                </c:pt>
                <c:pt idx="154">
                  <c:v>1599.4020846146584</c:v>
                </c:pt>
                <c:pt idx="155">
                  <c:v>1613.6136721069704</c:v>
                </c:pt>
                <c:pt idx="156">
                  <c:v>1603.0079900743285</c:v>
                </c:pt>
                <c:pt idx="157">
                  <c:v>1602.8639421338826</c:v>
                </c:pt>
                <c:pt idx="158">
                  <c:v>1594.2967584810792</c:v>
                </c:pt>
                <c:pt idx="159">
                  <c:v>1601.7649779301928</c:v>
                </c:pt>
                <c:pt idx="160">
                  <c:v>1610.5203880626116</c:v>
                </c:pt>
                <c:pt idx="161">
                  <c:v>1601.043265734236</c:v>
                </c:pt>
                <c:pt idx="162">
                  <c:v>1600.4430061398307</c:v>
                </c:pt>
                <c:pt idx="163">
                  <c:v>1592.1723481029917</c:v>
                </c:pt>
                <c:pt idx="164">
                  <c:v>1593.9053140143737</c:v>
                </c:pt>
                <c:pt idx="165">
                  <c:v>1600.6678821302876</c:v>
                </c:pt>
                <c:pt idx="166">
                  <c:v>1602.0438748375059</c:v>
                </c:pt>
                <c:pt idx="167">
                  <c:v>1592.1256115884808</c:v>
                </c:pt>
                <c:pt idx="168">
                  <c:v>1601.7068579189499</c:v>
                </c:pt>
                <c:pt idx="169">
                  <c:v>1600.0826167714363</c:v>
                </c:pt>
                <c:pt idx="170">
                  <c:v>1612.1121210708077</c:v>
                </c:pt>
                <c:pt idx="171">
                  <c:v>1600.4534483443829</c:v>
                </c:pt>
                <c:pt idx="172">
                  <c:v>1602.6587276543166</c:v>
                </c:pt>
                <c:pt idx="173">
                  <c:v>1608.9547752883907</c:v>
                </c:pt>
                <c:pt idx="174">
                  <c:v>1600.5250466366604</c:v>
                </c:pt>
                <c:pt idx="175">
                  <c:v>1589.5358963568403</c:v>
                </c:pt>
                <c:pt idx="176">
                  <c:v>1601.7966809786992</c:v>
                </c:pt>
                <c:pt idx="177">
                  <c:v>1600.7179008928269</c:v>
                </c:pt>
                <c:pt idx="178">
                  <c:v>1589.3315934874699</c:v>
                </c:pt>
                <c:pt idx="179">
                  <c:v>1585.0336039265451</c:v>
                </c:pt>
                <c:pt idx="180">
                  <c:v>1601.0114023029857</c:v>
                </c:pt>
                <c:pt idx="181">
                  <c:v>1595.5633338891678</c:v>
                </c:pt>
                <c:pt idx="182">
                  <c:v>1595.6199538858327</c:v>
                </c:pt>
                <c:pt idx="183">
                  <c:v>1601.2022341625177</c:v>
                </c:pt>
                <c:pt idx="184">
                  <c:v>1611.2690207575426</c:v>
                </c:pt>
                <c:pt idx="185">
                  <c:v>1603.0594066329975</c:v>
                </c:pt>
                <c:pt idx="186">
                  <c:v>1601.2530501931994</c:v>
                </c:pt>
                <c:pt idx="187">
                  <c:v>1602.0135318920402</c:v>
                </c:pt>
                <c:pt idx="188">
                  <c:v>1596.1454507006879</c:v>
                </c:pt>
                <c:pt idx="189">
                  <c:v>1601.4005779964837</c:v>
                </c:pt>
                <c:pt idx="190">
                  <c:v>1608.0641745285047</c:v>
                </c:pt>
                <c:pt idx="191">
                  <c:v>1602.5557894813337</c:v>
                </c:pt>
                <c:pt idx="192">
                  <c:v>1601.4724547444457</c:v>
                </c:pt>
                <c:pt idx="193">
                  <c:v>1611.5916200159791</c:v>
                </c:pt>
                <c:pt idx="194">
                  <c:v>1610.6520702958833</c:v>
                </c:pt>
                <c:pt idx="195">
                  <c:v>1601.474157874108</c:v>
                </c:pt>
                <c:pt idx="196">
                  <c:v>1601.3513129268633</c:v>
                </c:pt>
                <c:pt idx="197">
                  <c:v>1595.217205049302</c:v>
                </c:pt>
                <c:pt idx="198">
                  <c:v>1601.6299018190061</c:v>
                </c:pt>
                <c:pt idx="199">
                  <c:v>1606.9961224080921</c:v>
                </c:pt>
                <c:pt idx="200">
                  <c:v>1606.4981456736436</c:v>
                </c:pt>
                <c:pt idx="201">
                  <c:v>1601.6831567996019</c:v>
                </c:pt>
                <c:pt idx="202">
                  <c:v>1600.4070578588044</c:v>
                </c:pt>
                <c:pt idx="203">
                  <c:v>1612.3506155116515</c:v>
                </c:pt>
                <c:pt idx="204">
                  <c:v>1601.7405118185816</c:v>
                </c:pt>
                <c:pt idx="205">
                  <c:v>1609.5000687476702</c:v>
                </c:pt>
                <c:pt idx="206">
                  <c:v>1612.1730683351841</c:v>
                </c:pt>
                <c:pt idx="207">
                  <c:v>1601.744029925173</c:v>
                </c:pt>
                <c:pt idx="208">
                  <c:v>1617.1895657456218</c:v>
                </c:pt>
                <c:pt idx="209">
                  <c:v>1612.652428351148</c:v>
                </c:pt>
                <c:pt idx="210">
                  <c:v>1601.6985137810411</c:v>
                </c:pt>
                <c:pt idx="211">
                  <c:v>1597.5243226983548</c:v>
                </c:pt>
                <c:pt idx="212">
                  <c:v>1601.7991767621647</c:v>
                </c:pt>
                <c:pt idx="213">
                  <c:v>1601.8363817015918</c:v>
                </c:pt>
                <c:pt idx="214">
                  <c:v>1603.3553634113823</c:v>
                </c:pt>
                <c:pt idx="215">
                  <c:v>1611.669231230914</c:v>
                </c:pt>
                <c:pt idx="216">
                  <c:v>1601.5192158435284</c:v>
                </c:pt>
                <c:pt idx="217">
                  <c:v>1612.3461005484671</c:v>
                </c:pt>
                <c:pt idx="218">
                  <c:v>1611.7140239451762</c:v>
                </c:pt>
                <c:pt idx="219">
                  <c:v>1601.1497398015051</c:v>
                </c:pt>
                <c:pt idx="220">
                  <c:v>1608.8468413626961</c:v>
                </c:pt>
                <c:pt idx="221">
                  <c:v>1606.4357603145199</c:v>
                </c:pt>
                <c:pt idx="222">
                  <c:v>1599.7551457526329</c:v>
                </c:pt>
                <c:pt idx="223">
                  <c:v>1607.364614878117</c:v>
                </c:pt>
                <c:pt idx="224">
                  <c:v>1604.8844271888483</c:v>
                </c:pt>
                <c:pt idx="225">
                  <c:v>1598.3691206257154</c:v>
                </c:pt>
                <c:pt idx="226">
                  <c:v>1607.210905901961</c:v>
                </c:pt>
                <c:pt idx="227">
                  <c:v>1609.2316404665494</c:v>
                </c:pt>
                <c:pt idx="228">
                  <c:v>1599.2882506237502</c:v>
                </c:pt>
                <c:pt idx="229">
                  <c:v>1588.1865211200077</c:v>
                </c:pt>
                <c:pt idx="230">
                  <c:v>1590.3814019932877</c:v>
                </c:pt>
                <c:pt idx="231">
                  <c:v>1598.179113581328</c:v>
                </c:pt>
                <c:pt idx="232">
                  <c:v>1598.2200388998401</c:v>
                </c:pt>
                <c:pt idx="233">
                  <c:v>1608.8087186664411</c:v>
                </c:pt>
                <c:pt idx="234">
                  <c:v>1598.2378663544425</c:v>
                </c:pt>
                <c:pt idx="235">
                  <c:v>1597.690439156316</c:v>
                </c:pt>
                <c:pt idx="236">
                  <c:v>1592.8802965213781</c:v>
                </c:pt>
                <c:pt idx="237">
                  <c:v>1597.0090147422497</c:v>
                </c:pt>
                <c:pt idx="238">
                  <c:v>1590.9669606537961</c:v>
                </c:pt>
                <c:pt idx="239">
                  <c:v>1598.4431588898733</c:v>
                </c:pt>
                <c:pt idx="240">
                  <c:v>1597.2164999365341</c:v>
                </c:pt>
                <c:pt idx="241">
                  <c:v>1579.0412009369149</c:v>
                </c:pt>
                <c:pt idx="242">
                  <c:v>1576.2389537312933</c:v>
                </c:pt>
                <c:pt idx="243">
                  <c:v>1597.2495200089056</c:v>
                </c:pt>
                <c:pt idx="244">
                  <c:v>1596.1500228888522</c:v>
                </c:pt>
                <c:pt idx="245">
                  <c:v>1585.7151227515189</c:v>
                </c:pt>
                <c:pt idx="246">
                  <c:v>1595.9168320150097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16-4794-818E-292D2754D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れんたろう!$L$2:$L$61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50.6</c:v>
                </c:pt>
                <c:pt idx="2">
                  <c:v>54.300000000000004</c:v>
                </c:pt>
                <c:pt idx="3">
                  <c:v>49.000000000000007</c:v>
                </c:pt>
                <c:pt idx="4">
                  <c:v>27.400000000000006</c:v>
                </c:pt>
                <c:pt idx="5">
                  <c:v>28.600000000000005</c:v>
                </c:pt>
                <c:pt idx="6">
                  <c:v>-1.899999999999995</c:v>
                </c:pt>
                <c:pt idx="7">
                  <c:v>-3.2999999999999949</c:v>
                </c:pt>
                <c:pt idx="8">
                  <c:v>47.800000000000004</c:v>
                </c:pt>
                <c:pt idx="9">
                  <c:v>40.700000000000003</c:v>
                </c:pt>
                <c:pt idx="10">
                  <c:v>64.7</c:v>
                </c:pt>
                <c:pt idx="11">
                  <c:v>24.300000000000004</c:v>
                </c:pt>
                <c:pt idx="12">
                  <c:v>76.099999999999994</c:v>
                </c:pt>
                <c:pt idx="13">
                  <c:v>122.5</c:v>
                </c:pt>
                <c:pt idx="14">
                  <c:v>154.19999999999999</c:v>
                </c:pt>
                <c:pt idx="15">
                  <c:v>154.19999999999999</c:v>
                </c:pt>
                <c:pt idx="16">
                  <c:v>225.2</c:v>
                </c:pt>
                <c:pt idx="17">
                  <c:v>224</c:v>
                </c:pt>
                <c:pt idx="18">
                  <c:v>229.8</c:v>
                </c:pt>
                <c:pt idx="19">
                  <c:v>239</c:v>
                </c:pt>
                <c:pt idx="20">
                  <c:v>187.8</c:v>
                </c:pt>
                <c:pt idx="21">
                  <c:v>214.70000000000002</c:v>
                </c:pt>
                <c:pt idx="22">
                  <c:v>161.5</c:v>
                </c:pt>
                <c:pt idx="23">
                  <c:v>221.8</c:v>
                </c:pt>
                <c:pt idx="24">
                  <c:v>221.8</c:v>
                </c:pt>
                <c:pt idx="25">
                  <c:v>234.10000000000002</c:v>
                </c:pt>
                <c:pt idx="26">
                  <c:v>177.3</c:v>
                </c:pt>
                <c:pt idx="27">
                  <c:v>257.3</c:v>
                </c:pt>
                <c:pt idx="28">
                  <c:v>256.5</c:v>
                </c:pt>
                <c:pt idx="29">
                  <c:v>206.6</c:v>
                </c:pt>
                <c:pt idx="30">
                  <c:v>151.19999999999999</c:v>
                </c:pt>
                <c:pt idx="31">
                  <c:v>185.29999999999998</c:v>
                </c:pt>
                <c:pt idx="32">
                  <c:v>129.09999999999997</c:v>
                </c:pt>
                <c:pt idx="33">
                  <c:v>172.69999999999996</c:v>
                </c:pt>
                <c:pt idx="34">
                  <c:v>171.69999999999996</c:v>
                </c:pt>
                <c:pt idx="35">
                  <c:v>208.79999999999995</c:v>
                </c:pt>
                <c:pt idx="36">
                  <c:v>259.89999999999998</c:v>
                </c:pt>
                <c:pt idx="37">
                  <c:v>197.7</c:v>
                </c:pt>
                <c:pt idx="38">
                  <c:v>150.89999999999998</c:v>
                </c:pt>
                <c:pt idx="39">
                  <c:v>144.69999999999999</c:v>
                </c:pt>
                <c:pt idx="40">
                  <c:v>232.7</c:v>
                </c:pt>
                <c:pt idx="41">
                  <c:v>263.3</c:v>
                </c:pt>
                <c:pt idx="42">
                  <c:v>253.10000000000002</c:v>
                </c:pt>
                <c:pt idx="43">
                  <c:v>281.90000000000003</c:v>
                </c:pt>
                <c:pt idx="44">
                  <c:v>275.70000000000005</c:v>
                </c:pt>
                <c:pt idx="45">
                  <c:v>224.80000000000004</c:v>
                </c:pt>
                <c:pt idx="46">
                  <c:v>260.00000000000006</c:v>
                </c:pt>
                <c:pt idx="47">
                  <c:v>233.20000000000005</c:v>
                </c:pt>
                <c:pt idx="48">
                  <c:v>174.40000000000003</c:v>
                </c:pt>
                <c:pt idx="49">
                  <c:v>116.60000000000004</c:v>
                </c:pt>
                <c:pt idx="50">
                  <c:v>55.900000000000034</c:v>
                </c:pt>
                <c:pt idx="51">
                  <c:v>55.900000000000034</c:v>
                </c:pt>
                <c:pt idx="52">
                  <c:v>101.10000000000004</c:v>
                </c:pt>
                <c:pt idx="53">
                  <c:v>145.80000000000004</c:v>
                </c:pt>
                <c:pt idx="54">
                  <c:v>193.00000000000006</c:v>
                </c:pt>
                <c:pt idx="55">
                  <c:v>133.60000000000005</c:v>
                </c:pt>
                <c:pt idx="56">
                  <c:v>133.60000000000005</c:v>
                </c:pt>
                <c:pt idx="57">
                  <c:v>132.90000000000006</c:v>
                </c:pt>
                <c:pt idx="58">
                  <c:v>99.000000000000057</c:v>
                </c:pt>
                <c:pt idx="59">
                  <c:v>157.90000000000006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6-42D3-8C46-0B7AFE967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3000</c:v>
                </c:pt>
                <c:pt idx="1">
                  <c:v>-758.4905660377359</c:v>
                </c:pt>
                <c:pt idx="2">
                  <c:v>-1570</c:v>
                </c:pt>
                <c:pt idx="3">
                  <c:v>59.574468085106382</c:v>
                </c:pt>
                <c:pt idx="4">
                  <c:v>-242.85714285714286</c:v>
                </c:pt>
                <c:pt idx="5">
                  <c:v>918.42105263157896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FC-4FBF-8430-648EF9E83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8</c:v>
                </c:pt>
                <c:pt idx="1">
                  <c:v>12</c:v>
                </c:pt>
                <c:pt idx="2">
                  <c:v>20</c:v>
                </c:pt>
                <c:pt idx="3">
                  <c:v>41</c:v>
                </c:pt>
                <c:pt idx="4">
                  <c:v>22</c:v>
                </c:pt>
                <c:pt idx="5">
                  <c:v>14</c:v>
                </c:pt>
                <c:pt idx="6">
                  <c:v>5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7-45B1-B572-39BF86C5F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れんたろう!$M$2:$M$61</c:f>
              <c:numCache>
                <c:formatCode>0</c:formatCode>
                <c:ptCount val="60"/>
                <c:pt idx="0">
                  <c:v>1605.0170841089816</c:v>
                </c:pt>
                <c:pt idx="1">
                  <c:v>1613.4949816043277</c:v>
                </c:pt>
                <c:pt idx="2">
                  <c:v>1614.1280117147016</c:v>
                </c:pt>
                <c:pt idx="3">
                  <c:v>1613.1372436444135</c:v>
                </c:pt>
                <c:pt idx="4">
                  <c:v>1609.3264201825471</c:v>
                </c:pt>
                <c:pt idx="5">
                  <c:v>1609.8584616614519</c:v>
                </c:pt>
                <c:pt idx="6">
                  <c:v>1604.6813108914832</c:v>
                </c:pt>
                <c:pt idx="7">
                  <c:v>1604.7732230261342</c:v>
                </c:pt>
                <c:pt idx="8">
                  <c:v>1614.3145836879773</c:v>
                </c:pt>
                <c:pt idx="9">
                  <c:v>1613.3226961858495</c:v>
                </c:pt>
                <c:pt idx="10">
                  <c:v>1617.9527600087345</c:v>
                </c:pt>
                <c:pt idx="11">
                  <c:v>1610.9630434486821</c:v>
                </c:pt>
                <c:pt idx="12">
                  <c:v>1620.6112651879901</c:v>
                </c:pt>
                <c:pt idx="13">
                  <c:v>1629.229597596862</c:v>
                </c:pt>
                <c:pt idx="14">
                  <c:v>1635.1502200112809</c:v>
                </c:pt>
                <c:pt idx="15">
                  <c:v>1635.3293186912133</c:v>
                </c:pt>
                <c:pt idx="16">
                  <c:v>1648.287342779066</c:v>
                </c:pt>
                <c:pt idx="17">
                  <c:v>1647.7576187223915</c:v>
                </c:pt>
                <c:pt idx="18">
                  <c:v>1648.4970730100572</c:v>
                </c:pt>
                <c:pt idx="19">
                  <c:v>1649.8380905719969</c:v>
                </c:pt>
                <c:pt idx="20">
                  <c:v>1640.3050620285649</c:v>
                </c:pt>
                <c:pt idx="21">
                  <c:v>1644.8812316563935</c:v>
                </c:pt>
                <c:pt idx="22">
                  <c:v>1635.0179442664553</c:v>
                </c:pt>
                <c:pt idx="23">
                  <c:v>1645.6378366008566</c:v>
                </c:pt>
                <c:pt idx="24">
                  <c:v>1645.3460095812516</c:v>
                </c:pt>
                <c:pt idx="25">
                  <c:v>1647.2639335237641</c:v>
                </c:pt>
                <c:pt idx="26">
                  <c:v>1636.7323499226216</c:v>
                </c:pt>
                <c:pt idx="27">
                  <c:v>1650.8879558230858</c:v>
                </c:pt>
                <c:pt idx="28">
                  <c:v>1650.4146280881473</c:v>
                </c:pt>
                <c:pt idx="29">
                  <c:v>1641.1061403196184</c:v>
                </c:pt>
                <c:pt idx="30">
                  <c:v>1630.8635034777008</c:v>
                </c:pt>
                <c:pt idx="31">
                  <c:v>1636.7923224568347</c:v>
                </c:pt>
                <c:pt idx="32">
                  <c:v>1626.0475685220936</c:v>
                </c:pt>
                <c:pt idx="33">
                  <c:v>1633.325283110961</c:v>
                </c:pt>
                <c:pt idx="34">
                  <c:v>1632.5313314122952</c:v>
                </c:pt>
                <c:pt idx="35">
                  <c:v>1639.0621434238215</c:v>
                </c:pt>
                <c:pt idx="36">
                  <c:v>1648.3617705632785</c:v>
                </c:pt>
                <c:pt idx="37">
                  <c:v>1636.4855999398987</c:v>
                </c:pt>
                <c:pt idx="38">
                  <c:v>1627.8906863402594</c:v>
                </c:pt>
                <c:pt idx="39">
                  <c:v>1626.6553422222178</c:v>
                </c:pt>
                <c:pt idx="40">
                  <c:v>1642.3834101688844</c:v>
                </c:pt>
                <c:pt idx="41">
                  <c:v>1647.6851097078711</c:v>
                </c:pt>
                <c:pt idx="42">
                  <c:v>1645.6109990496238</c:v>
                </c:pt>
                <c:pt idx="43">
                  <c:v>1650.5693330553261</c:v>
                </c:pt>
                <c:pt idx="44">
                  <c:v>1649.1979170569941</c:v>
                </c:pt>
                <c:pt idx="45">
                  <c:v>1639.7887295546523</c:v>
                </c:pt>
                <c:pt idx="46">
                  <c:v>1645.9339971773243</c:v>
                </c:pt>
                <c:pt idx="47">
                  <c:v>1640.8823931942604</c:v>
                </c:pt>
                <c:pt idx="48">
                  <c:v>1630.1010988350949</c:v>
                </c:pt>
                <c:pt idx="49">
                  <c:v>1619.5644922420843</c:v>
                </c:pt>
                <c:pt idx="50">
                  <c:v>1608.5691052886318</c:v>
                </c:pt>
                <c:pt idx="51">
                  <c:v>1608.5656906569</c:v>
                </c:pt>
                <c:pt idx="52">
                  <c:v>1616.2182965129587</c:v>
                </c:pt>
                <c:pt idx="53">
                  <c:v>1623.7289867338809</c:v>
                </c:pt>
                <c:pt idx="54">
                  <c:v>1632.4186128134777</c:v>
                </c:pt>
                <c:pt idx="55">
                  <c:v>1621.1181011365968</c:v>
                </c:pt>
                <c:pt idx="56">
                  <c:v>1621.0213925297771</c:v>
                </c:pt>
                <c:pt idx="57">
                  <c:v>1620.3372641745984</c:v>
                </c:pt>
                <c:pt idx="58">
                  <c:v>1614.1552405895509</c:v>
                </c:pt>
                <c:pt idx="59">
                  <c:v>1624.1863091460136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AF-4D7B-B6F3-A9272A007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だいち!$L$2:$L$75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-4.5999999999999996</c:v>
                </c:pt>
                <c:pt idx="2">
                  <c:v>42.6</c:v>
                </c:pt>
                <c:pt idx="3">
                  <c:v>64.400000000000006</c:v>
                </c:pt>
                <c:pt idx="4">
                  <c:v>82.4</c:v>
                </c:pt>
                <c:pt idx="5">
                  <c:v>99.300000000000011</c:v>
                </c:pt>
                <c:pt idx="6">
                  <c:v>175.8</c:v>
                </c:pt>
                <c:pt idx="7">
                  <c:v>124.60000000000001</c:v>
                </c:pt>
                <c:pt idx="8">
                  <c:v>86.300000000000011</c:v>
                </c:pt>
                <c:pt idx="9">
                  <c:v>65.100000000000009</c:v>
                </c:pt>
                <c:pt idx="10">
                  <c:v>60.500000000000007</c:v>
                </c:pt>
                <c:pt idx="11">
                  <c:v>41.100000000000009</c:v>
                </c:pt>
                <c:pt idx="12">
                  <c:v>98.9</c:v>
                </c:pt>
                <c:pt idx="13">
                  <c:v>119.10000000000001</c:v>
                </c:pt>
                <c:pt idx="14">
                  <c:v>162.4</c:v>
                </c:pt>
                <c:pt idx="15">
                  <c:v>219.2</c:v>
                </c:pt>
                <c:pt idx="16">
                  <c:v>207.6</c:v>
                </c:pt>
                <c:pt idx="17">
                  <c:v>209.2</c:v>
                </c:pt>
                <c:pt idx="18">
                  <c:v>194.39999999999998</c:v>
                </c:pt>
                <c:pt idx="19">
                  <c:v>216.79999999999998</c:v>
                </c:pt>
                <c:pt idx="20">
                  <c:v>215.6</c:v>
                </c:pt>
                <c:pt idx="21">
                  <c:v>252.8</c:v>
                </c:pt>
                <c:pt idx="22">
                  <c:v>250.60000000000002</c:v>
                </c:pt>
                <c:pt idx="23">
                  <c:v>262.3</c:v>
                </c:pt>
                <c:pt idx="24">
                  <c:v>261.60000000000002</c:v>
                </c:pt>
                <c:pt idx="25">
                  <c:v>261.60000000000002</c:v>
                </c:pt>
                <c:pt idx="26">
                  <c:v>212.8</c:v>
                </c:pt>
                <c:pt idx="27">
                  <c:v>189.70000000000002</c:v>
                </c:pt>
                <c:pt idx="28">
                  <c:v>219.4</c:v>
                </c:pt>
                <c:pt idx="29">
                  <c:v>252.3</c:v>
                </c:pt>
                <c:pt idx="30">
                  <c:v>258.2</c:v>
                </c:pt>
                <c:pt idx="31">
                  <c:v>230.79999999999998</c:v>
                </c:pt>
                <c:pt idx="32">
                  <c:v>304.29999999999995</c:v>
                </c:pt>
                <c:pt idx="33">
                  <c:v>304.49999999999994</c:v>
                </c:pt>
                <c:pt idx="34">
                  <c:v>372.49999999999994</c:v>
                </c:pt>
                <c:pt idx="35">
                  <c:v>317.99999999999994</c:v>
                </c:pt>
                <c:pt idx="36">
                  <c:v>358.59999999999997</c:v>
                </c:pt>
                <c:pt idx="37">
                  <c:v>342.59999999999997</c:v>
                </c:pt>
                <c:pt idx="38">
                  <c:v>310.7</c:v>
                </c:pt>
                <c:pt idx="39">
                  <c:v>297.5</c:v>
                </c:pt>
                <c:pt idx="40">
                  <c:v>349.3</c:v>
                </c:pt>
                <c:pt idx="41">
                  <c:v>342.8</c:v>
                </c:pt>
                <c:pt idx="42">
                  <c:v>341.5</c:v>
                </c:pt>
                <c:pt idx="43">
                  <c:v>306.5</c:v>
                </c:pt>
                <c:pt idx="44">
                  <c:v>352.7</c:v>
                </c:pt>
                <c:pt idx="45">
                  <c:v>333.09999999999997</c:v>
                </c:pt>
                <c:pt idx="46">
                  <c:v>368.2</c:v>
                </c:pt>
                <c:pt idx="47">
                  <c:v>289.2</c:v>
                </c:pt>
                <c:pt idx="48">
                  <c:v>333.5</c:v>
                </c:pt>
                <c:pt idx="49">
                  <c:v>302.10000000000002</c:v>
                </c:pt>
                <c:pt idx="50">
                  <c:v>358.5</c:v>
                </c:pt>
                <c:pt idx="51">
                  <c:v>402.7</c:v>
                </c:pt>
                <c:pt idx="52">
                  <c:v>411.8</c:v>
                </c:pt>
                <c:pt idx="53">
                  <c:v>354.90000000000003</c:v>
                </c:pt>
                <c:pt idx="54">
                  <c:v>366.90000000000003</c:v>
                </c:pt>
                <c:pt idx="55">
                  <c:v>305.60000000000002</c:v>
                </c:pt>
                <c:pt idx="56">
                  <c:v>242.10000000000002</c:v>
                </c:pt>
                <c:pt idx="57">
                  <c:v>211.60000000000002</c:v>
                </c:pt>
                <c:pt idx="58">
                  <c:v>267.3</c:v>
                </c:pt>
                <c:pt idx="59">
                  <c:v>271.3</c:v>
                </c:pt>
                <c:pt idx="60">
                  <c:v>308.10000000000002</c:v>
                </c:pt>
                <c:pt idx="61">
                  <c:v>364.1</c:v>
                </c:pt>
                <c:pt idx="62">
                  <c:v>363.20000000000005</c:v>
                </c:pt>
                <c:pt idx="63">
                  <c:v>392.80000000000007</c:v>
                </c:pt>
                <c:pt idx="64">
                  <c:v>385.50000000000006</c:v>
                </c:pt>
                <c:pt idx="65">
                  <c:v>428.40000000000003</c:v>
                </c:pt>
                <c:pt idx="66">
                  <c:v>514</c:v>
                </c:pt>
                <c:pt idx="67">
                  <c:v>490.6</c:v>
                </c:pt>
                <c:pt idx="68">
                  <c:v>499.5</c:v>
                </c:pt>
                <c:pt idx="69">
                  <c:v>560.1</c:v>
                </c:pt>
                <c:pt idx="70">
                  <c:v>503.3</c:v>
                </c:pt>
                <c:pt idx="71">
                  <c:v>561.9</c:v>
                </c:pt>
                <c:pt idx="72">
                  <c:v>602.9</c:v>
                </c:pt>
                <c:pt idx="73">
                  <c:v>719.3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9E-4379-B6D7-D3EA32462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2154.1666666666665</c:v>
                </c:pt>
                <c:pt idx="1">
                  <c:v>2420.5882352941176</c:v>
                </c:pt>
                <c:pt idx="2">
                  <c:v>1177.2727272727273</c:v>
                </c:pt>
                <c:pt idx="3">
                  <c:v>462.29508196721309</c:v>
                </c:pt>
                <c:pt idx="4">
                  <c:v>364.91228070175441</c:v>
                </c:pt>
                <c:pt idx="5">
                  <c:v>1318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F4-4E0F-89FA-4B83DC96F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27</c:v>
                </c:pt>
                <c:pt idx="2">
                  <c:v>41</c:v>
                </c:pt>
                <c:pt idx="3">
                  <c:v>47</c:v>
                </c:pt>
                <c:pt idx="4">
                  <c:v>35</c:v>
                </c:pt>
                <c:pt idx="5">
                  <c:v>18</c:v>
                </c:pt>
                <c:pt idx="6">
                  <c:v>12</c:v>
                </c:pt>
                <c:pt idx="7">
                  <c:v>4</c:v>
                </c:pt>
                <c:pt idx="8">
                  <c:v>6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1-4490-9C5E-6BE8BC54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だいち!$M$2:$M$75</c:f>
              <c:numCache>
                <c:formatCode>0</c:formatCode>
                <c:ptCount val="74"/>
                <c:pt idx="0">
                  <c:v>1758.0662353696366</c:v>
                </c:pt>
                <c:pt idx="1">
                  <c:v>1755.6898379574188</c:v>
                </c:pt>
                <c:pt idx="2">
                  <c:v>1763.2996989296744</c:v>
                </c:pt>
                <c:pt idx="3">
                  <c:v>1766.2919007360963</c:v>
                </c:pt>
                <c:pt idx="4">
                  <c:v>1768.6901493316798</c:v>
                </c:pt>
                <c:pt idx="5">
                  <c:v>1771.0920084356896</c:v>
                </c:pt>
                <c:pt idx="6">
                  <c:v>1784.2074563850756</c:v>
                </c:pt>
                <c:pt idx="7">
                  <c:v>1774.2582116467652</c:v>
                </c:pt>
                <c:pt idx="8">
                  <c:v>1766.6906623768846</c:v>
                </c:pt>
                <c:pt idx="9">
                  <c:v>1762.2465184026232</c:v>
                </c:pt>
                <c:pt idx="10">
                  <c:v>1760.5890392922074</c:v>
                </c:pt>
                <c:pt idx="11">
                  <c:v>1756.0315050564541</c:v>
                </c:pt>
                <c:pt idx="12">
                  <c:v>1765.3973160261153</c:v>
                </c:pt>
                <c:pt idx="13">
                  <c:v>1767.9389321299586</c:v>
                </c:pt>
                <c:pt idx="14">
                  <c:v>1774.6232985371789</c:v>
                </c:pt>
                <c:pt idx="15">
                  <c:v>1783.6975587459558</c:v>
                </c:pt>
                <c:pt idx="16">
                  <c:v>1780.40537339348</c:v>
                </c:pt>
                <c:pt idx="17">
                  <c:v>1779.5089411531192</c:v>
                </c:pt>
                <c:pt idx="18">
                  <c:v>1775.6658875062005</c:v>
                </c:pt>
                <c:pt idx="19">
                  <c:v>1778.5418921811633</c:v>
                </c:pt>
                <c:pt idx="20">
                  <c:v>1777.6446408280763</c:v>
                </c:pt>
                <c:pt idx="21">
                  <c:v>1783.6647729831077</c:v>
                </c:pt>
                <c:pt idx="22">
                  <c:v>1782.5567843452091</c:v>
                </c:pt>
                <c:pt idx="23">
                  <c:v>1783.9574436391379</c:v>
                </c:pt>
                <c:pt idx="24">
                  <c:v>1783.117698977303</c:v>
                </c:pt>
                <c:pt idx="25">
                  <c:v>1782.4089927834391</c:v>
                </c:pt>
                <c:pt idx="26">
                  <c:v>1772.9205388267385</c:v>
                </c:pt>
                <c:pt idx="27">
                  <c:v>1767.701015593778</c:v>
                </c:pt>
                <c:pt idx="28">
                  <c:v>1772.0228095002153</c:v>
                </c:pt>
                <c:pt idx="29">
                  <c:v>1776.888672643214</c:v>
                </c:pt>
                <c:pt idx="30">
                  <c:v>1776.8713406073548</c:v>
                </c:pt>
                <c:pt idx="31">
                  <c:v>1770.8541125637107</c:v>
                </c:pt>
                <c:pt idx="32">
                  <c:v>1783.0409878883283</c:v>
                </c:pt>
                <c:pt idx="33">
                  <c:v>1781.9547419609983</c:v>
                </c:pt>
                <c:pt idx="34">
                  <c:v>1793.0850135092323</c:v>
                </c:pt>
                <c:pt idx="35">
                  <c:v>1782.092503428177</c:v>
                </c:pt>
                <c:pt idx="36">
                  <c:v>1788.283948407608</c:v>
                </c:pt>
                <c:pt idx="37">
                  <c:v>1784.2502447171623</c:v>
                </c:pt>
                <c:pt idx="38">
                  <c:v>1777.3787432488593</c:v>
                </c:pt>
                <c:pt idx="39">
                  <c:v>1773.9144707893661</c:v>
                </c:pt>
                <c:pt idx="40">
                  <c:v>1782.1709839646298</c:v>
                </c:pt>
                <c:pt idx="41">
                  <c:v>1779.8839580608421</c:v>
                </c:pt>
                <c:pt idx="42">
                  <c:v>1778.6786543124772</c:v>
                </c:pt>
                <c:pt idx="43">
                  <c:v>1771.1805823866023</c:v>
                </c:pt>
                <c:pt idx="44">
                  <c:v>1778.3434988922827</c:v>
                </c:pt>
                <c:pt idx="45">
                  <c:v>1773.6194378989289</c:v>
                </c:pt>
                <c:pt idx="46">
                  <c:v>1778.7697212715354</c:v>
                </c:pt>
                <c:pt idx="47">
                  <c:v>1763.3511029439062</c:v>
                </c:pt>
                <c:pt idx="48">
                  <c:v>1770.2189963262429</c:v>
                </c:pt>
                <c:pt idx="49">
                  <c:v>1763.4196823482855</c:v>
                </c:pt>
                <c:pt idx="50">
                  <c:v>1772.4651642541958</c:v>
                </c:pt>
                <c:pt idx="51">
                  <c:v>1779.2603732686705</c:v>
                </c:pt>
                <c:pt idx="52">
                  <c:v>1779.8708110290584</c:v>
                </c:pt>
                <c:pt idx="53">
                  <c:v>1768.885586162884</c:v>
                </c:pt>
                <c:pt idx="54">
                  <c:v>1770.0802726459067</c:v>
                </c:pt>
                <c:pt idx="55">
                  <c:v>1758.0737910100313</c:v>
                </c:pt>
                <c:pt idx="56">
                  <c:v>1745.743348263971</c:v>
                </c:pt>
                <c:pt idx="57">
                  <c:v>1739.4268881743872</c:v>
                </c:pt>
                <c:pt idx="58">
                  <c:v>1748.6643268453408</c:v>
                </c:pt>
                <c:pt idx="59">
                  <c:v>1748.5403408842687</c:v>
                </c:pt>
                <c:pt idx="60">
                  <c:v>1754.3210988389631</c:v>
                </c:pt>
                <c:pt idx="61">
                  <c:v>1763.5231722459293</c:v>
                </c:pt>
                <c:pt idx="62">
                  <c:v>1762.4280332124538</c:v>
                </c:pt>
                <c:pt idx="63">
                  <c:v>1766.8294650131791</c:v>
                </c:pt>
                <c:pt idx="64">
                  <c:v>1764.5624882231</c:v>
                </c:pt>
                <c:pt idx="65">
                  <c:v>1771.3451132937614</c:v>
                </c:pt>
                <c:pt idx="66">
                  <c:v>1785.7730426139988</c:v>
                </c:pt>
                <c:pt idx="67">
                  <c:v>1780.4944043583148</c:v>
                </c:pt>
                <c:pt idx="68">
                  <c:v>1780.9414379321649</c:v>
                </c:pt>
                <c:pt idx="69">
                  <c:v>1790.691789304572</c:v>
                </c:pt>
                <c:pt idx="70">
                  <c:v>1779.6596385687446</c:v>
                </c:pt>
                <c:pt idx="71">
                  <c:v>1789.1596807373321</c:v>
                </c:pt>
                <c:pt idx="72">
                  <c:v>1795.4467226529082</c:v>
                </c:pt>
                <c:pt idx="73">
                  <c:v>1815.1420423169907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D-4C9F-B83C-28D4C395B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-46</c:v>
                </c:pt>
                <c:pt idx="2">
                  <c:v>-96.9</c:v>
                </c:pt>
                <c:pt idx="3">
                  <c:v>-113.4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82-4F1A-B56C-2962CB91B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-7666.666666666667</c:v>
                </c:pt>
                <c:pt idx="1">
                  <c:v>-12733.333333333334</c:v>
                </c:pt>
                <c:pt idx="2">
                  <c:v>-5200</c:v>
                </c:pt>
                <c:pt idx="3">
                  <c:v>-1900</c:v>
                </c:pt>
                <c:pt idx="4">
                  <c:v>-4000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D-4685-9B6A-9067FB49C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C-42EB-81F5-924F59EA7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ともき!$M$2:$M$5</c:f>
              <c:numCache>
                <c:formatCode>0</c:formatCode>
                <c:ptCount val="4"/>
                <c:pt idx="0">
                  <c:v>1463.4239467393418</c:v>
                </c:pt>
                <c:pt idx="1">
                  <c:v>1455.3634030589058</c:v>
                </c:pt>
                <c:pt idx="2">
                  <c:v>1447.1172226405524</c:v>
                </c:pt>
                <c:pt idx="3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B-4979-A073-B55E6340C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ただ!$L$2:$L$49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3.6</c:v>
                </c:pt>
                <c:pt idx="2">
                  <c:v>-14.500000000000002</c:v>
                </c:pt>
                <c:pt idx="3">
                  <c:v>-60.5</c:v>
                </c:pt>
                <c:pt idx="4">
                  <c:v>-7.8999999999999986</c:v>
                </c:pt>
                <c:pt idx="5">
                  <c:v>-20.7</c:v>
                </c:pt>
                <c:pt idx="6">
                  <c:v>7.6000000000000014</c:v>
                </c:pt>
                <c:pt idx="7">
                  <c:v>36.5</c:v>
                </c:pt>
                <c:pt idx="8">
                  <c:v>35.9</c:v>
                </c:pt>
                <c:pt idx="9">
                  <c:v>-3.3000000000000043</c:v>
                </c:pt>
                <c:pt idx="10">
                  <c:v>-0.90000000000000435</c:v>
                </c:pt>
                <c:pt idx="11">
                  <c:v>-3.4000000000000044</c:v>
                </c:pt>
                <c:pt idx="12">
                  <c:v>-12.700000000000005</c:v>
                </c:pt>
                <c:pt idx="13">
                  <c:v>-58.7</c:v>
                </c:pt>
                <c:pt idx="14">
                  <c:v>-32.700000000000003</c:v>
                </c:pt>
                <c:pt idx="15">
                  <c:v>10.699999999999996</c:v>
                </c:pt>
                <c:pt idx="16">
                  <c:v>-22.000000000000007</c:v>
                </c:pt>
                <c:pt idx="17">
                  <c:v>-44.800000000000011</c:v>
                </c:pt>
                <c:pt idx="18">
                  <c:v>-41.600000000000009</c:v>
                </c:pt>
                <c:pt idx="19">
                  <c:v>-91.200000000000017</c:v>
                </c:pt>
                <c:pt idx="20">
                  <c:v>-149.30000000000001</c:v>
                </c:pt>
                <c:pt idx="21">
                  <c:v>-180.3</c:v>
                </c:pt>
                <c:pt idx="22">
                  <c:v>-180.3</c:v>
                </c:pt>
                <c:pt idx="23">
                  <c:v>-202.5</c:v>
                </c:pt>
                <c:pt idx="24">
                  <c:v>-239.5</c:v>
                </c:pt>
                <c:pt idx="25">
                  <c:v>-242.5</c:v>
                </c:pt>
                <c:pt idx="26">
                  <c:v>-278.5</c:v>
                </c:pt>
                <c:pt idx="27">
                  <c:v>-202</c:v>
                </c:pt>
                <c:pt idx="28">
                  <c:v>-208.1</c:v>
                </c:pt>
                <c:pt idx="29">
                  <c:v>-256.8</c:v>
                </c:pt>
                <c:pt idx="30">
                  <c:v>-312.90000000000003</c:v>
                </c:pt>
                <c:pt idx="31">
                  <c:v>-284.60000000000002</c:v>
                </c:pt>
                <c:pt idx="32">
                  <c:v>-296.60000000000002</c:v>
                </c:pt>
                <c:pt idx="33">
                  <c:v>-331.20000000000005</c:v>
                </c:pt>
                <c:pt idx="34">
                  <c:v>-250.00000000000006</c:v>
                </c:pt>
                <c:pt idx="35">
                  <c:v>-295.20000000000005</c:v>
                </c:pt>
                <c:pt idx="36">
                  <c:v>-345.20000000000005</c:v>
                </c:pt>
                <c:pt idx="37">
                  <c:v>-339.40000000000003</c:v>
                </c:pt>
                <c:pt idx="38">
                  <c:v>-346.20000000000005</c:v>
                </c:pt>
                <c:pt idx="39">
                  <c:v>-299.50000000000006</c:v>
                </c:pt>
                <c:pt idx="40">
                  <c:v>-302.20000000000005</c:v>
                </c:pt>
                <c:pt idx="41">
                  <c:v>-312.90000000000003</c:v>
                </c:pt>
                <c:pt idx="42">
                  <c:v>-324.00000000000006</c:v>
                </c:pt>
                <c:pt idx="43">
                  <c:v>-314.40000000000003</c:v>
                </c:pt>
                <c:pt idx="44">
                  <c:v>-300.3</c:v>
                </c:pt>
                <c:pt idx="45">
                  <c:v>-324.7</c:v>
                </c:pt>
                <c:pt idx="46">
                  <c:v>-340.5</c:v>
                </c:pt>
                <c:pt idx="47">
                  <c:v>-344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1-4068-B955-141BA2622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-2208.695652173913</c:v>
                </c:pt>
                <c:pt idx="1">
                  <c:v>-1433.3333333333333</c:v>
                </c:pt>
                <c:pt idx="2">
                  <c:v>-1130.2325581395348</c:v>
                </c:pt>
                <c:pt idx="3">
                  <c:v>-1041.4634146341464</c:v>
                </c:pt>
                <c:pt idx="4">
                  <c:v>2286.1111111111113</c:v>
                </c:pt>
                <c:pt idx="5">
                  <c:v>-1412.9032258064517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B4-4813-9648-CC63DCD9B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22</c:v>
                </c:pt>
                <c:pt idx="3">
                  <c:v>18</c:v>
                </c:pt>
                <c:pt idx="4">
                  <c:v>12</c:v>
                </c:pt>
                <c:pt idx="5">
                  <c:v>7</c:v>
                </c:pt>
                <c:pt idx="6">
                  <c:v>5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2-4E3C-9B67-427DDA06C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ただ!$M$2:$M$49</c:f>
              <c:numCache>
                <c:formatCode>0</c:formatCode>
                <c:ptCount val="48"/>
                <c:pt idx="0">
                  <c:v>1606.4452616651972</c:v>
                </c:pt>
                <c:pt idx="1">
                  <c:v>1607.210590095206</c:v>
                </c:pt>
                <c:pt idx="2">
                  <c:v>1604.2813265546349</c:v>
                </c:pt>
                <c:pt idx="3">
                  <c:v>1596.3476385953072</c:v>
                </c:pt>
                <c:pt idx="4">
                  <c:v>1606.2095527637355</c:v>
                </c:pt>
                <c:pt idx="5">
                  <c:v>1604.2402954471531</c:v>
                </c:pt>
                <c:pt idx="6">
                  <c:v>1609.6808536744702</c:v>
                </c:pt>
                <c:pt idx="7">
                  <c:v>1614.9687685524234</c:v>
                </c:pt>
                <c:pt idx="8">
                  <c:v>1614.6689559411088</c:v>
                </c:pt>
                <c:pt idx="9">
                  <c:v>1607.4229422054623</c:v>
                </c:pt>
                <c:pt idx="10">
                  <c:v>1607.7084045522295</c:v>
                </c:pt>
                <c:pt idx="11">
                  <c:v>1607.1101541249161</c:v>
                </c:pt>
                <c:pt idx="12">
                  <c:v>1605.2914932001665</c:v>
                </c:pt>
                <c:pt idx="13">
                  <c:v>1596.8777442409655</c:v>
                </c:pt>
                <c:pt idx="14">
                  <c:v>1601.4744777755197</c:v>
                </c:pt>
                <c:pt idx="15">
                  <c:v>1609.1756309088667</c:v>
                </c:pt>
                <c:pt idx="16">
                  <c:v>1603.1325771234135</c:v>
                </c:pt>
                <c:pt idx="17">
                  <c:v>1599.3997816606729</c:v>
                </c:pt>
                <c:pt idx="18">
                  <c:v>1600.369382970709</c:v>
                </c:pt>
                <c:pt idx="19">
                  <c:v>1591.8291666728849</c:v>
                </c:pt>
                <c:pt idx="20">
                  <c:v>1581.8101916728476</c:v>
                </c:pt>
                <c:pt idx="21">
                  <c:v>1576.7293305228106</c:v>
                </c:pt>
                <c:pt idx="22">
                  <c:v>1577.2589545396738</c:v>
                </c:pt>
                <c:pt idx="23">
                  <c:v>1573.7894008124358</c:v>
                </c:pt>
                <c:pt idx="24">
                  <c:v>1567.3946644075611</c:v>
                </c:pt>
                <c:pt idx="25">
                  <c:v>1566.9242964211157</c:v>
                </c:pt>
                <c:pt idx="26">
                  <c:v>1560.5167506425892</c:v>
                </c:pt>
                <c:pt idx="27">
                  <c:v>1574.3976501387335</c:v>
                </c:pt>
                <c:pt idx="28">
                  <c:v>1573.3272642379011</c:v>
                </c:pt>
                <c:pt idx="29">
                  <c:v>1564.5953006524737</c:v>
                </c:pt>
                <c:pt idx="30">
                  <c:v>1554.5837288485588</c:v>
                </c:pt>
                <c:pt idx="31">
                  <c:v>1559.8242264754674</c:v>
                </c:pt>
                <c:pt idx="32">
                  <c:v>1557.7792811166146</c:v>
                </c:pt>
                <c:pt idx="33">
                  <c:v>1551.6786054299148</c:v>
                </c:pt>
                <c:pt idx="34">
                  <c:v>1566.1765337973352</c:v>
                </c:pt>
                <c:pt idx="35">
                  <c:v>1557.8294745945511</c:v>
                </c:pt>
                <c:pt idx="36">
                  <c:v>1548.6684977469838</c:v>
                </c:pt>
                <c:pt idx="37">
                  <c:v>1550.3564867605019</c:v>
                </c:pt>
                <c:pt idx="38">
                  <c:v>1549.0403478399389</c:v>
                </c:pt>
                <c:pt idx="39">
                  <c:v>1557.6801057528994</c:v>
                </c:pt>
                <c:pt idx="40">
                  <c:v>1557.3760251183819</c:v>
                </c:pt>
                <c:pt idx="41">
                  <c:v>1555.2737689676717</c:v>
                </c:pt>
                <c:pt idx="42">
                  <c:v>1553.1061263538656</c:v>
                </c:pt>
                <c:pt idx="43">
                  <c:v>1555.4514895957425</c:v>
                </c:pt>
                <c:pt idx="44">
                  <c:v>1557.8427806581681</c:v>
                </c:pt>
                <c:pt idx="45">
                  <c:v>1553.271723974219</c:v>
                </c:pt>
                <c:pt idx="46">
                  <c:v>1550.6240936303736</c:v>
                </c:pt>
                <c:pt idx="47">
                  <c:v>1549.8043490685914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74-43AB-83A2-DD2129BC4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-24.3</c:v>
                </c:pt>
                <c:pt idx="2">
                  <c:v>-4.3000000000000007</c:v>
                </c:pt>
                <c:pt idx="3">
                  <c:v>-22.900000000000002</c:v>
                </c:pt>
                <c:pt idx="4">
                  <c:v>-45.5</c:v>
                </c:pt>
                <c:pt idx="5">
                  <c:v>-86.3</c:v>
                </c:pt>
                <c:pt idx="6">
                  <c:v>-133.80000000000001</c:v>
                </c:pt>
                <c:pt idx="7">
                  <c:v>-76.200000000000017</c:v>
                </c:pt>
                <c:pt idx="8">
                  <c:v>-103.80000000000001</c:v>
                </c:pt>
                <c:pt idx="9">
                  <c:v>-132.4</c:v>
                </c:pt>
                <c:pt idx="10">
                  <c:v>-122.10000000000001</c:v>
                </c:pt>
                <c:pt idx="11">
                  <c:v>-97.800000000000011</c:v>
                </c:pt>
                <c:pt idx="12">
                  <c:v>-133.30000000000001</c:v>
                </c:pt>
                <c:pt idx="13">
                  <c:v>-175.4</c:v>
                </c:pt>
                <c:pt idx="14">
                  <c:v>-130.10000000000002</c:v>
                </c:pt>
                <c:pt idx="15">
                  <c:v>-129.60000000000002</c:v>
                </c:pt>
                <c:pt idx="16">
                  <c:v>-149.90000000000003</c:v>
                </c:pt>
                <c:pt idx="17">
                  <c:v>-210.40000000000003</c:v>
                </c:pt>
                <c:pt idx="18">
                  <c:v>-278.40000000000003</c:v>
                </c:pt>
                <c:pt idx="19">
                  <c:v>-236.20000000000005</c:v>
                </c:pt>
                <c:pt idx="20">
                  <c:v>-220.00000000000006</c:v>
                </c:pt>
                <c:pt idx="21">
                  <c:v>-284.00000000000006</c:v>
                </c:pt>
                <c:pt idx="22">
                  <c:v>-251.30000000000007</c:v>
                </c:pt>
                <c:pt idx="23">
                  <c:v>-188.20000000000007</c:v>
                </c:pt>
                <c:pt idx="24">
                  <c:v>-184.60000000000008</c:v>
                </c:pt>
                <c:pt idx="25">
                  <c:v>-212.20000000000007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5-4309-B9FD-6DFCE92CB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-6360</c:v>
                </c:pt>
                <c:pt idx="1">
                  <c:v>-2565.217391304348</c:v>
                </c:pt>
                <c:pt idx="2">
                  <c:v>1921.7391304347825</c:v>
                </c:pt>
                <c:pt idx="3">
                  <c:v>1413.6363636363637</c:v>
                </c:pt>
                <c:pt idx="4">
                  <c:v>-1509.5238095238096</c:v>
                </c:pt>
                <c:pt idx="5">
                  <c:v>1110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EC-420A-9CF1-A9251BEC1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8</c:v>
                </c:pt>
                <c:pt idx="3">
                  <c:v>13</c:v>
                </c:pt>
                <c:pt idx="4">
                  <c:v>11</c:v>
                </c:pt>
                <c:pt idx="5">
                  <c:v>8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DF-4DC2-957E-73D6DE53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りくと!$M$2:$M$27</c:f>
              <c:numCache>
                <c:formatCode>0</c:formatCode>
                <c:ptCount val="26"/>
                <c:pt idx="0">
                  <c:v>1377.1480089618358</c:v>
                </c:pt>
                <c:pt idx="1">
                  <c:v>1374.2551209080648</c:v>
                </c:pt>
                <c:pt idx="2">
                  <c:v>1379.1075901826164</c:v>
                </c:pt>
                <c:pt idx="3">
                  <c:v>1376.9829446415206</c:v>
                </c:pt>
                <c:pt idx="4">
                  <c:v>1374.1510469736716</c:v>
                </c:pt>
                <c:pt idx="5">
                  <c:v>1368.0601406918295</c:v>
                </c:pt>
                <c:pt idx="6">
                  <c:v>1360.7997798476786</c:v>
                </c:pt>
                <c:pt idx="7">
                  <c:v>1372.5009811685925</c:v>
                </c:pt>
                <c:pt idx="8">
                  <c:v>1368.7959752815809</c:v>
                </c:pt>
                <c:pt idx="9">
                  <c:v>1364.9331994298914</c:v>
                </c:pt>
                <c:pt idx="10">
                  <c:v>1368.0956002333121</c:v>
                </c:pt>
                <c:pt idx="11">
                  <c:v>1373.8370266319123</c:v>
                </c:pt>
                <c:pt idx="12">
                  <c:v>1368.7860044721208</c:v>
                </c:pt>
                <c:pt idx="13">
                  <c:v>1362.571288445288</c:v>
                </c:pt>
                <c:pt idx="14">
                  <c:v>1372.1318607146163</c:v>
                </c:pt>
                <c:pt idx="15">
                  <c:v>1373.5650695503286</c:v>
                </c:pt>
                <c:pt idx="16">
                  <c:v>1371.2516791330268</c:v>
                </c:pt>
                <c:pt idx="17">
                  <c:v>1361.7101690582285</c:v>
                </c:pt>
                <c:pt idx="18">
                  <c:v>1350.8819080438791</c:v>
                </c:pt>
                <c:pt idx="19">
                  <c:v>1359.9486165956159</c:v>
                </c:pt>
                <c:pt idx="20">
                  <c:v>1364.2809248960423</c:v>
                </c:pt>
                <c:pt idx="21">
                  <c:v>1354.151239346666</c:v>
                </c:pt>
                <c:pt idx="22">
                  <c:v>1361.4883319105859</c:v>
                </c:pt>
                <c:pt idx="23">
                  <c:v>1374.2534019191223</c:v>
                </c:pt>
                <c:pt idx="24">
                  <c:v>1376.2318815076076</c:v>
                </c:pt>
                <c:pt idx="25">
                  <c:v>1372.5824902185618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9A-4D21-B78A-5FEA66095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38.299999999999997</c:v>
                </c:pt>
                <c:pt idx="2">
                  <c:v>76.3</c:v>
                </c:pt>
                <c:pt idx="3">
                  <c:v>66.099999999999994</c:v>
                </c:pt>
                <c:pt idx="4">
                  <c:v>9.1999999999999957</c:v>
                </c:pt>
                <c:pt idx="5">
                  <c:v>-19.800000000000004</c:v>
                </c:pt>
                <c:pt idx="6">
                  <c:v>107.9</c:v>
                </c:pt>
                <c:pt idx="7">
                  <c:v>119.7</c:v>
                </c:pt>
                <c:pt idx="8">
                  <c:v>122.8</c:v>
                </c:pt>
                <c:pt idx="9">
                  <c:v>78.400000000000006</c:v>
                </c:pt>
                <c:pt idx="10">
                  <c:v>68.800000000000011</c:v>
                </c:pt>
                <c:pt idx="11">
                  <c:v>43.800000000000011</c:v>
                </c:pt>
                <c:pt idx="12">
                  <c:v>45.400000000000013</c:v>
                </c:pt>
                <c:pt idx="13">
                  <c:v>96.4</c:v>
                </c:pt>
                <c:pt idx="14">
                  <c:v>50.2</c:v>
                </c:pt>
                <c:pt idx="15">
                  <c:v>119.2</c:v>
                </c:pt>
                <c:pt idx="16">
                  <c:v>154</c:v>
                </c:pt>
                <c:pt idx="17">
                  <c:v>221.5</c:v>
                </c:pt>
                <c:pt idx="18">
                  <c:v>197</c:v>
                </c:pt>
                <c:pt idx="19">
                  <c:v>196.9</c:v>
                </c:pt>
                <c:pt idx="20">
                  <c:v>151.4</c:v>
                </c:pt>
                <c:pt idx="21">
                  <c:v>118.60000000000001</c:v>
                </c:pt>
                <c:pt idx="22">
                  <c:v>88</c:v>
                </c:pt>
                <c:pt idx="23">
                  <c:v>82.9</c:v>
                </c:pt>
                <c:pt idx="24">
                  <c:v>48.600000000000009</c:v>
                </c:pt>
                <c:pt idx="25">
                  <c:v>45.800000000000011</c:v>
                </c:pt>
                <c:pt idx="26">
                  <c:v>111.9</c:v>
                </c:pt>
                <c:pt idx="27">
                  <c:v>126.80000000000001</c:v>
                </c:pt>
                <c:pt idx="28">
                  <c:v>101.9</c:v>
                </c:pt>
                <c:pt idx="29">
                  <c:v>125.30000000000001</c:v>
                </c:pt>
                <c:pt idx="30">
                  <c:v>69.700000000000017</c:v>
                </c:pt>
                <c:pt idx="31">
                  <c:v>11.800000000000018</c:v>
                </c:pt>
                <c:pt idx="32">
                  <c:v>-22.699999999999982</c:v>
                </c:pt>
                <c:pt idx="33">
                  <c:v>-56.299999999999983</c:v>
                </c:pt>
                <c:pt idx="34">
                  <c:v>-10.999999999999986</c:v>
                </c:pt>
                <c:pt idx="35">
                  <c:v>-69.599999999999994</c:v>
                </c:pt>
                <c:pt idx="36">
                  <c:v>-44.499999999999993</c:v>
                </c:pt>
                <c:pt idx="37">
                  <c:v>-51.599999999999994</c:v>
                </c:pt>
                <c:pt idx="38">
                  <c:v>-152.19999999999999</c:v>
                </c:pt>
                <c:pt idx="39">
                  <c:v>-207.6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DC-4FC1-889E-FC52632DD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-1371.7948717948718</c:v>
                </c:pt>
                <c:pt idx="1">
                  <c:v>1202.7777777777778</c:v>
                </c:pt>
                <c:pt idx="2">
                  <c:v>417.14285714285717</c:v>
                </c:pt>
                <c:pt idx="3">
                  <c:v>-632.25806451612902</c:v>
                </c:pt>
                <c:pt idx="4">
                  <c:v>-1900</c:v>
                </c:pt>
                <c:pt idx="5">
                  <c:v>-2928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71-465F-8255-C50AE177B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0</c:v>
                </c:pt>
                <c:pt idx="1">
                  <c:v>16</c:v>
                </c:pt>
                <c:pt idx="2">
                  <c:v>13</c:v>
                </c:pt>
                <c:pt idx="3">
                  <c:v>18</c:v>
                </c:pt>
                <c:pt idx="4">
                  <c:v>13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70-455D-A49A-AFB86B6E8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ぱぱ!$M$2:$M$41</c:f>
              <c:numCache>
                <c:formatCode>0</c:formatCode>
                <c:ptCount val="40"/>
                <c:pt idx="0">
                  <c:v>1382.1789004547948</c:v>
                </c:pt>
                <c:pt idx="1">
                  <c:v>1390.487827052066</c:v>
                </c:pt>
                <c:pt idx="2">
                  <c:v>1398.4589000897536</c:v>
                </c:pt>
                <c:pt idx="3">
                  <c:v>1397.7061466892151</c:v>
                </c:pt>
                <c:pt idx="4">
                  <c:v>1388.5519098090797</c:v>
                </c:pt>
                <c:pt idx="5">
                  <c:v>1384.4745983502253</c:v>
                </c:pt>
                <c:pt idx="6">
                  <c:v>1408.6277507601239</c:v>
                </c:pt>
                <c:pt idx="7">
                  <c:v>1411.7739842555632</c:v>
                </c:pt>
                <c:pt idx="8">
                  <c:v>1413.3353403500298</c:v>
                </c:pt>
                <c:pt idx="9">
                  <c:v>1406.3373283079297</c:v>
                </c:pt>
                <c:pt idx="10">
                  <c:v>1405.6453043380823</c:v>
                </c:pt>
                <c:pt idx="11">
                  <c:v>1401.9034325120538</c:v>
                </c:pt>
                <c:pt idx="12">
                  <c:v>1402.9660119169814</c:v>
                </c:pt>
                <c:pt idx="13">
                  <c:v>1412.9142158454795</c:v>
                </c:pt>
                <c:pt idx="14">
                  <c:v>1405.7687305504066</c:v>
                </c:pt>
                <c:pt idx="15">
                  <c:v>1418.9641181671043</c:v>
                </c:pt>
                <c:pt idx="16">
                  <c:v>1426.3623334581016</c:v>
                </c:pt>
                <c:pt idx="17">
                  <c:v>1439.6021594573531</c:v>
                </c:pt>
                <c:pt idx="18">
                  <c:v>1436.2025465006091</c:v>
                </c:pt>
                <c:pt idx="19">
                  <c:v>1437.2153312216053</c:v>
                </c:pt>
                <c:pt idx="20">
                  <c:v>1430.0500392342756</c:v>
                </c:pt>
                <c:pt idx="21">
                  <c:v>1425.21373899887</c:v>
                </c:pt>
                <c:pt idx="22">
                  <c:v>1420.8024565648768</c:v>
                </c:pt>
                <c:pt idx="23">
                  <c:v>1421.0076418254876</c:v>
                </c:pt>
                <c:pt idx="24">
                  <c:v>1415.9555959745346</c:v>
                </c:pt>
                <c:pt idx="25">
                  <c:v>1416.6038623986874</c:v>
                </c:pt>
                <c:pt idx="26">
                  <c:v>1429.6502392242953</c:v>
                </c:pt>
                <c:pt idx="27">
                  <c:v>1433.4023377889496</c:v>
                </c:pt>
                <c:pt idx="28">
                  <c:v>1429.9679237622158</c:v>
                </c:pt>
                <c:pt idx="29">
                  <c:v>1435.2481162196425</c:v>
                </c:pt>
                <c:pt idx="30">
                  <c:v>1426.1566275223247</c:v>
                </c:pt>
                <c:pt idx="31">
                  <c:v>1416.7056877571908</c:v>
                </c:pt>
                <c:pt idx="32">
                  <c:v>1411.1634536306476</c:v>
                </c:pt>
                <c:pt idx="33">
                  <c:v>1405.8104729088636</c:v>
                </c:pt>
                <c:pt idx="34">
                  <c:v>1414.7156100714105</c:v>
                </c:pt>
                <c:pt idx="35">
                  <c:v>1405.3093164109821</c:v>
                </c:pt>
                <c:pt idx="36">
                  <c:v>1410.5634605125163</c:v>
                </c:pt>
                <c:pt idx="37">
                  <c:v>1410.4640797494412</c:v>
                </c:pt>
                <c:pt idx="38">
                  <c:v>1393.4092952709445</c:v>
                </c:pt>
                <c:pt idx="39">
                  <c:v>1384.1908394993188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A4-4105-8B69-8B4835ED1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ぱぱ2!$B$3:$B$42</c:f>
              <c:numCache>
                <c:formatCode>\+0.0;\-0.0;\±0</c:formatCode>
                <c:ptCount val="40"/>
                <c:pt idx="0">
                  <c:v>0</c:v>
                </c:pt>
                <c:pt idx="1">
                  <c:v>38.299999999999997</c:v>
                </c:pt>
                <c:pt idx="2">
                  <c:v>76.3</c:v>
                </c:pt>
                <c:pt idx="3">
                  <c:v>66.099999999999994</c:v>
                </c:pt>
                <c:pt idx="4">
                  <c:v>9.1999999999999957</c:v>
                </c:pt>
                <c:pt idx="5">
                  <c:v>-19.800000000000004</c:v>
                </c:pt>
                <c:pt idx="6">
                  <c:v>107.9</c:v>
                </c:pt>
                <c:pt idx="7">
                  <c:v>119.7</c:v>
                </c:pt>
                <c:pt idx="8">
                  <c:v>122.8</c:v>
                </c:pt>
                <c:pt idx="9">
                  <c:v>78.400000000000006</c:v>
                </c:pt>
                <c:pt idx="10">
                  <c:v>68.800000000000011</c:v>
                </c:pt>
                <c:pt idx="11">
                  <c:v>43.800000000000011</c:v>
                </c:pt>
                <c:pt idx="12">
                  <c:v>45.400000000000013</c:v>
                </c:pt>
                <c:pt idx="13">
                  <c:v>96.4</c:v>
                </c:pt>
                <c:pt idx="14">
                  <c:v>50.2</c:v>
                </c:pt>
                <c:pt idx="15">
                  <c:v>119.2</c:v>
                </c:pt>
                <c:pt idx="16">
                  <c:v>154</c:v>
                </c:pt>
                <c:pt idx="17">
                  <c:v>221.5</c:v>
                </c:pt>
                <c:pt idx="18">
                  <c:v>197</c:v>
                </c:pt>
                <c:pt idx="19">
                  <c:v>196.9</c:v>
                </c:pt>
                <c:pt idx="20">
                  <c:v>151.4</c:v>
                </c:pt>
                <c:pt idx="21">
                  <c:v>118.60000000000001</c:v>
                </c:pt>
                <c:pt idx="22">
                  <c:v>88</c:v>
                </c:pt>
                <c:pt idx="23">
                  <c:v>82.9</c:v>
                </c:pt>
                <c:pt idx="24">
                  <c:v>48.600000000000009</c:v>
                </c:pt>
                <c:pt idx="25">
                  <c:v>45.800000000000011</c:v>
                </c:pt>
                <c:pt idx="26">
                  <c:v>111.9</c:v>
                </c:pt>
                <c:pt idx="27">
                  <c:v>126.80000000000001</c:v>
                </c:pt>
                <c:pt idx="28">
                  <c:v>101.9</c:v>
                </c:pt>
                <c:pt idx="29">
                  <c:v>125.30000000000001</c:v>
                </c:pt>
                <c:pt idx="30">
                  <c:v>69.700000000000017</c:v>
                </c:pt>
                <c:pt idx="31">
                  <c:v>11.800000000000018</c:v>
                </c:pt>
                <c:pt idx="32">
                  <c:v>-22.699999999999982</c:v>
                </c:pt>
                <c:pt idx="33">
                  <c:v>-56.299999999999983</c:v>
                </c:pt>
                <c:pt idx="34">
                  <c:v>-10.999999999999986</c:v>
                </c:pt>
                <c:pt idx="35">
                  <c:v>-69.599999999999994</c:v>
                </c:pt>
                <c:pt idx="36">
                  <c:v>-44.499999999999993</c:v>
                </c:pt>
                <c:pt idx="37">
                  <c:v>-51.599999999999994</c:v>
                </c:pt>
                <c:pt idx="38">
                  <c:v>-152.19999999999999</c:v>
                </c:pt>
                <c:pt idx="39">
                  <c:v>-207.6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ぱぱ2!$C$3:$C$42</c:f>
              <c:numCache>
                <c:formatCode>\+0.0;\-0.0;\±0</c:formatCode>
                <c:ptCount val="40"/>
                <c:pt idx="1">
                  <c:v>38.299999999999997</c:v>
                </c:pt>
                <c:pt idx="2">
                  <c:v>38.15</c:v>
                </c:pt>
                <c:pt idx="3">
                  <c:v>22.033333333333331</c:v>
                </c:pt>
                <c:pt idx="4">
                  <c:v>2.2999999999999989</c:v>
                </c:pt>
                <c:pt idx="5">
                  <c:v>-3.9600000000000009</c:v>
                </c:pt>
                <c:pt idx="6">
                  <c:v>17.983333333333334</c:v>
                </c:pt>
                <c:pt idx="7">
                  <c:v>17.100000000000001</c:v>
                </c:pt>
                <c:pt idx="8">
                  <c:v>15.35</c:v>
                </c:pt>
                <c:pt idx="9">
                  <c:v>8.7111111111111121</c:v>
                </c:pt>
                <c:pt idx="10">
                  <c:v>6.8800000000000008</c:v>
                </c:pt>
                <c:pt idx="11">
                  <c:v>3.9818181818181828</c:v>
                </c:pt>
                <c:pt idx="12">
                  <c:v>3.7833333333333345</c:v>
                </c:pt>
                <c:pt idx="13">
                  <c:v>7.4153846153846157</c:v>
                </c:pt>
                <c:pt idx="14">
                  <c:v>3.5857142857142859</c:v>
                </c:pt>
                <c:pt idx="15">
                  <c:v>7.9466666666666672</c:v>
                </c:pt>
                <c:pt idx="16">
                  <c:v>9.625</c:v>
                </c:pt>
                <c:pt idx="17">
                  <c:v>13.029411764705882</c:v>
                </c:pt>
                <c:pt idx="18">
                  <c:v>10.944444444444445</c:v>
                </c:pt>
                <c:pt idx="19">
                  <c:v>10.363157894736842</c:v>
                </c:pt>
                <c:pt idx="20">
                  <c:v>7.57</c:v>
                </c:pt>
                <c:pt idx="21">
                  <c:v>5.647619047619048</c:v>
                </c:pt>
                <c:pt idx="22">
                  <c:v>4</c:v>
                </c:pt>
                <c:pt idx="23">
                  <c:v>3.6043478260869568</c:v>
                </c:pt>
                <c:pt idx="24">
                  <c:v>2.0250000000000004</c:v>
                </c:pt>
                <c:pt idx="25">
                  <c:v>1.8320000000000005</c:v>
                </c:pt>
                <c:pt idx="26">
                  <c:v>4.3038461538461537</c:v>
                </c:pt>
                <c:pt idx="27">
                  <c:v>4.6962962962962971</c:v>
                </c:pt>
                <c:pt idx="28">
                  <c:v>3.6392857142857147</c:v>
                </c:pt>
                <c:pt idx="29">
                  <c:v>4.3206896551724139</c:v>
                </c:pt>
                <c:pt idx="30">
                  <c:v>2.3233333333333337</c:v>
                </c:pt>
                <c:pt idx="31">
                  <c:v>0.38064516129032316</c:v>
                </c:pt>
                <c:pt idx="32">
                  <c:v>-0.70937499999999942</c:v>
                </c:pt>
                <c:pt idx="33">
                  <c:v>-1.7060606060606056</c:v>
                </c:pt>
                <c:pt idx="34">
                  <c:v>-0.32352941176470545</c:v>
                </c:pt>
                <c:pt idx="35">
                  <c:v>-1.9885714285714284</c:v>
                </c:pt>
                <c:pt idx="36">
                  <c:v>-1.2361111111111109</c:v>
                </c:pt>
                <c:pt idx="37">
                  <c:v>-1.3945945945945943</c:v>
                </c:pt>
                <c:pt idx="38">
                  <c:v>-4.0052631578947366</c:v>
                </c:pt>
                <c:pt idx="39">
                  <c:v>-5.3230769230769228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ぱぱ2!$D$3:$D$42</c:f>
              <c:numCache>
                <c:formatCode>0.00\ "位"</c:formatCode>
                <c:ptCount val="40"/>
                <c:pt idx="1">
                  <c:v>1</c:v>
                </c:pt>
                <c:pt idx="2">
                  <c:v>1</c:v>
                </c:pt>
                <c:pt idx="3">
                  <c:v>1.3333333333333333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1.8571428571428572</c:v>
                </c:pt>
                <c:pt idx="8">
                  <c:v>1.875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1.9230769230769231</c:v>
                </c:pt>
                <c:pt idx="14">
                  <c:v>2</c:v>
                </c:pt>
                <c:pt idx="15">
                  <c:v>1.9333333333333333</c:v>
                </c:pt>
                <c:pt idx="16">
                  <c:v>1.875</c:v>
                </c:pt>
                <c:pt idx="17">
                  <c:v>1.8235294117647058</c:v>
                </c:pt>
                <c:pt idx="18">
                  <c:v>1.8333333333333333</c:v>
                </c:pt>
                <c:pt idx="19">
                  <c:v>1.8421052631578947</c:v>
                </c:pt>
                <c:pt idx="20">
                  <c:v>1.9</c:v>
                </c:pt>
                <c:pt idx="21">
                  <c:v>1.9523809523809523</c:v>
                </c:pt>
                <c:pt idx="22">
                  <c:v>2</c:v>
                </c:pt>
                <c:pt idx="23">
                  <c:v>2</c:v>
                </c:pt>
                <c:pt idx="24">
                  <c:v>2.0416666666666665</c:v>
                </c:pt>
                <c:pt idx="25">
                  <c:v>2.04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1.9655172413793103</c:v>
                </c:pt>
                <c:pt idx="30">
                  <c:v>2</c:v>
                </c:pt>
                <c:pt idx="31">
                  <c:v>2.032258064516129</c:v>
                </c:pt>
                <c:pt idx="32">
                  <c:v>2.0625</c:v>
                </c:pt>
                <c:pt idx="33">
                  <c:v>2.0909090909090908</c:v>
                </c:pt>
                <c:pt idx="34">
                  <c:v>2.0588235294117645</c:v>
                </c:pt>
                <c:pt idx="35">
                  <c:v>2.0857142857142859</c:v>
                </c:pt>
                <c:pt idx="36">
                  <c:v>2.0555555555555554</c:v>
                </c:pt>
                <c:pt idx="37">
                  <c:v>2.0540540540540539</c:v>
                </c:pt>
                <c:pt idx="38">
                  <c:v>2.0789473684210527</c:v>
                </c:pt>
                <c:pt idx="39">
                  <c:v>2.1025641025641026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878048780487805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ぱぱ2!$E$3:$E$42</c:f>
              <c:numCache>
                <c:formatCode>0.0%</c:formatCode>
                <c:ptCount val="40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0.29411764705882354</c:v>
                </c:pt>
                <c:pt idx="35">
                  <c:v>0.2857142857142857</c:v>
                </c:pt>
                <c:pt idx="36">
                  <c:v>0.30555555555555558</c:v>
                </c:pt>
                <c:pt idx="37">
                  <c:v>0.29729729729729731</c:v>
                </c:pt>
                <c:pt idx="38">
                  <c:v>0.28947368421052633</c:v>
                </c:pt>
                <c:pt idx="39">
                  <c:v>0.28205128205128205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41463414634146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ぱぱ2!$F$3:$F$42</c:f>
              <c:numCache>
                <c:formatCode>0.0%</c:formatCode>
                <c:ptCount val="4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0.27586206896551724</c:v>
                </c:pt>
                <c:pt idx="30">
                  <c:v>0.3</c:v>
                </c:pt>
                <c:pt idx="31">
                  <c:v>0.32258064516129031</c:v>
                </c:pt>
                <c:pt idx="32">
                  <c:v>0.34375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926829268292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ぱぱ2!$G$3:$G$42</c:f>
              <c:numCache>
                <c:formatCode>0.0%</c:formatCode>
                <c:ptCount val="40"/>
                <c:pt idx="1">
                  <c:v>0.3</c:v>
                </c:pt>
                <c:pt idx="2">
                  <c:v>0.26666666666666666</c:v>
                </c:pt>
                <c:pt idx="3">
                  <c:v>0.31818181818181818</c:v>
                </c:pt>
                <c:pt idx="4">
                  <c:v>0.25714285714285712</c:v>
                </c:pt>
                <c:pt idx="5">
                  <c:v>0.22727272727272727</c:v>
                </c:pt>
                <c:pt idx="6">
                  <c:v>0.29090909090909089</c:v>
                </c:pt>
                <c:pt idx="7">
                  <c:v>0.28333333333333333</c:v>
                </c:pt>
                <c:pt idx="8">
                  <c:v>0.29411764705882354</c:v>
                </c:pt>
                <c:pt idx="9">
                  <c:v>0.26666666666666666</c:v>
                </c:pt>
                <c:pt idx="10">
                  <c:v>0.27380952380952384</c:v>
                </c:pt>
                <c:pt idx="11">
                  <c:v>0.26136363636363635</c:v>
                </c:pt>
                <c:pt idx="12">
                  <c:v>0.26530612244897961</c:v>
                </c:pt>
                <c:pt idx="13">
                  <c:v>0.2857142857142857</c:v>
                </c:pt>
                <c:pt idx="14">
                  <c:v>0.26956521739130435</c:v>
                </c:pt>
                <c:pt idx="15">
                  <c:v>0.28225806451612906</c:v>
                </c:pt>
                <c:pt idx="16">
                  <c:v>0.2857142857142857</c:v>
                </c:pt>
                <c:pt idx="17">
                  <c:v>0.30215827338129497</c:v>
                </c:pt>
                <c:pt idx="18">
                  <c:v>0.2978723404255319</c:v>
                </c:pt>
                <c:pt idx="19">
                  <c:v>0.30666666666666664</c:v>
                </c:pt>
                <c:pt idx="20">
                  <c:v>0.29487179487179488</c:v>
                </c:pt>
                <c:pt idx="21">
                  <c:v>0.29268292682926828</c:v>
                </c:pt>
                <c:pt idx="22">
                  <c:v>0.29239766081871343</c:v>
                </c:pt>
                <c:pt idx="23">
                  <c:v>0.30337078651685395</c:v>
                </c:pt>
                <c:pt idx="24">
                  <c:v>0.29255319148936171</c:v>
                </c:pt>
                <c:pt idx="25">
                  <c:v>0.29081632653061223</c:v>
                </c:pt>
                <c:pt idx="26">
                  <c:v>0.30243902439024389</c:v>
                </c:pt>
                <c:pt idx="27">
                  <c:v>0.30188679245283018</c:v>
                </c:pt>
                <c:pt idx="28">
                  <c:v>0.29729729729729731</c:v>
                </c:pt>
                <c:pt idx="29">
                  <c:v>0.30042918454935624</c:v>
                </c:pt>
                <c:pt idx="30">
                  <c:v>0.29045643153526973</c:v>
                </c:pt>
                <c:pt idx="31">
                  <c:v>0.28112449799196787</c:v>
                </c:pt>
                <c:pt idx="32">
                  <c:v>0.2734375</c:v>
                </c:pt>
                <c:pt idx="33">
                  <c:v>0.27272727272727271</c:v>
                </c:pt>
                <c:pt idx="34">
                  <c:v>0.28205128205128205</c:v>
                </c:pt>
                <c:pt idx="35">
                  <c:v>0.27898550724637683</c:v>
                </c:pt>
                <c:pt idx="36">
                  <c:v>0.27719298245614032</c:v>
                </c:pt>
                <c:pt idx="37">
                  <c:v>0.27457627118644068</c:v>
                </c:pt>
                <c:pt idx="38">
                  <c:v>0.26710097719869708</c:v>
                </c:pt>
                <c:pt idx="39">
                  <c:v>0.26198083067092653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731707317073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ぱぱ2!$H$3:$H$42</c:f>
              <c:numCache>
                <c:formatCode>0.0%</c:formatCode>
                <c:ptCount val="40"/>
                <c:pt idx="1">
                  <c:v>0.3</c:v>
                </c:pt>
                <c:pt idx="2">
                  <c:v>0.2</c:v>
                </c:pt>
                <c:pt idx="3">
                  <c:v>0.22727272727272727</c:v>
                </c:pt>
                <c:pt idx="4">
                  <c:v>0.25714285714285712</c:v>
                </c:pt>
                <c:pt idx="5">
                  <c:v>0.22727272727272727</c:v>
                </c:pt>
                <c:pt idx="6">
                  <c:v>0.18181818181818182</c:v>
                </c:pt>
                <c:pt idx="7">
                  <c:v>0.18333333333333332</c:v>
                </c:pt>
                <c:pt idx="8">
                  <c:v>0.17647058823529413</c:v>
                </c:pt>
                <c:pt idx="9">
                  <c:v>0.18666666666666668</c:v>
                </c:pt>
                <c:pt idx="10">
                  <c:v>0.20238095238095238</c:v>
                </c:pt>
                <c:pt idx="11">
                  <c:v>0.19318181818181818</c:v>
                </c:pt>
                <c:pt idx="12">
                  <c:v>0.19387755102040816</c:v>
                </c:pt>
                <c:pt idx="13">
                  <c:v>0.19047619047619047</c:v>
                </c:pt>
                <c:pt idx="14">
                  <c:v>0.19130434782608696</c:v>
                </c:pt>
                <c:pt idx="15">
                  <c:v>0.17741935483870969</c:v>
                </c:pt>
                <c:pt idx="16">
                  <c:v>0.18045112781954886</c:v>
                </c:pt>
                <c:pt idx="17">
                  <c:v>0.17266187050359713</c:v>
                </c:pt>
                <c:pt idx="18">
                  <c:v>0.1702127659574468</c:v>
                </c:pt>
                <c:pt idx="19">
                  <c:v>0.16666666666666666</c:v>
                </c:pt>
                <c:pt idx="20">
                  <c:v>0.17307692307692307</c:v>
                </c:pt>
                <c:pt idx="21">
                  <c:v>0.16463414634146342</c:v>
                </c:pt>
                <c:pt idx="22">
                  <c:v>0.16959064327485379</c:v>
                </c:pt>
                <c:pt idx="23">
                  <c:v>0.16853932584269662</c:v>
                </c:pt>
                <c:pt idx="24">
                  <c:v>0.16489361702127658</c:v>
                </c:pt>
                <c:pt idx="25">
                  <c:v>0.15816326530612246</c:v>
                </c:pt>
                <c:pt idx="26">
                  <c:v>0.16585365853658537</c:v>
                </c:pt>
                <c:pt idx="27">
                  <c:v>0.1650943396226415</c:v>
                </c:pt>
                <c:pt idx="28">
                  <c:v>0.15765765765765766</c:v>
                </c:pt>
                <c:pt idx="29">
                  <c:v>0.15879828326180256</c:v>
                </c:pt>
                <c:pt idx="30">
                  <c:v>0.15767634854771784</c:v>
                </c:pt>
                <c:pt idx="31">
                  <c:v>0.1646586345381526</c:v>
                </c:pt>
                <c:pt idx="32">
                  <c:v>0.16015625</c:v>
                </c:pt>
                <c:pt idx="33">
                  <c:v>0.16666666666666666</c:v>
                </c:pt>
                <c:pt idx="34">
                  <c:v>0.16849816849816851</c:v>
                </c:pt>
                <c:pt idx="35">
                  <c:v>0.17753623188405798</c:v>
                </c:pt>
                <c:pt idx="36">
                  <c:v>0.17894736842105263</c:v>
                </c:pt>
                <c:pt idx="37">
                  <c:v>0.17627118644067796</c:v>
                </c:pt>
                <c:pt idx="38">
                  <c:v>0.17915309446254071</c:v>
                </c:pt>
                <c:pt idx="39">
                  <c:v>0.17891373801916932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7012195121951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ぱぱ2!$I$3:$I$42</c:f>
              <c:numCache>
                <c:formatCode>0</c:formatCode>
                <c:ptCount val="40"/>
                <c:pt idx="1">
                  <c:v>15533.333333333334</c:v>
                </c:pt>
                <c:pt idx="2">
                  <c:v>17650</c:v>
                </c:pt>
                <c:pt idx="3">
                  <c:v>12785.714285714286</c:v>
                </c:pt>
                <c:pt idx="4">
                  <c:v>11266.666666666666</c:v>
                </c:pt>
                <c:pt idx="5">
                  <c:v>10350</c:v>
                </c:pt>
                <c:pt idx="6">
                  <c:v>13700</c:v>
                </c:pt>
                <c:pt idx="7">
                  <c:v>14776.470588235294</c:v>
                </c:pt>
                <c:pt idx="8">
                  <c:v>13350</c:v>
                </c:pt>
                <c:pt idx="9">
                  <c:v>13350</c:v>
                </c:pt>
                <c:pt idx="10">
                  <c:v>13113.04347826087</c:v>
                </c:pt>
                <c:pt idx="11">
                  <c:v>13113.04347826087</c:v>
                </c:pt>
                <c:pt idx="12">
                  <c:v>12538.461538461539</c:v>
                </c:pt>
                <c:pt idx="13">
                  <c:v>12286.666666666666</c:v>
                </c:pt>
                <c:pt idx="14">
                  <c:v>12277.41935483871</c:v>
                </c:pt>
                <c:pt idx="15">
                  <c:v>12697.142857142857</c:v>
                </c:pt>
                <c:pt idx="16">
                  <c:v>12336.842105263158</c:v>
                </c:pt>
                <c:pt idx="17">
                  <c:v>12304.761904761905</c:v>
                </c:pt>
                <c:pt idx="18">
                  <c:v>12304.761904761905</c:v>
                </c:pt>
                <c:pt idx="19">
                  <c:v>11863.04347826087</c:v>
                </c:pt>
                <c:pt idx="20">
                  <c:v>11863.04347826087</c:v>
                </c:pt>
                <c:pt idx="21">
                  <c:v>11727.083333333334</c:v>
                </c:pt>
                <c:pt idx="22">
                  <c:v>11658</c:v>
                </c:pt>
                <c:pt idx="23">
                  <c:v>11107.407407407407</c:v>
                </c:pt>
                <c:pt idx="24">
                  <c:v>11232.727272727272</c:v>
                </c:pt>
                <c:pt idx="25">
                  <c:v>11043.859649122807</c:v>
                </c:pt>
                <c:pt idx="26">
                  <c:v>11180.645161290322</c:v>
                </c:pt>
                <c:pt idx="27">
                  <c:v>11139.0625</c:v>
                </c:pt>
                <c:pt idx="28">
                  <c:v>10971.212121212122</c:v>
                </c:pt>
                <c:pt idx="29">
                  <c:v>10605.714285714286</c:v>
                </c:pt>
                <c:pt idx="30">
                  <c:v>10605.714285714286</c:v>
                </c:pt>
                <c:pt idx="31">
                  <c:v>10605.714285714286</c:v>
                </c:pt>
                <c:pt idx="32">
                  <c:v>10605.714285714286</c:v>
                </c:pt>
                <c:pt idx="33">
                  <c:v>10477.777777777777</c:v>
                </c:pt>
                <c:pt idx="34">
                  <c:v>10353.246753246753</c:v>
                </c:pt>
                <c:pt idx="35">
                  <c:v>10353.246753246753</c:v>
                </c:pt>
                <c:pt idx="36">
                  <c:v>10698.73417721519</c:v>
                </c:pt>
                <c:pt idx="37">
                  <c:v>10730.864197530864</c:v>
                </c:pt>
                <c:pt idx="38">
                  <c:v>10626.829268292682</c:v>
                </c:pt>
                <c:pt idx="39">
                  <c:v>10626.829268292682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360.8247422680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ぱぱ2!$J$3:$J$42</c:f>
              <c:numCache>
                <c:formatCode>0</c:formatCode>
                <c:ptCount val="40"/>
                <c:pt idx="1">
                  <c:v>-8266.6666666666661</c:v>
                </c:pt>
                <c:pt idx="2">
                  <c:v>-8266.6666666666661</c:v>
                </c:pt>
                <c:pt idx="3">
                  <c:v>-9760</c:v>
                </c:pt>
                <c:pt idx="4">
                  <c:v>-8011.1111111111113</c:v>
                </c:pt>
                <c:pt idx="5">
                  <c:v>-7790</c:v>
                </c:pt>
                <c:pt idx="6">
                  <c:v>-7790</c:v>
                </c:pt>
                <c:pt idx="7">
                  <c:v>-8172.727272727273</c:v>
                </c:pt>
                <c:pt idx="8">
                  <c:v>-8133.333333333333</c:v>
                </c:pt>
                <c:pt idx="9">
                  <c:v>-7571.4285714285716</c:v>
                </c:pt>
                <c:pt idx="10">
                  <c:v>-8352.9411764705874</c:v>
                </c:pt>
                <c:pt idx="11">
                  <c:v>-8352.9411764705874</c:v>
                </c:pt>
                <c:pt idx="12">
                  <c:v>-8736.8421052631584</c:v>
                </c:pt>
                <c:pt idx="13">
                  <c:v>-8685</c:v>
                </c:pt>
                <c:pt idx="14">
                  <c:v>-9063.636363636364</c:v>
                </c:pt>
                <c:pt idx="15">
                  <c:v>-9063.636363636364</c:v>
                </c:pt>
                <c:pt idx="16">
                  <c:v>-8858.3333333333339</c:v>
                </c:pt>
                <c:pt idx="17">
                  <c:v>-8858.3333333333339</c:v>
                </c:pt>
                <c:pt idx="18">
                  <c:v>-8858.3333333333339</c:v>
                </c:pt>
                <c:pt idx="19">
                  <c:v>-8824</c:v>
                </c:pt>
                <c:pt idx="20">
                  <c:v>-8611.1111111111113</c:v>
                </c:pt>
                <c:pt idx="21">
                  <c:v>-8611.1111111111113</c:v>
                </c:pt>
                <c:pt idx="22">
                  <c:v>-8624.1379310344819</c:v>
                </c:pt>
                <c:pt idx="23">
                  <c:v>-8603.3333333333339</c:v>
                </c:pt>
                <c:pt idx="24">
                  <c:v>-8712.9032258064508</c:v>
                </c:pt>
                <c:pt idx="25">
                  <c:v>-8712.9032258064508</c:v>
                </c:pt>
                <c:pt idx="26">
                  <c:v>-8594.1176470588234</c:v>
                </c:pt>
                <c:pt idx="27">
                  <c:v>-8405.7142857142862</c:v>
                </c:pt>
                <c:pt idx="28">
                  <c:v>-8405.7142857142862</c:v>
                </c:pt>
                <c:pt idx="29">
                  <c:v>-8308.1081081081084</c:v>
                </c:pt>
                <c:pt idx="30">
                  <c:v>-8226.3157894736851</c:v>
                </c:pt>
                <c:pt idx="31">
                  <c:v>-8075.6097560975613</c:v>
                </c:pt>
                <c:pt idx="32">
                  <c:v>-8075.6097560975613</c:v>
                </c:pt>
                <c:pt idx="33">
                  <c:v>-7961.363636363636</c:v>
                </c:pt>
                <c:pt idx="34">
                  <c:v>-7756.521739130435</c:v>
                </c:pt>
                <c:pt idx="35">
                  <c:v>-8008.1632653061224</c:v>
                </c:pt>
                <c:pt idx="36">
                  <c:v>-8164.7058823529414</c:v>
                </c:pt>
                <c:pt idx="37">
                  <c:v>-8053.8461538461543</c:v>
                </c:pt>
                <c:pt idx="38">
                  <c:v>-8930.9090909090901</c:v>
                </c:pt>
                <c:pt idx="39">
                  <c:v>-8985.7142857142862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616.82847896440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ぱぱ2!$K$3:$K$42</c:f>
              <c:numCache>
                <c:formatCode>0.0%</c:formatCode>
                <c:ptCount val="4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6.6666666666666666E-2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8.8235294117647065E-2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0.13157894736842105</c:v>
                </c:pt>
                <c:pt idx="39">
                  <c:v>0.15384615384615385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6016260162601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ぱぱ2!$L$3:$L$42</c:f>
              <c:numCache>
                <c:formatCode>0.0%</c:formatCode>
                <c:ptCount val="40"/>
                <c:pt idx="1">
                  <c:v>0.3</c:v>
                </c:pt>
                <c:pt idx="2">
                  <c:v>0.33333333333333331</c:v>
                </c:pt>
                <c:pt idx="3">
                  <c:v>0.40909090909090912</c:v>
                </c:pt>
                <c:pt idx="4">
                  <c:v>0.2857142857142857</c:v>
                </c:pt>
                <c:pt idx="5">
                  <c:v>0.27272727272727271</c:v>
                </c:pt>
                <c:pt idx="6">
                  <c:v>0.32727272727272727</c:v>
                </c:pt>
                <c:pt idx="7">
                  <c:v>0.33333333333333331</c:v>
                </c:pt>
                <c:pt idx="8">
                  <c:v>0.3235294117647059</c:v>
                </c:pt>
                <c:pt idx="9">
                  <c:v>0.29333333333333333</c:v>
                </c:pt>
                <c:pt idx="10">
                  <c:v>0.27380952380952384</c:v>
                </c:pt>
                <c:pt idx="11">
                  <c:v>0.28409090909090912</c:v>
                </c:pt>
                <c:pt idx="12">
                  <c:v>0.30612244897959184</c:v>
                </c:pt>
                <c:pt idx="13">
                  <c:v>0.32380952380952382</c:v>
                </c:pt>
                <c:pt idx="14">
                  <c:v>0.30434782608695654</c:v>
                </c:pt>
                <c:pt idx="15">
                  <c:v>0.31451612903225806</c:v>
                </c:pt>
                <c:pt idx="16">
                  <c:v>0.30827067669172931</c:v>
                </c:pt>
                <c:pt idx="17">
                  <c:v>0.32374100719424459</c:v>
                </c:pt>
                <c:pt idx="18">
                  <c:v>0.31914893617021278</c:v>
                </c:pt>
                <c:pt idx="19">
                  <c:v>0.33333333333333331</c:v>
                </c:pt>
                <c:pt idx="20">
                  <c:v>0.32692307692307693</c:v>
                </c:pt>
                <c:pt idx="21">
                  <c:v>0.31707317073170732</c:v>
                </c:pt>
                <c:pt idx="22">
                  <c:v>0.31578947368421051</c:v>
                </c:pt>
                <c:pt idx="23">
                  <c:v>0.3202247191011236</c:v>
                </c:pt>
                <c:pt idx="24">
                  <c:v>0.33510638297872342</c:v>
                </c:pt>
                <c:pt idx="25">
                  <c:v>0.33673469387755101</c:v>
                </c:pt>
                <c:pt idx="26">
                  <c:v>0.34146341463414637</c:v>
                </c:pt>
                <c:pt idx="27">
                  <c:v>0.34433962264150941</c:v>
                </c:pt>
                <c:pt idx="28">
                  <c:v>0.33783783783783783</c:v>
                </c:pt>
                <c:pt idx="29">
                  <c:v>0.33047210300429186</c:v>
                </c:pt>
                <c:pt idx="30">
                  <c:v>0.33195020746887965</c:v>
                </c:pt>
                <c:pt idx="31">
                  <c:v>0.33333333333333331</c:v>
                </c:pt>
                <c:pt idx="32">
                  <c:v>0.32421875</c:v>
                </c:pt>
                <c:pt idx="33">
                  <c:v>0.32196969696969696</c:v>
                </c:pt>
                <c:pt idx="34">
                  <c:v>0.32967032967032966</c:v>
                </c:pt>
                <c:pt idx="35">
                  <c:v>0.32608695652173914</c:v>
                </c:pt>
                <c:pt idx="36">
                  <c:v>0.31929824561403508</c:v>
                </c:pt>
                <c:pt idx="37">
                  <c:v>0.31525423728813562</c:v>
                </c:pt>
                <c:pt idx="38">
                  <c:v>0.31270358306188922</c:v>
                </c:pt>
                <c:pt idx="39">
                  <c:v>0.30990415335463256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18597560975609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ぱぱ2!$M$3:$M$42</c:f>
              <c:numCache>
                <c:formatCode>0.0%</c:formatCode>
                <c:ptCount val="40"/>
                <c:pt idx="1">
                  <c:v>0</c:v>
                </c:pt>
                <c:pt idx="2">
                  <c:v>0</c:v>
                </c:pt>
                <c:pt idx="3">
                  <c:v>4.5454545454545456E-2</c:v>
                </c:pt>
                <c:pt idx="4">
                  <c:v>0.11428571428571428</c:v>
                </c:pt>
                <c:pt idx="5">
                  <c:v>0.13636363636363635</c:v>
                </c:pt>
                <c:pt idx="6">
                  <c:v>0.12727272727272726</c:v>
                </c:pt>
                <c:pt idx="7">
                  <c:v>0.13333333333333333</c:v>
                </c:pt>
                <c:pt idx="8">
                  <c:v>0.13235294117647059</c:v>
                </c:pt>
                <c:pt idx="9">
                  <c:v>0.14666666666666667</c:v>
                </c:pt>
                <c:pt idx="10">
                  <c:v>0.15476190476190477</c:v>
                </c:pt>
                <c:pt idx="11">
                  <c:v>0.14772727272727273</c:v>
                </c:pt>
                <c:pt idx="12">
                  <c:v>0.1326530612244898</c:v>
                </c:pt>
                <c:pt idx="13">
                  <c:v>0.12380952380952381</c:v>
                </c:pt>
                <c:pt idx="14">
                  <c:v>0.12173913043478261</c:v>
                </c:pt>
                <c:pt idx="15">
                  <c:v>0.12096774193548387</c:v>
                </c:pt>
                <c:pt idx="16">
                  <c:v>0.11278195488721804</c:v>
                </c:pt>
                <c:pt idx="17">
                  <c:v>0.1079136690647482</c:v>
                </c:pt>
                <c:pt idx="18">
                  <c:v>0.10638297872340426</c:v>
                </c:pt>
                <c:pt idx="19">
                  <c:v>0.1</c:v>
                </c:pt>
                <c:pt idx="20">
                  <c:v>9.6153846153846159E-2</c:v>
                </c:pt>
                <c:pt idx="21">
                  <c:v>0.10365853658536585</c:v>
                </c:pt>
                <c:pt idx="22">
                  <c:v>0.10526315789473684</c:v>
                </c:pt>
                <c:pt idx="23">
                  <c:v>0.10112359550561797</c:v>
                </c:pt>
                <c:pt idx="24">
                  <c:v>9.5744680851063829E-2</c:v>
                </c:pt>
                <c:pt idx="25">
                  <c:v>0.10204081632653061</c:v>
                </c:pt>
                <c:pt idx="26">
                  <c:v>9.7560975609756101E-2</c:v>
                </c:pt>
                <c:pt idx="27">
                  <c:v>9.9056603773584911E-2</c:v>
                </c:pt>
                <c:pt idx="28">
                  <c:v>9.90990990990991E-2</c:v>
                </c:pt>
                <c:pt idx="29">
                  <c:v>0.11158798283261803</c:v>
                </c:pt>
                <c:pt idx="30">
                  <c:v>0.1078838174273859</c:v>
                </c:pt>
                <c:pt idx="31">
                  <c:v>0.10843373493975904</c:v>
                </c:pt>
                <c:pt idx="32">
                  <c:v>0.10546875</c:v>
                </c:pt>
                <c:pt idx="33">
                  <c:v>0.10606060606060606</c:v>
                </c:pt>
                <c:pt idx="34">
                  <c:v>0.10256410256410256</c:v>
                </c:pt>
                <c:pt idx="35">
                  <c:v>0.10144927536231885</c:v>
                </c:pt>
                <c:pt idx="36">
                  <c:v>0.10877192982456141</c:v>
                </c:pt>
                <c:pt idx="37">
                  <c:v>0.10847457627118644</c:v>
                </c:pt>
                <c:pt idx="38">
                  <c:v>0.11400651465798045</c:v>
                </c:pt>
                <c:pt idx="39">
                  <c:v>0.11501597444089456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585365853658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ぱぱ2!$N$3:$N$42</c:f>
              <c:numCache>
                <c:formatCode>0.0%</c:formatCode>
                <c:ptCount val="40"/>
                <c:pt idx="1">
                  <c:v>0.66666666666666663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0.5</c:v>
                </c:pt>
                <c:pt idx="6">
                  <c:v>0.61111111111111116</c:v>
                </c:pt>
                <c:pt idx="7">
                  <c:v>0.6</c:v>
                </c:pt>
                <c:pt idx="8">
                  <c:v>0.63636363636363635</c:v>
                </c:pt>
                <c:pt idx="9">
                  <c:v>0.63636363636363635</c:v>
                </c:pt>
                <c:pt idx="10">
                  <c:v>0.60869565217391308</c:v>
                </c:pt>
                <c:pt idx="11">
                  <c:v>0.56000000000000005</c:v>
                </c:pt>
                <c:pt idx="12">
                  <c:v>0.53333333333333333</c:v>
                </c:pt>
                <c:pt idx="13">
                  <c:v>0.55882352941176472</c:v>
                </c:pt>
                <c:pt idx="14">
                  <c:v>0.54285714285714282</c:v>
                </c:pt>
                <c:pt idx="15">
                  <c:v>0.5641025641025641</c:v>
                </c:pt>
                <c:pt idx="16">
                  <c:v>0.56097560975609762</c:v>
                </c:pt>
                <c:pt idx="17">
                  <c:v>0.6</c:v>
                </c:pt>
                <c:pt idx="18">
                  <c:v>0.6</c:v>
                </c:pt>
                <c:pt idx="19">
                  <c:v>0.62</c:v>
                </c:pt>
                <c:pt idx="20">
                  <c:v>0.60784313725490191</c:v>
                </c:pt>
                <c:pt idx="21">
                  <c:v>0.61538461538461542</c:v>
                </c:pt>
                <c:pt idx="22">
                  <c:v>0.62962962962962965</c:v>
                </c:pt>
                <c:pt idx="23">
                  <c:v>0.64912280701754388</c:v>
                </c:pt>
                <c:pt idx="24">
                  <c:v>0.60317460317460314</c:v>
                </c:pt>
                <c:pt idx="25">
                  <c:v>0.59090909090909094</c:v>
                </c:pt>
                <c:pt idx="26">
                  <c:v>0.6</c:v>
                </c:pt>
                <c:pt idx="27">
                  <c:v>0.58904109589041098</c:v>
                </c:pt>
                <c:pt idx="28">
                  <c:v>0.57333333333333336</c:v>
                </c:pt>
                <c:pt idx="29">
                  <c:v>0.5714285714285714</c:v>
                </c:pt>
                <c:pt idx="30">
                  <c:v>0.55000000000000004</c:v>
                </c:pt>
                <c:pt idx="31">
                  <c:v>0.53012048192771088</c:v>
                </c:pt>
                <c:pt idx="32">
                  <c:v>0.53012048192771088</c:v>
                </c:pt>
                <c:pt idx="33">
                  <c:v>0.54117647058823526</c:v>
                </c:pt>
                <c:pt idx="34">
                  <c:v>0.55555555555555558</c:v>
                </c:pt>
                <c:pt idx="35">
                  <c:v>0.55555555555555558</c:v>
                </c:pt>
                <c:pt idx="36">
                  <c:v>0.5494505494505495</c:v>
                </c:pt>
                <c:pt idx="37">
                  <c:v>0.54838709677419351</c:v>
                </c:pt>
                <c:pt idx="38">
                  <c:v>0.53125</c:v>
                </c:pt>
                <c:pt idx="39">
                  <c:v>0.52577319587628868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0669856459330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ぱぱ2!$O$3:$O$42</c:f>
              <c:numCache>
                <c:formatCode>0.0%</c:formatCode>
                <c:ptCount val="40"/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0.22222222222222221</c:v>
                </c:pt>
                <c:pt idx="9">
                  <c:v>0.18181818181818182</c:v>
                </c:pt>
                <c:pt idx="10">
                  <c:v>0.23076923076923078</c:v>
                </c:pt>
                <c:pt idx="11">
                  <c:v>0.23076923076923078</c:v>
                </c:pt>
                <c:pt idx="12">
                  <c:v>0.23076923076923078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0.17647058823529413</c:v>
                </c:pt>
                <c:pt idx="22">
                  <c:v>0.16666666666666666</c:v>
                </c:pt>
                <c:pt idx="23">
                  <c:v>0.16666666666666666</c:v>
                </c:pt>
                <c:pt idx="24">
                  <c:v>0.16666666666666666</c:v>
                </c:pt>
                <c:pt idx="25">
                  <c:v>0.15</c:v>
                </c:pt>
                <c:pt idx="26">
                  <c:v>0.15</c:v>
                </c:pt>
                <c:pt idx="27">
                  <c:v>0.14285714285714285</c:v>
                </c:pt>
                <c:pt idx="28">
                  <c:v>0.13636363636363635</c:v>
                </c:pt>
                <c:pt idx="29">
                  <c:v>0.19230769230769232</c:v>
                </c:pt>
                <c:pt idx="30">
                  <c:v>0.19230769230769232</c:v>
                </c:pt>
                <c:pt idx="31">
                  <c:v>0.18518518518518517</c:v>
                </c:pt>
                <c:pt idx="32">
                  <c:v>0.18518518518518517</c:v>
                </c:pt>
                <c:pt idx="33">
                  <c:v>0.17857142857142858</c:v>
                </c:pt>
                <c:pt idx="34">
                  <c:v>0.17857142857142858</c:v>
                </c:pt>
                <c:pt idx="35">
                  <c:v>0.17857142857142858</c:v>
                </c:pt>
                <c:pt idx="36">
                  <c:v>0.19354838709677419</c:v>
                </c:pt>
                <c:pt idx="37">
                  <c:v>0.1875</c:v>
                </c:pt>
                <c:pt idx="38">
                  <c:v>0.17142857142857143</c:v>
                </c:pt>
                <c:pt idx="39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1069182389937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ぱぱ2!$P$3:$P$42</c:f>
              <c:numCache>
                <c:formatCode>0.0%</c:formatCode>
                <c:ptCount val="40"/>
                <c:pt idx="1">
                  <c:v>0.33333333333333331</c:v>
                </c:pt>
                <c:pt idx="2">
                  <c:v>0.5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0.4</c:v>
                </c:pt>
                <c:pt idx="6">
                  <c:v>0.375</c:v>
                </c:pt>
                <c:pt idx="7">
                  <c:v>0.41176470588235292</c:v>
                </c:pt>
                <c:pt idx="8">
                  <c:v>0.35</c:v>
                </c:pt>
                <c:pt idx="9">
                  <c:v>0.35</c:v>
                </c:pt>
                <c:pt idx="10">
                  <c:v>0.30434782608695654</c:v>
                </c:pt>
                <c:pt idx="11">
                  <c:v>0.30434782608695654</c:v>
                </c:pt>
                <c:pt idx="12">
                  <c:v>0.38461538461538464</c:v>
                </c:pt>
                <c:pt idx="13">
                  <c:v>0.36666666666666664</c:v>
                </c:pt>
                <c:pt idx="14">
                  <c:v>0.35483870967741937</c:v>
                </c:pt>
                <c:pt idx="15">
                  <c:v>0.37142857142857144</c:v>
                </c:pt>
                <c:pt idx="16">
                  <c:v>0.42105263157894735</c:v>
                </c:pt>
                <c:pt idx="17">
                  <c:v>0.40476190476190477</c:v>
                </c:pt>
                <c:pt idx="18">
                  <c:v>0.40476190476190477</c:v>
                </c:pt>
                <c:pt idx="19">
                  <c:v>0.41304347826086957</c:v>
                </c:pt>
                <c:pt idx="20">
                  <c:v>0.41304347826086957</c:v>
                </c:pt>
                <c:pt idx="21">
                  <c:v>0.41666666666666669</c:v>
                </c:pt>
                <c:pt idx="22">
                  <c:v>0.4</c:v>
                </c:pt>
                <c:pt idx="23">
                  <c:v>0.3888888888888889</c:v>
                </c:pt>
                <c:pt idx="24">
                  <c:v>0.4</c:v>
                </c:pt>
                <c:pt idx="25">
                  <c:v>0.42105263157894735</c:v>
                </c:pt>
                <c:pt idx="26">
                  <c:v>0.40322580645161288</c:v>
                </c:pt>
                <c:pt idx="27">
                  <c:v>0.40625</c:v>
                </c:pt>
                <c:pt idx="28">
                  <c:v>0.40909090909090912</c:v>
                </c:pt>
                <c:pt idx="29">
                  <c:v>0.41428571428571431</c:v>
                </c:pt>
                <c:pt idx="30">
                  <c:v>0.41428571428571431</c:v>
                </c:pt>
                <c:pt idx="31">
                  <c:v>0.41428571428571431</c:v>
                </c:pt>
                <c:pt idx="32">
                  <c:v>0.41428571428571431</c:v>
                </c:pt>
                <c:pt idx="33">
                  <c:v>0.43055555555555558</c:v>
                </c:pt>
                <c:pt idx="34">
                  <c:v>0.44155844155844154</c:v>
                </c:pt>
                <c:pt idx="35">
                  <c:v>0.44155844155844154</c:v>
                </c:pt>
                <c:pt idx="36">
                  <c:v>0.43037974683544306</c:v>
                </c:pt>
                <c:pt idx="37">
                  <c:v>0.44444444444444442</c:v>
                </c:pt>
                <c:pt idx="38">
                  <c:v>0.45121951219512196</c:v>
                </c:pt>
                <c:pt idx="39">
                  <c:v>0.45121951219512196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219931271477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9DFE69B-9720-433B-BAAB-5BDFEFAD1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4ED5941-A5E6-4514-9335-DD730D352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8461A07-97B8-4DDE-B2FF-1EB83E30EC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AC30A36-39D4-42E5-A531-4C6DD7EB83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67383C8-1EBF-43E6-9FC6-91535A9F50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6F1C8F6-3762-460B-91A6-252EE3A9F2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F8F9AB6-A7F3-4009-858B-47D7020C4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38E3025-520F-40F1-A4AF-873E5E49D1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9529FF5-98E1-42B8-A73B-7A52722132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FF92618-EA27-450E-B016-F8FBFABE2C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0A3B59-2CAB-4583-8834-5D0904AAA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9202DC0-43E4-4A8D-B182-7A9BD09887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1C17DD1-3A78-413F-B2FA-98B7E834CA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75B2646-D0F8-4880-9786-CDD8CFE235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9CA4379-6042-4C92-9C12-74656B6E42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96F82BC-96C9-4168-A6CB-4FCCC5CFAE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B47D930-14FD-4F3D-8D4E-9C64D99DC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C3C6962-9340-450B-A619-120900382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1611AD8-E0EA-42BB-B370-73D7CDE02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964BF2E-AD59-4216-8E20-6C4FAE709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7C2DB5-D0DF-43AD-A6CE-899B4D56C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348D4A0-FF14-4EFE-A962-A5BB2B99C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9505A55-1048-420F-93E0-5039E8E24E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7DBDFD7-A5EA-4014-AA72-21FDCBCED4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AF9E8F-B9B2-4BBA-BC59-00F7EF2B11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1D7AB02-B3B2-474E-9473-8D666F69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E39DF13-D6CE-4054-8AA2-EA37741428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C0B0195-124C-4E6C-BF18-F497AB4E32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Q10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7" x14ac:dyDescent="0.4">
      <c r="A1" s="1">
        <v>32874</v>
      </c>
      <c r="B1" s="1">
        <v>2958465</v>
      </c>
    </row>
    <row r="2" spans="1:17" x14ac:dyDescent="0.4">
      <c r="A2" s="2" t="s">
        <v>224</v>
      </c>
      <c r="B2" s="3">
        <v>44723.323692129627</v>
      </c>
      <c r="C2" s="2" t="s">
        <v>127</v>
      </c>
      <c r="D2" s="2" t="s">
        <v>188</v>
      </c>
      <c r="E2" s="2" t="s">
        <v>191</v>
      </c>
    </row>
    <row r="3" spans="1:17" x14ac:dyDescent="0.4">
      <c r="A3" s="2" t="s">
        <v>225</v>
      </c>
      <c r="B3" s="3">
        <v>44723.323692129627</v>
      </c>
      <c r="C3" s="2" t="s">
        <v>127</v>
      </c>
      <c r="D3" s="2" t="s">
        <v>188</v>
      </c>
      <c r="E3" s="2" t="s">
        <v>191</v>
      </c>
      <c r="F3" s="2" t="s">
        <v>214</v>
      </c>
      <c r="G3" s="2" t="s">
        <v>215</v>
      </c>
      <c r="H3" s="2" t="s">
        <v>216</v>
      </c>
    </row>
    <row r="4" spans="1:17" x14ac:dyDescent="0.4">
      <c r="A4" s="2" t="s">
        <v>226</v>
      </c>
      <c r="B4" s="3">
        <v>44723.323703703703</v>
      </c>
      <c r="C4" s="2" t="s">
        <v>127</v>
      </c>
      <c r="D4" s="2" t="s">
        <v>188</v>
      </c>
      <c r="E4" s="2" t="s">
        <v>191</v>
      </c>
      <c r="F4" s="2" t="s">
        <v>214</v>
      </c>
      <c r="G4" s="2" t="s">
        <v>215</v>
      </c>
      <c r="H4" s="2" t="s">
        <v>216</v>
      </c>
      <c r="I4" s="2" t="s">
        <v>217</v>
      </c>
      <c r="J4" s="2" t="s">
        <v>218</v>
      </c>
      <c r="K4" s="2" t="s">
        <v>219</v>
      </c>
      <c r="L4" s="2" t="s">
        <v>220</v>
      </c>
    </row>
    <row r="5" spans="1:17" x14ac:dyDescent="0.4">
      <c r="A5" s="2" t="s">
        <v>227</v>
      </c>
      <c r="B5" s="3">
        <v>44723.323703703703</v>
      </c>
      <c r="C5" s="2" t="s">
        <v>127</v>
      </c>
      <c r="D5" s="2" t="s">
        <v>188</v>
      </c>
      <c r="E5" s="2" t="s">
        <v>191</v>
      </c>
      <c r="F5" s="2" t="s">
        <v>214</v>
      </c>
      <c r="G5" s="2" t="s">
        <v>215</v>
      </c>
      <c r="H5" s="2" t="s">
        <v>216</v>
      </c>
      <c r="I5" s="2" t="s">
        <v>217</v>
      </c>
    </row>
    <row r="6" spans="1:17" x14ac:dyDescent="0.4">
      <c r="A6" s="2" t="s">
        <v>228</v>
      </c>
      <c r="B6" s="3">
        <v>44723.323703703703</v>
      </c>
      <c r="C6" s="2" t="s">
        <v>127</v>
      </c>
      <c r="D6" s="2" t="s">
        <v>188</v>
      </c>
      <c r="E6" s="2" t="s">
        <v>191</v>
      </c>
      <c r="F6" s="2" t="s">
        <v>214</v>
      </c>
      <c r="G6" s="2" t="s">
        <v>215</v>
      </c>
      <c r="H6" s="2" t="s">
        <v>216</v>
      </c>
      <c r="I6" s="2" t="s">
        <v>217</v>
      </c>
      <c r="J6" s="2" t="s">
        <v>218</v>
      </c>
      <c r="K6" s="2" t="s">
        <v>219</v>
      </c>
      <c r="L6" s="2" t="s">
        <v>220</v>
      </c>
      <c r="M6" s="2" t="s">
        <v>221</v>
      </c>
      <c r="N6" s="2" t="s">
        <v>222</v>
      </c>
      <c r="O6" s="2" t="s">
        <v>229</v>
      </c>
      <c r="P6" s="2" t="s">
        <v>230</v>
      </c>
      <c r="Q6" s="2" t="s">
        <v>231</v>
      </c>
    </row>
    <row r="7" spans="1:17" x14ac:dyDescent="0.4">
      <c r="A7" s="2" t="s">
        <v>232</v>
      </c>
      <c r="B7" s="3">
        <v>44723.323703703703</v>
      </c>
      <c r="C7" s="2" t="s">
        <v>127</v>
      </c>
      <c r="D7" s="2" t="s">
        <v>188</v>
      </c>
      <c r="E7" s="2" t="s">
        <v>191</v>
      </c>
      <c r="F7" s="2" t="s">
        <v>214</v>
      </c>
      <c r="G7" s="2" t="s">
        <v>215</v>
      </c>
      <c r="H7" s="2" t="s">
        <v>216</v>
      </c>
      <c r="I7" s="2" t="s">
        <v>217</v>
      </c>
    </row>
    <row r="8" spans="1:17" x14ac:dyDescent="0.4">
      <c r="A8" s="2" t="s">
        <v>234</v>
      </c>
      <c r="B8" s="3">
        <v>44723.760011574072</v>
      </c>
      <c r="C8" s="2" t="s">
        <v>127</v>
      </c>
      <c r="D8" s="2" t="s">
        <v>188</v>
      </c>
      <c r="E8" s="2" t="s">
        <v>191</v>
      </c>
      <c r="F8" s="2" t="s">
        <v>214</v>
      </c>
      <c r="G8" s="2" t="s">
        <v>215</v>
      </c>
      <c r="H8" s="2" t="s">
        <v>216</v>
      </c>
      <c r="I8" s="2" t="s">
        <v>217</v>
      </c>
      <c r="J8" s="2" t="s">
        <v>218</v>
      </c>
      <c r="K8" s="2" t="s">
        <v>219</v>
      </c>
      <c r="L8" s="2" t="s">
        <v>220</v>
      </c>
      <c r="M8" s="2" t="s">
        <v>221</v>
      </c>
    </row>
    <row r="9" spans="1:17" x14ac:dyDescent="0.4">
      <c r="A9" s="2" t="s">
        <v>223</v>
      </c>
      <c r="B9" s="3">
        <v>44798.43681712963</v>
      </c>
      <c r="C9" s="2" t="s">
        <v>127</v>
      </c>
      <c r="D9" s="2" t="s">
        <v>188</v>
      </c>
      <c r="E9" s="2" t="s">
        <v>191</v>
      </c>
      <c r="F9" s="2" t="s">
        <v>214</v>
      </c>
      <c r="G9" s="2" t="s">
        <v>215</v>
      </c>
      <c r="H9" s="2" t="s">
        <v>216</v>
      </c>
      <c r="I9" s="2" t="s">
        <v>217</v>
      </c>
      <c r="J9" s="2" t="s">
        <v>218</v>
      </c>
      <c r="K9" s="2" t="s">
        <v>219</v>
      </c>
      <c r="L9" s="2" t="s">
        <v>220</v>
      </c>
      <c r="M9" s="2" t="s">
        <v>221</v>
      </c>
      <c r="N9" s="2" t="s">
        <v>222</v>
      </c>
    </row>
    <row r="10" spans="1:17" x14ac:dyDescent="0.4">
      <c r="A10" s="2" t="s">
        <v>235</v>
      </c>
      <c r="B10" s="3">
        <v>44801.730497685188</v>
      </c>
      <c r="C10" s="2" t="s">
        <v>127</v>
      </c>
      <c r="D10" s="2" t="s">
        <v>188</v>
      </c>
      <c r="E10" s="2" t="s">
        <v>191</v>
      </c>
      <c r="F10" s="2" t="s">
        <v>214</v>
      </c>
      <c r="G10" s="2" t="s">
        <v>215</v>
      </c>
      <c r="H10" s="2" t="s">
        <v>216</v>
      </c>
      <c r="I10" s="2" t="s">
        <v>217</v>
      </c>
      <c r="J10" s="2" t="s">
        <v>218</v>
      </c>
      <c r="K10" s="2" t="s">
        <v>219</v>
      </c>
      <c r="L10" s="2" t="s">
        <v>220</v>
      </c>
      <c r="M10" s="2" t="s">
        <v>221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233</v>
      </c>
    </row>
    <row r="2" spans="1:3" x14ac:dyDescent="0.4">
      <c r="A2" t="s">
        <v>126</v>
      </c>
      <c r="B2" s="120">
        <v>73</v>
      </c>
      <c r="C2" s="120">
        <v>1758.0662353696366</v>
      </c>
    </row>
    <row r="3" spans="1:3" x14ac:dyDescent="0.4">
      <c r="A3" t="s">
        <v>192</v>
      </c>
      <c r="B3" s="120">
        <v>47</v>
      </c>
      <c r="C3" s="120">
        <v>1606.4452616651972</v>
      </c>
    </row>
    <row r="4" spans="1:3" x14ac:dyDescent="0.4">
      <c r="A4" t="s">
        <v>163</v>
      </c>
      <c r="B4" s="120">
        <v>59</v>
      </c>
      <c r="C4" s="120">
        <v>1605.0170841089816</v>
      </c>
    </row>
    <row r="5" spans="1:3" x14ac:dyDescent="0.4">
      <c r="A5" t="s">
        <v>139</v>
      </c>
      <c r="B5" s="120">
        <v>246</v>
      </c>
      <c r="C5" s="120">
        <v>1604.9485979299698</v>
      </c>
    </row>
    <row r="6" spans="1:3" x14ac:dyDescent="0.4">
      <c r="A6" t="s">
        <v>190</v>
      </c>
      <c r="C6" s="120">
        <v>1551.4699038276274</v>
      </c>
    </row>
    <row r="7" spans="1:3" x14ac:dyDescent="0.4">
      <c r="A7" t="s">
        <v>210</v>
      </c>
      <c r="C7" s="120">
        <v>1541.223654027415</v>
      </c>
    </row>
    <row r="8" spans="1:3" x14ac:dyDescent="0.4">
      <c r="A8" t="s">
        <v>212</v>
      </c>
      <c r="C8" s="120">
        <v>1497.379788</v>
      </c>
    </row>
    <row r="9" spans="1:3" x14ac:dyDescent="0.4">
      <c r="A9" t="s">
        <v>213</v>
      </c>
      <c r="C9" s="120">
        <v>1493.0891304000002</v>
      </c>
    </row>
    <row r="10" spans="1:3" x14ac:dyDescent="0.4">
      <c r="A10" t="s">
        <v>211</v>
      </c>
      <c r="C10" s="120">
        <v>1488.9447185272431</v>
      </c>
    </row>
    <row r="11" spans="1:3" x14ac:dyDescent="0.4">
      <c r="A11" t="s">
        <v>200</v>
      </c>
      <c r="C11" s="120">
        <v>1476.9680701642462</v>
      </c>
    </row>
    <row r="12" spans="1:3" x14ac:dyDescent="0.4">
      <c r="A12" t="s">
        <v>189</v>
      </c>
      <c r="C12" s="120">
        <v>1463.3989422821498</v>
      </c>
    </row>
    <row r="13" spans="1:3" x14ac:dyDescent="0.4">
      <c r="A13" t="s">
        <v>194</v>
      </c>
      <c r="B13" s="120">
        <v>25</v>
      </c>
      <c r="C13" s="120">
        <v>1377.1480089618358</v>
      </c>
    </row>
    <row r="14" spans="1:3" x14ac:dyDescent="0.4">
      <c r="A14" t="s">
        <v>193</v>
      </c>
      <c r="C14" s="120">
        <v>1340.228259602879</v>
      </c>
    </row>
    <row r="15" spans="1:3" x14ac:dyDescent="0.4">
      <c r="A15" t="s">
        <v>209</v>
      </c>
      <c r="C15" s="120">
        <v>1483.0119085897741</v>
      </c>
    </row>
    <row r="16" spans="1:3" x14ac:dyDescent="0.4">
      <c r="A16" t="s">
        <v>197</v>
      </c>
      <c r="B16" s="120">
        <v>3</v>
      </c>
      <c r="C16" s="120">
        <v>1463.4239467393418</v>
      </c>
    </row>
    <row r="17" spans="1:8" x14ac:dyDescent="0.4">
      <c r="A17" t="s">
        <v>198</v>
      </c>
      <c r="B17" s="120">
        <v>39</v>
      </c>
      <c r="C17" s="120">
        <v>1382.1789004547948</v>
      </c>
      <c r="G17" s="120"/>
      <c r="H17" s="120"/>
    </row>
    <row r="18" spans="1:8" x14ac:dyDescent="0.4">
      <c r="A18" t="s">
        <v>201</v>
      </c>
      <c r="C18" s="120">
        <v>1491.5152195648213</v>
      </c>
      <c r="G18" s="120"/>
      <c r="H18" s="120"/>
    </row>
    <row r="19" spans="1:8" x14ac:dyDescent="0.4">
      <c r="A19" t="s">
        <v>208</v>
      </c>
      <c r="C19" s="120">
        <v>1484.4200922656562</v>
      </c>
      <c r="G19" s="120"/>
      <c r="H19" s="120"/>
    </row>
    <row r="20" spans="1:8" x14ac:dyDescent="0.4">
      <c r="A20" t="s">
        <v>203</v>
      </c>
      <c r="C20" s="120">
        <v>1519.3079580555725</v>
      </c>
      <c r="G20" s="120"/>
      <c r="H20" s="120"/>
    </row>
    <row r="21" spans="1:8" x14ac:dyDescent="0.4">
      <c r="A21" t="s">
        <v>199</v>
      </c>
      <c r="C21" s="120">
        <v>1519.2052586122145</v>
      </c>
      <c r="G21" s="120"/>
      <c r="H21" s="120"/>
    </row>
    <row r="22" spans="1:8" x14ac:dyDescent="0.4">
      <c r="A22" t="s">
        <v>202</v>
      </c>
      <c r="C22" s="120">
        <v>1503.1020000000001</v>
      </c>
      <c r="G22" s="120"/>
      <c r="H22" s="120"/>
    </row>
    <row r="23" spans="1:8" x14ac:dyDescent="0.4">
      <c r="A23" t="s">
        <v>204</v>
      </c>
      <c r="C23" s="120">
        <v>1489.2889468180317</v>
      </c>
    </row>
    <row r="24" spans="1:8" x14ac:dyDescent="0.4">
      <c r="A24" t="s">
        <v>206</v>
      </c>
      <c r="C24" s="120">
        <v>1484.6521503082251</v>
      </c>
    </row>
    <row r="25" spans="1:8" x14ac:dyDescent="0.4">
      <c r="A25" t="s">
        <v>205</v>
      </c>
      <c r="C25" s="120">
        <v>1476.2954110473599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195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9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195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">
      <c r="A2" s="36" t="s">
        <v>207</v>
      </c>
      <c r="B2" s="141">
        <v>0.96342268078965065</v>
      </c>
      <c r="C2" s="142"/>
      <c r="D2" s="141">
        <v>0.86609901206951867</v>
      </c>
      <c r="E2" s="142"/>
      <c r="F2" s="141">
        <v>0.90685517818207206</v>
      </c>
      <c r="G2" s="142"/>
      <c r="H2" s="147"/>
      <c r="I2" s="148"/>
      <c r="J2" s="141">
        <v>0.91388602513023998</v>
      </c>
      <c r="K2" s="142"/>
      <c r="L2" s="141">
        <v>0.7613685143212463</v>
      </c>
      <c r="M2" s="142"/>
      <c r="N2" s="141">
        <v>0.91630138807734351</v>
      </c>
      <c r="O2" s="142"/>
      <c r="P2" s="141">
        <v>0.89958467534241837</v>
      </c>
      <c r="Q2" s="142"/>
      <c r="R2" s="141">
        <v>0.93052053264926182</v>
      </c>
      <c r="S2" s="142"/>
      <c r="T2" s="141">
        <v>-0.10268507137229684</v>
      </c>
      <c r="U2" s="142"/>
      <c r="V2" s="141">
        <v>0.28232932793418314</v>
      </c>
      <c r="W2" s="142"/>
      <c r="X2" s="141">
        <v>0.8933733279713385</v>
      </c>
      <c r="Y2" s="142"/>
      <c r="Z2" s="141">
        <v>0.46618476425558147</v>
      </c>
      <c r="AA2" s="142"/>
      <c r="AB2" s="141">
        <v>0.46252141166964428</v>
      </c>
      <c r="AC2" s="142"/>
      <c r="AD2" s="141">
        <v>-0.20495711340520004</v>
      </c>
      <c r="AE2" s="142"/>
      <c r="AF2" s="141">
        <v>0.94969474396971909</v>
      </c>
      <c r="AG2" s="142"/>
      <c r="AH2" s="141">
        <v>-0.64388469462001097</v>
      </c>
      <c r="AI2" s="142"/>
      <c r="AJ2" s="141">
        <v>0.250165685746843</v>
      </c>
      <c r="AK2" s="142"/>
    </row>
    <row r="3" spans="1:37" x14ac:dyDescent="0.4">
      <c r="A3" s="38">
        <v>1</v>
      </c>
      <c r="B3" s="41" t="s">
        <v>139</v>
      </c>
      <c r="C3" s="113">
        <v>82</v>
      </c>
      <c r="D3" s="39" t="s">
        <v>126</v>
      </c>
      <c r="E3" s="40">
        <v>719.3</v>
      </c>
      <c r="F3" s="41" t="s">
        <v>126</v>
      </c>
      <c r="G3" s="60">
        <v>9.8534246575342461</v>
      </c>
      <c r="H3" s="41" t="s">
        <v>126</v>
      </c>
      <c r="I3" s="45">
        <v>1815.1420423169907</v>
      </c>
      <c r="J3" s="41" t="s">
        <v>126</v>
      </c>
      <c r="K3" s="42">
        <v>1.7945205479452055</v>
      </c>
      <c r="L3" s="41" t="s">
        <v>126</v>
      </c>
      <c r="M3" s="43">
        <v>0.45205479452054792</v>
      </c>
      <c r="N3" s="41" t="s">
        <v>126</v>
      </c>
      <c r="O3" s="43">
        <v>0.24657534246575341</v>
      </c>
      <c r="P3" s="41" t="s">
        <v>126</v>
      </c>
      <c r="Q3" s="44">
        <v>0.35604770017035775</v>
      </c>
      <c r="R3" s="41" t="s">
        <v>126</v>
      </c>
      <c r="S3" s="44">
        <v>0.1362862010221465</v>
      </c>
      <c r="T3" s="41" t="s">
        <v>198</v>
      </c>
      <c r="U3" s="45">
        <v>10626.829268292682</v>
      </c>
      <c r="V3" s="41" t="s">
        <v>163</v>
      </c>
      <c r="W3" s="45">
        <v>-7755.8823529411766</v>
      </c>
      <c r="X3" s="41" t="s">
        <v>126</v>
      </c>
      <c r="Y3" s="43">
        <v>8.2191780821917804E-2</v>
      </c>
      <c r="Z3" s="41" t="s">
        <v>126</v>
      </c>
      <c r="AA3" s="44">
        <v>0.37819420783645658</v>
      </c>
      <c r="AB3" s="41" t="s">
        <v>197</v>
      </c>
      <c r="AC3" s="44">
        <v>0.23529411764705882</v>
      </c>
      <c r="AD3" s="41" t="s">
        <v>194</v>
      </c>
      <c r="AE3" s="44">
        <v>0.60606060606060608</v>
      </c>
      <c r="AF3" s="41" t="s">
        <v>197</v>
      </c>
      <c r="AG3" s="44">
        <v>0.5</v>
      </c>
      <c r="AH3" s="41" t="s">
        <v>194</v>
      </c>
      <c r="AI3" s="44">
        <v>0.55555555555555558</v>
      </c>
      <c r="AJ3" s="41" t="s">
        <v>198</v>
      </c>
      <c r="AK3" s="55">
        <v>142700</v>
      </c>
    </row>
    <row r="4" spans="1:37" x14ac:dyDescent="0.4">
      <c r="A4" s="46">
        <v>2</v>
      </c>
      <c r="B4" s="49" t="s">
        <v>126</v>
      </c>
      <c r="C4" s="114">
        <v>73</v>
      </c>
      <c r="D4" s="47" t="s">
        <v>163</v>
      </c>
      <c r="E4" s="48">
        <v>157.90000000000006</v>
      </c>
      <c r="F4" s="49" t="s">
        <v>163</v>
      </c>
      <c r="G4" s="61">
        <v>2.6762711864406792</v>
      </c>
      <c r="H4" s="49" t="s">
        <v>163</v>
      </c>
      <c r="I4" s="53">
        <v>1624.1863091460136</v>
      </c>
      <c r="J4" s="49" t="s">
        <v>163</v>
      </c>
      <c r="K4" s="50">
        <v>1.8983050847457628</v>
      </c>
      <c r="L4" s="49" t="s">
        <v>163</v>
      </c>
      <c r="M4" s="51">
        <v>0.38983050847457629</v>
      </c>
      <c r="N4" s="49" t="s">
        <v>163</v>
      </c>
      <c r="O4" s="51">
        <v>0.28813559322033899</v>
      </c>
      <c r="P4" s="49" t="s">
        <v>139</v>
      </c>
      <c r="Q4" s="52">
        <v>0.29573170731707316</v>
      </c>
      <c r="R4" s="49" t="s">
        <v>163</v>
      </c>
      <c r="S4" s="52">
        <v>0.1487964989059081</v>
      </c>
      <c r="T4" s="49" t="s">
        <v>126</v>
      </c>
      <c r="U4" s="53">
        <v>9470.3349282296658</v>
      </c>
      <c r="V4" s="49" t="s">
        <v>192</v>
      </c>
      <c r="W4" s="53">
        <v>-8162.5</v>
      </c>
      <c r="X4" s="49" t="s">
        <v>192</v>
      </c>
      <c r="Y4" s="51">
        <v>0.10638297872340426</v>
      </c>
      <c r="Z4" s="49" t="s">
        <v>163</v>
      </c>
      <c r="AA4" s="52">
        <v>0.32385120350109409</v>
      </c>
      <c r="AB4" s="49" t="s">
        <v>163</v>
      </c>
      <c r="AC4" s="52">
        <v>0.19912472647702406</v>
      </c>
      <c r="AD4" s="49" t="s">
        <v>126</v>
      </c>
      <c r="AE4" s="52">
        <v>0.56306306306306309</v>
      </c>
      <c r="AF4" s="49" t="s">
        <v>126</v>
      </c>
      <c r="AG4" s="52">
        <v>0.47126436781609193</v>
      </c>
      <c r="AH4" s="49" t="s">
        <v>197</v>
      </c>
      <c r="AI4" s="52">
        <v>0.5</v>
      </c>
      <c r="AJ4" s="49" t="s">
        <v>139</v>
      </c>
      <c r="AK4" s="56">
        <v>142700</v>
      </c>
    </row>
    <row r="5" spans="1:37" x14ac:dyDescent="0.4">
      <c r="A5" s="46">
        <v>3</v>
      </c>
      <c r="B5" s="49" t="s">
        <v>163</v>
      </c>
      <c r="C5" s="114">
        <v>59</v>
      </c>
      <c r="D5" s="47" t="s">
        <v>139</v>
      </c>
      <c r="E5" s="48">
        <v>0</v>
      </c>
      <c r="F5" s="49" t="s">
        <v>139</v>
      </c>
      <c r="G5" s="61">
        <v>0</v>
      </c>
      <c r="H5" s="49" t="s">
        <v>139</v>
      </c>
      <c r="I5" s="53">
        <v>1595.9168320150097</v>
      </c>
      <c r="J5" s="49" t="s">
        <v>139</v>
      </c>
      <c r="K5" s="50">
        <v>1.9878048780487805</v>
      </c>
      <c r="L5" s="49" t="s">
        <v>139</v>
      </c>
      <c r="M5" s="51">
        <v>0.34146341463414637</v>
      </c>
      <c r="N5" s="49" t="s">
        <v>139</v>
      </c>
      <c r="O5" s="51">
        <v>0.32926829268292684</v>
      </c>
      <c r="P5" s="49" t="s">
        <v>163</v>
      </c>
      <c r="Q5" s="52">
        <v>0.29321663019693656</v>
      </c>
      <c r="R5" s="49" t="s">
        <v>139</v>
      </c>
      <c r="S5" s="52">
        <v>0.15701219512195122</v>
      </c>
      <c r="T5" s="49" t="s">
        <v>163</v>
      </c>
      <c r="U5" s="53">
        <v>9397.7611940298502</v>
      </c>
      <c r="V5" s="49" t="s">
        <v>197</v>
      </c>
      <c r="W5" s="53">
        <v>-8314.2857142857138</v>
      </c>
      <c r="X5" s="49" t="s">
        <v>139</v>
      </c>
      <c r="Y5" s="51">
        <v>0.12601626016260162</v>
      </c>
      <c r="Z5" s="49" t="s">
        <v>194</v>
      </c>
      <c r="AA5" s="52">
        <v>0.32195121951219513</v>
      </c>
      <c r="AB5" s="49" t="s">
        <v>192</v>
      </c>
      <c r="AC5" s="52">
        <v>0.18766066838046272</v>
      </c>
      <c r="AD5" s="49" t="s">
        <v>139</v>
      </c>
      <c r="AE5" s="52">
        <v>0.54066985645933019</v>
      </c>
      <c r="AF5" s="49" t="s">
        <v>163</v>
      </c>
      <c r="AG5" s="52">
        <v>0.39560439560439559</v>
      </c>
      <c r="AH5" s="49" t="s">
        <v>192</v>
      </c>
      <c r="AI5" s="52">
        <v>0.47524752475247523</v>
      </c>
      <c r="AJ5" s="49" t="s">
        <v>126</v>
      </c>
      <c r="AK5" s="56">
        <v>131400</v>
      </c>
    </row>
    <row r="6" spans="1:37" x14ac:dyDescent="0.4">
      <c r="A6" s="46">
        <v>4</v>
      </c>
      <c r="B6" s="49" t="s">
        <v>192</v>
      </c>
      <c r="C6" s="114">
        <v>47</v>
      </c>
      <c r="D6" s="47" t="s">
        <v>197</v>
      </c>
      <c r="E6" s="48">
        <v>-113.4</v>
      </c>
      <c r="F6" s="49" t="s">
        <v>198</v>
      </c>
      <c r="G6" s="61">
        <v>-5.3230769230769228</v>
      </c>
      <c r="H6" s="49" t="s">
        <v>192</v>
      </c>
      <c r="I6" s="53">
        <v>1549.8043490685914</v>
      </c>
      <c r="J6" s="49" t="s">
        <v>198</v>
      </c>
      <c r="K6" s="50">
        <v>2.1025641025641026</v>
      </c>
      <c r="L6" s="49" t="s">
        <v>198</v>
      </c>
      <c r="M6" s="51">
        <v>0.28205128205128205</v>
      </c>
      <c r="N6" s="49" t="s">
        <v>192</v>
      </c>
      <c r="O6" s="51">
        <v>0.34042553191489361</v>
      </c>
      <c r="P6" s="49" t="s">
        <v>194</v>
      </c>
      <c r="Q6" s="52">
        <v>0.26341463414634148</v>
      </c>
      <c r="R6" s="49" t="s">
        <v>192</v>
      </c>
      <c r="S6" s="52">
        <v>0.16452442159383032</v>
      </c>
      <c r="T6" s="49" t="s">
        <v>139</v>
      </c>
      <c r="U6" s="53">
        <v>9360.8247422680415</v>
      </c>
      <c r="V6" s="49" t="s">
        <v>139</v>
      </c>
      <c r="W6" s="53">
        <v>-8616.8284789644022</v>
      </c>
      <c r="X6" s="49" t="s">
        <v>163</v>
      </c>
      <c r="Y6" s="51">
        <v>0.13559322033898305</v>
      </c>
      <c r="Z6" s="49" t="s">
        <v>139</v>
      </c>
      <c r="AA6" s="52">
        <v>0.31859756097560976</v>
      </c>
      <c r="AB6" s="49" t="s">
        <v>139</v>
      </c>
      <c r="AC6" s="52">
        <v>0.16158536585365854</v>
      </c>
      <c r="AD6" s="49" t="s">
        <v>192</v>
      </c>
      <c r="AE6" s="52">
        <v>0.5268817204301075</v>
      </c>
      <c r="AF6" s="49" t="s">
        <v>192</v>
      </c>
      <c r="AG6" s="52">
        <v>0.38356164383561642</v>
      </c>
      <c r="AH6" s="49" t="s">
        <v>163</v>
      </c>
      <c r="AI6" s="52">
        <v>0.47014925373134331</v>
      </c>
      <c r="AJ6" s="49" t="s">
        <v>163</v>
      </c>
      <c r="AK6" s="56">
        <v>103000</v>
      </c>
    </row>
    <row r="7" spans="1:37" x14ac:dyDescent="0.4">
      <c r="A7" s="46">
        <v>5</v>
      </c>
      <c r="B7" s="49" t="s">
        <v>198</v>
      </c>
      <c r="C7" s="114">
        <v>39</v>
      </c>
      <c r="D7" s="47" t="s">
        <v>198</v>
      </c>
      <c r="E7" s="48">
        <v>-207.6</v>
      </c>
      <c r="F7" s="49" t="s">
        <v>192</v>
      </c>
      <c r="G7" s="61">
        <v>-7.3191489361702127</v>
      </c>
      <c r="H7" s="49" t="s">
        <v>197</v>
      </c>
      <c r="I7" s="53">
        <v>1445.1125193047092</v>
      </c>
      <c r="J7" s="49" t="s">
        <v>192</v>
      </c>
      <c r="K7" s="50">
        <v>2.1276595744680851</v>
      </c>
      <c r="L7" s="49" t="s">
        <v>194</v>
      </c>
      <c r="M7" s="51">
        <v>0.28000000000000003</v>
      </c>
      <c r="N7" s="49" t="s">
        <v>198</v>
      </c>
      <c r="O7" s="51">
        <v>0.38461538461538464</v>
      </c>
      <c r="P7" s="49" t="s">
        <v>198</v>
      </c>
      <c r="Q7" s="52">
        <v>0.26198083067092653</v>
      </c>
      <c r="R7" s="49" t="s">
        <v>194</v>
      </c>
      <c r="S7" s="52">
        <v>0.16585365853658537</v>
      </c>
      <c r="T7" s="49" t="s">
        <v>194</v>
      </c>
      <c r="U7" s="53">
        <v>8705.5555555555547</v>
      </c>
      <c r="V7" s="49" t="s">
        <v>198</v>
      </c>
      <c r="W7" s="53">
        <v>-8985.7142857142862</v>
      </c>
      <c r="X7" s="49" t="s">
        <v>198</v>
      </c>
      <c r="Y7" s="51">
        <v>0.15384615384615385</v>
      </c>
      <c r="Z7" s="49" t="s">
        <v>198</v>
      </c>
      <c r="AA7" s="52">
        <v>0.30990415335463256</v>
      </c>
      <c r="AB7" s="49" t="s">
        <v>126</v>
      </c>
      <c r="AC7" s="52">
        <v>0.14821124361158433</v>
      </c>
      <c r="AD7" s="49" t="s">
        <v>198</v>
      </c>
      <c r="AE7" s="52">
        <v>0.52577319587628868</v>
      </c>
      <c r="AF7" s="49" t="s">
        <v>139</v>
      </c>
      <c r="AG7" s="52">
        <v>0.37106918238993708</v>
      </c>
      <c r="AH7" s="49" t="s">
        <v>139</v>
      </c>
      <c r="AI7" s="52">
        <v>0.46219931271477666</v>
      </c>
      <c r="AJ7" s="49" t="s">
        <v>192</v>
      </c>
      <c r="AK7" s="56">
        <v>96200</v>
      </c>
    </row>
    <row r="8" spans="1:37" x14ac:dyDescent="0.4">
      <c r="A8" s="46">
        <v>6</v>
      </c>
      <c r="B8" s="49" t="s">
        <v>194</v>
      </c>
      <c r="C8" s="114">
        <v>25</v>
      </c>
      <c r="D8" s="47" t="s">
        <v>194</v>
      </c>
      <c r="E8" s="48">
        <v>-212.20000000000007</v>
      </c>
      <c r="F8" s="49" t="s">
        <v>194</v>
      </c>
      <c r="G8" s="61">
        <v>-8.4880000000000031</v>
      </c>
      <c r="H8" s="49" t="s">
        <v>198</v>
      </c>
      <c r="I8" s="53">
        <v>1384.1908394993188</v>
      </c>
      <c r="J8" s="49" t="s">
        <v>194</v>
      </c>
      <c r="K8" s="50">
        <v>2.2000000000000002</v>
      </c>
      <c r="L8" s="49" t="s">
        <v>192</v>
      </c>
      <c r="M8" s="51">
        <v>0.21276595744680851</v>
      </c>
      <c r="N8" s="49" t="s">
        <v>194</v>
      </c>
      <c r="O8" s="51">
        <v>0.48</v>
      </c>
      <c r="P8" s="49" t="s">
        <v>192</v>
      </c>
      <c r="Q8" s="52">
        <v>0.25964010282776351</v>
      </c>
      <c r="R8" s="49" t="s">
        <v>198</v>
      </c>
      <c r="S8" s="52">
        <v>0.17891373801916932</v>
      </c>
      <c r="T8" s="49" t="s">
        <v>192</v>
      </c>
      <c r="U8" s="53">
        <v>8561.3861386138615</v>
      </c>
      <c r="V8" s="49" t="s">
        <v>126</v>
      </c>
      <c r="W8" s="53">
        <v>-9110</v>
      </c>
      <c r="X8" s="49" t="s">
        <v>194</v>
      </c>
      <c r="Y8" s="51">
        <v>0.16</v>
      </c>
      <c r="Z8" s="49" t="s">
        <v>192</v>
      </c>
      <c r="AA8" s="52">
        <v>0.23907455012853471</v>
      </c>
      <c r="AB8" s="49" t="s">
        <v>194</v>
      </c>
      <c r="AC8" s="52">
        <v>0.13170731707317074</v>
      </c>
      <c r="AD8" s="49" t="s">
        <v>163</v>
      </c>
      <c r="AE8" s="52">
        <v>0.5</v>
      </c>
      <c r="AF8" s="49" t="s">
        <v>194</v>
      </c>
      <c r="AG8" s="52">
        <v>0.18518518518518517</v>
      </c>
      <c r="AH8" s="49" t="s">
        <v>198</v>
      </c>
      <c r="AI8" s="52">
        <v>0.45121951219512196</v>
      </c>
      <c r="AJ8" s="49" t="s">
        <v>194</v>
      </c>
      <c r="AK8" s="56">
        <v>82600</v>
      </c>
    </row>
    <row r="9" spans="1:37" x14ac:dyDescent="0.4">
      <c r="A9" s="46">
        <v>7</v>
      </c>
      <c r="B9" s="49" t="s">
        <v>197</v>
      </c>
      <c r="C9" s="114">
        <v>3</v>
      </c>
      <c r="D9" s="47" t="s">
        <v>192</v>
      </c>
      <c r="E9" s="48">
        <v>-344</v>
      </c>
      <c r="F9" s="49" t="s">
        <v>197</v>
      </c>
      <c r="G9" s="61">
        <v>-37.800000000000004</v>
      </c>
      <c r="H9" s="49" t="s">
        <v>194</v>
      </c>
      <c r="I9" s="53">
        <v>1372.5824902185618</v>
      </c>
      <c r="J9" s="49" t="s">
        <v>197</v>
      </c>
      <c r="K9" s="50">
        <v>3</v>
      </c>
      <c r="L9" s="49" t="s">
        <v>197</v>
      </c>
      <c r="M9" s="51">
        <v>0</v>
      </c>
      <c r="N9" s="49" t="s">
        <v>197</v>
      </c>
      <c r="O9" s="51">
        <v>1</v>
      </c>
      <c r="P9" s="49" t="s">
        <v>197</v>
      </c>
      <c r="Q9" s="52">
        <v>0.11764705882352941</v>
      </c>
      <c r="R9" s="49" t="s">
        <v>197</v>
      </c>
      <c r="S9" s="52">
        <v>0.41176470588235292</v>
      </c>
      <c r="T9" s="49" t="s">
        <v>197</v>
      </c>
      <c r="U9" s="53">
        <v>1600</v>
      </c>
      <c r="V9" s="49" t="s">
        <v>194</v>
      </c>
      <c r="W9" s="53">
        <v>-9488.2352941176468</v>
      </c>
      <c r="X9" s="49" t="s">
        <v>197</v>
      </c>
      <c r="Y9" s="51">
        <v>0.66666666666666663</v>
      </c>
      <c r="Z9" s="49" t="s">
        <v>197</v>
      </c>
      <c r="AA9" s="52">
        <v>5.8823529411764705E-2</v>
      </c>
      <c r="AB9" s="49" t="s">
        <v>198</v>
      </c>
      <c r="AC9" s="52">
        <v>0.11501597444089456</v>
      </c>
      <c r="AD9" s="49" t="s">
        <v>197</v>
      </c>
      <c r="AE9" s="52">
        <v>0</v>
      </c>
      <c r="AF9" s="49" t="s">
        <v>198</v>
      </c>
      <c r="AG9" s="52">
        <v>0.16666666666666666</v>
      </c>
      <c r="AH9" s="49" t="s">
        <v>126</v>
      </c>
      <c r="AI9" s="52">
        <v>0.43062200956937802</v>
      </c>
      <c r="AJ9" s="49" t="s">
        <v>197</v>
      </c>
      <c r="AK9" s="56">
        <v>28500</v>
      </c>
    </row>
  </sheetData>
  <sortState xmlns:xlrd2="http://schemas.microsoft.com/office/spreadsheetml/2017/richdata2" ref="AJ3:AK6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BB854-6436-4DD2-98E3-E915FF0B6670}">
  <sheetPr codeName="Sheet4"/>
  <dimension ref="A1:R24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246</v>
      </c>
      <c r="C2" s="134"/>
      <c r="E2" s="26" t="s">
        <v>66</v>
      </c>
      <c r="F2" s="23" t="s">
        <v>22</v>
      </c>
      <c r="G2" s="11">
        <v>439</v>
      </c>
      <c r="H2" s="87">
        <f>IF(B$20=0,0,G2/B$20)</f>
        <v>0.75429553264604809</v>
      </c>
      <c r="I2" s="57">
        <v>3</v>
      </c>
      <c r="K2" s="73">
        <v>0</v>
      </c>
      <c r="L2" s="118">
        <v>0</v>
      </c>
      <c r="M2" s="116">
        <v>1604.9485979299698</v>
      </c>
      <c r="O2" s="73" t="s">
        <v>128</v>
      </c>
      <c r="P2" s="79">
        <f t="shared" ref="P2:P7" si="0">IF(Q2=0,0,R2/Q2)</f>
        <v>-32.921810699588477</v>
      </c>
      <c r="Q2" s="76">
        <v>243</v>
      </c>
      <c r="R2" s="63">
        <v>-8000</v>
      </c>
    </row>
    <row r="3" spans="1:18" x14ac:dyDescent="0.4">
      <c r="A3" s="19" t="s">
        <v>8</v>
      </c>
      <c r="B3" s="135">
        <v>1968</v>
      </c>
      <c r="C3" s="136"/>
      <c r="E3" s="27" t="s">
        <v>64</v>
      </c>
      <c r="F3" s="24" t="s">
        <v>20</v>
      </c>
      <c r="G3" s="12">
        <v>325</v>
      </c>
      <c r="H3" s="88">
        <f>IF(B$20=0,0,G3/B$20)</f>
        <v>0.55841924398625431</v>
      </c>
      <c r="I3" s="58">
        <v>4</v>
      </c>
      <c r="K3" s="74">
        <v>1</v>
      </c>
      <c r="L3" s="119">
        <v>50.6</v>
      </c>
      <c r="M3" s="117">
        <v>1613.4269063423899</v>
      </c>
      <c r="O3" s="74" t="s">
        <v>129</v>
      </c>
      <c r="P3" s="80">
        <f t="shared" si="0"/>
        <v>26.315789473684209</v>
      </c>
      <c r="Q3" s="77">
        <v>228</v>
      </c>
      <c r="R3" s="64">
        <v>6000</v>
      </c>
    </row>
    <row r="4" spans="1:18" x14ac:dyDescent="0.4">
      <c r="A4" s="19" t="s">
        <v>6</v>
      </c>
      <c r="B4" s="137">
        <v>0</v>
      </c>
      <c r="C4" s="138"/>
      <c r="E4" s="27" t="s">
        <v>72</v>
      </c>
      <c r="F4" s="24" t="s">
        <v>27</v>
      </c>
      <c r="G4" s="12">
        <v>260</v>
      </c>
      <c r="H4" s="88">
        <f>IF(B$20=0,0,G4/B$20)</f>
        <v>0.44673539518900346</v>
      </c>
      <c r="I4" s="58">
        <v>4</v>
      </c>
      <c r="K4" s="74">
        <v>2</v>
      </c>
      <c r="L4" s="119">
        <v>46</v>
      </c>
      <c r="M4" s="117">
        <v>1611.9183449043355</v>
      </c>
      <c r="O4" s="74" t="s">
        <v>130</v>
      </c>
      <c r="P4" s="80">
        <f t="shared" si="0"/>
        <v>-4.5662100456621006</v>
      </c>
      <c r="Q4" s="77">
        <v>219</v>
      </c>
      <c r="R4" s="64">
        <v>-1000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159</v>
      </c>
      <c r="F5" s="24" t="s">
        <v>160</v>
      </c>
      <c r="G5" s="12">
        <v>233</v>
      </c>
      <c r="H5" s="88">
        <f>IF(B$20=0,0,G5/B$20)</f>
        <v>0.40034364261168387</v>
      </c>
      <c r="I5" s="58">
        <v>5</v>
      </c>
      <c r="K5" s="74">
        <v>3</v>
      </c>
      <c r="L5" s="119">
        <v>0</v>
      </c>
      <c r="M5" s="117">
        <v>1602.9668348349096</v>
      </c>
      <c r="O5" s="74" t="s">
        <v>131</v>
      </c>
      <c r="P5" s="80">
        <f t="shared" si="0"/>
        <v>-19.607843137254903</v>
      </c>
      <c r="Q5" s="77">
        <v>204</v>
      </c>
      <c r="R5" s="64">
        <v>-4000</v>
      </c>
    </row>
    <row r="6" spans="1:18" x14ac:dyDescent="0.4">
      <c r="A6" s="19" t="s">
        <v>195</v>
      </c>
      <c r="B6" s="129">
        <v>1595.9168320150097</v>
      </c>
      <c r="C6" s="130"/>
      <c r="E6" s="27" t="s">
        <v>68</v>
      </c>
      <c r="F6" s="24" t="s">
        <v>12</v>
      </c>
      <c r="G6" s="12">
        <v>211</v>
      </c>
      <c r="H6" s="88">
        <f>IF(B$20=0,0,G6/B$20)</f>
        <v>0.36254295532646047</v>
      </c>
      <c r="I6" s="58">
        <v>3</v>
      </c>
      <c r="K6" s="74">
        <v>4</v>
      </c>
      <c r="L6" s="119">
        <v>3.7</v>
      </c>
      <c r="M6" s="117">
        <v>1603.6630338259001</v>
      </c>
      <c r="O6" s="74" t="s">
        <v>132</v>
      </c>
      <c r="P6" s="80">
        <f t="shared" si="0"/>
        <v>0</v>
      </c>
      <c r="Q6" s="77">
        <v>186</v>
      </c>
      <c r="R6" s="64">
        <v>0</v>
      </c>
    </row>
    <row r="7" spans="1:18" x14ac:dyDescent="0.4">
      <c r="A7" s="19" t="s">
        <v>1</v>
      </c>
      <c r="B7" s="139">
        <f>IF(B$2=0,0,(B$8*1+B$9*2+B$10*3)/B$2)</f>
        <v>1.9878048780487805</v>
      </c>
      <c r="C7" s="140"/>
      <c r="E7" s="27" t="s">
        <v>67</v>
      </c>
      <c r="F7" s="24" t="s">
        <v>23</v>
      </c>
      <c r="G7" s="12">
        <v>159</v>
      </c>
      <c r="H7" s="88">
        <f>IF(B$20=0,0,G7/B$20)</f>
        <v>0.27319587628865977</v>
      </c>
      <c r="I7" s="58">
        <v>3</v>
      </c>
      <c r="K7" s="74">
        <v>5</v>
      </c>
      <c r="L7" s="119">
        <v>50.900000000000006</v>
      </c>
      <c r="M7" s="117">
        <v>1612.1850556229447</v>
      </c>
      <c r="O7" s="75" t="s">
        <v>133</v>
      </c>
      <c r="P7" s="81">
        <f t="shared" si="0"/>
        <v>36.363636363636367</v>
      </c>
      <c r="Q7" s="78">
        <v>165</v>
      </c>
      <c r="R7" s="65">
        <v>6000</v>
      </c>
    </row>
    <row r="8" spans="1:18" x14ac:dyDescent="0.4">
      <c r="A8" s="19" t="s">
        <v>2</v>
      </c>
      <c r="B8" s="12">
        <v>84</v>
      </c>
      <c r="C8" s="6">
        <f t="shared" ref="C8:C15" si="1">IF(B$2=0,0,B8/B$2)</f>
        <v>0.34146341463414637</v>
      </c>
      <c r="E8" s="27" t="s">
        <v>69</v>
      </c>
      <c r="F8" s="24" t="s">
        <v>24</v>
      </c>
      <c r="G8" s="12">
        <v>97</v>
      </c>
      <c r="H8" s="88">
        <f>IF(B$20=0,0,G8/B$20)</f>
        <v>0.16666666666666666</v>
      </c>
      <c r="I8" s="58">
        <v>4</v>
      </c>
      <c r="K8" s="74">
        <v>6</v>
      </c>
      <c r="L8" s="119">
        <v>7.1054273576010019E-15</v>
      </c>
      <c r="M8" s="117">
        <v>1602.9979452892071</v>
      </c>
      <c r="O8" s="107"/>
      <c r="P8" s="85"/>
      <c r="Q8" s="108"/>
      <c r="R8" s="70"/>
    </row>
    <row r="9" spans="1:18" x14ac:dyDescent="0.4">
      <c r="A9" s="19" t="s">
        <v>3</v>
      </c>
      <c r="B9" s="12">
        <v>81</v>
      </c>
      <c r="C9" s="6">
        <f t="shared" si="1"/>
        <v>0.32926829268292684</v>
      </c>
      <c r="E9" s="27" t="s">
        <v>65</v>
      </c>
      <c r="F9" s="24" t="s">
        <v>21</v>
      </c>
      <c r="G9" s="12">
        <v>84</v>
      </c>
      <c r="H9" s="88">
        <f>IF(B$20=0,0,G9/B$20)</f>
        <v>0.14432989690721648</v>
      </c>
      <c r="I9" s="58">
        <v>3</v>
      </c>
      <c r="K9" s="74">
        <v>7</v>
      </c>
      <c r="L9" s="119">
        <v>-5.2999999999999927</v>
      </c>
      <c r="M9" s="117">
        <v>1602.0739576174719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81</v>
      </c>
      <c r="C10" s="7">
        <f t="shared" si="1"/>
        <v>0.32926829268292684</v>
      </c>
      <c r="E10" s="27" t="s">
        <v>89</v>
      </c>
      <c r="F10" s="24" t="s">
        <v>44</v>
      </c>
      <c r="G10" s="12">
        <v>76</v>
      </c>
      <c r="H10" s="88">
        <f>IF(B$20=0,0,G10/B$20)</f>
        <v>0.13058419243986255</v>
      </c>
      <c r="I10" s="58">
        <v>4</v>
      </c>
      <c r="K10" s="74">
        <v>8</v>
      </c>
      <c r="L10" s="119">
        <v>16.500000000000007</v>
      </c>
      <c r="M10" s="117">
        <v>1606.0335138717671</v>
      </c>
      <c r="O10" s="73" t="s">
        <v>151</v>
      </c>
      <c r="P10" s="82">
        <f>IF(Q10=0,0,R10/Q10)</f>
        <v>3.8012195121951233</v>
      </c>
      <c r="Q10" s="76">
        <v>82</v>
      </c>
      <c r="R10" s="67">
        <v>311.7000000000001</v>
      </c>
    </row>
    <row r="11" spans="1:18" x14ac:dyDescent="0.4">
      <c r="A11" s="20" t="s">
        <v>184</v>
      </c>
      <c r="B11" s="109">
        <f>IF(B8=0,0,C11/B8)</f>
        <v>45.780952380952371</v>
      </c>
      <c r="C11" s="110">
        <v>3845.599999999999</v>
      </c>
      <c r="E11" s="27" t="s">
        <v>70</v>
      </c>
      <c r="F11" s="24" t="s">
        <v>25</v>
      </c>
      <c r="G11" s="12">
        <v>66</v>
      </c>
      <c r="H11" s="88">
        <f>IF(B$20=0,0,G11/B$20)</f>
        <v>0.1134020618556701</v>
      </c>
      <c r="I11" s="58">
        <v>3</v>
      </c>
      <c r="K11" s="74">
        <v>9</v>
      </c>
      <c r="L11" s="119">
        <v>7.1054273576010019E-15</v>
      </c>
      <c r="M11" s="117">
        <v>1603.0753127885366</v>
      </c>
      <c r="O11" s="74" t="s">
        <v>152</v>
      </c>
      <c r="P11" s="83">
        <f>IF(Q11=0,0,R11/Q11)</f>
        <v>-5.5353658536585355</v>
      </c>
      <c r="Q11" s="77">
        <v>82</v>
      </c>
      <c r="R11" s="68">
        <v>-453.89999999999992</v>
      </c>
    </row>
    <row r="12" spans="1:18" x14ac:dyDescent="0.4">
      <c r="A12" s="20" t="s">
        <v>185</v>
      </c>
      <c r="B12" s="109">
        <f>IF(B9=0,0,C12/B9)</f>
        <v>-3.7629629629629631</v>
      </c>
      <c r="C12" s="110">
        <v>-304.8</v>
      </c>
      <c r="E12" s="27" t="s">
        <v>86</v>
      </c>
      <c r="F12" s="24" t="s">
        <v>41</v>
      </c>
      <c r="G12" s="12">
        <v>39</v>
      </c>
      <c r="H12" s="88">
        <f>IF(B$20=0,0,G12/B$20)</f>
        <v>6.7010309278350513E-2</v>
      </c>
      <c r="I12" s="58">
        <v>4</v>
      </c>
      <c r="K12" s="74">
        <v>10</v>
      </c>
      <c r="L12" s="119">
        <v>18.000000000000007</v>
      </c>
      <c r="M12" s="117">
        <v>1606.4528609118054</v>
      </c>
      <c r="O12" s="75" t="s">
        <v>153</v>
      </c>
      <c r="P12" s="84">
        <f>IF(Q12=0,0,R12/Q12)</f>
        <v>1.7341463414634144</v>
      </c>
      <c r="Q12" s="78">
        <v>82</v>
      </c>
      <c r="R12" s="69">
        <v>142.19999999999999</v>
      </c>
    </row>
    <row r="13" spans="1:18" x14ac:dyDescent="0.4">
      <c r="A13" s="20" t="s">
        <v>186</v>
      </c>
      <c r="B13" s="109">
        <f>IF(B10=0,0,C13/B10)</f>
        <v>-43.713580246913601</v>
      </c>
      <c r="C13" s="110">
        <v>-3540.8000000000015</v>
      </c>
      <c r="E13" s="27" t="s">
        <v>71</v>
      </c>
      <c r="F13" s="24" t="s">
        <v>26</v>
      </c>
      <c r="G13" s="12">
        <v>38</v>
      </c>
      <c r="H13" s="88">
        <f>IF(B$20=0,0,G13/B$20)</f>
        <v>6.5292096219931275E-2</v>
      </c>
      <c r="I13" s="58">
        <v>4</v>
      </c>
      <c r="K13" s="74">
        <v>11</v>
      </c>
      <c r="L13" s="119">
        <v>21.600000000000009</v>
      </c>
      <c r="M13" s="117">
        <v>1607.2181437463346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-0.565196942974732</v>
      </c>
      <c r="C14" s="126"/>
      <c r="E14" s="27" t="s">
        <v>83</v>
      </c>
      <c r="F14" s="24" t="s">
        <v>38</v>
      </c>
      <c r="G14" s="12">
        <v>22</v>
      </c>
      <c r="H14" s="88">
        <f>IF(B$20=0,0,G14/B$20)</f>
        <v>3.7800687285223365E-2</v>
      </c>
      <c r="I14" s="58">
        <v>4</v>
      </c>
      <c r="K14" s="74">
        <v>12</v>
      </c>
      <c r="L14" s="119">
        <v>7.1054273576010019E-15</v>
      </c>
      <c r="M14" s="117">
        <v>1603.4428348838567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31</v>
      </c>
      <c r="C15" s="9">
        <f t="shared" si="1"/>
        <v>0.12601626016260162</v>
      </c>
      <c r="E15" s="27" t="s">
        <v>78</v>
      </c>
      <c r="F15" s="24" t="s">
        <v>33</v>
      </c>
      <c r="G15" s="12">
        <v>18</v>
      </c>
      <c r="H15" s="88">
        <f>IF(B$20=0,0,G15/B$20)</f>
        <v>3.0927835051546393E-2</v>
      </c>
      <c r="I15" s="58">
        <v>3</v>
      </c>
      <c r="K15" s="74">
        <v>13</v>
      </c>
      <c r="L15" s="119">
        <v>16.900000000000006</v>
      </c>
      <c r="M15" s="117">
        <v>1606.8361778745536</v>
      </c>
      <c r="O15" s="73" t="s">
        <v>197</v>
      </c>
      <c r="P15" s="82">
        <f>IF(Q15=0,0,R15/Q15)</f>
        <v>56.699999999999996</v>
      </c>
      <c r="Q15" s="76">
        <v>6</v>
      </c>
      <c r="R15" s="67">
        <v>340.2</v>
      </c>
    </row>
    <row r="16" spans="1:18" x14ac:dyDescent="0.4">
      <c r="A16" s="22" t="s">
        <v>121</v>
      </c>
      <c r="B16" s="15">
        <v>627</v>
      </c>
      <c r="C16" s="10">
        <f>IF(B$3=0,0,B16/B$3)</f>
        <v>0.31859756097560976</v>
      </c>
      <c r="E16" s="27" t="s">
        <v>81</v>
      </c>
      <c r="F16" s="24" t="s">
        <v>36</v>
      </c>
      <c r="G16" s="12">
        <v>18</v>
      </c>
      <c r="H16" s="88">
        <f>IF(B$20=0,0,G16/B$20)</f>
        <v>3.0927835051546393E-2</v>
      </c>
      <c r="I16" s="58">
        <v>3</v>
      </c>
      <c r="K16" s="74">
        <v>14</v>
      </c>
      <c r="L16" s="119">
        <v>18.100000000000005</v>
      </c>
      <c r="M16" s="117">
        <v>1607.3831608073062</v>
      </c>
      <c r="O16" s="74" t="s">
        <v>194</v>
      </c>
      <c r="P16" s="83">
        <f>IF(Q16=0,0,R16/Q16)</f>
        <v>12.731999999999994</v>
      </c>
      <c r="Q16" s="77">
        <v>50</v>
      </c>
      <c r="R16" s="68">
        <v>636.59999999999968</v>
      </c>
    </row>
    <row r="17" spans="1:18" x14ac:dyDescent="0.4">
      <c r="A17" s="19" t="s">
        <v>118</v>
      </c>
      <c r="B17" s="12">
        <v>318</v>
      </c>
      <c r="C17" s="6">
        <f>IF(B$3=0,0,B17/B$3)</f>
        <v>0.16158536585365854</v>
      </c>
      <c r="E17" s="27" t="s">
        <v>91</v>
      </c>
      <c r="F17" s="24" t="s">
        <v>46</v>
      </c>
      <c r="G17" s="12">
        <v>10</v>
      </c>
      <c r="H17" s="88">
        <f>IF(B$20=0,0,G17/B$20)</f>
        <v>1.7182130584192441E-2</v>
      </c>
      <c r="I17" s="58">
        <v>4</v>
      </c>
      <c r="K17" s="74">
        <v>15</v>
      </c>
      <c r="L17" s="119">
        <v>3.5527136788005009E-15</v>
      </c>
      <c r="M17" s="117">
        <v>1604.4528618424624</v>
      </c>
      <c r="O17" s="74" t="s">
        <v>192</v>
      </c>
      <c r="P17" s="83">
        <f>IF(Q17=0,0,R17/Q17)</f>
        <v>10.978723404255325</v>
      </c>
      <c r="Q17" s="77">
        <v>94</v>
      </c>
      <c r="R17" s="68">
        <v>1032.0000000000005</v>
      </c>
    </row>
    <row r="18" spans="1:18" x14ac:dyDescent="0.4">
      <c r="A18" s="18" t="s">
        <v>123</v>
      </c>
      <c r="B18" s="11">
        <f>B24</f>
        <v>339</v>
      </c>
      <c r="C18" s="5">
        <f>IF(B$16=0,0,B18/B$16)</f>
        <v>0.54066985645933019</v>
      </c>
      <c r="E18" s="27" t="s">
        <v>155</v>
      </c>
      <c r="F18" s="24" t="s">
        <v>156</v>
      </c>
      <c r="G18" s="12">
        <v>9</v>
      </c>
      <c r="H18" s="88">
        <f>IF(B$20=0,0,G18/B$20)</f>
        <v>1.5463917525773196E-2</v>
      </c>
      <c r="I18" s="58">
        <v>3</v>
      </c>
      <c r="K18" s="74">
        <v>16</v>
      </c>
      <c r="L18" s="119">
        <v>76.5</v>
      </c>
      <c r="M18" s="117">
        <v>1618.5681446714077</v>
      </c>
      <c r="O18" s="74" t="s">
        <v>198</v>
      </c>
      <c r="P18" s="83">
        <f>IF(Q18=0,0,R18/Q18)</f>
        <v>7.9846153846153838</v>
      </c>
      <c r="Q18" s="77">
        <v>78</v>
      </c>
      <c r="R18" s="68">
        <v>622.79999999999995</v>
      </c>
    </row>
    <row r="19" spans="1:18" x14ac:dyDescent="0.4">
      <c r="A19" s="18" t="s">
        <v>124</v>
      </c>
      <c r="B19" s="11">
        <f>B25</f>
        <v>118</v>
      </c>
      <c r="C19" s="5">
        <f>IF(B$17=0,0,B19/B$17)</f>
        <v>0.37106918238993708</v>
      </c>
      <c r="E19" s="27" t="s">
        <v>93</v>
      </c>
      <c r="F19" s="24" t="s">
        <v>48</v>
      </c>
      <c r="G19" s="12">
        <v>6</v>
      </c>
      <c r="H19" s="88">
        <f>IF(B$20=0,0,G19/B$20)</f>
        <v>1.0309278350515464E-2</v>
      </c>
      <c r="I19" s="58">
        <v>2</v>
      </c>
      <c r="K19" s="74">
        <v>17</v>
      </c>
      <c r="L19" s="119">
        <v>46</v>
      </c>
      <c r="M19" s="117">
        <v>1613.3387358033792</v>
      </c>
      <c r="O19" s="74" t="s">
        <v>163</v>
      </c>
      <c r="P19" s="83">
        <f>IF(Q19=0,0,R19/Q19)</f>
        <v>-4.0144067796610132</v>
      </c>
      <c r="Q19" s="77">
        <v>118</v>
      </c>
      <c r="R19" s="68">
        <v>-473.69999999999953</v>
      </c>
    </row>
    <row r="20" spans="1:18" x14ac:dyDescent="0.4">
      <c r="A20" s="18" t="s">
        <v>10</v>
      </c>
      <c r="B20" s="11">
        <f>B23+B22</f>
        <v>582</v>
      </c>
      <c r="C20" s="5">
        <f>IF(B$3=0,0,B20/B$3)</f>
        <v>0.29573170731707316</v>
      </c>
      <c r="E20" s="27" t="s">
        <v>73</v>
      </c>
      <c r="F20" s="24" t="s">
        <v>28</v>
      </c>
      <c r="G20" s="12">
        <v>5</v>
      </c>
      <c r="H20" s="88">
        <f>IF(B$20=0,0,G20/B$20)</f>
        <v>8.5910652920962206E-3</v>
      </c>
      <c r="I20" s="58">
        <v>3</v>
      </c>
      <c r="K20" s="74">
        <v>18</v>
      </c>
      <c r="L20" s="119">
        <v>0</v>
      </c>
      <c r="M20" s="117">
        <v>1605.3507033885589</v>
      </c>
      <c r="O20" s="74" t="s">
        <v>126</v>
      </c>
      <c r="P20" s="83">
        <f>IF(Q20=0,0,R20/Q20)</f>
        <v>-14.780136986301367</v>
      </c>
      <c r="Q20" s="77">
        <v>146</v>
      </c>
      <c r="R20" s="68">
        <v>-2157.8999999999996</v>
      </c>
    </row>
    <row r="21" spans="1:18" x14ac:dyDescent="0.4">
      <c r="A21" s="19" t="s">
        <v>13</v>
      </c>
      <c r="B21" s="12">
        <v>309</v>
      </c>
      <c r="C21" s="6">
        <f>IF(B$3=0,0,B21/B$3)</f>
        <v>0.15701219512195122</v>
      </c>
      <c r="E21" s="27" t="s">
        <v>92</v>
      </c>
      <c r="F21" s="24" t="s">
        <v>47</v>
      </c>
      <c r="G21" s="12">
        <v>4</v>
      </c>
      <c r="H21" s="88">
        <f>IF(B$20=0,0,G21/B$20)</f>
        <v>6.8728522336769758E-3</v>
      </c>
      <c r="I21" s="58">
        <v>3</v>
      </c>
      <c r="K21" s="74">
        <v>19</v>
      </c>
      <c r="L21" s="119">
        <v>-51.2</v>
      </c>
      <c r="M21" s="117">
        <v>1596.4745991682275</v>
      </c>
    </row>
    <row r="22" spans="1:18" x14ac:dyDescent="0.4">
      <c r="A22" s="19" t="s">
        <v>12</v>
      </c>
      <c r="B22" s="12">
        <v>269</v>
      </c>
      <c r="C22" s="6">
        <f>IF(B$20=0,0,B22/B$20)</f>
        <v>0.46219931271477666</v>
      </c>
      <c r="E22" s="27" t="s">
        <v>90</v>
      </c>
      <c r="F22" s="24" t="s">
        <v>45</v>
      </c>
      <c r="G22" s="12">
        <v>3</v>
      </c>
      <c r="H22" s="88">
        <f>IF(B$20=0,0,G22/B$20)</f>
        <v>5.1546391752577319E-3</v>
      </c>
      <c r="I22" s="58">
        <v>3</v>
      </c>
      <c r="K22" s="74">
        <v>20</v>
      </c>
      <c r="L22" s="119">
        <v>-52.6</v>
      </c>
      <c r="M22" s="117">
        <v>1596.6157515732182</v>
      </c>
    </row>
    <row r="23" spans="1:18" x14ac:dyDescent="0.4">
      <c r="A23" s="19" t="s">
        <v>11</v>
      </c>
      <c r="B23" s="12">
        <v>313</v>
      </c>
      <c r="C23" s="6">
        <f>IF(B$20=0,0,B23/B$20)</f>
        <v>0.53780068728522334</v>
      </c>
      <c r="E23" s="27" t="s">
        <v>74</v>
      </c>
      <c r="F23" s="24" t="s">
        <v>29</v>
      </c>
      <c r="G23" s="12">
        <v>2</v>
      </c>
      <c r="H23" s="88">
        <f>IF(B$20=0,0,G23/B$20)</f>
        <v>3.4364261168384879E-3</v>
      </c>
      <c r="I23" s="58">
        <v>3</v>
      </c>
      <c r="K23" s="74">
        <v>21</v>
      </c>
      <c r="L23" s="119">
        <v>0</v>
      </c>
      <c r="M23" s="117">
        <v>1606.4760570637789</v>
      </c>
    </row>
    <row r="24" spans="1:18" x14ac:dyDescent="0.4">
      <c r="A24" s="19" t="s">
        <v>183</v>
      </c>
      <c r="B24" s="12">
        <v>339</v>
      </c>
      <c r="C24" s="6">
        <f>IF(B$20=0,0,B24/B$20)</f>
        <v>0.58247422680412375</v>
      </c>
      <c r="E24" s="27" t="s">
        <v>79</v>
      </c>
      <c r="F24" s="24" t="s">
        <v>34</v>
      </c>
      <c r="G24" s="12">
        <v>2</v>
      </c>
      <c r="H24" s="88">
        <f>IF(B$20=0,0,G24/B$20)</f>
        <v>3.4364261168384879E-3</v>
      </c>
      <c r="I24" s="58">
        <v>3</v>
      </c>
      <c r="K24" s="74">
        <v>22</v>
      </c>
      <c r="L24" s="119">
        <v>51.1</v>
      </c>
      <c r="M24" s="117">
        <v>1616.0072007213962</v>
      </c>
    </row>
    <row r="25" spans="1:18" x14ac:dyDescent="0.4">
      <c r="A25" s="19" t="s">
        <v>181</v>
      </c>
      <c r="B25" s="12">
        <v>118</v>
      </c>
      <c r="C25" s="6">
        <f>IF(B$20=0,0,B25/B$20)</f>
        <v>0.20274914089347079</v>
      </c>
      <c r="E25" s="27" t="s">
        <v>88</v>
      </c>
      <c r="F25" s="24" t="s">
        <v>43</v>
      </c>
      <c r="G25" s="12">
        <v>2</v>
      </c>
      <c r="H25" s="88">
        <f>IF(B$20=0,0,G25/B$20)</f>
        <v>3.4364261168384879E-3</v>
      </c>
      <c r="I25" s="58">
        <v>2</v>
      </c>
      <c r="K25" s="74">
        <v>23</v>
      </c>
      <c r="L25" s="119">
        <v>38.299999999999997</v>
      </c>
      <c r="M25" s="117">
        <v>1613.9791575170677</v>
      </c>
    </row>
    <row r="26" spans="1:18" x14ac:dyDescent="0.4">
      <c r="A26" s="19" t="s">
        <v>182</v>
      </c>
      <c r="B26" s="12">
        <v>125</v>
      </c>
      <c r="C26" s="6">
        <f>IF(B$20=0,0,B26/B$20)</f>
        <v>0.21477663230240548</v>
      </c>
      <c r="E26" s="27" t="s">
        <v>75</v>
      </c>
      <c r="F26" s="24" t="s">
        <v>30</v>
      </c>
      <c r="G26" s="12">
        <v>1</v>
      </c>
      <c r="H26" s="88">
        <f>IF(B$20=0,0,G26/B$20)</f>
        <v>1.718213058419244E-3</v>
      </c>
      <c r="I26" s="58">
        <v>2</v>
      </c>
      <c r="K26" s="74">
        <v>24</v>
      </c>
      <c r="L26" s="119">
        <v>0</v>
      </c>
      <c r="M26" s="117">
        <v>1607.3732825719653</v>
      </c>
    </row>
    <row r="27" spans="1:18" x14ac:dyDescent="0.4">
      <c r="A27" s="19" t="s">
        <v>5</v>
      </c>
      <c r="B27" s="16">
        <f>IF(B$20=0,0,C27/B$20)</f>
        <v>9360.8247422680415</v>
      </c>
      <c r="C27" s="8">
        <v>5448000</v>
      </c>
      <c r="E27" s="27" t="s">
        <v>77</v>
      </c>
      <c r="F27" s="24" t="s">
        <v>32</v>
      </c>
      <c r="G27" s="12">
        <v>1</v>
      </c>
      <c r="H27" s="88">
        <f>IF(B$20=0,0,G27/B$20)</f>
        <v>1.718213058419244E-3</v>
      </c>
      <c r="I27" s="58">
        <v>2</v>
      </c>
      <c r="K27" s="74">
        <v>25</v>
      </c>
      <c r="L27" s="119">
        <v>-21.2</v>
      </c>
      <c r="M27" s="117">
        <v>1603.8850428765336</v>
      </c>
    </row>
    <row r="28" spans="1:18" x14ac:dyDescent="0.4">
      <c r="A28" s="20" t="s">
        <v>165</v>
      </c>
      <c r="B28" s="95">
        <f>IF($B$20-B$19=0,0,C28/($B$20-B$19))</f>
        <v>9875.2155172413786</v>
      </c>
      <c r="C28" s="96">
        <v>4582100</v>
      </c>
      <c r="E28" s="27" t="s">
        <v>84</v>
      </c>
      <c r="F28" s="24" t="s">
        <v>39</v>
      </c>
      <c r="G28" s="12">
        <v>1</v>
      </c>
      <c r="H28" s="88">
        <f>IF(B$20=0,0,G28/B$20)</f>
        <v>1.718213058419244E-3</v>
      </c>
      <c r="I28" s="58">
        <v>2</v>
      </c>
      <c r="K28" s="74">
        <v>26</v>
      </c>
      <c r="L28" s="119">
        <v>-28.299999999999997</v>
      </c>
      <c r="M28" s="117">
        <v>1602.9557326192744</v>
      </c>
    </row>
    <row r="29" spans="1:18" x14ac:dyDescent="0.4">
      <c r="A29" s="20" t="s">
        <v>166</v>
      </c>
      <c r="B29" s="95">
        <f>IF(B$19=0,0,C29/B$19)</f>
        <v>7338.1355932203387</v>
      </c>
      <c r="C29" s="96">
        <v>865900</v>
      </c>
      <c r="E29" s="27" t="s">
        <v>85</v>
      </c>
      <c r="F29" s="24" t="s">
        <v>40</v>
      </c>
      <c r="G29" s="12">
        <v>1</v>
      </c>
      <c r="H29" s="88">
        <f>IF(B$20=0,0,G29/B$20)</f>
        <v>1.718213058419244E-3</v>
      </c>
      <c r="I29" s="58">
        <v>2</v>
      </c>
      <c r="K29" s="74">
        <v>27</v>
      </c>
      <c r="L29" s="119">
        <v>3.5527136788005009E-15</v>
      </c>
      <c r="M29" s="117">
        <v>1608.4039982235588</v>
      </c>
    </row>
    <row r="30" spans="1:18" x14ac:dyDescent="0.4">
      <c r="A30" s="20" t="s">
        <v>164</v>
      </c>
      <c r="B30" s="95">
        <f>IF(B$21=0,0,C30/B$21)</f>
        <v>-8616.8284789644022</v>
      </c>
      <c r="C30" s="96">
        <v>-2662600</v>
      </c>
      <c r="E30" s="27" t="s">
        <v>87</v>
      </c>
      <c r="F30" s="24" t="s">
        <v>42</v>
      </c>
      <c r="G30" s="12">
        <v>1</v>
      </c>
      <c r="H30" s="88">
        <f>IF(B$20=0,0,G30/B$20)</f>
        <v>1.718213058419244E-3</v>
      </c>
      <c r="I30" s="58">
        <v>2</v>
      </c>
      <c r="K30" s="74">
        <v>28</v>
      </c>
      <c r="L30" s="119">
        <v>-24.299999999999997</v>
      </c>
      <c r="M30" s="117">
        <v>1604.1235742342174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94</v>
      </c>
      <c r="F31" s="24" t="s">
        <v>49</v>
      </c>
      <c r="G31" s="12">
        <v>1</v>
      </c>
      <c r="H31" s="88">
        <f>IF(B$20=0,0,G31/B$20)</f>
        <v>1.718213058419244E-3</v>
      </c>
      <c r="I31" s="58">
        <v>2</v>
      </c>
      <c r="K31" s="74">
        <v>29</v>
      </c>
      <c r="L31" s="119">
        <v>4.6000000000000014</v>
      </c>
      <c r="M31" s="117">
        <v>1609.4448327888122</v>
      </c>
    </row>
    <row r="32" spans="1:18" x14ac:dyDescent="0.4">
      <c r="A32" s="19" t="s">
        <v>158</v>
      </c>
      <c r="B32" s="12">
        <v>41</v>
      </c>
      <c r="C32" s="90">
        <v>7</v>
      </c>
      <c r="E32" s="27" t="s">
        <v>98</v>
      </c>
      <c r="F32" s="24" t="s">
        <v>53</v>
      </c>
      <c r="G32" s="12">
        <v>1</v>
      </c>
      <c r="H32" s="88">
        <f>IF(B$20=0,0,G32/B$20)</f>
        <v>1.718213058419244E-3</v>
      </c>
      <c r="I32" s="58">
        <v>2</v>
      </c>
      <c r="K32" s="74">
        <v>30</v>
      </c>
      <c r="L32" s="119">
        <v>1.7763568394002505E-15</v>
      </c>
      <c r="M32" s="117">
        <v>1608.7041637920793</v>
      </c>
    </row>
    <row r="33" spans="1:13" x14ac:dyDescent="0.4">
      <c r="A33" s="54" t="s">
        <v>136</v>
      </c>
      <c r="B33" s="127">
        <v>7</v>
      </c>
      <c r="C33" s="128"/>
      <c r="E33" s="27" t="s">
        <v>106</v>
      </c>
      <c r="F33" s="24" t="s">
        <v>113</v>
      </c>
      <c r="G33" s="12">
        <v>1</v>
      </c>
      <c r="H33" s="88">
        <f>IF(B$20=0,0,G33/B$20)</f>
        <v>1.718213058419244E-3</v>
      </c>
      <c r="I33" s="58">
        <v>2</v>
      </c>
      <c r="K33" s="74">
        <v>31</v>
      </c>
      <c r="L33" s="119">
        <v>20</v>
      </c>
      <c r="M33" s="117">
        <v>1612.1499388093268</v>
      </c>
    </row>
    <row r="34" spans="1:13" x14ac:dyDescent="0.4">
      <c r="A34" s="22" t="s">
        <v>180</v>
      </c>
      <c r="B34" s="129">
        <v>142700</v>
      </c>
      <c r="C34" s="130"/>
      <c r="E34" s="27" t="s">
        <v>76</v>
      </c>
      <c r="F34" s="24" t="s">
        <v>31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19.399999999999999</v>
      </c>
      <c r="M34" s="117">
        <v>1611.8670391764708</v>
      </c>
    </row>
    <row r="35" spans="1:13" x14ac:dyDescent="0.4">
      <c r="A35" s="21" t="s">
        <v>137</v>
      </c>
      <c r="B35" s="29">
        <v>2</v>
      </c>
      <c r="C35" s="9">
        <f>IF(B$3=0,0,B35/B$3)</f>
        <v>1.0162601626016261E-3</v>
      </c>
      <c r="E35" s="27" t="s">
        <v>80</v>
      </c>
      <c r="F35" s="24" t="s">
        <v>35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1608.201836941412</v>
      </c>
    </row>
    <row r="36" spans="1:13" x14ac:dyDescent="0.4">
      <c r="E36" s="27" t="s">
        <v>82</v>
      </c>
      <c r="F36" s="24" t="s">
        <v>37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-18.600000000000001</v>
      </c>
      <c r="M36" s="117">
        <v>1604.7026259197635</v>
      </c>
    </row>
    <row r="37" spans="1:13" x14ac:dyDescent="0.4">
      <c r="A37" s="54" t="s">
        <v>171</v>
      </c>
      <c r="B37" s="123">
        <v>27</v>
      </c>
      <c r="C37" s="98">
        <f t="shared" ref="C37:C49" si="2">IF(B$20=0,0,B37/B$20)</f>
        <v>4.6391752577319589E-2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-57.800000000000004</v>
      </c>
      <c r="M37" s="117">
        <v>1597.5164101642449</v>
      </c>
    </row>
    <row r="38" spans="1:13" x14ac:dyDescent="0.4">
      <c r="A38" s="19" t="s">
        <v>167</v>
      </c>
      <c r="B38" s="12">
        <v>84</v>
      </c>
      <c r="C38" s="6">
        <f t="shared" si="2"/>
        <v>0.14432989690721648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-7.1054273576010019E-15</v>
      </c>
      <c r="M38" s="117">
        <v>1607.8333117032594</v>
      </c>
    </row>
    <row r="39" spans="1:13" x14ac:dyDescent="0.4">
      <c r="A39" s="19" t="s">
        <v>168</v>
      </c>
      <c r="B39" s="124">
        <v>104</v>
      </c>
      <c r="C39" s="6">
        <f t="shared" si="2"/>
        <v>0.17869415807560138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-22.600000000000009</v>
      </c>
      <c r="M39" s="117">
        <v>1603.6163118330398</v>
      </c>
    </row>
    <row r="40" spans="1:13" x14ac:dyDescent="0.4">
      <c r="A40" s="19" t="s">
        <v>169</v>
      </c>
      <c r="B40" s="124">
        <v>137</v>
      </c>
      <c r="C40" s="6">
        <f t="shared" si="2"/>
        <v>0.23539518900343642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-20.20000000000001</v>
      </c>
      <c r="M40" s="117">
        <v>1603.9246139620416</v>
      </c>
    </row>
    <row r="41" spans="1:13" x14ac:dyDescent="0.4">
      <c r="A41" s="19" t="s">
        <v>170</v>
      </c>
      <c r="B41" s="124">
        <v>93</v>
      </c>
      <c r="C41" s="6">
        <f t="shared" si="2"/>
        <v>0.15979381443298968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-1.0658141036401503E-14</v>
      </c>
      <c r="M41" s="117">
        <v>1607.4350662782692</v>
      </c>
    </row>
    <row r="42" spans="1:13" x14ac:dyDescent="0.4">
      <c r="A42" s="19" t="s">
        <v>172</v>
      </c>
      <c r="B42" s="124">
        <v>56</v>
      </c>
      <c r="C42" s="6">
        <f t="shared" si="2"/>
        <v>9.6219931271477668E-2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-40.800000000000011</v>
      </c>
      <c r="M42" s="117">
        <v>1599.9444558805997</v>
      </c>
    </row>
    <row r="43" spans="1:13" x14ac:dyDescent="0.4">
      <c r="A43" s="19" t="s">
        <v>173</v>
      </c>
      <c r="B43" s="124">
        <v>27</v>
      </c>
      <c r="C43" s="6">
        <f t="shared" si="2"/>
        <v>4.6391752577319589E-2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-43.300000000000011</v>
      </c>
      <c r="M43" s="117">
        <v>1599.3927891453161</v>
      </c>
    </row>
    <row r="44" spans="1:13" x14ac:dyDescent="0.4">
      <c r="A44" s="19" t="s">
        <v>174</v>
      </c>
      <c r="B44" s="124">
        <v>17</v>
      </c>
      <c r="C44" s="6">
        <f t="shared" si="2"/>
        <v>2.9209621993127148E-2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-1.4210854715202004E-14</v>
      </c>
      <c r="M44" s="117">
        <v>1607.0884324104443</v>
      </c>
    </row>
    <row r="45" spans="1:13" x14ac:dyDescent="0.4">
      <c r="A45" s="19" t="s">
        <v>175</v>
      </c>
      <c r="B45" s="124">
        <v>14</v>
      </c>
      <c r="C45" s="6">
        <f t="shared" si="2"/>
        <v>2.4054982817869417E-2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-47.500000000000014</v>
      </c>
      <c r="M45" s="117">
        <v>1598.3939018159815</v>
      </c>
    </row>
    <row r="46" spans="1:13" x14ac:dyDescent="0.4">
      <c r="A46" s="19" t="s">
        <v>176</v>
      </c>
      <c r="B46" s="124">
        <v>6</v>
      </c>
      <c r="C46" s="6">
        <f t="shared" si="2"/>
        <v>1.0309278350515464E-2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-56.800000000000011</v>
      </c>
      <c r="M46" s="117">
        <v>1596.6275384050857</v>
      </c>
    </row>
    <row r="47" spans="1:13" x14ac:dyDescent="0.4">
      <c r="A47" s="19" t="s">
        <v>177</v>
      </c>
      <c r="B47" s="124">
        <v>3</v>
      </c>
      <c r="C47" s="6">
        <f t="shared" si="2"/>
        <v>5.1546391752577319E-3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-1.4210854715202004E-14</v>
      </c>
      <c r="M47" s="117">
        <v>1606.7697731746553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57.599999999999987</v>
      </c>
      <c r="M48" s="117">
        <v>1616.9951545356073</v>
      </c>
    </row>
    <row r="49" spans="1:13" x14ac:dyDescent="0.4">
      <c r="A49" s="21" t="s">
        <v>179</v>
      </c>
      <c r="B49" s="97">
        <v>14</v>
      </c>
      <c r="C49" s="9">
        <f t="shared" si="2"/>
        <v>2.4054982817869417E-2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11.599999999999987</v>
      </c>
      <c r="M49" s="117">
        <v>1608.5111836083936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-1.2434497875801753E-14</v>
      </c>
      <c r="M50" s="117">
        <v>1606.2701165067433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-27.600000000000016</v>
      </c>
      <c r="M51" s="117">
        <v>1601.162495807703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-1.6000000000000156</v>
      </c>
      <c r="M52" s="117">
        <v>1605.7335208328568</v>
      </c>
    </row>
    <row r="53" spans="1:13" x14ac:dyDescent="0.4">
      <c r="K53" s="74">
        <v>51</v>
      </c>
      <c r="L53" s="119">
        <v>-1.5543122344752192E-14</v>
      </c>
      <c r="M53" s="117">
        <v>1605.8851197078598</v>
      </c>
    </row>
    <row r="54" spans="1:13" x14ac:dyDescent="0.4">
      <c r="K54" s="74">
        <v>52</v>
      </c>
      <c r="L54" s="119">
        <v>-28.600000000000016</v>
      </c>
      <c r="M54" s="117">
        <v>1600.5998089896127</v>
      </c>
    </row>
    <row r="55" spans="1:13" x14ac:dyDescent="0.4">
      <c r="K55" s="74">
        <v>53</v>
      </c>
      <c r="L55" s="119">
        <v>14.799999999999983</v>
      </c>
      <c r="M55" s="117">
        <v>1608.306210135675</v>
      </c>
    </row>
    <row r="56" spans="1:13" x14ac:dyDescent="0.4">
      <c r="K56" s="74">
        <v>54</v>
      </c>
      <c r="L56" s="119">
        <v>-1.7763568394002505E-14</v>
      </c>
      <c r="M56" s="117">
        <v>1605.4903728748609</v>
      </c>
    </row>
    <row r="57" spans="1:13" x14ac:dyDescent="0.4">
      <c r="K57" s="74">
        <v>55</v>
      </c>
      <c r="L57" s="119">
        <v>10.299999999999983</v>
      </c>
      <c r="M57" s="117">
        <v>1607.2094306376118</v>
      </c>
    </row>
    <row r="58" spans="1:13" x14ac:dyDescent="0.4">
      <c r="K58" s="74">
        <v>56</v>
      </c>
      <c r="L58" s="119">
        <v>-22.40000000000002</v>
      </c>
      <c r="M58" s="117">
        <v>1601.1781740537861</v>
      </c>
    </row>
    <row r="59" spans="1:13" x14ac:dyDescent="0.4">
      <c r="K59" s="74">
        <v>57</v>
      </c>
      <c r="L59" s="119">
        <v>-2.1316282072803006E-14</v>
      </c>
      <c r="M59" s="117">
        <v>1605.1011050094633</v>
      </c>
    </row>
    <row r="60" spans="1:13" x14ac:dyDescent="0.4">
      <c r="K60" s="74">
        <v>58</v>
      </c>
      <c r="L60" s="119">
        <v>-1.2000000000000213</v>
      </c>
      <c r="M60" s="117">
        <v>1605.2444983794064</v>
      </c>
    </row>
    <row r="61" spans="1:13" x14ac:dyDescent="0.4">
      <c r="K61" s="74">
        <v>59</v>
      </c>
      <c r="L61" s="119">
        <v>22.799999999999979</v>
      </c>
      <c r="M61" s="117">
        <v>1609.9230313891301</v>
      </c>
    </row>
    <row r="62" spans="1:13" x14ac:dyDescent="0.4">
      <c r="K62" s="74">
        <v>60</v>
      </c>
      <c r="L62" s="119">
        <v>-2.1316282072803006E-14</v>
      </c>
      <c r="M62" s="117">
        <v>1606.1494932007954</v>
      </c>
    </row>
    <row r="63" spans="1:13" x14ac:dyDescent="0.4">
      <c r="K63" s="74">
        <v>61</v>
      </c>
      <c r="L63" s="119">
        <v>37.199999999999982</v>
      </c>
      <c r="M63" s="117">
        <v>1613.1985962415906</v>
      </c>
    </row>
    <row r="64" spans="1:13" x14ac:dyDescent="0.4">
      <c r="K64" s="74">
        <v>62</v>
      </c>
      <c r="L64" s="119">
        <v>-3.2000000000000171</v>
      </c>
      <c r="M64" s="117">
        <v>1606.237404664141</v>
      </c>
    </row>
    <row r="65" spans="11:13" x14ac:dyDescent="0.4">
      <c r="K65" s="74">
        <v>63</v>
      </c>
      <c r="L65" s="119">
        <v>-1.6875389974302379E-14</v>
      </c>
      <c r="M65" s="117">
        <v>1607.1659802361562</v>
      </c>
    </row>
    <row r="66" spans="11:13" x14ac:dyDescent="0.4">
      <c r="K66" s="74">
        <v>64</v>
      </c>
      <c r="L66" s="119">
        <v>-2.2000000000000171</v>
      </c>
      <c r="M66" s="117">
        <v>1607.1169843547393</v>
      </c>
    </row>
    <row r="67" spans="11:13" x14ac:dyDescent="0.4">
      <c r="K67" s="74">
        <v>65</v>
      </c>
      <c r="L67" s="119">
        <v>-51.800000000000018</v>
      </c>
      <c r="M67" s="117">
        <v>1598.5362824486108</v>
      </c>
    </row>
    <row r="68" spans="11:13" x14ac:dyDescent="0.4">
      <c r="K68" s="74">
        <v>66</v>
      </c>
      <c r="L68" s="119">
        <v>-2.1316282072803006E-14</v>
      </c>
      <c r="M68" s="117">
        <v>1608.2590647539191</v>
      </c>
    </row>
    <row r="69" spans="11:13" x14ac:dyDescent="0.4">
      <c r="K69" s="74">
        <v>67</v>
      </c>
      <c r="L69" s="119">
        <v>11.699999999999978</v>
      </c>
      <c r="M69" s="117">
        <v>1610.7055103653956</v>
      </c>
    </row>
    <row r="70" spans="11:13" x14ac:dyDescent="0.4">
      <c r="K70" s="74">
        <v>68</v>
      </c>
      <c r="L70" s="119">
        <v>-46.40000000000002</v>
      </c>
      <c r="M70" s="117">
        <v>1600.5732773032032</v>
      </c>
    </row>
    <row r="71" spans="11:13" x14ac:dyDescent="0.4">
      <c r="K71" s="74">
        <v>69</v>
      </c>
      <c r="L71" s="119">
        <v>-2.1316282072803006E-14</v>
      </c>
      <c r="M71" s="117">
        <v>1609.3118376393841</v>
      </c>
    </row>
    <row r="72" spans="11:13" x14ac:dyDescent="0.4">
      <c r="K72" s="74">
        <v>70</v>
      </c>
      <c r="L72" s="119">
        <v>-0.70000000000002127</v>
      </c>
      <c r="M72" s="117">
        <v>1609.5199666135477</v>
      </c>
    </row>
    <row r="73" spans="11:13" x14ac:dyDescent="0.4">
      <c r="K73" s="74">
        <v>71</v>
      </c>
      <c r="L73" s="119">
        <v>-31.700000000000021</v>
      </c>
      <c r="M73" s="117">
        <v>1604.2728468138664</v>
      </c>
    </row>
    <row r="74" spans="11:13" x14ac:dyDescent="0.4">
      <c r="K74" s="74">
        <v>72</v>
      </c>
      <c r="L74" s="119">
        <v>-2.1316282072803006E-14</v>
      </c>
      <c r="M74" s="117">
        <v>1610.3432097329833</v>
      </c>
    </row>
    <row r="75" spans="11:13" x14ac:dyDescent="0.4">
      <c r="K75" s="74">
        <v>73</v>
      </c>
      <c r="L75" s="119">
        <v>-2.1316282072803006E-14</v>
      </c>
      <c r="M75" s="117">
        <v>1610.6711504745854</v>
      </c>
    </row>
    <row r="76" spans="11:13" x14ac:dyDescent="0.4">
      <c r="K76" s="74">
        <v>74</v>
      </c>
      <c r="L76" s="119">
        <v>-2.1316282072803006E-14</v>
      </c>
      <c r="M76" s="117">
        <v>1610.9971235717378</v>
      </c>
    </row>
    <row r="77" spans="11:13" x14ac:dyDescent="0.4">
      <c r="K77" s="74">
        <v>75</v>
      </c>
      <c r="L77" s="119">
        <v>-2.1316282072803006E-14</v>
      </c>
      <c r="M77" s="117">
        <v>1611.3211408303073</v>
      </c>
    </row>
    <row r="78" spans="11:13" x14ac:dyDescent="0.4">
      <c r="K78" s="74">
        <v>76</v>
      </c>
      <c r="L78" s="119">
        <v>-48.800000000000018</v>
      </c>
      <c r="M78" s="117">
        <v>1602.8592139853254</v>
      </c>
    </row>
    <row r="79" spans="11:13" x14ac:dyDescent="0.4">
      <c r="K79" s="74">
        <v>77</v>
      </c>
      <c r="L79" s="119">
        <v>-71.000000000000014</v>
      </c>
      <c r="M79" s="117">
        <v>1599.2360587014134</v>
      </c>
    </row>
    <row r="80" spans="11:13" x14ac:dyDescent="0.4">
      <c r="K80" s="74">
        <v>78</v>
      </c>
      <c r="L80" s="119">
        <v>-1.4210854715202004E-14</v>
      </c>
      <c r="M80" s="117">
        <v>1612.4106423492049</v>
      </c>
    </row>
    <row r="81" spans="11:13" x14ac:dyDescent="0.4">
      <c r="K81" s="74">
        <v>79</v>
      </c>
      <c r="L81" s="119">
        <v>24.299999999999986</v>
      </c>
      <c r="M81" s="117">
        <v>1616.6861784951097</v>
      </c>
    </row>
    <row r="82" spans="11:13" x14ac:dyDescent="0.4">
      <c r="K82" s="74">
        <v>80</v>
      </c>
      <c r="L82" s="119">
        <v>23.099999999999987</v>
      </c>
      <c r="M82" s="117">
        <v>1616.3460614241392</v>
      </c>
    </row>
    <row r="83" spans="11:13" x14ac:dyDescent="0.4">
      <c r="K83" s="74">
        <v>81</v>
      </c>
      <c r="L83" s="119">
        <v>-1.4210854715202004E-14</v>
      </c>
      <c r="M83" s="117">
        <v>1612.0659850555944</v>
      </c>
    </row>
    <row r="84" spans="11:13" x14ac:dyDescent="0.4">
      <c r="K84" s="74">
        <v>82</v>
      </c>
      <c r="L84" s="119">
        <v>-35.500000000000014</v>
      </c>
      <c r="M84" s="117">
        <v>1605.5855891452609</v>
      </c>
    </row>
    <row r="85" spans="11:13" x14ac:dyDescent="0.4">
      <c r="K85" s="74">
        <v>83</v>
      </c>
      <c r="L85" s="119">
        <v>-29.700000000000014</v>
      </c>
      <c r="M85" s="117">
        <v>1606.5780756103893</v>
      </c>
    </row>
    <row r="86" spans="11:13" x14ac:dyDescent="0.4">
      <c r="K86" s="74">
        <v>84</v>
      </c>
      <c r="L86" s="119">
        <v>-1.4210854715202004E-14</v>
      </c>
      <c r="M86" s="117">
        <v>1611.866607156727</v>
      </c>
    </row>
    <row r="87" spans="11:13" x14ac:dyDescent="0.4">
      <c r="K87" s="74">
        <v>85</v>
      </c>
      <c r="L87" s="119">
        <v>-42.100000000000016</v>
      </c>
      <c r="M87" s="117">
        <v>1604.1934075137867</v>
      </c>
    </row>
    <row r="88" spans="11:13" x14ac:dyDescent="0.4">
      <c r="K88" s="74">
        <v>86</v>
      </c>
      <c r="L88" s="119">
        <v>-9.2000000000000171</v>
      </c>
      <c r="M88" s="117">
        <v>1610.0662470687041</v>
      </c>
    </row>
    <row r="89" spans="11:13" x14ac:dyDescent="0.4">
      <c r="K89" s="74">
        <v>87</v>
      </c>
      <c r="L89" s="119">
        <v>-1.7763568394002505E-14</v>
      </c>
      <c r="M89" s="117">
        <v>1611.6378495862918</v>
      </c>
    </row>
    <row r="90" spans="11:13" x14ac:dyDescent="0.4">
      <c r="K90" s="74">
        <v>88</v>
      </c>
      <c r="L90" s="119">
        <v>45.299999999999983</v>
      </c>
      <c r="M90" s="117">
        <v>1619.7040224887742</v>
      </c>
    </row>
    <row r="91" spans="11:13" x14ac:dyDescent="0.4">
      <c r="K91" s="74">
        <v>89</v>
      </c>
      <c r="L91" s="119">
        <v>51.199999999999982</v>
      </c>
      <c r="M91" s="117">
        <v>1620.6297983538416</v>
      </c>
    </row>
    <row r="92" spans="11:13" x14ac:dyDescent="0.4">
      <c r="K92" s="74">
        <v>90</v>
      </c>
      <c r="L92" s="119">
        <v>-2.1316282072803006E-14</v>
      </c>
      <c r="M92" s="117">
        <v>1611.2720195637185</v>
      </c>
    </row>
    <row r="93" spans="11:13" x14ac:dyDescent="0.4">
      <c r="K93" s="74">
        <v>91</v>
      </c>
      <c r="L93" s="119">
        <v>0.49999999999997868</v>
      </c>
      <c r="M93" s="117">
        <v>1611.2703874463361</v>
      </c>
    </row>
    <row r="94" spans="11:13" x14ac:dyDescent="0.4">
      <c r="K94" s="74">
        <v>92</v>
      </c>
      <c r="L94" s="119">
        <v>-26.90000000000002</v>
      </c>
      <c r="M94" s="117">
        <v>1606.2467651216582</v>
      </c>
    </row>
    <row r="95" spans="11:13" x14ac:dyDescent="0.4">
      <c r="K95" s="74">
        <v>93</v>
      </c>
      <c r="L95" s="119">
        <v>-2.1316282072803006E-14</v>
      </c>
      <c r="M95" s="117">
        <v>1611.0272845309282</v>
      </c>
    </row>
    <row r="96" spans="11:13" x14ac:dyDescent="0.4">
      <c r="K96" s="74">
        <v>94</v>
      </c>
      <c r="L96" s="119">
        <v>-20.300000000000022</v>
      </c>
      <c r="M96" s="117">
        <v>1607.2891208237427</v>
      </c>
    </row>
    <row r="97" spans="11:13" x14ac:dyDescent="0.4">
      <c r="K97" s="74">
        <v>95</v>
      </c>
      <c r="L97" s="119">
        <v>53.199999999999974</v>
      </c>
      <c r="M97" s="117">
        <v>1620.4573860988003</v>
      </c>
    </row>
    <row r="98" spans="11:13" x14ac:dyDescent="0.4">
      <c r="K98" s="74">
        <v>96</v>
      </c>
      <c r="L98" s="119">
        <v>-2.8421709430404007E-14</v>
      </c>
      <c r="M98" s="117">
        <v>1610.7406417822074</v>
      </c>
    </row>
    <row r="99" spans="11:13" x14ac:dyDescent="0.4">
      <c r="K99" s="74">
        <v>97</v>
      </c>
      <c r="L99" s="119">
        <v>-60.500000000000028</v>
      </c>
      <c r="M99" s="117">
        <v>1599.762197931514</v>
      </c>
    </row>
    <row r="100" spans="11:13" x14ac:dyDescent="0.4">
      <c r="K100" s="74">
        <v>98</v>
      </c>
      <c r="L100" s="119">
        <v>-60.300000000000026</v>
      </c>
      <c r="M100" s="117">
        <v>1599.7756247439249</v>
      </c>
    </row>
    <row r="101" spans="11:13" x14ac:dyDescent="0.4">
      <c r="K101" s="74">
        <v>99</v>
      </c>
      <c r="L101" s="119">
        <v>-2.8421709430404007E-14</v>
      </c>
      <c r="M101" s="117">
        <v>1610.6069709954613</v>
      </c>
    </row>
    <row r="102" spans="11:13" x14ac:dyDescent="0.4">
      <c r="K102" s="74">
        <v>100</v>
      </c>
      <c r="L102" s="119">
        <v>-68.000000000000028</v>
      </c>
      <c r="M102" s="117">
        <v>1598.2853291694885</v>
      </c>
    </row>
    <row r="103" spans="11:13" x14ac:dyDescent="0.4">
      <c r="K103" s="74">
        <v>101</v>
      </c>
      <c r="L103" s="119">
        <v>-2.8421709430404007E-14</v>
      </c>
      <c r="M103" s="117">
        <v>1610.5176171944715</v>
      </c>
    </row>
    <row r="104" spans="11:13" x14ac:dyDescent="0.4">
      <c r="K104" s="74">
        <v>102</v>
      </c>
      <c r="L104" s="119">
        <v>-2.8421709430404007E-14</v>
      </c>
      <c r="M104" s="117">
        <v>1610.4365114913046</v>
      </c>
    </row>
    <row r="105" spans="11:13" x14ac:dyDescent="0.4">
      <c r="K105" s="74">
        <v>103</v>
      </c>
      <c r="L105" s="119">
        <v>42.199999999999974</v>
      </c>
      <c r="M105" s="117">
        <v>1617.9458924223568</v>
      </c>
    </row>
    <row r="106" spans="11:13" x14ac:dyDescent="0.4">
      <c r="K106" s="74">
        <v>104</v>
      </c>
      <c r="L106" s="119">
        <v>-12.300000000000026</v>
      </c>
      <c r="M106" s="117">
        <v>1608.0042170678225</v>
      </c>
    </row>
    <row r="107" spans="11:13" x14ac:dyDescent="0.4">
      <c r="K107" s="74">
        <v>105</v>
      </c>
      <c r="L107" s="119">
        <v>-2.4868995751603507E-14</v>
      </c>
      <c r="M107" s="117">
        <v>1610.1461917654156</v>
      </c>
    </row>
    <row r="108" spans="11:13" x14ac:dyDescent="0.4">
      <c r="K108" s="74">
        <v>106</v>
      </c>
      <c r="L108" s="119">
        <v>16.199999999999974</v>
      </c>
      <c r="M108" s="117">
        <v>1612.9773146148232</v>
      </c>
    </row>
    <row r="109" spans="11:13" x14ac:dyDescent="0.4">
      <c r="K109" s="74">
        <v>107</v>
      </c>
      <c r="L109" s="119">
        <v>56.799999999999976</v>
      </c>
      <c r="M109" s="117">
        <v>1620.1834507271342</v>
      </c>
    </row>
    <row r="110" spans="11:13" x14ac:dyDescent="0.4">
      <c r="K110" s="74">
        <v>108</v>
      </c>
      <c r="L110" s="119">
        <v>-2.1316282072803006E-14</v>
      </c>
      <c r="M110" s="117">
        <v>1609.8143500227714</v>
      </c>
    </row>
    <row r="111" spans="11:13" x14ac:dyDescent="0.4">
      <c r="K111" s="74">
        <v>109</v>
      </c>
      <c r="L111" s="119">
        <v>-16.000000000000021</v>
      </c>
      <c r="M111" s="117">
        <v>1606.8514639226348</v>
      </c>
    </row>
    <row r="112" spans="11:13" x14ac:dyDescent="0.4">
      <c r="K112" s="74">
        <v>110</v>
      </c>
      <c r="L112" s="119">
        <v>-80.000000000000028</v>
      </c>
      <c r="M112" s="117">
        <v>1595.266355139099</v>
      </c>
    </row>
    <row r="113" spans="11:13" x14ac:dyDescent="0.4">
      <c r="K113" s="74">
        <v>111</v>
      </c>
      <c r="L113" s="119">
        <v>-2.8421709430404007E-14</v>
      </c>
      <c r="M113" s="117">
        <v>1609.6707570082644</v>
      </c>
    </row>
    <row r="114" spans="11:13" x14ac:dyDescent="0.4">
      <c r="K114" s="74">
        <v>112</v>
      </c>
      <c r="L114" s="119">
        <v>-31.900000000000027</v>
      </c>
      <c r="M114" s="117">
        <v>1603.8467324662149</v>
      </c>
    </row>
    <row r="115" spans="11:13" x14ac:dyDescent="0.4">
      <c r="K115" s="74">
        <v>113</v>
      </c>
      <c r="L115" s="119">
        <v>0.79999999999997584</v>
      </c>
      <c r="M115" s="117">
        <v>1609.6856520714177</v>
      </c>
    </row>
    <row r="116" spans="11:13" x14ac:dyDescent="0.4">
      <c r="K116" s="74">
        <v>114</v>
      </c>
      <c r="L116" s="119">
        <v>-2.4202861936828413E-14</v>
      </c>
      <c r="M116" s="117">
        <v>1609.4595381589893</v>
      </c>
    </row>
    <row r="117" spans="11:13" x14ac:dyDescent="0.4">
      <c r="K117" s="74">
        <v>115</v>
      </c>
      <c r="L117" s="119">
        <v>-13.200000000000024</v>
      </c>
      <c r="M117" s="117">
        <v>1607.0027809300354</v>
      </c>
    </row>
    <row r="118" spans="11:13" x14ac:dyDescent="0.4">
      <c r="K118" s="74">
        <v>116</v>
      </c>
      <c r="L118" s="119">
        <v>49.899999999999977</v>
      </c>
      <c r="M118" s="117">
        <v>1618.2947642444553</v>
      </c>
    </row>
    <row r="119" spans="11:13" x14ac:dyDescent="0.4">
      <c r="K119" s="74">
        <v>117</v>
      </c>
      <c r="L119" s="119">
        <v>-2.1316282072803006E-14</v>
      </c>
      <c r="M119" s="117">
        <v>1609.1789956589887</v>
      </c>
    </row>
    <row r="120" spans="11:13" x14ac:dyDescent="0.4">
      <c r="K120" s="74">
        <v>118</v>
      </c>
      <c r="L120" s="119">
        <v>51.799999999999976</v>
      </c>
      <c r="M120" s="117">
        <v>1618.4239216850347</v>
      </c>
    </row>
    <row r="121" spans="11:13" x14ac:dyDescent="0.4">
      <c r="K121" s="74">
        <v>119</v>
      </c>
      <c r="L121" s="119">
        <v>55.399999999999977</v>
      </c>
      <c r="M121" s="117">
        <v>1618.9373781549245</v>
      </c>
    </row>
    <row r="122" spans="11:13" x14ac:dyDescent="0.4">
      <c r="K122" s="74">
        <v>120</v>
      </c>
      <c r="L122" s="119">
        <v>-2.1316282072803006E-14</v>
      </c>
      <c r="M122" s="117">
        <v>1608.827753885995</v>
      </c>
    </row>
    <row r="123" spans="11:13" x14ac:dyDescent="0.4">
      <c r="K123" s="74">
        <v>121</v>
      </c>
      <c r="L123" s="119">
        <v>-6.5000000000000213</v>
      </c>
      <c r="M123" s="117">
        <v>1607.5807873626791</v>
      </c>
    </row>
    <row r="124" spans="11:13" x14ac:dyDescent="0.4">
      <c r="K124" s="74">
        <v>122</v>
      </c>
      <c r="L124" s="119">
        <v>-34.100000000000023</v>
      </c>
      <c r="M124" s="117">
        <v>1602.5433026385031</v>
      </c>
    </row>
    <row r="125" spans="11:13" x14ac:dyDescent="0.4">
      <c r="K125" s="74">
        <v>123</v>
      </c>
      <c r="L125" s="119">
        <v>-2.1316282072803006E-14</v>
      </c>
      <c r="M125" s="117">
        <v>1608.642042822672</v>
      </c>
    </row>
    <row r="126" spans="11:13" x14ac:dyDescent="0.4">
      <c r="K126" s="74">
        <v>124</v>
      </c>
      <c r="L126" s="119">
        <v>-1.3000000000000214</v>
      </c>
      <c r="M126" s="117">
        <v>1608.4641905657361</v>
      </c>
    </row>
    <row r="127" spans="11:13" x14ac:dyDescent="0.4">
      <c r="K127" s="74">
        <v>125</v>
      </c>
      <c r="L127" s="119">
        <v>-38.300000000000018</v>
      </c>
      <c r="M127" s="117">
        <v>1601.8614054223417</v>
      </c>
    </row>
    <row r="128" spans="11:13" x14ac:dyDescent="0.4">
      <c r="K128" s="74">
        <v>126</v>
      </c>
      <c r="L128" s="119">
        <v>-2.1316282072803006E-14</v>
      </c>
      <c r="M128" s="117">
        <v>1608.8522369898076</v>
      </c>
    </row>
    <row r="129" spans="11:13" x14ac:dyDescent="0.4">
      <c r="K129" s="74">
        <v>127</v>
      </c>
      <c r="L129" s="119">
        <v>-35.000000000000021</v>
      </c>
      <c r="M129" s="117">
        <v>1602.3731235678688</v>
      </c>
    </row>
    <row r="130" spans="11:13" x14ac:dyDescent="0.4">
      <c r="K130" s="74">
        <v>128</v>
      </c>
      <c r="L130" s="119">
        <v>-38.000000000000021</v>
      </c>
      <c r="M130" s="117">
        <v>1601.6928848264615</v>
      </c>
    </row>
    <row r="131" spans="11:13" x14ac:dyDescent="0.4">
      <c r="K131" s="74">
        <v>129</v>
      </c>
      <c r="L131" s="119">
        <v>-2.1316282072803006E-14</v>
      </c>
      <c r="M131" s="117">
        <v>1608.3967275175028</v>
      </c>
    </row>
    <row r="132" spans="11:13" x14ac:dyDescent="0.4">
      <c r="K132" s="74">
        <v>130</v>
      </c>
      <c r="L132" s="119">
        <v>46.199999999999982</v>
      </c>
      <c r="M132" s="117">
        <v>1616.5363471523976</v>
      </c>
    </row>
    <row r="133" spans="11:13" x14ac:dyDescent="0.4">
      <c r="K133" s="74">
        <v>131</v>
      </c>
      <c r="L133" s="119">
        <v>10.199999999999982</v>
      </c>
      <c r="M133" s="117">
        <v>1609.8311290694833</v>
      </c>
    </row>
    <row r="134" spans="11:13" x14ac:dyDescent="0.4">
      <c r="K134" s="74">
        <v>132</v>
      </c>
      <c r="L134" s="119">
        <v>-1.7763568394002505E-14</v>
      </c>
      <c r="M134" s="117">
        <v>1607.8101422950663</v>
      </c>
    </row>
    <row r="135" spans="11:13" x14ac:dyDescent="0.4">
      <c r="K135" s="74">
        <v>133</v>
      </c>
      <c r="L135" s="119">
        <v>-19.600000000000019</v>
      </c>
      <c r="M135" s="117">
        <v>1604.1092814412959</v>
      </c>
    </row>
    <row r="136" spans="11:13" x14ac:dyDescent="0.4">
      <c r="K136" s="74">
        <v>134</v>
      </c>
      <c r="L136" s="119">
        <v>56.899999999999977</v>
      </c>
      <c r="M136" s="117">
        <v>1617.7286257526482</v>
      </c>
    </row>
    <row r="137" spans="11:13" x14ac:dyDescent="0.4">
      <c r="K137" s="74">
        <v>135</v>
      </c>
      <c r="L137" s="119">
        <v>-2.1316282072803006E-14</v>
      </c>
      <c r="M137" s="117">
        <v>1607.2542539981323</v>
      </c>
    </row>
    <row r="138" spans="11:13" x14ac:dyDescent="0.4">
      <c r="K138" s="74">
        <v>136</v>
      </c>
      <c r="L138" s="119">
        <v>35.09999999999998</v>
      </c>
      <c r="M138" s="117">
        <v>1613.4027284741435</v>
      </c>
    </row>
    <row r="139" spans="11:13" x14ac:dyDescent="0.4">
      <c r="K139" s="74">
        <v>137</v>
      </c>
      <c r="L139" s="119">
        <v>28.999999999999979</v>
      </c>
      <c r="M139" s="117">
        <v>1612.0983121032987</v>
      </c>
    </row>
    <row r="140" spans="11:13" x14ac:dyDescent="0.4">
      <c r="K140" s="74">
        <v>138</v>
      </c>
      <c r="L140" s="119">
        <v>-2.1316282072803006E-14</v>
      </c>
      <c r="M140" s="117">
        <v>1606.6797222306789</v>
      </c>
    </row>
    <row r="141" spans="11:13" x14ac:dyDescent="0.4">
      <c r="K141" s="74">
        <v>139</v>
      </c>
      <c r="L141" s="119">
        <v>-79.000000000000028</v>
      </c>
      <c r="M141" s="117">
        <v>1592.2936438972947</v>
      </c>
    </row>
    <row r="142" spans="11:13" x14ac:dyDescent="0.4">
      <c r="K142" s="74">
        <v>140</v>
      </c>
      <c r="L142" s="119">
        <v>-127.70000000000003</v>
      </c>
      <c r="M142" s="117">
        <v>1583.4478820339109</v>
      </c>
    </row>
    <row r="143" spans="11:13" x14ac:dyDescent="0.4">
      <c r="K143" s="74">
        <v>141</v>
      </c>
      <c r="L143" s="119">
        <v>-2.8421709430404007E-14</v>
      </c>
      <c r="M143" s="117">
        <v>1606.4071947417074</v>
      </c>
    </row>
    <row r="144" spans="11:13" x14ac:dyDescent="0.4">
      <c r="K144" s="74">
        <v>142</v>
      </c>
      <c r="L144" s="119">
        <v>44.299999999999969</v>
      </c>
      <c r="M144" s="117">
        <v>1614.2167515732572</v>
      </c>
    </row>
    <row r="145" spans="11:13" x14ac:dyDescent="0.4">
      <c r="K145" s="74">
        <v>143</v>
      </c>
      <c r="L145" s="119">
        <v>-11.800000000000033</v>
      </c>
      <c r="M145" s="117">
        <v>1603.9074510638177</v>
      </c>
    </row>
    <row r="146" spans="11:13" x14ac:dyDescent="0.4">
      <c r="K146" s="74">
        <v>144</v>
      </c>
      <c r="L146" s="119">
        <v>-3.1974423109204508E-14</v>
      </c>
      <c r="M146" s="117">
        <v>1605.8820063574349</v>
      </c>
    </row>
    <row r="147" spans="11:13" x14ac:dyDescent="0.4">
      <c r="K147" s="74">
        <v>145</v>
      </c>
      <c r="L147" s="119">
        <v>-31.400000000000031</v>
      </c>
      <c r="M147" s="117">
        <v>1600.0687143192902</v>
      </c>
    </row>
    <row r="148" spans="11:13" x14ac:dyDescent="0.4">
      <c r="K148" s="74">
        <v>146</v>
      </c>
      <c r="L148" s="119">
        <v>-3.1000000000000298</v>
      </c>
      <c r="M148" s="117">
        <v>1605.0363020333743</v>
      </c>
    </row>
    <row r="149" spans="11:13" x14ac:dyDescent="0.4">
      <c r="K149" s="74">
        <v>147</v>
      </c>
      <c r="L149" s="119">
        <v>-2.9753977059954195E-14</v>
      </c>
      <c r="M149" s="117">
        <v>1605.438084221174</v>
      </c>
    </row>
    <row r="150" spans="11:13" x14ac:dyDescent="0.4">
      <c r="K150" s="74">
        <v>148</v>
      </c>
      <c r="L150" s="119">
        <v>56.39999999999997</v>
      </c>
      <c r="M150" s="117">
        <v>1615.4314557158471</v>
      </c>
    </row>
    <row r="151" spans="11:13" x14ac:dyDescent="0.4">
      <c r="K151" s="74">
        <v>149</v>
      </c>
      <c r="L151" s="119">
        <v>44.39999999999997</v>
      </c>
      <c r="M151" s="117">
        <v>1613.0528669815519</v>
      </c>
    </row>
    <row r="152" spans="11:13" x14ac:dyDescent="0.4">
      <c r="K152" s="74">
        <v>150</v>
      </c>
      <c r="L152" s="119">
        <v>-2.8421709430404007E-14</v>
      </c>
      <c r="M152" s="117">
        <v>1604.8565497796626</v>
      </c>
    </row>
    <row r="153" spans="11:13" x14ac:dyDescent="0.4">
      <c r="K153" s="74">
        <v>151</v>
      </c>
      <c r="L153" s="119">
        <v>44.199999999999974</v>
      </c>
      <c r="M153" s="117">
        <v>1612.6574104809847</v>
      </c>
    </row>
    <row r="154" spans="11:13" x14ac:dyDescent="0.4">
      <c r="K154" s="74">
        <v>152</v>
      </c>
      <c r="L154" s="119">
        <v>9.599999999999973</v>
      </c>
      <c r="M154" s="117">
        <v>1606.2274660180988</v>
      </c>
    </row>
    <row r="155" spans="11:13" x14ac:dyDescent="0.4">
      <c r="K155" s="74">
        <v>153</v>
      </c>
      <c r="L155" s="119">
        <v>-2.6645352591003757E-14</v>
      </c>
      <c r="M155" s="117">
        <v>1604.3361012219902</v>
      </c>
    </row>
    <row r="156" spans="11:13" x14ac:dyDescent="0.4">
      <c r="K156" s="74">
        <v>154</v>
      </c>
      <c r="L156" s="119">
        <v>-25.000000000000028</v>
      </c>
      <c r="M156" s="117">
        <v>1599.4020846146584</v>
      </c>
    </row>
    <row r="157" spans="11:13" x14ac:dyDescent="0.4">
      <c r="K157" s="74">
        <v>155</v>
      </c>
      <c r="L157" s="119">
        <v>56.199999999999974</v>
      </c>
      <c r="M157" s="117">
        <v>1613.6136721069704</v>
      </c>
    </row>
    <row r="158" spans="11:13" x14ac:dyDescent="0.4">
      <c r="K158" s="74">
        <v>156</v>
      </c>
      <c r="L158" s="119">
        <v>-2.8421709430404007E-14</v>
      </c>
      <c r="M158" s="117">
        <v>1603.0079900743285</v>
      </c>
    </row>
    <row r="159" spans="11:13" x14ac:dyDescent="0.4">
      <c r="K159" s="74">
        <v>157</v>
      </c>
      <c r="L159" s="119">
        <v>1.5999999999999717</v>
      </c>
      <c r="M159" s="117">
        <v>1602.8639421338826</v>
      </c>
    </row>
    <row r="160" spans="11:13" x14ac:dyDescent="0.4">
      <c r="K160" s="74">
        <v>158</v>
      </c>
      <c r="L160" s="119">
        <v>-43.60000000000003</v>
      </c>
      <c r="M160" s="117">
        <v>1594.2967584810792</v>
      </c>
    </row>
    <row r="161" spans="11:13" x14ac:dyDescent="0.4">
      <c r="K161" s="74">
        <v>159</v>
      </c>
      <c r="L161" s="119">
        <v>-2.8421709430404007E-14</v>
      </c>
      <c r="M161" s="117">
        <v>1601.7649779301928</v>
      </c>
    </row>
    <row r="162" spans="11:13" x14ac:dyDescent="0.4">
      <c r="K162" s="74">
        <v>160</v>
      </c>
      <c r="L162" s="119">
        <v>50.999999999999972</v>
      </c>
      <c r="M162" s="117">
        <v>1610.5203880626116</v>
      </c>
    </row>
    <row r="163" spans="11:13" x14ac:dyDescent="0.4">
      <c r="K163" s="74">
        <v>161</v>
      </c>
      <c r="L163" s="119">
        <v>0.99999999999997158</v>
      </c>
      <c r="M163" s="117">
        <v>1601.043265734236</v>
      </c>
    </row>
    <row r="164" spans="11:13" x14ac:dyDescent="0.4">
      <c r="K164" s="74">
        <v>162</v>
      </c>
      <c r="L164" s="119">
        <v>-2.8421709430404007E-14</v>
      </c>
      <c r="M164" s="117">
        <v>1600.4430061398307</v>
      </c>
    </row>
    <row r="165" spans="11:13" x14ac:dyDescent="0.4">
      <c r="K165" s="74">
        <v>163</v>
      </c>
      <c r="L165" s="119">
        <v>-46.200000000000031</v>
      </c>
      <c r="M165" s="117">
        <v>1592.1723481029917</v>
      </c>
    </row>
    <row r="166" spans="11:13" x14ac:dyDescent="0.4">
      <c r="K166" s="74">
        <v>164</v>
      </c>
      <c r="L166" s="119">
        <v>-37.10000000000003</v>
      </c>
      <c r="M166" s="117">
        <v>1593.9053140143737</v>
      </c>
    </row>
    <row r="167" spans="11:13" x14ac:dyDescent="0.4">
      <c r="K167" s="74">
        <v>165</v>
      </c>
      <c r="L167" s="119">
        <v>-2.8421709430404007E-14</v>
      </c>
      <c r="M167" s="117">
        <v>1600.6678821302876</v>
      </c>
    </row>
    <row r="168" spans="11:13" x14ac:dyDescent="0.4">
      <c r="K168" s="74">
        <v>166</v>
      </c>
      <c r="L168" s="119">
        <v>5.7999999999999714</v>
      </c>
      <c r="M168" s="117">
        <v>1602.0438748375059</v>
      </c>
    </row>
    <row r="169" spans="11:13" x14ac:dyDescent="0.4">
      <c r="K169" s="74">
        <v>167</v>
      </c>
      <c r="L169" s="119">
        <v>-51.10000000000003</v>
      </c>
      <c r="M169" s="117">
        <v>1592.1256115884808</v>
      </c>
    </row>
    <row r="170" spans="11:13" x14ac:dyDescent="0.4">
      <c r="K170" s="74">
        <v>168</v>
      </c>
      <c r="L170" s="119">
        <v>-2.8421709430404007E-14</v>
      </c>
      <c r="M170" s="117">
        <v>1601.7068579189499</v>
      </c>
    </row>
    <row r="171" spans="11:13" x14ac:dyDescent="0.4">
      <c r="K171" s="74">
        <v>169</v>
      </c>
      <c r="L171" s="119">
        <v>-6.8000000000000282</v>
      </c>
      <c r="M171" s="117">
        <v>1600.0826167714363</v>
      </c>
    </row>
    <row r="172" spans="11:13" x14ac:dyDescent="0.4">
      <c r="K172" s="74">
        <v>170</v>
      </c>
      <c r="L172" s="119">
        <v>62.199999999999974</v>
      </c>
      <c r="M172" s="117">
        <v>1612.1121210708077</v>
      </c>
    </row>
    <row r="173" spans="11:13" x14ac:dyDescent="0.4">
      <c r="K173" s="74">
        <v>171</v>
      </c>
      <c r="L173" s="119">
        <v>-2.8421709430404007E-14</v>
      </c>
      <c r="M173" s="117">
        <v>1600.4534483443829</v>
      </c>
    </row>
    <row r="174" spans="11:13" x14ac:dyDescent="0.4">
      <c r="K174" s="74">
        <v>172</v>
      </c>
      <c r="L174" s="119">
        <v>11.999999999999972</v>
      </c>
      <c r="M174" s="117">
        <v>1602.6587276543166</v>
      </c>
    </row>
    <row r="175" spans="11:13" x14ac:dyDescent="0.4">
      <c r="K175" s="74">
        <v>173</v>
      </c>
      <c r="L175" s="119">
        <v>46.799999999999969</v>
      </c>
      <c r="M175" s="117">
        <v>1608.9547752883907</v>
      </c>
    </row>
    <row r="176" spans="11:13" x14ac:dyDescent="0.4">
      <c r="K176" s="74">
        <v>174</v>
      </c>
      <c r="L176" s="119">
        <v>-2.8421709430404007E-14</v>
      </c>
      <c r="M176" s="117">
        <v>1600.5250466366604</v>
      </c>
    </row>
    <row r="177" spans="11:13" x14ac:dyDescent="0.4">
      <c r="K177" s="74">
        <v>175</v>
      </c>
      <c r="L177" s="119">
        <v>-61.300000000000026</v>
      </c>
      <c r="M177" s="117">
        <v>1589.5358963568403</v>
      </c>
    </row>
    <row r="178" spans="11:13" x14ac:dyDescent="0.4">
      <c r="K178" s="74">
        <v>176</v>
      </c>
      <c r="L178" s="119">
        <v>6.1999999999999744</v>
      </c>
      <c r="M178" s="117">
        <v>1601.7966809786992</v>
      </c>
    </row>
    <row r="179" spans="11:13" x14ac:dyDescent="0.4">
      <c r="K179" s="74">
        <v>177</v>
      </c>
      <c r="L179" s="119">
        <v>-2.5757174171303632E-14</v>
      </c>
      <c r="M179" s="117">
        <v>1600.7179008928269</v>
      </c>
    </row>
    <row r="180" spans="11:13" x14ac:dyDescent="0.4">
      <c r="K180" s="74">
        <v>178</v>
      </c>
      <c r="L180" s="119">
        <v>-63.500000000000028</v>
      </c>
      <c r="M180" s="117">
        <v>1589.3315934874699</v>
      </c>
    </row>
    <row r="181" spans="11:13" x14ac:dyDescent="0.4">
      <c r="K181" s="74">
        <v>179</v>
      </c>
      <c r="L181" s="119">
        <v>-88.000000000000028</v>
      </c>
      <c r="M181" s="117">
        <v>1585.0336039265451</v>
      </c>
    </row>
    <row r="182" spans="11:13" x14ac:dyDescent="0.4">
      <c r="K182" s="74">
        <v>180</v>
      </c>
      <c r="L182" s="119">
        <v>-2.8421709430404007E-14</v>
      </c>
      <c r="M182" s="117">
        <v>1601.0114023029857</v>
      </c>
    </row>
    <row r="183" spans="11:13" x14ac:dyDescent="0.4">
      <c r="K183" s="74">
        <v>181</v>
      </c>
      <c r="L183" s="119">
        <v>-30.500000000000028</v>
      </c>
      <c r="M183" s="117">
        <v>1595.5633338891678</v>
      </c>
    </row>
    <row r="184" spans="11:13" x14ac:dyDescent="0.4">
      <c r="K184" s="74">
        <v>182</v>
      </c>
      <c r="L184" s="119">
        <v>-30.60000000000003</v>
      </c>
      <c r="M184" s="117">
        <v>1595.6199538858327</v>
      </c>
    </row>
    <row r="185" spans="11:13" x14ac:dyDescent="0.4">
      <c r="K185" s="74">
        <v>183</v>
      </c>
      <c r="L185" s="119">
        <v>-2.8421709430404007E-14</v>
      </c>
      <c r="M185" s="117">
        <v>1601.2022341625177</v>
      </c>
    </row>
    <row r="186" spans="11:13" x14ac:dyDescent="0.4">
      <c r="K186" s="74">
        <v>184</v>
      </c>
      <c r="L186" s="119">
        <v>55.699999999999974</v>
      </c>
      <c r="M186" s="117">
        <v>1611.2690207575426</v>
      </c>
    </row>
    <row r="187" spans="11:13" x14ac:dyDescent="0.4">
      <c r="K187" s="74">
        <v>185</v>
      </c>
      <c r="L187" s="119">
        <v>10.199999999999974</v>
      </c>
      <c r="M187" s="117">
        <v>1603.0594066329975</v>
      </c>
    </row>
    <row r="188" spans="11:13" x14ac:dyDescent="0.4">
      <c r="K188" s="74">
        <v>186</v>
      </c>
      <c r="L188" s="119">
        <v>-2.4868995751603507E-14</v>
      </c>
      <c r="M188" s="117">
        <v>1601.2530501931994</v>
      </c>
    </row>
    <row r="189" spans="11:13" x14ac:dyDescent="0.4">
      <c r="K189" s="74">
        <v>187</v>
      </c>
      <c r="L189" s="119">
        <v>3.9999999999999751</v>
      </c>
      <c r="M189" s="117">
        <v>1602.0135318920402</v>
      </c>
    </row>
    <row r="190" spans="11:13" x14ac:dyDescent="0.4">
      <c r="K190" s="74">
        <v>188</v>
      </c>
      <c r="L190" s="119">
        <v>-28.800000000000022</v>
      </c>
      <c r="M190" s="117">
        <v>1596.1454507006879</v>
      </c>
    </row>
    <row r="191" spans="11:13" x14ac:dyDescent="0.4">
      <c r="K191" s="74">
        <v>189</v>
      </c>
      <c r="L191" s="119">
        <v>-2.1316282072803006E-14</v>
      </c>
      <c r="M191" s="117">
        <v>1601.4005779964837</v>
      </c>
    </row>
    <row r="192" spans="11:13" x14ac:dyDescent="0.4">
      <c r="K192" s="74">
        <v>190</v>
      </c>
      <c r="L192" s="119">
        <v>36.799999999999976</v>
      </c>
      <c r="M192" s="117">
        <v>1608.0641745285047</v>
      </c>
    </row>
    <row r="193" spans="11:13" x14ac:dyDescent="0.4">
      <c r="K193" s="74">
        <v>191</v>
      </c>
      <c r="L193" s="119">
        <v>6.1999999999999744</v>
      </c>
      <c r="M193" s="117">
        <v>1602.5557894813337</v>
      </c>
    </row>
    <row r="194" spans="11:13" x14ac:dyDescent="0.4">
      <c r="K194" s="74">
        <v>192</v>
      </c>
      <c r="L194" s="119">
        <v>-2.5757174171303632E-14</v>
      </c>
      <c r="M194" s="117">
        <v>1601.4724547444457</v>
      </c>
    </row>
    <row r="195" spans="11:13" x14ac:dyDescent="0.4">
      <c r="K195" s="74">
        <v>193</v>
      </c>
      <c r="L195" s="119">
        <v>55.999999999999972</v>
      </c>
      <c r="M195" s="117">
        <v>1611.5916200159791</v>
      </c>
    </row>
    <row r="196" spans="11:13" x14ac:dyDescent="0.4">
      <c r="K196" s="74">
        <v>194</v>
      </c>
      <c r="L196" s="119">
        <v>50.89999999999997</v>
      </c>
      <c r="M196" s="117">
        <v>1610.6520702958833</v>
      </c>
    </row>
    <row r="197" spans="11:13" x14ac:dyDescent="0.4">
      <c r="K197" s="74">
        <v>195</v>
      </c>
      <c r="L197" s="119">
        <v>-2.8421709430404007E-14</v>
      </c>
      <c r="M197" s="117">
        <v>1601.474157874108</v>
      </c>
    </row>
    <row r="198" spans="11:13" x14ac:dyDescent="0.4">
      <c r="K198" s="74">
        <v>196</v>
      </c>
      <c r="L198" s="119">
        <v>-0.90000000000002844</v>
      </c>
      <c r="M198" s="117">
        <v>1601.3513129268633</v>
      </c>
    </row>
    <row r="199" spans="11:13" x14ac:dyDescent="0.4">
      <c r="K199" s="74">
        <v>197</v>
      </c>
      <c r="L199" s="119">
        <v>-35.200000000000024</v>
      </c>
      <c r="M199" s="117">
        <v>1595.217205049302</v>
      </c>
    </row>
    <row r="200" spans="11:13" x14ac:dyDescent="0.4">
      <c r="K200" s="74">
        <v>198</v>
      </c>
      <c r="L200" s="119">
        <v>-2.1316282072803006E-14</v>
      </c>
      <c r="M200" s="117">
        <v>1601.6299018190061</v>
      </c>
    </row>
    <row r="201" spans="11:13" x14ac:dyDescent="0.4">
      <c r="K201" s="74">
        <v>199</v>
      </c>
      <c r="L201" s="119">
        <v>29.59999999999998</v>
      </c>
      <c r="M201" s="117">
        <v>1606.9961224080921</v>
      </c>
    </row>
    <row r="202" spans="11:13" x14ac:dyDescent="0.4">
      <c r="K202" s="74">
        <v>200</v>
      </c>
      <c r="L202" s="119">
        <v>26.799999999999979</v>
      </c>
      <c r="M202" s="117">
        <v>1606.4981456736436</v>
      </c>
    </row>
    <row r="203" spans="11:13" x14ac:dyDescent="0.4">
      <c r="K203" s="74">
        <v>201</v>
      </c>
      <c r="L203" s="119">
        <v>-2.1316282072803006E-14</v>
      </c>
      <c r="M203" s="117">
        <v>1601.6831567996019</v>
      </c>
    </row>
    <row r="204" spans="11:13" x14ac:dyDescent="0.4">
      <c r="K204" s="74">
        <v>202</v>
      </c>
      <c r="L204" s="119">
        <v>-7.3000000000000211</v>
      </c>
      <c r="M204" s="117">
        <v>1600.4070578588044</v>
      </c>
    </row>
    <row r="205" spans="11:13" x14ac:dyDescent="0.4">
      <c r="K205" s="74">
        <v>203</v>
      </c>
      <c r="L205" s="119">
        <v>58.799999999999976</v>
      </c>
      <c r="M205" s="117">
        <v>1612.3506155116515</v>
      </c>
    </row>
    <row r="206" spans="11:13" x14ac:dyDescent="0.4">
      <c r="K206" s="74">
        <v>204</v>
      </c>
      <c r="L206" s="119">
        <v>-2.1316282072803006E-14</v>
      </c>
      <c r="M206" s="117">
        <v>1601.7405118185816</v>
      </c>
    </row>
    <row r="207" spans="11:13" x14ac:dyDescent="0.4">
      <c r="K207" s="74">
        <v>205</v>
      </c>
      <c r="L207" s="119">
        <v>42.899999999999977</v>
      </c>
      <c r="M207" s="117">
        <v>1609.5000687476702</v>
      </c>
    </row>
    <row r="208" spans="11:13" x14ac:dyDescent="0.4">
      <c r="K208" s="74">
        <v>206</v>
      </c>
      <c r="L208" s="119">
        <v>57.799999999999976</v>
      </c>
      <c r="M208" s="117">
        <v>1612.1730683351841</v>
      </c>
    </row>
    <row r="209" spans="11:13" x14ac:dyDescent="0.4">
      <c r="K209" s="74">
        <v>207</v>
      </c>
      <c r="L209" s="119">
        <v>-2.1316282072803006E-14</v>
      </c>
      <c r="M209" s="117">
        <v>1601.744029925173</v>
      </c>
    </row>
    <row r="210" spans="11:13" x14ac:dyDescent="0.4">
      <c r="K210" s="74">
        <v>208</v>
      </c>
      <c r="L210" s="119">
        <v>85.599999999999966</v>
      </c>
      <c r="M210" s="117">
        <v>1617.1895657456218</v>
      </c>
    </row>
    <row r="211" spans="11:13" x14ac:dyDescent="0.4">
      <c r="K211" s="74">
        <v>209</v>
      </c>
      <c r="L211" s="119">
        <v>60.699999999999967</v>
      </c>
      <c r="M211" s="117">
        <v>1612.652428351148</v>
      </c>
    </row>
    <row r="212" spans="11:13" x14ac:dyDescent="0.4">
      <c r="K212" s="74">
        <v>210</v>
      </c>
      <c r="L212" s="119">
        <v>-3.5527136788005009E-14</v>
      </c>
      <c r="M212" s="117">
        <v>1601.6985137810411</v>
      </c>
    </row>
    <row r="213" spans="11:13" x14ac:dyDescent="0.4">
      <c r="K213" s="74">
        <v>211</v>
      </c>
      <c r="L213" s="119">
        <v>-23.400000000000034</v>
      </c>
      <c r="M213" s="117">
        <v>1597.5243226983548</v>
      </c>
    </row>
    <row r="214" spans="11:13" x14ac:dyDescent="0.4">
      <c r="K214" s="74">
        <v>212</v>
      </c>
      <c r="L214" s="119">
        <v>-3.5527136788005009E-14</v>
      </c>
      <c r="M214" s="117">
        <v>1601.7991767621647</v>
      </c>
    </row>
    <row r="215" spans="11:13" x14ac:dyDescent="0.4">
      <c r="K215" s="74">
        <v>213</v>
      </c>
      <c r="L215" s="119">
        <v>-3.5527136788005009E-14</v>
      </c>
      <c r="M215" s="117">
        <v>1601.8363817015918</v>
      </c>
    </row>
    <row r="216" spans="11:13" x14ac:dyDescent="0.4">
      <c r="K216" s="74">
        <v>214</v>
      </c>
      <c r="L216" s="119">
        <v>8.8999999999999648</v>
      </c>
      <c r="M216" s="117">
        <v>1603.3553634113823</v>
      </c>
    </row>
    <row r="217" spans="11:13" x14ac:dyDescent="0.4">
      <c r="K217" s="74">
        <v>215</v>
      </c>
      <c r="L217" s="119">
        <v>55.599999999999966</v>
      </c>
      <c r="M217" s="117">
        <v>1611.669231230914</v>
      </c>
    </row>
    <row r="218" spans="11:13" x14ac:dyDescent="0.4">
      <c r="K218" s="74">
        <v>216</v>
      </c>
      <c r="L218" s="119">
        <v>-3.5527136788005009E-14</v>
      </c>
      <c r="M218" s="117">
        <v>1601.5192158435284</v>
      </c>
    </row>
    <row r="219" spans="11:13" x14ac:dyDescent="0.4">
      <c r="K219" s="74">
        <v>217</v>
      </c>
      <c r="L219" s="119">
        <v>60.599999999999966</v>
      </c>
      <c r="M219" s="117">
        <v>1612.3461005484671</v>
      </c>
    </row>
    <row r="220" spans="11:13" x14ac:dyDescent="0.4">
      <c r="K220" s="74">
        <v>218</v>
      </c>
      <c r="L220" s="119">
        <v>57.899999999999963</v>
      </c>
      <c r="M220" s="117">
        <v>1611.7140239451762</v>
      </c>
    </row>
    <row r="221" spans="11:13" x14ac:dyDescent="0.4">
      <c r="K221" s="74">
        <v>219</v>
      </c>
      <c r="L221" s="119">
        <v>-3.5527136788005009E-14</v>
      </c>
      <c r="M221" s="117">
        <v>1601.1497398015051</v>
      </c>
    </row>
    <row r="222" spans="11:13" x14ac:dyDescent="0.4">
      <c r="K222" s="74">
        <v>220</v>
      </c>
      <c r="L222" s="119">
        <v>45.199999999999967</v>
      </c>
      <c r="M222" s="117">
        <v>1608.8468413626961</v>
      </c>
    </row>
    <row r="223" spans="11:13" x14ac:dyDescent="0.4">
      <c r="K223" s="74">
        <v>221</v>
      </c>
      <c r="L223" s="119">
        <v>34.499999999999972</v>
      </c>
      <c r="M223" s="117">
        <v>1606.4357603145199</v>
      </c>
    </row>
    <row r="224" spans="11:13" x14ac:dyDescent="0.4">
      <c r="K224" s="74">
        <v>222</v>
      </c>
      <c r="L224" s="119">
        <v>-2.8421709430404007E-14</v>
      </c>
      <c r="M224" s="117">
        <v>1599.7551457526329</v>
      </c>
    </row>
    <row r="225" spans="11:13" x14ac:dyDescent="0.4">
      <c r="K225" s="74">
        <v>223</v>
      </c>
      <c r="L225" s="119">
        <v>44.699999999999974</v>
      </c>
      <c r="M225" s="117">
        <v>1607.364614878117</v>
      </c>
    </row>
    <row r="226" spans="11:13" x14ac:dyDescent="0.4">
      <c r="K226" s="74">
        <v>224</v>
      </c>
      <c r="L226" s="119">
        <v>33.599999999999973</v>
      </c>
      <c r="M226" s="117">
        <v>1604.8844271888483</v>
      </c>
    </row>
    <row r="227" spans="11:13" x14ac:dyDescent="0.4">
      <c r="K227" s="74">
        <v>225</v>
      </c>
      <c r="L227" s="119">
        <v>-2.8421709430404007E-14</v>
      </c>
      <c r="M227" s="117">
        <v>1598.3691206257154</v>
      </c>
    </row>
    <row r="228" spans="11:13" x14ac:dyDescent="0.4">
      <c r="K228" s="74">
        <v>226</v>
      </c>
      <c r="L228" s="119">
        <v>47.199999999999974</v>
      </c>
      <c r="M228" s="117">
        <v>1607.210905901961</v>
      </c>
    </row>
    <row r="229" spans="11:13" x14ac:dyDescent="0.4">
      <c r="K229" s="74">
        <v>227</v>
      </c>
      <c r="L229" s="119">
        <v>56.799999999999976</v>
      </c>
      <c r="M229" s="117">
        <v>1609.2316404665494</v>
      </c>
    </row>
    <row r="230" spans="11:13" x14ac:dyDescent="0.4">
      <c r="K230" s="74">
        <v>228</v>
      </c>
      <c r="L230" s="119">
        <v>-2.1316282072803006E-14</v>
      </c>
      <c r="M230" s="117">
        <v>1599.2882506237502</v>
      </c>
    </row>
    <row r="231" spans="11:13" x14ac:dyDescent="0.4">
      <c r="K231" s="74">
        <v>229</v>
      </c>
      <c r="L231" s="119">
        <v>-59.40000000000002</v>
      </c>
      <c r="M231" s="117">
        <v>1588.1865211200077</v>
      </c>
    </row>
    <row r="232" spans="11:13" x14ac:dyDescent="0.4">
      <c r="K232" s="74">
        <v>230</v>
      </c>
      <c r="L232" s="119">
        <v>-45.300000000000018</v>
      </c>
      <c r="M232" s="117">
        <v>1590.3814019932877</v>
      </c>
    </row>
    <row r="233" spans="11:13" x14ac:dyDescent="0.4">
      <c r="K233" s="74">
        <v>231</v>
      </c>
      <c r="L233" s="119">
        <v>-2.1316282072803006E-14</v>
      </c>
      <c r="M233" s="117">
        <v>1598.179113581328</v>
      </c>
    </row>
    <row r="234" spans="11:13" x14ac:dyDescent="0.4">
      <c r="K234" s="74">
        <v>232</v>
      </c>
      <c r="L234" s="119">
        <v>-2.1316282072803006E-14</v>
      </c>
      <c r="M234" s="117">
        <v>1598.2200388998401</v>
      </c>
    </row>
    <row r="235" spans="11:13" x14ac:dyDescent="0.4">
      <c r="K235" s="74">
        <v>233</v>
      </c>
      <c r="L235" s="119">
        <v>58.59999999999998</v>
      </c>
      <c r="M235" s="117">
        <v>1608.8087186664411</v>
      </c>
    </row>
    <row r="236" spans="11:13" x14ac:dyDescent="0.4">
      <c r="K236" s="74">
        <v>234</v>
      </c>
      <c r="L236" s="119">
        <v>-2.1316282072803006E-14</v>
      </c>
      <c r="M236" s="117">
        <v>1598.2378663544425</v>
      </c>
    </row>
    <row r="237" spans="11:13" x14ac:dyDescent="0.4">
      <c r="K237" s="74">
        <v>235</v>
      </c>
      <c r="L237" s="119">
        <v>-0.70000000000002127</v>
      </c>
      <c r="M237" s="117">
        <v>1597.690439156316</v>
      </c>
    </row>
    <row r="238" spans="11:13" x14ac:dyDescent="0.4">
      <c r="K238" s="74">
        <v>236</v>
      </c>
      <c r="L238" s="119">
        <v>-25.100000000000019</v>
      </c>
      <c r="M238" s="117">
        <v>1592.8802965213781</v>
      </c>
    </row>
    <row r="239" spans="11:13" x14ac:dyDescent="0.4">
      <c r="K239" s="74">
        <v>237</v>
      </c>
      <c r="L239" s="119">
        <v>-1.7763568394002505E-14</v>
      </c>
      <c r="M239" s="117">
        <v>1597.0090147422497</v>
      </c>
    </row>
    <row r="240" spans="11:13" x14ac:dyDescent="0.4">
      <c r="K240" s="74">
        <v>238</v>
      </c>
      <c r="L240" s="119">
        <v>-33.90000000000002</v>
      </c>
      <c r="M240" s="117">
        <v>1590.9669606537961</v>
      </c>
    </row>
    <row r="241" spans="11:13" x14ac:dyDescent="0.4">
      <c r="K241" s="74">
        <v>239</v>
      </c>
      <c r="L241" s="119">
        <v>7.0999999999999801</v>
      </c>
      <c r="M241" s="117">
        <v>1598.4431588898733</v>
      </c>
    </row>
    <row r="242" spans="11:13" x14ac:dyDescent="0.4">
      <c r="K242" s="74">
        <v>240</v>
      </c>
      <c r="L242" s="119">
        <v>-1.9539925233402755E-14</v>
      </c>
      <c r="M242" s="117">
        <v>1597.2164999365341</v>
      </c>
    </row>
    <row r="243" spans="11:13" x14ac:dyDescent="0.4">
      <c r="K243" s="74">
        <v>241</v>
      </c>
      <c r="L243" s="119">
        <v>-100.60000000000001</v>
      </c>
      <c r="M243" s="117">
        <v>1579.0412009369149</v>
      </c>
    </row>
    <row r="244" spans="11:13" x14ac:dyDescent="0.4">
      <c r="K244" s="74">
        <v>242</v>
      </c>
      <c r="L244" s="119">
        <v>-116.4</v>
      </c>
      <c r="M244" s="117">
        <v>1576.2389537312933</v>
      </c>
    </row>
    <row r="245" spans="11:13" x14ac:dyDescent="0.4">
      <c r="K245" s="74">
        <v>243</v>
      </c>
      <c r="L245" s="119">
        <v>0</v>
      </c>
      <c r="M245" s="117">
        <v>1597.2495200089056</v>
      </c>
    </row>
    <row r="246" spans="11:13" x14ac:dyDescent="0.4">
      <c r="K246" s="74">
        <v>244</v>
      </c>
      <c r="L246" s="119">
        <v>-3.5</v>
      </c>
      <c r="M246" s="117">
        <v>1596.1500228888522</v>
      </c>
    </row>
    <row r="247" spans="11:13" x14ac:dyDescent="0.4">
      <c r="K247" s="74">
        <v>245</v>
      </c>
      <c r="L247" s="119">
        <v>-58.9</v>
      </c>
      <c r="M247" s="117">
        <v>1585.7151227515189</v>
      </c>
    </row>
    <row r="248" spans="11:13" x14ac:dyDescent="0.4">
      <c r="K248" s="74">
        <v>246</v>
      </c>
      <c r="L248" s="119">
        <v>0</v>
      </c>
      <c r="M248" s="117">
        <v>1595.9168320150097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863A6-3C54-4D60-9BD3-3BC52701E877}">
  <sheetPr codeName="Sheet7"/>
  <dimension ref="A1:R6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59</v>
      </c>
      <c r="C2" s="134"/>
      <c r="E2" s="26" t="s">
        <v>66</v>
      </c>
      <c r="F2" s="23" t="s">
        <v>22</v>
      </c>
      <c r="G2" s="11">
        <v>107</v>
      </c>
      <c r="H2" s="87">
        <f>IF(B$20=0,0,G2/B$20)</f>
        <v>0.79850746268656714</v>
      </c>
      <c r="I2" s="57">
        <v>2</v>
      </c>
      <c r="K2" s="73">
        <v>0</v>
      </c>
      <c r="L2" s="118">
        <v>0</v>
      </c>
      <c r="M2" s="116">
        <v>1605.0170841089816</v>
      </c>
      <c r="O2" s="73" t="s">
        <v>128</v>
      </c>
      <c r="P2" s="79">
        <f t="shared" ref="P2:P7" si="0">IF(Q2=0,0,R2/Q2)</f>
        <v>3000</v>
      </c>
      <c r="Q2" s="76">
        <v>58</v>
      </c>
      <c r="R2" s="63">
        <v>174000</v>
      </c>
    </row>
    <row r="3" spans="1:18" x14ac:dyDescent="0.4">
      <c r="A3" s="19" t="s">
        <v>8</v>
      </c>
      <c r="B3" s="135">
        <v>457</v>
      </c>
      <c r="C3" s="136"/>
      <c r="E3" s="27" t="s">
        <v>72</v>
      </c>
      <c r="F3" s="24" t="s">
        <v>27</v>
      </c>
      <c r="G3" s="12">
        <v>73</v>
      </c>
      <c r="H3" s="88">
        <f>IF(B$20=0,0,G3/B$20)</f>
        <v>0.54477611940298509</v>
      </c>
      <c r="I3" s="58">
        <v>2</v>
      </c>
      <c r="K3" s="74">
        <v>1</v>
      </c>
      <c r="L3" s="119">
        <v>50.6</v>
      </c>
      <c r="M3" s="117">
        <v>1613.4949816043277</v>
      </c>
      <c r="O3" s="74" t="s">
        <v>129</v>
      </c>
      <c r="P3" s="80">
        <f t="shared" si="0"/>
        <v>-758.4905660377359</v>
      </c>
      <c r="Q3" s="77">
        <v>53</v>
      </c>
      <c r="R3" s="64">
        <v>-40200</v>
      </c>
    </row>
    <row r="4" spans="1:18" x14ac:dyDescent="0.4">
      <c r="A4" s="19" t="s">
        <v>6</v>
      </c>
      <c r="B4" s="137">
        <v>157.90000000000006</v>
      </c>
      <c r="C4" s="138"/>
      <c r="E4" s="27" t="s">
        <v>64</v>
      </c>
      <c r="F4" s="24" t="s">
        <v>20</v>
      </c>
      <c r="G4" s="12">
        <v>70</v>
      </c>
      <c r="H4" s="88">
        <f>IF(B$20=0,0,G4/B$20)</f>
        <v>0.52238805970149249</v>
      </c>
      <c r="I4" s="58">
        <v>5</v>
      </c>
      <c r="K4" s="74">
        <v>2</v>
      </c>
      <c r="L4" s="119">
        <v>54.300000000000004</v>
      </c>
      <c r="M4" s="117">
        <v>1614.1280117147016</v>
      </c>
      <c r="O4" s="74" t="s">
        <v>130</v>
      </c>
      <c r="P4" s="80">
        <f t="shared" si="0"/>
        <v>-1570</v>
      </c>
      <c r="Q4" s="77">
        <v>50</v>
      </c>
      <c r="R4" s="64">
        <v>-78500</v>
      </c>
    </row>
    <row r="5" spans="1:18" x14ac:dyDescent="0.4">
      <c r="A5" s="19" t="s">
        <v>7</v>
      </c>
      <c r="B5" s="125">
        <f>IF(B$2=0,0,B$4/B$2)</f>
        <v>2.6762711864406792</v>
      </c>
      <c r="C5" s="126"/>
      <c r="E5" s="27" t="s">
        <v>159</v>
      </c>
      <c r="F5" s="24" t="s">
        <v>160</v>
      </c>
      <c r="G5" s="12">
        <v>51</v>
      </c>
      <c r="H5" s="88">
        <f>IF(B$20=0,0,G5/B$20)</f>
        <v>0.38059701492537312</v>
      </c>
      <c r="I5" s="58">
        <v>6</v>
      </c>
      <c r="K5" s="74">
        <v>3</v>
      </c>
      <c r="L5" s="119">
        <v>49.000000000000007</v>
      </c>
      <c r="M5" s="117">
        <v>1613.1372436444135</v>
      </c>
      <c r="O5" s="74" t="s">
        <v>131</v>
      </c>
      <c r="P5" s="80">
        <f t="shared" si="0"/>
        <v>59.574468085106382</v>
      </c>
      <c r="Q5" s="77">
        <v>47</v>
      </c>
      <c r="R5" s="64">
        <v>2800</v>
      </c>
    </row>
    <row r="6" spans="1:18" x14ac:dyDescent="0.4">
      <c r="A6" s="19" t="s">
        <v>195</v>
      </c>
      <c r="B6" s="129">
        <v>1624.1863091460136</v>
      </c>
      <c r="C6" s="130"/>
      <c r="E6" s="27" t="s">
        <v>68</v>
      </c>
      <c r="F6" s="24" t="s">
        <v>12</v>
      </c>
      <c r="G6" s="12">
        <v>47</v>
      </c>
      <c r="H6" s="88">
        <f>IF(B$20=0,0,G6/B$20)</f>
        <v>0.35074626865671643</v>
      </c>
      <c r="I6" s="58">
        <v>5</v>
      </c>
      <c r="K6" s="74">
        <v>4</v>
      </c>
      <c r="L6" s="119">
        <v>27.400000000000006</v>
      </c>
      <c r="M6" s="117">
        <v>1609.3264201825471</v>
      </c>
      <c r="O6" s="74" t="s">
        <v>132</v>
      </c>
      <c r="P6" s="80">
        <f t="shared" si="0"/>
        <v>-242.85714285714286</v>
      </c>
      <c r="Q6" s="77">
        <v>42</v>
      </c>
      <c r="R6" s="64">
        <v>-10200</v>
      </c>
    </row>
    <row r="7" spans="1:18" x14ac:dyDescent="0.4">
      <c r="A7" s="19" t="s">
        <v>1</v>
      </c>
      <c r="B7" s="139">
        <f>IF(B$2=0,0,(B$8*1+B$9*2+B$10*3)/B$2)</f>
        <v>1.8983050847457628</v>
      </c>
      <c r="C7" s="140"/>
      <c r="E7" s="27" t="s">
        <v>67</v>
      </c>
      <c r="F7" s="24" t="s">
        <v>23</v>
      </c>
      <c r="G7" s="12">
        <v>37</v>
      </c>
      <c r="H7" s="88">
        <f>IF(B$20=0,0,G7/B$20)</f>
        <v>0.27611940298507465</v>
      </c>
      <c r="I7" s="58">
        <v>2</v>
      </c>
      <c r="K7" s="74">
        <v>5</v>
      </c>
      <c r="L7" s="119">
        <v>28.600000000000005</v>
      </c>
      <c r="M7" s="117">
        <v>1609.8584616614519</v>
      </c>
      <c r="O7" s="75" t="s">
        <v>133</v>
      </c>
      <c r="P7" s="81">
        <f t="shared" si="0"/>
        <v>918.42105263157896</v>
      </c>
      <c r="Q7" s="78">
        <v>38</v>
      </c>
      <c r="R7" s="65">
        <v>34900</v>
      </c>
    </row>
    <row r="8" spans="1:18" x14ac:dyDescent="0.4">
      <c r="A8" s="19" t="s">
        <v>2</v>
      </c>
      <c r="B8" s="12">
        <v>23</v>
      </c>
      <c r="C8" s="6">
        <f t="shared" ref="C8:C15" si="1">IF(B$2=0,0,B8/B$2)</f>
        <v>0.38983050847457629</v>
      </c>
      <c r="E8" s="27" t="s">
        <v>69</v>
      </c>
      <c r="F8" s="24" t="s">
        <v>24</v>
      </c>
      <c r="G8" s="12">
        <v>23</v>
      </c>
      <c r="H8" s="88">
        <f>IF(B$20=0,0,G8/B$20)</f>
        <v>0.17164179104477612</v>
      </c>
      <c r="I8" s="58">
        <v>3</v>
      </c>
      <c r="K8" s="74">
        <v>6</v>
      </c>
      <c r="L8" s="119">
        <v>-1.899999999999995</v>
      </c>
      <c r="M8" s="117">
        <v>1604.6813108914832</v>
      </c>
      <c r="O8" s="107"/>
      <c r="P8" s="85"/>
      <c r="Q8" s="108"/>
      <c r="R8" s="70"/>
    </row>
    <row r="9" spans="1:18" x14ac:dyDescent="0.4">
      <c r="A9" s="19" t="s">
        <v>3</v>
      </c>
      <c r="B9" s="12">
        <v>19</v>
      </c>
      <c r="C9" s="6">
        <f t="shared" si="1"/>
        <v>0.32203389830508472</v>
      </c>
      <c r="E9" s="27" t="s">
        <v>89</v>
      </c>
      <c r="F9" s="24" t="s">
        <v>44</v>
      </c>
      <c r="G9" s="12">
        <v>22</v>
      </c>
      <c r="H9" s="88">
        <f>IF(B$20=0,0,G9/B$20)</f>
        <v>0.16417910447761194</v>
      </c>
      <c r="I9" s="58">
        <v>1</v>
      </c>
      <c r="K9" s="74">
        <v>7</v>
      </c>
      <c r="L9" s="119">
        <v>-3.2999999999999949</v>
      </c>
      <c r="M9" s="117">
        <v>1604.7732230261342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17</v>
      </c>
      <c r="C10" s="7">
        <f t="shared" si="1"/>
        <v>0.28813559322033899</v>
      </c>
      <c r="E10" s="27" t="s">
        <v>65</v>
      </c>
      <c r="F10" s="24" t="s">
        <v>21</v>
      </c>
      <c r="G10" s="12">
        <v>19</v>
      </c>
      <c r="H10" s="88">
        <f>IF(B$20=0,0,G10/B$20)</f>
        <v>0.1417910447761194</v>
      </c>
      <c r="I10" s="58">
        <v>4</v>
      </c>
      <c r="K10" s="74">
        <v>8</v>
      </c>
      <c r="L10" s="119">
        <v>47.800000000000004</v>
      </c>
      <c r="M10" s="117">
        <v>1614.3145836879773</v>
      </c>
      <c r="O10" s="73" t="s">
        <v>151</v>
      </c>
      <c r="P10" s="82">
        <f>IF(Q10=0,0,R10/Q10)</f>
        <v>7.1499999999999977</v>
      </c>
      <c r="Q10" s="76">
        <v>26</v>
      </c>
      <c r="R10" s="67">
        <v>185.89999999999995</v>
      </c>
    </row>
    <row r="11" spans="1:18" x14ac:dyDescent="0.4">
      <c r="A11" s="20" t="s">
        <v>184</v>
      </c>
      <c r="B11" s="109">
        <f>IF(B8=0,0,C11/B8)</f>
        <v>45.143478260869571</v>
      </c>
      <c r="C11" s="110">
        <v>1038.3000000000002</v>
      </c>
      <c r="E11" s="27" t="s">
        <v>70</v>
      </c>
      <c r="F11" s="24" t="s">
        <v>25</v>
      </c>
      <c r="G11" s="12">
        <v>12</v>
      </c>
      <c r="H11" s="88">
        <f>IF(B$20=0,0,G11/B$20)</f>
        <v>8.9552238805970144E-2</v>
      </c>
      <c r="I11" s="58">
        <v>6</v>
      </c>
      <c r="K11" s="74">
        <v>9</v>
      </c>
      <c r="L11" s="119">
        <v>40.700000000000003</v>
      </c>
      <c r="M11" s="117">
        <v>1613.3226961858495</v>
      </c>
      <c r="O11" s="74" t="s">
        <v>152</v>
      </c>
      <c r="P11" s="83">
        <f>IF(Q11=0,0,R11/Q11)</f>
        <v>-3.1461538461538461</v>
      </c>
      <c r="Q11" s="77">
        <v>13</v>
      </c>
      <c r="R11" s="68">
        <v>-40.9</v>
      </c>
    </row>
    <row r="12" spans="1:18" x14ac:dyDescent="0.4">
      <c r="A12" s="20" t="s">
        <v>185</v>
      </c>
      <c r="B12" s="109">
        <f>IF(B9=0,0,C12/B9)</f>
        <v>-2.0210526315789479</v>
      </c>
      <c r="C12" s="110">
        <v>-38.400000000000006</v>
      </c>
      <c r="E12" s="27" t="s">
        <v>71</v>
      </c>
      <c r="F12" s="24" t="s">
        <v>26</v>
      </c>
      <c r="G12" s="12">
        <v>11</v>
      </c>
      <c r="H12" s="88">
        <f>IF(B$20=0,0,G12/B$20)</f>
        <v>8.2089552238805971E-2</v>
      </c>
      <c r="I12" s="58">
        <v>2</v>
      </c>
      <c r="K12" s="74">
        <v>10</v>
      </c>
      <c r="L12" s="119">
        <v>64.7</v>
      </c>
      <c r="M12" s="117">
        <v>1617.9527600087345</v>
      </c>
      <c r="O12" s="75" t="s">
        <v>153</v>
      </c>
      <c r="P12" s="84">
        <f>IF(Q12=0,0,R12/Q12)</f>
        <v>0.6449999999999998</v>
      </c>
      <c r="Q12" s="78">
        <v>20</v>
      </c>
      <c r="R12" s="69">
        <v>12.899999999999995</v>
      </c>
    </row>
    <row r="13" spans="1:18" x14ac:dyDescent="0.4">
      <c r="A13" s="20" t="s">
        <v>186</v>
      </c>
      <c r="B13" s="109">
        <f>IF(B10=0,0,C13/B10)</f>
        <v>-49.52941176470587</v>
      </c>
      <c r="C13" s="110">
        <v>-841.99999999999977</v>
      </c>
      <c r="E13" s="27" t="s">
        <v>86</v>
      </c>
      <c r="F13" s="24" t="s">
        <v>41</v>
      </c>
      <c r="G13" s="12">
        <v>10</v>
      </c>
      <c r="H13" s="88">
        <f>IF(B$20=0,0,G13/B$20)</f>
        <v>7.4626865671641784E-2</v>
      </c>
      <c r="I13" s="58">
        <v>2</v>
      </c>
      <c r="K13" s="74">
        <v>11</v>
      </c>
      <c r="L13" s="119">
        <v>24.300000000000004</v>
      </c>
      <c r="M13" s="117">
        <v>1610.9630434486821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-2.1356620451384152</v>
      </c>
      <c r="C14" s="126"/>
      <c r="E14" s="27" t="s">
        <v>155</v>
      </c>
      <c r="F14" s="24" t="s">
        <v>156</v>
      </c>
      <c r="G14" s="12">
        <v>4</v>
      </c>
      <c r="H14" s="88">
        <f>IF(B$20=0,0,G14/B$20)</f>
        <v>2.9850746268656716E-2</v>
      </c>
      <c r="I14" s="58">
        <v>1</v>
      </c>
      <c r="K14" s="74">
        <v>12</v>
      </c>
      <c r="L14" s="119">
        <v>76.099999999999994</v>
      </c>
      <c r="M14" s="117">
        <v>1620.6112651879901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8</v>
      </c>
      <c r="C15" s="9">
        <f t="shared" si="1"/>
        <v>0.13559322033898305</v>
      </c>
      <c r="E15" s="27" t="s">
        <v>78</v>
      </c>
      <c r="F15" s="24" t="s">
        <v>33</v>
      </c>
      <c r="G15" s="12">
        <v>3</v>
      </c>
      <c r="H15" s="88">
        <f>IF(B$20=0,0,G15/B$20)</f>
        <v>2.2388059701492536E-2</v>
      </c>
      <c r="I15" s="58">
        <v>5</v>
      </c>
      <c r="K15" s="74">
        <v>13</v>
      </c>
      <c r="L15" s="119">
        <v>122.5</v>
      </c>
      <c r="M15" s="117">
        <v>1629.229597596862</v>
      </c>
      <c r="O15" s="73" t="s">
        <v>197</v>
      </c>
      <c r="P15" s="82">
        <f>IF(Q15=0,0,R15/Q15)</f>
        <v>54.133333333333326</v>
      </c>
      <c r="Q15" s="76">
        <v>3</v>
      </c>
      <c r="R15" s="67">
        <v>162.39999999999998</v>
      </c>
    </row>
    <row r="16" spans="1:18" x14ac:dyDescent="0.4">
      <c r="A16" s="22" t="s">
        <v>121</v>
      </c>
      <c r="B16" s="15">
        <v>148</v>
      </c>
      <c r="C16" s="10">
        <f>IF(B$3=0,0,B16/B$3)</f>
        <v>0.32385120350109409</v>
      </c>
      <c r="E16" s="27" t="s">
        <v>81</v>
      </c>
      <c r="F16" s="24" t="s">
        <v>36</v>
      </c>
      <c r="G16" s="12">
        <v>3</v>
      </c>
      <c r="H16" s="88">
        <f>IF(B$20=0,0,G16/B$20)</f>
        <v>2.2388059701492536E-2</v>
      </c>
      <c r="I16" s="58">
        <v>6</v>
      </c>
      <c r="K16" s="74">
        <v>14</v>
      </c>
      <c r="L16" s="119">
        <v>154.19999999999999</v>
      </c>
      <c r="M16" s="117">
        <v>1635.1502200112809</v>
      </c>
      <c r="O16" s="74" t="s">
        <v>192</v>
      </c>
      <c r="P16" s="83">
        <f>IF(Q16=0,0,R16/Q16)</f>
        <v>20.887499999999999</v>
      </c>
      <c r="Q16" s="77">
        <v>24</v>
      </c>
      <c r="R16" s="68">
        <v>501.29999999999995</v>
      </c>
    </row>
    <row r="17" spans="1:18" x14ac:dyDescent="0.4">
      <c r="A17" s="19" t="s">
        <v>118</v>
      </c>
      <c r="B17" s="12">
        <v>91</v>
      </c>
      <c r="C17" s="6">
        <f>IF(B$3=0,0,B17/B$3)</f>
        <v>0.19912472647702406</v>
      </c>
      <c r="E17" s="27" t="s">
        <v>83</v>
      </c>
      <c r="F17" s="24" t="s">
        <v>38</v>
      </c>
      <c r="G17" s="12">
        <v>3</v>
      </c>
      <c r="H17" s="88">
        <f>IF(B$20=0,0,G17/B$20)</f>
        <v>2.2388059701492536E-2</v>
      </c>
      <c r="I17" s="58">
        <v>5</v>
      </c>
      <c r="K17" s="74">
        <v>15</v>
      </c>
      <c r="L17" s="119">
        <v>154.19999999999999</v>
      </c>
      <c r="M17" s="117">
        <v>1635.3293186912133</v>
      </c>
      <c r="O17" s="74" t="s">
        <v>194</v>
      </c>
      <c r="P17" s="83">
        <f>IF(Q17=0,0,R17/Q17)</f>
        <v>3.3466666666666662</v>
      </c>
      <c r="Q17" s="77">
        <v>15</v>
      </c>
      <c r="R17" s="68">
        <v>50.199999999999996</v>
      </c>
    </row>
    <row r="18" spans="1:18" x14ac:dyDescent="0.4">
      <c r="A18" s="18" t="s">
        <v>123</v>
      </c>
      <c r="B18" s="11">
        <f>B24</f>
        <v>74</v>
      </c>
      <c r="C18" s="5">
        <f>IF(B$16=0,0,B18/B$16)</f>
        <v>0.5</v>
      </c>
      <c r="E18" s="27" t="s">
        <v>73</v>
      </c>
      <c r="F18" s="24" t="s">
        <v>28</v>
      </c>
      <c r="G18" s="12">
        <v>2</v>
      </c>
      <c r="H18" s="88">
        <f>IF(B$20=0,0,G18/B$20)</f>
        <v>1.4925373134328358E-2</v>
      </c>
      <c r="I18" s="58">
        <v>2</v>
      </c>
      <c r="K18" s="74">
        <v>16</v>
      </c>
      <c r="L18" s="119">
        <v>225.2</v>
      </c>
      <c r="M18" s="117">
        <v>1648.287342779066</v>
      </c>
      <c r="O18" s="74" t="s">
        <v>198</v>
      </c>
      <c r="P18" s="83">
        <f>IF(Q18=0,0,R18/Q18)</f>
        <v>-2.4384615384615391</v>
      </c>
      <c r="Q18" s="77">
        <v>26</v>
      </c>
      <c r="R18" s="68">
        <v>-63.400000000000013</v>
      </c>
    </row>
    <row r="19" spans="1:18" x14ac:dyDescent="0.4">
      <c r="A19" s="18" t="s">
        <v>124</v>
      </c>
      <c r="B19" s="11">
        <f>B25</f>
        <v>36</v>
      </c>
      <c r="C19" s="5">
        <f>IF(B$17=0,0,B19/B$17)</f>
        <v>0.39560439560439559</v>
      </c>
      <c r="E19" s="27" t="s">
        <v>75</v>
      </c>
      <c r="F19" s="24" t="s">
        <v>30</v>
      </c>
      <c r="G19" s="12">
        <v>1</v>
      </c>
      <c r="H19" s="88">
        <f>IF(B$20=0,0,G19/B$20)</f>
        <v>7.462686567164179E-3</v>
      </c>
      <c r="I19" s="58">
        <v>1</v>
      </c>
      <c r="K19" s="74">
        <v>17</v>
      </c>
      <c r="L19" s="119">
        <v>224</v>
      </c>
      <c r="M19" s="117">
        <v>1647.7576187223915</v>
      </c>
      <c r="O19" s="74" t="s">
        <v>126</v>
      </c>
      <c r="P19" s="83">
        <f>IF(Q19=0,0,R19/Q19)</f>
        <v>-3.5359999999999987</v>
      </c>
      <c r="Q19" s="77">
        <v>50</v>
      </c>
      <c r="R19" s="68">
        <v>-176.79999999999993</v>
      </c>
    </row>
    <row r="20" spans="1:18" x14ac:dyDescent="0.4">
      <c r="A20" s="18" t="s">
        <v>10</v>
      </c>
      <c r="B20" s="11">
        <f>B23+B22</f>
        <v>134</v>
      </c>
      <c r="C20" s="5">
        <f>IF(B$3=0,0,B20/B$3)</f>
        <v>0.29321663019693656</v>
      </c>
      <c r="E20" s="27" t="s">
        <v>91</v>
      </c>
      <c r="F20" s="24" t="s">
        <v>46</v>
      </c>
      <c r="G20" s="12">
        <v>1</v>
      </c>
      <c r="H20" s="88">
        <f>IF(B$20=0,0,G20/B$20)</f>
        <v>7.462686567164179E-3</v>
      </c>
      <c r="I20" s="58">
        <v>6</v>
      </c>
      <c r="K20" s="74">
        <v>18</v>
      </c>
      <c r="L20" s="119">
        <v>229.8</v>
      </c>
      <c r="M20" s="117">
        <v>1648.4970730100572</v>
      </c>
    </row>
    <row r="21" spans="1:18" x14ac:dyDescent="0.4">
      <c r="A21" s="19" t="s">
        <v>13</v>
      </c>
      <c r="B21" s="12">
        <v>68</v>
      </c>
      <c r="C21" s="6">
        <f>IF(B$3=0,0,B21/B$3)</f>
        <v>0.1487964989059081</v>
      </c>
      <c r="E21" s="27" t="s">
        <v>92</v>
      </c>
      <c r="F21" s="24" t="s">
        <v>47</v>
      </c>
      <c r="G21" s="12">
        <v>1</v>
      </c>
      <c r="H21" s="88">
        <f>IF(B$20=0,0,G21/B$20)</f>
        <v>7.462686567164179E-3</v>
      </c>
      <c r="I21" s="58">
        <v>2</v>
      </c>
      <c r="K21" s="74">
        <v>19</v>
      </c>
      <c r="L21" s="119">
        <v>239</v>
      </c>
      <c r="M21" s="117">
        <v>1649.8380905719969</v>
      </c>
    </row>
    <row r="22" spans="1:18" x14ac:dyDescent="0.4">
      <c r="A22" s="19" t="s">
        <v>12</v>
      </c>
      <c r="B22" s="12">
        <v>63</v>
      </c>
      <c r="C22" s="6">
        <f>IF(B$20=0,0,B22/B$20)</f>
        <v>0.47014925373134331</v>
      </c>
      <c r="E22" s="27" t="s">
        <v>93</v>
      </c>
      <c r="F22" s="24" t="s">
        <v>48</v>
      </c>
      <c r="G22" s="12">
        <v>1</v>
      </c>
      <c r="H22" s="88">
        <f>IF(B$20=0,0,G22/B$20)</f>
        <v>7.462686567164179E-3</v>
      </c>
      <c r="I22" s="58">
        <v>4</v>
      </c>
      <c r="K22" s="74">
        <v>20</v>
      </c>
      <c r="L22" s="119">
        <v>187.8</v>
      </c>
      <c r="M22" s="117">
        <v>1640.3050620285649</v>
      </c>
    </row>
    <row r="23" spans="1:18" x14ac:dyDescent="0.4">
      <c r="A23" s="19" t="s">
        <v>11</v>
      </c>
      <c r="B23" s="12">
        <v>71</v>
      </c>
      <c r="C23" s="6">
        <f>IF(B$20=0,0,B23/B$20)</f>
        <v>0.52985074626865669</v>
      </c>
      <c r="E23" s="27" t="s">
        <v>94</v>
      </c>
      <c r="F23" s="24" t="s">
        <v>49</v>
      </c>
      <c r="G23" s="12">
        <v>1</v>
      </c>
      <c r="H23" s="88">
        <f>IF(B$20=0,0,G23/B$20)</f>
        <v>7.462686567164179E-3</v>
      </c>
      <c r="I23" s="58">
        <v>1</v>
      </c>
      <c r="K23" s="74">
        <v>21</v>
      </c>
      <c r="L23" s="119">
        <v>214.70000000000002</v>
      </c>
      <c r="M23" s="117">
        <v>1644.8812316563935</v>
      </c>
    </row>
    <row r="24" spans="1:18" x14ac:dyDescent="0.4">
      <c r="A24" s="19" t="s">
        <v>183</v>
      </c>
      <c r="B24" s="12">
        <v>74</v>
      </c>
      <c r="C24" s="6">
        <f>IF(B$20=0,0,B24/B$20)</f>
        <v>0.55223880597014929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161.5</v>
      </c>
      <c r="M24" s="117">
        <v>1635.0179442664553</v>
      </c>
    </row>
    <row r="25" spans="1:18" x14ac:dyDescent="0.4">
      <c r="A25" s="19" t="s">
        <v>181</v>
      </c>
      <c r="B25" s="12">
        <v>36</v>
      </c>
      <c r="C25" s="6">
        <f>IF(B$20=0,0,B25/B$20)</f>
        <v>0.26865671641791045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221.8</v>
      </c>
      <c r="M25" s="117">
        <v>1645.6378366008566</v>
      </c>
    </row>
    <row r="26" spans="1:18" x14ac:dyDescent="0.4">
      <c r="A26" s="19" t="s">
        <v>182</v>
      </c>
      <c r="B26" s="12">
        <v>24</v>
      </c>
      <c r="C26" s="6">
        <f>IF(B$20=0,0,B26/B$20)</f>
        <v>0.17910447761194029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221.8</v>
      </c>
      <c r="M26" s="117">
        <v>1645.3460095812516</v>
      </c>
    </row>
    <row r="27" spans="1:18" x14ac:dyDescent="0.4">
      <c r="A27" s="19" t="s">
        <v>5</v>
      </c>
      <c r="B27" s="16">
        <f>IF(B$20=0,0,C27/B$20)</f>
        <v>9397.7611940298502</v>
      </c>
      <c r="C27" s="8">
        <v>1259300</v>
      </c>
      <c r="E27" s="27" t="s">
        <v>79</v>
      </c>
      <c r="F27" s="24" t="s">
        <v>34</v>
      </c>
      <c r="G27" s="12">
        <v>0</v>
      </c>
      <c r="H27" s="88">
        <f>IF(B$20=0,0,G27/B$20)</f>
        <v>0</v>
      </c>
      <c r="I27" s="58">
        <v>4</v>
      </c>
      <c r="K27" s="74">
        <v>25</v>
      </c>
      <c r="L27" s="119">
        <v>234.10000000000002</v>
      </c>
      <c r="M27" s="117">
        <v>1647.2639335237641</v>
      </c>
    </row>
    <row r="28" spans="1:18" x14ac:dyDescent="0.4">
      <c r="A28" s="20" t="s">
        <v>165</v>
      </c>
      <c r="B28" s="95">
        <f>IF($B$20-B$19=0,0,C28/($B$20-B$19))</f>
        <v>10255.102040816326</v>
      </c>
      <c r="C28" s="96">
        <v>1005000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177.3</v>
      </c>
      <c r="M28" s="117">
        <v>1636.7323499226216</v>
      </c>
    </row>
    <row r="29" spans="1:18" x14ac:dyDescent="0.4">
      <c r="A29" s="20" t="s">
        <v>166</v>
      </c>
      <c r="B29" s="95">
        <f>IF(B$19=0,0,C29/B$19)</f>
        <v>7063.8888888888887</v>
      </c>
      <c r="C29" s="96">
        <v>254300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257.3</v>
      </c>
      <c r="M29" s="117">
        <v>1650.8879558230858</v>
      </c>
    </row>
    <row r="30" spans="1:18" x14ac:dyDescent="0.4">
      <c r="A30" s="20" t="s">
        <v>164</v>
      </c>
      <c r="B30" s="95">
        <f>IF(B$21=0,0,C30/B$21)</f>
        <v>-7755.8823529411766</v>
      </c>
      <c r="C30" s="96">
        <v>-527400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256.5</v>
      </c>
      <c r="M30" s="117">
        <v>1650.4146280881473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206.6</v>
      </c>
      <c r="M31" s="117">
        <v>1641.1061403196184</v>
      </c>
    </row>
    <row r="32" spans="1:18" x14ac:dyDescent="0.4">
      <c r="A32" s="19" t="s">
        <v>158</v>
      </c>
      <c r="B32" s="12">
        <v>25</v>
      </c>
      <c r="C32" s="90">
        <v>13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151.19999999999999</v>
      </c>
      <c r="M32" s="117">
        <v>1630.8635034777008</v>
      </c>
    </row>
    <row r="33" spans="1:13" x14ac:dyDescent="0.4">
      <c r="A33" s="54" t="s">
        <v>136</v>
      </c>
      <c r="B33" s="127">
        <v>6</v>
      </c>
      <c r="C33" s="128"/>
      <c r="E33" s="27" t="s">
        <v>88</v>
      </c>
      <c r="F33" s="24" t="s">
        <v>43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185.29999999999998</v>
      </c>
      <c r="M33" s="117">
        <v>1636.7923224568347</v>
      </c>
    </row>
    <row r="34" spans="1:13" x14ac:dyDescent="0.4">
      <c r="A34" s="22" t="s">
        <v>180</v>
      </c>
      <c r="B34" s="129">
        <v>103000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5</v>
      </c>
      <c r="K34" s="74">
        <v>32</v>
      </c>
      <c r="L34" s="119">
        <v>129.09999999999997</v>
      </c>
      <c r="M34" s="117">
        <v>1626.0475685220936</v>
      </c>
    </row>
    <row r="35" spans="1:13" x14ac:dyDescent="0.4">
      <c r="A35" s="21" t="s">
        <v>137</v>
      </c>
      <c r="B35" s="29">
        <v>1</v>
      </c>
      <c r="C35" s="9">
        <f>IF(B$3=0,0,B35/B$3)</f>
        <v>2.1881838074398249E-3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172.69999999999996</v>
      </c>
      <c r="M35" s="117">
        <v>1633.325283110961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171.69999999999996</v>
      </c>
      <c r="M36" s="117">
        <v>1632.5313314122952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5.9701492537313432E-2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208.79999999999995</v>
      </c>
      <c r="M37" s="117">
        <v>1639.0621434238215</v>
      </c>
    </row>
    <row r="38" spans="1:13" x14ac:dyDescent="0.4">
      <c r="A38" s="19" t="s">
        <v>167</v>
      </c>
      <c r="B38" s="12">
        <v>12</v>
      </c>
      <c r="C38" s="6">
        <f t="shared" si="2"/>
        <v>8.9552238805970144E-2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259.89999999999998</v>
      </c>
      <c r="M38" s="117">
        <v>1648.3617705632785</v>
      </c>
    </row>
    <row r="39" spans="1:13" x14ac:dyDescent="0.4">
      <c r="A39" s="19" t="s">
        <v>168</v>
      </c>
      <c r="B39" s="124">
        <v>20</v>
      </c>
      <c r="C39" s="6">
        <f t="shared" si="2"/>
        <v>0.14925373134328357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197.7</v>
      </c>
      <c r="M39" s="117">
        <v>1636.4855999398987</v>
      </c>
    </row>
    <row r="40" spans="1:13" x14ac:dyDescent="0.4">
      <c r="A40" s="19" t="s">
        <v>169</v>
      </c>
      <c r="B40" s="124">
        <v>41</v>
      </c>
      <c r="C40" s="6">
        <f t="shared" si="2"/>
        <v>0.30597014925373134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150.89999999999998</v>
      </c>
      <c r="M40" s="117">
        <v>1627.8906863402594</v>
      </c>
    </row>
    <row r="41" spans="1:13" x14ac:dyDescent="0.4">
      <c r="A41" s="19" t="s">
        <v>170</v>
      </c>
      <c r="B41" s="124">
        <v>22</v>
      </c>
      <c r="C41" s="6">
        <f t="shared" si="2"/>
        <v>0.16417910447761194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144.69999999999999</v>
      </c>
      <c r="M41" s="117">
        <v>1626.6553422222178</v>
      </c>
    </row>
    <row r="42" spans="1:13" x14ac:dyDescent="0.4">
      <c r="A42" s="19" t="s">
        <v>172</v>
      </c>
      <c r="B42" s="124">
        <v>14</v>
      </c>
      <c r="C42" s="6">
        <f t="shared" si="2"/>
        <v>0.1044776119402985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232.7</v>
      </c>
      <c r="M42" s="117">
        <v>1642.3834101688844</v>
      </c>
    </row>
    <row r="43" spans="1:13" x14ac:dyDescent="0.4">
      <c r="A43" s="19" t="s">
        <v>173</v>
      </c>
      <c r="B43" s="124">
        <v>5</v>
      </c>
      <c r="C43" s="6">
        <f t="shared" si="2"/>
        <v>3.7313432835820892E-2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263.3</v>
      </c>
      <c r="M43" s="117">
        <v>1647.6851097078711</v>
      </c>
    </row>
    <row r="44" spans="1:13" x14ac:dyDescent="0.4">
      <c r="A44" s="19" t="s">
        <v>174</v>
      </c>
      <c r="B44" s="124">
        <v>7</v>
      </c>
      <c r="C44" s="6">
        <f t="shared" si="2"/>
        <v>5.2238805970149252E-2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253.10000000000002</v>
      </c>
      <c r="M44" s="117">
        <v>1645.6109990496238</v>
      </c>
    </row>
    <row r="45" spans="1:13" x14ac:dyDescent="0.4">
      <c r="A45" s="19" t="s">
        <v>175</v>
      </c>
      <c r="B45" s="124">
        <v>1</v>
      </c>
      <c r="C45" s="6">
        <f t="shared" si="2"/>
        <v>7.462686567164179E-3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281.90000000000003</v>
      </c>
      <c r="M45" s="117">
        <v>1650.5693330553261</v>
      </c>
    </row>
    <row r="46" spans="1:13" x14ac:dyDescent="0.4">
      <c r="A46" s="19" t="s">
        <v>176</v>
      </c>
      <c r="B46" s="124">
        <v>1</v>
      </c>
      <c r="C46" s="6">
        <f t="shared" si="2"/>
        <v>7.462686567164179E-3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275.70000000000005</v>
      </c>
      <c r="M46" s="117">
        <v>1649.1979170569941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224.80000000000004</v>
      </c>
      <c r="M47" s="117">
        <v>1639.7887295546523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260.00000000000006</v>
      </c>
      <c r="M48" s="117">
        <v>1645.9339971773243</v>
      </c>
    </row>
    <row r="49" spans="1:13" x14ac:dyDescent="0.4">
      <c r="A49" s="21" t="s">
        <v>179</v>
      </c>
      <c r="B49" s="97">
        <v>3</v>
      </c>
      <c r="C49" s="9">
        <f t="shared" si="2"/>
        <v>2.2388059701492536E-2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233.20000000000005</v>
      </c>
      <c r="M49" s="117">
        <v>1640.8823931942604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174.40000000000003</v>
      </c>
      <c r="M50" s="117">
        <v>1630.1010988350949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116.60000000000004</v>
      </c>
      <c r="M51" s="117">
        <v>1619.5644922420843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55.900000000000034</v>
      </c>
      <c r="M52" s="117">
        <v>1608.5691052886318</v>
      </c>
    </row>
    <row r="53" spans="1:13" x14ac:dyDescent="0.4">
      <c r="K53" s="74">
        <v>51</v>
      </c>
      <c r="L53" s="119">
        <v>55.900000000000034</v>
      </c>
      <c r="M53" s="117">
        <v>1608.5656906569</v>
      </c>
    </row>
    <row r="54" spans="1:13" x14ac:dyDescent="0.4">
      <c r="K54" s="74">
        <v>52</v>
      </c>
      <c r="L54" s="119">
        <v>101.10000000000004</v>
      </c>
      <c r="M54" s="117">
        <v>1616.2182965129587</v>
      </c>
    </row>
    <row r="55" spans="1:13" x14ac:dyDescent="0.4">
      <c r="K55" s="74">
        <v>53</v>
      </c>
      <c r="L55" s="119">
        <v>145.80000000000004</v>
      </c>
      <c r="M55" s="117">
        <v>1623.7289867338809</v>
      </c>
    </row>
    <row r="56" spans="1:13" x14ac:dyDescent="0.4">
      <c r="K56" s="74">
        <v>54</v>
      </c>
      <c r="L56" s="119">
        <v>193.00000000000006</v>
      </c>
      <c r="M56" s="117">
        <v>1632.4186128134777</v>
      </c>
    </row>
    <row r="57" spans="1:13" x14ac:dyDescent="0.4">
      <c r="K57" s="74">
        <v>55</v>
      </c>
      <c r="L57" s="119">
        <v>133.60000000000005</v>
      </c>
      <c r="M57" s="117">
        <v>1621.1181011365968</v>
      </c>
    </row>
    <row r="58" spans="1:13" x14ac:dyDescent="0.4">
      <c r="K58" s="74">
        <v>56</v>
      </c>
      <c r="L58" s="119">
        <v>133.60000000000005</v>
      </c>
      <c r="M58" s="117">
        <v>1621.0213925297771</v>
      </c>
    </row>
    <row r="59" spans="1:13" x14ac:dyDescent="0.4">
      <c r="K59" s="74">
        <v>57</v>
      </c>
      <c r="L59" s="119">
        <v>132.90000000000006</v>
      </c>
      <c r="M59" s="117">
        <v>1620.3372641745984</v>
      </c>
    </row>
    <row r="60" spans="1:13" x14ac:dyDescent="0.4">
      <c r="K60" s="74">
        <v>58</v>
      </c>
      <c r="L60" s="119">
        <v>99.000000000000057</v>
      </c>
      <c r="M60" s="117">
        <v>1614.1552405895509</v>
      </c>
    </row>
    <row r="61" spans="1:13" x14ac:dyDescent="0.4">
      <c r="K61" s="74">
        <v>59</v>
      </c>
      <c r="L61" s="119">
        <v>157.90000000000006</v>
      </c>
      <c r="M61" s="117">
        <v>1624.1863091460136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1FDC-B895-47C0-A89E-7D82D74AEE90}">
  <sheetPr codeName="Sheet9"/>
  <dimension ref="A1:R7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73</v>
      </c>
      <c r="C2" s="134"/>
      <c r="E2" s="26" t="s">
        <v>66</v>
      </c>
      <c r="F2" s="23" t="s">
        <v>22</v>
      </c>
      <c r="G2" s="11">
        <v>155</v>
      </c>
      <c r="H2" s="87">
        <f>IF(B$20=0,0,G2/B$20)</f>
        <v>0.74162679425837319</v>
      </c>
      <c r="I2" s="57">
        <v>4</v>
      </c>
      <c r="K2" s="73">
        <v>0</v>
      </c>
      <c r="L2" s="118">
        <v>0</v>
      </c>
      <c r="M2" s="116">
        <v>1758.0662353696366</v>
      </c>
      <c r="O2" s="73" t="s">
        <v>128</v>
      </c>
      <c r="P2" s="79">
        <f t="shared" ref="P2:P7" si="0">IF(Q2=0,0,R2/Q2)</f>
        <v>2154.1666666666665</v>
      </c>
      <c r="Q2" s="76">
        <v>72</v>
      </c>
      <c r="R2" s="63">
        <v>155100</v>
      </c>
    </row>
    <row r="3" spans="1:18" x14ac:dyDescent="0.4">
      <c r="A3" s="19" t="s">
        <v>8</v>
      </c>
      <c r="B3" s="135">
        <v>587</v>
      </c>
      <c r="C3" s="136"/>
      <c r="E3" s="27" t="s">
        <v>64</v>
      </c>
      <c r="F3" s="24" t="s">
        <v>20</v>
      </c>
      <c r="G3" s="12">
        <v>119</v>
      </c>
      <c r="H3" s="88">
        <f>IF(B$20=0,0,G3/B$20)</f>
        <v>0.56937799043062198</v>
      </c>
      <c r="I3" s="58">
        <v>3</v>
      </c>
      <c r="K3" s="74">
        <v>1</v>
      </c>
      <c r="L3" s="119">
        <v>-4.5999999999999996</v>
      </c>
      <c r="M3" s="117">
        <v>1755.6898379574188</v>
      </c>
      <c r="O3" s="74" t="s">
        <v>129</v>
      </c>
      <c r="P3" s="80">
        <f t="shared" si="0"/>
        <v>2420.5882352941176</v>
      </c>
      <c r="Q3" s="77">
        <v>68</v>
      </c>
      <c r="R3" s="64">
        <v>164600</v>
      </c>
    </row>
    <row r="4" spans="1:18" x14ac:dyDescent="0.4">
      <c r="A4" s="19" t="s">
        <v>6</v>
      </c>
      <c r="B4" s="137">
        <v>719.3</v>
      </c>
      <c r="C4" s="138"/>
      <c r="E4" s="27" t="s">
        <v>159</v>
      </c>
      <c r="F4" s="24" t="s">
        <v>160</v>
      </c>
      <c r="G4" s="12">
        <v>85</v>
      </c>
      <c r="H4" s="88">
        <f>IF(B$20=0,0,G4/B$20)</f>
        <v>0.40669856459330145</v>
      </c>
      <c r="I4" s="58">
        <v>4</v>
      </c>
      <c r="K4" s="74">
        <v>2</v>
      </c>
      <c r="L4" s="119">
        <v>42.6</v>
      </c>
      <c r="M4" s="117">
        <v>1763.2996989296744</v>
      </c>
      <c r="O4" s="74" t="s">
        <v>130</v>
      </c>
      <c r="P4" s="80">
        <f t="shared" si="0"/>
        <v>1177.2727272727273</v>
      </c>
      <c r="Q4" s="77">
        <v>66</v>
      </c>
      <c r="R4" s="64">
        <v>77700</v>
      </c>
    </row>
    <row r="5" spans="1:18" x14ac:dyDescent="0.4">
      <c r="A5" s="19" t="s">
        <v>7</v>
      </c>
      <c r="B5" s="125">
        <f>IF(B$2=0,0,B$4/B$2)</f>
        <v>9.8534246575342461</v>
      </c>
      <c r="C5" s="126"/>
      <c r="E5" s="27" t="s">
        <v>72</v>
      </c>
      <c r="F5" s="24" t="s">
        <v>27</v>
      </c>
      <c r="G5" s="12">
        <v>76</v>
      </c>
      <c r="H5" s="88">
        <f>IF(B$20=0,0,G5/B$20)</f>
        <v>0.36363636363636365</v>
      </c>
      <c r="I5" s="58">
        <v>7</v>
      </c>
      <c r="K5" s="74">
        <v>3</v>
      </c>
      <c r="L5" s="119">
        <v>64.400000000000006</v>
      </c>
      <c r="M5" s="117">
        <v>1766.2919007360963</v>
      </c>
      <c r="O5" s="74" t="s">
        <v>131</v>
      </c>
      <c r="P5" s="80">
        <f t="shared" si="0"/>
        <v>462.29508196721309</v>
      </c>
      <c r="Q5" s="77">
        <v>61</v>
      </c>
      <c r="R5" s="64">
        <v>28200</v>
      </c>
    </row>
    <row r="6" spans="1:18" x14ac:dyDescent="0.4">
      <c r="A6" s="19" t="s">
        <v>195</v>
      </c>
      <c r="B6" s="129">
        <v>1815.1420423169907</v>
      </c>
      <c r="C6" s="130"/>
      <c r="E6" s="27" t="s">
        <v>68</v>
      </c>
      <c r="F6" s="24" t="s">
        <v>12</v>
      </c>
      <c r="G6" s="12">
        <v>71</v>
      </c>
      <c r="H6" s="88">
        <f>IF(B$20=0,0,G6/B$20)</f>
        <v>0.33971291866028708</v>
      </c>
      <c r="I6" s="58">
        <v>6</v>
      </c>
      <c r="K6" s="74">
        <v>4</v>
      </c>
      <c r="L6" s="119">
        <v>82.4</v>
      </c>
      <c r="M6" s="117">
        <v>1768.6901493316798</v>
      </c>
      <c r="O6" s="74" t="s">
        <v>132</v>
      </c>
      <c r="P6" s="80">
        <f t="shared" si="0"/>
        <v>364.91228070175441</v>
      </c>
      <c r="Q6" s="77">
        <v>57</v>
      </c>
      <c r="R6" s="64">
        <v>20800</v>
      </c>
    </row>
    <row r="7" spans="1:18" x14ac:dyDescent="0.4">
      <c r="A7" s="19" t="s">
        <v>1</v>
      </c>
      <c r="B7" s="139">
        <f>IF(B$2=0,0,(B$8*1+B$9*2+B$10*3)/B$2)</f>
        <v>1.7945205479452055</v>
      </c>
      <c r="C7" s="140"/>
      <c r="E7" s="27" t="s">
        <v>67</v>
      </c>
      <c r="F7" s="24" t="s">
        <v>23</v>
      </c>
      <c r="G7" s="12">
        <v>55</v>
      </c>
      <c r="H7" s="88">
        <f>IF(B$20=0,0,G7/B$20)</f>
        <v>0.26315789473684209</v>
      </c>
      <c r="I7" s="58">
        <v>4</v>
      </c>
      <c r="K7" s="74">
        <v>5</v>
      </c>
      <c r="L7" s="119">
        <v>99.300000000000011</v>
      </c>
      <c r="M7" s="117">
        <v>1771.0920084356896</v>
      </c>
      <c r="O7" s="75" t="s">
        <v>133</v>
      </c>
      <c r="P7" s="81">
        <f t="shared" si="0"/>
        <v>1318</v>
      </c>
      <c r="Q7" s="78">
        <v>50</v>
      </c>
      <c r="R7" s="65">
        <v>65900</v>
      </c>
    </row>
    <row r="8" spans="1:18" x14ac:dyDescent="0.4">
      <c r="A8" s="19" t="s">
        <v>2</v>
      </c>
      <c r="B8" s="12">
        <v>33</v>
      </c>
      <c r="C8" s="6">
        <f t="shared" ref="C8:C15" si="1">IF(B$2=0,0,B8/B$2)</f>
        <v>0.45205479452054792</v>
      </c>
      <c r="E8" s="27" t="s">
        <v>65</v>
      </c>
      <c r="F8" s="24" t="s">
        <v>21</v>
      </c>
      <c r="G8" s="12">
        <v>36</v>
      </c>
      <c r="H8" s="88">
        <f>IF(B$20=0,0,G8/B$20)</f>
        <v>0.17224880382775121</v>
      </c>
      <c r="I8" s="58">
        <v>2</v>
      </c>
      <c r="K8" s="74">
        <v>6</v>
      </c>
      <c r="L8" s="119">
        <v>175.8</v>
      </c>
      <c r="M8" s="117">
        <v>1784.2074563850756</v>
      </c>
      <c r="O8" s="107"/>
      <c r="P8" s="85"/>
      <c r="Q8" s="108"/>
      <c r="R8" s="70"/>
    </row>
    <row r="9" spans="1:18" x14ac:dyDescent="0.4">
      <c r="A9" s="19" t="s">
        <v>3</v>
      </c>
      <c r="B9" s="12">
        <v>22</v>
      </c>
      <c r="C9" s="6">
        <f t="shared" si="1"/>
        <v>0.30136986301369861</v>
      </c>
      <c r="E9" s="27" t="s">
        <v>69</v>
      </c>
      <c r="F9" s="24" t="s">
        <v>24</v>
      </c>
      <c r="G9" s="12">
        <v>34</v>
      </c>
      <c r="H9" s="88">
        <f>IF(B$20=0,0,G9/B$20)</f>
        <v>0.16267942583732056</v>
      </c>
      <c r="I9" s="58">
        <v>5</v>
      </c>
      <c r="K9" s="74">
        <v>7</v>
      </c>
      <c r="L9" s="119">
        <v>124.60000000000001</v>
      </c>
      <c r="M9" s="117">
        <v>1774.2582116467652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18</v>
      </c>
      <c r="C10" s="7">
        <f t="shared" si="1"/>
        <v>0.24657534246575341</v>
      </c>
      <c r="E10" s="27" t="s">
        <v>89</v>
      </c>
      <c r="F10" s="24" t="s">
        <v>44</v>
      </c>
      <c r="G10" s="12">
        <v>29</v>
      </c>
      <c r="H10" s="88">
        <f>IF(B$20=0,0,G10/B$20)</f>
        <v>0.13875598086124402</v>
      </c>
      <c r="I10" s="58">
        <v>3</v>
      </c>
      <c r="K10" s="74">
        <v>8</v>
      </c>
      <c r="L10" s="119">
        <v>86.300000000000011</v>
      </c>
      <c r="M10" s="117">
        <v>1766.6906623768846</v>
      </c>
      <c r="O10" s="73" t="s">
        <v>151</v>
      </c>
      <c r="P10" s="82">
        <f>IF(Q10=0,0,R10/Q10)</f>
        <v>11.049999999999999</v>
      </c>
      <c r="Q10" s="76">
        <v>24</v>
      </c>
      <c r="R10" s="67">
        <v>265.2</v>
      </c>
    </row>
    <row r="11" spans="1:18" x14ac:dyDescent="0.4">
      <c r="A11" s="20" t="s">
        <v>184</v>
      </c>
      <c r="B11" s="109">
        <f>IF(B8=0,0,C11/B8)</f>
        <v>46.181818181818173</v>
      </c>
      <c r="C11" s="110">
        <v>1523.9999999999998</v>
      </c>
      <c r="E11" s="27" t="s">
        <v>70</v>
      </c>
      <c r="F11" s="24" t="s">
        <v>25</v>
      </c>
      <c r="G11" s="12">
        <v>22</v>
      </c>
      <c r="H11" s="88">
        <f>IF(B$20=0,0,G11/B$20)</f>
        <v>0.10526315789473684</v>
      </c>
      <c r="I11" s="58">
        <v>5</v>
      </c>
      <c r="K11" s="74">
        <v>9</v>
      </c>
      <c r="L11" s="119">
        <v>65.100000000000009</v>
      </c>
      <c r="M11" s="117">
        <v>1762.2465184026232</v>
      </c>
      <c r="O11" s="74" t="s">
        <v>152</v>
      </c>
      <c r="P11" s="83">
        <f>IF(Q11=0,0,R11/Q11)</f>
        <v>7.2481481481481485</v>
      </c>
      <c r="Q11" s="77">
        <v>27</v>
      </c>
      <c r="R11" s="68">
        <v>195.70000000000002</v>
      </c>
    </row>
    <row r="12" spans="1:18" x14ac:dyDescent="0.4">
      <c r="A12" s="20" t="s">
        <v>185</v>
      </c>
      <c r="B12" s="109">
        <f>IF(B9=0,0,C12/B9)</f>
        <v>-2.3227272727272732</v>
      </c>
      <c r="C12" s="110">
        <v>-51.100000000000009</v>
      </c>
      <c r="E12" s="27" t="s">
        <v>86</v>
      </c>
      <c r="F12" s="24" t="s">
        <v>41</v>
      </c>
      <c r="G12" s="12">
        <v>16</v>
      </c>
      <c r="H12" s="88">
        <f>IF(B$20=0,0,G12/B$20)</f>
        <v>7.6555023923444973E-2</v>
      </c>
      <c r="I12" s="58">
        <v>1</v>
      </c>
      <c r="K12" s="74">
        <v>10</v>
      </c>
      <c r="L12" s="119">
        <v>60.500000000000007</v>
      </c>
      <c r="M12" s="117">
        <v>1760.5890392922074</v>
      </c>
      <c r="O12" s="75" t="s">
        <v>153</v>
      </c>
      <c r="P12" s="84">
        <f>IF(Q12=0,0,R12/Q12)</f>
        <v>11.745454545454544</v>
      </c>
      <c r="Q12" s="78">
        <v>22</v>
      </c>
      <c r="R12" s="69">
        <v>258.39999999999998</v>
      </c>
    </row>
    <row r="13" spans="1:18" x14ac:dyDescent="0.4">
      <c r="A13" s="20" t="s">
        <v>186</v>
      </c>
      <c r="B13" s="109">
        <f>IF(B10=0,0,C13/B10)</f>
        <v>-41.866666666666653</v>
      </c>
      <c r="C13" s="110">
        <v>-753.5999999999998</v>
      </c>
      <c r="E13" s="27" t="s">
        <v>71</v>
      </c>
      <c r="F13" s="24" t="s">
        <v>26</v>
      </c>
      <c r="G13" s="12">
        <v>14</v>
      </c>
      <c r="H13" s="88">
        <f>IF(B$20=0,0,G13/B$20)</f>
        <v>6.6985645933014357E-2</v>
      </c>
      <c r="I13" s="58">
        <v>3</v>
      </c>
      <c r="K13" s="74">
        <v>11</v>
      </c>
      <c r="L13" s="119">
        <v>41.100000000000009</v>
      </c>
      <c r="M13" s="117">
        <v>1756.0315050564541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0.66414141414141648</v>
      </c>
      <c r="C14" s="126"/>
      <c r="E14" s="27" t="s">
        <v>78</v>
      </c>
      <c r="F14" s="24" t="s">
        <v>33</v>
      </c>
      <c r="G14" s="12">
        <v>9</v>
      </c>
      <c r="H14" s="88">
        <f>IF(B$20=0,0,G14/B$20)</f>
        <v>4.3062200956937802E-2</v>
      </c>
      <c r="I14" s="58">
        <v>1</v>
      </c>
      <c r="K14" s="74">
        <v>12</v>
      </c>
      <c r="L14" s="119">
        <v>98.9</v>
      </c>
      <c r="M14" s="117">
        <v>1765.3973160261153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1"/>
        <v>8.2191780821917804E-2</v>
      </c>
      <c r="E15" s="27" t="s">
        <v>83</v>
      </c>
      <c r="F15" s="24" t="s">
        <v>38</v>
      </c>
      <c r="G15" s="12">
        <v>9</v>
      </c>
      <c r="H15" s="88">
        <f>IF(B$20=0,0,G15/B$20)</f>
        <v>4.3062200956937802E-2</v>
      </c>
      <c r="I15" s="58">
        <v>3</v>
      </c>
      <c r="K15" s="74">
        <v>13</v>
      </c>
      <c r="L15" s="119">
        <v>119.10000000000001</v>
      </c>
      <c r="M15" s="117">
        <v>1767.9389321299586</v>
      </c>
      <c r="O15" s="73" t="s">
        <v>197</v>
      </c>
      <c r="P15" s="82">
        <f>IF(Q15=0,0,R15/Q15)</f>
        <v>59.266666666666673</v>
      </c>
      <c r="Q15" s="76">
        <v>3</v>
      </c>
      <c r="R15" s="67">
        <v>177.8</v>
      </c>
    </row>
    <row r="16" spans="1:18" x14ac:dyDescent="0.4">
      <c r="A16" s="22" t="s">
        <v>121</v>
      </c>
      <c r="B16" s="15">
        <v>222</v>
      </c>
      <c r="C16" s="10">
        <f>IF(B$3=0,0,B16/B$3)</f>
        <v>0.37819420783645658</v>
      </c>
      <c r="E16" s="27" t="s">
        <v>81</v>
      </c>
      <c r="F16" s="24" t="s">
        <v>36</v>
      </c>
      <c r="G16" s="12">
        <v>6</v>
      </c>
      <c r="H16" s="88">
        <f>IF(B$20=0,0,G16/B$20)</f>
        <v>2.8708133971291867E-2</v>
      </c>
      <c r="I16" s="58">
        <v>4</v>
      </c>
      <c r="K16" s="74">
        <v>14</v>
      </c>
      <c r="L16" s="119">
        <v>162.4</v>
      </c>
      <c r="M16" s="117">
        <v>1774.6232985371789</v>
      </c>
      <c r="O16" s="74" t="s">
        <v>198</v>
      </c>
      <c r="P16" s="83">
        <f>IF(Q16=0,0,R16/Q16)</f>
        <v>24.71</v>
      </c>
      <c r="Q16" s="77">
        <v>30</v>
      </c>
      <c r="R16" s="68">
        <v>741.30000000000007</v>
      </c>
    </row>
    <row r="17" spans="1:18" x14ac:dyDescent="0.4">
      <c r="A17" s="19" t="s">
        <v>118</v>
      </c>
      <c r="B17" s="12">
        <v>87</v>
      </c>
      <c r="C17" s="6">
        <f>IF(B$3=0,0,B17/B$3)</f>
        <v>0.14821124361158433</v>
      </c>
      <c r="E17" s="27" t="s">
        <v>92</v>
      </c>
      <c r="F17" s="24" t="s">
        <v>47</v>
      </c>
      <c r="G17" s="12">
        <v>3</v>
      </c>
      <c r="H17" s="88">
        <f>IF(B$20=0,0,G17/B$20)</f>
        <v>1.4354066985645933E-2</v>
      </c>
      <c r="I17" s="58">
        <v>1</v>
      </c>
      <c r="K17" s="74">
        <v>15</v>
      </c>
      <c r="L17" s="119">
        <v>219.2</v>
      </c>
      <c r="M17" s="117">
        <v>1783.6975587459558</v>
      </c>
      <c r="O17" s="74" t="s">
        <v>194</v>
      </c>
      <c r="P17" s="83">
        <f>IF(Q17=0,0,R17/Q17)</f>
        <v>19.755999999999997</v>
      </c>
      <c r="Q17" s="77">
        <v>25</v>
      </c>
      <c r="R17" s="68">
        <v>493.89999999999992</v>
      </c>
    </row>
    <row r="18" spans="1:18" x14ac:dyDescent="0.4">
      <c r="A18" s="18" t="s">
        <v>123</v>
      </c>
      <c r="B18" s="11">
        <f>B24</f>
        <v>125</v>
      </c>
      <c r="C18" s="5">
        <f>IF(B$16=0,0,B18/B$16)</f>
        <v>0.56306306306306309</v>
      </c>
      <c r="E18" s="27" t="s">
        <v>88</v>
      </c>
      <c r="F18" s="24" t="s">
        <v>43</v>
      </c>
      <c r="G18" s="12">
        <v>2</v>
      </c>
      <c r="H18" s="88">
        <f>IF(B$20=0,0,G18/B$20)</f>
        <v>9.5693779904306216E-3</v>
      </c>
      <c r="I18" s="58">
        <v>1</v>
      </c>
      <c r="K18" s="74">
        <v>16</v>
      </c>
      <c r="L18" s="119">
        <v>207.6</v>
      </c>
      <c r="M18" s="117">
        <v>1780.40537339348</v>
      </c>
      <c r="O18" s="74" t="s">
        <v>192</v>
      </c>
      <c r="P18" s="83">
        <f>IF(Q18=0,0,R18/Q18)</f>
        <v>14.949999999999998</v>
      </c>
      <c r="Q18" s="77">
        <v>38</v>
      </c>
      <c r="R18" s="68">
        <v>568.09999999999991</v>
      </c>
    </row>
    <row r="19" spans="1:18" x14ac:dyDescent="0.4">
      <c r="A19" s="18" t="s">
        <v>124</v>
      </c>
      <c r="B19" s="11">
        <f>B25</f>
        <v>41</v>
      </c>
      <c r="C19" s="5">
        <f>IF(B$17=0,0,B19/B$17)</f>
        <v>0.47126436781609193</v>
      </c>
      <c r="E19" s="27" t="s">
        <v>91</v>
      </c>
      <c r="F19" s="24" t="s">
        <v>46</v>
      </c>
      <c r="G19" s="12">
        <v>2</v>
      </c>
      <c r="H19" s="88">
        <f>IF(B$20=0,0,G19/B$20)</f>
        <v>9.5693779904306216E-3</v>
      </c>
      <c r="I19" s="58">
        <v>5</v>
      </c>
      <c r="K19" s="74">
        <v>17</v>
      </c>
      <c r="L19" s="119">
        <v>209.2</v>
      </c>
      <c r="M19" s="117">
        <v>1779.5089411531192</v>
      </c>
      <c r="O19" s="74" t="s">
        <v>163</v>
      </c>
      <c r="P19" s="83">
        <f>IF(Q19=0,0,R19/Q19)</f>
        <v>3.5359999999999987</v>
      </c>
      <c r="Q19" s="77">
        <v>50</v>
      </c>
      <c r="R19" s="68">
        <v>176.79999999999993</v>
      </c>
    </row>
    <row r="20" spans="1:18" x14ac:dyDescent="0.4">
      <c r="A20" s="18" t="s">
        <v>10</v>
      </c>
      <c r="B20" s="11">
        <f>B23+B22</f>
        <v>209</v>
      </c>
      <c r="C20" s="5">
        <f>IF(B$3=0,0,B20/B$3)</f>
        <v>0.35604770017035775</v>
      </c>
      <c r="E20" s="27" t="s">
        <v>93</v>
      </c>
      <c r="F20" s="24" t="s">
        <v>48</v>
      </c>
      <c r="G20" s="12">
        <v>2</v>
      </c>
      <c r="H20" s="88">
        <f>IF(B$20=0,0,G20/B$20)</f>
        <v>9.5693779904306216E-3</v>
      </c>
      <c r="I20" s="58">
        <v>3</v>
      </c>
      <c r="K20" s="74">
        <v>18</v>
      </c>
      <c r="L20" s="119">
        <v>194.39999999999998</v>
      </c>
      <c r="M20" s="117">
        <v>1775.6658875062005</v>
      </c>
    </row>
    <row r="21" spans="1:18" x14ac:dyDescent="0.4">
      <c r="A21" s="19" t="s">
        <v>13</v>
      </c>
      <c r="B21" s="12">
        <v>80</v>
      </c>
      <c r="C21" s="6">
        <f>IF(B$3=0,0,B21/B$3)</f>
        <v>0.1362862010221465</v>
      </c>
      <c r="E21" s="27" t="s">
        <v>155</v>
      </c>
      <c r="F21" s="24" t="s">
        <v>156</v>
      </c>
      <c r="G21" s="12">
        <v>2</v>
      </c>
      <c r="H21" s="88">
        <f>IF(B$20=0,0,G21/B$20)</f>
        <v>9.5693779904306216E-3</v>
      </c>
      <c r="I21" s="58">
        <v>6</v>
      </c>
      <c r="K21" s="74">
        <v>19</v>
      </c>
      <c r="L21" s="119">
        <v>216.79999999999998</v>
      </c>
      <c r="M21" s="117">
        <v>1778.5418921811633</v>
      </c>
    </row>
    <row r="22" spans="1:18" x14ac:dyDescent="0.4">
      <c r="A22" s="19" t="s">
        <v>12</v>
      </c>
      <c r="B22" s="12">
        <v>90</v>
      </c>
      <c r="C22" s="6">
        <f>IF(B$20=0,0,B22/B$20)</f>
        <v>0.43062200956937802</v>
      </c>
      <c r="E22" s="27" t="s">
        <v>73</v>
      </c>
      <c r="F22" s="24" t="s">
        <v>28</v>
      </c>
      <c r="G22" s="12">
        <v>1</v>
      </c>
      <c r="H22" s="88">
        <f>IF(B$20=0,0,G22/B$20)</f>
        <v>4.7846889952153108E-3</v>
      </c>
      <c r="I22" s="58">
        <v>4</v>
      </c>
      <c r="K22" s="74">
        <v>20</v>
      </c>
      <c r="L22" s="119">
        <v>215.6</v>
      </c>
      <c r="M22" s="117">
        <v>1777.6446408280763</v>
      </c>
    </row>
    <row r="23" spans="1:18" x14ac:dyDescent="0.4">
      <c r="A23" s="19" t="s">
        <v>11</v>
      </c>
      <c r="B23" s="12">
        <v>119</v>
      </c>
      <c r="C23" s="6">
        <f>IF(B$20=0,0,B23/B$20)</f>
        <v>0.56937799043062198</v>
      </c>
      <c r="E23" s="27" t="s">
        <v>79</v>
      </c>
      <c r="F23" s="24" t="s">
        <v>34</v>
      </c>
      <c r="G23" s="12">
        <v>1</v>
      </c>
      <c r="H23" s="88">
        <f>IF(B$20=0,0,G23/B$20)</f>
        <v>4.7846889952153108E-3</v>
      </c>
      <c r="I23" s="58">
        <v>2</v>
      </c>
      <c r="K23" s="74">
        <v>21</v>
      </c>
      <c r="L23" s="119">
        <v>252.8</v>
      </c>
      <c r="M23" s="117">
        <v>1783.6647729831077</v>
      </c>
    </row>
    <row r="24" spans="1:18" x14ac:dyDescent="0.4">
      <c r="A24" s="19" t="s">
        <v>183</v>
      </c>
      <c r="B24" s="12">
        <v>125</v>
      </c>
      <c r="C24" s="6">
        <f>IF(B$20=0,0,B24/B$20)</f>
        <v>0.59808612440191389</v>
      </c>
      <c r="E24" s="27" t="s">
        <v>85</v>
      </c>
      <c r="F24" s="24" t="s">
        <v>40</v>
      </c>
      <c r="G24" s="12">
        <v>1</v>
      </c>
      <c r="H24" s="88">
        <f>IF(B$20=0,0,G24/B$20)</f>
        <v>4.7846889952153108E-3</v>
      </c>
      <c r="I24" s="58">
        <v>1</v>
      </c>
      <c r="K24" s="74">
        <v>22</v>
      </c>
      <c r="L24" s="119">
        <v>250.60000000000002</v>
      </c>
      <c r="M24" s="117">
        <v>1782.5567843452091</v>
      </c>
    </row>
    <row r="25" spans="1:18" x14ac:dyDescent="0.4">
      <c r="A25" s="19" t="s">
        <v>181</v>
      </c>
      <c r="B25" s="12">
        <v>41</v>
      </c>
      <c r="C25" s="6">
        <f>IF(B$20=0,0,B25/B$20)</f>
        <v>0.19617224880382775</v>
      </c>
      <c r="E25" s="27" t="s">
        <v>90</v>
      </c>
      <c r="F25" s="24" t="s">
        <v>45</v>
      </c>
      <c r="G25" s="12">
        <v>1</v>
      </c>
      <c r="H25" s="88">
        <f>IF(B$20=0,0,G25/B$20)</f>
        <v>4.7846889952153108E-3</v>
      </c>
      <c r="I25" s="58">
        <v>4</v>
      </c>
      <c r="K25" s="74">
        <v>23</v>
      </c>
      <c r="L25" s="119">
        <v>262.3</v>
      </c>
      <c r="M25" s="117">
        <v>1783.9574436391379</v>
      </c>
    </row>
    <row r="26" spans="1:18" x14ac:dyDescent="0.4">
      <c r="A26" s="19" t="s">
        <v>182</v>
      </c>
      <c r="B26" s="12">
        <v>43</v>
      </c>
      <c r="C26" s="6">
        <f>IF(B$20=0,0,B26/B$20)</f>
        <v>0.20574162679425836</v>
      </c>
      <c r="E26" s="27" t="s">
        <v>98</v>
      </c>
      <c r="F26" s="24" t="s">
        <v>53</v>
      </c>
      <c r="G26" s="12">
        <v>1</v>
      </c>
      <c r="H26" s="88">
        <f>IF(B$20=0,0,G26/B$20)</f>
        <v>4.7846889952153108E-3</v>
      </c>
      <c r="I26" s="58">
        <v>1</v>
      </c>
      <c r="K26" s="74">
        <v>24</v>
      </c>
      <c r="L26" s="119">
        <v>261.60000000000002</v>
      </c>
      <c r="M26" s="117">
        <v>1783.117698977303</v>
      </c>
    </row>
    <row r="27" spans="1:18" x14ac:dyDescent="0.4">
      <c r="A27" s="19" t="s">
        <v>5</v>
      </c>
      <c r="B27" s="16">
        <f>IF(B$20=0,0,C27/B$20)</f>
        <v>9470.3349282296658</v>
      </c>
      <c r="C27" s="8">
        <v>1979300</v>
      </c>
      <c r="E27" s="27" t="s">
        <v>106</v>
      </c>
      <c r="F27" s="24" t="s">
        <v>113</v>
      </c>
      <c r="G27" s="12">
        <v>1</v>
      </c>
      <c r="H27" s="88">
        <f>IF(B$20=0,0,G27/B$20)</f>
        <v>4.7846889952153108E-3</v>
      </c>
      <c r="I27" s="58">
        <v>1</v>
      </c>
      <c r="K27" s="74">
        <v>25</v>
      </c>
      <c r="L27" s="119">
        <v>261.60000000000002</v>
      </c>
      <c r="M27" s="117">
        <v>1782.4089927834391</v>
      </c>
    </row>
    <row r="28" spans="1:18" x14ac:dyDescent="0.4">
      <c r="A28" s="20" t="s">
        <v>165</v>
      </c>
      <c r="B28" s="95">
        <f>IF($B$20-B$19=0,0,C28/($B$20-B$19))</f>
        <v>9862.5</v>
      </c>
      <c r="C28" s="96">
        <v>1656900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4</v>
      </c>
      <c r="K28" s="74">
        <v>26</v>
      </c>
      <c r="L28" s="119">
        <v>212.8</v>
      </c>
      <c r="M28" s="117">
        <v>1772.9205388267385</v>
      </c>
    </row>
    <row r="29" spans="1:18" x14ac:dyDescent="0.4">
      <c r="A29" s="20" t="s">
        <v>166</v>
      </c>
      <c r="B29" s="95">
        <f>IF(B$19=0,0,C29/B$19)</f>
        <v>7863.4146341463411</v>
      </c>
      <c r="C29" s="96">
        <v>322400</v>
      </c>
      <c r="E29" s="27" t="s">
        <v>75</v>
      </c>
      <c r="F29" s="24" t="s">
        <v>30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189.70000000000002</v>
      </c>
      <c r="M29" s="117">
        <v>1767.701015593778</v>
      </c>
    </row>
    <row r="30" spans="1:18" x14ac:dyDescent="0.4">
      <c r="A30" s="20" t="s">
        <v>164</v>
      </c>
      <c r="B30" s="95">
        <f>IF(B$21=0,0,C30/B$21)</f>
        <v>-9110</v>
      </c>
      <c r="C30" s="96">
        <v>-728800</v>
      </c>
      <c r="E30" s="27" t="s">
        <v>76</v>
      </c>
      <c r="F30" s="24" t="s">
        <v>31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219.4</v>
      </c>
      <c r="M30" s="117">
        <v>1772.0228095002153</v>
      </c>
    </row>
    <row r="31" spans="1:18" x14ac:dyDescent="0.4">
      <c r="A31" s="19" t="s">
        <v>157</v>
      </c>
      <c r="B31" s="12">
        <v>7</v>
      </c>
      <c r="C31" s="90">
        <v>1</v>
      </c>
      <c r="E31" s="27" t="s">
        <v>77</v>
      </c>
      <c r="F31" s="24" t="s">
        <v>32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252.3</v>
      </c>
      <c r="M31" s="117">
        <v>1776.888672643214</v>
      </c>
    </row>
    <row r="32" spans="1:18" x14ac:dyDescent="0.4">
      <c r="A32" s="19" t="s">
        <v>158</v>
      </c>
      <c r="B32" s="12">
        <v>25</v>
      </c>
      <c r="C32" s="90">
        <v>10</v>
      </c>
      <c r="E32" s="27" t="s">
        <v>80</v>
      </c>
      <c r="F32" s="24" t="s">
        <v>35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258.2</v>
      </c>
      <c r="M32" s="117">
        <v>1776.8713406073548</v>
      </c>
    </row>
    <row r="33" spans="1:13" x14ac:dyDescent="0.4">
      <c r="A33" s="54" t="s">
        <v>136</v>
      </c>
      <c r="B33" s="127">
        <v>7</v>
      </c>
      <c r="C33" s="128"/>
      <c r="E33" s="27" t="s">
        <v>82</v>
      </c>
      <c r="F33" s="24" t="s">
        <v>37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230.79999999999998</v>
      </c>
      <c r="M33" s="117">
        <v>1770.8541125637107</v>
      </c>
    </row>
    <row r="34" spans="1:13" x14ac:dyDescent="0.4">
      <c r="A34" s="22" t="s">
        <v>180</v>
      </c>
      <c r="B34" s="129">
        <v>131400</v>
      </c>
      <c r="C34" s="130"/>
      <c r="E34" s="27" t="s">
        <v>84</v>
      </c>
      <c r="F34" s="24" t="s">
        <v>39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304.29999999999995</v>
      </c>
      <c r="M34" s="117">
        <v>1783.0409878883283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304.49999999999994</v>
      </c>
      <c r="M35" s="117">
        <v>1781.9547419609983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372.49999999999994</v>
      </c>
      <c r="M36" s="117">
        <v>1793.0850135092323</v>
      </c>
    </row>
    <row r="37" spans="1:13" x14ac:dyDescent="0.4">
      <c r="A37" s="54" t="s">
        <v>171</v>
      </c>
      <c r="B37" s="123">
        <v>10</v>
      </c>
      <c r="C37" s="98">
        <f t="shared" ref="C37:C49" si="2">IF(B$20=0,0,B37/B$20)</f>
        <v>4.784688995215311E-2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317.99999999999994</v>
      </c>
      <c r="M37" s="117">
        <v>1782.092503428177</v>
      </c>
    </row>
    <row r="38" spans="1:13" x14ac:dyDescent="0.4">
      <c r="A38" s="19" t="s">
        <v>167</v>
      </c>
      <c r="B38" s="12">
        <v>27</v>
      </c>
      <c r="C38" s="6">
        <f t="shared" si="2"/>
        <v>0.12918660287081341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358.59999999999997</v>
      </c>
      <c r="M38" s="117">
        <v>1788.283948407608</v>
      </c>
    </row>
    <row r="39" spans="1:13" x14ac:dyDescent="0.4">
      <c r="A39" s="19" t="s">
        <v>168</v>
      </c>
      <c r="B39" s="124">
        <v>41</v>
      </c>
      <c r="C39" s="6">
        <f t="shared" si="2"/>
        <v>0.19617224880382775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342.59999999999997</v>
      </c>
      <c r="M39" s="117">
        <v>1784.2502447171623</v>
      </c>
    </row>
    <row r="40" spans="1:13" x14ac:dyDescent="0.4">
      <c r="A40" s="19" t="s">
        <v>169</v>
      </c>
      <c r="B40" s="124">
        <v>47</v>
      </c>
      <c r="C40" s="6">
        <f t="shared" si="2"/>
        <v>0.22488038277511962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310.7</v>
      </c>
      <c r="M40" s="117">
        <v>1777.3787432488593</v>
      </c>
    </row>
    <row r="41" spans="1:13" x14ac:dyDescent="0.4">
      <c r="A41" s="19" t="s">
        <v>170</v>
      </c>
      <c r="B41" s="124">
        <v>35</v>
      </c>
      <c r="C41" s="6">
        <f t="shared" si="2"/>
        <v>0.1674641148325359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297.5</v>
      </c>
      <c r="M41" s="117">
        <v>1773.9144707893661</v>
      </c>
    </row>
    <row r="42" spans="1:13" x14ac:dyDescent="0.4">
      <c r="A42" s="19" t="s">
        <v>172</v>
      </c>
      <c r="B42" s="124">
        <v>18</v>
      </c>
      <c r="C42" s="6">
        <f t="shared" si="2"/>
        <v>8.6124401913875603E-2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349.3</v>
      </c>
      <c r="M42" s="117">
        <v>1782.1709839646298</v>
      </c>
    </row>
    <row r="43" spans="1:13" x14ac:dyDescent="0.4">
      <c r="A43" s="19" t="s">
        <v>173</v>
      </c>
      <c r="B43" s="124">
        <v>12</v>
      </c>
      <c r="C43" s="6">
        <f t="shared" si="2"/>
        <v>5.7416267942583733E-2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342.8</v>
      </c>
      <c r="M43" s="117">
        <v>1779.8839580608421</v>
      </c>
    </row>
    <row r="44" spans="1:13" x14ac:dyDescent="0.4">
      <c r="A44" s="19" t="s">
        <v>174</v>
      </c>
      <c r="B44" s="124">
        <v>4</v>
      </c>
      <c r="C44" s="6">
        <f t="shared" si="2"/>
        <v>1.9138755980861243E-2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341.5</v>
      </c>
      <c r="M44" s="117">
        <v>1778.6786543124772</v>
      </c>
    </row>
    <row r="45" spans="1:13" x14ac:dyDescent="0.4">
      <c r="A45" s="19" t="s">
        <v>175</v>
      </c>
      <c r="B45" s="124">
        <v>6</v>
      </c>
      <c r="C45" s="6">
        <f t="shared" si="2"/>
        <v>2.8708133971291867E-2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306.5</v>
      </c>
      <c r="M45" s="117">
        <v>1771.1805823866023</v>
      </c>
    </row>
    <row r="46" spans="1:13" x14ac:dyDescent="0.4">
      <c r="A46" s="19" t="s">
        <v>176</v>
      </c>
      <c r="B46" s="124">
        <v>1</v>
      </c>
      <c r="C46" s="6">
        <f t="shared" si="2"/>
        <v>4.7846889952153108E-3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352.7</v>
      </c>
      <c r="M46" s="117">
        <v>1778.3434988922827</v>
      </c>
    </row>
    <row r="47" spans="1:13" x14ac:dyDescent="0.4">
      <c r="A47" s="19" t="s">
        <v>177</v>
      </c>
      <c r="B47" s="124">
        <v>1</v>
      </c>
      <c r="C47" s="6">
        <f t="shared" si="2"/>
        <v>4.7846889952153108E-3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333.09999999999997</v>
      </c>
      <c r="M47" s="117">
        <v>1773.6194378989289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368.2</v>
      </c>
      <c r="M48" s="117">
        <v>1778.7697212715354</v>
      </c>
    </row>
    <row r="49" spans="1:13" x14ac:dyDescent="0.4">
      <c r="A49" s="21" t="s">
        <v>179</v>
      </c>
      <c r="B49" s="97">
        <v>7</v>
      </c>
      <c r="C49" s="9">
        <f t="shared" si="2"/>
        <v>3.3492822966507178E-2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289.2</v>
      </c>
      <c r="M49" s="117">
        <v>1763.3511029439062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333.5</v>
      </c>
      <c r="M50" s="117">
        <v>1770.2189963262429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302.10000000000002</v>
      </c>
      <c r="M51" s="117">
        <v>1763.4196823482855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358.5</v>
      </c>
      <c r="M52" s="117">
        <v>1772.4651642541958</v>
      </c>
    </row>
    <row r="53" spans="1:13" x14ac:dyDescent="0.4">
      <c r="K53" s="74">
        <v>51</v>
      </c>
      <c r="L53" s="119">
        <v>402.7</v>
      </c>
      <c r="M53" s="117">
        <v>1779.2603732686705</v>
      </c>
    </row>
    <row r="54" spans="1:13" x14ac:dyDescent="0.4">
      <c r="K54" s="74">
        <v>52</v>
      </c>
      <c r="L54" s="119">
        <v>411.8</v>
      </c>
      <c r="M54" s="117">
        <v>1779.8708110290584</v>
      </c>
    </row>
    <row r="55" spans="1:13" x14ac:dyDescent="0.4">
      <c r="K55" s="74">
        <v>53</v>
      </c>
      <c r="L55" s="119">
        <v>354.90000000000003</v>
      </c>
      <c r="M55" s="117">
        <v>1768.885586162884</v>
      </c>
    </row>
    <row r="56" spans="1:13" x14ac:dyDescent="0.4">
      <c r="K56" s="74">
        <v>54</v>
      </c>
      <c r="L56" s="119">
        <v>366.90000000000003</v>
      </c>
      <c r="M56" s="117">
        <v>1770.0802726459067</v>
      </c>
    </row>
    <row r="57" spans="1:13" x14ac:dyDescent="0.4">
      <c r="K57" s="74">
        <v>55</v>
      </c>
      <c r="L57" s="119">
        <v>305.60000000000002</v>
      </c>
      <c r="M57" s="117">
        <v>1758.0737910100313</v>
      </c>
    </row>
    <row r="58" spans="1:13" x14ac:dyDescent="0.4">
      <c r="K58" s="74">
        <v>56</v>
      </c>
      <c r="L58" s="119">
        <v>242.10000000000002</v>
      </c>
      <c r="M58" s="117">
        <v>1745.743348263971</v>
      </c>
    </row>
    <row r="59" spans="1:13" x14ac:dyDescent="0.4">
      <c r="K59" s="74">
        <v>57</v>
      </c>
      <c r="L59" s="119">
        <v>211.60000000000002</v>
      </c>
      <c r="M59" s="117">
        <v>1739.4268881743872</v>
      </c>
    </row>
    <row r="60" spans="1:13" x14ac:dyDescent="0.4">
      <c r="K60" s="74">
        <v>58</v>
      </c>
      <c r="L60" s="119">
        <v>267.3</v>
      </c>
      <c r="M60" s="117">
        <v>1748.6643268453408</v>
      </c>
    </row>
    <row r="61" spans="1:13" x14ac:dyDescent="0.4">
      <c r="K61" s="74">
        <v>59</v>
      </c>
      <c r="L61" s="119">
        <v>271.3</v>
      </c>
      <c r="M61" s="117">
        <v>1748.5403408842687</v>
      </c>
    </row>
    <row r="62" spans="1:13" x14ac:dyDescent="0.4">
      <c r="K62" s="74">
        <v>60</v>
      </c>
      <c r="L62" s="119">
        <v>308.10000000000002</v>
      </c>
      <c r="M62" s="117">
        <v>1754.3210988389631</v>
      </c>
    </row>
    <row r="63" spans="1:13" x14ac:dyDescent="0.4">
      <c r="K63" s="74">
        <v>61</v>
      </c>
      <c r="L63" s="119">
        <v>364.1</v>
      </c>
      <c r="M63" s="117">
        <v>1763.5231722459293</v>
      </c>
    </row>
    <row r="64" spans="1:13" x14ac:dyDescent="0.4">
      <c r="K64" s="74">
        <v>62</v>
      </c>
      <c r="L64" s="119">
        <v>363.20000000000005</v>
      </c>
      <c r="M64" s="117">
        <v>1762.4280332124538</v>
      </c>
    </row>
    <row r="65" spans="11:13" x14ac:dyDescent="0.4">
      <c r="K65" s="74">
        <v>63</v>
      </c>
      <c r="L65" s="119">
        <v>392.80000000000007</v>
      </c>
      <c r="M65" s="117">
        <v>1766.8294650131791</v>
      </c>
    </row>
    <row r="66" spans="11:13" x14ac:dyDescent="0.4">
      <c r="K66" s="74">
        <v>64</v>
      </c>
      <c r="L66" s="119">
        <v>385.50000000000006</v>
      </c>
      <c r="M66" s="117">
        <v>1764.5624882231</v>
      </c>
    </row>
    <row r="67" spans="11:13" x14ac:dyDescent="0.4">
      <c r="K67" s="74">
        <v>65</v>
      </c>
      <c r="L67" s="119">
        <v>428.40000000000003</v>
      </c>
      <c r="M67" s="117">
        <v>1771.3451132937614</v>
      </c>
    </row>
    <row r="68" spans="11:13" x14ac:dyDescent="0.4">
      <c r="K68" s="74">
        <v>66</v>
      </c>
      <c r="L68" s="119">
        <v>514</v>
      </c>
      <c r="M68" s="117">
        <v>1785.7730426139988</v>
      </c>
    </row>
    <row r="69" spans="11:13" x14ac:dyDescent="0.4">
      <c r="K69" s="74">
        <v>67</v>
      </c>
      <c r="L69" s="119">
        <v>490.6</v>
      </c>
      <c r="M69" s="117">
        <v>1780.4944043583148</v>
      </c>
    </row>
    <row r="70" spans="11:13" x14ac:dyDescent="0.4">
      <c r="K70" s="74">
        <v>68</v>
      </c>
      <c r="L70" s="119">
        <v>499.5</v>
      </c>
      <c r="M70" s="117">
        <v>1780.9414379321649</v>
      </c>
    </row>
    <row r="71" spans="11:13" x14ac:dyDescent="0.4">
      <c r="K71" s="74">
        <v>69</v>
      </c>
      <c r="L71" s="119">
        <v>560.1</v>
      </c>
      <c r="M71" s="117">
        <v>1790.691789304572</v>
      </c>
    </row>
    <row r="72" spans="11:13" x14ac:dyDescent="0.4">
      <c r="K72" s="74">
        <v>70</v>
      </c>
      <c r="L72" s="119">
        <v>503.3</v>
      </c>
      <c r="M72" s="117">
        <v>1779.6596385687446</v>
      </c>
    </row>
    <row r="73" spans="11:13" x14ac:dyDescent="0.4">
      <c r="K73" s="74">
        <v>71</v>
      </c>
      <c r="L73" s="119">
        <v>561.9</v>
      </c>
      <c r="M73" s="117">
        <v>1789.1596807373321</v>
      </c>
    </row>
    <row r="74" spans="11:13" x14ac:dyDescent="0.4">
      <c r="K74" s="74">
        <v>72</v>
      </c>
      <c r="L74" s="119">
        <v>602.9</v>
      </c>
      <c r="M74" s="117">
        <v>1795.4467226529082</v>
      </c>
    </row>
    <row r="75" spans="11:13" x14ac:dyDescent="0.4">
      <c r="K75" s="74">
        <v>73</v>
      </c>
      <c r="L75" s="119">
        <v>719.3</v>
      </c>
      <c r="M75" s="117">
        <v>1815.1420423169907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48BF0-B911-4D78-BEF4-3BD2D6EB6AFD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197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72</v>
      </c>
      <c r="F2" s="23" t="s">
        <v>27</v>
      </c>
      <c r="G2" s="11">
        <v>2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1463.4239467393418</v>
      </c>
      <c r="O2" s="73" t="s">
        <v>128</v>
      </c>
      <c r="P2" s="79">
        <f t="shared" ref="P2:P7" si="0">IF(Q2=0,0,R2/Q2)</f>
        <v>-7666.666666666667</v>
      </c>
      <c r="Q2" s="76">
        <v>3</v>
      </c>
      <c r="R2" s="63">
        <v>-23000</v>
      </c>
    </row>
    <row r="3" spans="1:18" x14ac:dyDescent="0.4">
      <c r="A3" s="19" t="s">
        <v>8</v>
      </c>
      <c r="B3" s="135">
        <v>17</v>
      </c>
      <c r="C3" s="136"/>
      <c r="E3" s="27" t="s">
        <v>159</v>
      </c>
      <c r="F3" s="24" t="s">
        <v>160</v>
      </c>
      <c r="G3" s="12">
        <v>1</v>
      </c>
      <c r="H3" s="88">
        <f>IF(B$20=0,0,G3/B$20)</f>
        <v>0.5</v>
      </c>
      <c r="I3" s="58">
        <v>1</v>
      </c>
      <c r="K3" s="74">
        <v>1</v>
      </c>
      <c r="L3" s="119">
        <v>-46</v>
      </c>
      <c r="M3" s="117">
        <v>1455.3634030589058</v>
      </c>
      <c r="O3" s="74" t="s">
        <v>129</v>
      </c>
      <c r="P3" s="80">
        <f t="shared" si="0"/>
        <v>-12733.333333333334</v>
      </c>
      <c r="Q3" s="77">
        <v>3</v>
      </c>
      <c r="R3" s="64">
        <v>-38200</v>
      </c>
    </row>
    <row r="4" spans="1:18" x14ac:dyDescent="0.4">
      <c r="A4" s="19" t="s">
        <v>6</v>
      </c>
      <c r="B4" s="137">
        <v>-113.4</v>
      </c>
      <c r="C4" s="138"/>
      <c r="E4" s="27" t="s">
        <v>64</v>
      </c>
      <c r="F4" s="24" t="s">
        <v>20</v>
      </c>
      <c r="G4" s="12">
        <v>0</v>
      </c>
      <c r="H4" s="88">
        <f>IF(B$20=0,0,G4/B$20)</f>
        <v>0</v>
      </c>
      <c r="I4" s="58">
        <v>7</v>
      </c>
      <c r="K4" s="74">
        <v>2</v>
      </c>
      <c r="L4" s="119">
        <v>-96.9</v>
      </c>
      <c r="M4" s="117">
        <v>1447.1172226405524</v>
      </c>
      <c r="O4" s="74" t="s">
        <v>130</v>
      </c>
      <c r="P4" s="80">
        <f t="shared" si="0"/>
        <v>-5200</v>
      </c>
      <c r="Q4" s="77">
        <v>2</v>
      </c>
      <c r="R4" s="64">
        <v>-10400</v>
      </c>
    </row>
    <row r="5" spans="1:18" x14ac:dyDescent="0.4">
      <c r="A5" s="19" t="s">
        <v>7</v>
      </c>
      <c r="B5" s="125">
        <f>IF(B$2=0,0,B$4/B$2)</f>
        <v>-37.800000000000004</v>
      </c>
      <c r="C5" s="126"/>
      <c r="E5" s="27" t="s">
        <v>65</v>
      </c>
      <c r="F5" s="24" t="s">
        <v>21</v>
      </c>
      <c r="G5" s="12">
        <v>0</v>
      </c>
      <c r="H5" s="88">
        <f>IF(B$20=0,0,G5/B$20)</f>
        <v>0</v>
      </c>
      <c r="I5" s="58">
        <v>7</v>
      </c>
      <c r="K5" s="74">
        <v>3</v>
      </c>
      <c r="L5" s="119">
        <v>-113.4</v>
      </c>
      <c r="M5" s="117">
        <v>1445.1125193047092</v>
      </c>
      <c r="O5" s="74" t="s">
        <v>131</v>
      </c>
      <c r="P5" s="80">
        <f t="shared" si="0"/>
        <v>-1900</v>
      </c>
      <c r="Q5" s="77">
        <v>2</v>
      </c>
      <c r="R5" s="64">
        <v>-3800</v>
      </c>
    </row>
    <row r="6" spans="1:18" x14ac:dyDescent="0.4">
      <c r="A6" s="19" t="s">
        <v>195</v>
      </c>
      <c r="B6" s="129">
        <v>1445.1125193047092</v>
      </c>
      <c r="C6" s="130"/>
      <c r="E6" s="27" t="s">
        <v>66</v>
      </c>
      <c r="F6" s="24" t="s">
        <v>22</v>
      </c>
      <c r="G6" s="12">
        <v>0</v>
      </c>
      <c r="H6" s="88">
        <f>IF(B$20=0,0,G6/B$20)</f>
        <v>0</v>
      </c>
      <c r="I6" s="58">
        <v>7</v>
      </c>
      <c r="O6" s="74" t="s">
        <v>132</v>
      </c>
      <c r="P6" s="80">
        <f t="shared" si="0"/>
        <v>-4000</v>
      </c>
      <c r="Q6" s="77">
        <v>2</v>
      </c>
      <c r="R6" s="64">
        <v>-8000</v>
      </c>
    </row>
    <row r="7" spans="1:18" x14ac:dyDescent="0.4">
      <c r="A7" s="19" t="s">
        <v>1</v>
      </c>
      <c r="B7" s="139">
        <f>IF(B$2=0,0,(B$8*1+B$9*2+B$10*3)/B$2)</f>
        <v>3</v>
      </c>
      <c r="C7" s="140"/>
      <c r="E7" s="27" t="s">
        <v>67</v>
      </c>
      <c r="F7" s="24" t="s">
        <v>23</v>
      </c>
      <c r="G7" s="12">
        <v>0</v>
      </c>
      <c r="H7" s="88">
        <f>IF(B$20=0,0,G7/B$20)</f>
        <v>0</v>
      </c>
      <c r="I7" s="58">
        <v>7</v>
      </c>
      <c r="O7" s="75" t="s">
        <v>133</v>
      </c>
      <c r="P7" s="81">
        <f t="shared" si="0"/>
        <v>0</v>
      </c>
      <c r="Q7" s="78">
        <v>1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68</v>
      </c>
      <c r="F8" s="24" t="s">
        <v>12</v>
      </c>
      <c r="G8" s="12">
        <v>0</v>
      </c>
      <c r="H8" s="88">
        <f>IF(B$20=0,0,G8/B$20)</f>
        <v>0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0</v>
      </c>
      <c r="H9" s="88">
        <f>IF(B$20=0,0,G9/B$20)</f>
        <v>0</v>
      </c>
      <c r="I9" s="58">
        <v>7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1</v>
      </c>
      <c r="E10" s="27" t="s">
        <v>70</v>
      </c>
      <c r="F10" s="24" t="s">
        <v>25</v>
      </c>
      <c r="G10" s="12">
        <v>0</v>
      </c>
      <c r="H10" s="88">
        <f>IF(B$20=0,0,G10/B$20)</f>
        <v>0</v>
      </c>
      <c r="I10" s="58">
        <v>7</v>
      </c>
      <c r="O10" s="73" t="s">
        <v>151</v>
      </c>
      <c r="P10" s="82">
        <f>IF(Q10=0,0,R10/Q10)</f>
        <v>-50.9</v>
      </c>
      <c r="Q10" s="76">
        <v>1</v>
      </c>
      <c r="R10" s="67">
        <v>-50.9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7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5</v>
      </c>
      <c r="O12" s="75" t="s">
        <v>153</v>
      </c>
      <c r="P12" s="84">
        <f>IF(Q12=0,0,R12/Q12)</f>
        <v>-31.25</v>
      </c>
      <c r="Q12" s="78">
        <v>2</v>
      </c>
      <c r="R12" s="69">
        <v>-62.5</v>
      </c>
    </row>
    <row r="13" spans="1:18" x14ac:dyDescent="0.4">
      <c r="A13" s="20" t="s">
        <v>186</v>
      </c>
      <c r="B13" s="109">
        <f>IF(B10=0,0,C13/B10)</f>
        <v>-37.800000000000004</v>
      </c>
      <c r="C13" s="110">
        <v>-113.4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-12.600000000000001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0.66666666666666663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-54.133333333333326</v>
      </c>
      <c r="Q15" s="76">
        <v>3</v>
      </c>
      <c r="R15" s="67">
        <v>-162.39999999999998</v>
      </c>
    </row>
    <row r="16" spans="1:18" x14ac:dyDescent="0.4">
      <c r="A16" s="22" t="s">
        <v>121</v>
      </c>
      <c r="B16" s="15">
        <v>1</v>
      </c>
      <c r="C16" s="10">
        <f>IF(B$3=0,0,B16/B$3)</f>
        <v>5.8823529411764705E-2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-59.266666666666673</v>
      </c>
      <c r="Q16" s="77">
        <v>3</v>
      </c>
      <c r="R16" s="68">
        <v>-177.8</v>
      </c>
    </row>
    <row r="17" spans="1:9" x14ac:dyDescent="0.4">
      <c r="A17" s="19" t="s">
        <v>118</v>
      </c>
      <c r="B17" s="12">
        <v>4</v>
      </c>
      <c r="C17" s="6">
        <f>IF(B$3=0,0,B17/B$3)</f>
        <v>0.23529411764705882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6</v>
      </c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4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2</v>
      </c>
      <c r="C20" s="5">
        <f>IF(B$3=0,0,B20/B$3)</f>
        <v>0.11764705882352941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7</v>
      </c>
    </row>
    <row r="21" spans="1:9" x14ac:dyDescent="0.4">
      <c r="A21" s="19" t="s">
        <v>13</v>
      </c>
      <c r="B21" s="12">
        <v>7</v>
      </c>
      <c r="C21" s="6">
        <f>IF(B$3=0,0,B21/B$3)</f>
        <v>0.41176470588235292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1</v>
      </c>
      <c r="C22" s="6">
        <f>IF(B$20=0,0,B22/B$20)</f>
        <v>0.5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7</v>
      </c>
    </row>
    <row r="23" spans="1:9" x14ac:dyDescent="0.4">
      <c r="A23" s="19" t="s">
        <v>11</v>
      </c>
      <c r="B23" s="12">
        <v>1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3</v>
      </c>
    </row>
    <row r="25" spans="1:9" x14ac:dyDescent="0.4">
      <c r="A25" s="19" t="s">
        <v>181</v>
      </c>
      <c r="B25" s="12">
        <v>2</v>
      </c>
      <c r="C25" s="6">
        <f>IF(B$20=0,0,B25/B$20)</f>
        <v>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7</v>
      </c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3</v>
      </c>
    </row>
    <row r="27" spans="1:9" x14ac:dyDescent="0.4">
      <c r="A27" s="19" t="s">
        <v>5</v>
      </c>
      <c r="B27" s="16">
        <f>IF(B$20=0,0,C27/B$20)</f>
        <v>1600</v>
      </c>
      <c r="C27" s="8">
        <v>3200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7</v>
      </c>
    </row>
    <row r="29" spans="1:9" x14ac:dyDescent="0.4">
      <c r="A29" s="20" t="s">
        <v>166</v>
      </c>
      <c r="B29" s="95">
        <f>IF(B$19=0,0,C29/B$19)</f>
        <v>1600</v>
      </c>
      <c r="C29" s="96">
        <v>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9" x14ac:dyDescent="0.4">
      <c r="A30" s="20" t="s">
        <v>164</v>
      </c>
      <c r="B30" s="95">
        <f>IF(B$21=0,0,C30/B$21)</f>
        <v>-8314.2857142857138</v>
      </c>
      <c r="C30" s="96">
        <v>-58200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9" x14ac:dyDescent="0.4">
      <c r="A32" s="19" t="s">
        <v>158</v>
      </c>
      <c r="B32" s="12">
        <v>4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5</v>
      </c>
    </row>
    <row r="33" spans="1:9" x14ac:dyDescent="0.4">
      <c r="A33" s="54" t="s">
        <v>136</v>
      </c>
      <c r="B33" s="127">
        <v>1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28500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167</v>
      </c>
      <c r="B38" s="12">
        <v>1</v>
      </c>
      <c r="C38" s="6">
        <f t="shared" si="2"/>
        <v>0.5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7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338E4-564C-4A44-9BAD-423E480EA13E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47</v>
      </c>
      <c r="C2" s="134"/>
      <c r="E2" s="26" t="s">
        <v>66</v>
      </c>
      <c r="F2" s="23" t="s">
        <v>22</v>
      </c>
      <c r="G2" s="11">
        <v>81</v>
      </c>
      <c r="H2" s="87">
        <f>IF(B$20=0,0,G2/B$20)</f>
        <v>0.80198019801980203</v>
      </c>
      <c r="I2" s="57">
        <v>1</v>
      </c>
      <c r="K2" s="73">
        <v>0</v>
      </c>
      <c r="L2" s="118">
        <v>0</v>
      </c>
      <c r="M2" s="116">
        <v>1606.4452616651972</v>
      </c>
      <c r="O2" s="73" t="s">
        <v>128</v>
      </c>
      <c r="P2" s="79">
        <f t="shared" ref="P2:P7" si="0">IF(Q2=0,0,R2/Q2)</f>
        <v>-2208.695652173913</v>
      </c>
      <c r="Q2" s="76">
        <v>46</v>
      </c>
      <c r="R2" s="63">
        <v>-101600</v>
      </c>
    </row>
    <row r="3" spans="1:18" x14ac:dyDescent="0.4">
      <c r="A3" s="19" t="s">
        <v>8</v>
      </c>
      <c r="B3" s="135">
        <v>389</v>
      </c>
      <c r="C3" s="136"/>
      <c r="E3" s="27" t="s">
        <v>72</v>
      </c>
      <c r="F3" s="24" t="s">
        <v>27</v>
      </c>
      <c r="G3" s="12">
        <v>52</v>
      </c>
      <c r="H3" s="88">
        <f>IF(B$20=0,0,G3/B$20)</f>
        <v>0.51485148514851486</v>
      </c>
      <c r="I3" s="58">
        <v>3</v>
      </c>
      <c r="K3" s="74">
        <v>1</v>
      </c>
      <c r="L3" s="119">
        <v>3.6</v>
      </c>
      <c r="M3" s="117">
        <v>1607.210590095206</v>
      </c>
      <c r="O3" s="74" t="s">
        <v>129</v>
      </c>
      <c r="P3" s="80">
        <f t="shared" si="0"/>
        <v>-1433.3333333333333</v>
      </c>
      <c r="Q3" s="77">
        <v>45</v>
      </c>
      <c r="R3" s="64">
        <v>-64500</v>
      </c>
    </row>
    <row r="4" spans="1:18" x14ac:dyDescent="0.4">
      <c r="A4" s="19" t="s">
        <v>6</v>
      </c>
      <c r="B4" s="137">
        <v>-344</v>
      </c>
      <c r="C4" s="138"/>
      <c r="E4" s="27" t="s">
        <v>64</v>
      </c>
      <c r="F4" s="24" t="s">
        <v>20</v>
      </c>
      <c r="G4" s="12">
        <v>49</v>
      </c>
      <c r="H4" s="88">
        <f>IF(B$20=0,0,G4/B$20)</f>
        <v>0.48514851485148514</v>
      </c>
      <c r="I4" s="58">
        <v>6</v>
      </c>
      <c r="K4" s="74">
        <v>2</v>
      </c>
      <c r="L4" s="119">
        <v>-14.500000000000002</v>
      </c>
      <c r="M4" s="117">
        <v>1604.2813265546349</v>
      </c>
      <c r="O4" s="74" t="s">
        <v>130</v>
      </c>
      <c r="P4" s="80">
        <f t="shared" si="0"/>
        <v>-1130.2325581395348</v>
      </c>
      <c r="Q4" s="77">
        <v>43</v>
      </c>
      <c r="R4" s="64">
        <v>-48600</v>
      </c>
    </row>
    <row r="5" spans="1:18" x14ac:dyDescent="0.4">
      <c r="A5" s="19" t="s">
        <v>7</v>
      </c>
      <c r="B5" s="125">
        <f>IF(B$2=0,0,B$4/B$2)</f>
        <v>-7.3191489361702127</v>
      </c>
      <c r="C5" s="126"/>
      <c r="E5" s="27" t="s">
        <v>159</v>
      </c>
      <c r="F5" s="24" t="s">
        <v>160</v>
      </c>
      <c r="G5" s="12">
        <v>44</v>
      </c>
      <c r="H5" s="88">
        <f>IF(B$20=0,0,G5/B$20)</f>
        <v>0.43564356435643564</v>
      </c>
      <c r="I5" s="58">
        <v>2</v>
      </c>
      <c r="K5" s="74">
        <v>3</v>
      </c>
      <c r="L5" s="119">
        <v>-60.5</v>
      </c>
      <c r="M5" s="117">
        <v>1596.3476385953072</v>
      </c>
      <c r="O5" s="74" t="s">
        <v>131</v>
      </c>
      <c r="P5" s="80">
        <f t="shared" si="0"/>
        <v>-1041.4634146341464</v>
      </c>
      <c r="Q5" s="77">
        <v>41</v>
      </c>
      <c r="R5" s="64">
        <v>-42700</v>
      </c>
    </row>
    <row r="6" spans="1:18" x14ac:dyDescent="0.4">
      <c r="A6" s="19" t="s">
        <v>195</v>
      </c>
      <c r="B6" s="129">
        <v>1549.8043490685914</v>
      </c>
      <c r="C6" s="130"/>
      <c r="E6" s="27" t="s">
        <v>68</v>
      </c>
      <c r="F6" s="24" t="s">
        <v>12</v>
      </c>
      <c r="G6" s="12">
        <v>36</v>
      </c>
      <c r="H6" s="88">
        <f>IF(B$20=0,0,G6/B$20)</f>
        <v>0.35643564356435642</v>
      </c>
      <c r="I6" s="58">
        <v>4</v>
      </c>
      <c r="K6" s="74">
        <v>4</v>
      </c>
      <c r="L6" s="119">
        <v>-7.8999999999999986</v>
      </c>
      <c r="M6" s="117">
        <v>1606.2095527637355</v>
      </c>
      <c r="O6" s="74" t="s">
        <v>132</v>
      </c>
      <c r="P6" s="80">
        <f t="shared" si="0"/>
        <v>2286.1111111111113</v>
      </c>
      <c r="Q6" s="77">
        <v>36</v>
      </c>
      <c r="R6" s="64">
        <v>82300</v>
      </c>
    </row>
    <row r="7" spans="1:18" x14ac:dyDescent="0.4">
      <c r="A7" s="19" t="s">
        <v>1</v>
      </c>
      <c r="B7" s="139">
        <f>IF(B$2=0,0,(B$8*1+B$9*2+B$10*3)/B$2)</f>
        <v>2.1276595744680851</v>
      </c>
      <c r="C7" s="140"/>
      <c r="E7" s="27" t="s">
        <v>67</v>
      </c>
      <c r="F7" s="24" t="s">
        <v>23</v>
      </c>
      <c r="G7" s="12">
        <v>24</v>
      </c>
      <c r="H7" s="88">
        <f>IF(B$20=0,0,G7/B$20)</f>
        <v>0.23762376237623761</v>
      </c>
      <c r="I7" s="58">
        <v>6</v>
      </c>
      <c r="K7" s="74">
        <v>5</v>
      </c>
      <c r="L7" s="119">
        <v>-20.7</v>
      </c>
      <c r="M7" s="117">
        <v>1604.2402954471531</v>
      </c>
      <c r="O7" s="75" t="s">
        <v>133</v>
      </c>
      <c r="P7" s="81">
        <f t="shared" si="0"/>
        <v>-1412.9032258064517</v>
      </c>
      <c r="Q7" s="78">
        <v>31</v>
      </c>
      <c r="R7" s="65">
        <v>-43800</v>
      </c>
    </row>
    <row r="8" spans="1:18" x14ac:dyDescent="0.4">
      <c r="A8" s="19" t="s">
        <v>2</v>
      </c>
      <c r="B8" s="12">
        <v>10</v>
      </c>
      <c r="C8" s="6">
        <f t="shared" ref="C8:C15" si="1">IF(B$2=0,0,B8/B$2)</f>
        <v>0.21276595744680851</v>
      </c>
      <c r="E8" s="27" t="s">
        <v>89</v>
      </c>
      <c r="F8" s="24" t="s">
        <v>44</v>
      </c>
      <c r="G8" s="12">
        <v>15</v>
      </c>
      <c r="H8" s="88">
        <f>IF(B$20=0,0,G8/B$20)</f>
        <v>0.14851485148514851</v>
      </c>
      <c r="I8" s="58">
        <v>2</v>
      </c>
      <c r="K8" s="74">
        <v>6</v>
      </c>
      <c r="L8" s="119">
        <v>7.6000000000000014</v>
      </c>
      <c r="M8" s="117">
        <v>1609.6808536744702</v>
      </c>
      <c r="O8" s="107"/>
      <c r="P8" s="85"/>
      <c r="Q8" s="108"/>
      <c r="R8" s="70"/>
    </row>
    <row r="9" spans="1:18" x14ac:dyDescent="0.4">
      <c r="A9" s="19" t="s">
        <v>3</v>
      </c>
      <c r="B9" s="12">
        <v>21</v>
      </c>
      <c r="C9" s="6">
        <f t="shared" si="1"/>
        <v>0.44680851063829785</v>
      </c>
      <c r="E9" s="27" t="s">
        <v>70</v>
      </c>
      <c r="F9" s="24" t="s">
        <v>25</v>
      </c>
      <c r="G9" s="12">
        <v>13</v>
      </c>
      <c r="H9" s="88">
        <f>IF(B$20=0,0,G9/B$20)</f>
        <v>0.12871287128712872</v>
      </c>
      <c r="I9" s="58">
        <v>2</v>
      </c>
      <c r="K9" s="74">
        <v>7</v>
      </c>
      <c r="L9" s="119">
        <v>36.5</v>
      </c>
      <c r="M9" s="117">
        <v>1614.9687685524234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16</v>
      </c>
      <c r="C10" s="7">
        <f t="shared" si="1"/>
        <v>0.34042553191489361</v>
      </c>
      <c r="E10" s="27" t="s">
        <v>65</v>
      </c>
      <c r="F10" s="24" t="s">
        <v>21</v>
      </c>
      <c r="G10" s="12">
        <v>11</v>
      </c>
      <c r="H10" s="88">
        <f>IF(B$20=0,0,G10/B$20)</f>
        <v>0.10891089108910891</v>
      </c>
      <c r="I10" s="58">
        <v>5</v>
      </c>
      <c r="K10" s="74">
        <v>8</v>
      </c>
      <c r="L10" s="119">
        <v>35.9</v>
      </c>
      <c r="M10" s="117">
        <v>1614.6689559411088</v>
      </c>
      <c r="O10" s="73" t="s">
        <v>151</v>
      </c>
      <c r="P10" s="82">
        <f>IF(Q10=0,0,R10/Q10)</f>
        <v>-13.276923076923076</v>
      </c>
      <c r="Q10" s="76">
        <v>13</v>
      </c>
      <c r="R10" s="67">
        <v>-172.6</v>
      </c>
    </row>
    <row r="11" spans="1:18" x14ac:dyDescent="0.4">
      <c r="A11" s="20" t="s">
        <v>184</v>
      </c>
      <c r="B11" s="109">
        <f>IF(B8=0,0,C11/B8)</f>
        <v>41.19</v>
      </c>
      <c r="C11" s="110">
        <v>411.9</v>
      </c>
      <c r="E11" s="27" t="s">
        <v>69</v>
      </c>
      <c r="F11" s="24" t="s">
        <v>24</v>
      </c>
      <c r="G11" s="12">
        <v>11</v>
      </c>
      <c r="H11" s="88">
        <f>IF(B$20=0,0,G11/B$20)</f>
        <v>0.10891089108910891</v>
      </c>
      <c r="I11" s="58">
        <v>6</v>
      </c>
      <c r="K11" s="74">
        <v>9</v>
      </c>
      <c r="L11" s="119">
        <v>-3.3000000000000043</v>
      </c>
      <c r="M11" s="117">
        <v>1607.4229422054623</v>
      </c>
      <c r="O11" s="74" t="s">
        <v>152</v>
      </c>
      <c r="P11" s="83">
        <f>IF(Q11=0,0,R11/Q11)</f>
        <v>-7.1187499999999986</v>
      </c>
      <c r="Q11" s="77">
        <v>16</v>
      </c>
      <c r="R11" s="68">
        <v>-113.89999999999998</v>
      </c>
    </row>
    <row r="12" spans="1:18" x14ac:dyDescent="0.4">
      <c r="A12" s="20" t="s">
        <v>185</v>
      </c>
      <c r="B12" s="109">
        <f>IF(B9=0,0,C12/B9)</f>
        <v>-6.1476190476190489</v>
      </c>
      <c r="C12" s="110">
        <v>-129.10000000000002</v>
      </c>
      <c r="E12" s="27" t="s">
        <v>71</v>
      </c>
      <c r="F12" s="24" t="s">
        <v>26</v>
      </c>
      <c r="G12" s="12">
        <v>5</v>
      </c>
      <c r="H12" s="88">
        <f>IF(B$20=0,0,G12/B$20)</f>
        <v>4.9504950495049507E-2</v>
      </c>
      <c r="I12" s="58">
        <v>5</v>
      </c>
      <c r="K12" s="74">
        <v>10</v>
      </c>
      <c r="L12" s="119">
        <v>-0.90000000000000435</v>
      </c>
      <c r="M12" s="117">
        <v>1607.7084045522295</v>
      </c>
      <c r="O12" s="75" t="s">
        <v>153</v>
      </c>
      <c r="P12" s="84">
        <f>IF(Q12=0,0,R12/Q12)</f>
        <v>-3.1944444444444455</v>
      </c>
      <c r="Q12" s="78">
        <v>18</v>
      </c>
      <c r="R12" s="69">
        <v>-57.500000000000021</v>
      </c>
    </row>
    <row r="13" spans="1:18" x14ac:dyDescent="0.4">
      <c r="A13" s="20" t="s">
        <v>186</v>
      </c>
      <c r="B13" s="109">
        <f>IF(B10=0,0,C13/B10)</f>
        <v>-39.175000000000004</v>
      </c>
      <c r="C13" s="110">
        <v>-626.80000000000007</v>
      </c>
      <c r="E13" s="27" t="s">
        <v>81</v>
      </c>
      <c r="F13" s="24" t="s">
        <v>36</v>
      </c>
      <c r="G13" s="12">
        <v>5</v>
      </c>
      <c r="H13" s="88">
        <f>IF(B$20=0,0,G13/B$20)</f>
        <v>4.9504950495049507E-2</v>
      </c>
      <c r="I13" s="58">
        <v>1</v>
      </c>
      <c r="K13" s="74">
        <v>11</v>
      </c>
      <c r="L13" s="119">
        <v>-3.4000000000000044</v>
      </c>
      <c r="M13" s="117">
        <v>1607.1101541249161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-1.377539682539684</v>
      </c>
      <c r="C14" s="126"/>
      <c r="E14" s="27" t="s">
        <v>83</v>
      </c>
      <c r="F14" s="24" t="s">
        <v>38</v>
      </c>
      <c r="G14" s="12">
        <v>5</v>
      </c>
      <c r="H14" s="88">
        <f>IF(B$20=0,0,G14/B$20)</f>
        <v>4.9504950495049507E-2</v>
      </c>
      <c r="I14" s="58">
        <v>1</v>
      </c>
      <c r="K14" s="74">
        <v>12</v>
      </c>
      <c r="L14" s="119">
        <v>-12.700000000000005</v>
      </c>
      <c r="M14" s="117">
        <v>1605.2914932001665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5</v>
      </c>
      <c r="C15" s="9">
        <f t="shared" si="1"/>
        <v>0.10638297872340426</v>
      </c>
      <c r="E15" s="27" t="s">
        <v>78</v>
      </c>
      <c r="F15" s="24" t="s">
        <v>33</v>
      </c>
      <c r="G15" s="12">
        <v>4</v>
      </c>
      <c r="H15" s="88">
        <f>IF(B$20=0,0,G15/B$20)</f>
        <v>3.9603960396039604E-2</v>
      </c>
      <c r="I15" s="58">
        <v>2</v>
      </c>
      <c r="K15" s="74">
        <v>13</v>
      </c>
      <c r="L15" s="119">
        <v>-58.7</v>
      </c>
      <c r="M15" s="117">
        <v>1596.8777442409655</v>
      </c>
      <c r="O15" s="73" t="s">
        <v>194</v>
      </c>
      <c r="P15" s="82">
        <f>IF(Q15=0,0,R15/Q15)</f>
        <v>9.25</v>
      </c>
      <c r="Q15" s="76">
        <v>10</v>
      </c>
      <c r="R15" s="67">
        <v>92.5</v>
      </c>
    </row>
    <row r="16" spans="1:18" x14ac:dyDescent="0.4">
      <c r="A16" s="22" t="s">
        <v>121</v>
      </c>
      <c r="B16" s="15">
        <v>93</v>
      </c>
      <c r="C16" s="10">
        <f>IF(B$3=0,0,B16/B$3)</f>
        <v>0.23907455012853471</v>
      </c>
      <c r="E16" s="27" t="s">
        <v>86</v>
      </c>
      <c r="F16" s="24" t="s">
        <v>41</v>
      </c>
      <c r="G16" s="12">
        <v>4</v>
      </c>
      <c r="H16" s="88">
        <f>IF(B$20=0,0,G16/B$20)</f>
        <v>3.9603960396039604E-2</v>
      </c>
      <c r="I16" s="58">
        <v>6</v>
      </c>
      <c r="K16" s="74">
        <v>14</v>
      </c>
      <c r="L16" s="119">
        <v>-32.700000000000003</v>
      </c>
      <c r="M16" s="117">
        <v>1601.4744777755197</v>
      </c>
      <c r="O16" s="74" t="s">
        <v>198</v>
      </c>
      <c r="P16" s="83">
        <f>IF(Q16=0,0,R16/Q16)</f>
        <v>-2.5045454545454557</v>
      </c>
      <c r="Q16" s="77">
        <v>22</v>
      </c>
      <c r="R16" s="68">
        <v>-55.10000000000003</v>
      </c>
    </row>
    <row r="17" spans="1:18" x14ac:dyDescent="0.4">
      <c r="A17" s="19" t="s">
        <v>118</v>
      </c>
      <c r="B17" s="12">
        <v>73</v>
      </c>
      <c r="C17" s="6">
        <f>IF(B$3=0,0,B17/B$3)</f>
        <v>0.18766066838046272</v>
      </c>
      <c r="E17" s="27" t="s">
        <v>73</v>
      </c>
      <c r="F17" s="24" t="s">
        <v>28</v>
      </c>
      <c r="G17" s="12">
        <v>2</v>
      </c>
      <c r="H17" s="88">
        <f>IF(B$20=0,0,G17/B$20)</f>
        <v>1.9801980198019802E-2</v>
      </c>
      <c r="I17" s="58">
        <v>1</v>
      </c>
      <c r="K17" s="74">
        <v>15</v>
      </c>
      <c r="L17" s="119">
        <v>10.699999999999996</v>
      </c>
      <c r="M17" s="117">
        <v>1609.1756309088667</v>
      </c>
      <c r="O17" s="74" t="s">
        <v>126</v>
      </c>
      <c r="P17" s="83">
        <f>IF(Q17=0,0,R17/Q17)</f>
        <v>-14.950000000000003</v>
      </c>
      <c r="Q17" s="77">
        <v>38</v>
      </c>
      <c r="R17" s="68">
        <v>-568.10000000000014</v>
      </c>
    </row>
    <row r="18" spans="1:18" x14ac:dyDescent="0.4">
      <c r="A18" s="18" t="s">
        <v>123</v>
      </c>
      <c r="B18" s="11">
        <f>B24</f>
        <v>49</v>
      </c>
      <c r="C18" s="5">
        <f>IF(B$16=0,0,B18/B$16)</f>
        <v>0.5268817204301075</v>
      </c>
      <c r="E18" s="27" t="s">
        <v>91</v>
      </c>
      <c r="F18" s="24" t="s">
        <v>46</v>
      </c>
      <c r="G18" s="12">
        <v>2</v>
      </c>
      <c r="H18" s="88">
        <f>IF(B$20=0,0,G18/B$20)</f>
        <v>1.9801980198019802E-2</v>
      </c>
      <c r="I18" s="58">
        <v>2</v>
      </c>
      <c r="K18" s="74">
        <v>16</v>
      </c>
      <c r="L18" s="119">
        <v>-22.000000000000007</v>
      </c>
      <c r="M18" s="117">
        <v>1603.1325771234135</v>
      </c>
      <c r="O18" s="74" t="s">
        <v>163</v>
      </c>
      <c r="P18" s="83">
        <f>IF(Q18=0,0,R18/Q18)</f>
        <v>-20.887499999999999</v>
      </c>
      <c r="Q18" s="77">
        <v>24</v>
      </c>
      <c r="R18" s="68">
        <v>-501.3</v>
      </c>
    </row>
    <row r="19" spans="1:18" x14ac:dyDescent="0.4">
      <c r="A19" s="18" t="s">
        <v>124</v>
      </c>
      <c r="B19" s="11">
        <f>B25</f>
        <v>28</v>
      </c>
      <c r="C19" s="5">
        <f>IF(B$17=0,0,B19/B$17)</f>
        <v>0.38356164383561642</v>
      </c>
      <c r="E19" s="27" t="s">
        <v>74</v>
      </c>
      <c r="F19" s="24" t="s">
        <v>29</v>
      </c>
      <c r="G19" s="12">
        <v>1</v>
      </c>
      <c r="H19" s="88">
        <f>IF(B$20=0,0,G19/B$20)</f>
        <v>9.9009900990099011E-3</v>
      </c>
      <c r="I19" s="58">
        <v>2</v>
      </c>
      <c r="K19" s="74">
        <v>17</v>
      </c>
      <c r="L19" s="119">
        <v>-44.800000000000011</v>
      </c>
      <c r="M19" s="117">
        <v>1599.3997816606729</v>
      </c>
    </row>
    <row r="20" spans="1:18" x14ac:dyDescent="0.4">
      <c r="A20" s="18" t="s">
        <v>10</v>
      </c>
      <c r="B20" s="11">
        <f>B23+B22</f>
        <v>101</v>
      </c>
      <c r="C20" s="5">
        <f>IF(B$3=0,0,B20/B$3)</f>
        <v>0.25964010282776351</v>
      </c>
      <c r="E20" s="27" t="s">
        <v>79</v>
      </c>
      <c r="F20" s="24" t="s">
        <v>34</v>
      </c>
      <c r="G20" s="12">
        <v>1</v>
      </c>
      <c r="H20" s="88">
        <f>IF(B$20=0,0,G20/B$20)</f>
        <v>9.9009900990099011E-3</v>
      </c>
      <c r="I20" s="58">
        <v>1</v>
      </c>
      <c r="K20" s="74">
        <v>18</v>
      </c>
      <c r="L20" s="119">
        <v>-41.600000000000009</v>
      </c>
      <c r="M20" s="117">
        <v>1600.369382970709</v>
      </c>
    </row>
    <row r="21" spans="1:18" x14ac:dyDescent="0.4">
      <c r="A21" s="19" t="s">
        <v>13</v>
      </c>
      <c r="B21" s="12">
        <v>64</v>
      </c>
      <c r="C21" s="6">
        <f>IF(B$3=0,0,B21/B$3)</f>
        <v>0.16452442159383032</v>
      </c>
      <c r="E21" s="27" t="s">
        <v>90</v>
      </c>
      <c r="F21" s="24" t="s">
        <v>45</v>
      </c>
      <c r="G21" s="12">
        <v>1</v>
      </c>
      <c r="H21" s="88">
        <f>IF(B$20=0,0,G21/B$20)</f>
        <v>9.9009900990099011E-3</v>
      </c>
      <c r="I21" s="58">
        <v>2</v>
      </c>
      <c r="K21" s="74">
        <v>19</v>
      </c>
      <c r="L21" s="119">
        <v>-91.200000000000017</v>
      </c>
      <c r="M21" s="117">
        <v>1591.8291666728849</v>
      </c>
    </row>
    <row r="22" spans="1:18" x14ac:dyDescent="0.4">
      <c r="A22" s="19" t="s">
        <v>12</v>
      </c>
      <c r="B22" s="12">
        <v>48</v>
      </c>
      <c r="C22" s="6">
        <f>IF(B$20=0,0,B22/B$20)</f>
        <v>0.47524752475247523</v>
      </c>
      <c r="E22" s="27" t="s">
        <v>155</v>
      </c>
      <c r="F22" s="24" t="s">
        <v>156</v>
      </c>
      <c r="G22" s="12">
        <v>1</v>
      </c>
      <c r="H22" s="88">
        <f>IF(B$20=0,0,G22/B$20)</f>
        <v>9.9009900990099011E-3</v>
      </c>
      <c r="I22" s="58">
        <v>5</v>
      </c>
      <c r="K22" s="74">
        <v>20</v>
      </c>
      <c r="L22" s="119">
        <v>-149.30000000000001</v>
      </c>
      <c r="M22" s="117">
        <v>1581.8101916728476</v>
      </c>
    </row>
    <row r="23" spans="1:18" x14ac:dyDescent="0.4">
      <c r="A23" s="19" t="s">
        <v>11</v>
      </c>
      <c r="B23" s="12">
        <v>53</v>
      </c>
      <c r="C23" s="6">
        <f>IF(B$20=0,0,B23/B$20)</f>
        <v>0.52475247524752477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-180.3</v>
      </c>
      <c r="M23" s="117">
        <v>1576.7293305228106</v>
      </c>
    </row>
    <row r="24" spans="1:18" x14ac:dyDescent="0.4">
      <c r="A24" s="19" t="s">
        <v>183</v>
      </c>
      <c r="B24" s="12">
        <v>49</v>
      </c>
      <c r="C24" s="6">
        <f>IF(B$20=0,0,B24/B$20)</f>
        <v>0.48514851485148514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-180.3</v>
      </c>
      <c r="M24" s="117">
        <v>1577.2589545396738</v>
      </c>
    </row>
    <row r="25" spans="1:18" x14ac:dyDescent="0.4">
      <c r="A25" s="19" t="s">
        <v>181</v>
      </c>
      <c r="B25" s="12">
        <v>28</v>
      </c>
      <c r="C25" s="6">
        <f>IF(B$20=0,0,B25/B$20)</f>
        <v>0.27722772277227725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-202.5</v>
      </c>
      <c r="M25" s="117">
        <v>1573.7894008124358</v>
      </c>
    </row>
    <row r="26" spans="1:18" x14ac:dyDescent="0.4">
      <c r="A26" s="19" t="s">
        <v>182</v>
      </c>
      <c r="B26" s="12">
        <v>24</v>
      </c>
      <c r="C26" s="6">
        <f>IF(B$20=0,0,B26/B$20)</f>
        <v>0.23762376237623761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-239.5</v>
      </c>
      <c r="M26" s="117">
        <v>1567.3946644075611</v>
      </c>
    </row>
    <row r="27" spans="1:18" x14ac:dyDescent="0.4">
      <c r="A27" s="19" t="s">
        <v>5</v>
      </c>
      <c r="B27" s="16">
        <f>IF(B$20=0,0,C27/B$20)</f>
        <v>8561.3861386138615</v>
      </c>
      <c r="C27" s="8">
        <v>864700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-242.5</v>
      </c>
      <c r="M27" s="117">
        <v>1566.9242964211157</v>
      </c>
    </row>
    <row r="28" spans="1:18" x14ac:dyDescent="0.4">
      <c r="A28" s="20" t="s">
        <v>165</v>
      </c>
      <c r="B28" s="95">
        <f>IF($B$20-B$19=0,0,C28/($B$20-B$19))</f>
        <v>9093.1506849315065</v>
      </c>
      <c r="C28" s="96">
        <v>663800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-278.5</v>
      </c>
      <c r="M28" s="117">
        <v>1560.5167506425892</v>
      </c>
    </row>
    <row r="29" spans="1:18" x14ac:dyDescent="0.4">
      <c r="A29" s="20" t="s">
        <v>166</v>
      </c>
      <c r="B29" s="95">
        <f>IF(B$19=0,0,C29/B$19)</f>
        <v>7175</v>
      </c>
      <c r="C29" s="96">
        <v>200900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-202</v>
      </c>
      <c r="M29" s="117">
        <v>1574.3976501387335</v>
      </c>
    </row>
    <row r="30" spans="1:18" x14ac:dyDescent="0.4">
      <c r="A30" s="20" t="s">
        <v>164</v>
      </c>
      <c r="B30" s="95">
        <f>IF(B$21=0,0,C30/B$21)</f>
        <v>-8162.5</v>
      </c>
      <c r="C30" s="96">
        <v>-522400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-208.1</v>
      </c>
      <c r="M30" s="117">
        <v>1573.3272642379011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-256.8</v>
      </c>
      <c r="M31" s="117">
        <v>1564.5953006524737</v>
      </c>
    </row>
    <row r="32" spans="1:18" x14ac:dyDescent="0.4">
      <c r="A32" s="19" t="s">
        <v>158</v>
      </c>
      <c r="B32" s="12">
        <v>27</v>
      </c>
      <c r="C32" s="90">
        <v>12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-312.90000000000003</v>
      </c>
      <c r="M32" s="117">
        <v>1554.5837288485588</v>
      </c>
    </row>
    <row r="33" spans="1:13" x14ac:dyDescent="0.4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-284.60000000000002</v>
      </c>
      <c r="M33" s="117">
        <v>1559.8242264754674</v>
      </c>
    </row>
    <row r="34" spans="1:13" x14ac:dyDescent="0.4">
      <c r="A34" s="22" t="s">
        <v>180</v>
      </c>
      <c r="B34" s="129">
        <v>96200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-296.60000000000002</v>
      </c>
      <c r="M34" s="117">
        <v>1557.7792811166146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-331.20000000000005</v>
      </c>
      <c r="M35" s="117">
        <v>1551.6786054299148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-250.00000000000006</v>
      </c>
      <c r="M36" s="117">
        <v>1566.1765337973352</v>
      </c>
    </row>
    <row r="37" spans="1:13" x14ac:dyDescent="0.4">
      <c r="A37" s="54" t="s">
        <v>171</v>
      </c>
      <c r="B37" s="123">
        <v>6</v>
      </c>
      <c r="C37" s="98">
        <f t="shared" ref="C37:C49" si="2">IF(B$20=0,0,B37/B$20)</f>
        <v>5.9405940594059403E-2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-295.20000000000005</v>
      </c>
      <c r="M37" s="117">
        <v>1557.8294745945511</v>
      </c>
    </row>
    <row r="38" spans="1:13" x14ac:dyDescent="0.4">
      <c r="A38" s="19" t="s">
        <v>167</v>
      </c>
      <c r="B38" s="12">
        <v>20</v>
      </c>
      <c r="C38" s="6">
        <f t="shared" si="2"/>
        <v>0.19801980198019803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-345.20000000000005</v>
      </c>
      <c r="M38" s="117">
        <v>1548.6684977469838</v>
      </c>
    </row>
    <row r="39" spans="1:13" x14ac:dyDescent="0.4">
      <c r="A39" s="19" t="s">
        <v>168</v>
      </c>
      <c r="B39" s="124">
        <v>22</v>
      </c>
      <c r="C39" s="6">
        <f t="shared" si="2"/>
        <v>0.21782178217821782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-339.40000000000003</v>
      </c>
      <c r="M39" s="117">
        <v>1550.3564867605019</v>
      </c>
    </row>
    <row r="40" spans="1:13" x14ac:dyDescent="0.4">
      <c r="A40" s="19" t="s">
        <v>169</v>
      </c>
      <c r="B40" s="124">
        <v>18</v>
      </c>
      <c r="C40" s="6">
        <f t="shared" si="2"/>
        <v>0.17821782178217821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-346.20000000000005</v>
      </c>
      <c r="M40" s="117">
        <v>1549.0403478399389</v>
      </c>
    </row>
    <row r="41" spans="1:13" x14ac:dyDescent="0.4">
      <c r="A41" s="19" t="s">
        <v>170</v>
      </c>
      <c r="B41" s="124">
        <v>12</v>
      </c>
      <c r="C41" s="6">
        <f t="shared" si="2"/>
        <v>0.11881188118811881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-299.50000000000006</v>
      </c>
      <c r="M41" s="117">
        <v>1557.6801057528994</v>
      </c>
    </row>
    <row r="42" spans="1:13" x14ac:dyDescent="0.4">
      <c r="A42" s="19" t="s">
        <v>172</v>
      </c>
      <c r="B42" s="124">
        <v>7</v>
      </c>
      <c r="C42" s="6">
        <f t="shared" si="2"/>
        <v>6.9306930693069313E-2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-302.20000000000005</v>
      </c>
      <c r="M42" s="117">
        <v>1557.3760251183819</v>
      </c>
    </row>
    <row r="43" spans="1:13" x14ac:dyDescent="0.4">
      <c r="A43" s="19" t="s">
        <v>173</v>
      </c>
      <c r="B43" s="124">
        <v>5</v>
      </c>
      <c r="C43" s="6">
        <f t="shared" si="2"/>
        <v>4.9504950495049507E-2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-312.90000000000003</v>
      </c>
      <c r="M43" s="117">
        <v>1555.2737689676717</v>
      </c>
    </row>
    <row r="44" spans="1:13" x14ac:dyDescent="0.4">
      <c r="A44" s="19" t="s">
        <v>174</v>
      </c>
      <c r="B44" s="124">
        <v>4</v>
      </c>
      <c r="C44" s="6">
        <f t="shared" si="2"/>
        <v>3.9603960396039604E-2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-324.00000000000006</v>
      </c>
      <c r="M44" s="117">
        <v>1553.1061263538656</v>
      </c>
    </row>
    <row r="45" spans="1:13" x14ac:dyDescent="0.4">
      <c r="A45" s="19" t="s">
        <v>175</v>
      </c>
      <c r="B45" s="124">
        <v>5</v>
      </c>
      <c r="C45" s="6">
        <f t="shared" si="2"/>
        <v>4.9504950495049507E-2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-314.40000000000003</v>
      </c>
      <c r="M45" s="117">
        <v>1555.4514895957425</v>
      </c>
    </row>
    <row r="46" spans="1:13" x14ac:dyDescent="0.4">
      <c r="A46" s="19" t="s">
        <v>176</v>
      </c>
      <c r="B46" s="124">
        <v>1</v>
      </c>
      <c r="C46" s="6">
        <f t="shared" si="2"/>
        <v>9.9009900990099011E-3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-300.3</v>
      </c>
      <c r="M46" s="117">
        <v>1557.8427806581681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-324.7</v>
      </c>
      <c r="M47" s="117">
        <v>1553.271723974219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-340.5</v>
      </c>
      <c r="M48" s="117">
        <v>1550.6240936303736</v>
      </c>
    </row>
    <row r="49" spans="1:13" x14ac:dyDescent="0.4">
      <c r="A49" s="21" t="s">
        <v>179</v>
      </c>
      <c r="B49" s="97">
        <v>1</v>
      </c>
      <c r="C49" s="9">
        <f t="shared" si="2"/>
        <v>9.9009900990099011E-3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-344</v>
      </c>
      <c r="M49" s="117">
        <v>1549.8043490685914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2F68B-434B-4250-801A-E6371F4269E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194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25</v>
      </c>
      <c r="C2" s="134"/>
      <c r="E2" s="26" t="s">
        <v>64</v>
      </c>
      <c r="F2" s="23" t="s">
        <v>20</v>
      </c>
      <c r="G2" s="11">
        <v>38</v>
      </c>
      <c r="H2" s="87">
        <f>IF(B$20=0,0,G2/B$20)</f>
        <v>0.70370370370370372</v>
      </c>
      <c r="I2" s="57">
        <v>1</v>
      </c>
      <c r="K2" s="73">
        <v>0</v>
      </c>
      <c r="L2" s="118">
        <v>0</v>
      </c>
      <c r="M2" s="116">
        <v>1377.1480089618358</v>
      </c>
      <c r="O2" s="73" t="s">
        <v>128</v>
      </c>
      <c r="P2" s="79">
        <f t="shared" ref="P2:P7" si="0">IF(Q2=0,0,R2/Q2)</f>
        <v>-6360</v>
      </c>
      <c r="Q2" s="76">
        <v>25</v>
      </c>
      <c r="R2" s="63">
        <v>-159000</v>
      </c>
    </row>
    <row r="3" spans="1:18" x14ac:dyDescent="0.4">
      <c r="A3" s="19" t="s">
        <v>8</v>
      </c>
      <c r="B3" s="135">
        <v>205</v>
      </c>
      <c r="C3" s="136"/>
      <c r="E3" s="27" t="s">
        <v>66</v>
      </c>
      <c r="F3" s="24" t="s">
        <v>22</v>
      </c>
      <c r="G3" s="12">
        <v>37</v>
      </c>
      <c r="H3" s="88">
        <f>IF(B$20=0,0,G3/B$20)</f>
        <v>0.68518518518518523</v>
      </c>
      <c r="I3" s="58">
        <v>6</v>
      </c>
      <c r="K3" s="74">
        <v>1</v>
      </c>
      <c r="L3" s="119">
        <v>-24.3</v>
      </c>
      <c r="M3" s="117">
        <v>1374.2551209080648</v>
      </c>
      <c r="O3" s="74" t="s">
        <v>129</v>
      </c>
      <c r="P3" s="80">
        <f t="shared" si="0"/>
        <v>-2565.217391304348</v>
      </c>
      <c r="Q3" s="77">
        <v>23</v>
      </c>
      <c r="R3" s="64">
        <v>-59000</v>
      </c>
    </row>
    <row r="4" spans="1:18" x14ac:dyDescent="0.4">
      <c r="A4" s="19" t="s">
        <v>6</v>
      </c>
      <c r="B4" s="137">
        <v>-212.20000000000007</v>
      </c>
      <c r="C4" s="138"/>
      <c r="E4" s="27" t="s">
        <v>68</v>
      </c>
      <c r="F4" s="24" t="s">
        <v>12</v>
      </c>
      <c r="G4" s="12">
        <v>26</v>
      </c>
      <c r="H4" s="88">
        <f>IF(B$20=0,0,G4/B$20)</f>
        <v>0.48148148148148145</v>
      </c>
      <c r="I4" s="58">
        <v>1</v>
      </c>
      <c r="K4" s="74">
        <v>2</v>
      </c>
      <c r="L4" s="119">
        <v>-4.3000000000000007</v>
      </c>
      <c r="M4" s="117">
        <v>1379.1075901826164</v>
      </c>
      <c r="O4" s="74" t="s">
        <v>130</v>
      </c>
      <c r="P4" s="80">
        <f t="shared" si="0"/>
        <v>1921.7391304347825</v>
      </c>
      <c r="Q4" s="77">
        <v>23</v>
      </c>
      <c r="R4" s="64">
        <v>44200</v>
      </c>
    </row>
    <row r="5" spans="1:18" x14ac:dyDescent="0.4">
      <c r="A5" s="19" t="s">
        <v>7</v>
      </c>
      <c r="B5" s="125">
        <f>IF(B$2=0,0,B$4/B$2)</f>
        <v>-8.4880000000000031</v>
      </c>
      <c r="C5" s="126"/>
      <c r="E5" s="27" t="s">
        <v>72</v>
      </c>
      <c r="F5" s="24" t="s">
        <v>27</v>
      </c>
      <c r="G5" s="12">
        <v>24</v>
      </c>
      <c r="H5" s="88">
        <f>IF(B$20=0,0,G5/B$20)</f>
        <v>0.44444444444444442</v>
      </c>
      <c r="I5" s="58">
        <v>5</v>
      </c>
      <c r="K5" s="74">
        <v>3</v>
      </c>
      <c r="L5" s="119">
        <v>-22.900000000000002</v>
      </c>
      <c r="M5" s="117">
        <v>1376.9829446415206</v>
      </c>
      <c r="O5" s="74" t="s">
        <v>131</v>
      </c>
      <c r="P5" s="80">
        <f t="shared" si="0"/>
        <v>1413.6363636363637</v>
      </c>
      <c r="Q5" s="77">
        <v>22</v>
      </c>
      <c r="R5" s="64">
        <v>31100</v>
      </c>
    </row>
    <row r="6" spans="1:18" x14ac:dyDescent="0.4">
      <c r="A6" s="19" t="s">
        <v>195</v>
      </c>
      <c r="B6" s="129">
        <v>1372.5824902185618</v>
      </c>
      <c r="C6" s="130"/>
      <c r="E6" s="27" t="s">
        <v>159</v>
      </c>
      <c r="F6" s="24" t="s">
        <v>160</v>
      </c>
      <c r="G6" s="12">
        <v>18</v>
      </c>
      <c r="H6" s="88">
        <f>IF(B$20=0,0,G6/B$20)</f>
        <v>0.33333333333333331</v>
      </c>
      <c r="I6" s="58">
        <v>7</v>
      </c>
      <c r="K6" s="74">
        <v>4</v>
      </c>
      <c r="L6" s="119">
        <v>-45.5</v>
      </c>
      <c r="M6" s="117">
        <v>1374.1510469736716</v>
      </c>
      <c r="O6" s="74" t="s">
        <v>132</v>
      </c>
      <c r="P6" s="80">
        <f t="shared" si="0"/>
        <v>-1509.5238095238096</v>
      </c>
      <c r="Q6" s="77">
        <v>21</v>
      </c>
      <c r="R6" s="64">
        <v>-31700</v>
      </c>
    </row>
    <row r="7" spans="1:18" x14ac:dyDescent="0.4">
      <c r="A7" s="19" t="s">
        <v>1</v>
      </c>
      <c r="B7" s="139">
        <f>IF(B$2=0,0,(B$8*1+B$9*2+B$10*3)/B$2)</f>
        <v>2.2000000000000002</v>
      </c>
      <c r="C7" s="140"/>
      <c r="E7" s="27" t="s">
        <v>69</v>
      </c>
      <c r="F7" s="24" t="s">
        <v>24</v>
      </c>
      <c r="G7" s="12">
        <v>14</v>
      </c>
      <c r="H7" s="88">
        <f>IF(B$20=0,0,G7/B$20)</f>
        <v>0.25925925925925924</v>
      </c>
      <c r="I7" s="58">
        <v>1</v>
      </c>
      <c r="K7" s="74">
        <v>5</v>
      </c>
      <c r="L7" s="119">
        <v>-86.3</v>
      </c>
      <c r="M7" s="117">
        <v>1368.0601406918295</v>
      </c>
      <c r="O7" s="75" t="s">
        <v>133</v>
      </c>
      <c r="P7" s="81">
        <f t="shared" si="0"/>
        <v>1110</v>
      </c>
      <c r="Q7" s="78">
        <v>20</v>
      </c>
      <c r="R7" s="65">
        <v>22200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0.28000000000000003</v>
      </c>
      <c r="E8" s="27" t="s">
        <v>67</v>
      </c>
      <c r="F8" s="24" t="s">
        <v>23</v>
      </c>
      <c r="G8" s="12">
        <v>13</v>
      </c>
      <c r="H8" s="88">
        <f>IF(B$20=0,0,G8/B$20)</f>
        <v>0.24074074074074073</v>
      </c>
      <c r="I8" s="58">
        <v>5</v>
      </c>
      <c r="K8" s="74">
        <v>6</v>
      </c>
      <c r="L8" s="119">
        <v>-133.80000000000001</v>
      </c>
      <c r="M8" s="117">
        <v>1360.7997798476786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0.24</v>
      </c>
      <c r="E9" s="27" t="s">
        <v>65</v>
      </c>
      <c r="F9" s="24" t="s">
        <v>21</v>
      </c>
      <c r="G9" s="12">
        <v>10</v>
      </c>
      <c r="H9" s="88">
        <f>IF(B$20=0,0,G9/B$20)</f>
        <v>0.18518518518518517</v>
      </c>
      <c r="I9" s="58">
        <v>1</v>
      </c>
      <c r="K9" s="74">
        <v>7</v>
      </c>
      <c r="L9" s="119">
        <v>-76.200000000000017</v>
      </c>
      <c r="M9" s="117">
        <v>1372.5009811685925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0.48</v>
      </c>
      <c r="E10" s="27" t="s">
        <v>70</v>
      </c>
      <c r="F10" s="24" t="s">
        <v>25</v>
      </c>
      <c r="G10" s="12">
        <v>6</v>
      </c>
      <c r="H10" s="88">
        <f>IF(B$20=0,0,G10/B$20)</f>
        <v>0.1111111111111111</v>
      </c>
      <c r="I10" s="58">
        <v>4</v>
      </c>
      <c r="K10" s="74">
        <v>8</v>
      </c>
      <c r="L10" s="119">
        <v>-103.80000000000001</v>
      </c>
      <c r="M10" s="117">
        <v>1368.7959752815809</v>
      </c>
      <c r="O10" s="73" t="s">
        <v>151</v>
      </c>
      <c r="P10" s="82">
        <f>IF(Q10=0,0,R10/Q10)</f>
        <v>19.900000000000002</v>
      </c>
      <c r="Q10" s="76">
        <v>5</v>
      </c>
      <c r="R10" s="67">
        <v>99.500000000000014</v>
      </c>
    </row>
    <row r="11" spans="1:18" x14ac:dyDescent="0.4">
      <c r="A11" s="20" t="s">
        <v>184</v>
      </c>
      <c r="B11" s="109">
        <f>IF(B8=0,0,C11/B8)</f>
        <v>40.74285714285714</v>
      </c>
      <c r="C11" s="110">
        <v>285.2</v>
      </c>
      <c r="E11" s="27" t="s">
        <v>89</v>
      </c>
      <c r="F11" s="24" t="s">
        <v>44</v>
      </c>
      <c r="G11" s="12">
        <v>5</v>
      </c>
      <c r="H11" s="88">
        <f>IF(B$20=0,0,G11/B$20)</f>
        <v>9.2592592592592587E-2</v>
      </c>
      <c r="I11" s="58">
        <v>5</v>
      </c>
      <c r="K11" s="74">
        <v>9</v>
      </c>
      <c r="L11" s="119">
        <v>-132.4</v>
      </c>
      <c r="M11" s="117">
        <v>1364.9331994298914</v>
      </c>
      <c r="O11" s="74" t="s">
        <v>152</v>
      </c>
      <c r="P11" s="83">
        <f>IF(Q11=0,0,R11/Q11)</f>
        <v>-17.669999999999998</v>
      </c>
      <c r="Q11" s="77">
        <v>10</v>
      </c>
      <c r="R11" s="68">
        <v>-176.7</v>
      </c>
    </row>
    <row r="12" spans="1:18" x14ac:dyDescent="0.4">
      <c r="A12" s="20" t="s">
        <v>185</v>
      </c>
      <c r="B12" s="109">
        <f>IF(B9=0,0,C12/B9)</f>
        <v>-1.3833333333333337</v>
      </c>
      <c r="C12" s="110">
        <v>-8.3000000000000025</v>
      </c>
      <c r="E12" s="27" t="s">
        <v>86</v>
      </c>
      <c r="F12" s="24" t="s">
        <v>41</v>
      </c>
      <c r="G12" s="12">
        <v>4</v>
      </c>
      <c r="H12" s="88">
        <f>IF(B$20=0,0,G12/B$20)</f>
        <v>7.407407407407407E-2</v>
      </c>
      <c r="I12" s="58">
        <v>3</v>
      </c>
      <c r="K12" s="74">
        <v>10</v>
      </c>
      <c r="L12" s="119">
        <v>-122.10000000000001</v>
      </c>
      <c r="M12" s="117">
        <v>1368.0956002333121</v>
      </c>
      <c r="O12" s="75" t="s">
        <v>153</v>
      </c>
      <c r="P12" s="84">
        <f>IF(Q12=0,0,R12/Q12)</f>
        <v>-13.500000000000004</v>
      </c>
      <c r="Q12" s="78">
        <v>10</v>
      </c>
      <c r="R12" s="69">
        <v>-135.00000000000003</v>
      </c>
    </row>
    <row r="13" spans="1:18" x14ac:dyDescent="0.4">
      <c r="A13" s="20" t="s">
        <v>186</v>
      </c>
      <c r="B13" s="109">
        <f>IF(B10=0,0,C13/B10)</f>
        <v>-40.758333333333333</v>
      </c>
      <c r="C13" s="110">
        <v>-489.1</v>
      </c>
      <c r="E13" s="27" t="s">
        <v>81</v>
      </c>
      <c r="F13" s="24" t="s">
        <v>36</v>
      </c>
      <c r="G13" s="12">
        <v>2</v>
      </c>
      <c r="H13" s="88">
        <f>IF(B$20=0,0,G13/B$20)</f>
        <v>3.7037037037037035E-2</v>
      </c>
      <c r="I13" s="58">
        <v>2</v>
      </c>
      <c r="K13" s="74">
        <v>11</v>
      </c>
      <c r="L13" s="119">
        <v>-97.800000000000011</v>
      </c>
      <c r="M13" s="117">
        <v>1373.8370266319123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-0.46626984126984183</v>
      </c>
      <c r="C14" s="126"/>
      <c r="E14" s="27" t="s">
        <v>71</v>
      </c>
      <c r="F14" s="24" t="s">
        <v>26</v>
      </c>
      <c r="G14" s="12">
        <v>1</v>
      </c>
      <c r="H14" s="88">
        <f>IF(B$20=0,0,G14/B$20)</f>
        <v>1.8518518518518517E-2</v>
      </c>
      <c r="I14" s="58">
        <v>6</v>
      </c>
      <c r="K14" s="74">
        <v>12</v>
      </c>
      <c r="L14" s="119">
        <v>-133.30000000000001</v>
      </c>
      <c r="M14" s="117">
        <v>1368.7860044721208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0.16</v>
      </c>
      <c r="E15" s="27" t="s">
        <v>77</v>
      </c>
      <c r="F15" s="24" t="s">
        <v>32</v>
      </c>
      <c r="G15" s="12">
        <v>1</v>
      </c>
      <c r="H15" s="88">
        <f>IF(B$20=0,0,G15/B$20)</f>
        <v>1.8518518518518517E-2</v>
      </c>
      <c r="I15" s="58">
        <v>1</v>
      </c>
      <c r="K15" s="74">
        <v>13</v>
      </c>
      <c r="L15" s="119">
        <v>-175.4</v>
      </c>
      <c r="M15" s="117">
        <v>1362.571288445288</v>
      </c>
      <c r="O15" s="73" t="s">
        <v>163</v>
      </c>
      <c r="P15" s="82">
        <f>IF(Q15=0,0,R15/Q15)</f>
        <v>-3.3466666666666671</v>
      </c>
      <c r="Q15" s="76">
        <v>15</v>
      </c>
      <c r="R15" s="67">
        <v>-50.20000000000001</v>
      </c>
    </row>
    <row r="16" spans="1:18" x14ac:dyDescent="0.4">
      <c r="A16" s="22" t="s">
        <v>121</v>
      </c>
      <c r="B16" s="15">
        <v>66</v>
      </c>
      <c r="C16" s="10">
        <f>IF(B$3=0,0,B16/B$3)</f>
        <v>0.32195121951219513</v>
      </c>
      <c r="E16" s="27" t="s">
        <v>83</v>
      </c>
      <c r="F16" s="24" t="s">
        <v>38</v>
      </c>
      <c r="G16" s="12">
        <v>1</v>
      </c>
      <c r="H16" s="88">
        <f>IF(B$20=0,0,G16/B$20)</f>
        <v>1.8518518518518517E-2</v>
      </c>
      <c r="I16" s="58">
        <v>6</v>
      </c>
      <c r="K16" s="74">
        <v>14</v>
      </c>
      <c r="L16" s="119">
        <v>-130.10000000000002</v>
      </c>
      <c r="M16" s="117">
        <v>1372.1318607146163</v>
      </c>
      <c r="O16" s="74" t="s">
        <v>192</v>
      </c>
      <c r="P16" s="83">
        <f>IF(Q16=0,0,R16/Q16)</f>
        <v>-9.25</v>
      </c>
      <c r="Q16" s="77">
        <v>10</v>
      </c>
      <c r="R16" s="68">
        <v>-92.5</v>
      </c>
    </row>
    <row r="17" spans="1:18" x14ac:dyDescent="0.4">
      <c r="A17" s="19" t="s">
        <v>118</v>
      </c>
      <c r="B17" s="12">
        <v>27</v>
      </c>
      <c r="C17" s="6">
        <f>IF(B$3=0,0,B17/B$3)</f>
        <v>0.13170731707317074</v>
      </c>
      <c r="E17" s="27" t="s">
        <v>90</v>
      </c>
      <c r="F17" s="24" t="s">
        <v>45</v>
      </c>
      <c r="G17" s="12">
        <v>1</v>
      </c>
      <c r="H17" s="88">
        <f>IF(B$20=0,0,G17/B$20)</f>
        <v>1.8518518518518517E-2</v>
      </c>
      <c r="I17" s="58">
        <v>1</v>
      </c>
      <c r="K17" s="74">
        <v>15</v>
      </c>
      <c r="L17" s="119">
        <v>-129.60000000000002</v>
      </c>
      <c r="M17" s="117">
        <v>1373.5650695503286</v>
      </c>
      <c r="O17" s="74" t="s">
        <v>126</v>
      </c>
      <c r="P17" s="83">
        <f>IF(Q17=0,0,R17/Q17)</f>
        <v>-19.755999999999993</v>
      </c>
      <c r="Q17" s="77">
        <v>25</v>
      </c>
      <c r="R17" s="68">
        <v>-493.89999999999986</v>
      </c>
    </row>
    <row r="18" spans="1:18" x14ac:dyDescent="0.4">
      <c r="A18" s="18" t="s">
        <v>123</v>
      </c>
      <c r="B18" s="11">
        <f>B24</f>
        <v>40</v>
      </c>
      <c r="C18" s="5">
        <f>IF(B$16=0,0,B18/B$16)</f>
        <v>0.60606060606060608</v>
      </c>
      <c r="E18" s="27" t="s">
        <v>91</v>
      </c>
      <c r="F18" s="24" t="s">
        <v>46</v>
      </c>
      <c r="G18" s="12">
        <v>1</v>
      </c>
      <c r="H18" s="88">
        <f>IF(B$20=0,0,G18/B$20)</f>
        <v>1.8518518518518517E-2</v>
      </c>
      <c r="I18" s="58">
        <v>3</v>
      </c>
      <c r="K18" s="74">
        <v>16</v>
      </c>
      <c r="L18" s="119">
        <v>-149.90000000000003</v>
      </c>
      <c r="M18" s="117">
        <v>1371.2516791330268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0.18518518518518517</v>
      </c>
      <c r="E19" s="27" t="s">
        <v>155</v>
      </c>
      <c r="F19" s="24" t="s">
        <v>156</v>
      </c>
      <c r="G19" s="12">
        <v>1</v>
      </c>
      <c r="H19" s="88">
        <f>IF(B$20=0,0,G19/B$20)</f>
        <v>1.8518518518518517E-2</v>
      </c>
      <c r="I19" s="58">
        <v>2</v>
      </c>
      <c r="K19" s="74">
        <v>17</v>
      </c>
      <c r="L19" s="119">
        <v>-210.40000000000003</v>
      </c>
      <c r="M19" s="117">
        <v>1361.7101690582285</v>
      </c>
    </row>
    <row r="20" spans="1:18" x14ac:dyDescent="0.4">
      <c r="A20" s="18" t="s">
        <v>10</v>
      </c>
      <c r="B20" s="11">
        <f>B23+B22</f>
        <v>54</v>
      </c>
      <c r="C20" s="5">
        <f>IF(B$3=0,0,B20/B$3)</f>
        <v>0.26341463414634148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5</v>
      </c>
      <c r="K20" s="74">
        <v>18</v>
      </c>
      <c r="L20" s="119">
        <v>-278.40000000000003</v>
      </c>
      <c r="M20" s="117">
        <v>1350.8819080438791</v>
      </c>
    </row>
    <row r="21" spans="1:18" x14ac:dyDescent="0.4">
      <c r="A21" s="19" t="s">
        <v>13</v>
      </c>
      <c r="B21" s="12">
        <v>34</v>
      </c>
      <c r="C21" s="6">
        <f>IF(B$3=0,0,B21/B$3)</f>
        <v>0.16585365853658537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4</v>
      </c>
      <c r="K21" s="74">
        <v>19</v>
      </c>
      <c r="L21" s="119">
        <v>-236.20000000000005</v>
      </c>
      <c r="M21" s="117">
        <v>1359.9486165956159</v>
      </c>
    </row>
    <row r="22" spans="1:18" x14ac:dyDescent="0.4">
      <c r="A22" s="19" t="s">
        <v>12</v>
      </c>
      <c r="B22" s="12">
        <v>30</v>
      </c>
      <c r="C22" s="6">
        <f>IF(B$20=0,0,B22/B$20)</f>
        <v>0.55555555555555558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-220.00000000000006</v>
      </c>
      <c r="M22" s="117">
        <v>1364.2809248960423</v>
      </c>
    </row>
    <row r="23" spans="1:18" x14ac:dyDescent="0.4">
      <c r="A23" s="19" t="s">
        <v>11</v>
      </c>
      <c r="B23" s="12">
        <v>24</v>
      </c>
      <c r="C23" s="6">
        <f>IF(B$20=0,0,B23/B$20)</f>
        <v>0.44444444444444442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-284.00000000000006</v>
      </c>
      <c r="M23" s="117">
        <v>1354.151239346666</v>
      </c>
    </row>
    <row r="24" spans="1:18" x14ac:dyDescent="0.4">
      <c r="A24" s="19" t="s">
        <v>183</v>
      </c>
      <c r="B24" s="12">
        <v>40</v>
      </c>
      <c r="C24" s="6">
        <f>IF(B$20=0,0,B24/B$20)</f>
        <v>0.7407407407407407</v>
      </c>
      <c r="E24" s="27" t="s">
        <v>78</v>
      </c>
      <c r="F24" s="24" t="s">
        <v>33</v>
      </c>
      <c r="G24" s="12">
        <v>0</v>
      </c>
      <c r="H24" s="88">
        <f>IF(B$20=0,0,G24/B$20)</f>
        <v>0</v>
      </c>
      <c r="I24" s="58">
        <v>6</v>
      </c>
      <c r="K24" s="74">
        <v>22</v>
      </c>
      <c r="L24" s="119">
        <v>-251.30000000000007</v>
      </c>
      <c r="M24" s="117">
        <v>1361.4883319105859</v>
      </c>
    </row>
    <row r="25" spans="1:18" x14ac:dyDescent="0.4">
      <c r="A25" s="19" t="s">
        <v>181</v>
      </c>
      <c r="B25" s="12">
        <v>5</v>
      </c>
      <c r="C25" s="6">
        <f>IF(B$20=0,0,B25/B$20)</f>
        <v>9.2592592592592587E-2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4</v>
      </c>
      <c r="K25" s="74">
        <v>23</v>
      </c>
      <c r="L25" s="119">
        <v>-188.20000000000007</v>
      </c>
      <c r="M25" s="117">
        <v>1374.2534019191223</v>
      </c>
    </row>
    <row r="26" spans="1:18" x14ac:dyDescent="0.4">
      <c r="A26" s="19" t="s">
        <v>182</v>
      </c>
      <c r="B26" s="12">
        <v>9</v>
      </c>
      <c r="C26" s="6">
        <f>IF(B$20=0,0,B26/B$20)</f>
        <v>0.16666666666666666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-184.60000000000008</v>
      </c>
      <c r="M26" s="117">
        <v>1376.2318815076076</v>
      </c>
    </row>
    <row r="27" spans="1:18" x14ac:dyDescent="0.4">
      <c r="A27" s="19" t="s">
        <v>5</v>
      </c>
      <c r="B27" s="16">
        <f>IF(B$20=0,0,C27/B$20)</f>
        <v>8705.5555555555547</v>
      </c>
      <c r="C27" s="8">
        <v>470100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-212.20000000000007</v>
      </c>
      <c r="M27" s="117">
        <v>1372.5824902185618</v>
      </c>
    </row>
    <row r="28" spans="1:18" x14ac:dyDescent="0.4">
      <c r="A28" s="20" t="s">
        <v>165</v>
      </c>
      <c r="B28" s="95">
        <f>IF($B$20-B$19=0,0,C28/($B$20-B$19))</f>
        <v>9059.1836734693879</v>
      </c>
      <c r="C28" s="96">
        <v>443900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3</v>
      </c>
    </row>
    <row r="29" spans="1:18" x14ac:dyDescent="0.4">
      <c r="A29" s="20" t="s">
        <v>166</v>
      </c>
      <c r="B29" s="95">
        <f>IF(B$19=0,0,C29/B$19)</f>
        <v>5240</v>
      </c>
      <c r="C29" s="96">
        <v>26200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-9488.2352941176468</v>
      </c>
      <c r="C30" s="96">
        <v>-322600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3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158</v>
      </c>
      <c r="B32" s="12">
        <v>18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4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5</v>
      </c>
    </row>
    <row r="34" spans="1:9" x14ac:dyDescent="0.4">
      <c r="A34" s="22" t="s">
        <v>180</v>
      </c>
      <c r="B34" s="129">
        <v>82600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137</v>
      </c>
      <c r="B35" s="29">
        <v>1</v>
      </c>
      <c r="C35" s="9">
        <f>IF(B$3=0,0,B35/B$3)</f>
        <v>4.8780487804878049E-3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3.7037037037037035E-2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8</v>
      </c>
      <c r="C38" s="6">
        <f t="shared" si="2"/>
        <v>0.14814814814814814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168</v>
      </c>
      <c r="B39" s="124">
        <v>8</v>
      </c>
      <c r="C39" s="6">
        <f t="shared" si="2"/>
        <v>0.14814814814814814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13</v>
      </c>
      <c r="C40" s="6">
        <f t="shared" si="2"/>
        <v>0.24074074074074073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11</v>
      </c>
      <c r="C41" s="6">
        <f t="shared" si="2"/>
        <v>0.20370370370370369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8</v>
      </c>
      <c r="C42" s="6">
        <f t="shared" si="2"/>
        <v>0.14814814814814814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3.7037037037037035E-2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1.8518518518518517E-2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1</v>
      </c>
      <c r="C46" s="6">
        <f t="shared" si="2"/>
        <v>1.8518518518518517E-2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09EC3-513D-479E-ABC7-0386DD9EFB18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198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39</v>
      </c>
      <c r="C2" s="134"/>
      <c r="E2" s="26" t="s">
        <v>66</v>
      </c>
      <c r="F2" s="23" t="s">
        <v>22</v>
      </c>
      <c r="G2" s="11">
        <v>59</v>
      </c>
      <c r="H2" s="87">
        <f>IF(B$20=0,0,G2/B$20)</f>
        <v>0.71951219512195119</v>
      </c>
      <c r="I2" s="57">
        <v>5</v>
      </c>
      <c r="K2" s="73">
        <v>0</v>
      </c>
      <c r="L2" s="118">
        <v>0</v>
      </c>
      <c r="M2" s="116">
        <v>1382.1789004547948</v>
      </c>
      <c r="O2" s="73" t="s">
        <v>128</v>
      </c>
      <c r="P2" s="79">
        <f t="shared" ref="P2:P7" si="0">IF(Q2=0,0,R2/Q2)</f>
        <v>-1371.7948717948718</v>
      </c>
      <c r="Q2" s="76">
        <v>39</v>
      </c>
      <c r="R2" s="63">
        <v>-53500</v>
      </c>
    </row>
    <row r="3" spans="1:18" x14ac:dyDescent="0.4">
      <c r="A3" s="19" t="s">
        <v>8</v>
      </c>
      <c r="B3" s="135">
        <v>313</v>
      </c>
      <c r="C3" s="136"/>
      <c r="E3" s="27" t="s">
        <v>64</v>
      </c>
      <c r="F3" s="24" t="s">
        <v>20</v>
      </c>
      <c r="G3" s="12">
        <v>49</v>
      </c>
      <c r="H3" s="88">
        <f>IF(B$20=0,0,G3/B$20)</f>
        <v>0.59756097560975607</v>
      </c>
      <c r="I3" s="58">
        <v>2</v>
      </c>
      <c r="K3" s="74">
        <v>1</v>
      </c>
      <c r="L3" s="119">
        <v>38.299999999999997</v>
      </c>
      <c r="M3" s="117">
        <v>1390.487827052066</v>
      </c>
      <c r="O3" s="74" t="s">
        <v>129</v>
      </c>
      <c r="P3" s="80">
        <f t="shared" si="0"/>
        <v>1202.7777777777778</v>
      </c>
      <c r="Q3" s="77">
        <v>36</v>
      </c>
      <c r="R3" s="64">
        <v>43300</v>
      </c>
    </row>
    <row r="4" spans="1:18" x14ac:dyDescent="0.4">
      <c r="A4" s="19" t="s">
        <v>6</v>
      </c>
      <c r="B4" s="137">
        <v>-207.6</v>
      </c>
      <c r="C4" s="138"/>
      <c r="E4" s="27" t="s">
        <v>159</v>
      </c>
      <c r="F4" s="24" t="s">
        <v>160</v>
      </c>
      <c r="G4" s="12">
        <v>34</v>
      </c>
      <c r="H4" s="88">
        <f>IF(B$20=0,0,G4/B$20)</f>
        <v>0.41463414634146339</v>
      </c>
      <c r="I4" s="58">
        <v>3</v>
      </c>
      <c r="K4" s="74">
        <v>2</v>
      </c>
      <c r="L4" s="119">
        <v>76.3</v>
      </c>
      <c r="M4" s="117">
        <v>1398.4589000897536</v>
      </c>
      <c r="O4" s="74" t="s">
        <v>130</v>
      </c>
      <c r="P4" s="80">
        <f t="shared" si="0"/>
        <v>417.14285714285717</v>
      </c>
      <c r="Q4" s="77">
        <v>35</v>
      </c>
      <c r="R4" s="64">
        <v>14600</v>
      </c>
    </row>
    <row r="5" spans="1:18" x14ac:dyDescent="0.4">
      <c r="A5" s="19" t="s">
        <v>7</v>
      </c>
      <c r="B5" s="125">
        <f>IF(B$2=0,0,B$4/B$2)</f>
        <v>-5.3230769230769228</v>
      </c>
      <c r="C5" s="126"/>
      <c r="E5" s="27" t="s">
        <v>72</v>
      </c>
      <c r="F5" s="24" t="s">
        <v>27</v>
      </c>
      <c r="G5" s="12">
        <v>33</v>
      </c>
      <c r="H5" s="88">
        <f>IF(B$20=0,0,G5/B$20)</f>
        <v>0.40243902439024393</v>
      </c>
      <c r="I5" s="58">
        <v>6</v>
      </c>
      <c r="K5" s="74">
        <v>3</v>
      </c>
      <c r="L5" s="119">
        <v>66.099999999999994</v>
      </c>
      <c r="M5" s="117">
        <v>1397.7061466892151</v>
      </c>
      <c r="O5" s="74" t="s">
        <v>131</v>
      </c>
      <c r="P5" s="80">
        <f t="shared" si="0"/>
        <v>-632.25806451612902</v>
      </c>
      <c r="Q5" s="77">
        <v>31</v>
      </c>
      <c r="R5" s="64">
        <v>-19600</v>
      </c>
    </row>
    <row r="6" spans="1:18" x14ac:dyDescent="0.4">
      <c r="A6" s="19" t="s">
        <v>195</v>
      </c>
      <c r="B6" s="129">
        <v>1384.1908394993188</v>
      </c>
      <c r="C6" s="130"/>
      <c r="E6" s="27" t="s">
        <v>68</v>
      </c>
      <c r="F6" s="24" t="s">
        <v>12</v>
      </c>
      <c r="G6" s="12">
        <v>31</v>
      </c>
      <c r="H6" s="88">
        <f>IF(B$20=0,0,G6/B$20)</f>
        <v>0.37804878048780488</v>
      </c>
      <c r="I6" s="58">
        <v>2</v>
      </c>
      <c r="K6" s="74">
        <v>4</v>
      </c>
      <c r="L6" s="119">
        <v>9.1999999999999957</v>
      </c>
      <c r="M6" s="117">
        <v>1388.5519098090797</v>
      </c>
      <c r="O6" s="74" t="s">
        <v>132</v>
      </c>
      <c r="P6" s="80">
        <f t="shared" si="0"/>
        <v>-1900</v>
      </c>
      <c r="Q6" s="77">
        <v>28</v>
      </c>
      <c r="R6" s="64">
        <v>-53200</v>
      </c>
    </row>
    <row r="7" spans="1:18" x14ac:dyDescent="0.4">
      <c r="A7" s="19" t="s">
        <v>1</v>
      </c>
      <c r="B7" s="139">
        <f>IF(B$2=0,0,(B$8*1+B$9*2+B$10*3)/B$2)</f>
        <v>2.1025641025641026</v>
      </c>
      <c r="C7" s="140"/>
      <c r="E7" s="27" t="s">
        <v>67</v>
      </c>
      <c r="F7" s="24" t="s">
        <v>23</v>
      </c>
      <c r="G7" s="12">
        <v>30</v>
      </c>
      <c r="H7" s="88">
        <f>IF(B$20=0,0,G7/B$20)</f>
        <v>0.36585365853658536</v>
      </c>
      <c r="I7" s="58">
        <v>1</v>
      </c>
      <c r="K7" s="74">
        <v>5</v>
      </c>
      <c r="L7" s="119">
        <v>-19.800000000000004</v>
      </c>
      <c r="M7" s="117">
        <v>1384.4745983502253</v>
      </c>
      <c r="O7" s="75" t="s">
        <v>133</v>
      </c>
      <c r="P7" s="81">
        <f t="shared" si="0"/>
        <v>-2928</v>
      </c>
      <c r="Q7" s="78">
        <v>25</v>
      </c>
      <c r="R7" s="65">
        <v>-73200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0.28205128205128205</v>
      </c>
      <c r="E8" s="27" t="s">
        <v>69</v>
      </c>
      <c r="F8" s="24" t="s">
        <v>24</v>
      </c>
      <c r="G8" s="12">
        <v>15</v>
      </c>
      <c r="H8" s="88">
        <f>IF(B$20=0,0,G8/B$20)</f>
        <v>0.18292682926829268</v>
      </c>
      <c r="I8" s="58">
        <v>2</v>
      </c>
      <c r="K8" s="74">
        <v>6</v>
      </c>
      <c r="L8" s="119">
        <v>107.9</v>
      </c>
      <c r="M8" s="117">
        <v>1408.6277507601239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0.33333333333333331</v>
      </c>
      <c r="E9" s="27" t="s">
        <v>70</v>
      </c>
      <c r="F9" s="24" t="s">
        <v>25</v>
      </c>
      <c r="G9" s="12">
        <v>13</v>
      </c>
      <c r="H9" s="88">
        <f>IF(B$20=0,0,G9/B$20)</f>
        <v>0.15853658536585366</v>
      </c>
      <c r="I9" s="58">
        <v>1</v>
      </c>
      <c r="K9" s="74">
        <v>7</v>
      </c>
      <c r="L9" s="119">
        <v>119.7</v>
      </c>
      <c r="M9" s="117">
        <v>1411.7739842555632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0.38461538461538464</v>
      </c>
      <c r="E10" s="27" t="s">
        <v>65</v>
      </c>
      <c r="F10" s="24" t="s">
        <v>21</v>
      </c>
      <c r="G10" s="12">
        <v>8</v>
      </c>
      <c r="H10" s="88">
        <f>IF(B$20=0,0,G10/B$20)</f>
        <v>9.7560975609756101E-2</v>
      </c>
      <c r="I10" s="58">
        <v>6</v>
      </c>
      <c r="K10" s="74">
        <v>8</v>
      </c>
      <c r="L10" s="119">
        <v>122.8</v>
      </c>
      <c r="M10" s="117">
        <v>1413.3353403500298</v>
      </c>
      <c r="O10" s="73" t="s">
        <v>151</v>
      </c>
      <c r="P10" s="82">
        <f>IF(Q10=0,0,R10/Q10)</f>
        <v>-1.1846153846153851</v>
      </c>
      <c r="Q10" s="76">
        <v>13</v>
      </c>
      <c r="R10" s="67">
        <v>-15.400000000000006</v>
      </c>
    </row>
    <row r="11" spans="1:18" x14ac:dyDescent="0.4">
      <c r="A11" s="20" t="s">
        <v>184</v>
      </c>
      <c r="B11" s="109">
        <f>IF(B8=0,0,C11/B8)</f>
        <v>53.290909090909082</v>
      </c>
      <c r="C11" s="110">
        <v>586.19999999999993</v>
      </c>
      <c r="E11" s="27" t="s">
        <v>71</v>
      </c>
      <c r="F11" s="24" t="s">
        <v>26</v>
      </c>
      <c r="G11" s="12">
        <v>7</v>
      </c>
      <c r="H11" s="88">
        <f>IF(B$20=0,0,G11/B$20)</f>
        <v>8.5365853658536592E-2</v>
      </c>
      <c r="I11" s="58">
        <v>1</v>
      </c>
      <c r="K11" s="74">
        <v>9</v>
      </c>
      <c r="L11" s="119">
        <v>78.400000000000006</v>
      </c>
      <c r="M11" s="117">
        <v>1406.3373283079297</v>
      </c>
      <c r="O11" s="74" t="s">
        <v>152</v>
      </c>
      <c r="P11" s="83">
        <f>IF(Q11=0,0,R11/Q11)</f>
        <v>-19.881250000000001</v>
      </c>
      <c r="Q11" s="77">
        <v>16</v>
      </c>
      <c r="R11" s="68">
        <v>-318.10000000000002</v>
      </c>
    </row>
    <row r="12" spans="1:18" x14ac:dyDescent="0.4">
      <c r="A12" s="20" t="s">
        <v>185</v>
      </c>
      <c r="B12" s="109">
        <f>IF(B9=0,0,C12/B9)</f>
        <v>-5.9923076923076914</v>
      </c>
      <c r="C12" s="110">
        <v>-77.899999999999991</v>
      </c>
      <c r="E12" s="27" t="s">
        <v>86</v>
      </c>
      <c r="F12" s="24" t="s">
        <v>41</v>
      </c>
      <c r="G12" s="12">
        <v>5</v>
      </c>
      <c r="H12" s="88">
        <f>IF(B$20=0,0,G12/B$20)</f>
        <v>6.097560975609756E-2</v>
      </c>
      <c r="I12" s="58">
        <v>5</v>
      </c>
      <c r="K12" s="74">
        <v>10</v>
      </c>
      <c r="L12" s="119">
        <v>68.800000000000011</v>
      </c>
      <c r="M12" s="117">
        <v>1405.6453043380823</v>
      </c>
      <c r="O12" s="75" t="s">
        <v>153</v>
      </c>
      <c r="P12" s="84">
        <f>IF(Q12=0,0,R12/Q12)</f>
        <v>12.59</v>
      </c>
      <c r="Q12" s="78">
        <v>10</v>
      </c>
      <c r="R12" s="69">
        <v>125.9</v>
      </c>
    </row>
    <row r="13" spans="1:18" x14ac:dyDescent="0.4">
      <c r="A13" s="20" t="s">
        <v>186</v>
      </c>
      <c r="B13" s="109">
        <f>IF(B10=0,0,C13/B10)</f>
        <v>-47.726666666666674</v>
      </c>
      <c r="C13" s="110">
        <v>-715.90000000000009</v>
      </c>
      <c r="E13" s="27" t="s">
        <v>89</v>
      </c>
      <c r="F13" s="24" t="s">
        <v>44</v>
      </c>
      <c r="G13" s="12">
        <v>5</v>
      </c>
      <c r="H13" s="88">
        <f>IF(B$20=0,0,G13/B$20)</f>
        <v>6.097560975609756E-2</v>
      </c>
      <c r="I13" s="58">
        <v>6</v>
      </c>
      <c r="K13" s="74">
        <v>11</v>
      </c>
      <c r="L13" s="119">
        <v>43.800000000000011</v>
      </c>
      <c r="M13" s="117">
        <v>1401.9034325120538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-0.14268842268842738</v>
      </c>
      <c r="C14" s="126"/>
      <c r="E14" s="27" t="s">
        <v>83</v>
      </c>
      <c r="F14" s="24" t="s">
        <v>38</v>
      </c>
      <c r="G14" s="12">
        <v>4</v>
      </c>
      <c r="H14" s="88">
        <f>IF(B$20=0,0,G14/B$20)</f>
        <v>4.878048780487805E-2</v>
      </c>
      <c r="I14" s="58">
        <v>2</v>
      </c>
      <c r="K14" s="74">
        <v>12</v>
      </c>
      <c r="L14" s="119">
        <v>45.400000000000013</v>
      </c>
      <c r="M14" s="117">
        <v>1402.9660119169814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1"/>
        <v>0.15384615384615385</v>
      </c>
      <c r="E15" s="27" t="s">
        <v>91</v>
      </c>
      <c r="F15" s="24" t="s">
        <v>46</v>
      </c>
      <c r="G15" s="12">
        <v>4</v>
      </c>
      <c r="H15" s="88">
        <f>IF(B$20=0,0,G15/B$20)</f>
        <v>4.878048780487805E-2</v>
      </c>
      <c r="I15" s="58">
        <v>1</v>
      </c>
      <c r="K15" s="74">
        <v>13</v>
      </c>
      <c r="L15" s="119">
        <v>96.4</v>
      </c>
      <c r="M15" s="117">
        <v>1412.9142158454795</v>
      </c>
      <c r="O15" s="73" t="s">
        <v>192</v>
      </c>
      <c r="P15" s="82">
        <f>IF(Q15=0,0,R15/Q15)</f>
        <v>2.5045454545454513</v>
      </c>
      <c r="Q15" s="76">
        <v>22</v>
      </c>
      <c r="R15" s="67">
        <v>55.09999999999993</v>
      </c>
    </row>
    <row r="16" spans="1:18" x14ac:dyDescent="0.4">
      <c r="A16" s="22" t="s">
        <v>121</v>
      </c>
      <c r="B16" s="15">
        <v>97</v>
      </c>
      <c r="C16" s="10">
        <f>IF(B$3=0,0,B16/B$3)</f>
        <v>0.30990415335463256</v>
      </c>
      <c r="E16" s="27" t="s">
        <v>93</v>
      </c>
      <c r="F16" s="24" t="s">
        <v>48</v>
      </c>
      <c r="G16" s="12">
        <v>3</v>
      </c>
      <c r="H16" s="88">
        <f>IF(B$20=0,0,G16/B$20)</f>
        <v>3.6585365853658534E-2</v>
      </c>
      <c r="I16" s="58">
        <v>1</v>
      </c>
      <c r="K16" s="74">
        <v>14</v>
      </c>
      <c r="L16" s="119">
        <v>50.2</v>
      </c>
      <c r="M16" s="117">
        <v>1405.7687305504066</v>
      </c>
      <c r="O16" s="74" t="s">
        <v>163</v>
      </c>
      <c r="P16" s="83">
        <f>IF(Q16=0,0,R16/Q16)</f>
        <v>2.4384615384615369</v>
      </c>
      <c r="Q16" s="77">
        <v>26</v>
      </c>
      <c r="R16" s="68">
        <v>63.399999999999956</v>
      </c>
    </row>
    <row r="17" spans="1:18" x14ac:dyDescent="0.4">
      <c r="A17" s="19" t="s">
        <v>118</v>
      </c>
      <c r="B17" s="12">
        <v>36</v>
      </c>
      <c r="C17" s="6">
        <f>IF(B$3=0,0,B17/B$3)</f>
        <v>0.11501597444089456</v>
      </c>
      <c r="E17" s="27" t="s">
        <v>78</v>
      </c>
      <c r="F17" s="24" t="s">
        <v>33</v>
      </c>
      <c r="G17" s="12">
        <v>2</v>
      </c>
      <c r="H17" s="88">
        <f>IF(B$20=0,0,G17/B$20)</f>
        <v>2.4390243902439025E-2</v>
      </c>
      <c r="I17" s="58">
        <v>4</v>
      </c>
      <c r="K17" s="74">
        <v>15</v>
      </c>
      <c r="L17" s="119">
        <v>119.2</v>
      </c>
      <c r="M17" s="117">
        <v>1418.9641181671043</v>
      </c>
      <c r="O17" s="74" t="s">
        <v>126</v>
      </c>
      <c r="P17" s="83">
        <f>IF(Q17=0,0,R17/Q17)</f>
        <v>-24.71</v>
      </c>
      <c r="Q17" s="77">
        <v>30</v>
      </c>
      <c r="R17" s="68">
        <v>-741.30000000000007</v>
      </c>
    </row>
    <row r="18" spans="1:18" x14ac:dyDescent="0.4">
      <c r="A18" s="18" t="s">
        <v>123</v>
      </c>
      <c r="B18" s="11">
        <f>B24</f>
        <v>51</v>
      </c>
      <c r="C18" s="5">
        <f>IF(B$16=0,0,B18/B$16)</f>
        <v>0.52577319587628868</v>
      </c>
      <c r="E18" s="27" t="s">
        <v>81</v>
      </c>
      <c r="F18" s="24" t="s">
        <v>36</v>
      </c>
      <c r="G18" s="12">
        <v>2</v>
      </c>
      <c r="H18" s="88">
        <f>IF(B$20=0,0,G18/B$20)</f>
        <v>2.4390243902439025E-2</v>
      </c>
      <c r="I18" s="58">
        <v>5</v>
      </c>
      <c r="K18" s="74">
        <v>16</v>
      </c>
      <c r="L18" s="119">
        <v>154</v>
      </c>
      <c r="M18" s="117">
        <v>1426.3623334581016</v>
      </c>
    </row>
    <row r="19" spans="1:18" x14ac:dyDescent="0.4">
      <c r="A19" s="18" t="s">
        <v>124</v>
      </c>
      <c r="B19" s="11">
        <f>B25</f>
        <v>6</v>
      </c>
      <c r="C19" s="5">
        <f>IF(B$17=0,0,B19/B$17)</f>
        <v>0.16666666666666666</v>
      </c>
      <c r="E19" s="27" t="s">
        <v>74</v>
      </c>
      <c r="F19" s="24" t="s">
        <v>29</v>
      </c>
      <c r="G19" s="12">
        <v>1</v>
      </c>
      <c r="H19" s="88">
        <f>IF(B$20=0,0,G19/B$20)</f>
        <v>1.2195121951219513E-2</v>
      </c>
      <c r="I19" s="58">
        <v>1</v>
      </c>
      <c r="K19" s="74">
        <v>17</v>
      </c>
      <c r="L19" s="119">
        <v>221.5</v>
      </c>
      <c r="M19" s="117">
        <v>1439.6021594573531</v>
      </c>
    </row>
    <row r="20" spans="1:18" x14ac:dyDescent="0.4">
      <c r="A20" s="18" t="s">
        <v>10</v>
      </c>
      <c r="B20" s="11">
        <f>B23+B22</f>
        <v>82</v>
      </c>
      <c r="C20" s="5">
        <f>IF(B$3=0,0,B20/B$3)</f>
        <v>0.26198083067092653</v>
      </c>
      <c r="E20" s="27" t="s">
        <v>84</v>
      </c>
      <c r="F20" s="24" t="s">
        <v>39</v>
      </c>
      <c r="G20" s="12">
        <v>1</v>
      </c>
      <c r="H20" s="88">
        <f>IF(B$20=0,0,G20/B$20)</f>
        <v>1.2195121951219513E-2</v>
      </c>
      <c r="I20" s="58">
        <v>1</v>
      </c>
      <c r="K20" s="74">
        <v>18</v>
      </c>
      <c r="L20" s="119">
        <v>197</v>
      </c>
      <c r="M20" s="117">
        <v>1436.2025465006091</v>
      </c>
    </row>
    <row r="21" spans="1:18" x14ac:dyDescent="0.4">
      <c r="A21" s="19" t="s">
        <v>13</v>
      </c>
      <c r="B21" s="12">
        <v>56</v>
      </c>
      <c r="C21" s="6">
        <f>IF(B$3=0,0,B21/B$3)</f>
        <v>0.17891373801916932</v>
      </c>
      <c r="E21" s="27" t="s">
        <v>87</v>
      </c>
      <c r="F21" s="24" t="s">
        <v>42</v>
      </c>
      <c r="G21" s="12">
        <v>1</v>
      </c>
      <c r="H21" s="88">
        <f>IF(B$20=0,0,G21/B$20)</f>
        <v>1.2195121951219513E-2</v>
      </c>
      <c r="I21" s="58">
        <v>1</v>
      </c>
      <c r="K21" s="74">
        <v>19</v>
      </c>
      <c r="L21" s="119">
        <v>196.9</v>
      </c>
      <c r="M21" s="117">
        <v>1437.2153312216053</v>
      </c>
    </row>
    <row r="22" spans="1:18" x14ac:dyDescent="0.4">
      <c r="A22" s="19" t="s">
        <v>12</v>
      </c>
      <c r="B22" s="12">
        <v>37</v>
      </c>
      <c r="C22" s="6">
        <f>IF(B$20=0,0,B22/B$20)</f>
        <v>0.45121951219512196</v>
      </c>
      <c r="E22" s="27" t="s">
        <v>155</v>
      </c>
      <c r="F22" s="24" t="s">
        <v>156</v>
      </c>
      <c r="G22" s="12">
        <v>1</v>
      </c>
      <c r="H22" s="88">
        <f>IF(B$20=0,0,G22/B$20)</f>
        <v>1.2195121951219513E-2</v>
      </c>
      <c r="I22" s="58">
        <v>4</v>
      </c>
      <c r="K22" s="74">
        <v>20</v>
      </c>
      <c r="L22" s="119">
        <v>151.4</v>
      </c>
      <c r="M22" s="117">
        <v>1430.0500392342756</v>
      </c>
    </row>
    <row r="23" spans="1:18" x14ac:dyDescent="0.4">
      <c r="A23" s="19" t="s">
        <v>11</v>
      </c>
      <c r="B23" s="12">
        <v>45</v>
      </c>
      <c r="C23" s="6">
        <f>IF(B$20=0,0,B23/B$20)</f>
        <v>0.54878048780487809</v>
      </c>
      <c r="E23" s="27" t="s">
        <v>73</v>
      </c>
      <c r="F23" s="24" t="s">
        <v>28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118.60000000000001</v>
      </c>
      <c r="M23" s="117">
        <v>1425.21373899887</v>
      </c>
    </row>
    <row r="24" spans="1:18" x14ac:dyDescent="0.4">
      <c r="A24" s="19" t="s">
        <v>183</v>
      </c>
      <c r="B24" s="12">
        <v>51</v>
      </c>
      <c r="C24" s="6">
        <f>IF(B$20=0,0,B24/B$20)</f>
        <v>0.62195121951219512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88</v>
      </c>
      <c r="M24" s="117">
        <v>1420.8024565648768</v>
      </c>
    </row>
    <row r="25" spans="1:18" x14ac:dyDescent="0.4">
      <c r="A25" s="19" t="s">
        <v>181</v>
      </c>
      <c r="B25" s="12">
        <v>6</v>
      </c>
      <c r="C25" s="6">
        <f>IF(B$20=0,0,B25/B$20)</f>
        <v>7.3170731707317069E-2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82.9</v>
      </c>
      <c r="M25" s="117">
        <v>1421.0076418254876</v>
      </c>
    </row>
    <row r="26" spans="1:18" x14ac:dyDescent="0.4">
      <c r="A26" s="19" t="s">
        <v>182</v>
      </c>
      <c r="B26" s="12">
        <v>25</v>
      </c>
      <c r="C26" s="6">
        <f>IF(B$20=0,0,B26/B$20)</f>
        <v>0.3048780487804878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48.600000000000009</v>
      </c>
      <c r="M26" s="117">
        <v>1415.9555959745346</v>
      </c>
    </row>
    <row r="27" spans="1:18" x14ac:dyDescent="0.4">
      <c r="A27" s="19" t="s">
        <v>5</v>
      </c>
      <c r="B27" s="16">
        <f>IF(B$20=0,0,C27/B$20)</f>
        <v>10626.829268292682</v>
      </c>
      <c r="C27" s="8">
        <v>871400</v>
      </c>
      <c r="E27" s="27" t="s">
        <v>79</v>
      </c>
      <c r="F27" s="24" t="s">
        <v>34</v>
      </c>
      <c r="G27" s="12">
        <v>0</v>
      </c>
      <c r="H27" s="88">
        <f>IF(B$20=0,0,G27/B$20)</f>
        <v>0</v>
      </c>
      <c r="I27" s="58">
        <v>4</v>
      </c>
      <c r="K27" s="74">
        <v>25</v>
      </c>
      <c r="L27" s="119">
        <v>45.800000000000011</v>
      </c>
      <c r="M27" s="117">
        <v>1416.6038623986874</v>
      </c>
    </row>
    <row r="28" spans="1:18" x14ac:dyDescent="0.4">
      <c r="A28" s="20" t="s">
        <v>165</v>
      </c>
      <c r="B28" s="95">
        <f>IF($B$20-B$19=0,0,C28/($B$20-B$19))</f>
        <v>10690.78947368421</v>
      </c>
      <c r="C28" s="96">
        <v>812500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111.9</v>
      </c>
      <c r="M28" s="117">
        <v>1429.6502392242953</v>
      </c>
    </row>
    <row r="29" spans="1:18" x14ac:dyDescent="0.4">
      <c r="A29" s="20" t="s">
        <v>166</v>
      </c>
      <c r="B29" s="95">
        <f>IF(B$19=0,0,C29/B$19)</f>
        <v>9816.6666666666661</v>
      </c>
      <c r="C29" s="96">
        <v>58900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126.80000000000001</v>
      </c>
      <c r="M29" s="117">
        <v>1433.4023377889496</v>
      </c>
    </row>
    <row r="30" spans="1:18" x14ac:dyDescent="0.4">
      <c r="A30" s="20" t="s">
        <v>164</v>
      </c>
      <c r="B30" s="95">
        <f>IF(B$21=0,0,C30/B$21)</f>
        <v>-8985.7142857142862</v>
      </c>
      <c r="C30" s="96">
        <v>-503200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101.9</v>
      </c>
      <c r="M30" s="117">
        <v>1429.9679237622158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125.30000000000001</v>
      </c>
      <c r="M31" s="117">
        <v>1435.2481162196425</v>
      </c>
    </row>
    <row r="32" spans="1:18" x14ac:dyDescent="0.4">
      <c r="A32" s="19" t="s">
        <v>158</v>
      </c>
      <c r="B32" s="12">
        <v>17</v>
      </c>
      <c r="C32" s="90">
        <v>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69.700000000000017</v>
      </c>
      <c r="M32" s="117">
        <v>1426.1566275223247</v>
      </c>
    </row>
    <row r="33" spans="1:13" x14ac:dyDescent="0.4">
      <c r="A33" s="54" t="s">
        <v>136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11.800000000000018</v>
      </c>
      <c r="M33" s="117">
        <v>1416.7056877571908</v>
      </c>
    </row>
    <row r="34" spans="1:13" x14ac:dyDescent="0.4">
      <c r="A34" s="22" t="s">
        <v>180</v>
      </c>
      <c r="B34" s="129">
        <v>142700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-22.699999999999982</v>
      </c>
      <c r="M34" s="117">
        <v>1411.1634536306476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-56.299999999999983</v>
      </c>
      <c r="M35" s="117">
        <v>1405.8104729088636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-10.999999999999986</v>
      </c>
      <c r="M36" s="117">
        <v>1414.7156100714105</v>
      </c>
    </row>
    <row r="37" spans="1:13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-69.599999999999994</v>
      </c>
      <c r="M37" s="117">
        <v>1405.3093164109821</v>
      </c>
    </row>
    <row r="38" spans="1:13" x14ac:dyDescent="0.4">
      <c r="A38" s="19" t="s">
        <v>167</v>
      </c>
      <c r="B38" s="12">
        <v>16</v>
      </c>
      <c r="C38" s="6">
        <f t="shared" si="2"/>
        <v>0.1951219512195122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-44.499999999999993</v>
      </c>
      <c r="M38" s="117">
        <v>1410.5634605125163</v>
      </c>
    </row>
    <row r="39" spans="1:13" x14ac:dyDescent="0.4">
      <c r="A39" s="19" t="s">
        <v>168</v>
      </c>
      <c r="B39" s="124">
        <v>13</v>
      </c>
      <c r="C39" s="6">
        <f t="shared" si="2"/>
        <v>0.15853658536585366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-51.599999999999994</v>
      </c>
      <c r="M39" s="117">
        <v>1410.4640797494412</v>
      </c>
    </row>
    <row r="40" spans="1:13" x14ac:dyDescent="0.4">
      <c r="A40" s="19" t="s">
        <v>169</v>
      </c>
      <c r="B40" s="124">
        <v>18</v>
      </c>
      <c r="C40" s="6">
        <f t="shared" si="2"/>
        <v>0.21951219512195122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-152.19999999999999</v>
      </c>
      <c r="M40" s="117">
        <v>1393.4092952709445</v>
      </c>
    </row>
    <row r="41" spans="1:13" x14ac:dyDescent="0.4">
      <c r="A41" s="19" t="s">
        <v>170</v>
      </c>
      <c r="B41" s="124">
        <v>13</v>
      </c>
      <c r="C41" s="6">
        <f t="shared" si="2"/>
        <v>0.15853658536585366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-207.6</v>
      </c>
      <c r="M41" s="117">
        <v>1384.1908394993188</v>
      </c>
    </row>
    <row r="42" spans="1:13" x14ac:dyDescent="0.4">
      <c r="A42" s="19" t="s">
        <v>172</v>
      </c>
      <c r="B42" s="124">
        <v>9</v>
      </c>
      <c r="C42" s="6">
        <f t="shared" si="2"/>
        <v>0.10975609756097561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2"/>
        <v>3.6585365853658534E-2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2</v>
      </c>
      <c r="C44" s="6">
        <f t="shared" si="2"/>
        <v>2.4390243902439025E-2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2"/>
        <v>1.2195121951219513E-2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2</v>
      </c>
      <c r="C46" s="6">
        <f t="shared" si="2"/>
        <v>2.4390243902439025E-2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2</v>
      </c>
      <c r="C47" s="6">
        <f t="shared" si="2"/>
        <v>2.4390243902439025E-2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3</v>
      </c>
      <c r="C49" s="9">
        <f t="shared" si="2"/>
        <v>3.6585365853658534E-2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01CB4-E8FA-461F-8484-3E7B40D8424D}">
  <sheetPr codeName="Sheet18"/>
  <dimension ref="A1:Q4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198</v>
      </c>
      <c r="B1" s="34" t="s">
        <v>198</v>
      </c>
      <c r="C1" s="34" t="s">
        <v>198</v>
      </c>
      <c r="D1" s="35" t="s">
        <v>198</v>
      </c>
      <c r="E1" s="34" t="s">
        <v>198</v>
      </c>
      <c r="F1" s="34" t="s">
        <v>198</v>
      </c>
      <c r="G1" s="34" t="s">
        <v>198</v>
      </c>
      <c r="H1" s="34" t="s">
        <v>198</v>
      </c>
      <c r="I1" s="34" t="s">
        <v>198</v>
      </c>
      <c r="J1" s="34" t="s">
        <v>198</v>
      </c>
      <c r="K1" s="34" t="s">
        <v>198</v>
      </c>
      <c r="L1" s="34" t="s">
        <v>198</v>
      </c>
      <c r="M1" s="34" t="s">
        <v>198</v>
      </c>
      <c r="N1" s="34" t="s">
        <v>198</v>
      </c>
      <c r="O1" s="34" t="s">
        <v>198</v>
      </c>
      <c r="P1" s="34" t="s">
        <v>198</v>
      </c>
      <c r="Q1" s="34" t="s">
        <v>198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38.299999999999997</v>
      </c>
      <c r="C4" s="30">
        <v>38.299999999999997</v>
      </c>
      <c r="D4" s="35">
        <v>1</v>
      </c>
      <c r="E4" s="31">
        <v>1</v>
      </c>
      <c r="F4" s="31">
        <v>0</v>
      </c>
      <c r="G4" s="31">
        <v>0.3</v>
      </c>
      <c r="H4" s="31">
        <v>0.3</v>
      </c>
      <c r="I4" s="32">
        <v>15533.333333333334</v>
      </c>
      <c r="J4" s="32">
        <v>-8266.6666666666661</v>
      </c>
      <c r="K4" s="31">
        <v>0</v>
      </c>
      <c r="L4" s="31">
        <v>0.3</v>
      </c>
      <c r="M4" s="31">
        <v>0</v>
      </c>
      <c r="N4" s="31">
        <v>0.66666666666666663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76.3</v>
      </c>
      <c r="C5" s="30">
        <v>38.15</v>
      </c>
      <c r="D5" s="35">
        <v>1</v>
      </c>
      <c r="E5" s="31">
        <v>1</v>
      </c>
      <c r="F5" s="31">
        <v>0</v>
      </c>
      <c r="G5" s="31">
        <v>0.26666666666666666</v>
      </c>
      <c r="H5" s="31">
        <v>0.2</v>
      </c>
      <c r="I5" s="32">
        <v>17650</v>
      </c>
      <c r="J5" s="32">
        <v>-8266.6666666666661</v>
      </c>
      <c r="K5" s="31">
        <v>0</v>
      </c>
      <c r="L5" s="31">
        <v>0.33333333333333331</v>
      </c>
      <c r="M5" s="31">
        <v>0</v>
      </c>
      <c r="N5" s="31">
        <v>0.6</v>
      </c>
      <c r="O5" s="31">
        <v>0</v>
      </c>
      <c r="P5" s="31">
        <v>0.5</v>
      </c>
    </row>
    <row r="6" spans="1:17" x14ac:dyDescent="0.4">
      <c r="A6" s="33">
        <v>3</v>
      </c>
      <c r="B6" s="30">
        <v>66.099999999999994</v>
      </c>
      <c r="C6" s="30">
        <v>22.033333333333331</v>
      </c>
      <c r="D6" s="35">
        <v>1.3333333333333333</v>
      </c>
      <c r="E6" s="31">
        <v>0.66666666666666663</v>
      </c>
      <c r="F6" s="31">
        <v>0</v>
      </c>
      <c r="G6" s="31">
        <v>0.31818181818181818</v>
      </c>
      <c r="H6" s="31">
        <v>0.22727272727272727</v>
      </c>
      <c r="I6" s="32">
        <v>12785.714285714286</v>
      </c>
      <c r="J6" s="32">
        <v>-9760</v>
      </c>
      <c r="K6" s="31">
        <v>0</v>
      </c>
      <c r="L6" s="31">
        <v>0.40909090909090912</v>
      </c>
      <c r="M6" s="31">
        <v>4.5454545454545456E-2</v>
      </c>
      <c r="N6" s="31">
        <v>0.55555555555555558</v>
      </c>
      <c r="O6" s="31">
        <v>1</v>
      </c>
      <c r="P6" s="31">
        <v>0.42857142857142855</v>
      </c>
    </row>
    <row r="7" spans="1:17" x14ac:dyDescent="0.4">
      <c r="A7" s="33">
        <v>4</v>
      </c>
      <c r="B7" s="30">
        <v>9.1999999999999957</v>
      </c>
      <c r="C7" s="30">
        <v>2.2999999999999989</v>
      </c>
      <c r="D7" s="35">
        <v>1.75</v>
      </c>
      <c r="E7" s="31">
        <v>0.5</v>
      </c>
      <c r="F7" s="31">
        <v>0.25</v>
      </c>
      <c r="G7" s="31">
        <v>0.25714285714285712</v>
      </c>
      <c r="H7" s="31">
        <v>0.25714285714285712</v>
      </c>
      <c r="I7" s="32">
        <v>11266.666666666666</v>
      </c>
      <c r="J7" s="32">
        <v>-8011.1111111111113</v>
      </c>
      <c r="K7" s="31">
        <v>0.25</v>
      </c>
      <c r="L7" s="31">
        <v>0.2857142857142857</v>
      </c>
      <c r="M7" s="31">
        <v>0.11428571428571428</v>
      </c>
      <c r="N7" s="31">
        <v>0.6</v>
      </c>
      <c r="O7" s="31">
        <v>0.5</v>
      </c>
      <c r="P7" s="31">
        <v>0.33333333333333331</v>
      </c>
    </row>
    <row r="8" spans="1:17" x14ac:dyDescent="0.4">
      <c r="A8" s="33">
        <v>5</v>
      </c>
      <c r="B8" s="30">
        <v>-19.800000000000004</v>
      </c>
      <c r="C8" s="30">
        <v>-3.9600000000000009</v>
      </c>
      <c r="D8" s="35">
        <v>2</v>
      </c>
      <c r="E8" s="31">
        <v>0.4</v>
      </c>
      <c r="F8" s="31">
        <v>0.4</v>
      </c>
      <c r="G8" s="31">
        <v>0.22727272727272727</v>
      </c>
      <c r="H8" s="31">
        <v>0.22727272727272727</v>
      </c>
      <c r="I8" s="32">
        <v>10350</v>
      </c>
      <c r="J8" s="32">
        <v>-7790</v>
      </c>
      <c r="K8" s="31">
        <v>0.2</v>
      </c>
      <c r="L8" s="31">
        <v>0.27272727272727271</v>
      </c>
      <c r="M8" s="31">
        <v>0.13636363636363635</v>
      </c>
      <c r="N8" s="31">
        <v>0.5</v>
      </c>
      <c r="O8" s="31">
        <v>0.33333333333333331</v>
      </c>
      <c r="P8" s="31">
        <v>0.4</v>
      </c>
    </row>
    <row r="9" spans="1:17" x14ac:dyDescent="0.4">
      <c r="A9" s="33">
        <v>6</v>
      </c>
      <c r="B9" s="30">
        <v>107.9</v>
      </c>
      <c r="C9" s="30">
        <v>17.983333333333334</v>
      </c>
      <c r="D9" s="35">
        <v>1.8333333333333333</v>
      </c>
      <c r="E9" s="31">
        <v>0.5</v>
      </c>
      <c r="F9" s="31">
        <v>0.33333333333333331</v>
      </c>
      <c r="G9" s="31">
        <v>0.29090909090909089</v>
      </c>
      <c r="H9" s="31">
        <v>0.18181818181818182</v>
      </c>
      <c r="I9" s="32">
        <v>13700</v>
      </c>
      <c r="J9" s="32">
        <v>-7790</v>
      </c>
      <c r="K9" s="31">
        <v>0.16666666666666666</v>
      </c>
      <c r="L9" s="31">
        <v>0.32727272727272727</v>
      </c>
      <c r="M9" s="31">
        <v>0.12727272727272726</v>
      </c>
      <c r="N9" s="31">
        <v>0.61111111111111116</v>
      </c>
      <c r="O9" s="31">
        <v>0.2857142857142857</v>
      </c>
      <c r="P9" s="31">
        <v>0.375</v>
      </c>
    </row>
    <row r="10" spans="1:17" x14ac:dyDescent="0.4">
      <c r="A10" s="33">
        <v>7</v>
      </c>
      <c r="B10" s="30">
        <v>119.7</v>
      </c>
      <c r="C10" s="30">
        <v>17.100000000000001</v>
      </c>
      <c r="D10" s="35">
        <v>1.8571428571428572</v>
      </c>
      <c r="E10" s="31">
        <v>0.42857142857142855</v>
      </c>
      <c r="F10" s="31">
        <v>0.2857142857142857</v>
      </c>
      <c r="G10" s="31">
        <v>0.28333333333333333</v>
      </c>
      <c r="H10" s="31">
        <v>0.18333333333333332</v>
      </c>
      <c r="I10" s="32">
        <v>14776.470588235294</v>
      </c>
      <c r="J10" s="32">
        <v>-8172.727272727273</v>
      </c>
      <c r="K10" s="31">
        <v>0.14285714285714285</v>
      </c>
      <c r="L10" s="31">
        <v>0.33333333333333331</v>
      </c>
      <c r="M10" s="31">
        <v>0.13333333333333333</v>
      </c>
      <c r="N10" s="31">
        <v>0.6</v>
      </c>
      <c r="O10" s="31">
        <v>0.25</v>
      </c>
      <c r="P10" s="31">
        <v>0.41176470588235292</v>
      </c>
    </row>
    <row r="11" spans="1:17" x14ac:dyDescent="0.4">
      <c r="A11" s="33">
        <v>8</v>
      </c>
      <c r="B11" s="30">
        <v>122.8</v>
      </c>
      <c r="C11" s="30">
        <v>15.35</v>
      </c>
      <c r="D11" s="35">
        <v>1.875</v>
      </c>
      <c r="E11" s="31">
        <v>0.375</v>
      </c>
      <c r="F11" s="31">
        <v>0.25</v>
      </c>
      <c r="G11" s="31">
        <v>0.29411764705882354</v>
      </c>
      <c r="H11" s="31">
        <v>0.17647058823529413</v>
      </c>
      <c r="I11" s="32">
        <v>13350</v>
      </c>
      <c r="J11" s="32">
        <v>-8133.333333333333</v>
      </c>
      <c r="K11" s="31">
        <v>0.125</v>
      </c>
      <c r="L11" s="31">
        <v>0.3235294117647059</v>
      </c>
      <c r="M11" s="31">
        <v>0.13235294117647059</v>
      </c>
      <c r="N11" s="31">
        <v>0.63636363636363635</v>
      </c>
      <c r="O11" s="31">
        <v>0.22222222222222221</v>
      </c>
      <c r="P11" s="31">
        <v>0.35</v>
      </c>
    </row>
    <row r="12" spans="1:17" x14ac:dyDescent="0.4">
      <c r="A12" s="33">
        <v>9</v>
      </c>
      <c r="B12" s="30">
        <v>78.400000000000006</v>
      </c>
      <c r="C12" s="30">
        <v>8.7111111111111121</v>
      </c>
      <c r="D12" s="35">
        <v>2</v>
      </c>
      <c r="E12" s="31">
        <v>0.33333333333333331</v>
      </c>
      <c r="F12" s="31">
        <v>0.33333333333333331</v>
      </c>
      <c r="G12" s="31">
        <v>0.26666666666666666</v>
      </c>
      <c r="H12" s="31">
        <v>0.18666666666666668</v>
      </c>
      <c r="I12" s="32">
        <v>13350</v>
      </c>
      <c r="J12" s="32">
        <v>-7571.4285714285716</v>
      </c>
      <c r="K12" s="31">
        <v>0.1111111111111111</v>
      </c>
      <c r="L12" s="31">
        <v>0.29333333333333333</v>
      </c>
      <c r="M12" s="31">
        <v>0.14666666666666667</v>
      </c>
      <c r="N12" s="31">
        <v>0.63636363636363635</v>
      </c>
      <c r="O12" s="31">
        <v>0.18181818181818182</v>
      </c>
      <c r="P12" s="31">
        <v>0.35</v>
      </c>
    </row>
    <row r="13" spans="1:17" x14ac:dyDescent="0.4">
      <c r="A13" s="33">
        <v>10</v>
      </c>
      <c r="B13" s="30">
        <v>68.800000000000011</v>
      </c>
      <c r="C13" s="30">
        <v>6.8800000000000008</v>
      </c>
      <c r="D13" s="35">
        <v>2</v>
      </c>
      <c r="E13" s="31">
        <v>0.3</v>
      </c>
      <c r="F13" s="31">
        <v>0.3</v>
      </c>
      <c r="G13" s="31">
        <v>0.27380952380952384</v>
      </c>
      <c r="H13" s="31">
        <v>0.20238095238095238</v>
      </c>
      <c r="I13" s="32">
        <v>13113.04347826087</v>
      </c>
      <c r="J13" s="32">
        <v>-8352.9411764705874</v>
      </c>
      <c r="K13" s="31">
        <v>0.1</v>
      </c>
      <c r="L13" s="31">
        <v>0.27380952380952384</v>
      </c>
      <c r="M13" s="31">
        <v>0.15476190476190477</v>
      </c>
      <c r="N13" s="31">
        <v>0.60869565217391308</v>
      </c>
      <c r="O13" s="31">
        <v>0.23076923076923078</v>
      </c>
      <c r="P13" s="31">
        <v>0.30434782608695654</v>
      </c>
    </row>
    <row r="14" spans="1:17" x14ac:dyDescent="0.4">
      <c r="A14" s="33">
        <v>11</v>
      </c>
      <c r="B14" s="30">
        <v>43.800000000000011</v>
      </c>
      <c r="C14" s="30">
        <v>3.9818181818181828</v>
      </c>
      <c r="D14" s="35">
        <v>2</v>
      </c>
      <c r="E14" s="31">
        <v>0.27272727272727271</v>
      </c>
      <c r="F14" s="31">
        <v>0.27272727272727271</v>
      </c>
      <c r="G14" s="31">
        <v>0.26136363636363635</v>
      </c>
      <c r="H14" s="31">
        <v>0.19318181818181818</v>
      </c>
      <c r="I14" s="32">
        <v>13113.04347826087</v>
      </c>
      <c r="J14" s="32">
        <v>-8352.9411764705874</v>
      </c>
      <c r="K14" s="31">
        <v>9.0909090909090912E-2</v>
      </c>
      <c r="L14" s="31">
        <v>0.28409090909090912</v>
      </c>
      <c r="M14" s="31">
        <v>0.14772727272727273</v>
      </c>
      <c r="N14" s="31">
        <v>0.56000000000000005</v>
      </c>
      <c r="O14" s="31">
        <v>0.23076923076923078</v>
      </c>
      <c r="P14" s="31">
        <v>0.30434782608695654</v>
      </c>
    </row>
    <row r="15" spans="1:17" x14ac:dyDescent="0.4">
      <c r="A15" s="33">
        <v>12</v>
      </c>
      <c r="B15" s="30">
        <v>45.400000000000013</v>
      </c>
      <c r="C15" s="30">
        <v>3.7833333333333345</v>
      </c>
      <c r="D15" s="35">
        <v>2</v>
      </c>
      <c r="E15" s="31">
        <v>0.25</v>
      </c>
      <c r="F15" s="31">
        <v>0.25</v>
      </c>
      <c r="G15" s="31">
        <v>0.26530612244897961</v>
      </c>
      <c r="H15" s="31">
        <v>0.19387755102040816</v>
      </c>
      <c r="I15" s="32">
        <v>12538.461538461539</v>
      </c>
      <c r="J15" s="32">
        <v>-8736.8421052631584</v>
      </c>
      <c r="K15" s="31">
        <v>8.3333333333333329E-2</v>
      </c>
      <c r="L15" s="31">
        <v>0.30612244897959184</v>
      </c>
      <c r="M15" s="31">
        <v>0.1326530612244898</v>
      </c>
      <c r="N15" s="31">
        <v>0.53333333333333333</v>
      </c>
      <c r="O15" s="31">
        <v>0.23076923076923078</v>
      </c>
      <c r="P15" s="31">
        <v>0.38461538461538464</v>
      </c>
    </row>
    <row r="16" spans="1:17" x14ac:dyDescent="0.4">
      <c r="A16" s="33">
        <v>13</v>
      </c>
      <c r="B16" s="30">
        <v>96.4</v>
      </c>
      <c r="C16" s="30">
        <v>7.4153846153846157</v>
      </c>
      <c r="D16" s="35">
        <v>1.9230769230769231</v>
      </c>
      <c r="E16" s="31">
        <v>0.30769230769230771</v>
      </c>
      <c r="F16" s="31">
        <v>0.23076923076923078</v>
      </c>
      <c r="G16" s="31">
        <v>0.2857142857142857</v>
      </c>
      <c r="H16" s="31">
        <v>0.19047619047619047</v>
      </c>
      <c r="I16" s="32">
        <v>12286.666666666666</v>
      </c>
      <c r="J16" s="32">
        <v>-8685</v>
      </c>
      <c r="K16" s="31">
        <v>7.6923076923076927E-2</v>
      </c>
      <c r="L16" s="31">
        <v>0.32380952380952382</v>
      </c>
      <c r="M16" s="31">
        <v>0.12380952380952381</v>
      </c>
      <c r="N16" s="31">
        <v>0.55882352941176472</v>
      </c>
      <c r="O16" s="31">
        <v>0.23076923076923078</v>
      </c>
      <c r="P16" s="31">
        <v>0.36666666666666664</v>
      </c>
    </row>
    <row r="17" spans="1:16" x14ac:dyDescent="0.4">
      <c r="A17" s="33">
        <v>14</v>
      </c>
      <c r="B17" s="30">
        <v>50.2</v>
      </c>
      <c r="C17" s="30">
        <v>3.5857142857142859</v>
      </c>
      <c r="D17" s="35">
        <v>2</v>
      </c>
      <c r="E17" s="31">
        <v>0.2857142857142857</v>
      </c>
      <c r="F17" s="31">
        <v>0.2857142857142857</v>
      </c>
      <c r="G17" s="31">
        <v>0.26956521739130435</v>
      </c>
      <c r="H17" s="31">
        <v>0.19130434782608696</v>
      </c>
      <c r="I17" s="32">
        <v>12277.41935483871</v>
      </c>
      <c r="J17" s="32">
        <v>-9063.636363636364</v>
      </c>
      <c r="K17" s="31">
        <v>7.1428571428571425E-2</v>
      </c>
      <c r="L17" s="31">
        <v>0.30434782608695654</v>
      </c>
      <c r="M17" s="31">
        <v>0.12173913043478261</v>
      </c>
      <c r="N17" s="31">
        <v>0.54285714285714282</v>
      </c>
      <c r="O17" s="31">
        <v>0.21428571428571427</v>
      </c>
      <c r="P17" s="31">
        <v>0.35483870967741937</v>
      </c>
    </row>
    <row r="18" spans="1:16" x14ac:dyDescent="0.4">
      <c r="A18" s="33">
        <v>15</v>
      </c>
      <c r="B18" s="30">
        <v>119.2</v>
      </c>
      <c r="C18" s="30">
        <v>7.9466666666666672</v>
      </c>
      <c r="D18" s="35">
        <v>1.9333333333333333</v>
      </c>
      <c r="E18" s="31">
        <v>0.33333333333333331</v>
      </c>
      <c r="F18" s="31">
        <v>0.26666666666666666</v>
      </c>
      <c r="G18" s="31">
        <v>0.28225806451612906</v>
      </c>
      <c r="H18" s="31">
        <v>0.17741935483870969</v>
      </c>
      <c r="I18" s="32">
        <v>12697.142857142857</v>
      </c>
      <c r="J18" s="32">
        <v>-9063.636363636364</v>
      </c>
      <c r="K18" s="31">
        <v>6.6666666666666666E-2</v>
      </c>
      <c r="L18" s="31">
        <v>0.31451612903225806</v>
      </c>
      <c r="M18" s="31">
        <v>0.12096774193548387</v>
      </c>
      <c r="N18" s="31">
        <v>0.5641025641025641</v>
      </c>
      <c r="O18" s="31">
        <v>0.2</v>
      </c>
      <c r="P18" s="31">
        <v>0.37142857142857144</v>
      </c>
    </row>
    <row r="19" spans="1:16" x14ac:dyDescent="0.4">
      <c r="A19" s="33">
        <v>16</v>
      </c>
      <c r="B19" s="30">
        <v>154</v>
      </c>
      <c r="C19" s="30">
        <v>9.625</v>
      </c>
      <c r="D19" s="35">
        <v>1.875</v>
      </c>
      <c r="E19" s="31">
        <v>0.375</v>
      </c>
      <c r="F19" s="31">
        <v>0.25</v>
      </c>
      <c r="G19" s="31">
        <v>0.2857142857142857</v>
      </c>
      <c r="H19" s="31">
        <v>0.18045112781954886</v>
      </c>
      <c r="I19" s="32">
        <v>12336.842105263158</v>
      </c>
      <c r="J19" s="32">
        <v>-8858.3333333333339</v>
      </c>
      <c r="K19" s="31">
        <v>6.25E-2</v>
      </c>
      <c r="L19" s="31">
        <v>0.30827067669172931</v>
      </c>
      <c r="M19" s="31">
        <v>0.11278195488721804</v>
      </c>
      <c r="N19" s="31">
        <v>0.56097560975609762</v>
      </c>
      <c r="O19" s="31">
        <v>0.2</v>
      </c>
      <c r="P19" s="31">
        <v>0.42105263157894735</v>
      </c>
    </row>
    <row r="20" spans="1:16" x14ac:dyDescent="0.4">
      <c r="A20" s="33">
        <v>17</v>
      </c>
      <c r="B20" s="30">
        <v>221.5</v>
      </c>
      <c r="C20" s="30">
        <v>13.029411764705882</v>
      </c>
      <c r="D20" s="35">
        <v>1.8235294117647058</v>
      </c>
      <c r="E20" s="31">
        <v>0.41176470588235292</v>
      </c>
      <c r="F20" s="31">
        <v>0.23529411764705882</v>
      </c>
      <c r="G20" s="31">
        <v>0.30215827338129497</v>
      </c>
      <c r="H20" s="31">
        <v>0.17266187050359713</v>
      </c>
      <c r="I20" s="32">
        <v>12304.761904761905</v>
      </c>
      <c r="J20" s="32">
        <v>-8858.3333333333339</v>
      </c>
      <c r="K20" s="31">
        <v>5.8823529411764705E-2</v>
      </c>
      <c r="L20" s="31">
        <v>0.32374100719424459</v>
      </c>
      <c r="M20" s="31">
        <v>0.1079136690647482</v>
      </c>
      <c r="N20" s="31">
        <v>0.6</v>
      </c>
      <c r="O20" s="31">
        <v>0.2</v>
      </c>
      <c r="P20" s="31">
        <v>0.40476190476190477</v>
      </c>
    </row>
    <row r="21" spans="1:16" x14ac:dyDescent="0.4">
      <c r="A21" s="33">
        <v>18</v>
      </c>
      <c r="B21" s="30">
        <v>197</v>
      </c>
      <c r="C21" s="30">
        <v>10.944444444444445</v>
      </c>
      <c r="D21" s="35">
        <v>1.8333333333333333</v>
      </c>
      <c r="E21" s="31">
        <v>0.3888888888888889</v>
      </c>
      <c r="F21" s="31">
        <v>0.22222222222222221</v>
      </c>
      <c r="G21" s="31">
        <v>0.2978723404255319</v>
      </c>
      <c r="H21" s="31">
        <v>0.1702127659574468</v>
      </c>
      <c r="I21" s="32">
        <v>12304.761904761905</v>
      </c>
      <c r="J21" s="32">
        <v>-8858.3333333333339</v>
      </c>
      <c r="K21" s="31">
        <v>5.5555555555555552E-2</v>
      </c>
      <c r="L21" s="31">
        <v>0.31914893617021278</v>
      </c>
      <c r="M21" s="31">
        <v>0.10638297872340426</v>
      </c>
      <c r="N21" s="31">
        <v>0.6</v>
      </c>
      <c r="O21" s="31">
        <v>0.2</v>
      </c>
      <c r="P21" s="31">
        <v>0.40476190476190477</v>
      </c>
    </row>
    <row r="22" spans="1:16" x14ac:dyDescent="0.4">
      <c r="A22" s="33">
        <v>19</v>
      </c>
      <c r="B22" s="30">
        <v>196.9</v>
      </c>
      <c r="C22" s="30">
        <v>10.363157894736842</v>
      </c>
      <c r="D22" s="35">
        <v>1.8421052631578947</v>
      </c>
      <c r="E22" s="31">
        <v>0.36842105263157893</v>
      </c>
      <c r="F22" s="31">
        <v>0.21052631578947367</v>
      </c>
      <c r="G22" s="31">
        <v>0.30666666666666664</v>
      </c>
      <c r="H22" s="31">
        <v>0.16666666666666666</v>
      </c>
      <c r="I22" s="32">
        <v>11863.04347826087</v>
      </c>
      <c r="J22" s="32">
        <v>-8824</v>
      </c>
      <c r="K22" s="31">
        <v>5.2631578947368418E-2</v>
      </c>
      <c r="L22" s="31">
        <v>0.33333333333333331</v>
      </c>
      <c r="M22" s="31">
        <v>0.1</v>
      </c>
      <c r="N22" s="31">
        <v>0.62</v>
      </c>
      <c r="O22" s="31">
        <v>0.2</v>
      </c>
      <c r="P22" s="31">
        <v>0.41304347826086957</v>
      </c>
    </row>
    <row r="23" spans="1:16" x14ac:dyDescent="0.4">
      <c r="A23" s="33">
        <v>20</v>
      </c>
      <c r="B23" s="30">
        <v>151.4</v>
      </c>
      <c r="C23" s="30">
        <v>7.57</v>
      </c>
      <c r="D23" s="35">
        <v>1.9</v>
      </c>
      <c r="E23" s="31">
        <v>0.35</v>
      </c>
      <c r="F23" s="31">
        <v>0.25</v>
      </c>
      <c r="G23" s="31">
        <v>0.29487179487179488</v>
      </c>
      <c r="H23" s="31">
        <v>0.17307692307692307</v>
      </c>
      <c r="I23" s="32">
        <v>11863.04347826087</v>
      </c>
      <c r="J23" s="32">
        <v>-8611.1111111111113</v>
      </c>
      <c r="K23" s="31">
        <v>0.05</v>
      </c>
      <c r="L23" s="31">
        <v>0.32692307692307693</v>
      </c>
      <c r="M23" s="31">
        <v>9.6153846153846159E-2</v>
      </c>
      <c r="N23" s="31">
        <v>0.60784313725490191</v>
      </c>
      <c r="O23" s="31">
        <v>0.2</v>
      </c>
      <c r="P23" s="31">
        <v>0.41304347826086957</v>
      </c>
    </row>
    <row r="24" spans="1:16" x14ac:dyDescent="0.4">
      <c r="A24" s="33">
        <v>21</v>
      </c>
      <c r="B24" s="30">
        <v>118.60000000000001</v>
      </c>
      <c r="C24" s="30">
        <v>5.647619047619048</v>
      </c>
      <c r="D24" s="35">
        <v>1.9523809523809523</v>
      </c>
      <c r="E24" s="31">
        <v>0.33333333333333331</v>
      </c>
      <c r="F24" s="31">
        <v>0.2857142857142857</v>
      </c>
      <c r="G24" s="31">
        <v>0.29268292682926828</v>
      </c>
      <c r="H24" s="31">
        <v>0.16463414634146342</v>
      </c>
      <c r="I24" s="32">
        <v>11727.083333333334</v>
      </c>
      <c r="J24" s="32">
        <v>-8611.1111111111113</v>
      </c>
      <c r="K24" s="31">
        <v>4.7619047619047616E-2</v>
      </c>
      <c r="L24" s="31">
        <v>0.31707317073170732</v>
      </c>
      <c r="M24" s="31">
        <v>0.10365853658536585</v>
      </c>
      <c r="N24" s="31">
        <v>0.61538461538461542</v>
      </c>
      <c r="O24" s="31">
        <v>0.17647058823529413</v>
      </c>
      <c r="P24" s="31">
        <v>0.41666666666666669</v>
      </c>
    </row>
    <row r="25" spans="1:16" x14ac:dyDescent="0.4">
      <c r="A25" s="33">
        <v>22</v>
      </c>
      <c r="B25" s="30">
        <v>88</v>
      </c>
      <c r="C25" s="30">
        <v>4</v>
      </c>
      <c r="D25" s="35">
        <v>2</v>
      </c>
      <c r="E25" s="31">
        <v>0.31818181818181818</v>
      </c>
      <c r="F25" s="31">
        <v>0.31818181818181818</v>
      </c>
      <c r="G25" s="31">
        <v>0.29239766081871343</v>
      </c>
      <c r="H25" s="31">
        <v>0.16959064327485379</v>
      </c>
      <c r="I25" s="32">
        <v>11658</v>
      </c>
      <c r="J25" s="32">
        <v>-8624.1379310344819</v>
      </c>
      <c r="K25" s="31">
        <v>4.5454545454545456E-2</v>
      </c>
      <c r="L25" s="31">
        <v>0.31578947368421051</v>
      </c>
      <c r="M25" s="31">
        <v>0.10526315789473684</v>
      </c>
      <c r="N25" s="31">
        <v>0.62962962962962965</v>
      </c>
      <c r="O25" s="31">
        <v>0.16666666666666666</v>
      </c>
      <c r="P25" s="31">
        <v>0.4</v>
      </c>
    </row>
    <row r="26" spans="1:16" x14ac:dyDescent="0.4">
      <c r="A26" s="33">
        <v>23</v>
      </c>
      <c r="B26" s="30">
        <v>82.9</v>
      </c>
      <c r="C26" s="30">
        <v>3.6043478260869568</v>
      </c>
      <c r="D26" s="35">
        <v>2</v>
      </c>
      <c r="E26" s="31">
        <v>0.30434782608695654</v>
      </c>
      <c r="F26" s="31">
        <v>0.30434782608695654</v>
      </c>
      <c r="G26" s="31">
        <v>0.30337078651685395</v>
      </c>
      <c r="H26" s="31">
        <v>0.16853932584269662</v>
      </c>
      <c r="I26" s="32">
        <v>11107.407407407407</v>
      </c>
      <c r="J26" s="32">
        <v>-8603.3333333333339</v>
      </c>
      <c r="K26" s="31">
        <v>4.3478260869565216E-2</v>
      </c>
      <c r="L26" s="31">
        <v>0.3202247191011236</v>
      </c>
      <c r="M26" s="31">
        <v>0.10112359550561797</v>
      </c>
      <c r="N26" s="31">
        <v>0.64912280701754388</v>
      </c>
      <c r="O26" s="31">
        <v>0.16666666666666666</v>
      </c>
      <c r="P26" s="31">
        <v>0.3888888888888889</v>
      </c>
    </row>
    <row r="27" spans="1:16" x14ac:dyDescent="0.4">
      <c r="A27" s="33">
        <v>24</v>
      </c>
      <c r="B27" s="30">
        <v>48.600000000000009</v>
      </c>
      <c r="C27" s="30">
        <v>2.0250000000000004</v>
      </c>
      <c r="D27" s="35">
        <v>2.0416666666666665</v>
      </c>
      <c r="E27" s="31">
        <v>0.29166666666666669</v>
      </c>
      <c r="F27" s="31">
        <v>0.33333333333333331</v>
      </c>
      <c r="G27" s="31">
        <v>0.29255319148936171</v>
      </c>
      <c r="H27" s="31">
        <v>0.16489361702127658</v>
      </c>
      <c r="I27" s="32">
        <v>11232.727272727272</v>
      </c>
      <c r="J27" s="32">
        <v>-8712.9032258064508</v>
      </c>
      <c r="K27" s="31">
        <v>4.1666666666666664E-2</v>
      </c>
      <c r="L27" s="31">
        <v>0.33510638297872342</v>
      </c>
      <c r="M27" s="31">
        <v>9.5744680851063829E-2</v>
      </c>
      <c r="N27" s="31">
        <v>0.60317460317460314</v>
      </c>
      <c r="O27" s="31">
        <v>0.16666666666666666</v>
      </c>
      <c r="P27" s="31">
        <v>0.4</v>
      </c>
    </row>
    <row r="28" spans="1:16" x14ac:dyDescent="0.4">
      <c r="A28" s="33">
        <v>25</v>
      </c>
      <c r="B28" s="30">
        <v>45.800000000000011</v>
      </c>
      <c r="C28" s="30">
        <v>1.8320000000000005</v>
      </c>
      <c r="D28" s="35">
        <v>2.04</v>
      </c>
      <c r="E28" s="31">
        <v>0.28000000000000003</v>
      </c>
      <c r="F28" s="31">
        <v>0.32</v>
      </c>
      <c r="G28" s="31">
        <v>0.29081632653061223</v>
      </c>
      <c r="H28" s="31">
        <v>0.15816326530612246</v>
      </c>
      <c r="I28" s="32">
        <v>11043.859649122807</v>
      </c>
      <c r="J28" s="32">
        <v>-8712.9032258064508</v>
      </c>
      <c r="K28" s="31">
        <v>0.04</v>
      </c>
      <c r="L28" s="31">
        <v>0.33673469387755101</v>
      </c>
      <c r="M28" s="31">
        <v>0.10204081632653061</v>
      </c>
      <c r="N28" s="31">
        <v>0.59090909090909094</v>
      </c>
      <c r="O28" s="31">
        <v>0.15</v>
      </c>
      <c r="P28" s="31">
        <v>0.42105263157894735</v>
      </c>
    </row>
    <row r="29" spans="1:16" x14ac:dyDescent="0.4">
      <c r="A29" s="33">
        <v>26</v>
      </c>
      <c r="B29" s="30">
        <v>111.9</v>
      </c>
      <c r="C29" s="30">
        <v>4.3038461538461537</v>
      </c>
      <c r="D29" s="35">
        <v>2</v>
      </c>
      <c r="E29" s="31">
        <v>0.30769230769230771</v>
      </c>
      <c r="F29" s="31">
        <v>0.30769230769230771</v>
      </c>
      <c r="G29" s="31">
        <v>0.30243902439024389</v>
      </c>
      <c r="H29" s="31">
        <v>0.16585365853658537</v>
      </c>
      <c r="I29" s="32">
        <v>11180.645161290322</v>
      </c>
      <c r="J29" s="32">
        <v>-8594.1176470588234</v>
      </c>
      <c r="K29" s="31">
        <v>3.8461538461538464E-2</v>
      </c>
      <c r="L29" s="31">
        <v>0.34146341463414637</v>
      </c>
      <c r="M29" s="31">
        <v>9.7560975609756101E-2</v>
      </c>
      <c r="N29" s="31">
        <v>0.6</v>
      </c>
      <c r="O29" s="31">
        <v>0.15</v>
      </c>
      <c r="P29" s="31">
        <v>0.40322580645161288</v>
      </c>
    </row>
    <row r="30" spans="1:16" x14ac:dyDescent="0.4">
      <c r="A30" s="33">
        <v>27</v>
      </c>
      <c r="B30" s="30">
        <v>126.80000000000001</v>
      </c>
      <c r="C30" s="30">
        <v>4.6962962962962971</v>
      </c>
      <c r="D30" s="35">
        <v>2</v>
      </c>
      <c r="E30" s="31">
        <v>0.29629629629629628</v>
      </c>
      <c r="F30" s="31">
        <v>0.29629629629629628</v>
      </c>
      <c r="G30" s="31">
        <v>0.30188679245283018</v>
      </c>
      <c r="H30" s="31">
        <v>0.1650943396226415</v>
      </c>
      <c r="I30" s="32">
        <v>11139.0625</v>
      </c>
      <c r="J30" s="32">
        <v>-8405.7142857142862</v>
      </c>
      <c r="K30" s="31">
        <v>3.7037037037037035E-2</v>
      </c>
      <c r="L30" s="31">
        <v>0.34433962264150941</v>
      </c>
      <c r="M30" s="31">
        <v>9.9056603773584911E-2</v>
      </c>
      <c r="N30" s="31">
        <v>0.58904109589041098</v>
      </c>
      <c r="O30" s="31">
        <v>0.14285714285714285</v>
      </c>
      <c r="P30" s="31">
        <v>0.40625</v>
      </c>
    </row>
    <row r="31" spans="1:16" x14ac:dyDescent="0.4">
      <c r="A31" s="33">
        <v>28</v>
      </c>
      <c r="B31" s="30">
        <v>101.9</v>
      </c>
      <c r="C31" s="30">
        <v>3.6392857142857147</v>
      </c>
      <c r="D31" s="35">
        <v>2</v>
      </c>
      <c r="E31" s="31">
        <v>0.2857142857142857</v>
      </c>
      <c r="F31" s="31">
        <v>0.2857142857142857</v>
      </c>
      <c r="G31" s="31">
        <v>0.29729729729729731</v>
      </c>
      <c r="H31" s="31">
        <v>0.15765765765765766</v>
      </c>
      <c r="I31" s="32">
        <v>10971.212121212122</v>
      </c>
      <c r="J31" s="32">
        <v>-8405.7142857142862</v>
      </c>
      <c r="K31" s="31">
        <v>3.5714285714285712E-2</v>
      </c>
      <c r="L31" s="31">
        <v>0.33783783783783783</v>
      </c>
      <c r="M31" s="31">
        <v>9.90990990990991E-2</v>
      </c>
      <c r="N31" s="31">
        <v>0.57333333333333336</v>
      </c>
      <c r="O31" s="31">
        <v>0.13636363636363635</v>
      </c>
      <c r="P31" s="31">
        <v>0.40909090909090912</v>
      </c>
    </row>
    <row r="32" spans="1:16" x14ac:dyDescent="0.4">
      <c r="A32" s="33">
        <v>29</v>
      </c>
      <c r="B32" s="30">
        <v>125.30000000000001</v>
      </c>
      <c r="C32" s="30">
        <v>4.3206896551724139</v>
      </c>
      <c r="D32" s="35">
        <v>1.9655172413793103</v>
      </c>
      <c r="E32" s="31">
        <v>0.31034482758620691</v>
      </c>
      <c r="F32" s="31">
        <v>0.27586206896551724</v>
      </c>
      <c r="G32" s="31">
        <v>0.30042918454935624</v>
      </c>
      <c r="H32" s="31">
        <v>0.15879828326180256</v>
      </c>
      <c r="I32" s="32">
        <v>10605.714285714286</v>
      </c>
      <c r="J32" s="32">
        <v>-8308.1081081081084</v>
      </c>
      <c r="K32" s="31">
        <v>3.4482758620689655E-2</v>
      </c>
      <c r="L32" s="31">
        <v>0.33047210300429186</v>
      </c>
      <c r="M32" s="31">
        <v>0.11158798283261803</v>
      </c>
      <c r="N32" s="31">
        <v>0.5714285714285714</v>
      </c>
      <c r="O32" s="31">
        <v>0.19230769230769232</v>
      </c>
      <c r="P32" s="31">
        <v>0.41428571428571431</v>
      </c>
    </row>
    <row r="33" spans="1:16" x14ac:dyDescent="0.4">
      <c r="A33" s="33">
        <v>30</v>
      </c>
      <c r="B33" s="30">
        <v>69.700000000000017</v>
      </c>
      <c r="C33" s="30">
        <v>2.3233333333333337</v>
      </c>
      <c r="D33" s="35">
        <v>2</v>
      </c>
      <c r="E33" s="31">
        <v>0.3</v>
      </c>
      <c r="F33" s="31">
        <v>0.3</v>
      </c>
      <c r="G33" s="31">
        <v>0.29045643153526973</v>
      </c>
      <c r="H33" s="31">
        <v>0.15767634854771784</v>
      </c>
      <c r="I33" s="32">
        <v>10605.714285714286</v>
      </c>
      <c r="J33" s="32">
        <v>-8226.3157894736851</v>
      </c>
      <c r="K33" s="31">
        <v>6.6666666666666666E-2</v>
      </c>
      <c r="L33" s="31">
        <v>0.33195020746887965</v>
      </c>
      <c r="M33" s="31">
        <v>0.1078838174273859</v>
      </c>
      <c r="N33" s="31">
        <v>0.55000000000000004</v>
      </c>
      <c r="O33" s="31">
        <v>0.19230769230769232</v>
      </c>
      <c r="P33" s="31">
        <v>0.41428571428571431</v>
      </c>
    </row>
    <row r="34" spans="1:16" x14ac:dyDescent="0.4">
      <c r="A34" s="33">
        <v>31</v>
      </c>
      <c r="B34" s="30">
        <v>11.800000000000018</v>
      </c>
      <c r="C34" s="30">
        <v>0.38064516129032316</v>
      </c>
      <c r="D34" s="35">
        <v>2.032258064516129</v>
      </c>
      <c r="E34" s="31">
        <v>0.29032258064516131</v>
      </c>
      <c r="F34" s="31">
        <v>0.32258064516129031</v>
      </c>
      <c r="G34" s="31">
        <v>0.28112449799196787</v>
      </c>
      <c r="H34" s="31">
        <v>0.1646586345381526</v>
      </c>
      <c r="I34" s="32">
        <v>10605.714285714286</v>
      </c>
      <c r="J34" s="32">
        <v>-8075.6097560975613</v>
      </c>
      <c r="K34" s="31">
        <v>9.6774193548387094E-2</v>
      </c>
      <c r="L34" s="31">
        <v>0.33333333333333331</v>
      </c>
      <c r="M34" s="31">
        <v>0.10843373493975904</v>
      </c>
      <c r="N34" s="31">
        <v>0.53012048192771088</v>
      </c>
      <c r="O34" s="31">
        <v>0.18518518518518517</v>
      </c>
      <c r="P34" s="31">
        <v>0.41428571428571431</v>
      </c>
    </row>
    <row r="35" spans="1:16" x14ac:dyDescent="0.4">
      <c r="A35" s="33">
        <v>32</v>
      </c>
      <c r="B35" s="30">
        <v>-22.699999999999982</v>
      </c>
      <c r="C35" s="30">
        <v>-0.70937499999999942</v>
      </c>
      <c r="D35" s="35">
        <v>2.0625</v>
      </c>
      <c r="E35" s="31">
        <v>0.28125</v>
      </c>
      <c r="F35" s="31">
        <v>0.34375</v>
      </c>
      <c r="G35" s="31">
        <v>0.2734375</v>
      </c>
      <c r="H35" s="31">
        <v>0.16015625</v>
      </c>
      <c r="I35" s="32">
        <v>10605.714285714286</v>
      </c>
      <c r="J35" s="32">
        <v>-8075.6097560975613</v>
      </c>
      <c r="K35" s="31">
        <v>9.375E-2</v>
      </c>
      <c r="L35" s="31">
        <v>0.32421875</v>
      </c>
      <c r="M35" s="31">
        <v>0.10546875</v>
      </c>
      <c r="N35" s="31">
        <v>0.53012048192771088</v>
      </c>
      <c r="O35" s="31">
        <v>0.18518518518518517</v>
      </c>
      <c r="P35" s="31">
        <v>0.41428571428571431</v>
      </c>
    </row>
    <row r="36" spans="1:16" x14ac:dyDescent="0.4">
      <c r="A36" s="33">
        <v>33</v>
      </c>
      <c r="B36" s="30">
        <v>-56.299999999999983</v>
      </c>
      <c r="C36" s="30">
        <v>-1.7060606060606056</v>
      </c>
      <c r="D36" s="35">
        <v>2.0909090909090908</v>
      </c>
      <c r="E36" s="31">
        <v>0.27272727272727271</v>
      </c>
      <c r="F36" s="31">
        <v>0.36363636363636365</v>
      </c>
      <c r="G36" s="31">
        <v>0.27272727272727271</v>
      </c>
      <c r="H36" s="31">
        <v>0.16666666666666666</v>
      </c>
      <c r="I36" s="32">
        <v>10477.777777777777</v>
      </c>
      <c r="J36" s="32">
        <v>-7961.363636363636</v>
      </c>
      <c r="K36" s="31">
        <v>9.0909090909090912E-2</v>
      </c>
      <c r="L36" s="31">
        <v>0.32196969696969696</v>
      </c>
      <c r="M36" s="31">
        <v>0.10606060606060606</v>
      </c>
      <c r="N36" s="31">
        <v>0.54117647058823526</v>
      </c>
      <c r="O36" s="31">
        <v>0.17857142857142858</v>
      </c>
      <c r="P36" s="31">
        <v>0.43055555555555558</v>
      </c>
    </row>
    <row r="37" spans="1:16" x14ac:dyDescent="0.4">
      <c r="A37" s="33">
        <v>34</v>
      </c>
      <c r="B37" s="30">
        <v>-10.999999999999986</v>
      </c>
      <c r="C37" s="30">
        <v>-0.32352941176470545</v>
      </c>
      <c r="D37" s="35">
        <v>2.0588235294117645</v>
      </c>
      <c r="E37" s="31">
        <v>0.29411764705882354</v>
      </c>
      <c r="F37" s="31">
        <v>0.35294117647058826</v>
      </c>
      <c r="G37" s="31">
        <v>0.28205128205128205</v>
      </c>
      <c r="H37" s="31">
        <v>0.16849816849816851</v>
      </c>
      <c r="I37" s="32">
        <v>10353.246753246753</v>
      </c>
      <c r="J37" s="32">
        <v>-7756.521739130435</v>
      </c>
      <c r="K37" s="31">
        <v>8.8235294117647065E-2</v>
      </c>
      <c r="L37" s="31">
        <v>0.32967032967032966</v>
      </c>
      <c r="M37" s="31">
        <v>0.10256410256410256</v>
      </c>
      <c r="N37" s="31">
        <v>0.55555555555555558</v>
      </c>
      <c r="O37" s="31">
        <v>0.17857142857142858</v>
      </c>
      <c r="P37" s="31">
        <v>0.44155844155844154</v>
      </c>
    </row>
    <row r="38" spans="1:16" x14ac:dyDescent="0.4">
      <c r="A38" s="33">
        <v>35</v>
      </c>
      <c r="B38" s="30">
        <v>-69.599999999999994</v>
      </c>
      <c r="C38" s="30">
        <v>-1.9885714285714284</v>
      </c>
      <c r="D38" s="35">
        <v>2.0857142857142859</v>
      </c>
      <c r="E38" s="31">
        <v>0.2857142857142857</v>
      </c>
      <c r="F38" s="31">
        <v>0.37142857142857144</v>
      </c>
      <c r="G38" s="31">
        <v>0.27898550724637683</v>
      </c>
      <c r="H38" s="31">
        <v>0.17753623188405798</v>
      </c>
      <c r="I38" s="32">
        <v>10353.246753246753</v>
      </c>
      <c r="J38" s="32">
        <v>-8008.1632653061224</v>
      </c>
      <c r="K38" s="31">
        <v>0.11428571428571428</v>
      </c>
      <c r="L38" s="31">
        <v>0.32608695652173914</v>
      </c>
      <c r="M38" s="31">
        <v>0.10144927536231885</v>
      </c>
      <c r="N38" s="31">
        <v>0.55555555555555558</v>
      </c>
      <c r="O38" s="31">
        <v>0.17857142857142858</v>
      </c>
      <c r="P38" s="31">
        <v>0.44155844155844154</v>
      </c>
    </row>
    <row r="39" spans="1:16" x14ac:dyDescent="0.4">
      <c r="A39" s="33">
        <v>36</v>
      </c>
      <c r="B39" s="30">
        <v>-44.499999999999993</v>
      </c>
      <c r="C39" s="30">
        <v>-1.2361111111111109</v>
      </c>
      <c r="D39" s="35">
        <v>2.0555555555555554</v>
      </c>
      <c r="E39" s="31">
        <v>0.30555555555555558</v>
      </c>
      <c r="F39" s="31">
        <v>0.3611111111111111</v>
      </c>
      <c r="G39" s="31">
        <v>0.27719298245614032</v>
      </c>
      <c r="H39" s="31">
        <v>0.17894736842105263</v>
      </c>
      <c r="I39" s="32">
        <v>10698.73417721519</v>
      </c>
      <c r="J39" s="32">
        <v>-8164.7058823529414</v>
      </c>
      <c r="K39" s="31">
        <v>0.1111111111111111</v>
      </c>
      <c r="L39" s="31">
        <v>0.31929824561403508</v>
      </c>
      <c r="M39" s="31">
        <v>0.10877192982456141</v>
      </c>
      <c r="N39" s="31">
        <v>0.5494505494505495</v>
      </c>
      <c r="O39" s="31">
        <v>0.19354838709677419</v>
      </c>
      <c r="P39" s="31">
        <v>0.43037974683544306</v>
      </c>
    </row>
    <row r="40" spans="1:16" x14ac:dyDescent="0.4">
      <c r="A40" s="33">
        <v>37</v>
      </c>
      <c r="B40" s="30">
        <v>-51.599999999999994</v>
      </c>
      <c r="C40" s="30">
        <v>-1.3945945945945943</v>
      </c>
      <c r="D40" s="35">
        <v>2.0540540540540539</v>
      </c>
      <c r="E40" s="31">
        <v>0.29729729729729731</v>
      </c>
      <c r="F40" s="31">
        <v>0.35135135135135137</v>
      </c>
      <c r="G40" s="31">
        <v>0.27457627118644068</v>
      </c>
      <c r="H40" s="31">
        <v>0.17627118644067796</v>
      </c>
      <c r="I40" s="32">
        <v>10730.864197530864</v>
      </c>
      <c r="J40" s="32">
        <v>-8053.8461538461543</v>
      </c>
      <c r="K40" s="31">
        <v>0.10810810810810811</v>
      </c>
      <c r="L40" s="31">
        <v>0.31525423728813562</v>
      </c>
      <c r="M40" s="31">
        <v>0.10847457627118644</v>
      </c>
      <c r="N40" s="31">
        <v>0.54838709677419351</v>
      </c>
      <c r="O40" s="31">
        <v>0.1875</v>
      </c>
      <c r="P40" s="31">
        <v>0.44444444444444442</v>
      </c>
    </row>
    <row r="41" spans="1:16" x14ac:dyDescent="0.4">
      <c r="A41" s="33">
        <v>38</v>
      </c>
      <c r="B41" s="30">
        <v>-152.19999999999999</v>
      </c>
      <c r="C41" s="30">
        <v>-4.0052631578947366</v>
      </c>
      <c r="D41" s="35">
        <v>2.0789473684210527</v>
      </c>
      <c r="E41" s="31">
        <v>0.28947368421052633</v>
      </c>
      <c r="F41" s="31">
        <v>0.36842105263157893</v>
      </c>
      <c r="G41" s="31">
        <v>0.26710097719869708</v>
      </c>
      <c r="H41" s="31">
        <v>0.17915309446254071</v>
      </c>
      <c r="I41" s="32">
        <v>10626.829268292682</v>
      </c>
      <c r="J41" s="32">
        <v>-8930.9090909090901</v>
      </c>
      <c r="K41" s="31">
        <v>0.13157894736842105</v>
      </c>
      <c r="L41" s="31">
        <v>0.31270358306188922</v>
      </c>
      <c r="M41" s="31">
        <v>0.11400651465798045</v>
      </c>
      <c r="N41" s="31">
        <v>0.53125</v>
      </c>
      <c r="O41" s="31">
        <v>0.17142857142857143</v>
      </c>
      <c r="P41" s="31">
        <v>0.45121951219512196</v>
      </c>
    </row>
    <row r="42" spans="1:16" x14ac:dyDescent="0.4">
      <c r="A42" s="33">
        <v>39</v>
      </c>
      <c r="B42" s="30">
        <v>-207.6</v>
      </c>
      <c r="C42" s="30">
        <v>-5.3230769230769228</v>
      </c>
      <c r="D42" s="35">
        <v>2.1025641025641026</v>
      </c>
      <c r="E42" s="31">
        <v>0.28205128205128205</v>
      </c>
      <c r="F42" s="31">
        <v>0.38461538461538464</v>
      </c>
      <c r="G42" s="31">
        <v>0.26198083067092653</v>
      </c>
      <c r="H42" s="31">
        <v>0.17891373801916932</v>
      </c>
      <c r="I42" s="32">
        <v>10626.829268292682</v>
      </c>
      <c r="J42" s="32">
        <v>-8985.7142857142862</v>
      </c>
      <c r="K42" s="31">
        <v>0.15384615384615385</v>
      </c>
      <c r="L42" s="31">
        <v>0.30990415335463256</v>
      </c>
      <c r="M42" s="31">
        <v>0.11501597444089456</v>
      </c>
      <c r="N42" s="31">
        <v>0.52577319587628868</v>
      </c>
      <c r="O42" s="31">
        <v>0.16666666666666666</v>
      </c>
      <c r="P42" s="31">
        <v>0.45121951219512196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1573-78A6-4A33-843B-D21BC0ADF68D}">
  <sheetPr codeName="Sheet16"/>
  <dimension ref="A1:Q2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194</v>
      </c>
      <c r="B1" s="34" t="s">
        <v>194</v>
      </c>
      <c r="C1" s="34" t="s">
        <v>194</v>
      </c>
      <c r="D1" s="35" t="s">
        <v>194</v>
      </c>
      <c r="E1" s="34" t="s">
        <v>194</v>
      </c>
      <c r="F1" s="34" t="s">
        <v>194</v>
      </c>
      <c r="G1" s="34" t="s">
        <v>194</v>
      </c>
      <c r="H1" s="34" t="s">
        <v>194</v>
      </c>
      <c r="I1" s="34" t="s">
        <v>194</v>
      </c>
      <c r="J1" s="34" t="s">
        <v>194</v>
      </c>
      <c r="K1" s="34" t="s">
        <v>194</v>
      </c>
      <c r="L1" s="34" t="s">
        <v>194</v>
      </c>
      <c r="M1" s="34" t="s">
        <v>194</v>
      </c>
      <c r="N1" s="34" t="s">
        <v>194</v>
      </c>
      <c r="O1" s="34" t="s">
        <v>194</v>
      </c>
      <c r="P1" s="34" t="s">
        <v>194</v>
      </c>
      <c r="Q1" s="34" t="s">
        <v>194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-24.3</v>
      </c>
      <c r="C4" s="30">
        <v>-24.3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16000</v>
      </c>
      <c r="J4" s="32">
        <v>-5800</v>
      </c>
      <c r="K4" s="31">
        <v>0</v>
      </c>
      <c r="L4" s="31">
        <v>0.1</v>
      </c>
      <c r="M4" s="31">
        <v>0.1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-4.3000000000000007</v>
      </c>
      <c r="C5" s="30">
        <v>-2.1500000000000004</v>
      </c>
      <c r="D5" s="35">
        <v>2</v>
      </c>
      <c r="E5" s="31">
        <v>0.5</v>
      </c>
      <c r="F5" s="31">
        <v>0.5</v>
      </c>
      <c r="G5" s="31">
        <v>0.11764705882352941</v>
      </c>
      <c r="H5" s="31">
        <v>0.23529411764705882</v>
      </c>
      <c r="I5" s="32">
        <v>20000</v>
      </c>
      <c r="J5" s="32">
        <v>-5700</v>
      </c>
      <c r="K5" s="31">
        <v>0</v>
      </c>
      <c r="L5" s="31">
        <v>0.23529411764705882</v>
      </c>
      <c r="M5" s="31">
        <v>5.8823529411764705E-2</v>
      </c>
      <c r="N5" s="31">
        <v>0.5</v>
      </c>
      <c r="O5" s="31">
        <v>0</v>
      </c>
      <c r="P5" s="31">
        <v>0.5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</v>
      </c>
      <c r="E6" s="31">
        <v>0.33333333333333331</v>
      </c>
      <c r="F6" s="31">
        <v>0.33333333333333331</v>
      </c>
      <c r="G6" s="31">
        <v>0.14285714285714285</v>
      </c>
      <c r="H6" s="31">
        <v>0.32142857142857145</v>
      </c>
      <c r="I6" s="32">
        <v>13400</v>
      </c>
      <c r="J6" s="32">
        <v>-4900</v>
      </c>
      <c r="K6" s="31">
        <v>0</v>
      </c>
      <c r="L6" s="31">
        <v>0.25</v>
      </c>
      <c r="M6" s="31">
        <v>0.14285714285714285</v>
      </c>
      <c r="N6" s="31">
        <v>0.42857142857142855</v>
      </c>
      <c r="O6" s="31">
        <v>0.25</v>
      </c>
      <c r="P6" s="31">
        <v>0.25</v>
      </c>
    </row>
    <row r="7" spans="1:17" x14ac:dyDescent="0.4">
      <c r="A7" s="33">
        <v>4</v>
      </c>
      <c r="B7" s="30">
        <v>-45.5</v>
      </c>
      <c r="C7" s="30">
        <v>-11.375</v>
      </c>
      <c r="D7" s="35">
        <v>2.25</v>
      </c>
      <c r="E7" s="31">
        <v>0.25</v>
      </c>
      <c r="F7" s="31">
        <v>0.5</v>
      </c>
      <c r="G7" s="31">
        <v>0.1388888888888889</v>
      </c>
      <c r="H7" s="31">
        <v>0.25</v>
      </c>
      <c r="I7" s="32">
        <v>12260</v>
      </c>
      <c r="J7" s="32">
        <v>-4900</v>
      </c>
      <c r="K7" s="31">
        <v>0</v>
      </c>
      <c r="L7" s="31">
        <v>0.30555555555555558</v>
      </c>
      <c r="M7" s="31">
        <v>0.16666666666666666</v>
      </c>
      <c r="N7" s="31">
        <v>0.36363636363636365</v>
      </c>
      <c r="O7" s="31">
        <v>0.16666666666666666</v>
      </c>
      <c r="P7" s="31">
        <v>0.2</v>
      </c>
    </row>
    <row r="8" spans="1:17" x14ac:dyDescent="0.4">
      <c r="A8" s="33">
        <v>5</v>
      </c>
      <c r="B8" s="30">
        <v>-86.3</v>
      </c>
      <c r="C8" s="30">
        <v>-17.259999999999998</v>
      </c>
      <c r="D8" s="35">
        <v>2.4</v>
      </c>
      <c r="E8" s="31">
        <v>0.2</v>
      </c>
      <c r="F8" s="31">
        <v>0.6</v>
      </c>
      <c r="G8" s="31">
        <v>0.15217391304347827</v>
      </c>
      <c r="H8" s="31">
        <v>0.2608695652173913</v>
      </c>
      <c r="I8" s="32">
        <v>12085.714285714286</v>
      </c>
      <c r="J8" s="32">
        <v>-5058.333333333333</v>
      </c>
      <c r="K8" s="31">
        <v>0</v>
      </c>
      <c r="L8" s="31">
        <v>0.30434782608695654</v>
      </c>
      <c r="M8" s="31">
        <v>0.21739130434782608</v>
      </c>
      <c r="N8" s="31">
        <v>0.42857142857142855</v>
      </c>
      <c r="O8" s="31">
        <v>0.1</v>
      </c>
      <c r="P8" s="31">
        <v>0.2857142857142857</v>
      </c>
    </row>
    <row r="9" spans="1:17" x14ac:dyDescent="0.4">
      <c r="A9" s="33">
        <v>6</v>
      </c>
      <c r="B9" s="30">
        <v>-133.80000000000001</v>
      </c>
      <c r="C9" s="30">
        <v>-22.3</v>
      </c>
      <c r="D9" s="35">
        <v>2.5</v>
      </c>
      <c r="E9" s="31">
        <v>0.16666666666666666</v>
      </c>
      <c r="F9" s="31">
        <v>0.66666666666666663</v>
      </c>
      <c r="G9" s="31">
        <v>0.13207547169811321</v>
      </c>
      <c r="H9" s="31">
        <v>0.22641509433962265</v>
      </c>
      <c r="I9" s="32">
        <v>12085.714285714286</v>
      </c>
      <c r="J9" s="32">
        <v>-5058.333333333333</v>
      </c>
      <c r="K9" s="31">
        <v>0.16666666666666666</v>
      </c>
      <c r="L9" s="31">
        <v>0.28301886792452829</v>
      </c>
      <c r="M9" s="31">
        <v>0.18867924528301888</v>
      </c>
      <c r="N9" s="31">
        <v>0.4</v>
      </c>
      <c r="O9" s="31">
        <v>0.1</v>
      </c>
      <c r="P9" s="31">
        <v>0.2857142857142857</v>
      </c>
    </row>
    <row r="10" spans="1:17" x14ac:dyDescent="0.4">
      <c r="A10" s="33">
        <v>7</v>
      </c>
      <c r="B10" s="30">
        <v>-76.200000000000017</v>
      </c>
      <c r="C10" s="30">
        <v>-10.885714285714288</v>
      </c>
      <c r="D10" s="35">
        <v>2.2857142857142856</v>
      </c>
      <c r="E10" s="31">
        <v>0.2857142857142857</v>
      </c>
      <c r="F10" s="31">
        <v>0.5714285714285714</v>
      </c>
      <c r="G10" s="31">
        <v>0.18032786885245902</v>
      </c>
      <c r="H10" s="31">
        <v>0.21311475409836064</v>
      </c>
      <c r="I10" s="32">
        <v>12209.09090909091</v>
      </c>
      <c r="J10" s="32">
        <v>-4869.2307692307695</v>
      </c>
      <c r="K10" s="31">
        <v>0.14285714285714285</v>
      </c>
      <c r="L10" s="31">
        <v>0.32786885245901637</v>
      </c>
      <c r="M10" s="31">
        <v>0.16393442622950818</v>
      </c>
      <c r="N10" s="31">
        <v>0.45</v>
      </c>
      <c r="O10" s="31">
        <v>0.1</v>
      </c>
      <c r="P10" s="31">
        <v>0.36363636363636365</v>
      </c>
    </row>
    <row r="11" spans="1:17" x14ac:dyDescent="0.4">
      <c r="A11" s="33">
        <v>8</v>
      </c>
      <c r="B11" s="30">
        <v>-103.80000000000001</v>
      </c>
      <c r="C11" s="30">
        <v>-12.975000000000001</v>
      </c>
      <c r="D11" s="35">
        <v>2.375</v>
      </c>
      <c r="E11" s="31">
        <v>0.25</v>
      </c>
      <c r="F11" s="31">
        <v>0.625</v>
      </c>
      <c r="G11" s="31">
        <v>0.18309859154929578</v>
      </c>
      <c r="H11" s="31">
        <v>0.18309859154929578</v>
      </c>
      <c r="I11" s="32">
        <v>11246.153846153846</v>
      </c>
      <c r="J11" s="32">
        <v>-4869.2307692307695</v>
      </c>
      <c r="K11" s="31">
        <v>0.125</v>
      </c>
      <c r="L11" s="31">
        <v>0.30985915492957744</v>
      </c>
      <c r="M11" s="31">
        <v>0.15492957746478872</v>
      </c>
      <c r="N11" s="31">
        <v>0.5</v>
      </c>
      <c r="O11" s="31">
        <v>9.0909090909090912E-2</v>
      </c>
      <c r="P11" s="31">
        <v>0.38461538461538464</v>
      </c>
    </row>
    <row r="12" spans="1:17" x14ac:dyDescent="0.4">
      <c r="A12" s="33">
        <v>9</v>
      </c>
      <c r="B12" s="30">
        <v>-132.4</v>
      </c>
      <c r="C12" s="30">
        <v>-14.711111111111112</v>
      </c>
      <c r="D12" s="35">
        <v>2.4444444444444446</v>
      </c>
      <c r="E12" s="31">
        <v>0.22222222222222221</v>
      </c>
      <c r="F12" s="31">
        <v>0.66666666666666663</v>
      </c>
      <c r="G12" s="31">
        <v>0.16666666666666666</v>
      </c>
      <c r="H12" s="31">
        <v>0.20512820512820512</v>
      </c>
      <c r="I12" s="32">
        <v>11246.153846153846</v>
      </c>
      <c r="J12" s="32">
        <v>-5025</v>
      </c>
      <c r="K12" s="31">
        <v>0.1111111111111111</v>
      </c>
      <c r="L12" s="31">
        <v>0.30769230769230771</v>
      </c>
      <c r="M12" s="31">
        <v>0.16666666666666666</v>
      </c>
      <c r="N12" s="31">
        <v>0.45833333333333331</v>
      </c>
      <c r="O12" s="31">
        <v>7.6923076923076927E-2</v>
      </c>
      <c r="P12" s="31">
        <v>0.38461538461538464</v>
      </c>
    </row>
    <row r="13" spans="1:17" x14ac:dyDescent="0.4">
      <c r="A13" s="33">
        <v>10</v>
      </c>
      <c r="B13" s="30">
        <v>-122.10000000000001</v>
      </c>
      <c r="C13" s="30">
        <v>-12.21</v>
      </c>
      <c r="D13" s="35">
        <v>2.4</v>
      </c>
      <c r="E13" s="31">
        <v>0.2</v>
      </c>
      <c r="F13" s="31">
        <v>0.6</v>
      </c>
      <c r="G13" s="31">
        <v>0.19540229885057472</v>
      </c>
      <c r="H13" s="31">
        <v>0.19540229885057472</v>
      </c>
      <c r="I13" s="32">
        <v>10558.823529411764</v>
      </c>
      <c r="J13" s="32">
        <v>-5435.2941176470586</v>
      </c>
      <c r="K13" s="31">
        <v>0.1</v>
      </c>
      <c r="L13" s="31">
        <v>0.33333333333333331</v>
      </c>
      <c r="M13" s="31">
        <v>0.16091954022988506</v>
      </c>
      <c r="N13" s="31">
        <v>0.48275862068965519</v>
      </c>
      <c r="O13" s="31">
        <v>0.14285714285714285</v>
      </c>
      <c r="P13" s="31">
        <v>0.41176470588235292</v>
      </c>
    </row>
    <row r="14" spans="1:17" x14ac:dyDescent="0.4">
      <c r="A14" s="33">
        <v>11</v>
      </c>
      <c r="B14" s="30">
        <v>-97.800000000000011</v>
      </c>
      <c r="C14" s="30">
        <v>-8.8909090909090924</v>
      </c>
      <c r="D14" s="35">
        <v>2.2727272727272729</v>
      </c>
      <c r="E14" s="31">
        <v>0.27272727272727271</v>
      </c>
      <c r="F14" s="31">
        <v>0.54545454545454541</v>
      </c>
      <c r="G14" s="31">
        <v>0.21875</v>
      </c>
      <c r="H14" s="31">
        <v>0.1875</v>
      </c>
      <c r="I14" s="32">
        <v>9657.1428571428569</v>
      </c>
      <c r="J14" s="32">
        <v>-5800</v>
      </c>
      <c r="K14" s="31">
        <v>9.0909090909090912E-2</v>
      </c>
      <c r="L14" s="31">
        <v>0.32291666666666669</v>
      </c>
      <c r="M14" s="31">
        <v>0.14583333333333334</v>
      </c>
      <c r="N14" s="31">
        <v>0.5161290322580645</v>
      </c>
      <c r="O14" s="31">
        <v>0.14285714285714285</v>
      </c>
      <c r="P14" s="31">
        <v>0.42857142857142855</v>
      </c>
    </row>
    <row r="15" spans="1:17" x14ac:dyDescent="0.4">
      <c r="A15" s="33">
        <v>12</v>
      </c>
      <c r="B15" s="30">
        <v>-133.30000000000001</v>
      </c>
      <c r="C15" s="30">
        <v>-11.108333333333334</v>
      </c>
      <c r="D15" s="35">
        <v>2.3333333333333335</v>
      </c>
      <c r="E15" s="31">
        <v>0.25</v>
      </c>
      <c r="F15" s="31">
        <v>0.58333333333333337</v>
      </c>
      <c r="G15" s="31">
        <v>0.22115384615384615</v>
      </c>
      <c r="H15" s="31">
        <v>0.17307692307692307</v>
      </c>
      <c r="I15" s="32">
        <v>9569.565217391304</v>
      </c>
      <c r="J15" s="32">
        <v>-5800</v>
      </c>
      <c r="K15" s="31">
        <v>8.3333333333333329E-2</v>
      </c>
      <c r="L15" s="31">
        <v>0.34615384615384615</v>
      </c>
      <c r="M15" s="31">
        <v>0.13461538461538461</v>
      </c>
      <c r="N15" s="31">
        <v>0.5</v>
      </c>
      <c r="O15" s="31">
        <v>0.14285714285714285</v>
      </c>
      <c r="P15" s="31">
        <v>0.43478260869565216</v>
      </c>
    </row>
    <row r="16" spans="1:17" x14ac:dyDescent="0.4">
      <c r="A16" s="33">
        <v>13</v>
      </c>
      <c r="B16" s="30">
        <v>-175.4</v>
      </c>
      <c r="C16" s="30">
        <v>-13.492307692307692</v>
      </c>
      <c r="D16" s="35">
        <v>2.3846153846153846</v>
      </c>
      <c r="E16" s="31">
        <v>0.23076923076923078</v>
      </c>
      <c r="F16" s="31">
        <v>0.61538461538461542</v>
      </c>
      <c r="G16" s="31">
        <v>0.21621621621621623</v>
      </c>
      <c r="H16" s="31">
        <v>0.18018018018018017</v>
      </c>
      <c r="I16" s="32">
        <v>9495.8333333333339</v>
      </c>
      <c r="J16" s="32">
        <v>-6060</v>
      </c>
      <c r="K16" s="31">
        <v>7.6923076923076927E-2</v>
      </c>
      <c r="L16" s="31">
        <v>0.34234234234234234</v>
      </c>
      <c r="M16" s="31">
        <v>0.13513513513513514</v>
      </c>
      <c r="N16" s="31">
        <v>0.5</v>
      </c>
      <c r="O16" s="31">
        <v>0.13333333333333333</v>
      </c>
      <c r="P16" s="31">
        <v>0.45833333333333331</v>
      </c>
    </row>
    <row r="17" spans="1:16" x14ac:dyDescent="0.4">
      <c r="A17" s="33">
        <v>14</v>
      </c>
      <c r="B17" s="30">
        <v>-130.10000000000002</v>
      </c>
      <c r="C17" s="30">
        <v>-9.2928571428571445</v>
      </c>
      <c r="D17" s="35">
        <v>2.2857142857142856</v>
      </c>
      <c r="E17" s="31">
        <v>0.2857142857142857</v>
      </c>
      <c r="F17" s="31">
        <v>0.5714285714285714</v>
      </c>
      <c r="G17" s="31">
        <v>0.24166666666666667</v>
      </c>
      <c r="H17" s="31">
        <v>0.17499999999999999</v>
      </c>
      <c r="I17" s="32">
        <v>9000</v>
      </c>
      <c r="J17" s="32">
        <v>-6342.8571428571431</v>
      </c>
      <c r="K17" s="31">
        <v>7.1428571428571425E-2</v>
      </c>
      <c r="L17" s="31">
        <v>0.35</v>
      </c>
      <c r="M17" s="31">
        <v>0.125</v>
      </c>
      <c r="N17" s="31">
        <v>0.54761904761904767</v>
      </c>
      <c r="O17" s="31">
        <v>0.13333333333333333</v>
      </c>
      <c r="P17" s="31">
        <v>0.48275862068965519</v>
      </c>
    </row>
    <row r="18" spans="1:16" x14ac:dyDescent="0.4">
      <c r="A18" s="33">
        <v>15</v>
      </c>
      <c r="B18" s="30">
        <v>-129.60000000000002</v>
      </c>
      <c r="C18" s="30">
        <v>-8.6400000000000023</v>
      </c>
      <c r="D18" s="35">
        <v>2.2666666666666666</v>
      </c>
      <c r="E18" s="31">
        <v>0.26666666666666666</v>
      </c>
      <c r="F18" s="31">
        <v>0.53333333333333333</v>
      </c>
      <c r="G18" s="31">
        <v>0.23809523809523808</v>
      </c>
      <c r="H18" s="31">
        <v>0.16666666666666666</v>
      </c>
      <c r="I18" s="32">
        <v>8966.6666666666661</v>
      </c>
      <c r="J18" s="32">
        <v>-6342.8571428571431</v>
      </c>
      <c r="K18" s="31">
        <v>6.6666666666666666E-2</v>
      </c>
      <c r="L18" s="31">
        <v>0.33333333333333331</v>
      </c>
      <c r="M18" s="31">
        <v>0.12698412698412698</v>
      </c>
      <c r="N18" s="31">
        <v>0.54761904761904767</v>
      </c>
      <c r="O18" s="31">
        <v>0.125</v>
      </c>
      <c r="P18" s="31">
        <v>0.5</v>
      </c>
    </row>
    <row r="19" spans="1:16" x14ac:dyDescent="0.4">
      <c r="A19" s="33">
        <v>16</v>
      </c>
      <c r="B19" s="30">
        <v>-149.90000000000003</v>
      </c>
      <c r="C19" s="30">
        <v>-9.3687500000000021</v>
      </c>
      <c r="D19" s="35">
        <v>2.25</v>
      </c>
      <c r="E19" s="31">
        <v>0.25</v>
      </c>
      <c r="F19" s="31">
        <v>0.5</v>
      </c>
      <c r="G19" s="31">
        <v>0.2391304347826087</v>
      </c>
      <c r="H19" s="31">
        <v>0.17391304347826086</v>
      </c>
      <c r="I19" s="32">
        <v>8975.757575757576</v>
      </c>
      <c r="J19" s="32">
        <v>-7300</v>
      </c>
      <c r="K19" s="31">
        <v>6.25E-2</v>
      </c>
      <c r="L19" s="31">
        <v>0.3188405797101449</v>
      </c>
      <c r="M19" s="31">
        <v>0.11594202898550725</v>
      </c>
      <c r="N19" s="31">
        <v>0.56818181818181823</v>
      </c>
      <c r="O19" s="31">
        <v>0.125</v>
      </c>
      <c r="P19" s="31">
        <v>0.51515151515151514</v>
      </c>
    </row>
    <row r="20" spans="1:16" x14ac:dyDescent="0.4">
      <c r="A20" s="33">
        <v>17</v>
      </c>
      <c r="B20" s="30">
        <v>-210.40000000000003</v>
      </c>
      <c r="C20" s="30">
        <v>-12.376470588235296</v>
      </c>
      <c r="D20" s="35">
        <v>2.2941176470588234</v>
      </c>
      <c r="E20" s="31">
        <v>0.23529411764705882</v>
      </c>
      <c r="F20" s="31">
        <v>0.52941176470588236</v>
      </c>
      <c r="G20" s="31">
        <v>0.23239436619718309</v>
      </c>
      <c r="H20" s="31">
        <v>0.176056338028169</v>
      </c>
      <c r="I20" s="32">
        <v>8975.757575757576</v>
      </c>
      <c r="J20" s="32">
        <v>-8288</v>
      </c>
      <c r="K20" s="31">
        <v>0.11764705882352941</v>
      </c>
      <c r="L20" s="31">
        <v>0.30985915492957744</v>
      </c>
      <c r="M20" s="31">
        <v>0.12676056338028169</v>
      </c>
      <c r="N20" s="31">
        <v>0.56818181818181823</v>
      </c>
      <c r="O20" s="31">
        <v>0.1111111111111111</v>
      </c>
      <c r="P20" s="31">
        <v>0.51515151515151514</v>
      </c>
    </row>
    <row r="21" spans="1:16" x14ac:dyDescent="0.4">
      <c r="A21" s="33">
        <v>18</v>
      </c>
      <c r="B21" s="30">
        <v>-278.40000000000003</v>
      </c>
      <c r="C21" s="30">
        <v>-15.466666666666669</v>
      </c>
      <c r="D21" s="35">
        <v>2.3333333333333335</v>
      </c>
      <c r="E21" s="31">
        <v>0.22222222222222221</v>
      </c>
      <c r="F21" s="31">
        <v>0.55555555555555558</v>
      </c>
      <c r="G21" s="31">
        <v>0.23076923076923078</v>
      </c>
      <c r="H21" s="31">
        <v>0.18181818181818182</v>
      </c>
      <c r="I21" s="32">
        <v>8975.757575757576</v>
      </c>
      <c r="J21" s="32">
        <v>-9815.3846153846152</v>
      </c>
      <c r="K21" s="31">
        <v>0.16666666666666666</v>
      </c>
      <c r="L21" s="31">
        <v>0.30769230769230771</v>
      </c>
      <c r="M21" s="31">
        <v>0.12587412587412589</v>
      </c>
      <c r="N21" s="31">
        <v>0.56818181818181823</v>
      </c>
      <c r="O21" s="31">
        <v>0.1111111111111111</v>
      </c>
      <c r="P21" s="31">
        <v>0.51515151515151514</v>
      </c>
    </row>
    <row r="22" spans="1:16" x14ac:dyDescent="0.4">
      <c r="A22" s="33">
        <v>19</v>
      </c>
      <c r="B22" s="30">
        <v>-236.20000000000005</v>
      </c>
      <c r="C22" s="30">
        <v>-12.431578947368424</v>
      </c>
      <c r="D22" s="35">
        <v>2.263157894736842</v>
      </c>
      <c r="E22" s="31">
        <v>0.26315789473684209</v>
      </c>
      <c r="F22" s="31">
        <v>0.52631578947368418</v>
      </c>
      <c r="G22" s="31">
        <v>0.24503311258278146</v>
      </c>
      <c r="H22" s="31">
        <v>0.17880794701986755</v>
      </c>
      <c r="I22" s="32">
        <v>8951.3513513513517</v>
      </c>
      <c r="J22" s="32">
        <v>-9748.1481481481478</v>
      </c>
      <c r="K22" s="31">
        <v>0.15789473684210525</v>
      </c>
      <c r="L22" s="31">
        <v>0.30463576158940397</v>
      </c>
      <c r="M22" s="31">
        <v>0.13245033112582782</v>
      </c>
      <c r="N22" s="31">
        <v>0.58695652173913049</v>
      </c>
      <c r="O22" s="31">
        <v>0.2</v>
      </c>
      <c r="P22" s="31">
        <v>0.56756756756756754</v>
      </c>
    </row>
    <row r="23" spans="1:16" x14ac:dyDescent="0.4">
      <c r="A23" s="33">
        <v>20</v>
      </c>
      <c r="B23" s="30">
        <v>-220.00000000000006</v>
      </c>
      <c r="C23" s="30">
        <v>-11.000000000000004</v>
      </c>
      <c r="D23" s="35">
        <v>2.25</v>
      </c>
      <c r="E23" s="31">
        <v>0.25</v>
      </c>
      <c r="F23" s="31">
        <v>0.5</v>
      </c>
      <c r="G23" s="31">
        <v>0.25766871165644173</v>
      </c>
      <c r="H23" s="31">
        <v>0.16564417177914109</v>
      </c>
      <c r="I23" s="32">
        <v>8616.6666666666661</v>
      </c>
      <c r="J23" s="32">
        <v>-9748.1481481481478</v>
      </c>
      <c r="K23" s="31">
        <v>0.15</v>
      </c>
      <c r="L23" s="31">
        <v>0.30674846625766872</v>
      </c>
      <c r="M23" s="31">
        <v>0.12883435582822086</v>
      </c>
      <c r="N23" s="31">
        <v>0.6</v>
      </c>
      <c r="O23" s="31">
        <v>0.23809523809523808</v>
      </c>
      <c r="P23" s="31">
        <v>0.54761904761904767</v>
      </c>
    </row>
    <row r="24" spans="1:16" x14ac:dyDescent="0.4">
      <c r="A24" s="33">
        <v>21</v>
      </c>
      <c r="B24" s="30">
        <v>-284.00000000000006</v>
      </c>
      <c r="C24" s="30">
        <v>-13.523809523809527</v>
      </c>
      <c r="D24" s="35">
        <v>2.2857142857142856</v>
      </c>
      <c r="E24" s="31">
        <v>0.23809523809523808</v>
      </c>
      <c r="F24" s="31">
        <v>0.52380952380952384</v>
      </c>
      <c r="G24" s="31">
        <v>0.25149700598802394</v>
      </c>
      <c r="H24" s="31">
        <v>0.17365269461077845</v>
      </c>
      <c r="I24" s="32">
        <v>8616.6666666666661</v>
      </c>
      <c r="J24" s="32">
        <v>-10179.310344827587</v>
      </c>
      <c r="K24" s="31">
        <v>0.19047619047619047</v>
      </c>
      <c r="L24" s="31">
        <v>0.30538922155688625</v>
      </c>
      <c r="M24" s="31">
        <v>0.12574850299401197</v>
      </c>
      <c r="N24" s="31">
        <v>0.58823529411764708</v>
      </c>
      <c r="O24" s="31">
        <v>0.23809523809523808</v>
      </c>
      <c r="P24" s="31">
        <v>0.54761904761904767</v>
      </c>
    </row>
    <row r="25" spans="1:16" x14ac:dyDescent="0.4">
      <c r="A25" s="33">
        <v>22</v>
      </c>
      <c r="B25" s="30">
        <v>-251.30000000000007</v>
      </c>
      <c r="C25" s="30">
        <v>-11.422727272727276</v>
      </c>
      <c r="D25" s="35">
        <v>2.2272727272727271</v>
      </c>
      <c r="E25" s="31">
        <v>0.27272727272727271</v>
      </c>
      <c r="F25" s="31">
        <v>0.5</v>
      </c>
      <c r="G25" s="31">
        <v>0.25433526011560692</v>
      </c>
      <c r="H25" s="31">
        <v>0.16763005780346821</v>
      </c>
      <c r="I25" s="32">
        <v>8679.545454545454</v>
      </c>
      <c r="J25" s="32">
        <v>-10179.310344827587</v>
      </c>
      <c r="K25" s="31">
        <v>0.18181818181818182</v>
      </c>
      <c r="L25" s="31">
        <v>0.31213872832369943</v>
      </c>
      <c r="M25" s="31">
        <v>0.12716763005780346</v>
      </c>
      <c r="N25" s="31">
        <v>0.59259259259259256</v>
      </c>
      <c r="O25" s="31">
        <v>0.22727272727272727</v>
      </c>
      <c r="P25" s="31">
        <v>0.56818181818181823</v>
      </c>
    </row>
    <row r="26" spans="1:16" x14ac:dyDescent="0.4">
      <c r="A26" s="33">
        <v>23</v>
      </c>
      <c r="B26" s="30">
        <v>-188.20000000000007</v>
      </c>
      <c r="C26" s="30">
        <v>-8.1826086956521777</v>
      </c>
      <c r="D26" s="35">
        <v>2.1739130434782608</v>
      </c>
      <c r="E26" s="31">
        <v>0.30434782608695654</v>
      </c>
      <c r="F26" s="31">
        <v>0.47826086956521741</v>
      </c>
      <c r="G26" s="31">
        <v>0.26229508196721313</v>
      </c>
      <c r="H26" s="31">
        <v>0.16393442622950818</v>
      </c>
      <c r="I26" s="32">
        <v>8983.3333333333339</v>
      </c>
      <c r="J26" s="32">
        <v>-9970</v>
      </c>
      <c r="K26" s="31">
        <v>0.17391304347826086</v>
      </c>
      <c r="L26" s="31">
        <v>0.31147540983606559</v>
      </c>
      <c r="M26" s="31">
        <v>0.12021857923497267</v>
      </c>
      <c r="N26" s="31">
        <v>0.59649122807017541</v>
      </c>
      <c r="O26" s="31">
        <v>0.22727272727272727</v>
      </c>
      <c r="P26" s="31">
        <v>0.58333333333333337</v>
      </c>
    </row>
    <row r="27" spans="1:16" x14ac:dyDescent="0.4">
      <c r="A27" s="33">
        <v>24</v>
      </c>
      <c r="B27" s="30">
        <v>-184.60000000000008</v>
      </c>
      <c r="C27" s="30">
        <v>-7.69166666666667</v>
      </c>
      <c r="D27" s="35">
        <v>2.1666666666666665</v>
      </c>
      <c r="E27" s="31">
        <v>0.29166666666666669</v>
      </c>
      <c r="F27" s="31">
        <v>0.45833333333333331</v>
      </c>
      <c r="G27" s="31">
        <v>0.26424870466321243</v>
      </c>
      <c r="H27" s="31">
        <v>0.16062176165803108</v>
      </c>
      <c r="I27" s="32">
        <v>8949.0196078431381</v>
      </c>
      <c r="J27" s="32">
        <v>-10035.483870967742</v>
      </c>
      <c r="K27" s="31">
        <v>0.16666666666666666</v>
      </c>
      <c r="L27" s="31">
        <v>0.31606217616580312</v>
      </c>
      <c r="M27" s="31">
        <v>0.13471502590673576</v>
      </c>
      <c r="N27" s="31">
        <v>0.60655737704918034</v>
      </c>
      <c r="O27" s="31">
        <v>0.19230769230769232</v>
      </c>
      <c r="P27" s="31">
        <v>0.56862745098039214</v>
      </c>
    </row>
    <row r="28" spans="1:16" x14ac:dyDescent="0.4">
      <c r="A28" s="33">
        <v>25</v>
      </c>
      <c r="B28" s="30">
        <v>-212.20000000000007</v>
      </c>
      <c r="C28" s="30">
        <v>-8.4880000000000031</v>
      </c>
      <c r="D28" s="35">
        <v>2.2000000000000002</v>
      </c>
      <c r="E28" s="31">
        <v>0.28000000000000003</v>
      </c>
      <c r="F28" s="31">
        <v>0.48</v>
      </c>
      <c r="G28" s="31">
        <v>0.26341463414634148</v>
      </c>
      <c r="H28" s="31">
        <v>0.16585365853658537</v>
      </c>
      <c r="I28" s="32">
        <v>8705.5555555555547</v>
      </c>
      <c r="J28" s="32">
        <v>-9488.2352941176468</v>
      </c>
      <c r="K28" s="31">
        <v>0.16</v>
      </c>
      <c r="L28" s="31">
        <v>0.32195121951219513</v>
      </c>
      <c r="M28" s="31">
        <v>0.13170731707317074</v>
      </c>
      <c r="N28" s="31">
        <v>0.60606060606060608</v>
      </c>
      <c r="O28" s="31">
        <v>0.18518518518518517</v>
      </c>
      <c r="P28" s="31">
        <v>0.55555555555555558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A276-E906-4DF4-960E-BC8E03C52C9D}">
  <sheetPr codeName="Sheet14"/>
  <dimension ref="A1:Q5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3.6</v>
      </c>
      <c r="C4" s="30">
        <v>3.6</v>
      </c>
      <c r="D4" s="35">
        <v>2</v>
      </c>
      <c r="E4" s="31">
        <v>0</v>
      </c>
      <c r="F4" s="31">
        <v>0</v>
      </c>
      <c r="G4" s="31">
        <v>0.25</v>
      </c>
      <c r="H4" s="31">
        <v>0.125</v>
      </c>
      <c r="I4" s="32">
        <v>10400</v>
      </c>
      <c r="J4" s="32">
        <v>-8000</v>
      </c>
      <c r="K4" s="31">
        <v>0</v>
      </c>
      <c r="L4" s="31">
        <v>0.125</v>
      </c>
      <c r="M4" s="31">
        <v>0.125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-14.500000000000002</v>
      </c>
      <c r="C5" s="30">
        <v>-7.2500000000000009</v>
      </c>
      <c r="D5" s="35">
        <v>2.5</v>
      </c>
      <c r="E5" s="31">
        <v>0</v>
      </c>
      <c r="F5" s="31">
        <v>0.5</v>
      </c>
      <c r="G5" s="31">
        <v>0.23529411764705882</v>
      </c>
      <c r="H5" s="31">
        <v>5.8823529411764705E-2</v>
      </c>
      <c r="I5" s="32">
        <v>9650</v>
      </c>
      <c r="J5" s="32">
        <v>-8000</v>
      </c>
      <c r="K5" s="31">
        <v>0</v>
      </c>
      <c r="L5" s="31">
        <v>0.11764705882352941</v>
      </c>
      <c r="M5" s="31">
        <v>0.29411764705882354</v>
      </c>
      <c r="N5" s="31">
        <v>0.5</v>
      </c>
      <c r="O5" s="31">
        <v>0.4</v>
      </c>
      <c r="P5" s="31">
        <v>0.5</v>
      </c>
    </row>
    <row r="6" spans="1:17" x14ac:dyDescent="0.4">
      <c r="A6" s="33">
        <v>3</v>
      </c>
      <c r="B6" s="30">
        <v>-60.5</v>
      </c>
      <c r="C6" s="30">
        <v>-20.166666666666668</v>
      </c>
      <c r="D6" s="35">
        <v>2.6666666666666665</v>
      </c>
      <c r="E6" s="31">
        <v>0</v>
      </c>
      <c r="F6" s="31">
        <v>0.66666666666666663</v>
      </c>
      <c r="G6" s="31">
        <v>0.19047619047619047</v>
      </c>
      <c r="H6" s="31">
        <v>4.7619047619047616E-2</v>
      </c>
      <c r="I6" s="32">
        <v>9650</v>
      </c>
      <c r="J6" s="32">
        <v>-8000</v>
      </c>
      <c r="K6" s="31">
        <v>0.33333333333333331</v>
      </c>
      <c r="L6" s="31">
        <v>9.5238095238095233E-2</v>
      </c>
      <c r="M6" s="31">
        <v>0.33333333333333331</v>
      </c>
      <c r="N6" s="31">
        <v>0.5</v>
      </c>
      <c r="O6" s="31">
        <v>0.2857142857142857</v>
      </c>
      <c r="P6" s="31">
        <v>0.5</v>
      </c>
    </row>
    <row r="7" spans="1:17" x14ac:dyDescent="0.4">
      <c r="A7" s="33">
        <v>4</v>
      </c>
      <c r="B7" s="30">
        <v>-7.8999999999999986</v>
      </c>
      <c r="C7" s="30">
        <v>-1.9749999999999996</v>
      </c>
      <c r="D7" s="35">
        <v>2.25</v>
      </c>
      <c r="E7" s="31">
        <v>0.25</v>
      </c>
      <c r="F7" s="31">
        <v>0.5</v>
      </c>
      <c r="G7" s="31">
        <v>0.33333333333333331</v>
      </c>
      <c r="H7" s="31">
        <v>3.3333333333333333E-2</v>
      </c>
      <c r="I7" s="32">
        <v>7620</v>
      </c>
      <c r="J7" s="32">
        <v>-8000</v>
      </c>
      <c r="K7" s="31">
        <v>0.25</v>
      </c>
      <c r="L7" s="31">
        <v>0.13333333333333333</v>
      </c>
      <c r="M7" s="31">
        <v>0.4</v>
      </c>
      <c r="N7" s="31">
        <v>0.75</v>
      </c>
      <c r="O7" s="31">
        <v>0.33333333333333331</v>
      </c>
      <c r="P7" s="31">
        <v>0.4</v>
      </c>
    </row>
    <row r="8" spans="1:17" x14ac:dyDescent="0.4">
      <c r="A8" s="33">
        <v>5</v>
      </c>
      <c r="B8" s="30">
        <v>-20.7</v>
      </c>
      <c r="C8" s="30">
        <v>-4.1399999999999997</v>
      </c>
      <c r="D8" s="35">
        <v>2.2000000000000002</v>
      </c>
      <c r="E8" s="31">
        <v>0.2</v>
      </c>
      <c r="F8" s="31">
        <v>0.4</v>
      </c>
      <c r="G8" s="31">
        <v>0.27500000000000002</v>
      </c>
      <c r="H8" s="31">
        <v>0.05</v>
      </c>
      <c r="I8" s="32">
        <v>7109.090909090909</v>
      </c>
      <c r="J8" s="32">
        <v>-5000</v>
      </c>
      <c r="K8" s="31">
        <v>0.2</v>
      </c>
      <c r="L8" s="31">
        <v>0.17499999999999999</v>
      </c>
      <c r="M8" s="31">
        <v>0.32500000000000001</v>
      </c>
      <c r="N8" s="31">
        <v>0.5714285714285714</v>
      </c>
      <c r="O8" s="31">
        <v>0.30769230769230771</v>
      </c>
      <c r="P8" s="31">
        <v>0.36363636363636365</v>
      </c>
    </row>
    <row r="9" spans="1:17" x14ac:dyDescent="0.4">
      <c r="A9" s="33">
        <v>6</v>
      </c>
      <c r="B9" s="30">
        <v>7.6000000000000014</v>
      </c>
      <c r="C9" s="30">
        <v>1.2666666666666668</v>
      </c>
      <c r="D9" s="35">
        <v>2</v>
      </c>
      <c r="E9" s="31">
        <v>0.33333333333333331</v>
      </c>
      <c r="F9" s="31">
        <v>0.33333333333333331</v>
      </c>
      <c r="G9" s="31">
        <v>0.30612244897959184</v>
      </c>
      <c r="H9" s="31">
        <v>6.1224489795918366E-2</v>
      </c>
      <c r="I9" s="32">
        <v>7786.666666666667</v>
      </c>
      <c r="J9" s="32">
        <v>-5066.666666666667</v>
      </c>
      <c r="K9" s="31">
        <v>0.16666666666666666</v>
      </c>
      <c r="L9" s="31">
        <v>0.18367346938775511</v>
      </c>
      <c r="M9" s="31">
        <v>0.26530612244897961</v>
      </c>
      <c r="N9" s="31">
        <v>0.66666666666666663</v>
      </c>
      <c r="O9" s="31">
        <v>0.30769230769230771</v>
      </c>
      <c r="P9" s="31">
        <v>0.4</v>
      </c>
    </row>
    <row r="10" spans="1:17" x14ac:dyDescent="0.4">
      <c r="A10" s="33">
        <v>7</v>
      </c>
      <c r="B10" s="30">
        <v>36.5</v>
      </c>
      <c r="C10" s="30">
        <v>5.2142857142857144</v>
      </c>
      <c r="D10" s="35">
        <v>1.8571428571428572</v>
      </c>
      <c r="E10" s="31">
        <v>0.42857142857142855</v>
      </c>
      <c r="F10" s="31">
        <v>0.2857142857142857</v>
      </c>
      <c r="G10" s="31">
        <v>0.32203389830508472</v>
      </c>
      <c r="H10" s="31">
        <v>5.0847457627118647E-2</v>
      </c>
      <c r="I10" s="32">
        <v>8168.4210526315792</v>
      </c>
      <c r="J10" s="32">
        <v>-5066.666666666667</v>
      </c>
      <c r="K10" s="31">
        <v>0.14285714285714285</v>
      </c>
      <c r="L10" s="31">
        <v>0.22033898305084745</v>
      </c>
      <c r="M10" s="31">
        <v>0.25423728813559321</v>
      </c>
      <c r="N10" s="31">
        <v>0.69230769230769229</v>
      </c>
      <c r="O10" s="31">
        <v>0.26666666666666666</v>
      </c>
      <c r="P10" s="31">
        <v>0.31578947368421051</v>
      </c>
    </row>
    <row r="11" spans="1:17" x14ac:dyDescent="0.4">
      <c r="A11" s="33">
        <v>8</v>
      </c>
      <c r="B11" s="30">
        <v>35.9</v>
      </c>
      <c r="C11" s="30">
        <v>4.4874999999999998</v>
      </c>
      <c r="D11" s="35">
        <v>1.875</v>
      </c>
      <c r="E11" s="31">
        <v>0.375</v>
      </c>
      <c r="F11" s="31">
        <v>0.25</v>
      </c>
      <c r="G11" s="31">
        <v>0.30303030303030304</v>
      </c>
      <c r="H11" s="31">
        <v>4.5454545454545456E-2</v>
      </c>
      <c r="I11" s="32">
        <v>8145</v>
      </c>
      <c r="J11" s="32">
        <v>-5066.666666666667</v>
      </c>
      <c r="K11" s="31">
        <v>0.125</v>
      </c>
      <c r="L11" s="31">
        <v>0.22727272727272727</v>
      </c>
      <c r="M11" s="31">
        <v>0.25757575757575757</v>
      </c>
      <c r="N11" s="31">
        <v>0.6</v>
      </c>
      <c r="O11" s="31">
        <v>0.29411764705882354</v>
      </c>
      <c r="P11" s="31">
        <v>0.3</v>
      </c>
    </row>
    <row r="12" spans="1:17" x14ac:dyDescent="0.4">
      <c r="A12" s="33">
        <v>9</v>
      </c>
      <c r="B12" s="30">
        <v>-3.3000000000000043</v>
      </c>
      <c r="C12" s="30">
        <v>-0.36666666666666714</v>
      </c>
      <c r="D12" s="35">
        <v>2</v>
      </c>
      <c r="E12" s="31">
        <v>0.33333333333333331</v>
      </c>
      <c r="F12" s="31">
        <v>0.33333333333333331</v>
      </c>
      <c r="G12" s="31">
        <v>0.2857142857142857</v>
      </c>
      <c r="H12" s="31">
        <v>6.4935064935064929E-2</v>
      </c>
      <c r="I12" s="32">
        <v>7759.090909090909</v>
      </c>
      <c r="J12" s="32">
        <v>-6160</v>
      </c>
      <c r="K12" s="31">
        <v>0.1111111111111111</v>
      </c>
      <c r="L12" s="31">
        <v>0.23376623376623376</v>
      </c>
      <c r="M12" s="31">
        <v>0.27272727272727271</v>
      </c>
      <c r="N12" s="31">
        <v>0.5</v>
      </c>
      <c r="O12" s="31">
        <v>0.33333333333333331</v>
      </c>
      <c r="P12" s="31">
        <v>0.27272727272727271</v>
      </c>
    </row>
    <row r="13" spans="1:17" x14ac:dyDescent="0.4">
      <c r="A13" s="33">
        <v>10</v>
      </c>
      <c r="B13" s="30">
        <v>-0.90000000000000435</v>
      </c>
      <c r="C13" s="30">
        <v>-9.0000000000000441E-2</v>
      </c>
      <c r="D13" s="35">
        <v>2</v>
      </c>
      <c r="E13" s="31">
        <v>0.3</v>
      </c>
      <c r="F13" s="31">
        <v>0.3</v>
      </c>
      <c r="G13" s="31">
        <v>0.28235294117647058</v>
      </c>
      <c r="H13" s="31">
        <v>7.0588235294117646E-2</v>
      </c>
      <c r="I13" s="32">
        <v>7829.166666666667</v>
      </c>
      <c r="J13" s="32">
        <v>-6200</v>
      </c>
      <c r="K13" s="31">
        <v>0.1</v>
      </c>
      <c r="L13" s="31">
        <v>0.25882352941176473</v>
      </c>
      <c r="M13" s="31">
        <v>0.25882352941176473</v>
      </c>
      <c r="N13" s="31">
        <v>0.5</v>
      </c>
      <c r="O13" s="31">
        <v>0.31818181818181818</v>
      </c>
      <c r="P13" s="31">
        <v>0.29166666666666669</v>
      </c>
    </row>
    <row r="14" spans="1:17" x14ac:dyDescent="0.4">
      <c r="A14" s="33">
        <v>11</v>
      </c>
      <c r="B14" s="30">
        <v>-3.4000000000000044</v>
      </c>
      <c r="C14" s="30">
        <v>-0.30909090909090947</v>
      </c>
      <c r="D14" s="35">
        <v>2</v>
      </c>
      <c r="E14" s="31">
        <v>0.27272727272727271</v>
      </c>
      <c r="F14" s="31">
        <v>0.27272727272727271</v>
      </c>
      <c r="G14" s="31">
        <v>0.27368421052631581</v>
      </c>
      <c r="H14" s="31">
        <v>7.3684210526315783E-2</v>
      </c>
      <c r="I14" s="32">
        <v>8611.538461538461</v>
      </c>
      <c r="J14" s="32">
        <v>-7885.7142857142853</v>
      </c>
      <c r="K14" s="31">
        <v>9.0909090909090912E-2</v>
      </c>
      <c r="L14" s="31">
        <v>0.28421052631578947</v>
      </c>
      <c r="M14" s="31">
        <v>0.23157894736842105</v>
      </c>
      <c r="N14" s="31">
        <v>0.44444444444444442</v>
      </c>
      <c r="O14" s="31">
        <v>0.31818181818181818</v>
      </c>
      <c r="P14" s="31">
        <v>0.34615384615384615</v>
      </c>
    </row>
    <row r="15" spans="1:17" x14ac:dyDescent="0.4">
      <c r="A15" s="33">
        <v>12</v>
      </c>
      <c r="B15" s="30">
        <v>-12.700000000000005</v>
      </c>
      <c r="C15" s="30">
        <v>-1.0583333333333338</v>
      </c>
      <c r="D15" s="35">
        <v>2</v>
      </c>
      <c r="E15" s="31">
        <v>0.25</v>
      </c>
      <c r="F15" s="31">
        <v>0.25</v>
      </c>
      <c r="G15" s="31">
        <v>0.27450980392156865</v>
      </c>
      <c r="H15" s="31">
        <v>6.8627450980392163E-2</v>
      </c>
      <c r="I15" s="32">
        <v>8325</v>
      </c>
      <c r="J15" s="32">
        <v>-7885.7142857142853</v>
      </c>
      <c r="K15" s="31">
        <v>8.3333333333333329E-2</v>
      </c>
      <c r="L15" s="31">
        <v>0.26470588235294118</v>
      </c>
      <c r="M15" s="31">
        <v>0.25490196078431371</v>
      </c>
      <c r="N15" s="31">
        <v>0.44444444444444442</v>
      </c>
      <c r="O15" s="31">
        <v>0.34615384615384615</v>
      </c>
      <c r="P15" s="31">
        <v>0.39285714285714285</v>
      </c>
    </row>
    <row r="16" spans="1:17" x14ac:dyDescent="0.4">
      <c r="A16" s="33">
        <v>13</v>
      </c>
      <c r="B16" s="30">
        <v>-58.7</v>
      </c>
      <c r="C16" s="30">
        <v>-4.5153846153846153</v>
      </c>
      <c r="D16" s="35">
        <v>2.0769230769230771</v>
      </c>
      <c r="E16" s="31">
        <v>0.23076923076923078</v>
      </c>
      <c r="F16" s="31">
        <v>0.30769230769230771</v>
      </c>
      <c r="G16" s="31">
        <v>0.26363636363636361</v>
      </c>
      <c r="H16" s="31">
        <v>7.2727272727272724E-2</v>
      </c>
      <c r="I16" s="32">
        <v>8313.7931034482754</v>
      </c>
      <c r="J16" s="32">
        <v>-9150</v>
      </c>
      <c r="K16" s="31">
        <v>0.15384615384615385</v>
      </c>
      <c r="L16" s="31">
        <v>0.27272727272727271</v>
      </c>
      <c r="M16" s="31">
        <v>0.24545454545454545</v>
      </c>
      <c r="N16" s="31">
        <v>0.4</v>
      </c>
      <c r="O16" s="31">
        <v>0.33333333333333331</v>
      </c>
      <c r="P16" s="31">
        <v>0.41379310344827586</v>
      </c>
    </row>
    <row r="17" spans="1:16" x14ac:dyDescent="0.4">
      <c r="A17" s="33">
        <v>14</v>
      </c>
      <c r="B17" s="30">
        <v>-32.700000000000003</v>
      </c>
      <c r="C17" s="30">
        <v>-2.3357142857142859</v>
      </c>
      <c r="D17" s="35">
        <v>2</v>
      </c>
      <c r="E17" s="31">
        <v>0.2857142857142857</v>
      </c>
      <c r="F17" s="31">
        <v>0.2857142857142857</v>
      </c>
      <c r="G17" s="31">
        <v>0.25833333333333336</v>
      </c>
      <c r="H17" s="31">
        <v>6.6666666666666666E-2</v>
      </c>
      <c r="I17" s="32">
        <v>8680.645161290322</v>
      </c>
      <c r="J17" s="32">
        <v>-9150</v>
      </c>
      <c r="K17" s="31">
        <v>0.14285714285714285</v>
      </c>
      <c r="L17" s="31">
        <v>0.29166666666666669</v>
      </c>
      <c r="M17" s="31">
        <v>0.24166666666666667</v>
      </c>
      <c r="N17" s="31">
        <v>0.4</v>
      </c>
      <c r="O17" s="31">
        <v>0.31034482758620691</v>
      </c>
      <c r="P17" s="31">
        <v>0.45161290322580644</v>
      </c>
    </row>
    <row r="18" spans="1:16" x14ac:dyDescent="0.4">
      <c r="A18" s="33">
        <v>15</v>
      </c>
      <c r="B18" s="30">
        <v>10.699999999999996</v>
      </c>
      <c r="C18" s="30">
        <v>0.71333333333333304</v>
      </c>
      <c r="D18" s="35">
        <v>1.9333333333333333</v>
      </c>
      <c r="E18" s="31">
        <v>0.33333333333333331</v>
      </c>
      <c r="F18" s="31">
        <v>0.26666666666666666</v>
      </c>
      <c r="G18" s="31">
        <v>0.26771653543307089</v>
      </c>
      <c r="H18" s="31">
        <v>6.2992125984251968E-2</v>
      </c>
      <c r="I18" s="32">
        <v>8735.2941176470595</v>
      </c>
      <c r="J18" s="32">
        <v>-9150</v>
      </c>
      <c r="K18" s="31">
        <v>0.13333333333333333</v>
      </c>
      <c r="L18" s="31">
        <v>0.27559055118110237</v>
      </c>
      <c r="M18" s="31">
        <v>0.24409448818897639</v>
      </c>
      <c r="N18" s="31">
        <v>0.4</v>
      </c>
      <c r="O18" s="31">
        <v>0.35483870967741937</v>
      </c>
      <c r="P18" s="31">
        <v>0.41176470588235292</v>
      </c>
    </row>
    <row r="19" spans="1:16" x14ac:dyDescent="0.4">
      <c r="A19" s="33">
        <v>16</v>
      </c>
      <c r="B19" s="30">
        <v>-22.000000000000007</v>
      </c>
      <c r="C19" s="30">
        <v>-1.3750000000000004</v>
      </c>
      <c r="D19" s="35">
        <v>2</v>
      </c>
      <c r="E19" s="31">
        <v>0.3125</v>
      </c>
      <c r="F19" s="31">
        <v>0.3125</v>
      </c>
      <c r="G19" s="31">
        <v>0.27205882352941174</v>
      </c>
      <c r="H19" s="31">
        <v>7.3529411764705885E-2</v>
      </c>
      <c r="I19" s="32">
        <v>8529.72972972973</v>
      </c>
      <c r="J19" s="32">
        <v>-10520</v>
      </c>
      <c r="K19" s="31">
        <v>0.125</v>
      </c>
      <c r="L19" s="31">
        <v>0.27941176470588236</v>
      </c>
      <c r="M19" s="31">
        <v>0.25</v>
      </c>
      <c r="N19" s="31">
        <v>0.42105263157894735</v>
      </c>
      <c r="O19" s="31">
        <v>0.35294117647058826</v>
      </c>
      <c r="P19" s="31">
        <v>0.43243243243243246</v>
      </c>
    </row>
    <row r="20" spans="1:16" x14ac:dyDescent="0.4">
      <c r="A20" s="33">
        <v>17</v>
      </c>
      <c r="B20" s="30">
        <v>-44.800000000000011</v>
      </c>
      <c r="C20" s="30">
        <v>-2.6352941176470597</v>
      </c>
      <c r="D20" s="35">
        <v>2.0588235294117645</v>
      </c>
      <c r="E20" s="31">
        <v>0.29411764705882354</v>
      </c>
      <c r="F20" s="31">
        <v>0.35294117647058826</v>
      </c>
      <c r="G20" s="31">
        <v>0.27464788732394368</v>
      </c>
      <c r="H20" s="31">
        <v>8.4507042253521125E-2</v>
      </c>
      <c r="I20" s="32">
        <v>8276.9230769230762</v>
      </c>
      <c r="J20" s="32">
        <v>-10100</v>
      </c>
      <c r="K20" s="31">
        <v>0.11764705882352941</v>
      </c>
      <c r="L20" s="31">
        <v>0.28873239436619719</v>
      </c>
      <c r="M20" s="31">
        <v>0.23943661971830985</v>
      </c>
      <c r="N20" s="31">
        <v>0.43902439024390244</v>
      </c>
      <c r="O20" s="31">
        <v>0.35294117647058826</v>
      </c>
      <c r="P20" s="31">
        <v>0.4358974358974359</v>
      </c>
    </row>
    <row r="21" spans="1:16" x14ac:dyDescent="0.4">
      <c r="A21" s="33">
        <v>18</v>
      </c>
      <c r="B21" s="30">
        <v>-41.600000000000009</v>
      </c>
      <c r="C21" s="30">
        <v>-2.3111111111111118</v>
      </c>
      <c r="D21" s="35">
        <v>2.0555555555555554</v>
      </c>
      <c r="E21" s="31">
        <v>0.27777777777777779</v>
      </c>
      <c r="F21" s="31">
        <v>0.33333333333333331</v>
      </c>
      <c r="G21" s="31">
        <v>0.28000000000000003</v>
      </c>
      <c r="H21" s="31">
        <v>0.11333333333333333</v>
      </c>
      <c r="I21" s="32">
        <v>8535.7142857142862</v>
      </c>
      <c r="J21" s="32">
        <v>-9217.6470588235297</v>
      </c>
      <c r="K21" s="31">
        <v>0.1111111111111111</v>
      </c>
      <c r="L21" s="31">
        <v>0.28666666666666668</v>
      </c>
      <c r="M21" s="31">
        <v>0.22666666666666666</v>
      </c>
      <c r="N21" s="31">
        <v>0.46511627906976744</v>
      </c>
      <c r="O21" s="31">
        <v>0.35294117647058826</v>
      </c>
      <c r="P21" s="31">
        <v>0.45238095238095238</v>
      </c>
    </row>
    <row r="22" spans="1:16" x14ac:dyDescent="0.4">
      <c r="A22" s="33">
        <v>19</v>
      </c>
      <c r="B22" s="30">
        <v>-91.200000000000017</v>
      </c>
      <c r="C22" s="30">
        <v>-4.8000000000000007</v>
      </c>
      <c r="D22" s="35">
        <v>2.1052631578947367</v>
      </c>
      <c r="E22" s="31">
        <v>0.26315789473684209</v>
      </c>
      <c r="F22" s="31">
        <v>0.36842105263157893</v>
      </c>
      <c r="G22" s="31">
        <v>0.27500000000000002</v>
      </c>
      <c r="H22" s="31">
        <v>0.11874999999999999</v>
      </c>
      <c r="I22" s="32">
        <v>8511.363636363636</v>
      </c>
      <c r="J22" s="32">
        <v>-9510.5263157894733</v>
      </c>
      <c r="K22" s="31">
        <v>0.10526315789473684</v>
      </c>
      <c r="L22" s="31">
        <v>0.27500000000000002</v>
      </c>
      <c r="M22" s="31">
        <v>0.23749999999999999</v>
      </c>
      <c r="N22" s="31">
        <v>0.45454545454545453</v>
      </c>
      <c r="O22" s="31">
        <v>0.36842105263157893</v>
      </c>
      <c r="P22" s="31">
        <v>0.45454545454545453</v>
      </c>
    </row>
    <row r="23" spans="1:16" x14ac:dyDescent="0.4">
      <c r="A23" s="33">
        <v>20</v>
      </c>
      <c r="B23" s="30">
        <v>-149.30000000000001</v>
      </c>
      <c r="C23" s="30">
        <v>-7.4650000000000007</v>
      </c>
      <c r="D23" s="35">
        <v>2.15</v>
      </c>
      <c r="E23" s="31">
        <v>0.25</v>
      </c>
      <c r="F23" s="31">
        <v>0.4</v>
      </c>
      <c r="G23" s="31">
        <v>0.26190476190476192</v>
      </c>
      <c r="H23" s="31">
        <v>0.125</v>
      </c>
      <c r="I23" s="32">
        <v>8511.363636363636</v>
      </c>
      <c r="J23" s="32">
        <v>-9171.4285714285706</v>
      </c>
      <c r="K23" s="31">
        <v>0.15</v>
      </c>
      <c r="L23" s="31">
        <v>0.27380952380952384</v>
      </c>
      <c r="M23" s="31">
        <v>0.23214285714285715</v>
      </c>
      <c r="N23" s="31">
        <v>0.43478260869565216</v>
      </c>
      <c r="O23" s="31">
        <v>0.35897435897435898</v>
      </c>
      <c r="P23" s="31">
        <v>0.45454545454545453</v>
      </c>
    </row>
    <row r="24" spans="1:16" x14ac:dyDescent="0.4">
      <c r="A24" s="33">
        <v>21</v>
      </c>
      <c r="B24" s="30">
        <v>-180.3</v>
      </c>
      <c r="C24" s="30">
        <v>-8.5857142857142854</v>
      </c>
      <c r="D24" s="35">
        <v>2.1904761904761907</v>
      </c>
      <c r="E24" s="31">
        <v>0.23809523809523808</v>
      </c>
      <c r="F24" s="31">
        <v>0.42857142857142855</v>
      </c>
      <c r="G24" s="31">
        <v>0.25555555555555554</v>
      </c>
      <c r="H24" s="31">
        <v>0.11666666666666667</v>
      </c>
      <c r="I24" s="32">
        <v>8230.434782608696</v>
      </c>
      <c r="J24" s="32">
        <v>-9171.4285714285706</v>
      </c>
      <c r="K24" s="31">
        <v>0.14285714285714285</v>
      </c>
      <c r="L24" s="31">
        <v>0.26111111111111113</v>
      </c>
      <c r="M24" s="31">
        <v>0.22777777777777777</v>
      </c>
      <c r="N24" s="31">
        <v>0.44680851063829785</v>
      </c>
      <c r="O24" s="31">
        <v>0.36585365853658536</v>
      </c>
      <c r="P24" s="31">
        <v>0.43478260869565216</v>
      </c>
    </row>
    <row r="25" spans="1:16" x14ac:dyDescent="0.4">
      <c r="A25" s="33">
        <v>22</v>
      </c>
      <c r="B25" s="30">
        <v>-180.3</v>
      </c>
      <c r="C25" s="30">
        <v>-8.1954545454545453</v>
      </c>
      <c r="D25" s="35">
        <v>2.1363636363636362</v>
      </c>
      <c r="E25" s="31">
        <v>0.27272727272727271</v>
      </c>
      <c r="F25" s="31">
        <v>0.40909090909090912</v>
      </c>
      <c r="G25" s="31">
        <v>0.25555555555555554</v>
      </c>
      <c r="H25" s="31">
        <v>0.11666666666666667</v>
      </c>
      <c r="I25" s="32">
        <v>8230.434782608696</v>
      </c>
      <c r="J25" s="32">
        <v>-9171.4285714285706</v>
      </c>
      <c r="K25" s="31">
        <v>0.13636363636363635</v>
      </c>
      <c r="L25" s="31">
        <v>0.26111111111111113</v>
      </c>
      <c r="M25" s="31">
        <v>0.22777777777777777</v>
      </c>
      <c r="N25" s="31">
        <v>0.44680851063829785</v>
      </c>
      <c r="O25" s="31">
        <v>0.36585365853658536</v>
      </c>
      <c r="P25" s="31">
        <v>0.43478260869565216</v>
      </c>
    </row>
    <row r="26" spans="1:16" x14ac:dyDescent="0.4">
      <c r="A26" s="33">
        <v>23</v>
      </c>
      <c r="B26" s="30">
        <v>-202.5</v>
      </c>
      <c r="C26" s="30">
        <v>-8.804347826086957</v>
      </c>
      <c r="D26" s="35">
        <v>2.1304347826086958</v>
      </c>
      <c r="E26" s="31">
        <v>0.2608695652173913</v>
      </c>
      <c r="F26" s="31">
        <v>0.39130434782608697</v>
      </c>
      <c r="G26" s="31">
        <v>0.25906735751295334</v>
      </c>
      <c r="H26" s="31">
        <v>0.12953367875647667</v>
      </c>
      <c r="I26" s="32">
        <v>8140</v>
      </c>
      <c r="J26" s="32">
        <v>-8452</v>
      </c>
      <c r="K26" s="31">
        <v>0.13043478260869565</v>
      </c>
      <c r="L26" s="31">
        <v>0.25388601036269431</v>
      </c>
      <c r="M26" s="31">
        <v>0.22279792746113988</v>
      </c>
      <c r="N26" s="31">
        <v>0.46938775510204084</v>
      </c>
      <c r="O26" s="31">
        <v>0.37209302325581395</v>
      </c>
      <c r="P26" s="31">
        <v>0.44</v>
      </c>
    </row>
    <row r="27" spans="1:16" x14ac:dyDescent="0.4">
      <c r="A27" s="33">
        <v>24</v>
      </c>
      <c r="B27" s="30">
        <v>-239.5</v>
      </c>
      <c r="C27" s="30">
        <v>-9.9791666666666661</v>
      </c>
      <c r="D27" s="35">
        <v>2.1666666666666665</v>
      </c>
      <c r="E27" s="31">
        <v>0.25</v>
      </c>
      <c r="F27" s="31">
        <v>0.41666666666666669</v>
      </c>
      <c r="G27" s="31">
        <v>0.26108374384236455</v>
      </c>
      <c r="H27" s="31">
        <v>0.14778325123152711</v>
      </c>
      <c r="I27" s="32">
        <v>8147.1698113207549</v>
      </c>
      <c r="J27" s="32">
        <v>-7870</v>
      </c>
      <c r="K27" s="31">
        <v>0.125</v>
      </c>
      <c r="L27" s="31">
        <v>0.24630541871921183</v>
      </c>
      <c r="M27" s="31">
        <v>0.23152709359605911</v>
      </c>
      <c r="N27" s="31">
        <v>0.48</v>
      </c>
      <c r="O27" s="31">
        <v>0.36170212765957449</v>
      </c>
      <c r="P27" s="31">
        <v>0.41509433962264153</v>
      </c>
    </row>
    <row r="28" spans="1:16" x14ac:dyDescent="0.4">
      <c r="A28" s="33">
        <v>25</v>
      </c>
      <c r="B28" s="30">
        <v>-242.5</v>
      </c>
      <c r="C28" s="30">
        <v>-9.6999999999999993</v>
      </c>
      <c r="D28" s="35">
        <v>2.16</v>
      </c>
      <c r="E28" s="31">
        <v>0.24</v>
      </c>
      <c r="F28" s="31">
        <v>0.4</v>
      </c>
      <c r="G28" s="31">
        <v>0.26442307692307693</v>
      </c>
      <c r="H28" s="31">
        <v>0.15384615384615385</v>
      </c>
      <c r="I28" s="32">
        <v>8209.0909090909099</v>
      </c>
      <c r="J28" s="32">
        <v>-7868.75</v>
      </c>
      <c r="K28" s="31">
        <v>0.12</v>
      </c>
      <c r="L28" s="31">
        <v>0.25</v>
      </c>
      <c r="M28" s="31">
        <v>0.22596153846153846</v>
      </c>
      <c r="N28" s="31">
        <v>0.5</v>
      </c>
      <c r="O28" s="31">
        <v>0.36170212765957449</v>
      </c>
      <c r="P28" s="31">
        <v>0.41818181818181815</v>
      </c>
    </row>
    <row r="29" spans="1:16" x14ac:dyDescent="0.4">
      <c r="A29" s="33">
        <v>26</v>
      </c>
      <c r="B29" s="30">
        <v>-278.5</v>
      </c>
      <c r="C29" s="30">
        <v>-10.711538461538462</v>
      </c>
      <c r="D29" s="35">
        <v>2.1923076923076925</v>
      </c>
      <c r="E29" s="31">
        <v>0.23076923076923078</v>
      </c>
      <c r="F29" s="31">
        <v>0.42307692307692307</v>
      </c>
      <c r="G29" s="31">
        <v>0.2558139534883721</v>
      </c>
      <c r="H29" s="31">
        <v>0.15813953488372093</v>
      </c>
      <c r="I29" s="32">
        <v>8209.0909090909099</v>
      </c>
      <c r="J29" s="32">
        <v>-7726.4705882352937</v>
      </c>
      <c r="K29" s="31">
        <v>0.11538461538461539</v>
      </c>
      <c r="L29" s="31">
        <v>0.24186046511627907</v>
      </c>
      <c r="M29" s="31">
        <v>0.22790697674418606</v>
      </c>
      <c r="N29" s="31">
        <v>0.5</v>
      </c>
      <c r="O29" s="31">
        <v>0.34693877551020408</v>
      </c>
      <c r="P29" s="31">
        <v>0.41818181818181815</v>
      </c>
    </row>
    <row r="30" spans="1:16" x14ac:dyDescent="0.4">
      <c r="A30" s="33">
        <v>27</v>
      </c>
      <c r="B30" s="30">
        <v>-202</v>
      </c>
      <c r="C30" s="30">
        <v>-7.4814814814814818</v>
      </c>
      <c r="D30" s="35">
        <v>2.1481481481481484</v>
      </c>
      <c r="E30" s="31">
        <v>0.25925925925925924</v>
      </c>
      <c r="F30" s="31">
        <v>0.40740740740740738</v>
      </c>
      <c r="G30" s="31">
        <v>0.26754385964912281</v>
      </c>
      <c r="H30" s="31">
        <v>0.15789473684210525</v>
      </c>
      <c r="I30" s="32">
        <v>8277.0491803278692</v>
      </c>
      <c r="J30" s="32">
        <v>-7627.7777777777774</v>
      </c>
      <c r="K30" s="31">
        <v>0.1111111111111111</v>
      </c>
      <c r="L30" s="31">
        <v>0.23245614035087719</v>
      </c>
      <c r="M30" s="31">
        <v>0.23684210526315788</v>
      </c>
      <c r="N30" s="31">
        <v>0.49056603773584906</v>
      </c>
      <c r="O30" s="31">
        <v>0.37037037037037035</v>
      </c>
      <c r="P30" s="31">
        <v>0.4098360655737705</v>
      </c>
    </row>
    <row r="31" spans="1:16" x14ac:dyDescent="0.4">
      <c r="A31" s="33">
        <v>28</v>
      </c>
      <c r="B31" s="30">
        <v>-208.1</v>
      </c>
      <c r="C31" s="30">
        <v>-7.4321428571428569</v>
      </c>
      <c r="D31" s="35">
        <v>2.1428571428571428</v>
      </c>
      <c r="E31" s="31">
        <v>0.25</v>
      </c>
      <c r="F31" s="31">
        <v>0.39285714285714285</v>
      </c>
      <c r="G31" s="31">
        <v>0.26582278481012656</v>
      </c>
      <c r="H31" s="31">
        <v>0.16455696202531644</v>
      </c>
      <c r="I31" s="32">
        <v>8200</v>
      </c>
      <c r="J31" s="32">
        <v>-7528.2051282051279</v>
      </c>
      <c r="K31" s="31">
        <v>0.10714285714285714</v>
      </c>
      <c r="L31" s="31">
        <v>0.22784810126582278</v>
      </c>
      <c r="M31" s="31">
        <v>0.23628691983122363</v>
      </c>
      <c r="N31" s="31">
        <v>0.5</v>
      </c>
      <c r="O31" s="31">
        <v>0.375</v>
      </c>
      <c r="P31" s="31">
        <v>0.42857142857142855</v>
      </c>
    </row>
    <row r="32" spans="1:16" x14ac:dyDescent="0.4">
      <c r="A32" s="33">
        <v>29</v>
      </c>
      <c r="B32" s="30">
        <v>-256.8</v>
      </c>
      <c r="C32" s="30">
        <v>-8.8551724137931043</v>
      </c>
      <c r="D32" s="35">
        <v>2.1379310344827585</v>
      </c>
      <c r="E32" s="31">
        <v>0.2413793103448276</v>
      </c>
      <c r="F32" s="31">
        <v>0.37931034482758619</v>
      </c>
      <c r="G32" s="31">
        <v>0.26209677419354838</v>
      </c>
      <c r="H32" s="31">
        <v>0.16532258064516128</v>
      </c>
      <c r="I32" s="32">
        <v>8193.8461538461543</v>
      </c>
      <c r="J32" s="32">
        <v>-7641.4634146341459</v>
      </c>
      <c r="K32" s="31">
        <v>0.13793103448275862</v>
      </c>
      <c r="L32" s="31">
        <v>0.22983870967741934</v>
      </c>
      <c r="M32" s="31">
        <v>0.22983870967741934</v>
      </c>
      <c r="N32" s="31">
        <v>0.50877192982456143</v>
      </c>
      <c r="O32" s="31">
        <v>0.36842105263157893</v>
      </c>
      <c r="P32" s="31">
        <v>0.44615384615384618</v>
      </c>
    </row>
    <row r="33" spans="1:16" x14ac:dyDescent="0.4">
      <c r="A33" s="33">
        <v>30</v>
      </c>
      <c r="B33" s="30">
        <v>-312.90000000000003</v>
      </c>
      <c r="C33" s="30">
        <v>-10.430000000000001</v>
      </c>
      <c r="D33" s="35">
        <v>2.1666666666666665</v>
      </c>
      <c r="E33" s="31">
        <v>0.23333333333333334</v>
      </c>
      <c r="F33" s="31">
        <v>0.4</v>
      </c>
      <c r="G33" s="31">
        <v>0.25691699604743085</v>
      </c>
      <c r="H33" s="31">
        <v>0.16600790513833993</v>
      </c>
      <c r="I33" s="32">
        <v>8193.8461538461543</v>
      </c>
      <c r="J33" s="32">
        <v>-7745.2380952380954</v>
      </c>
      <c r="K33" s="31">
        <v>0.16666666666666666</v>
      </c>
      <c r="L33" s="31">
        <v>0.22529644268774704</v>
      </c>
      <c r="M33" s="31">
        <v>0.22529644268774704</v>
      </c>
      <c r="N33" s="31">
        <v>0.50877192982456143</v>
      </c>
      <c r="O33" s="31">
        <v>0.36842105263157893</v>
      </c>
      <c r="P33" s="31">
        <v>0.44615384615384618</v>
      </c>
    </row>
    <row r="34" spans="1:16" x14ac:dyDescent="0.4">
      <c r="A34" s="33">
        <v>31</v>
      </c>
      <c r="B34" s="30">
        <v>-284.60000000000002</v>
      </c>
      <c r="C34" s="30">
        <v>-9.1806451612903235</v>
      </c>
      <c r="D34" s="35">
        <v>2.129032258064516</v>
      </c>
      <c r="E34" s="31">
        <v>0.25806451612903225</v>
      </c>
      <c r="F34" s="31">
        <v>0.38709677419354838</v>
      </c>
      <c r="G34" s="31">
        <v>0.26053639846743293</v>
      </c>
      <c r="H34" s="31">
        <v>0.17241379310344829</v>
      </c>
      <c r="I34" s="32">
        <v>8133.8235294117649</v>
      </c>
      <c r="J34" s="32">
        <v>-7488.8888888888887</v>
      </c>
      <c r="K34" s="31">
        <v>0.16129032258064516</v>
      </c>
      <c r="L34" s="31">
        <v>0.22988505747126436</v>
      </c>
      <c r="M34" s="31">
        <v>0.21839080459770116</v>
      </c>
      <c r="N34" s="31">
        <v>0.51666666666666672</v>
      </c>
      <c r="O34" s="31">
        <v>0.36842105263157893</v>
      </c>
      <c r="P34" s="31">
        <v>0.45588235294117646</v>
      </c>
    </row>
    <row r="35" spans="1:16" x14ac:dyDescent="0.4">
      <c r="A35" s="33">
        <v>32</v>
      </c>
      <c r="B35" s="30">
        <v>-296.60000000000002</v>
      </c>
      <c r="C35" s="30">
        <v>-9.2687500000000007</v>
      </c>
      <c r="D35" s="35">
        <v>2.125</v>
      </c>
      <c r="E35" s="31">
        <v>0.25</v>
      </c>
      <c r="F35" s="31">
        <v>0.375</v>
      </c>
      <c r="G35" s="31">
        <v>0.2537313432835821</v>
      </c>
      <c r="H35" s="31">
        <v>0.16791044776119404</v>
      </c>
      <c r="I35" s="32">
        <v>8133.8235294117649</v>
      </c>
      <c r="J35" s="32">
        <v>-7488.8888888888887</v>
      </c>
      <c r="K35" s="31">
        <v>0.15625</v>
      </c>
      <c r="L35" s="31">
        <v>0.22761194029850745</v>
      </c>
      <c r="M35" s="31">
        <v>0.21268656716417911</v>
      </c>
      <c r="N35" s="31">
        <v>0.50819672131147542</v>
      </c>
      <c r="O35" s="31">
        <v>0.36842105263157893</v>
      </c>
      <c r="P35" s="31">
        <v>0.45588235294117646</v>
      </c>
    </row>
    <row r="36" spans="1:16" x14ac:dyDescent="0.4">
      <c r="A36" s="33">
        <v>33</v>
      </c>
      <c r="B36" s="30">
        <v>-331.20000000000005</v>
      </c>
      <c r="C36" s="30">
        <v>-10.036363636363637</v>
      </c>
      <c r="D36" s="35">
        <v>2.1515151515151514</v>
      </c>
      <c r="E36" s="31">
        <v>0.24242424242424243</v>
      </c>
      <c r="F36" s="31">
        <v>0.39393939393939392</v>
      </c>
      <c r="G36" s="31">
        <v>0.25270758122743681</v>
      </c>
      <c r="H36" s="31">
        <v>0.16967509025270758</v>
      </c>
      <c r="I36" s="32">
        <v>8187.1428571428569</v>
      </c>
      <c r="J36" s="32">
        <v>-7736.1702127659573</v>
      </c>
      <c r="K36" s="31">
        <v>0.15151515151515152</v>
      </c>
      <c r="L36" s="31">
        <v>0.23104693140794225</v>
      </c>
      <c r="M36" s="31">
        <v>0.20577617328519857</v>
      </c>
      <c r="N36" s="31">
        <v>0.515625</v>
      </c>
      <c r="O36" s="31">
        <v>0.36842105263157893</v>
      </c>
      <c r="P36" s="31">
        <v>0.44285714285714284</v>
      </c>
    </row>
    <row r="37" spans="1:16" x14ac:dyDescent="0.4">
      <c r="A37" s="33">
        <v>34</v>
      </c>
      <c r="B37" s="30">
        <v>-250.00000000000006</v>
      </c>
      <c r="C37" s="30">
        <v>-7.3529411764705896</v>
      </c>
      <c r="D37" s="35">
        <v>2.1176470588235294</v>
      </c>
      <c r="E37" s="31">
        <v>0.26470588235294118</v>
      </c>
      <c r="F37" s="31">
        <v>0.38235294117647056</v>
      </c>
      <c r="G37" s="31">
        <v>0.2597864768683274</v>
      </c>
      <c r="H37" s="31">
        <v>0.16725978647686832</v>
      </c>
      <c r="I37" s="32">
        <v>8600</v>
      </c>
      <c r="J37" s="32">
        <v>-7736.1702127659573</v>
      </c>
      <c r="K37" s="31">
        <v>0.14705882352941177</v>
      </c>
      <c r="L37" s="31">
        <v>0.23487544483985764</v>
      </c>
      <c r="M37" s="31">
        <v>0.20640569395017794</v>
      </c>
      <c r="N37" s="31">
        <v>0.53030303030303028</v>
      </c>
      <c r="O37" s="31">
        <v>0.37931034482758619</v>
      </c>
      <c r="P37" s="31">
        <v>0.43835616438356162</v>
      </c>
    </row>
    <row r="38" spans="1:16" x14ac:dyDescent="0.4">
      <c r="A38" s="33">
        <v>35</v>
      </c>
      <c r="B38" s="30">
        <v>-295.20000000000005</v>
      </c>
      <c r="C38" s="30">
        <v>-8.4342857142857159</v>
      </c>
      <c r="D38" s="35">
        <v>2.1428571428571428</v>
      </c>
      <c r="E38" s="31">
        <v>0.25714285714285712</v>
      </c>
      <c r="F38" s="31">
        <v>0.4</v>
      </c>
      <c r="G38" s="31">
        <v>0.25429553264604809</v>
      </c>
      <c r="H38" s="31">
        <v>0.16494845360824742</v>
      </c>
      <c r="I38" s="32">
        <v>8591.8918918918916</v>
      </c>
      <c r="J38" s="32">
        <v>-7825</v>
      </c>
      <c r="K38" s="31">
        <v>0.14285714285714285</v>
      </c>
      <c r="L38" s="31">
        <v>0.23024054982817868</v>
      </c>
      <c r="M38" s="31">
        <v>0.21305841924398625</v>
      </c>
      <c r="N38" s="31">
        <v>0.52238805970149249</v>
      </c>
      <c r="O38" s="31">
        <v>0.37096774193548387</v>
      </c>
      <c r="P38" s="31">
        <v>0.43243243243243246</v>
      </c>
    </row>
    <row r="39" spans="1:16" x14ac:dyDescent="0.4">
      <c r="A39" s="33">
        <v>36</v>
      </c>
      <c r="B39" s="30">
        <v>-345.20000000000005</v>
      </c>
      <c r="C39" s="30">
        <v>-9.5888888888888903</v>
      </c>
      <c r="D39" s="35">
        <v>2.1666666666666665</v>
      </c>
      <c r="E39" s="31">
        <v>0.25</v>
      </c>
      <c r="F39" s="31">
        <v>0.41666666666666669</v>
      </c>
      <c r="G39" s="31">
        <v>0.25167785234899331</v>
      </c>
      <c r="H39" s="31">
        <v>0.16778523489932887</v>
      </c>
      <c r="I39" s="32">
        <v>8562.6666666666661</v>
      </c>
      <c r="J39" s="32">
        <v>-8044</v>
      </c>
      <c r="K39" s="31">
        <v>0.1388888888888889</v>
      </c>
      <c r="L39" s="31">
        <v>0.22818791946308725</v>
      </c>
      <c r="M39" s="31">
        <v>0.20805369127516779</v>
      </c>
      <c r="N39" s="31">
        <v>0.51470588235294112</v>
      </c>
      <c r="O39" s="31">
        <v>0.37096774193548387</v>
      </c>
      <c r="P39" s="31">
        <v>0.42666666666666669</v>
      </c>
    </row>
    <row r="40" spans="1:16" x14ac:dyDescent="0.4">
      <c r="A40" s="33">
        <v>37</v>
      </c>
      <c r="B40" s="30">
        <v>-339.40000000000003</v>
      </c>
      <c r="C40" s="30">
        <v>-9.1729729729729748</v>
      </c>
      <c r="D40" s="35">
        <v>2.1621621621621623</v>
      </c>
      <c r="E40" s="31">
        <v>0.24324324324324326</v>
      </c>
      <c r="F40" s="31">
        <v>0.40540540540540543</v>
      </c>
      <c r="G40" s="31">
        <v>0.25163398692810457</v>
      </c>
      <c r="H40" s="31">
        <v>0.16339869281045752</v>
      </c>
      <c r="I40" s="32">
        <v>8512.9870129870123</v>
      </c>
      <c r="J40" s="32">
        <v>-8044</v>
      </c>
      <c r="K40" s="31">
        <v>0.13513513513513514</v>
      </c>
      <c r="L40" s="31">
        <v>0.22875816993464052</v>
      </c>
      <c r="M40" s="31">
        <v>0.20261437908496732</v>
      </c>
      <c r="N40" s="31">
        <v>0.51428571428571423</v>
      </c>
      <c r="O40" s="31">
        <v>0.37096774193548387</v>
      </c>
      <c r="P40" s="31">
        <v>0.44155844155844154</v>
      </c>
    </row>
    <row r="41" spans="1:16" x14ac:dyDescent="0.4">
      <c r="A41" s="33">
        <v>38</v>
      </c>
      <c r="B41" s="30">
        <v>-346.20000000000005</v>
      </c>
      <c r="C41" s="30">
        <v>-9.1105263157894747</v>
      </c>
      <c r="D41" s="35">
        <v>2.1578947368421053</v>
      </c>
      <c r="E41" s="31">
        <v>0.23684210526315788</v>
      </c>
      <c r="F41" s="31">
        <v>0.39473684210526316</v>
      </c>
      <c r="G41" s="31">
        <v>0.25396825396825395</v>
      </c>
      <c r="H41" s="31">
        <v>0.16507936507936508</v>
      </c>
      <c r="I41" s="32">
        <v>8563.75</v>
      </c>
      <c r="J41" s="32">
        <v>-8030.7692307692305</v>
      </c>
      <c r="K41" s="31">
        <v>0.13157894736842105</v>
      </c>
      <c r="L41" s="31">
        <v>0.22857142857142856</v>
      </c>
      <c r="M41" s="31">
        <v>0.20317460317460317</v>
      </c>
      <c r="N41" s="31">
        <v>0.52777777777777779</v>
      </c>
      <c r="O41" s="31">
        <v>0.375</v>
      </c>
      <c r="P41" s="31">
        <v>0.45</v>
      </c>
    </row>
    <row r="42" spans="1:16" x14ac:dyDescent="0.4">
      <c r="A42" s="33">
        <v>39</v>
      </c>
      <c r="B42" s="30">
        <v>-299.50000000000006</v>
      </c>
      <c r="C42" s="30">
        <v>-7.6794871794871806</v>
      </c>
      <c r="D42" s="35">
        <v>2.1282051282051282</v>
      </c>
      <c r="E42" s="31">
        <v>0.25641025641025639</v>
      </c>
      <c r="F42" s="31">
        <v>0.38461538461538464</v>
      </c>
      <c r="G42" s="31">
        <v>0.25696594427244585</v>
      </c>
      <c r="H42" s="31">
        <v>0.16408668730650156</v>
      </c>
      <c r="I42" s="32">
        <v>8636.1445783132531</v>
      </c>
      <c r="J42" s="32">
        <v>-7916.9811320754716</v>
      </c>
      <c r="K42" s="31">
        <v>0.12820512820512819</v>
      </c>
      <c r="L42" s="31">
        <v>0.22910216718266255</v>
      </c>
      <c r="M42" s="31">
        <v>0.20123839009287925</v>
      </c>
      <c r="N42" s="31">
        <v>0.52702702702702697</v>
      </c>
      <c r="O42" s="31">
        <v>0.38461538461538464</v>
      </c>
      <c r="P42" s="31">
        <v>0.46987951807228917</v>
      </c>
    </row>
    <row r="43" spans="1:16" x14ac:dyDescent="0.4">
      <c r="A43" s="33">
        <v>40</v>
      </c>
      <c r="B43" s="30">
        <v>-302.20000000000005</v>
      </c>
      <c r="C43" s="30">
        <v>-7.5550000000000015</v>
      </c>
      <c r="D43" s="35">
        <v>2.125</v>
      </c>
      <c r="E43" s="31">
        <v>0.25</v>
      </c>
      <c r="F43" s="31">
        <v>0.375</v>
      </c>
      <c r="G43" s="31">
        <v>0.25679758308157102</v>
      </c>
      <c r="H43" s="31">
        <v>0.16616314199395771</v>
      </c>
      <c r="I43" s="32">
        <v>8690.5882352941171</v>
      </c>
      <c r="J43" s="32">
        <v>-7978.181818181818</v>
      </c>
      <c r="K43" s="31">
        <v>0.125</v>
      </c>
      <c r="L43" s="31">
        <v>0.22658610271903323</v>
      </c>
      <c r="M43" s="31">
        <v>0.20543806646525681</v>
      </c>
      <c r="N43" s="31">
        <v>0.53333333333333333</v>
      </c>
      <c r="O43" s="31">
        <v>0.38235294117647056</v>
      </c>
      <c r="P43" s="31">
        <v>0.47058823529411764</v>
      </c>
    </row>
    <row r="44" spans="1:16" x14ac:dyDescent="0.4">
      <c r="A44" s="33">
        <v>41</v>
      </c>
      <c r="B44" s="30">
        <v>-312.90000000000003</v>
      </c>
      <c r="C44" s="30">
        <v>-7.6317073170731717</v>
      </c>
      <c r="D44" s="35">
        <v>2.1219512195121952</v>
      </c>
      <c r="E44" s="31">
        <v>0.24390243902439024</v>
      </c>
      <c r="F44" s="31">
        <v>0.36585365853658536</v>
      </c>
      <c r="G44" s="31">
        <v>0.25443786982248523</v>
      </c>
      <c r="H44" s="31">
        <v>0.17159763313609466</v>
      </c>
      <c r="I44" s="32">
        <v>8682.5581395348836</v>
      </c>
      <c r="J44" s="32">
        <v>-7767.2413793103451</v>
      </c>
      <c r="K44" s="31">
        <v>0.12195121951219512</v>
      </c>
      <c r="L44" s="31">
        <v>0.22485207100591717</v>
      </c>
      <c r="M44" s="31">
        <v>0.20414201183431951</v>
      </c>
      <c r="N44" s="31">
        <v>0.52631578947368418</v>
      </c>
      <c r="O44" s="31">
        <v>0.39130434782608697</v>
      </c>
      <c r="P44" s="31">
        <v>0.46511627906976744</v>
      </c>
    </row>
    <row r="45" spans="1:16" x14ac:dyDescent="0.4">
      <c r="A45" s="33">
        <v>42</v>
      </c>
      <c r="B45" s="30">
        <v>-324.00000000000006</v>
      </c>
      <c r="C45" s="30">
        <v>-7.7142857142857153</v>
      </c>
      <c r="D45" s="35">
        <v>2.1190476190476191</v>
      </c>
      <c r="E45" s="31">
        <v>0.23809523809523808</v>
      </c>
      <c r="F45" s="31">
        <v>0.35714285714285715</v>
      </c>
      <c r="G45" s="31">
        <v>0.25433526011560692</v>
      </c>
      <c r="H45" s="31">
        <v>0.16763005780346821</v>
      </c>
      <c r="I45" s="32">
        <v>8578.4090909090901</v>
      </c>
      <c r="J45" s="32">
        <v>-7767.2413793103451</v>
      </c>
      <c r="K45" s="31">
        <v>0.11904761904761904</v>
      </c>
      <c r="L45" s="31">
        <v>0.22832369942196531</v>
      </c>
      <c r="M45" s="31">
        <v>0.19942196531791909</v>
      </c>
      <c r="N45" s="31">
        <v>0.53164556962025311</v>
      </c>
      <c r="O45" s="31">
        <v>0.39130434782608697</v>
      </c>
      <c r="P45" s="31">
        <v>0.46590909090909088</v>
      </c>
    </row>
    <row r="46" spans="1:16" x14ac:dyDescent="0.4">
      <c r="A46" s="33">
        <v>43</v>
      </c>
      <c r="B46" s="30">
        <v>-314.40000000000003</v>
      </c>
      <c r="C46" s="30">
        <v>-7.3116279069767449</v>
      </c>
      <c r="D46" s="35">
        <v>2.1162790697674421</v>
      </c>
      <c r="E46" s="31">
        <v>0.23255813953488372</v>
      </c>
      <c r="F46" s="31">
        <v>0.34883720930232559</v>
      </c>
      <c r="G46" s="31">
        <v>0.25495750708215298</v>
      </c>
      <c r="H46" s="31">
        <v>0.16713881019830029</v>
      </c>
      <c r="I46" s="32">
        <v>8672.2222222222226</v>
      </c>
      <c r="J46" s="32">
        <v>-7771.1864406779659</v>
      </c>
      <c r="K46" s="31">
        <v>0.11627906976744186</v>
      </c>
      <c r="L46" s="31">
        <v>0.23229461756373937</v>
      </c>
      <c r="M46" s="31">
        <v>0.19546742209631729</v>
      </c>
      <c r="N46" s="31">
        <v>0.52439024390243905</v>
      </c>
      <c r="O46" s="31">
        <v>0.39130434782608697</v>
      </c>
      <c r="P46" s="31">
        <v>0.4777777777777778</v>
      </c>
    </row>
    <row r="47" spans="1:16" x14ac:dyDescent="0.4">
      <c r="A47" s="33">
        <v>44</v>
      </c>
      <c r="B47" s="30">
        <v>-300.3</v>
      </c>
      <c r="C47" s="30">
        <v>-6.8250000000000002</v>
      </c>
      <c r="D47" s="35">
        <v>2.1136363636363638</v>
      </c>
      <c r="E47" s="31">
        <v>0.22727272727272727</v>
      </c>
      <c r="F47" s="31">
        <v>0.34090909090909088</v>
      </c>
      <c r="G47" s="31">
        <v>0.25690607734806631</v>
      </c>
      <c r="H47" s="31">
        <v>0.16574585635359115</v>
      </c>
      <c r="I47" s="32">
        <v>8720.4301075268813</v>
      </c>
      <c r="J47" s="32">
        <v>-7706.666666666667</v>
      </c>
      <c r="K47" s="31">
        <v>0.11363636363636363</v>
      </c>
      <c r="L47" s="31">
        <v>0.23480662983425415</v>
      </c>
      <c r="M47" s="31">
        <v>0.19337016574585636</v>
      </c>
      <c r="N47" s="31">
        <v>0.52941176470588236</v>
      </c>
      <c r="O47" s="31">
        <v>0.38571428571428573</v>
      </c>
      <c r="P47" s="31">
        <v>0.4731182795698925</v>
      </c>
    </row>
    <row r="48" spans="1:16" x14ac:dyDescent="0.4">
      <c r="A48" s="33">
        <v>45</v>
      </c>
      <c r="B48" s="30">
        <v>-324.7</v>
      </c>
      <c r="C48" s="30">
        <v>-7.2155555555555555</v>
      </c>
      <c r="D48" s="35">
        <v>2.1333333333333333</v>
      </c>
      <c r="E48" s="31">
        <v>0.22222222222222221</v>
      </c>
      <c r="F48" s="31">
        <v>0.35555555555555557</v>
      </c>
      <c r="G48" s="31">
        <v>0.26145552560646901</v>
      </c>
      <c r="H48" s="31">
        <v>0.16711590296495957</v>
      </c>
      <c r="I48" s="32">
        <v>8712.3711340206191</v>
      </c>
      <c r="J48" s="32">
        <v>-8038.7096774193551</v>
      </c>
      <c r="K48" s="31">
        <v>0.1111111111111111</v>
      </c>
      <c r="L48" s="31">
        <v>0.23450134770889489</v>
      </c>
      <c r="M48" s="31">
        <v>0.19137466307277629</v>
      </c>
      <c r="N48" s="31">
        <v>0.54022988505747127</v>
      </c>
      <c r="O48" s="31">
        <v>0.38028169014084506</v>
      </c>
      <c r="P48" s="31">
        <v>0.47422680412371132</v>
      </c>
    </row>
    <row r="49" spans="1:16" x14ac:dyDescent="0.4">
      <c r="A49" s="33">
        <v>46</v>
      </c>
      <c r="B49" s="30">
        <v>-340.5</v>
      </c>
      <c r="C49" s="30">
        <v>-7.4021739130434785</v>
      </c>
      <c r="D49" s="35">
        <v>2.1304347826086958</v>
      </c>
      <c r="E49" s="31">
        <v>0.21739130434782608</v>
      </c>
      <c r="F49" s="31">
        <v>0.34782608695652173</v>
      </c>
      <c r="G49" s="31">
        <v>0.26109660574412535</v>
      </c>
      <c r="H49" s="31">
        <v>0.16710182767624021</v>
      </c>
      <c r="I49" s="32">
        <v>8619</v>
      </c>
      <c r="J49" s="32">
        <v>-8162.5</v>
      </c>
      <c r="K49" s="31">
        <v>0.10869565217391304</v>
      </c>
      <c r="L49" s="31">
        <v>0.23759791122715404</v>
      </c>
      <c r="M49" s="31">
        <v>0.1906005221932115</v>
      </c>
      <c r="N49" s="31">
        <v>0.52747252747252749</v>
      </c>
      <c r="O49" s="31">
        <v>0.38356164383561642</v>
      </c>
      <c r="P49" s="31">
        <v>0.47</v>
      </c>
    </row>
    <row r="50" spans="1:16" x14ac:dyDescent="0.4">
      <c r="A50" s="33">
        <v>47</v>
      </c>
      <c r="B50" s="30">
        <v>-344</v>
      </c>
      <c r="C50" s="30">
        <v>-7.3191489361702127</v>
      </c>
      <c r="D50" s="35">
        <v>2.1276595744680851</v>
      </c>
      <c r="E50" s="31">
        <v>0.21276595744680851</v>
      </c>
      <c r="F50" s="31">
        <v>0.34042553191489361</v>
      </c>
      <c r="G50" s="31">
        <v>0.25964010282776351</v>
      </c>
      <c r="H50" s="31">
        <v>0.16452442159383032</v>
      </c>
      <c r="I50" s="32">
        <v>8561.3861386138615</v>
      </c>
      <c r="J50" s="32">
        <v>-8162.5</v>
      </c>
      <c r="K50" s="31">
        <v>0.10638297872340426</v>
      </c>
      <c r="L50" s="31">
        <v>0.23907455012853471</v>
      </c>
      <c r="M50" s="31">
        <v>0.18766066838046272</v>
      </c>
      <c r="N50" s="31">
        <v>0.5268817204301075</v>
      </c>
      <c r="O50" s="31">
        <v>0.38356164383561642</v>
      </c>
      <c r="P50" s="31">
        <v>0.47524752475247523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5206-C66C-4130-98B1-BBCAD41CFD3B}">
  <sheetPr codeName="Sheet12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197</v>
      </c>
      <c r="B1" s="34" t="s">
        <v>197</v>
      </c>
      <c r="C1" s="34" t="s">
        <v>197</v>
      </c>
      <c r="D1" s="35" t="s">
        <v>197</v>
      </c>
      <c r="E1" s="34" t="s">
        <v>197</v>
      </c>
      <c r="F1" s="34" t="s">
        <v>197</v>
      </c>
      <c r="G1" s="34" t="s">
        <v>197</v>
      </c>
      <c r="H1" s="34" t="s">
        <v>197</v>
      </c>
      <c r="I1" s="34" t="s">
        <v>197</v>
      </c>
      <c r="J1" s="34" t="s">
        <v>197</v>
      </c>
      <c r="K1" s="34" t="s">
        <v>197</v>
      </c>
      <c r="L1" s="34" t="s">
        <v>197</v>
      </c>
      <c r="M1" s="34" t="s">
        <v>197</v>
      </c>
      <c r="N1" s="34" t="s">
        <v>197</v>
      </c>
      <c r="O1" s="34" t="s">
        <v>197</v>
      </c>
      <c r="P1" s="34" t="s">
        <v>197</v>
      </c>
      <c r="Q1" s="34" t="s">
        <v>197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-46</v>
      </c>
      <c r="C4" s="30">
        <v>-46</v>
      </c>
      <c r="D4" s="35">
        <v>3</v>
      </c>
      <c r="E4" s="31">
        <v>0</v>
      </c>
      <c r="F4" s="31">
        <v>1</v>
      </c>
      <c r="G4" s="31">
        <v>0</v>
      </c>
      <c r="H4" s="31">
        <v>0.5</v>
      </c>
      <c r="I4" s="32">
        <v>0</v>
      </c>
      <c r="J4" s="32">
        <v>-7000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-96.9</v>
      </c>
      <c r="C5" s="30">
        <v>-48.45</v>
      </c>
      <c r="D5" s="35">
        <v>3</v>
      </c>
      <c r="E5" s="31">
        <v>0</v>
      </c>
      <c r="F5" s="31">
        <v>1</v>
      </c>
      <c r="G5" s="31">
        <v>0</v>
      </c>
      <c r="H5" s="31">
        <v>0.54545454545454541</v>
      </c>
      <c r="I5" s="32">
        <v>0</v>
      </c>
      <c r="J5" s="32">
        <v>-8833.3333333333339</v>
      </c>
      <c r="K5" s="31">
        <v>1</v>
      </c>
      <c r="L5" s="31">
        <v>9.0909090909090912E-2</v>
      </c>
      <c r="M5" s="31">
        <v>9.0909090909090912E-2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-113.4</v>
      </c>
      <c r="C6" s="30">
        <v>-37.800000000000004</v>
      </c>
      <c r="D6" s="35">
        <v>3</v>
      </c>
      <c r="E6" s="31">
        <v>0</v>
      </c>
      <c r="F6" s="31">
        <v>1</v>
      </c>
      <c r="G6" s="31">
        <v>0.11764705882352941</v>
      </c>
      <c r="H6" s="31">
        <v>0.41176470588235292</v>
      </c>
      <c r="I6" s="32">
        <v>1600</v>
      </c>
      <c r="J6" s="32">
        <v>-8314.2857142857138</v>
      </c>
      <c r="K6" s="31">
        <v>0.66666666666666663</v>
      </c>
      <c r="L6" s="31">
        <v>5.8823529411764705E-2</v>
      </c>
      <c r="M6" s="31">
        <v>0.23529411764705882</v>
      </c>
      <c r="N6" s="31">
        <v>0</v>
      </c>
      <c r="O6" s="31">
        <v>0.5</v>
      </c>
      <c r="P6" s="31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335EF-48C0-4AD8-A3C8-743090CA06C9}">
  <sheetPr codeName="Sheet10"/>
  <dimension ref="A1:Q7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-4.5999999999999996</v>
      </c>
      <c r="C4" s="30">
        <v>-4.5999999999999996</v>
      </c>
      <c r="D4" s="35">
        <v>2</v>
      </c>
      <c r="E4" s="31">
        <v>0</v>
      </c>
      <c r="F4" s="31">
        <v>0</v>
      </c>
      <c r="G4" s="31">
        <v>0.33333333333333331</v>
      </c>
      <c r="H4" s="31">
        <v>0.16666666666666666</v>
      </c>
      <c r="I4" s="32">
        <v>6500</v>
      </c>
      <c r="J4" s="32">
        <v>-9600</v>
      </c>
      <c r="K4" s="31">
        <v>0</v>
      </c>
      <c r="L4" s="31">
        <v>0.16666666666666666</v>
      </c>
      <c r="M4" s="31">
        <v>0.5</v>
      </c>
      <c r="N4" s="31">
        <v>1</v>
      </c>
      <c r="O4" s="31">
        <v>0.33333333333333331</v>
      </c>
      <c r="P4" s="31">
        <v>0</v>
      </c>
    </row>
    <row r="5" spans="1:17" x14ac:dyDescent="0.4">
      <c r="A5" s="33">
        <v>2</v>
      </c>
      <c r="B5" s="30">
        <v>42.6</v>
      </c>
      <c r="C5" s="30">
        <v>21.3</v>
      </c>
      <c r="D5" s="35">
        <v>1.5</v>
      </c>
      <c r="E5" s="31">
        <v>0.5</v>
      </c>
      <c r="F5" s="31">
        <v>0</v>
      </c>
      <c r="G5" s="31">
        <v>0.54545454545454541</v>
      </c>
      <c r="H5" s="31">
        <v>9.0909090909090912E-2</v>
      </c>
      <c r="I5" s="32">
        <v>8833.3333333333339</v>
      </c>
      <c r="J5" s="32">
        <v>-9600</v>
      </c>
      <c r="K5" s="31">
        <v>0</v>
      </c>
      <c r="L5" s="31">
        <v>0.54545454545454541</v>
      </c>
      <c r="M5" s="31">
        <v>0.27272727272727271</v>
      </c>
      <c r="N5" s="31">
        <v>0.83333333333333337</v>
      </c>
      <c r="O5" s="31">
        <v>0.33333333333333331</v>
      </c>
      <c r="P5" s="31">
        <v>0.16666666666666666</v>
      </c>
    </row>
    <row r="6" spans="1:17" x14ac:dyDescent="0.4">
      <c r="A6" s="33">
        <v>3</v>
      </c>
      <c r="B6" s="30">
        <v>64.400000000000006</v>
      </c>
      <c r="C6" s="30">
        <v>21.466666666666669</v>
      </c>
      <c r="D6" s="35">
        <v>1.3333333333333333</v>
      </c>
      <c r="E6" s="31">
        <v>0.66666666666666663</v>
      </c>
      <c r="F6" s="31">
        <v>0</v>
      </c>
      <c r="G6" s="31">
        <v>0.47058823529411764</v>
      </c>
      <c r="H6" s="31">
        <v>0.17647058823529413</v>
      </c>
      <c r="I6" s="32">
        <v>9625</v>
      </c>
      <c r="J6" s="32">
        <v>-6433.333333333333</v>
      </c>
      <c r="K6" s="31">
        <v>0</v>
      </c>
      <c r="L6" s="31">
        <v>0.52941176470588236</v>
      </c>
      <c r="M6" s="31">
        <v>0.23529411764705882</v>
      </c>
      <c r="N6" s="31">
        <v>0.66666666666666663</v>
      </c>
      <c r="O6" s="31">
        <v>0.5</v>
      </c>
      <c r="P6" s="31">
        <v>0.25</v>
      </c>
    </row>
    <row r="7" spans="1:17" x14ac:dyDescent="0.4">
      <c r="A7" s="33">
        <v>4</v>
      </c>
      <c r="B7" s="30">
        <v>82.4</v>
      </c>
      <c r="C7" s="30">
        <v>20.6</v>
      </c>
      <c r="D7" s="35">
        <v>1.25</v>
      </c>
      <c r="E7" s="31">
        <v>0.75</v>
      </c>
      <c r="F7" s="31">
        <v>0</v>
      </c>
      <c r="G7" s="31">
        <v>0.48</v>
      </c>
      <c r="H7" s="31">
        <v>0.12</v>
      </c>
      <c r="I7" s="32">
        <v>8266.6666666666661</v>
      </c>
      <c r="J7" s="32">
        <v>-6433.333333333333</v>
      </c>
      <c r="K7" s="31">
        <v>0</v>
      </c>
      <c r="L7" s="31">
        <v>0.44</v>
      </c>
      <c r="M7" s="31">
        <v>0.16</v>
      </c>
      <c r="N7" s="31">
        <v>0.72727272727272729</v>
      </c>
      <c r="O7" s="31">
        <v>0.5</v>
      </c>
      <c r="P7" s="31">
        <v>0.41666666666666669</v>
      </c>
    </row>
    <row r="8" spans="1:17" x14ac:dyDescent="0.4">
      <c r="A8" s="33">
        <v>5</v>
      </c>
      <c r="B8" s="30">
        <v>99.300000000000011</v>
      </c>
      <c r="C8" s="30">
        <v>19.860000000000003</v>
      </c>
      <c r="D8" s="35">
        <v>1.2</v>
      </c>
      <c r="E8" s="31">
        <v>0.8</v>
      </c>
      <c r="F8" s="31">
        <v>0</v>
      </c>
      <c r="G8" s="31">
        <v>0.47058823529411764</v>
      </c>
      <c r="H8" s="31">
        <v>0.17647058823529413</v>
      </c>
      <c r="I8" s="32">
        <v>8700</v>
      </c>
      <c r="J8" s="32">
        <v>-8183.333333333333</v>
      </c>
      <c r="K8" s="31">
        <v>0</v>
      </c>
      <c r="L8" s="31">
        <v>0.35294117647058826</v>
      </c>
      <c r="M8" s="31">
        <v>0.23529411764705882</v>
      </c>
      <c r="N8" s="31">
        <v>0.75</v>
      </c>
      <c r="O8" s="31">
        <v>0.5</v>
      </c>
      <c r="P8" s="31">
        <v>0.5</v>
      </c>
    </row>
    <row r="9" spans="1:17" x14ac:dyDescent="0.4">
      <c r="A9" s="33">
        <v>6</v>
      </c>
      <c r="B9" s="30">
        <v>175.8</v>
      </c>
      <c r="C9" s="30">
        <v>29.3</v>
      </c>
      <c r="D9" s="35">
        <v>1.1666666666666667</v>
      </c>
      <c r="E9" s="31">
        <v>0.83333333333333337</v>
      </c>
      <c r="F9" s="31">
        <v>0</v>
      </c>
      <c r="G9" s="31">
        <v>0.5</v>
      </c>
      <c r="H9" s="31">
        <v>0.15789473684210525</v>
      </c>
      <c r="I9" s="32">
        <v>10694.736842105263</v>
      </c>
      <c r="J9" s="32">
        <v>-8183.333333333333</v>
      </c>
      <c r="K9" s="31">
        <v>0</v>
      </c>
      <c r="L9" s="31">
        <v>0.34210526315789475</v>
      </c>
      <c r="M9" s="31">
        <v>0.21052631578947367</v>
      </c>
      <c r="N9" s="31">
        <v>0.76923076923076927</v>
      </c>
      <c r="O9" s="31">
        <v>0.5</v>
      </c>
      <c r="P9" s="31">
        <v>0.57894736842105265</v>
      </c>
    </row>
    <row r="10" spans="1:17" x14ac:dyDescent="0.4">
      <c r="A10" s="33">
        <v>7</v>
      </c>
      <c r="B10" s="30">
        <v>124.60000000000001</v>
      </c>
      <c r="C10" s="30">
        <v>17.8</v>
      </c>
      <c r="D10" s="35">
        <v>1.4285714285714286</v>
      </c>
      <c r="E10" s="31">
        <v>0.7142857142857143</v>
      </c>
      <c r="F10" s="31">
        <v>0.14285714285714285</v>
      </c>
      <c r="G10" s="31">
        <v>0.44680851063829785</v>
      </c>
      <c r="H10" s="31">
        <v>0.21276595744680851</v>
      </c>
      <c r="I10" s="32">
        <v>10180.952380952382</v>
      </c>
      <c r="J10" s="32">
        <v>-9190</v>
      </c>
      <c r="K10" s="31">
        <v>0.14285714285714285</v>
      </c>
      <c r="L10" s="31">
        <v>0.34042553191489361</v>
      </c>
      <c r="M10" s="31">
        <v>0.19148936170212766</v>
      </c>
      <c r="N10" s="31">
        <v>0.625</v>
      </c>
      <c r="O10" s="31">
        <v>0.44444444444444442</v>
      </c>
      <c r="P10" s="31">
        <v>0.52380952380952384</v>
      </c>
    </row>
    <row r="11" spans="1:17" x14ac:dyDescent="0.4">
      <c r="A11" s="33">
        <v>8</v>
      </c>
      <c r="B11" s="30">
        <v>86.300000000000011</v>
      </c>
      <c r="C11" s="30">
        <v>10.787500000000001</v>
      </c>
      <c r="D11" s="35">
        <v>1.625</v>
      </c>
      <c r="E11" s="31">
        <v>0.625</v>
      </c>
      <c r="F11" s="31">
        <v>0.25</v>
      </c>
      <c r="G11" s="31">
        <v>0.42105263157894735</v>
      </c>
      <c r="H11" s="31">
        <v>0.24561403508771928</v>
      </c>
      <c r="I11" s="32">
        <v>9133.3333333333339</v>
      </c>
      <c r="J11" s="32">
        <v>-7971.4285714285716</v>
      </c>
      <c r="K11" s="31">
        <v>0.125</v>
      </c>
      <c r="L11" s="31">
        <v>0.33333333333333331</v>
      </c>
      <c r="M11" s="31">
        <v>0.19298245614035087</v>
      </c>
      <c r="N11" s="31">
        <v>0.63157894736842102</v>
      </c>
      <c r="O11" s="31">
        <v>0.36363636363636365</v>
      </c>
      <c r="P11" s="31">
        <v>0.5</v>
      </c>
    </row>
    <row r="12" spans="1:17" x14ac:dyDescent="0.4">
      <c r="A12" s="33">
        <v>9</v>
      </c>
      <c r="B12" s="30">
        <v>65.100000000000009</v>
      </c>
      <c r="C12" s="30">
        <v>7.2333333333333343</v>
      </c>
      <c r="D12" s="35">
        <v>1.7777777777777777</v>
      </c>
      <c r="E12" s="31">
        <v>0.55555555555555558</v>
      </c>
      <c r="F12" s="31">
        <v>0.33333333333333331</v>
      </c>
      <c r="G12" s="31">
        <v>0.39393939393939392</v>
      </c>
      <c r="H12" s="31">
        <v>0.21212121212121213</v>
      </c>
      <c r="I12" s="32">
        <v>9076.9230769230762</v>
      </c>
      <c r="J12" s="32">
        <v>-7971.4285714285716</v>
      </c>
      <c r="K12" s="31">
        <v>0.1111111111111111</v>
      </c>
      <c r="L12" s="31">
        <v>0.31818181818181818</v>
      </c>
      <c r="M12" s="31">
        <v>0.16666666666666666</v>
      </c>
      <c r="N12" s="31">
        <v>0.61904761904761907</v>
      </c>
      <c r="O12" s="31">
        <v>0.36363636363636365</v>
      </c>
      <c r="P12" s="31">
        <v>0.5</v>
      </c>
    </row>
    <row r="13" spans="1:17" x14ac:dyDescent="0.4">
      <c r="A13" s="33">
        <v>10</v>
      </c>
      <c r="B13" s="30">
        <v>60.500000000000007</v>
      </c>
      <c r="C13" s="30">
        <v>6.0500000000000007</v>
      </c>
      <c r="D13" s="35">
        <v>1.8</v>
      </c>
      <c r="E13" s="31">
        <v>0.5</v>
      </c>
      <c r="F13" s="31">
        <v>0.3</v>
      </c>
      <c r="G13" s="31">
        <v>0.38157894736842107</v>
      </c>
      <c r="H13" s="31">
        <v>0.22368421052631579</v>
      </c>
      <c r="I13" s="32">
        <v>9379.310344827587</v>
      </c>
      <c r="J13" s="32">
        <v>-8482.3529411764703</v>
      </c>
      <c r="K13" s="31">
        <v>0.1</v>
      </c>
      <c r="L13" s="31">
        <v>0.31578947368421051</v>
      </c>
      <c r="M13" s="31">
        <v>0.17105263157894737</v>
      </c>
      <c r="N13" s="31">
        <v>0.58333333333333337</v>
      </c>
      <c r="O13" s="31">
        <v>0.38461538461538464</v>
      </c>
      <c r="P13" s="31">
        <v>0.55172413793103448</v>
      </c>
    </row>
    <row r="14" spans="1:17" x14ac:dyDescent="0.4">
      <c r="A14" s="33">
        <v>11</v>
      </c>
      <c r="B14" s="30">
        <v>41.100000000000009</v>
      </c>
      <c r="C14" s="30">
        <v>3.7363636363636372</v>
      </c>
      <c r="D14" s="35">
        <v>1.9090909090909092</v>
      </c>
      <c r="E14" s="31">
        <v>0.45454545454545453</v>
      </c>
      <c r="F14" s="31">
        <v>0.36363636363636365</v>
      </c>
      <c r="G14" s="31">
        <v>0.38554216867469882</v>
      </c>
      <c r="H14" s="31">
        <v>0.21686746987951808</v>
      </c>
      <c r="I14" s="32">
        <v>8956.25</v>
      </c>
      <c r="J14" s="32">
        <v>-9344.4444444444453</v>
      </c>
      <c r="K14" s="31">
        <v>9.0909090909090912E-2</v>
      </c>
      <c r="L14" s="31">
        <v>0.30120481927710846</v>
      </c>
      <c r="M14" s="31">
        <v>0.18072289156626506</v>
      </c>
      <c r="N14" s="31">
        <v>0.6</v>
      </c>
      <c r="O14" s="31">
        <v>0.46666666666666667</v>
      </c>
      <c r="P14" s="31">
        <v>0.53125</v>
      </c>
    </row>
    <row r="15" spans="1:17" x14ac:dyDescent="0.4">
      <c r="A15" s="33">
        <v>12</v>
      </c>
      <c r="B15" s="30">
        <v>98.9</v>
      </c>
      <c r="C15" s="30">
        <v>8.2416666666666671</v>
      </c>
      <c r="D15" s="35">
        <v>1.8333333333333333</v>
      </c>
      <c r="E15" s="31">
        <v>0.5</v>
      </c>
      <c r="F15" s="31">
        <v>0.33333333333333331</v>
      </c>
      <c r="G15" s="31">
        <v>0.41489361702127658</v>
      </c>
      <c r="H15" s="31">
        <v>0.19148936170212766</v>
      </c>
      <c r="I15" s="32">
        <v>8356.4102564102559</v>
      </c>
      <c r="J15" s="32">
        <v>-9344.4444444444453</v>
      </c>
      <c r="K15" s="31">
        <v>8.3333333333333329E-2</v>
      </c>
      <c r="L15" s="31">
        <v>0.31914893617021278</v>
      </c>
      <c r="M15" s="31">
        <v>0.15957446808510639</v>
      </c>
      <c r="N15" s="31">
        <v>0.66666666666666663</v>
      </c>
      <c r="O15" s="31">
        <v>0.46666666666666667</v>
      </c>
      <c r="P15" s="31">
        <v>0.51282051282051277</v>
      </c>
    </row>
    <row r="16" spans="1:17" x14ac:dyDescent="0.4">
      <c r="A16" s="33">
        <v>13</v>
      </c>
      <c r="B16" s="30">
        <v>119.10000000000001</v>
      </c>
      <c r="C16" s="30">
        <v>9.1615384615384627</v>
      </c>
      <c r="D16" s="35">
        <v>1.7692307692307692</v>
      </c>
      <c r="E16" s="31">
        <v>0.53846153846153844</v>
      </c>
      <c r="F16" s="31">
        <v>0.30769230769230771</v>
      </c>
      <c r="G16" s="31">
        <v>0.41176470588235292</v>
      </c>
      <c r="H16" s="31">
        <v>0.19607843137254902</v>
      </c>
      <c r="I16" s="32">
        <v>8380.9523809523816</v>
      </c>
      <c r="J16" s="32">
        <v>-9055</v>
      </c>
      <c r="K16" s="31">
        <v>7.6923076923076927E-2</v>
      </c>
      <c r="L16" s="31">
        <v>0.3235294117647059</v>
      </c>
      <c r="M16" s="31">
        <v>0.16666666666666666</v>
      </c>
      <c r="N16" s="31">
        <v>0.69696969696969702</v>
      </c>
      <c r="O16" s="31">
        <v>0.41176470588235292</v>
      </c>
      <c r="P16" s="31">
        <v>0.52380952380952384</v>
      </c>
    </row>
    <row r="17" spans="1:16" x14ac:dyDescent="0.4">
      <c r="A17" s="33">
        <v>14</v>
      </c>
      <c r="B17" s="30">
        <v>162.4</v>
      </c>
      <c r="C17" s="30">
        <v>11.6</v>
      </c>
      <c r="D17" s="35">
        <v>1.7142857142857142</v>
      </c>
      <c r="E17" s="31">
        <v>0.5714285714285714</v>
      </c>
      <c r="F17" s="31">
        <v>0.2857142857142857</v>
      </c>
      <c r="G17" s="31">
        <v>0.41964285714285715</v>
      </c>
      <c r="H17" s="31">
        <v>0.17857142857142858</v>
      </c>
      <c r="I17" s="32">
        <v>8523.4042553191484</v>
      </c>
      <c r="J17" s="32">
        <v>-9055</v>
      </c>
      <c r="K17" s="31">
        <v>7.1428571428571425E-2</v>
      </c>
      <c r="L17" s="31">
        <v>0.3392857142857143</v>
      </c>
      <c r="M17" s="31">
        <v>0.16071428571428573</v>
      </c>
      <c r="N17" s="31">
        <v>0.68421052631578949</v>
      </c>
      <c r="O17" s="31">
        <v>0.44444444444444442</v>
      </c>
      <c r="P17" s="31">
        <v>0.51063829787234039</v>
      </c>
    </row>
    <row r="18" spans="1:16" x14ac:dyDescent="0.4">
      <c r="A18" s="33">
        <v>15</v>
      </c>
      <c r="B18" s="30">
        <v>219.2</v>
      </c>
      <c r="C18" s="30">
        <v>14.613333333333333</v>
      </c>
      <c r="D18" s="35">
        <v>1.6666666666666667</v>
      </c>
      <c r="E18" s="31">
        <v>0.6</v>
      </c>
      <c r="F18" s="31">
        <v>0.26666666666666666</v>
      </c>
      <c r="G18" s="31">
        <v>0.42016806722689076</v>
      </c>
      <c r="H18" s="31">
        <v>0.16806722689075632</v>
      </c>
      <c r="I18" s="32">
        <v>9052</v>
      </c>
      <c r="J18" s="32">
        <v>-9055</v>
      </c>
      <c r="K18" s="31">
        <v>6.6666666666666666E-2</v>
      </c>
      <c r="L18" s="31">
        <v>0.33613445378151263</v>
      </c>
      <c r="M18" s="31">
        <v>0.15966386554621848</v>
      </c>
      <c r="N18" s="31">
        <v>0.7</v>
      </c>
      <c r="O18" s="31">
        <v>0.42105263157894735</v>
      </c>
      <c r="P18" s="31">
        <v>0.54</v>
      </c>
    </row>
    <row r="19" spans="1:16" x14ac:dyDescent="0.4">
      <c r="A19" s="33">
        <v>16</v>
      </c>
      <c r="B19" s="30">
        <v>207.6</v>
      </c>
      <c r="C19" s="30">
        <v>12.975</v>
      </c>
      <c r="D19" s="35">
        <v>1.6875</v>
      </c>
      <c r="E19" s="31">
        <v>0.5625</v>
      </c>
      <c r="F19" s="31">
        <v>0.25</v>
      </c>
      <c r="G19" s="31">
        <v>0.40944881889763779</v>
      </c>
      <c r="H19" s="31">
        <v>0.16535433070866143</v>
      </c>
      <c r="I19" s="32">
        <v>8984.6153846153848</v>
      </c>
      <c r="J19" s="32">
        <v>-8990.4761904761908</v>
      </c>
      <c r="K19" s="31">
        <v>6.25E-2</v>
      </c>
      <c r="L19" s="31">
        <v>0.3543307086614173</v>
      </c>
      <c r="M19" s="31">
        <v>0.14960629921259844</v>
      </c>
      <c r="N19" s="31">
        <v>0.66666666666666663</v>
      </c>
      <c r="O19" s="31">
        <v>0.42105263157894735</v>
      </c>
      <c r="P19" s="31">
        <v>0.53846153846153844</v>
      </c>
    </row>
    <row r="20" spans="1:16" x14ac:dyDescent="0.4">
      <c r="A20" s="33">
        <v>17</v>
      </c>
      <c r="B20" s="30">
        <v>209.2</v>
      </c>
      <c r="C20" s="30">
        <v>12.305882352941175</v>
      </c>
      <c r="D20" s="35">
        <v>1.7058823529411764</v>
      </c>
      <c r="E20" s="31">
        <v>0.52941176470588236</v>
      </c>
      <c r="F20" s="31">
        <v>0.23529411764705882</v>
      </c>
      <c r="G20" s="31">
        <v>0.39416058394160586</v>
      </c>
      <c r="H20" s="31">
        <v>0.16058394160583941</v>
      </c>
      <c r="I20" s="32">
        <v>9170.3703703703704</v>
      </c>
      <c r="J20" s="32">
        <v>-8759.0909090909099</v>
      </c>
      <c r="K20" s="31">
        <v>5.8823529411764705E-2</v>
      </c>
      <c r="L20" s="31">
        <v>0.39416058394160586</v>
      </c>
      <c r="M20" s="31">
        <v>0.13868613138686131</v>
      </c>
      <c r="N20" s="31">
        <v>0.59259259259259256</v>
      </c>
      <c r="O20" s="31">
        <v>0.42105263157894735</v>
      </c>
      <c r="P20" s="31">
        <v>0.55555555555555558</v>
      </c>
    </row>
    <row r="21" spans="1:16" x14ac:dyDescent="0.4">
      <c r="A21" s="33">
        <v>18</v>
      </c>
      <c r="B21" s="30">
        <v>194.39999999999998</v>
      </c>
      <c r="C21" s="30">
        <v>10.799999999999999</v>
      </c>
      <c r="D21" s="35">
        <v>1.7222222222222223</v>
      </c>
      <c r="E21" s="31">
        <v>0.5</v>
      </c>
      <c r="F21" s="31">
        <v>0.22222222222222221</v>
      </c>
      <c r="G21" s="31">
        <v>0.3888888888888889</v>
      </c>
      <c r="H21" s="31">
        <v>0.16666666666666666</v>
      </c>
      <c r="I21" s="32">
        <v>9005.3571428571431</v>
      </c>
      <c r="J21" s="32">
        <v>-8858.3333333333339</v>
      </c>
      <c r="K21" s="31">
        <v>5.5555555555555552E-2</v>
      </c>
      <c r="L21" s="31">
        <v>0.40277777777777779</v>
      </c>
      <c r="M21" s="31">
        <v>0.13194444444444445</v>
      </c>
      <c r="N21" s="31">
        <v>0.58620689655172409</v>
      </c>
      <c r="O21" s="31">
        <v>0.42105263157894735</v>
      </c>
      <c r="P21" s="31">
        <v>0.5357142857142857</v>
      </c>
    </row>
    <row r="22" spans="1:16" x14ac:dyDescent="0.4">
      <c r="A22" s="33">
        <v>19</v>
      </c>
      <c r="B22" s="30">
        <v>216.79999999999998</v>
      </c>
      <c r="C22" s="30">
        <v>11.410526315789474</v>
      </c>
      <c r="D22" s="35">
        <v>1.6842105263157894</v>
      </c>
      <c r="E22" s="31">
        <v>0.52631578947368418</v>
      </c>
      <c r="F22" s="31">
        <v>0.21052631578947367</v>
      </c>
      <c r="G22" s="31">
        <v>0.37908496732026142</v>
      </c>
      <c r="H22" s="31">
        <v>0.16339869281045752</v>
      </c>
      <c r="I22" s="32">
        <v>9108.6206896551721</v>
      </c>
      <c r="J22" s="32">
        <v>-8608</v>
      </c>
      <c r="K22" s="31">
        <v>5.2631578947368418E-2</v>
      </c>
      <c r="L22" s="31">
        <v>0.39215686274509803</v>
      </c>
      <c r="M22" s="31">
        <v>0.13071895424836602</v>
      </c>
      <c r="N22" s="31">
        <v>0.56666666666666665</v>
      </c>
      <c r="O22" s="31">
        <v>0.45</v>
      </c>
      <c r="P22" s="31">
        <v>0.51724137931034486</v>
      </c>
    </row>
    <row r="23" spans="1:16" x14ac:dyDescent="0.4">
      <c r="A23" s="33">
        <v>20</v>
      </c>
      <c r="B23" s="30">
        <v>215.6</v>
      </c>
      <c r="C23" s="30">
        <v>10.78</v>
      </c>
      <c r="D23" s="35">
        <v>1.7</v>
      </c>
      <c r="E23" s="31">
        <v>0.5</v>
      </c>
      <c r="F23" s="31">
        <v>0.2</v>
      </c>
      <c r="G23" s="31">
        <v>0.37735849056603776</v>
      </c>
      <c r="H23" s="31">
        <v>0.16352201257861634</v>
      </c>
      <c r="I23" s="32">
        <v>9071.6666666666661</v>
      </c>
      <c r="J23" s="32">
        <v>-8400</v>
      </c>
      <c r="K23" s="31">
        <v>0.05</v>
      </c>
      <c r="L23" s="31">
        <v>0.38993710691823902</v>
      </c>
      <c r="M23" s="31">
        <v>0.13207547169811321</v>
      </c>
      <c r="N23" s="31">
        <v>0.56451612903225812</v>
      </c>
      <c r="O23" s="31">
        <v>0.47619047619047616</v>
      </c>
      <c r="P23" s="31">
        <v>0.5</v>
      </c>
    </row>
    <row r="24" spans="1:16" x14ac:dyDescent="0.4">
      <c r="A24" s="33">
        <v>21</v>
      </c>
      <c r="B24" s="30">
        <v>252.8</v>
      </c>
      <c r="C24" s="30">
        <v>12.038095238095238</v>
      </c>
      <c r="D24" s="35">
        <v>1.6666666666666667</v>
      </c>
      <c r="E24" s="31">
        <v>0.52380952380952384</v>
      </c>
      <c r="F24" s="31">
        <v>0.19047619047619047</v>
      </c>
      <c r="G24" s="31">
        <v>0.38323353293413176</v>
      </c>
      <c r="H24" s="31">
        <v>0.15568862275449102</v>
      </c>
      <c r="I24" s="32">
        <v>8998.4375</v>
      </c>
      <c r="J24" s="32">
        <v>-8400</v>
      </c>
      <c r="K24" s="31">
        <v>4.7619047619047616E-2</v>
      </c>
      <c r="L24" s="31">
        <v>0.38922155688622756</v>
      </c>
      <c r="M24" s="31">
        <v>0.1317365269461078</v>
      </c>
      <c r="N24" s="31">
        <v>0.56923076923076921</v>
      </c>
      <c r="O24" s="31">
        <v>0.5</v>
      </c>
      <c r="P24" s="31">
        <v>0.46875</v>
      </c>
    </row>
    <row r="25" spans="1:16" x14ac:dyDescent="0.4">
      <c r="A25" s="33">
        <v>22</v>
      </c>
      <c r="B25" s="30">
        <v>250.60000000000002</v>
      </c>
      <c r="C25" s="30">
        <v>11.390909090909092</v>
      </c>
      <c r="D25" s="35">
        <v>1.6818181818181819</v>
      </c>
      <c r="E25" s="31">
        <v>0.5</v>
      </c>
      <c r="F25" s="31">
        <v>0.18181818181818182</v>
      </c>
      <c r="G25" s="31">
        <v>0.37853107344632769</v>
      </c>
      <c r="H25" s="31">
        <v>0.15819209039548024</v>
      </c>
      <c r="I25" s="32">
        <v>9062.686567164179</v>
      </c>
      <c r="J25" s="32">
        <v>-8514.2857142857138</v>
      </c>
      <c r="K25" s="31">
        <v>4.5454545454545456E-2</v>
      </c>
      <c r="L25" s="31">
        <v>0.38983050847457629</v>
      </c>
      <c r="M25" s="31">
        <v>0.12994350282485875</v>
      </c>
      <c r="N25" s="31">
        <v>0.57971014492753625</v>
      </c>
      <c r="O25" s="31">
        <v>0.47826086956521741</v>
      </c>
      <c r="P25" s="31">
        <v>0.47761194029850745</v>
      </c>
    </row>
    <row r="26" spans="1:16" x14ac:dyDescent="0.4">
      <c r="A26" s="33">
        <v>23</v>
      </c>
      <c r="B26" s="30">
        <v>262.3</v>
      </c>
      <c r="C26" s="30">
        <v>11.404347826086957</v>
      </c>
      <c r="D26" s="35">
        <v>1.6956521739130435</v>
      </c>
      <c r="E26" s="31">
        <v>0.47826086956521741</v>
      </c>
      <c r="F26" s="31">
        <v>0.17391304347826086</v>
      </c>
      <c r="G26" s="31">
        <v>0.37297297297297299</v>
      </c>
      <c r="H26" s="31">
        <v>0.15675675675675677</v>
      </c>
      <c r="I26" s="32">
        <v>9240.579710144928</v>
      </c>
      <c r="J26" s="32">
        <v>-8634.4827586206902</v>
      </c>
      <c r="K26" s="31">
        <v>4.3478260869565216E-2</v>
      </c>
      <c r="L26" s="31">
        <v>0.38918918918918921</v>
      </c>
      <c r="M26" s="31">
        <v>0.12972972972972974</v>
      </c>
      <c r="N26" s="31">
        <v>0.58333333333333337</v>
      </c>
      <c r="O26" s="31">
        <v>0.45833333333333331</v>
      </c>
      <c r="P26" s="31">
        <v>0.47826086956521741</v>
      </c>
    </row>
    <row r="27" spans="1:16" x14ac:dyDescent="0.4">
      <c r="A27" s="33">
        <v>24</v>
      </c>
      <c r="B27" s="30">
        <v>261.60000000000002</v>
      </c>
      <c r="C27" s="30">
        <v>10.9</v>
      </c>
      <c r="D27" s="35">
        <v>1.7083333333333333</v>
      </c>
      <c r="E27" s="31">
        <v>0.45833333333333331</v>
      </c>
      <c r="F27" s="31">
        <v>0.16666666666666666</v>
      </c>
      <c r="G27" s="31">
        <v>0.36548223350253806</v>
      </c>
      <c r="H27" s="31">
        <v>0.15736040609137056</v>
      </c>
      <c r="I27" s="32">
        <v>9294.4444444444453</v>
      </c>
      <c r="J27" s="32">
        <v>-8461.2903225806458</v>
      </c>
      <c r="K27" s="31">
        <v>4.1666666666666664E-2</v>
      </c>
      <c r="L27" s="31">
        <v>0.39086294416243655</v>
      </c>
      <c r="M27" s="31">
        <v>0.12182741116751269</v>
      </c>
      <c r="N27" s="31">
        <v>0.55844155844155841</v>
      </c>
      <c r="O27" s="31">
        <v>0.45833333333333331</v>
      </c>
      <c r="P27" s="31">
        <v>0.47222222222222221</v>
      </c>
    </row>
    <row r="28" spans="1:16" x14ac:dyDescent="0.4">
      <c r="A28" s="33">
        <v>25</v>
      </c>
      <c r="B28" s="30">
        <v>261.60000000000002</v>
      </c>
      <c r="C28" s="30">
        <v>10.464</v>
      </c>
      <c r="D28" s="35">
        <v>1.68</v>
      </c>
      <c r="E28" s="31">
        <v>0.48</v>
      </c>
      <c r="F28" s="31">
        <v>0.16</v>
      </c>
      <c r="G28" s="31">
        <v>0.36548223350253806</v>
      </c>
      <c r="H28" s="31">
        <v>0.15736040609137056</v>
      </c>
      <c r="I28" s="32">
        <v>9294.4444444444453</v>
      </c>
      <c r="J28" s="32">
        <v>-8461.2903225806458</v>
      </c>
      <c r="K28" s="31">
        <v>0.04</v>
      </c>
      <c r="L28" s="31">
        <v>0.39086294416243655</v>
      </c>
      <c r="M28" s="31">
        <v>0.12182741116751269</v>
      </c>
      <c r="N28" s="31">
        <v>0.55844155844155841</v>
      </c>
      <c r="O28" s="31">
        <v>0.45833333333333331</v>
      </c>
      <c r="P28" s="31">
        <v>0.47222222222222221</v>
      </c>
    </row>
    <row r="29" spans="1:16" x14ac:dyDescent="0.4">
      <c r="A29" s="33">
        <v>26</v>
      </c>
      <c r="B29" s="30">
        <v>212.8</v>
      </c>
      <c r="C29" s="30">
        <v>8.1846153846153857</v>
      </c>
      <c r="D29" s="35">
        <v>1.7307692307692308</v>
      </c>
      <c r="E29" s="31">
        <v>0.46153846153846156</v>
      </c>
      <c r="F29" s="31">
        <v>0.19230769230769232</v>
      </c>
      <c r="G29" s="31">
        <v>0.35714285714285715</v>
      </c>
      <c r="H29" s="31">
        <v>0.15714285714285714</v>
      </c>
      <c r="I29" s="32">
        <v>9090.6666666666661</v>
      </c>
      <c r="J29" s="32">
        <v>-8357.575757575758</v>
      </c>
      <c r="K29" s="31">
        <v>3.8461538461538464E-2</v>
      </c>
      <c r="L29" s="31">
        <v>0.39047619047619048</v>
      </c>
      <c r="M29" s="31">
        <v>0.1380952380952381</v>
      </c>
      <c r="N29" s="31">
        <v>0.53658536585365857</v>
      </c>
      <c r="O29" s="31">
        <v>0.44827586206896552</v>
      </c>
      <c r="P29" s="31">
        <v>0.46666666666666667</v>
      </c>
    </row>
    <row r="30" spans="1:16" x14ac:dyDescent="0.4">
      <c r="A30" s="33">
        <v>27</v>
      </c>
      <c r="B30" s="30">
        <v>189.70000000000002</v>
      </c>
      <c r="C30" s="30">
        <v>7.0259259259259261</v>
      </c>
      <c r="D30" s="35">
        <v>1.7777777777777777</v>
      </c>
      <c r="E30" s="31">
        <v>0.44444444444444442</v>
      </c>
      <c r="F30" s="31">
        <v>0.22222222222222221</v>
      </c>
      <c r="G30" s="31">
        <v>0.35159817351598172</v>
      </c>
      <c r="H30" s="31">
        <v>0.15525114155251141</v>
      </c>
      <c r="I30" s="32">
        <v>9062.3376623376626</v>
      </c>
      <c r="J30" s="32">
        <v>-8464.7058823529405</v>
      </c>
      <c r="K30" s="31">
        <v>3.7037037037037035E-2</v>
      </c>
      <c r="L30" s="31">
        <v>0.39726027397260272</v>
      </c>
      <c r="M30" s="31">
        <v>0.13242009132420091</v>
      </c>
      <c r="N30" s="31">
        <v>0.52873563218390807</v>
      </c>
      <c r="O30" s="31">
        <v>0.44827586206896552</v>
      </c>
      <c r="P30" s="31">
        <v>0.46753246753246752</v>
      </c>
    </row>
    <row r="31" spans="1:16" x14ac:dyDescent="0.4">
      <c r="A31" s="33">
        <v>28</v>
      </c>
      <c r="B31" s="30">
        <v>219.4</v>
      </c>
      <c r="C31" s="30">
        <v>7.8357142857142863</v>
      </c>
      <c r="D31" s="35">
        <v>1.75</v>
      </c>
      <c r="E31" s="31">
        <v>0.4642857142857143</v>
      </c>
      <c r="F31" s="31">
        <v>0.21428571428571427</v>
      </c>
      <c r="G31" s="31">
        <v>0.3524229074889868</v>
      </c>
      <c r="H31" s="31">
        <v>0.15418502202643172</v>
      </c>
      <c r="I31" s="32">
        <v>9193.75</v>
      </c>
      <c r="J31" s="32">
        <v>-8565.7142857142862</v>
      </c>
      <c r="K31" s="31">
        <v>3.5714285714285712E-2</v>
      </c>
      <c r="L31" s="31">
        <v>0.40088105726872247</v>
      </c>
      <c r="M31" s="31">
        <v>0.1277533039647577</v>
      </c>
      <c r="N31" s="31">
        <v>0.52747252747252749</v>
      </c>
      <c r="O31" s="31">
        <v>0.44827586206896552</v>
      </c>
      <c r="P31" s="31">
        <v>0.48749999999999999</v>
      </c>
    </row>
    <row r="32" spans="1:16" x14ac:dyDescent="0.4">
      <c r="A32" s="33">
        <v>29</v>
      </c>
      <c r="B32" s="30">
        <v>252.3</v>
      </c>
      <c r="C32" s="30">
        <v>8.7000000000000011</v>
      </c>
      <c r="D32" s="35">
        <v>1.7241379310344827</v>
      </c>
      <c r="E32" s="31">
        <v>0.48275862068965519</v>
      </c>
      <c r="F32" s="31">
        <v>0.20689655172413793</v>
      </c>
      <c r="G32" s="31">
        <v>0.35897435897435898</v>
      </c>
      <c r="H32" s="31">
        <v>0.14957264957264957</v>
      </c>
      <c r="I32" s="32">
        <v>9063.0952380952385</v>
      </c>
      <c r="J32" s="32">
        <v>-8565.7142857142862</v>
      </c>
      <c r="K32" s="31">
        <v>3.4482758620689655E-2</v>
      </c>
      <c r="L32" s="31">
        <v>0.39316239316239315</v>
      </c>
      <c r="M32" s="31">
        <v>0.14102564102564102</v>
      </c>
      <c r="N32" s="31">
        <v>0.52173913043478259</v>
      </c>
      <c r="O32" s="31">
        <v>0.51515151515151514</v>
      </c>
      <c r="P32" s="31">
        <v>0.47619047619047616</v>
      </c>
    </row>
    <row r="33" spans="1:16" x14ac:dyDescent="0.4">
      <c r="A33" s="33">
        <v>30</v>
      </c>
      <c r="B33" s="30">
        <v>258.2</v>
      </c>
      <c r="C33" s="30">
        <v>8.6066666666666656</v>
      </c>
      <c r="D33" s="35">
        <v>1.7333333333333334</v>
      </c>
      <c r="E33" s="31">
        <v>0.46666666666666667</v>
      </c>
      <c r="F33" s="31">
        <v>0.2</v>
      </c>
      <c r="G33" s="31">
        <v>0.35390946502057613</v>
      </c>
      <c r="H33" s="31">
        <v>0.1440329218106996</v>
      </c>
      <c r="I33" s="32">
        <v>9084.8837209302328</v>
      </c>
      <c r="J33" s="32">
        <v>-8565.7142857142862</v>
      </c>
      <c r="K33" s="31">
        <v>3.3333333333333333E-2</v>
      </c>
      <c r="L33" s="31">
        <v>0.38683127572016462</v>
      </c>
      <c r="M33" s="31">
        <v>0.13991769547325103</v>
      </c>
      <c r="N33" s="31">
        <v>0.52127659574468088</v>
      </c>
      <c r="O33" s="31">
        <v>0.52941176470588236</v>
      </c>
      <c r="P33" s="31">
        <v>0.46511627906976744</v>
      </c>
    </row>
    <row r="34" spans="1:16" x14ac:dyDescent="0.4">
      <c r="A34" s="33">
        <v>31</v>
      </c>
      <c r="B34" s="30">
        <v>230.79999999999998</v>
      </c>
      <c r="C34" s="30">
        <v>7.4451612903225799</v>
      </c>
      <c r="D34" s="35">
        <v>1.7741935483870968</v>
      </c>
      <c r="E34" s="31">
        <v>0.45161290322580644</v>
      </c>
      <c r="F34" s="31">
        <v>0.22580645161290322</v>
      </c>
      <c r="G34" s="31">
        <v>0.3534136546184739</v>
      </c>
      <c r="H34" s="31">
        <v>0.14457831325301204</v>
      </c>
      <c r="I34" s="32">
        <v>8969.318181818182</v>
      </c>
      <c r="J34" s="32">
        <v>-8550</v>
      </c>
      <c r="K34" s="31">
        <v>3.2258064516129031E-2</v>
      </c>
      <c r="L34" s="31">
        <v>0.38554216867469882</v>
      </c>
      <c r="M34" s="31">
        <v>0.13654618473895583</v>
      </c>
      <c r="N34" s="31">
        <v>0.53125</v>
      </c>
      <c r="O34" s="31">
        <v>0.52941176470588236</v>
      </c>
      <c r="P34" s="31">
        <v>0.47727272727272729</v>
      </c>
    </row>
    <row r="35" spans="1:16" x14ac:dyDescent="0.4">
      <c r="A35" s="33">
        <v>32</v>
      </c>
      <c r="B35" s="30">
        <v>304.29999999999995</v>
      </c>
      <c r="C35" s="30">
        <v>9.5093749999999986</v>
      </c>
      <c r="D35" s="35">
        <v>1.75</v>
      </c>
      <c r="E35" s="31">
        <v>0.46875</v>
      </c>
      <c r="F35" s="31">
        <v>0.21875</v>
      </c>
      <c r="G35" s="31">
        <v>0.35632183908045978</v>
      </c>
      <c r="H35" s="31">
        <v>0.13793103448275862</v>
      </c>
      <c r="I35" s="32">
        <v>9150.5376344086017</v>
      </c>
      <c r="J35" s="32">
        <v>-8550</v>
      </c>
      <c r="K35" s="31">
        <v>3.125E-2</v>
      </c>
      <c r="L35" s="31">
        <v>0.37931034482758619</v>
      </c>
      <c r="M35" s="31">
        <v>0.13409961685823754</v>
      </c>
      <c r="N35" s="31">
        <v>0.54545454545454541</v>
      </c>
      <c r="O35" s="31">
        <v>0.51428571428571423</v>
      </c>
      <c r="P35" s="31">
        <v>0.46236559139784944</v>
      </c>
    </row>
    <row r="36" spans="1:16" x14ac:dyDescent="0.4">
      <c r="A36" s="33">
        <v>33</v>
      </c>
      <c r="B36" s="30">
        <v>304.49999999999994</v>
      </c>
      <c r="C36" s="30">
        <v>9.2272727272727249</v>
      </c>
      <c r="D36" s="35">
        <v>1.7575757575757576</v>
      </c>
      <c r="E36" s="31">
        <v>0.45454545454545453</v>
      </c>
      <c r="F36" s="31">
        <v>0.21212121212121213</v>
      </c>
      <c r="G36" s="31">
        <v>0.35849056603773582</v>
      </c>
      <c r="H36" s="31">
        <v>0.13584905660377358</v>
      </c>
      <c r="I36" s="32">
        <v>9054.7368421052633</v>
      </c>
      <c r="J36" s="32">
        <v>-8550</v>
      </c>
      <c r="K36" s="31">
        <v>3.0303030303030304E-2</v>
      </c>
      <c r="L36" s="31">
        <v>0.37735849056603776</v>
      </c>
      <c r="M36" s="31">
        <v>0.13207547169811321</v>
      </c>
      <c r="N36" s="31">
        <v>0.55000000000000004</v>
      </c>
      <c r="O36" s="31">
        <v>0.51428571428571423</v>
      </c>
      <c r="P36" s="31">
        <v>0.4631578947368421</v>
      </c>
    </row>
    <row r="37" spans="1:16" x14ac:dyDescent="0.4">
      <c r="A37" s="33">
        <v>34</v>
      </c>
      <c r="B37" s="30">
        <v>372.49999999999994</v>
      </c>
      <c r="C37" s="30">
        <v>10.955882352941174</v>
      </c>
      <c r="D37" s="35">
        <v>1.7352941176470589</v>
      </c>
      <c r="E37" s="31">
        <v>0.47058823529411764</v>
      </c>
      <c r="F37" s="31">
        <v>0.20588235294117646</v>
      </c>
      <c r="G37" s="31">
        <v>0.36090225563909772</v>
      </c>
      <c r="H37" s="31">
        <v>0.13533834586466165</v>
      </c>
      <c r="I37" s="32">
        <v>9460.4166666666661</v>
      </c>
      <c r="J37" s="32">
        <v>-8550</v>
      </c>
      <c r="K37" s="31">
        <v>2.9411764705882353E-2</v>
      </c>
      <c r="L37" s="31">
        <v>0.37593984962406013</v>
      </c>
      <c r="M37" s="31">
        <v>0.13157894736842105</v>
      </c>
      <c r="N37" s="31">
        <v>0.55000000000000004</v>
      </c>
      <c r="O37" s="31">
        <v>0.51428571428571423</v>
      </c>
      <c r="P37" s="31">
        <v>0.45833333333333331</v>
      </c>
    </row>
    <row r="38" spans="1:16" x14ac:dyDescent="0.4">
      <c r="A38" s="33">
        <v>35</v>
      </c>
      <c r="B38" s="30">
        <v>317.99999999999994</v>
      </c>
      <c r="C38" s="30">
        <v>9.0857142857142836</v>
      </c>
      <c r="D38" s="35">
        <v>1.7714285714285714</v>
      </c>
      <c r="E38" s="31">
        <v>0.45714285714285713</v>
      </c>
      <c r="F38" s="31">
        <v>0.22857142857142856</v>
      </c>
      <c r="G38" s="31">
        <v>0.35036496350364965</v>
      </c>
      <c r="H38" s="31">
        <v>0.13503649635036497</v>
      </c>
      <c r="I38" s="32">
        <v>9460.4166666666661</v>
      </c>
      <c r="J38" s="32">
        <v>-8527.0270270270266</v>
      </c>
      <c r="K38" s="31">
        <v>2.8571428571428571E-2</v>
      </c>
      <c r="L38" s="31">
        <v>0.37226277372262773</v>
      </c>
      <c r="M38" s="31">
        <v>0.13503649635036497</v>
      </c>
      <c r="N38" s="31">
        <v>0.53921568627450978</v>
      </c>
      <c r="O38" s="31">
        <v>0.48648648648648651</v>
      </c>
      <c r="P38" s="31">
        <v>0.45833333333333331</v>
      </c>
    </row>
    <row r="39" spans="1:16" x14ac:dyDescent="0.4">
      <c r="A39" s="33">
        <v>36</v>
      </c>
      <c r="B39" s="30">
        <v>358.59999999999997</v>
      </c>
      <c r="C39" s="30">
        <v>9.9611111111111104</v>
      </c>
      <c r="D39" s="35">
        <v>1.75</v>
      </c>
      <c r="E39" s="31">
        <v>0.47222222222222221</v>
      </c>
      <c r="F39" s="31">
        <v>0.22222222222222221</v>
      </c>
      <c r="G39" s="31">
        <v>0.34965034965034963</v>
      </c>
      <c r="H39" s="31">
        <v>0.14335664335664336</v>
      </c>
      <c r="I39" s="32">
        <v>9620</v>
      </c>
      <c r="J39" s="32">
        <v>-8512.1951219512193</v>
      </c>
      <c r="K39" s="31">
        <v>2.7777777777777776E-2</v>
      </c>
      <c r="L39" s="31">
        <v>0.37412587412587411</v>
      </c>
      <c r="M39" s="31">
        <v>0.13636363636363635</v>
      </c>
      <c r="N39" s="31">
        <v>0.54205607476635509</v>
      </c>
      <c r="O39" s="31">
        <v>0.48717948717948717</v>
      </c>
      <c r="P39" s="31">
        <v>0.46</v>
      </c>
    </row>
    <row r="40" spans="1:16" x14ac:dyDescent="0.4">
      <c r="A40" s="33">
        <v>37</v>
      </c>
      <c r="B40" s="30">
        <v>342.59999999999997</v>
      </c>
      <c r="C40" s="30">
        <v>9.2594594594594586</v>
      </c>
      <c r="D40" s="35">
        <v>1.7567567567567568</v>
      </c>
      <c r="E40" s="31">
        <v>0.45945945945945948</v>
      </c>
      <c r="F40" s="31">
        <v>0.21621621621621623</v>
      </c>
      <c r="G40" s="31">
        <v>0.34827586206896549</v>
      </c>
      <c r="H40" s="31">
        <v>0.14482758620689656</v>
      </c>
      <c r="I40" s="32">
        <v>9603.9603960396034</v>
      </c>
      <c r="J40" s="32">
        <v>-8738.0952380952385</v>
      </c>
      <c r="K40" s="31">
        <v>2.7027027027027029E-2</v>
      </c>
      <c r="L40" s="31">
        <v>0.37586206896551722</v>
      </c>
      <c r="M40" s="31">
        <v>0.13448275862068965</v>
      </c>
      <c r="N40" s="31">
        <v>0.54128440366972475</v>
      </c>
      <c r="O40" s="31">
        <v>0.48717948717948717</v>
      </c>
      <c r="P40" s="31">
        <v>0.45544554455445546</v>
      </c>
    </row>
    <row r="41" spans="1:16" x14ac:dyDescent="0.4">
      <c r="A41" s="33">
        <v>38</v>
      </c>
      <c r="B41" s="30">
        <v>310.7</v>
      </c>
      <c r="C41" s="30">
        <v>8.1763157894736835</v>
      </c>
      <c r="D41" s="35">
        <v>1.7894736842105263</v>
      </c>
      <c r="E41" s="31">
        <v>0.44736842105263158</v>
      </c>
      <c r="F41" s="31">
        <v>0.23684210526315788</v>
      </c>
      <c r="G41" s="31">
        <v>0.34797297297297297</v>
      </c>
      <c r="H41" s="31">
        <v>0.14527027027027026</v>
      </c>
      <c r="I41" s="32">
        <v>9515.5339805825242</v>
      </c>
      <c r="J41" s="32">
        <v>-8813.9534883720935</v>
      </c>
      <c r="K41" s="31">
        <v>2.6315789473684209E-2</v>
      </c>
      <c r="L41" s="31">
        <v>0.3716216216216216</v>
      </c>
      <c r="M41" s="31">
        <v>0.13851351351351351</v>
      </c>
      <c r="N41" s="31">
        <v>0.54545454545454541</v>
      </c>
      <c r="O41" s="31">
        <v>0.48780487804878048</v>
      </c>
      <c r="P41" s="31">
        <v>0.46601941747572817</v>
      </c>
    </row>
    <row r="42" spans="1:16" x14ac:dyDescent="0.4">
      <c r="A42" s="33">
        <v>39</v>
      </c>
      <c r="B42" s="30">
        <v>297.5</v>
      </c>
      <c r="C42" s="30">
        <v>7.6282051282051286</v>
      </c>
      <c r="D42" s="35">
        <v>1.7948717948717949</v>
      </c>
      <c r="E42" s="31">
        <v>0.4358974358974359</v>
      </c>
      <c r="F42" s="31">
        <v>0.23076923076923078</v>
      </c>
      <c r="G42" s="31">
        <v>0.34967320261437906</v>
      </c>
      <c r="H42" s="31">
        <v>0.15032679738562091</v>
      </c>
      <c r="I42" s="32">
        <v>9402.8037383177561</v>
      </c>
      <c r="J42" s="32">
        <v>-8752.173913043478</v>
      </c>
      <c r="K42" s="31">
        <v>2.564102564102564E-2</v>
      </c>
      <c r="L42" s="31">
        <v>0.37254901960784315</v>
      </c>
      <c r="M42" s="31">
        <v>0.14052287581699346</v>
      </c>
      <c r="N42" s="31">
        <v>0.55263157894736847</v>
      </c>
      <c r="O42" s="31">
        <v>0.48837209302325579</v>
      </c>
      <c r="P42" s="31">
        <v>0.45794392523364486</v>
      </c>
    </row>
    <row r="43" spans="1:16" x14ac:dyDescent="0.4">
      <c r="A43" s="33">
        <v>40</v>
      </c>
      <c r="B43" s="30">
        <v>349.3</v>
      </c>
      <c r="C43" s="30">
        <v>8.7324999999999999</v>
      </c>
      <c r="D43" s="35">
        <v>1.7749999999999999</v>
      </c>
      <c r="E43" s="31">
        <v>0.45</v>
      </c>
      <c r="F43" s="31">
        <v>0.22500000000000001</v>
      </c>
      <c r="G43" s="31">
        <v>0.35443037974683544</v>
      </c>
      <c r="H43" s="31">
        <v>0.14873417721518986</v>
      </c>
      <c r="I43" s="32">
        <v>9358.0357142857138</v>
      </c>
      <c r="J43" s="32">
        <v>-8676.5957446808516</v>
      </c>
      <c r="K43" s="31">
        <v>2.5000000000000001E-2</v>
      </c>
      <c r="L43" s="31">
        <v>0.370253164556962</v>
      </c>
      <c r="M43" s="31">
        <v>0.14873417721518986</v>
      </c>
      <c r="N43" s="31">
        <v>0.55555555555555558</v>
      </c>
      <c r="O43" s="31">
        <v>0.48936170212765956</v>
      </c>
      <c r="P43" s="31">
        <v>0.4642857142857143</v>
      </c>
    </row>
    <row r="44" spans="1:16" x14ac:dyDescent="0.4">
      <c r="A44" s="33">
        <v>41</v>
      </c>
      <c r="B44" s="30">
        <v>342.8</v>
      </c>
      <c r="C44" s="30">
        <v>8.3609756097560979</v>
      </c>
      <c r="D44" s="35">
        <v>1.7804878048780488</v>
      </c>
      <c r="E44" s="31">
        <v>0.43902439024390244</v>
      </c>
      <c r="F44" s="31">
        <v>0.21951219512195122</v>
      </c>
      <c r="G44" s="31">
        <v>0.34756097560975607</v>
      </c>
      <c r="H44" s="31">
        <v>0.1524390243902439</v>
      </c>
      <c r="I44" s="32">
        <v>9341.2280701754389</v>
      </c>
      <c r="J44" s="32">
        <v>-8446</v>
      </c>
      <c r="K44" s="31">
        <v>2.4390243902439025E-2</v>
      </c>
      <c r="L44" s="31">
        <v>0.36280487804878048</v>
      </c>
      <c r="M44" s="31">
        <v>0.14329268292682926</v>
      </c>
      <c r="N44" s="31">
        <v>0.55462184873949583</v>
      </c>
      <c r="O44" s="31">
        <v>0.48936170212765956</v>
      </c>
      <c r="P44" s="31">
        <v>0.46491228070175439</v>
      </c>
    </row>
    <row r="45" spans="1:16" x14ac:dyDescent="0.4">
      <c r="A45" s="33">
        <v>42</v>
      </c>
      <c r="B45" s="30">
        <v>341.5</v>
      </c>
      <c r="C45" s="30">
        <v>8.1309523809523814</v>
      </c>
      <c r="D45" s="35">
        <v>1.7857142857142858</v>
      </c>
      <c r="E45" s="31">
        <v>0.42857142857142855</v>
      </c>
      <c r="F45" s="31">
        <v>0.21428571428571427</v>
      </c>
      <c r="G45" s="31">
        <v>0.34615384615384615</v>
      </c>
      <c r="H45" s="31">
        <v>0.14792899408284024</v>
      </c>
      <c r="I45" s="32">
        <v>9223.0769230769238</v>
      </c>
      <c r="J45" s="32">
        <v>-8446</v>
      </c>
      <c r="K45" s="31">
        <v>2.3809523809523808E-2</v>
      </c>
      <c r="L45" s="31">
        <v>0.35502958579881655</v>
      </c>
      <c r="M45" s="31">
        <v>0.14497041420118342</v>
      </c>
      <c r="N45" s="31">
        <v>0.55833333333333335</v>
      </c>
      <c r="O45" s="31">
        <v>0.51020408163265307</v>
      </c>
      <c r="P45" s="31">
        <v>0.45299145299145299</v>
      </c>
    </row>
    <row r="46" spans="1:16" x14ac:dyDescent="0.4">
      <c r="A46" s="33">
        <v>43</v>
      </c>
      <c r="B46" s="30">
        <v>306.5</v>
      </c>
      <c r="C46" s="30">
        <v>7.1279069767441863</v>
      </c>
      <c r="D46" s="35">
        <v>1.8139534883720929</v>
      </c>
      <c r="E46" s="31">
        <v>0.41860465116279072</v>
      </c>
      <c r="F46" s="31">
        <v>0.23255813953488372</v>
      </c>
      <c r="G46" s="31">
        <v>0.34693877551020408</v>
      </c>
      <c r="H46" s="31">
        <v>0.14868804664723032</v>
      </c>
      <c r="I46" s="32">
        <v>9200</v>
      </c>
      <c r="J46" s="32">
        <v>-8431.3725490196084</v>
      </c>
      <c r="K46" s="31">
        <v>2.3255813953488372E-2</v>
      </c>
      <c r="L46" s="31">
        <v>0.35860058309037901</v>
      </c>
      <c r="M46" s="31">
        <v>0.1457725947521866</v>
      </c>
      <c r="N46" s="31">
        <v>0.56097560975609762</v>
      </c>
      <c r="O46" s="31">
        <v>0.5</v>
      </c>
      <c r="P46" s="31">
        <v>0.44537815126050423</v>
      </c>
    </row>
    <row r="47" spans="1:16" x14ac:dyDescent="0.4">
      <c r="A47" s="33">
        <v>44</v>
      </c>
      <c r="B47" s="30">
        <v>352.7</v>
      </c>
      <c r="C47" s="30">
        <v>8.0159090909090907</v>
      </c>
      <c r="D47" s="35">
        <v>1.7954545454545454</v>
      </c>
      <c r="E47" s="31">
        <v>0.43181818181818182</v>
      </c>
      <c r="F47" s="31">
        <v>0.22727272727272727</v>
      </c>
      <c r="G47" s="31">
        <v>0.35142857142857142</v>
      </c>
      <c r="H47" s="31">
        <v>0.14571428571428571</v>
      </c>
      <c r="I47" s="32">
        <v>9130.0813008130081</v>
      </c>
      <c r="J47" s="32">
        <v>-8431.3725490196084</v>
      </c>
      <c r="K47" s="31">
        <v>2.2727272727272728E-2</v>
      </c>
      <c r="L47" s="31">
        <v>0.35714285714285715</v>
      </c>
      <c r="M47" s="31">
        <v>0.14571428571428571</v>
      </c>
      <c r="N47" s="31">
        <v>0.56799999999999995</v>
      </c>
      <c r="O47" s="31">
        <v>0.50980392156862742</v>
      </c>
      <c r="P47" s="31">
        <v>0.44715447154471544</v>
      </c>
    </row>
    <row r="48" spans="1:16" x14ac:dyDescent="0.4">
      <c r="A48" s="33">
        <v>45</v>
      </c>
      <c r="B48" s="30">
        <v>333.09999999999997</v>
      </c>
      <c r="C48" s="30">
        <v>7.4022222222222211</v>
      </c>
      <c r="D48" s="35">
        <v>1.8</v>
      </c>
      <c r="E48" s="31">
        <v>0.42222222222222222</v>
      </c>
      <c r="F48" s="31">
        <v>0.22222222222222221</v>
      </c>
      <c r="G48" s="31">
        <v>0.34435261707988979</v>
      </c>
      <c r="H48" s="31">
        <v>0.14600550964187328</v>
      </c>
      <c r="I48" s="32">
        <v>9051.2000000000007</v>
      </c>
      <c r="J48" s="32">
        <v>-8477.3584905660373</v>
      </c>
      <c r="K48" s="31">
        <v>2.2222222222222223E-2</v>
      </c>
      <c r="L48" s="31">
        <v>0.34710743801652894</v>
      </c>
      <c r="M48" s="31">
        <v>0.15151515151515152</v>
      </c>
      <c r="N48" s="31">
        <v>0.56349206349206349</v>
      </c>
      <c r="O48" s="31">
        <v>0.49090909090909091</v>
      </c>
      <c r="P48" s="31">
        <v>0.44</v>
      </c>
    </row>
    <row r="49" spans="1:16" x14ac:dyDescent="0.4">
      <c r="A49" s="33">
        <v>46</v>
      </c>
      <c r="B49" s="30">
        <v>368.2</v>
      </c>
      <c r="C49" s="30">
        <v>8.0043478260869563</v>
      </c>
      <c r="D49" s="35">
        <v>1.7826086956521738</v>
      </c>
      <c r="E49" s="31">
        <v>0.43478260869565216</v>
      </c>
      <c r="F49" s="31">
        <v>0.21739130434782608</v>
      </c>
      <c r="G49" s="31">
        <v>0.34677419354838712</v>
      </c>
      <c r="H49" s="31">
        <v>0.1424731182795699</v>
      </c>
      <c r="I49" s="32">
        <v>8962.790697674418</v>
      </c>
      <c r="J49" s="32">
        <v>-8477.3584905660373</v>
      </c>
      <c r="K49" s="31">
        <v>2.1739130434782608E-2</v>
      </c>
      <c r="L49" s="31">
        <v>0.34677419354838712</v>
      </c>
      <c r="M49" s="31">
        <v>0.15591397849462366</v>
      </c>
      <c r="N49" s="31">
        <v>0.55813953488372092</v>
      </c>
      <c r="O49" s="31">
        <v>0.5</v>
      </c>
      <c r="P49" s="31">
        <v>0.4263565891472868</v>
      </c>
    </row>
    <row r="50" spans="1:16" x14ac:dyDescent="0.4">
      <c r="A50" s="33">
        <v>47</v>
      </c>
      <c r="B50" s="30">
        <v>289.2</v>
      </c>
      <c r="C50" s="30">
        <v>6.1531914893617019</v>
      </c>
      <c r="D50" s="35">
        <v>1.8085106382978724</v>
      </c>
      <c r="E50" s="31">
        <v>0.42553191489361702</v>
      </c>
      <c r="F50" s="31">
        <v>0.23404255319148937</v>
      </c>
      <c r="G50" s="31">
        <v>0.34203655352480417</v>
      </c>
      <c r="H50" s="31">
        <v>0.14360313315926893</v>
      </c>
      <c r="I50" s="32">
        <v>8948.0916030534354</v>
      </c>
      <c r="J50" s="32">
        <v>-8714.545454545454</v>
      </c>
      <c r="K50" s="31">
        <v>4.2553191489361701E-2</v>
      </c>
      <c r="L50" s="31">
        <v>0.3472584856396867</v>
      </c>
      <c r="M50" s="31">
        <v>0.15926892950391644</v>
      </c>
      <c r="N50" s="31">
        <v>0.54887218045112784</v>
      </c>
      <c r="O50" s="31">
        <v>0.47540983606557374</v>
      </c>
      <c r="P50" s="31">
        <v>0.4351145038167939</v>
      </c>
    </row>
    <row r="51" spans="1:16" x14ac:dyDescent="0.4">
      <c r="A51" s="33">
        <v>48</v>
      </c>
      <c r="B51" s="30">
        <v>333.5</v>
      </c>
      <c r="C51" s="30">
        <v>6.947916666666667</v>
      </c>
      <c r="D51" s="35">
        <v>1.7916666666666667</v>
      </c>
      <c r="E51" s="31">
        <v>0.4375</v>
      </c>
      <c r="F51" s="31">
        <v>0.22916666666666666</v>
      </c>
      <c r="G51" s="31">
        <v>0.34793814432989689</v>
      </c>
      <c r="H51" s="31">
        <v>0.14175257731958762</v>
      </c>
      <c r="I51" s="32">
        <v>9003.7037037037044</v>
      </c>
      <c r="J51" s="32">
        <v>-8714.545454545454</v>
      </c>
      <c r="K51" s="31">
        <v>4.1666666666666664E-2</v>
      </c>
      <c r="L51" s="31">
        <v>0.35051546391752575</v>
      </c>
      <c r="M51" s="31">
        <v>0.15721649484536082</v>
      </c>
      <c r="N51" s="31">
        <v>0.55882352941176472</v>
      </c>
      <c r="O51" s="31">
        <v>0.47540983606557374</v>
      </c>
      <c r="P51" s="31">
        <v>0.43703703703703706</v>
      </c>
    </row>
    <row r="52" spans="1:16" x14ac:dyDescent="0.4">
      <c r="A52" s="33">
        <v>49</v>
      </c>
      <c r="B52" s="30">
        <v>302.10000000000002</v>
      </c>
      <c r="C52" s="30">
        <v>6.16530612244898</v>
      </c>
      <c r="D52" s="35">
        <v>1.8163265306122449</v>
      </c>
      <c r="E52" s="31">
        <v>0.42857142857142855</v>
      </c>
      <c r="F52" s="31">
        <v>0.24489795918367346</v>
      </c>
      <c r="G52" s="31">
        <v>0.34343434343434343</v>
      </c>
      <c r="H52" s="31">
        <v>0.14141414141414141</v>
      </c>
      <c r="I52" s="32">
        <v>8966.176470588236</v>
      </c>
      <c r="J52" s="32">
        <v>-8701.7857142857138</v>
      </c>
      <c r="K52" s="31">
        <v>4.0816326530612242E-2</v>
      </c>
      <c r="L52" s="31">
        <v>0.34595959595959597</v>
      </c>
      <c r="M52" s="31">
        <v>0.15656565656565657</v>
      </c>
      <c r="N52" s="31">
        <v>0.56204379562043794</v>
      </c>
      <c r="O52" s="31">
        <v>0.46774193548387094</v>
      </c>
      <c r="P52" s="31">
        <v>0.43382352941176472</v>
      </c>
    </row>
    <row r="53" spans="1:16" x14ac:dyDescent="0.4">
      <c r="A53" s="33">
        <v>50</v>
      </c>
      <c r="B53" s="30">
        <v>358.5</v>
      </c>
      <c r="C53" s="30">
        <v>7.17</v>
      </c>
      <c r="D53" s="35">
        <v>1.8</v>
      </c>
      <c r="E53" s="31">
        <v>0.44</v>
      </c>
      <c r="F53" s="31">
        <v>0.24</v>
      </c>
      <c r="G53" s="31">
        <v>0.34739454094292804</v>
      </c>
      <c r="H53" s="31">
        <v>0.13895781637717122</v>
      </c>
      <c r="I53" s="32">
        <v>8912.8571428571431</v>
      </c>
      <c r="J53" s="32">
        <v>-8701.7857142857138</v>
      </c>
      <c r="K53" s="31">
        <v>0.04</v>
      </c>
      <c r="L53" s="31">
        <v>0.34739454094292804</v>
      </c>
      <c r="M53" s="31">
        <v>0.16129032258064516</v>
      </c>
      <c r="N53" s="31">
        <v>0.5714285714285714</v>
      </c>
      <c r="O53" s="31">
        <v>0.46153846153846156</v>
      </c>
      <c r="P53" s="31">
        <v>0.43571428571428572</v>
      </c>
    </row>
    <row r="54" spans="1:16" x14ac:dyDescent="0.4">
      <c r="A54" s="33">
        <v>51</v>
      </c>
      <c r="B54" s="30">
        <v>402.7</v>
      </c>
      <c r="C54" s="30">
        <v>7.8960784313725485</v>
      </c>
      <c r="D54" s="35">
        <v>1.7843137254901962</v>
      </c>
      <c r="E54" s="31">
        <v>0.45098039215686275</v>
      </c>
      <c r="F54" s="31">
        <v>0.23529411764705882</v>
      </c>
      <c r="G54" s="31">
        <v>0.34951456310679613</v>
      </c>
      <c r="H54" s="31">
        <v>0.14077669902912621</v>
      </c>
      <c r="I54" s="32">
        <v>8937.5</v>
      </c>
      <c r="J54" s="32">
        <v>-8677.5862068965525</v>
      </c>
      <c r="K54" s="31">
        <v>3.9215686274509803E-2</v>
      </c>
      <c r="L54" s="31">
        <v>0.35194174757281554</v>
      </c>
      <c r="M54" s="31">
        <v>0.15776699029126215</v>
      </c>
      <c r="N54" s="31">
        <v>0.57241379310344831</v>
      </c>
      <c r="O54" s="31">
        <v>0.46153846153846156</v>
      </c>
      <c r="P54" s="31">
        <v>0.4375</v>
      </c>
    </row>
    <row r="55" spans="1:16" x14ac:dyDescent="0.4">
      <c r="A55" s="33">
        <v>52</v>
      </c>
      <c r="B55" s="30">
        <v>411.8</v>
      </c>
      <c r="C55" s="30">
        <v>7.9192307692307695</v>
      </c>
      <c r="D55" s="35">
        <v>1.7884615384615385</v>
      </c>
      <c r="E55" s="31">
        <v>0.44230769230769229</v>
      </c>
      <c r="F55" s="31">
        <v>0.23076923076923078</v>
      </c>
      <c r="G55" s="31">
        <v>0.34834123222748814</v>
      </c>
      <c r="H55" s="31">
        <v>0.13981042654028436</v>
      </c>
      <c r="I55" s="32">
        <v>8946.2585034013609</v>
      </c>
      <c r="J55" s="32">
        <v>-8733.8983050847455</v>
      </c>
      <c r="K55" s="31">
        <v>3.8461538461538464E-2</v>
      </c>
      <c r="L55" s="31">
        <v>0.35308056872037913</v>
      </c>
      <c r="M55" s="31">
        <v>0.15639810426540285</v>
      </c>
      <c r="N55" s="31">
        <v>0.57046979865771807</v>
      </c>
      <c r="O55" s="31">
        <v>0.46969696969696972</v>
      </c>
      <c r="P55" s="31">
        <v>0.43537414965986393</v>
      </c>
    </row>
    <row r="56" spans="1:16" x14ac:dyDescent="0.4">
      <c r="A56" s="33">
        <v>53</v>
      </c>
      <c r="B56" s="30">
        <v>354.90000000000003</v>
      </c>
      <c r="C56" s="30">
        <v>6.6962264150943405</v>
      </c>
      <c r="D56" s="35">
        <v>1.8113207547169812</v>
      </c>
      <c r="E56" s="31">
        <v>0.43396226415094341</v>
      </c>
      <c r="F56" s="31">
        <v>0.24528301886792453</v>
      </c>
      <c r="G56" s="31">
        <v>0.34651162790697676</v>
      </c>
      <c r="H56" s="31">
        <v>0.14418604651162792</v>
      </c>
      <c r="I56" s="32">
        <v>8904.0268456375834</v>
      </c>
      <c r="J56" s="32">
        <v>-8762.9032258064508</v>
      </c>
      <c r="K56" s="31">
        <v>5.6603773584905662E-2</v>
      </c>
      <c r="L56" s="31">
        <v>0.36046511627906974</v>
      </c>
      <c r="M56" s="31">
        <v>0.1558139534883721</v>
      </c>
      <c r="N56" s="31">
        <v>0.56129032258064515</v>
      </c>
      <c r="O56" s="31">
        <v>0.46268656716417911</v>
      </c>
      <c r="P56" s="31">
        <v>0.42953020134228187</v>
      </c>
    </row>
    <row r="57" spans="1:16" x14ac:dyDescent="0.4">
      <c r="A57" s="33">
        <v>54</v>
      </c>
      <c r="B57" s="30">
        <v>366.90000000000003</v>
      </c>
      <c r="C57" s="30">
        <v>6.7944444444444452</v>
      </c>
      <c r="D57" s="35">
        <v>1.8148148148148149</v>
      </c>
      <c r="E57" s="31">
        <v>0.42592592592592593</v>
      </c>
      <c r="F57" s="31">
        <v>0.24074074074074073</v>
      </c>
      <c r="G57" s="31">
        <v>0.34851936218678814</v>
      </c>
      <c r="H57" s="31">
        <v>0.14123006833712984</v>
      </c>
      <c r="I57" s="32">
        <v>8888.2352941176468</v>
      </c>
      <c r="J57" s="32">
        <v>-8762.9032258064508</v>
      </c>
      <c r="K57" s="31">
        <v>5.5555555555555552E-2</v>
      </c>
      <c r="L57" s="31">
        <v>0.36902050113895218</v>
      </c>
      <c r="M57" s="31">
        <v>0.15489749430523919</v>
      </c>
      <c r="N57" s="31">
        <v>0.56172839506172845</v>
      </c>
      <c r="O57" s="31">
        <v>0.45588235294117646</v>
      </c>
      <c r="P57" s="31">
        <v>0.41830065359477125</v>
      </c>
    </row>
    <row r="58" spans="1:16" x14ac:dyDescent="0.4">
      <c r="A58" s="33">
        <v>55</v>
      </c>
      <c r="B58" s="30">
        <v>305.60000000000002</v>
      </c>
      <c r="C58" s="30">
        <v>5.5563636363636366</v>
      </c>
      <c r="D58" s="35">
        <v>1.8363636363636364</v>
      </c>
      <c r="E58" s="31">
        <v>0.41818181818181815</v>
      </c>
      <c r="F58" s="31">
        <v>0.25454545454545452</v>
      </c>
      <c r="G58" s="31">
        <v>0.34606741573033706</v>
      </c>
      <c r="H58" s="31">
        <v>0.14606741573033707</v>
      </c>
      <c r="I58" s="32">
        <v>8880.5194805194806</v>
      </c>
      <c r="J58" s="32">
        <v>-8912.3076923076915</v>
      </c>
      <c r="K58" s="31">
        <v>7.2727272727272724E-2</v>
      </c>
      <c r="L58" s="31">
        <v>0.37303370786516854</v>
      </c>
      <c r="M58" s="31">
        <v>0.15280898876404495</v>
      </c>
      <c r="N58" s="31">
        <v>0.55421686746987953</v>
      </c>
      <c r="O58" s="31">
        <v>0.45588235294117646</v>
      </c>
      <c r="P58" s="31">
        <v>0.41558441558441561</v>
      </c>
    </row>
    <row r="59" spans="1:16" x14ac:dyDescent="0.4">
      <c r="A59" s="33">
        <v>56</v>
      </c>
      <c r="B59" s="30">
        <v>242.10000000000002</v>
      </c>
      <c r="C59" s="30">
        <v>4.3232142857142861</v>
      </c>
      <c r="D59" s="35">
        <v>1.8571428571428572</v>
      </c>
      <c r="E59" s="31">
        <v>0.4107142857142857</v>
      </c>
      <c r="F59" s="31">
        <v>0.26785714285714285</v>
      </c>
      <c r="G59" s="31">
        <v>0.34451901565995524</v>
      </c>
      <c r="H59" s="31">
        <v>0.1476510067114094</v>
      </c>
      <c r="I59" s="32">
        <v>8880.5194805194806</v>
      </c>
      <c r="J59" s="32">
        <v>-9050</v>
      </c>
      <c r="K59" s="31">
        <v>8.9285714285714288E-2</v>
      </c>
      <c r="L59" s="31">
        <v>0.37360178970917224</v>
      </c>
      <c r="M59" s="31">
        <v>0.15212527964205816</v>
      </c>
      <c r="N59" s="31">
        <v>0.55089820359281438</v>
      </c>
      <c r="O59" s="31">
        <v>0.45588235294117646</v>
      </c>
      <c r="P59" s="31">
        <v>0.41558441558441561</v>
      </c>
    </row>
    <row r="60" spans="1:16" x14ac:dyDescent="0.4">
      <c r="A60" s="33">
        <v>57</v>
      </c>
      <c r="B60" s="30">
        <v>211.60000000000002</v>
      </c>
      <c r="C60" s="30">
        <v>3.7122807017543864</v>
      </c>
      <c r="D60" s="35">
        <v>1.8771929824561404</v>
      </c>
      <c r="E60" s="31">
        <v>0.40350877192982454</v>
      </c>
      <c r="F60" s="31">
        <v>0.2807017543859649</v>
      </c>
      <c r="G60" s="31">
        <v>0.33991228070175439</v>
      </c>
      <c r="H60" s="31">
        <v>0.14692982456140352</v>
      </c>
      <c r="I60" s="32">
        <v>8926.4516129032254</v>
      </c>
      <c r="J60" s="32">
        <v>-9034.3283582089553</v>
      </c>
      <c r="K60" s="31">
        <v>8.771929824561403E-2</v>
      </c>
      <c r="L60" s="31">
        <v>0.36842105263157893</v>
      </c>
      <c r="M60" s="31">
        <v>0.15350877192982457</v>
      </c>
      <c r="N60" s="31">
        <v>0.5535714285714286</v>
      </c>
      <c r="O60" s="31">
        <v>0.44285714285714284</v>
      </c>
      <c r="P60" s="31">
        <v>0.41935483870967744</v>
      </c>
    </row>
    <row r="61" spans="1:16" x14ac:dyDescent="0.4">
      <c r="A61" s="33">
        <v>58</v>
      </c>
      <c r="B61" s="30">
        <v>267.3</v>
      </c>
      <c r="C61" s="30">
        <v>4.6086206896551722</v>
      </c>
      <c r="D61" s="35">
        <v>1.8620689655172413</v>
      </c>
      <c r="E61" s="31">
        <v>0.41379310344827586</v>
      </c>
      <c r="F61" s="31">
        <v>0.27586206896551724</v>
      </c>
      <c r="G61" s="31">
        <v>0.34415584415584416</v>
      </c>
      <c r="H61" s="31">
        <v>0.14502164502164502</v>
      </c>
      <c r="I61" s="32">
        <v>8938.3647798742131</v>
      </c>
      <c r="J61" s="32">
        <v>-9034.3283582089553</v>
      </c>
      <c r="K61" s="31">
        <v>8.6206896551724144E-2</v>
      </c>
      <c r="L61" s="31">
        <v>0.36796536796536794</v>
      </c>
      <c r="M61" s="31">
        <v>0.15584415584415584</v>
      </c>
      <c r="N61" s="31">
        <v>0.55294117647058827</v>
      </c>
      <c r="O61" s="31">
        <v>0.45833333333333331</v>
      </c>
      <c r="P61" s="31">
        <v>0.42138364779874216</v>
      </c>
    </row>
    <row r="62" spans="1:16" x14ac:dyDescent="0.4">
      <c r="A62" s="33">
        <v>59</v>
      </c>
      <c r="B62" s="30">
        <v>271.3</v>
      </c>
      <c r="C62" s="30">
        <v>4.5983050847457632</v>
      </c>
      <c r="D62" s="35">
        <v>1.8644067796610169</v>
      </c>
      <c r="E62" s="31">
        <v>0.40677966101694918</v>
      </c>
      <c r="F62" s="31">
        <v>0.2711864406779661</v>
      </c>
      <c r="G62" s="31">
        <v>0.34468085106382979</v>
      </c>
      <c r="H62" s="31">
        <v>0.14468085106382977</v>
      </c>
      <c r="I62" s="32">
        <v>8986.4197530864203</v>
      </c>
      <c r="J62" s="32">
        <v>-9072.0588235294126</v>
      </c>
      <c r="K62" s="31">
        <v>8.4745762711864403E-2</v>
      </c>
      <c r="L62" s="31">
        <v>0.36382978723404258</v>
      </c>
      <c r="M62" s="31">
        <v>0.15531914893617021</v>
      </c>
      <c r="N62" s="31">
        <v>0.55555555555555558</v>
      </c>
      <c r="O62" s="31">
        <v>0.46575342465753422</v>
      </c>
      <c r="P62" s="31">
        <v>0.42592592592592593</v>
      </c>
    </row>
    <row r="63" spans="1:16" x14ac:dyDescent="0.4">
      <c r="A63" s="33">
        <v>60</v>
      </c>
      <c r="B63" s="30">
        <v>308.10000000000002</v>
      </c>
      <c r="C63" s="30">
        <v>5.1350000000000007</v>
      </c>
      <c r="D63" s="35">
        <v>1.85</v>
      </c>
      <c r="E63" s="31">
        <v>0.41666666666666669</v>
      </c>
      <c r="F63" s="31">
        <v>0.26666666666666666</v>
      </c>
      <c r="G63" s="31">
        <v>0.34381551362683438</v>
      </c>
      <c r="H63" s="31">
        <v>0.14465408805031446</v>
      </c>
      <c r="I63" s="32">
        <v>8984.1463414634145</v>
      </c>
      <c r="J63" s="32">
        <v>-8959.420289855072</v>
      </c>
      <c r="K63" s="31">
        <v>8.3333333333333329E-2</v>
      </c>
      <c r="L63" s="31">
        <v>0.36268343815513626</v>
      </c>
      <c r="M63" s="31">
        <v>0.15723270440251572</v>
      </c>
      <c r="N63" s="31">
        <v>0.55491329479768781</v>
      </c>
      <c r="O63" s="31">
        <v>0.45333333333333331</v>
      </c>
      <c r="P63" s="31">
        <v>0.42682926829268292</v>
      </c>
    </row>
    <row r="64" spans="1:16" x14ac:dyDescent="0.4">
      <c r="A64" s="33">
        <v>61</v>
      </c>
      <c r="B64" s="30">
        <v>364.1</v>
      </c>
      <c r="C64" s="30">
        <v>5.9688524590163938</v>
      </c>
      <c r="D64" s="35">
        <v>1.8360655737704918</v>
      </c>
      <c r="E64" s="31">
        <v>0.42622950819672129</v>
      </c>
      <c r="F64" s="31">
        <v>0.26229508196721313</v>
      </c>
      <c r="G64" s="31">
        <v>0.3450413223140496</v>
      </c>
      <c r="H64" s="31">
        <v>0.14256198347107438</v>
      </c>
      <c r="I64" s="32">
        <v>9062.2754491017968</v>
      </c>
      <c r="J64" s="32">
        <v>-8959.420289855072</v>
      </c>
      <c r="K64" s="31">
        <v>8.1967213114754092E-2</v>
      </c>
      <c r="L64" s="31">
        <v>0.36776859504132231</v>
      </c>
      <c r="M64" s="31">
        <v>0.15495867768595042</v>
      </c>
      <c r="N64" s="31">
        <v>0.5561797752808989</v>
      </c>
      <c r="O64" s="31">
        <v>0.45333333333333331</v>
      </c>
      <c r="P64" s="31">
        <v>0.43113772455089822</v>
      </c>
    </row>
    <row r="65" spans="1:16" x14ac:dyDescent="0.4">
      <c r="A65" s="33">
        <v>62</v>
      </c>
      <c r="B65" s="30">
        <v>363.20000000000005</v>
      </c>
      <c r="C65" s="30">
        <v>5.8580645161290326</v>
      </c>
      <c r="D65" s="35">
        <v>1.8387096774193548</v>
      </c>
      <c r="E65" s="31">
        <v>0.41935483870967744</v>
      </c>
      <c r="F65" s="31">
        <v>0.25806451612903225</v>
      </c>
      <c r="G65" s="31">
        <v>0.34615384615384615</v>
      </c>
      <c r="H65" s="31">
        <v>0.1437246963562753</v>
      </c>
      <c r="I65" s="32">
        <v>9084.7953216374262</v>
      </c>
      <c r="J65" s="32">
        <v>-9069.0140845070418</v>
      </c>
      <c r="K65" s="31">
        <v>8.0645161290322578E-2</v>
      </c>
      <c r="L65" s="31">
        <v>0.37044534412955465</v>
      </c>
      <c r="M65" s="31">
        <v>0.15384615384615385</v>
      </c>
      <c r="N65" s="31">
        <v>0.55191256830601088</v>
      </c>
      <c r="O65" s="31">
        <v>0.46052631578947367</v>
      </c>
      <c r="P65" s="31">
        <v>0.43859649122807015</v>
      </c>
    </row>
    <row r="66" spans="1:16" x14ac:dyDescent="0.4">
      <c r="A66" s="33">
        <v>63</v>
      </c>
      <c r="B66" s="30">
        <v>392.80000000000007</v>
      </c>
      <c r="C66" s="30">
        <v>6.2349206349206359</v>
      </c>
      <c r="D66" s="35">
        <v>1.8253968253968254</v>
      </c>
      <c r="E66" s="31">
        <v>0.42857142857142855</v>
      </c>
      <c r="F66" s="31">
        <v>0.25396825396825395</v>
      </c>
      <c r="G66" s="31">
        <v>0.34661354581673309</v>
      </c>
      <c r="H66" s="31">
        <v>0.14342629482071714</v>
      </c>
      <c r="I66" s="32">
        <v>9066.0919540229879</v>
      </c>
      <c r="J66" s="32">
        <v>-9054.1666666666661</v>
      </c>
      <c r="K66" s="31">
        <v>7.9365079365079361E-2</v>
      </c>
      <c r="L66" s="31">
        <v>0.37051792828685259</v>
      </c>
      <c r="M66" s="31">
        <v>0.15737051792828685</v>
      </c>
      <c r="N66" s="31">
        <v>0.54838709677419351</v>
      </c>
      <c r="O66" s="31">
        <v>0.46835443037974683</v>
      </c>
      <c r="P66" s="31">
        <v>0.44252873563218392</v>
      </c>
    </row>
    <row r="67" spans="1:16" x14ac:dyDescent="0.4">
      <c r="A67" s="33">
        <v>64</v>
      </c>
      <c r="B67" s="30">
        <v>385.50000000000006</v>
      </c>
      <c r="C67" s="30">
        <v>6.0234375000000009</v>
      </c>
      <c r="D67" s="35">
        <v>1.828125</v>
      </c>
      <c r="E67" s="31">
        <v>0.421875</v>
      </c>
      <c r="F67" s="31">
        <v>0.25</v>
      </c>
      <c r="G67" s="31">
        <v>0.34442270058708413</v>
      </c>
      <c r="H67" s="31">
        <v>0.14285714285714285</v>
      </c>
      <c r="I67" s="32">
        <v>9072.1590909090901</v>
      </c>
      <c r="J67" s="32">
        <v>-9176.7123287671238</v>
      </c>
      <c r="K67" s="31">
        <v>7.8125E-2</v>
      </c>
      <c r="L67" s="31">
        <v>0.36986301369863012</v>
      </c>
      <c r="M67" s="31">
        <v>0.15459882583170254</v>
      </c>
      <c r="N67" s="31">
        <v>0.55026455026455023</v>
      </c>
      <c r="O67" s="31">
        <v>0.46835443037974683</v>
      </c>
      <c r="P67" s="31">
        <v>0.4375</v>
      </c>
    </row>
    <row r="68" spans="1:16" x14ac:dyDescent="0.4">
      <c r="A68" s="33">
        <v>65</v>
      </c>
      <c r="B68" s="30">
        <v>428.40000000000003</v>
      </c>
      <c r="C68" s="30">
        <v>6.5907692307692312</v>
      </c>
      <c r="D68" s="35">
        <v>1.8153846153846154</v>
      </c>
      <c r="E68" s="31">
        <v>0.43076923076923079</v>
      </c>
      <c r="F68" s="31">
        <v>0.24615384615384617</v>
      </c>
      <c r="G68" s="31">
        <v>0.34362934362934361</v>
      </c>
      <c r="H68" s="31">
        <v>0.14285714285714285</v>
      </c>
      <c r="I68" s="32">
        <v>9161.7977528089887</v>
      </c>
      <c r="J68" s="32">
        <v>-9156.7567567567567</v>
      </c>
      <c r="K68" s="31">
        <v>7.6923076923076927E-2</v>
      </c>
      <c r="L68" s="31">
        <v>0.37065637065637064</v>
      </c>
      <c r="M68" s="31">
        <v>0.15250965250965251</v>
      </c>
      <c r="N68" s="31">
        <v>0.546875</v>
      </c>
      <c r="O68" s="31">
        <v>0.46835443037974683</v>
      </c>
      <c r="P68" s="31">
        <v>0.43820224719101125</v>
      </c>
    </row>
    <row r="69" spans="1:16" x14ac:dyDescent="0.4">
      <c r="A69" s="33">
        <v>66</v>
      </c>
      <c r="B69" s="30">
        <v>514</v>
      </c>
      <c r="C69" s="30">
        <v>7.7878787878787881</v>
      </c>
      <c r="D69" s="35">
        <v>1.803030303030303</v>
      </c>
      <c r="E69" s="31">
        <v>0.43939393939393939</v>
      </c>
      <c r="F69" s="31">
        <v>0.24242424242424243</v>
      </c>
      <c r="G69" s="31">
        <v>0.34848484848484851</v>
      </c>
      <c r="H69" s="31">
        <v>0.14204545454545456</v>
      </c>
      <c r="I69" s="32">
        <v>9292.391304347826</v>
      </c>
      <c r="J69" s="32">
        <v>-9141.3333333333339</v>
      </c>
      <c r="K69" s="31">
        <v>7.575757575757576E-2</v>
      </c>
      <c r="L69" s="31">
        <v>0.37689393939393939</v>
      </c>
      <c r="M69" s="31">
        <v>0.15151515151515152</v>
      </c>
      <c r="N69" s="31">
        <v>0.54773869346733672</v>
      </c>
      <c r="O69" s="31">
        <v>0.47499999999999998</v>
      </c>
      <c r="P69" s="31">
        <v>0.45108695652173914</v>
      </c>
    </row>
    <row r="70" spans="1:16" x14ac:dyDescent="0.4">
      <c r="A70" s="33">
        <v>67</v>
      </c>
      <c r="B70" s="30">
        <v>490.6</v>
      </c>
      <c r="C70" s="30">
        <v>7.3223880597014928</v>
      </c>
      <c r="D70" s="35">
        <v>1.8208955223880596</v>
      </c>
      <c r="E70" s="31">
        <v>0.43283582089552236</v>
      </c>
      <c r="F70" s="31">
        <v>0.2537313432835821</v>
      </c>
      <c r="G70" s="31">
        <v>0.34693877551020408</v>
      </c>
      <c r="H70" s="31">
        <v>0.14285714285714285</v>
      </c>
      <c r="I70" s="32">
        <v>9234.7593582887694</v>
      </c>
      <c r="J70" s="32">
        <v>-9129.8701298701308</v>
      </c>
      <c r="K70" s="31">
        <v>7.4626865671641784E-2</v>
      </c>
      <c r="L70" s="31">
        <v>0.36920222634508348</v>
      </c>
      <c r="M70" s="31">
        <v>0.15398886827458255</v>
      </c>
      <c r="N70" s="31">
        <v>0.54773869346733672</v>
      </c>
      <c r="O70" s="31">
        <v>0.46987951807228917</v>
      </c>
      <c r="P70" s="31">
        <v>0.44385026737967914</v>
      </c>
    </row>
    <row r="71" spans="1:16" x14ac:dyDescent="0.4">
      <c r="A71" s="33">
        <v>68</v>
      </c>
      <c r="B71" s="30">
        <v>499.5</v>
      </c>
      <c r="C71" s="30">
        <v>7.3455882352941178</v>
      </c>
      <c r="D71" s="35">
        <v>1.8235294117647058</v>
      </c>
      <c r="E71" s="31">
        <v>0.4264705882352941</v>
      </c>
      <c r="F71" s="31">
        <v>0.25</v>
      </c>
      <c r="G71" s="31">
        <v>0.34734917733089582</v>
      </c>
      <c r="H71" s="31">
        <v>0.14076782449725778</v>
      </c>
      <c r="I71" s="32">
        <v>9221.5789473684217</v>
      </c>
      <c r="J71" s="32">
        <v>-9129.8701298701308</v>
      </c>
      <c r="K71" s="31">
        <v>7.3529411764705885E-2</v>
      </c>
      <c r="L71" s="31">
        <v>0.36928702010968922</v>
      </c>
      <c r="M71" s="31">
        <v>0.15173674588665448</v>
      </c>
      <c r="N71" s="31">
        <v>0.5544554455445545</v>
      </c>
      <c r="O71" s="31">
        <v>0.46987951807228917</v>
      </c>
      <c r="P71" s="31">
        <v>0.44210526315789472</v>
      </c>
    </row>
    <row r="72" spans="1:16" x14ac:dyDescent="0.4">
      <c r="A72" s="33">
        <v>69</v>
      </c>
      <c r="B72" s="30">
        <v>560.1</v>
      </c>
      <c r="C72" s="30">
        <v>8.1173913043478265</v>
      </c>
      <c r="D72" s="35">
        <v>1.8115942028985508</v>
      </c>
      <c r="E72" s="31">
        <v>0.43478260869565216</v>
      </c>
      <c r="F72" s="31">
        <v>0.24637681159420291</v>
      </c>
      <c r="G72" s="31">
        <v>0.35315315315315315</v>
      </c>
      <c r="H72" s="31">
        <v>0.13873873873873874</v>
      </c>
      <c r="I72" s="32">
        <v>9171.9387755102034</v>
      </c>
      <c r="J72" s="32">
        <v>-9129.8701298701308</v>
      </c>
      <c r="K72" s="31">
        <v>7.2463768115942032E-2</v>
      </c>
      <c r="L72" s="31">
        <v>0.37297297297297299</v>
      </c>
      <c r="M72" s="31">
        <v>0.14954954954954955</v>
      </c>
      <c r="N72" s="31">
        <v>0.56521739130434778</v>
      </c>
      <c r="O72" s="31">
        <v>0.46987951807228917</v>
      </c>
      <c r="P72" s="31">
        <v>0.43877551020408162</v>
      </c>
    </row>
    <row r="73" spans="1:16" x14ac:dyDescent="0.4">
      <c r="A73" s="33">
        <v>70</v>
      </c>
      <c r="B73" s="30">
        <v>503.3</v>
      </c>
      <c r="C73" s="30">
        <v>7.19</v>
      </c>
      <c r="D73" s="35">
        <v>1.8285714285714285</v>
      </c>
      <c r="E73" s="31">
        <v>0.42857142857142855</v>
      </c>
      <c r="F73" s="31">
        <v>0.25714285714285712</v>
      </c>
      <c r="G73" s="31">
        <v>0.3487544483985765</v>
      </c>
      <c r="H73" s="31">
        <v>0.13879003558718861</v>
      </c>
      <c r="I73" s="32">
        <v>9171.9387755102034</v>
      </c>
      <c r="J73" s="32">
        <v>-9243.5897435897441</v>
      </c>
      <c r="K73" s="31">
        <v>8.5714285714285715E-2</v>
      </c>
      <c r="L73" s="31">
        <v>0.37366548042704628</v>
      </c>
      <c r="M73" s="31">
        <v>0.1494661921708185</v>
      </c>
      <c r="N73" s="31">
        <v>0.55714285714285716</v>
      </c>
      <c r="O73" s="31">
        <v>0.4642857142857143</v>
      </c>
      <c r="P73" s="31">
        <v>0.43877551020408162</v>
      </c>
    </row>
    <row r="74" spans="1:16" x14ac:dyDescent="0.4">
      <c r="A74" s="33">
        <v>71</v>
      </c>
      <c r="B74" s="30">
        <v>561.9</v>
      </c>
      <c r="C74" s="30">
        <v>7.9140845070422534</v>
      </c>
      <c r="D74" s="35">
        <v>1.8169014084507042</v>
      </c>
      <c r="E74" s="31">
        <v>0.43661971830985913</v>
      </c>
      <c r="F74" s="31">
        <v>0.25352112676056338</v>
      </c>
      <c r="G74" s="31">
        <v>0.35221238938053095</v>
      </c>
      <c r="H74" s="31">
        <v>0.13805309734513274</v>
      </c>
      <c r="I74" s="32">
        <v>9212.562814070352</v>
      </c>
      <c r="J74" s="32">
        <v>-9243.5897435897441</v>
      </c>
      <c r="K74" s="31">
        <v>8.4507042253521125E-2</v>
      </c>
      <c r="L74" s="31">
        <v>0.37522123893805309</v>
      </c>
      <c r="M74" s="31">
        <v>0.15044247787610621</v>
      </c>
      <c r="N74" s="31">
        <v>0.56132075471698117</v>
      </c>
      <c r="O74" s="31">
        <v>0.47058823529411764</v>
      </c>
      <c r="P74" s="31">
        <v>0.43216080402010049</v>
      </c>
    </row>
    <row r="75" spans="1:16" x14ac:dyDescent="0.4">
      <c r="A75" s="33">
        <v>72</v>
      </c>
      <c r="B75" s="30">
        <v>602.9</v>
      </c>
      <c r="C75" s="30">
        <v>8.37361111111111</v>
      </c>
      <c r="D75" s="35">
        <v>1.8055555555555556</v>
      </c>
      <c r="E75" s="31">
        <v>0.44444444444444442</v>
      </c>
      <c r="F75" s="31">
        <v>0.25</v>
      </c>
      <c r="G75" s="31">
        <v>0.35478260869565215</v>
      </c>
      <c r="H75" s="31">
        <v>0.13739130434782609</v>
      </c>
      <c r="I75" s="32">
        <v>9222.0588235294126</v>
      </c>
      <c r="J75" s="32">
        <v>-9192.4050632911385</v>
      </c>
      <c r="K75" s="31">
        <v>8.3333333333333329E-2</v>
      </c>
      <c r="L75" s="31">
        <v>0.37739130434782608</v>
      </c>
      <c r="M75" s="31">
        <v>0.14782608695652175</v>
      </c>
      <c r="N75" s="31">
        <v>0.56221198156682028</v>
      </c>
      <c r="O75" s="31">
        <v>0.47058823529411764</v>
      </c>
      <c r="P75" s="31">
        <v>0.43627450980392157</v>
      </c>
    </row>
    <row r="76" spans="1:16" x14ac:dyDescent="0.4">
      <c r="A76" s="33">
        <v>73</v>
      </c>
      <c r="B76" s="30">
        <v>719.3</v>
      </c>
      <c r="C76" s="30">
        <v>9.8534246575342461</v>
      </c>
      <c r="D76" s="35">
        <v>1.7945205479452055</v>
      </c>
      <c r="E76" s="31">
        <v>0.45205479452054792</v>
      </c>
      <c r="F76" s="31">
        <v>0.24657534246575341</v>
      </c>
      <c r="G76" s="31">
        <v>0.35604770017035775</v>
      </c>
      <c r="H76" s="31">
        <v>0.1362862010221465</v>
      </c>
      <c r="I76" s="32">
        <v>9470.3349282296658</v>
      </c>
      <c r="J76" s="32">
        <v>-9110</v>
      </c>
      <c r="K76" s="31">
        <v>8.2191780821917804E-2</v>
      </c>
      <c r="L76" s="31">
        <v>0.37819420783645658</v>
      </c>
      <c r="M76" s="31">
        <v>0.14821124361158433</v>
      </c>
      <c r="N76" s="31">
        <v>0.56306306306306309</v>
      </c>
      <c r="O76" s="31">
        <v>0.47126436781609193</v>
      </c>
      <c r="P76" s="31">
        <v>0.43062200956937802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50C88-591A-4910-86FE-70E116CB21B4}">
  <sheetPr codeName="Sheet8"/>
  <dimension ref="A1:Q6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50.6</v>
      </c>
      <c r="C4" s="30">
        <v>50.6</v>
      </c>
      <c r="D4" s="35">
        <v>1</v>
      </c>
      <c r="E4" s="31">
        <v>1</v>
      </c>
      <c r="F4" s="31">
        <v>0</v>
      </c>
      <c r="G4" s="31">
        <v>0.5</v>
      </c>
      <c r="H4" s="31">
        <v>0</v>
      </c>
      <c r="I4" s="32">
        <v>11866.666666666666</v>
      </c>
      <c r="J4" s="32">
        <v>0</v>
      </c>
      <c r="K4" s="31">
        <v>0</v>
      </c>
      <c r="L4" s="31">
        <v>0.33333333333333331</v>
      </c>
      <c r="M4" s="31">
        <v>0.16666666666666666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54.300000000000004</v>
      </c>
      <c r="C5" s="30">
        <v>27.150000000000002</v>
      </c>
      <c r="D5" s="35">
        <v>1.5</v>
      </c>
      <c r="E5" s="31">
        <v>0.5</v>
      </c>
      <c r="F5" s="31">
        <v>0</v>
      </c>
      <c r="G5" s="31">
        <v>0.36363636363636365</v>
      </c>
      <c r="H5" s="31">
        <v>0</v>
      </c>
      <c r="I5" s="32">
        <v>10825</v>
      </c>
      <c r="J5" s="32">
        <v>0</v>
      </c>
      <c r="K5" s="31">
        <v>0</v>
      </c>
      <c r="L5" s="31">
        <v>0.36363636363636365</v>
      </c>
      <c r="M5" s="31">
        <v>0.27272727272727271</v>
      </c>
      <c r="N5" s="31">
        <v>0.5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49.000000000000007</v>
      </c>
      <c r="C6" s="30">
        <v>16.333333333333336</v>
      </c>
      <c r="D6" s="35">
        <v>1.6666666666666667</v>
      </c>
      <c r="E6" s="31">
        <v>0.33333333333333331</v>
      </c>
      <c r="F6" s="31">
        <v>0</v>
      </c>
      <c r="G6" s="31">
        <v>0.35294117647058826</v>
      </c>
      <c r="H6" s="31">
        <v>5.8823529411764705E-2</v>
      </c>
      <c r="I6" s="32">
        <v>9366.6666666666661</v>
      </c>
      <c r="J6" s="32">
        <v>-12000</v>
      </c>
      <c r="K6" s="31">
        <v>0</v>
      </c>
      <c r="L6" s="31">
        <v>0.41176470588235292</v>
      </c>
      <c r="M6" s="31">
        <v>0.29411764705882354</v>
      </c>
      <c r="N6" s="31">
        <v>0.42857142857142855</v>
      </c>
      <c r="O6" s="31">
        <v>0.4</v>
      </c>
      <c r="P6" s="31">
        <v>0.33333333333333331</v>
      </c>
    </row>
    <row r="7" spans="1:17" x14ac:dyDescent="0.4">
      <c r="A7" s="33">
        <v>4</v>
      </c>
      <c r="B7" s="30">
        <v>27.400000000000006</v>
      </c>
      <c r="C7" s="30">
        <v>6.8500000000000014</v>
      </c>
      <c r="D7" s="35">
        <v>2</v>
      </c>
      <c r="E7" s="31">
        <v>0.25</v>
      </c>
      <c r="F7" s="31">
        <v>0.25</v>
      </c>
      <c r="G7" s="31">
        <v>0.32</v>
      </c>
      <c r="H7" s="31">
        <v>0.08</v>
      </c>
      <c r="I7" s="32">
        <v>9025</v>
      </c>
      <c r="J7" s="32">
        <v>-10000</v>
      </c>
      <c r="K7" s="31">
        <v>0</v>
      </c>
      <c r="L7" s="31">
        <v>0.36</v>
      </c>
      <c r="M7" s="31">
        <v>0.28000000000000003</v>
      </c>
      <c r="N7" s="31">
        <v>0.44444444444444442</v>
      </c>
      <c r="O7" s="31">
        <v>0.2857142857142857</v>
      </c>
      <c r="P7" s="31">
        <v>0.375</v>
      </c>
    </row>
    <row r="8" spans="1:17" x14ac:dyDescent="0.4">
      <c r="A8" s="33">
        <v>5</v>
      </c>
      <c r="B8" s="30">
        <v>28.600000000000005</v>
      </c>
      <c r="C8" s="30">
        <v>5.7200000000000006</v>
      </c>
      <c r="D8" s="35">
        <v>2</v>
      </c>
      <c r="E8" s="31">
        <v>0.2</v>
      </c>
      <c r="F8" s="31">
        <v>0.2</v>
      </c>
      <c r="G8" s="31">
        <v>0.29411764705882354</v>
      </c>
      <c r="H8" s="31">
        <v>8.8235294117647065E-2</v>
      </c>
      <c r="I8" s="32">
        <v>9190</v>
      </c>
      <c r="J8" s="32">
        <v>-9333.3333333333339</v>
      </c>
      <c r="K8" s="31">
        <v>0</v>
      </c>
      <c r="L8" s="31">
        <v>0.3235294117647059</v>
      </c>
      <c r="M8" s="31">
        <v>0.29411764705882354</v>
      </c>
      <c r="N8" s="31">
        <v>0.45454545454545453</v>
      </c>
      <c r="O8" s="31">
        <v>0.3</v>
      </c>
      <c r="P8" s="31">
        <v>0.4</v>
      </c>
    </row>
    <row r="9" spans="1:17" x14ac:dyDescent="0.4">
      <c r="A9" s="33">
        <v>6</v>
      </c>
      <c r="B9" s="30">
        <v>-1.899999999999995</v>
      </c>
      <c r="C9" s="30">
        <v>-0.31666666666666582</v>
      </c>
      <c r="D9" s="35">
        <v>2</v>
      </c>
      <c r="E9" s="31">
        <v>0.16666666666666666</v>
      </c>
      <c r="F9" s="31">
        <v>0.16666666666666666</v>
      </c>
      <c r="G9" s="31">
        <v>0.26315789473684209</v>
      </c>
      <c r="H9" s="31">
        <v>7.8947368421052627E-2</v>
      </c>
      <c r="I9" s="32">
        <v>9190</v>
      </c>
      <c r="J9" s="32">
        <v>-9333.3333333333339</v>
      </c>
      <c r="K9" s="31">
        <v>0</v>
      </c>
      <c r="L9" s="31">
        <v>0.28947368421052633</v>
      </c>
      <c r="M9" s="31">
        <v>0.26315789473684209</v>
      </c>
      <c r="N9" s="31">
        <v>0.45454545454545453</v>
      </c>
      <c r="O9" s="31">
        <v>0.3</v>
      </c>
      <c r="P9" s="31">
        <v>0.4</v>
      </c>
    </row>
    <row r="10" spans="1:17" x14ac:dyDescent="0.4">
      <c r="A10" s="33">
        <v>7</v>
      </c>
      <c r="B10" s="30">
        <v>-3.2999999999999949</v>
      </c>
      <c r="C10" s="30">
        <v>-0.4714285714285707</v>
      </c>
      <c r="D10" s="35">
        <v>2</v>
      </c>
      <c r="E10" s="31">
        <v>0.14285714285714285</v>
      </c>
      <c r="F10" s="31">
        <v>0.14285714285714285</v>
      </c>
      <c r="G10" s="31">
        <v>0.25531914893617019</v>
      </c>
      <c r="H10" s="31">
        <v>0.1276595744680851</v>
      </c>
      <c r="I10" s="32">
        <v>9258.3333333333339</v>
      </c>
      <c r="J10" s="32">
        <v>-7233.333333333333</v>
      </c>
      <c r="K10" s="31">
        <v>0</v>
      </c>
      <c r="L10" s="31">
        <v>0.27659574468085107</v>
      </c>
      <c r="M10" s="31">
        <v>0.25531914893617019</v>
      </c>
      <c r="N10" s="31">
        <v>0.46153846153846156</v>
      </c>
      <c r="O10" s="31">
        <v>0.25</v>
      </c>
      <c r="P10" s="31">
        <v>0.33333333333333331</v>
      </c>
    </row>
    <row r="11" spans="1:17" x14ac:dyDescent="0.4">
      <c r="A11" s="33">
        <v>8</v>
      </c>
      <c r="B11" s="30">
        <v>47.800000000000004</v>
      </c>
      <c r="C11" s="30">
        <v>5.9750000000000005</v>
      </c>
      <c r="D11" s="35">
        <v>1.875</v>
      </c>
      <c r="E11" s="31">
        <v>0.25</v>
      </c>
      <c r="F11" s="31">
        <v>0.125</v>
      </c>
      <c r="G11" s="31">
        <v>0.31578947368421051</v>
      </c>
      <c r="H11" s="31">
        <v>0.12280701754385964</v>
      </c>
      <c r="I11" s="32">
        <v>8433.3333333333339</v>
      </c>
      <c r="J11" s="32">
        <v>-6385.7142857142853</v>
      </c>
      <c r="K11" s="31">
        <v>0</v>
      </c>
      <c r="L11" s="31">
        <v>0.2807017543859649</v>
      </c>
      <c r="M11" s="31">
        <v>0.22807017543859648</v>
      </c>
      <c r="N11" s="31">
        <v>0.5625</v>
      </c>
      <c r="O11" s="31">
        <v>0.30769230769230771</v>
      </c>
      <c r="P11" s="31">
        <v>0.3888888888888889</v>
      </c>
    </row>
    <row r="12" spans="1:17" x14ac:dyDescent="0.4">
      <c r="A12" s="33">
        <v>9</v>
      </c>
      <c r="B12" s="30">
        <v>40.700000000000003</v>
      </c>
      <c r="C12" s="30">
        <v>4.5222222222222221</v>
      </c>
      <c r="D12" s="35">
        <v>1.8888888888888888</v>
      </c>
      <c r="E12" s="31">
        <v>0.22222222222222221</v>
      </c>
      <c r="F12" s="31">
        <v>0.1111111111111111</v>
      </c>
      <c r="G12" s="31">
        <v>0.30303030303030304</v>
      </c>
      <c r="H12" s="31">
        <v>0.13636363636363635</v>
      </c>
      <c r="I12" s="32">
        <v>8655</v>
      </c>
      <c r="J12" s="32">
        <v>-6144.4444444444443</v>
      </c>
      <c r="K12" s="31">
        <v>0</v>
      </c>
      <c r="L12" s="31">
        <v>0.27272727272727271</v>
      </c>
      <c r="M12" s="31">
        <v>0.21212121212121213</v>
      </c>
      <c r="N12" s="31">
        <v>0.61111111111111116</v>
      </c>
      <c r="O12" s="31">
        <v>0.2857142857142857</v>
      </c>
      <c r="P12" s="31">
        <v>0.45</v>
      </c>
    </row>
    <row r="13" spans="1:17" x14ac:dyDescent="0.4">
      <c r="A13" s="33">
        <v>10</v>
      </c>
      <c r="B13" s="30">
        <v>64.7</v>
      </c>
      <c r="C13" s="30">
        <v>6.4700000000000006</v>
      </c>
      <c r="D13" s="35">
        <v>1.8</v>
      </c>
      <c r="E13" s="31">
        <v>0.3</v>
      </c>
      <c r="F13" s="31">
        <v>0.1</v>
      </c>
      <c r="G13" s="31">
        <v>0.29166666666666669</v>
      </c>
      <c r="H13" s="31">
        <v>0.125</v>
      </c>
      <c r="I13" s="32">
        <v>8814.2857142857138</v>
      </c>
      <c r="J13" s="32">
        <v>-6144.4444444444443</v>
      </c>
      <c r="K13" s="31">
        <v>0</v>
      </c>
      <c r="L13" s="31">
        <v>0.2638888888888889</v>
      </c>
      <c r="M13" s="31">
        <v>0.20833333333333334</v>
      </c>
      <c r="N13" s="31">
        <v>0.63157894736842102</v>
      </c>
      <c r="O13" s="31">
        <v>0.26666666666666666</v>
      </c>
      <c r="P13" s="31">
        <v>0.47619047619047616</v>
      </c>
    </row>
    <row r="14" spans="1:17" x14ac:dyDescent="0.4">
      <c r="A14" s="33">
        <v>11</v>
      </c>
      <c r="B14" s="30">
        <v>24.300000000000004</v>
      </c>
      <c r="C14" s="30">
        <v>2.2090909090909094</v>
      </c>
      <c r="D14" s="35">
        <v>1.9090909090909092</v>
      </c>
      <c r="E14" s="31">
        <v>0.27272727272727271</v>
      </c>
      <c r="F14" s="31">
        <v>0.18181818181818182</v>
      </c>
      <c r="G14" s="31">
        <v>0.27500000000000002</v>
      </c>
      <c r="H14" s="31">
        <v>0.125</v>
      </c>
      <c r="I14" s="32">
        <v>8590.9090909090901</v>
      </c>
      <c r="J14" s="32">
        <v>-6730</v>
      </c>
      <c r="K14" s="31">
        <v>0</v>
      </c>
      <c r="L14" s="31">
        <v>0.25</v>
      </c>
      <c r="M14" s="31">
        <v>0.2</v>
      </c>
      <c r="N14" s="31">
        <v>0.65</v>
      </c>
      <c r="O14" s="31">
        <v>0.25</v>
      </c>
      <c r="P14" s="31">
        <v>0.45454545454545453</v>
      </c>
    </row>
    <row r="15" spans="1:17" x14ac:dyDescent="0.4">
      <c r="A15" s="33">
        <v>12</v>
      </c>
      <c r="B15" s="30">
        <v>76.099999999999994</v>
      </c>
      <c r="C15" s="30">
        <v>6.3416666666666659</v>
      </c>
      <c r="D15" s="35">
        <v>1.8333333333333333</v>
      </c>
      <c r="E15" s="31">
        <v>0.33333333333333331</v>
      </c>
      <c r="F15" s="31">
        <v>0.16666666666666666</v>
      </c>
      <c r="G15" s="31">
        <v>0.28888888888888886</v>
      </c>
      <c r="H15" s="31">
        <v>0.1111111111111111</v>
      </c>
      <c r="I15" s="32">
        <v>8961.538461538461</v>
      </c>
      <c r="J15" s="32">
        <v>-6730</v>
      </c>
      <c r="K15" s="31">
        <v>0</v>
      </c>
      <c r="L15" s="31">
        <v>0.27777777777777779</v>
      </c>
      <c r="M15" s="31">
        <v>0.18888888888888888</v>
      </c>
      <c r="N15" s="31">
        <v>0.68</v>
      </c>
      <c r="O15" s="31">
        <v>0.23529411764705882</v>
      </c>
      <c r="P15" s="31">
        <v>0.46153846153846156</v>
      </c>
    </row>
    <row r="16" spans="1:17" x14ac:dyDescent="0.4">
      <c r="A16" s="33">
        <v>13</v>
      </c>
      <c r="B16" s="30">
        <v>122.5</v>
      </c>
      <c r="C16" s="30">
        <v>9.4230769230769234</v>
      </c>
      <c r="D16" s="35">
        <v>1.7692307692307692</v>
      </c>
      <c r="E16" s="31">
        <v>0.38461538461538464</v>
      </c>
      <c r="F16" s="31">
        <v>0.15384615384615385</v>
      </c>
      <c r="G16" s="31">
        <v>0.32653061224489793</v>
      </c>
      <c r="H16" s="31">
        <v>0.11224489795918367</v>
      </c>
      <c r="I16" s="32">
        <v>8525</v>
      </c>
      <c r="J16" s="32">
        <v>-6700</v>
      </c>
      <c r="K16" s="31">
        <v>0</v>
      </c>
      <c r="L16" s="31">
        <v>0.2857142857142857</v>
      </c>
      <c r="M16" s="31">
        <v>0.19387755102040816</v>
      </c>
      <c r="N16" s="31">
        <v>0.7142857142857143</v>
      </c>
      <c r="O16" s="31">
        <v>0.31578947368421051</v>
      </c>
      <c r="P16" s="31">
        <v>0.46875</v>
      </c>
    </row>
    <row r="17" spans="1:16" x14ac:dyDescent="0.4">
      <c r="A17" s="33">
        <v>14</v>
      </c>
      <c r="B17" s="30">
        <v>154.19999999999999</v>
      </c>
      <c r="C17" s="30">
        <v>11.014285714285714</v>
      </c>
      <c r="D17" s="35">
        <v>1.7142857142857142</v>
      </c>
      <c r="E17" s="31">
        <v>0.42857142857142855</v>
      </c>
      <c r="F17" s="31">
        <v>0.14285714285714285</v>
      </c>
      <c r="G17" s="31">
        <v>0.33636363636363636</v>
      </c>
      <c r="H17" s="31">
        <v>0.13636363636363635</v>
      </c>
      <c r="I17" s="32">
        <v>8402.7027027027034</v>
      </c>
      <c r="J17" s="32">
        <v>-7186.666666666667</v>
      </c>
      <c r="K17" s="31">
        <v>0</v>
      </c>
      <c r="L17" s="31">
        <v>0.3</v>
      </c>
      <c r="M17" s="31">
        <v>0.19090909090909092</v>
      </c>
      <c r="N17" s="31">
        <v>0.72727272727272729</v>
      </c>
      <c r="O17" s="31">
        <v>0.2857142857142857</v>
      </c>
      <c r="P17" s="31">
        <v>0.48648648648648651</v>
      </c>
    </row>
    <row r="18" spans="1:16" x14ac:dyDescent="0.4">
      <c r="A18" s="33">
        <v>15</v>
      </c>
      <c r="B18" s="30">
        <v>154.19999999999999</v>
      </c>
      <c r="C18" s="30">
        <v>10.28</v>
      </c>
      <c r="D18" s="35">
        <v>1.6666666666666667</v>
      </c>
      <c r="E18" s="31">
        <v>0.46666666666666667</v>
      </c>
      <c r="F18" s="31">
        <v>0.13333333333333333</v>
      </c>
      <c r="G18" s="31">
        <v>0.33636363636363636</v>
      </c>
      <c r="H18" s="31">
        <v>0.13636363636363635</v>
      </c>
      <c r="I18" s="32">
        <v>8402.7027027027034</v>
      </c>
      <c r="J18" s="32">
        <v>-7186.666666666667</v>
      </c>
      <c r="K18" s="31">
        <v>0</v>
      </c>
      <c r="L18" s="31">
        <v>0.3</v>
      </c>
      <c r="M18" s="31">
        <v>0.19090909090909092</v>
      </c>
      <c r="N18" s="31">
        <v>0.72727272727272729</v>
      </c>
      <c r="O18" s="31">
        <v>0.2857142857142857</v>
      </c>
      <c r="P18" s="31">
        <v>0.48648648648648651</v>
      </c>
    </row>
    <row r="19" spans="1:16" x14ac:dyDescent="0.4">
      <c r="A19" s="33">
        <v>16</v>
      </c>
      <c r="B19" s="30">
        <v>225.2</v>
      </c>
      <c r="C19" s="30">
        <v>14.074999999999999</v>
      </c>
      <c r="D19" s="35">
        <v>1.625</v>
      </c>
      <c r="E19" s="31">
        <v>0.5</v>
      </c>
      <c r="F19" s="31">
        <v>0.125</v>
      </c>
      <c r="G19" s="31">
        <v>0.34146341463414637</v>
      </c>
      <c r="H19" s="31">
        <v>0.13008130081300814</v>
      </c>
      <c r="I19" s="32">
        <v>8814.2857142857138</v>
      </c>
      <c r="J19" s="32">
        <v>-6900</v>
      </c>
      <c r="K19" s="31">
        <v>0</v>
      </c>
      <c r="L19" s="31">
        <v>0.30081300813008133</v>
      </c>
      <c r="M19" s="31">
        <v>0.21138211382113822</v>
      </c>
      <c r="N19" s="31">
        <v>0.70270270270270274</v>
      </c>
      <c r="O19" s="31">
        <v>0.30769230769230771</v>
      </c>
      <c r="P19" s="31">
        <v>0.47619047619047616</v>
      </c>
    </row>
    <row r="20" spans="1:16" x14ac:dyDescent="0.4">
      <c r="A20" s="33">
        <v>17</v>
      </c>
      <c r="B20" s="30">
        <v>224</v>
      </c>
      <c r="C20" s="30">
        <v>13.176470588235293</v>
      </c>
      <c r="D20" s="35">
        <v>1.6470588235294117</v>
      </c>
      <c r="E20" s="31">
        <v>0.47058823529411764</v>
      </c>
      <c r="F20" s="31">
        <v>0.11764705882352941</v>
      </c>
      <c r="G20" s="31">
        <v>0.33333333333333331</v>
      </c>
      <c r="H20" s="31">
        <v>0.13636363636363635</v>
      </c>
      <c r="I20" s="32">
        <v>8822.7272727272721</v>
      </c>
      <c r="J20" s="32">
        <v>-6794.4444444444443</v>
      </c>
      <c r="K20" s="31">
        <v>0</v>
      </c>
      <c r="L20" s="31">
        <v>0.29545454545454547</v>
      </c>
      <c r="M20" s="31">
        <v>0.20454545454545456</v>
      </c>
      <c r="N20" s="31">
        <v>0.66666666666666663</v>
      </c>
      <c r="O20" s="31">
        <v>0.33333333333333331</v>
      </c>
      <c r="P20" s="31">
        <v>0.47727272727272729</v>
      </c>
    </row>
    <row r="21" spans="1:16" x14ac:dyDescent="0.4">
      <c r="A21" s="33">
        <v>18</v>
      </c>
      <c r="B21" s="30">
        <v>229.8</v>
      </c>
      <c r="C21" s="30">
        <v>12.766666666666667</v>
      </c>
      <c r="D21" s="35">
        <v>1.6666666666666667</v>
      </c>
      <c r="E21" s="31">
        <v>0.44444444444444442</v>
      </c>
      <c r="F21" s="31">
        <v>0.1111111111111111</v>
      </c>
      <c r="G21" s="31">
        <v>0.32857142857142857</v>
      </c>
      <c r="H21" s="31">
        <v>0.12857142857142856</v>
      </c>
      <c r="I21" s="32">
        <v>8873.9130434782601</v>
      </c>
      <c r="J21" s="32">
        <v>-6794.4444444444443</v>
      </c>
      <c r="K21" s="31">
        <v>0</v>
      </c>
      <c r="L21" s="31">
        <v>0.30714285714285716</v>
      </c>
      <c r="M21" s="31">
        <v>0.19285714285714287</v>
      </c>
      <c r="N21" s="31">
        <v>0.65116279069767447</v>
      </c>
      <c r="O21" s="31">
        <v>0.33333333333333331</v>
      </c>
      <c r="P21" s="31">
        <v>0.5</v>
      </c>
    </row>
    <row r="22" spans="1:16" x14ac:dyDescent="0.4">
      <c r="A22" s="33">
        <v>19</v>
      </c>
      <c r="B22" s="30">
        <v>239</v>
      </c>
      <c r="C22" s="30">
        <v>12.578947368421053</v>
      </c>
      <c r="D22" s="35">
        <v>1.6842105263157894</v>
      </c>
      <c r="E22" s="31">
        <v>0.42105263157894735</v>
      </c>
      <c r="F22" s="31">
        <v>0.10526315789473684</v>
      </c>
      <c r="G22" s="31">
        <v>0.32653061224489793</v>
      </c>
      <c r="H22" s="31">
        <v>0.12925170068027211</v>
      </c>
      <c r="I22" s="32">
        <v>8864.5833333333339</v>
      </c>
      <c r="J22" s="32">
        <v>-6505.2631578947367</v>
      </c>
      <c r="K22" s="31">
        <v>0</v>
      </c>
      <c r="L22" s="31">
        <v>0.31292517006802723</v>
      </c>
      <c r="M22" s="31">
        <v>0.19047619047619047</v>
      </c>
      <c r="N22" s="31">
        <v>0.63043478260869568</v>
      </c>
      <c r="O22" s="31">
        <v>0.35714285714285715</v>
      </c>
      <c r="P22" s="31">
        <v>0.52083333333333337</v>
      </c>
    </row>
    <row r="23" spans="1:16" x14ac:dyDescent="0.4">
      <c r="A23" s="33">
        <v>20</v>
      </c>
      <c r="B23" s="30">
        <v>187.8</v>
      </c>
      <c r="C23" s="30">
        <v>9.39</v>
      </c>
      <c r="D23" s="35">
        <v>1.75</v>
      </c>
      <c r="E23" s="31">
        <v>0.4</v>
      </c>
      <c r="F23" s="31">
        <v>0.15</v>
      </c>
      <c r="G23" s="31">
        <v>0.32051282051282054</v>
      </c>
      <c r="H23" s="31">
        <v>0.14743589743589744</v>
      </c>
      <c r="I23" s="32">
        <v>8982</v>
      </c>
      <c r="J23" s="32">
        <v>-6495.652173913043</v>
      </c>
      <c r="K23" s="31">
        <v>0</v>
      </c>
      <c r="L23" s="31">
        <v>0.32692307692307693</v>
      </c>
      <c r="M23" s="31">
        <v>0.1858974358974359</v>
      </c>
      <c r="N23" s="31">
        <v>0.60784313725490191</v>
      </c>
      <c r="O23" s="31">
        <v>0.34482758620689657</v>
      </c>
      <c r="P23" s="31">
        <v>0.52</v>
      </c>
    </row>
    <row r="24" spans="1:16" x14ac:dyDescent="0.4">
      <c r="A24" s="33">
        <v>21</v>
      </c>
      <c r="B24" s="30">
        <v>214.70000000000002</v>
      </c>
      <c r="C24" s="30">
        <v>10.223809523809525</v>
      </c>
      <c r="D24" s="35">
        <v>1.7142857142857142</v>
      </c>
      <c r="E24" s="31">
        <v>0.42857142857142855</v>
      </c>
      <c r="F24" s="31">
        <v>0.14285714285714285</v>
      </c>
      <c r="G24" s="31">
        <v>0.3271604938271605</v>
      </c>
      <c r="H24" s="31">
        <v>0.1419753086419753</v>
      </c>
      <c r="I24" s="32">
        <v>8792.4528301886785</v>
      </c>
      <c r="J24" s="32">
        <v>-6495.652173913043</v>
      </c>
      <c r="K24" s="31">
        <v>0</v>
      </c>
      <c r="L24" s="31">
        <v>0.33333333333333331</v>
      </c>
      <c r="M24" s="31">
        <v>0.17901234567901234</v>
      </c>
      <c r="N24" s="31">
        <v>0.59259259259259256</v>
      </c>
      <c r="O24" s="31">
        <v>0.34482758620689657</v>
      </c>
      <c r="P24" s="31">
        <v>0.52830188679245282</v>
      </c>
    </row>
    <row r="25" spans="1:16" x14ac:dyDescent="0.4">
      <c r="A25" s="33">
        <v>22</v>
      </c>
      <c r="B25" s="30">
        <v>161.5</v>
      </c>
      <c r="C25" s="30">
        <v>7.3409090909090908</v>
      </c>
      <c r="D25" s="35">
        <v>1.7727272727272727</v>
      </c>
      <c r="E25" s="31">
        <v>0.40909090909090912</v>
      </c>
      <c r="F25" s="31">
        <v>0.18181818181818182</v>
      </c>
      <c r="G25" s="31">
        <v>0.31034482758620691</v>
      </c>
      <c r="H25" s="31">
        <v>0.14367816091954022</v>
      </c>
      <c r="I25" s="32">
        <v>8740.7407407407409</v>
      </c>
      <c r="J25" s="32">
        <v>-7004</v>
      </c>
      <c r="K25" s="31">
        <v>0</v>
      </c>
      <c r="L25" s="31">
        <v>0.32758620689655171</v>
      </c>
      <c r="M25" s="31">
        <v>0.17816091954022989</v>
      </c>
      <c r="N25" s="31">
        <v>0.56140350877192979</v>
      </c>
      <c r="O25" s="31">
        <v>0.35483870967741937</v>
      </c>
      <c r="P25" s="31">
        <v>0.53703703703703709</v>
      </c>
    </row>
    <row r="26" spans="1:16" x14ac:dyDescent="0.4">
      <c r="A26" s="33">
        <v>23</v>
      </c>
      <c r="B26" s="30">
        <v>221.8</v>
      </c>
      <c r="C26" s="30">
        <v>9.6434782608695659</v>
      </c>
      <c r="D26" s="35">
        <v>1.7391304347826086</v>
      </c>
      <c r="E26" s="31">
        <v>0.43478260869565216</v>
      </c>
      <c r="F26" s="31">
        <v>0.17391304347826086</v>
      </c>
      <c r="G26" s="31">
        <v>0.3146067415730337</v>
      </c>
      <c r="H26" s="31">
        <v>0.14606741573033707</v>
      </c>
      <c r="I26" s="32">
        <v>9285.7142857142862</v>
      </c>
      <c r="J26" s="32">
        <v>-6934.6153846153848</v>
      </c>
      <c r="K26" s="31">
        <v>0</v>
      </c>
      <c r="L26" s="31">
        <v>0.33146067415730335</v>
      </c>
      <c r="M26" s="31">
        <v>0.17415730337078653</v>
      </c>
      <c r="N26" s="31">
        <v>0.55932203389830504</v>
      </c>
      <c r="O26" s="31">
        <v>0.35483870967741937</v>
      </c>
      <c r="P26" s="31">
        <v>0.5357142857142857</v>
      </c>
    </row>
    <row r="27" spans="1:16" x14ac:dyDescent="0.4">
      <c r="A27" s="33">
        <v>24</v>
      </c>
      <c r="B27" s="30">
        <v>221.8</v>
      </c>
      <c r="C27" s="30">
        <v>9.2416666666666671</v>
      </c>
      <c r="D27" s="35">
        <v>1.75</v>
      </c>
      <c r="E27" s="31">
        <v>0.41666666666666669</v>
      </c>
      <c r="F27" s="31">
        <v>0.16666666666666666</v>
      </c>
      <c r="G27" s="31">
        <v>0.31284916201117319</v>
      </c>
      <c r="H27" s="31">
        <v>0.14525139664804471</v>
      </c>
      <c r="I27" s="32">
        <v>9285.7142857142862</v>
      </c>
      <c r="J27" s="32">
        <v>-6934.6153846153848</v>
      </c>
      <c r="K27" s="31">
        <v>0</v>
      </c>
      <c r="L27" s="31">
        <v>0.32960893854748602</v>
      </c>
      <c r="M27" s="31">
        <v>0.17318435754189945</v>
      </c>
      <c r="N27" s="31">
        <v>0.55932203389830504</v>
      </c>
      <c r="O27" s="31">
        <v>0.35483870967741937</v>
      </c>
      <c r="P27" s="31">
        <v>0.5357142857142857</v>
      </c>
    </row>
    <row r="28" spans="1:16" x14ac:dyDescent="0.4">
      <c r="A28" s="33">
        <v>25</v>
      </c>
      <c r="B28" s="30">
        <v>234.10000000000002</v>
      </c>
      <c r="C28" s="30">
        <v>9.3640000000000008</v>
      </c>
      <c r="D28" s="35">
        <v>1.76</v>
      </c>
      <c r="E28" s="31">
        <v>0.4</v>
      </c>
      <c r="F28" s="31">
        <v>0.16</v>
      </c>
      <c r="G28" s="31">
        <v>0.32085561497326204</v>
      </c>
      <c r="H28" s="31">
        <v>0.13903743315508021</v>
      </c>
      <c r="I28" s="32">
        <v>9163.3333333333339</v>
      </c>
      <c r="J28" s="32">
        <v>-6934.6153846153848</v>
      </c>
      <c r="K28" s="31">
        <v>0</v>
      </c>
      <c r="L28" s="31">
        <v>0.32085561497326204</v>
      </c>
      <c r="M28" s="31">
        <v>0.17647058823529413</v>
      </c>
      <c r="N28" s="31">
        <v>0.56666666666666665</v>
      </c>
      <c r="O28" s="31">
        <v>0.36363636363636365</v>
      </c>
      <c r="P28" s="31">
        <v>0.53333333333333333</v>
      </c>
    </row>
    <row r="29" spans="1:16" x14ac:dyDescent="0.4">
      <c r="A29" s="33">
        <v>26</v>
      </c>
      <c r="B29" s="30">
        <v>177.3</v>
      </c>
      <c r="C29" s="30">
        <v>6.8192307692307699</v>
      </c>
      <c r="D29" s="35">
        <v>1.8076923076923077</v>
      </c>
      <c r="E29" s="31">
        <v>0.38461538461538464</v>
      </c>
      <c r="F29" s="31">
        <v>0.19230769230769232</v>
      </c>
      <c r="G29" s="31">
        <v>0.31155778894472363</v>
      </c>
      <c r="H29" s="31">
        <v>0.1407035175879397</v>
      </c>
      <c r="I29" s="32">
        <v>9109.677419354839</v>
      </c>
      <c r="J29" s="32">
        <v>-7075</v>
      </c>
      <c r="K29" s="31">
        <v>3.8461538461538464E-2</v>
      </c>
      <c r="L29" s="31">
        <v>0.32663316582914576</v>
      </c>
      <c r="M29" s="31">
        <v>0.17587939698492464</v>
      </c>
      <c r="N29" s="31">
        <v>0.53846153846153844</v>
      </c>
      <c r="O29" s="31">
        <v>0.37142857142857144</v>
      </c>
      <c r="P29" s="31">
        <v>0.532258064516129</v>
      </c>
    </row>
    <row r="30" spans="1:16" x14ac:dyDescent="0.4">
      <c r="A30" s="33">
        <v>27</v>
      </c>
      <c r="B30" s="30">
        <v>257.3</v>
      </c>
      <c r="C30" s="30">
        <v>9.5296296296296301</v>
      </c>
      <c r="D30" s="35">
        <v>1.7777777777777777</v>
      </c>
      <c r="E30" s="31">
        <v>0.40740740740740738</v>
      </c>
      <c r="F30" s="31">
        <v>0.18518518518518517</v>
      </c>
      <c r="G30" s="31">
        <v>0.32019704433497537</v>
      </c>
      <c r="H30" s="31">
        <v>0.13793103448275862</v>
      </c>
      <c r="I30" s="32">
        <v>9520</v>
      </c>
      <c r="J30" s="32">
        <v>-7075</v>
      </c>
      <c r="K30" s="31">
        <v>3.7037037037037035E-2</v>
      </c>
      <c r="L30" s="31">
        <v>0.33497536945812806</v>
      </c>
      <c r="M30" s="31">
        <v>0.17733990147783252</v>
      </c>
      <c r="N30" s="31">
        <v>0.55882352941176472</v>
      </c>
      <c r="O30" s="31">
        <v>0.3611111111111111</v>
      </c>
      <c r="P30" s="31">
        <v>0.52307692307692311</v>
      </c>
    </row>
    <row r="31" spans="1:16" x14ac:dyDescent="0.4">
      <c r="A31" s="33">
        <v>28</v>
      </c>
      <c r="B31" s="30">
        <v>256.5</v>
      </c>
      <c r="C31" s="30">
        <v>9.1607142857142865</v>
      </c>
      <c r="D31" s="35">
        <v>1.7857142857142858</v>
      </c>
      <c r="E31" s="31">
        <v>0.39285714285714285</v>
      </c>
      <c r="F31" s="31">
        <v>0.17857142857142858</v>
      </c>
      <c r="G31" s="31">
        <v>0.31578947368421051</v>
      </c>
      <c r="H31" s="31">
        <v>0.13397129186602871</v>
      </c>
      <c r="I31" s="32">
        <v>9557.575757575758</v>
      </c>
      <c r="J31" s="32">
        <v>-7075</v>
      </c>
      <c r="K31" s="31">
        <v>3.5714285714285712E-2</v>
      </c>
      <c r="L31" s="31">
        <v>0.33014354066985646</v>
      </c>
      <c r="M31" s="31">
        <v>0.18181818181818182</v>
      </c>
      <c r="N31" s="31">
        <v>0.55072463768115942</v>
      </c>
      <c r="O31" s="31">
        <v>0.34210526315789475</v>
      </c>
      <c r="P31" s="31">
        <v>0.51515151515151514</v>
      </c>
    </row>
    <row r="32" spans="1:16" x14ac:dyDescent="0.4">
      <c r="A32" s="33">
        <v>29</v>
      </c>
      <c r="B32" s="30">
        <v>206.6</v>
      </c>
      <c r="C32" s="30">
        <v>7.1241379310344826</v>
      </c>
      <c r="D32" s="35">
        <v>1.8275862068965518</v>
      </c>
      <c r="E32" s="31">
        <v>0.37931034482758619</v>
      </c>
      <c r="F32" s="31">
        <v>0.20689655172413793</v>
      </c>
      <c r="G32" s="31">
        <v>0.31050228310502281</v>
      </c>
      <c r="H32" s="31">
        <v>0.13698630136986301</v>
      </c>
      <c r="I32" s="32">
        <v>9447.0588235294126</v>
      </c>
      <c r="J32" s="32">
        <v>-7163.333333333333</v>
      </c>
      <c r="K32" s="31">
        <v>3.4482758620689655E-2</v>
      </c>
      <c r="L32" s="31">
        <v>0.33333333333333331</v>
      </c>
      <c r="M32" s="31">
        <v>0.18264840182648401</v>
      </c>
      <c r="N32" s="31">
        <v>0.53424657534246578</v>
      </c>
      <c r="O32" s="31">
        <v>0.35</v>
      </c>
      <c r="P32" s="31">
        <v>0.5</v>
      </c>
    </row>
    <row r="33" spans="1:16" x14ac:dyDescent="0.4">
      <c r="A33" s="33">
        <v>30</v>
      </c>
      <c r="B33" s="30">
        <v>151.19999999999999</v>
      </c>
      <c r="C33" s="30">
        <v>5.04</v>
      </c>
      <c r="D33" s="35">
        <v>1.8666666666666667</v>
      </c>
      <c r="E33" s="31">
        <v>0.36666666666666664</v>
      </c>
      <c r="F33" s="31">
        <v>0.23333333333333334</v>
      </c>
      <c r="G33" s="31">
        <v>0.3056768558951965</v>
      </c>
      <c r="H33" s="31">
        <v>0.14410480349344978</v>
      </c>
      <c r="I33" s="32">
        <v>9405.7142857142862</v>
      </c>
      <c r="J33" s="32">
        <v>-7596.969696969697</v>
      </c>
      <c r="K33" s="31">
        <v>6.6666666666666666E-2</v>
      </c>
      <c r="L33" s="31">
        <v>0.33624454148471616</v>
      </c>
      <c r="M33" s="31">
        <v>0.18340611353711792</v>
      </c>
      <c r="N33" s="31">
        <v>0.51948051948051943</v>
      </c>
      <c r="O33" s="31">
        <v>0.35714285714285715</v>
      </c>
      <c r="P33" s="31">
        <v>0.5</v>
      </c>
    </row>
    <row r="34" spans="1:16" x14ac:dyDescent="0.4">
      <c r="A34" s="33">
        <v>31</v>
      </c>
      <c r="B34" s="30">
        <v>185.29999999999998</v>
      </c>
      <c r="C34" s="30">
        <v>5.9774193548387089</v>
      </c>
      <c r="D34" s="35">
        <v>1.8387096774193548</v>
      </c>
      <c r="E34" s="31">
        <v>0.38709677419354838</v>
      </c>
      <c r="F34" s="31">
        <v>0.22580645161290322</v>
      </c>
      <c r="G34" s="31">
        <v>0.31120331950207469</v>
      </c>
      <c r="H34" s="31">
        <v>0.14107883817427386</v>
      </c>
      <c r="I34" s="32">
        <v>9112</v>
      </c>
      <c r="J34" s="32">
        <v>-7488.2352941176468</v>
      </c>
      <c r="K34" s="31">
        <v>6.4516129032258063E-2</v>
      </c>
      <c r="L34" s="31">
        <v>0.33609958506224069</v>
      </c>
      <c r="M34" s="31">
        <v>0.1908713692946058</v>
      </c>
      <c r="N34" s="31">
        <v>0.50617283950617287</v>
      </c>
      <c r="O34" s="31">
        <v>0.39130434782608697</v>
      </c>
      <c r="P34" s="31">
        <v>0.48</v>
      </c>
    </row>
    <row r="35" spans="1:16" x14ac:dyDescent="0.4">
      <c r="A35" s="33">
        <v>32</v>
      </c>
      <c r="B35" s="30">
        <v>129.09999999999997</v>
      </c>
      <c r="C35" s="30">
        <v>4.0343749999999989</v>
      </c>
      <c r="D35" s="35">
        <v>1.875</v>
      </c>
      <c r="E35" s="31">
        <v>0.375</v>
      </c>
      <c r="F35" s="31">
        <v>0.25</v>
      </c>
      <c r="G35" s="31">
        <v>0.30612244897959184</v>
      </c>
      <c r="H35" s="31">
        <v>0.14693877551020409</v>
      </c>
      <c r="I35" s="32">
        <v>9112</v>
      </c>
      <c r="J35" s="32">
        <v>-7258.333333333333</v>
      </c>
      <c r="K35" s="31">
        <v>9.375E-2</v>
      </c>
      <c r="L35" s="31">
        <v>0.33061224489795921</v>
      </c>
      <c r="M35" s="31">
        <v>0.18775510204081633</v>
      </c>
      <c r="N35" s="31">
        <v>0.50617283950617287</v>
      </c>
      <c r="O35" s="31">
        <v>0.39130434782608697</v>
      </c>
      <c r="P35" s="31">
        <v>0.48</v>
      </c>
    </row>
    <row r="36" spans="1:16" x14ac:dyDescent="0.4">
      <c r="A36" s="33">
        <v>33</v>
      </c>
      <c r="B36" s="30">
        <v>172.69999999999996</v>
      </c>
      <c r="C36" s="30">
        <v>5.2333333333333325</v>
      </c>
      <c r="D36" s="35">
        <v>1.8484848484848484</v>
      </c>
      <c r="E36" s="31">
        <v>0.39393939393939392</v>
      </c>
      <c r="F36" s="31">
        <v>0.24242424242424243</v>
      </c>
      <c r="G36" s="31">
        <v>0.31372549019607843</v>
      </c>
      <c r="H36" s="31">
        <v>0.14117647058823529</v>
      </c>
      <c r="I36" s="32">
        <v>9008.75</v>
      </c>
      <c r="J36" s="32">
        <v>-7258.333333333333</v>
      </c>
      <c r="K36" s="31">
        <v>9.0909090909090912E-2</v>
      </c>
      <c r="L36" s="31">
        <v>0.32549019607843138</v>
      </c>
      <c r="M36" s="31">
        <v>0.19607843137254902</v>
      </c>
      <c r="N36" s="31">
        <v>0.50602409638554213</v>
      </c>
      <c r="O36" s="31">
        <v>0.42</v>
      </c>
      <c r="P36" s="31">
        <v>0.48749999999999999</v>
      </c>
    </row>
    <row r="37" spans="1:16" x14ac:dyDescent="0.4">
      <c r="A37" s="33">
        <v>34</v>
      </c>
      <c r="B37" s="30">
        <v>171.69999999999996</v>
      </c>
      <c r="C37" s="30">
        <v>5.0499999999999989</v>
      </c>
      <c r="D37" s="35">
        <v>1.8529411764705883</v>
      </c>
      <c r="E37" s="31">
        <v>0.38235294117647056</v>
      </c>
      <c r="F37" s="31">
        <v>0.23529411764705882</v>
      </c>
      <c r="G37" s="31">
        <v>0.31297709923664124</v>
      </c>
      <c r="H37" s="31">
        <v>0.14503816793893129</v>
      </c>
      <c r="I37" s="32">
        <v>8976.8292682926822</v>
      </c>
      <c r="J37" s="32">
        <v>-7255.2631578947367</v>
      </c>
      <c r="K37" s="31">
        <v>8.8235294117647065E-2</v>
      </c>
      <c r="L37" s="31">
        <v>0.31679389312977096</v>
      </c>
      <c r="M37" s="31">
        <v>0.20229007633587787</v>
      </c>
      <c r="N37" s="31">
        <v>0.50602409638554213</v>
      </c>
      <c r="O37" s="31">
        <v>0.43396226415094341</v>
      </c>
      <c r="P37" s="31">
        <v>0.48780487804878048</v>
      </c>
    </row>
    <row r="38" spans="1:16" x14ac:dyDescent="0.4">
      <c r="A38" s="33">
        <v>35</v>
      </c>
      <c r="B38" s="30">
        <v>208.79999999999995</v>
      </c>
      <c r="C38" s="30">
        <v>5.9657142857142844</v>
      </c>
      <c r="D38" s="35">
        <v>1.8285714285714285</v>
      </c>
      <c r="E38" s="31">
        <v>0.4</v>
      </c>
      <c r="F38" s="31">
        <v>0.22857142857142856</v>
      </c>
      <c r="G38" s="31">
        <v>0.30882352941176472</v>
      </c>
      <c r="H38" s="31">
        <v>0.14338235294117646</v>
      </c>
      <c r="I38" s="32">
        <v>8950</v>
      </c>
      <c r="J38" s="32">
        <v>-7192.3076923076924</v>
      </c>
      <c r="K38" s="31">
        <v>8.5714285714285715E-2</v>
      </c>
      <c r="L38" s="31">
        <v>0.3235294117647059</v>
      </c>
      <c r="M38" s="31">
        <v>0.19485294117647059</v>
      </c>
      <c r="N38" s="31">
        <v>0.5</v>
      </c>
      <c r="O38" s="31">
        <v>0.43396226415094341</v>
      </c>
      <c r="P38" s="31">
        <v>0.48809523809523808</v>
      </c>
    </row>
    <row r="39" spans="1:16" x14ac:dyDescent="0.4">
      <c r="A39" s="33">
        <v>36</v>
      </c>
      <c r="B39" s="30">
        <v>259.89999999999998</v>
      </c>
      <c r="C39" s="30">
        <v>7.2194444444444441</v>
      </c>
      <c r="D39" s="35">
        <v>1.8055555555555556</v>
      </c>
      <c r="E39" s="31">
        <v>0.41666666666666669</v>
      </c>
      <c r="F39" s="31">
        <v>0.22222222222222221</v>
      </c>
      <c r="G39" s="31">
        <v>0.31428571428571428</v>
      </c>
      <c r="H39" s="31">
        <v>0.14642857142857144</v>
      </c>
      <c r="I39" s="32">
        <v>9065.9090909090901</v>
      </c>
      <c r="J39" s="32">
        <v>-7124.3902439024387</v>
      </c>
      <c r="K39" s="31">
        <v>8.3333333333333329E-2</v>
      </c>
      <c r="L39" s="31">
        <v>0.32857142857142857</v>
      </c>
      <c r="M39" s="31">
        <v>0.18928571428571428</v>
      </c>
      <c r="N39" s="31">
        <v>0.51086956521739135</v>
      </c>
      <c r="O39" s="31">
        <v>0.43396226415094341</v>
      </c>
      <c r="P39" s="31">
        <v>0.47727272727272729</v>
      </c>
    </row>
    <row r="40" spans="1:16" x14ac:dyDescent="0.4">
      <c r="A40" s="33">
        <v>37</v>
      </c>
      <c r="B40" s="30">
        <v>197.7</v>
      </c>
      <c r="C40" s="30">
        <v>5.3432432432432426</v>
      </c>
      <c r="D40" s="35">
        <v>1.8378378378378379</v>
      </c>
      <c r="E40" s="31">
        <v>0.40540540540540543</v>
      </c>
      <c r="F40" s="31">
        <v>0.24324324324324326</v>
      </c>
      <c r="G40" s="31">
        <v>0.30795847750865052</v>
      </c>
      <c r="H40" s="31">
        <v>0.14878892733564014</v>
      </c>
      <c r="I40" s="32">
        <v>9071.9101123595501</v>
      </c>
      <c r="J40" s="32">
        <v>-6886.0465116279074</v>
      </c>
      <c r="K40" s="31">
        <v>0.10810810810810811</v>
      </c>
      <c r="L40" s="31">
        <v>0.32525951557093424</v>
      </c>
      <c r="M40" s="31">
        <v>0.19031141868512111</v>
      </c>
      <c r="N40" s="31">
        <v>0.51063829787234039</v>
      </c>
      <c r="O40" s="31">
        <v>0.41818181818181815</v>
      </c>
      <c r="P40" s="31">
        <v>0.47191011235955055</v>
      </c>
    </row>
    <row r="41" spans="1:16" x14ac:dyDescent="0.4">
      <c r="A41" s="33">
        <v>38</v>
      </c>
      <c r="B41" s="30">
        <v>150.89999999999998</v>
      </c>
      <c r="C41" s="30">
        <v>3.9710526315789467</v>
      </c>
      <c r="D41" s="35">
        <v>1.868421052631579</v>
      </c>
      <c r="E41" s="31">
        <v>0.39473684210526316</v>
      </c>
      <c r="F41" s="31">
        <v>0.26315789473684209</v>
      </c>
      <c r="G41" s="31">
        <v>0.30201342281879195</v>
      </c>
      <c r="H41" s="31">
        <v>0.15100671140939598</v>
      </c>
      <c r="I41" s="32">
        <v>9056.6666666666661</v>
      </c>
      <c r="J41" s="32">
        <v>-7024.4444444444443</v>
      </c>
      <c r="K41" s="31">
        <v>0.10526315789473684</v>
      </c>
      <c r="L41" s="31">
        <v>0.32214765100671139</v>
      </c>
      <c r="M41" s="31">
        <v>0.1912751677852349</v>
      </c>
      <c r="N41" s="31">
        <v>0.51041666666666663</v>
      </c>
      <c r="O41" s="31">
        <v>0.40350877192982454</v>
      </c>
      <c r="P41" s="31">
        <v>0.4777777777777778</v>
      </c>
    </row>
    <row r="42" spans="1:16" x14ac:dyDescent="0.4">
      <c r="A42" s="33">
        <v>39</v>
      </c>
      <c r="B42" s="30">
        <v>144.69999999999999</v>
      </c>
      <c r="C42" s="30">
        <v>3.71025641025641</v>
      </c>
      <c r="D42" s="35">
        <v>1.8717948717948718</v>
      </c>
      <c r="E42" s="31">
        <v>0.38461538461538464</v>
      </c>
      <c r="F42" s="31">
        <v>0.25641025641025639</v>
      </c>
      <c r="G42" s="31">
        <v>0.29934210526315791</v>
      </c>
      <c r="H42" s="31">
        <v>0.15131578947368421</v>
      </c>
      <c r="I42" s="32">
        <v>9089.0109890109889</v>
      </c>
      <c r="J42" s="32">
        <v>-7039.130434782609</v>
      </c>
      <c r="K42" s="31">
        <v>0.10256410256410256</v>
      </c>
      <c r="L42" s="31">
        <v>0.32565789473684209</v>
      </c>
      <c r="M42" s="31">
        <v>0.19078947368421054</v>
      </c>
      <c r="N42" s="31">
        <v>0.50505050505050508</v>
      </c>
      <c r="O42" s="31">
        <v>0.39655172413793105</v>
      </c>
      <c r="P42" s="31">
        <v>0.48351648351648352</v>
      </c>
    </row>
    <row r="43" spans="1:16" x14ac:dyDescent="0.4">
      <c r="A43" s="33">
        <v>40</v>
      </c>
      <c r="B43" s="30">
        <v>232.7</v>
      </c>
      <c r="C43" s="30">
        <v>5.8174999999999999</v>
      </c>
      <c r="D43" s="35">
        <v>1.85</v>
      </c>
      <c r="E43" s="31">
        <v>0.4</v>
      </c>
      <c r="F43" s="31">
        <v>0.25</v>
      </c>
      <c r="G43" s="31">
        <v>0.30392156862745096</v>
      </c>
      <c r="H43" s="31">
        <v>0.15032679738562091</v>
      </c>
      <c r="I43" s="32">
        <v>9603.2258064516136</v>
      </c>
      <c r="J43" s="32">
        <v>-7039.130434782609</v>
      </c>
      <c r="K43" s="31">
        <v>0.1</v>
      </c>
      <c r="L43" s="31">
        <v>0.33006535947712418</v>
      </c>
      <c r="M43" s="31">
        <v>0.18954248366013071</v>
      </c>
      <c r="N43" s="31">
        <v>0.51485148514851486</v>
      </c>
      <c r="O43" s="31">
        <v>0.39655172413793105</v>
      </c>
      <c r="P43" s="31">
        <v>0.4838709677419355</v>
      </c>
    </row>
    <row r="44" spans="1:16" x14ac:dyDescent="0.4">
      <c r="A44" s="33">
        <v>41</v>
      </c>
      <c r="B44" s="30">
        <v>263.3</v>
      </c>
      <c r="C44" s="30">
        <v>6.4219512195121951</v>
      </c>
      <c r="D44" s="35">
        <v>1.8292682926829269</v>
      </c>
      <c r="E44" s="31">
        <v>0.41463414634146339</v>
      </c>
      <c r="F44" s="31">
        <v>0.24390243902439024</v>
      </c>
      <c r="G44" s="31">
        <v>0.30476190476190479</v>
      </c>
      <c r="H44" s="31">
        <v>0.1492063492063492</v>
      </c>
      <c r="I44" s="32">
        <v>9594.7916666666661</v>
      </c>
      <c r="J44" s="32">
        <v>-6951.0638297872338</v>
      </c>
      <c r="K44" s="31">
        <v>9.7560975609756101E-2</v>
      </c>
      <c r="L44" s="31">
        <v>0.33333333333333331</v>
      </c>
      <c r="M44" s="31">
        <v>0.19047619047619047</v>
      </c>
      <c r="N44" s="31">
        <v>0.51428571428571423</v>
      </c>
      <c r="O44" s="31">
        <v>0.4</v>
      </c>
      <c r="P44" s="31">
        <v>0.48958333333333331</v>
      </c>
    </row>
    <row r="45" spans="1:16" x14ac:dyDescent="0.4">
      <c r="A45" s="33">
        <v>42</v>
      </c>
      <c r="B45" s="30">
        <v>253.10000000000002</v>
      </c>
      <c r="C45" s="30">
        <v>6.026190476190477</v>
      </c>
      <c r="D45" s="35">
        <v>1.8333333333333333</v>
      </c>
      <c r="E45" s="31">
        <v>0.40476190476190477</v>
      </c>
      <c r="F45" s="31">
        <v>0.23809523809523808</v>
      </c>
      <c r="G45" s="31">
        <v>0.30529595015576322</v>
      </c>
      <c r="H45" s="31">
        <v>0.14953271028037382</v>
      </c>
      <c r="I45" s="32">
        <v>9559.1836734693879</v>
      </c>
      <c r="J45" s="32">
        <v>-7181.25</v>
      </c>
      <c r="K45" s="31">
        <v>9.5238095238095233E-2</v>
      </c>
      <c r="L45" s="31">
        <v>0.3364485981308411</v>
      </c>
      <c r="M45" s="31">
        <v>0.19003115264797507</v>
      </c>
      <c r="N45" s="31">
        <v>0.5092592592592593</v>
      </c>
      <c r="O45" s="31">
        <v>0.4098360655737705</v>
      </c>
      <c r="P45" s="31">
        <v>0.48979591836734693</v>
      </c>
    </row>
    <row r="46" spans="1:16" x14ac:dyDescent="0.4">
      <c r="A46" s="33">
        <v>43</v>
      </c>
      <c r="B46" s="30">
        <v>281.90000000000003</v>
      </c>
      <c r="C46" s="30">
        <v>6.5558139534883733</v>
      </c>
      <c r="D46" s="35">
        <v>1.8139534883720929</v>
      </c>
      <c r="E46" s="31">
        <v>0.41860465116279072</v>
      </c>
      <c r="F46" s="31">
        <v>0.23255813953488372</v>
      </c>
      <c r="G46" s="31">
        <v>0.30699088145896658</v>
      </c>
      <c r="H46" s="31">
        <v>0.1519756838905775</v>
      </c>
      <c r="I46" s="32">
        <v>9667.3267326732675</v>
      </c>
      <c r="J46" s="32">
        <v>-7050</v>
      </c>
      <c r="K46" s="31">
        <v>9.3023255813953487E-2</v>
      </c>
      <c r="L46" s="31">
        <v>0.34042553191489361</v>
      </c>
      <c r="M46" s="31">
        <v>0.18541033434650456</v>
      </c>
      <c r="N46" s="31">
        <v>0.5089285714285714</v>
      </c>
      <c r="O46" s="31">
        <v>0.4098360655737705</v>
      </c>
      <c r="P46" s="31">
        <v>0.49504950495049505</v>
      </c>
    </row>
    <row r="47" spans="1:16" x14ac:dyDescent="0.4">
      <c r="A47" s="33">
        <v>44</v>
      </c>
      <c r="B47" s="30">
        <v>275.70000000000005</v>
      </c>
      <c r="C47" s="30">
        <v>6.2659090909090915</v>
      </c>
      <c r="D47" s="35">
        <v>1.8181818181818181</v>
      </c>
      <c r="E47" s="31">
        <v>0.40909090909090912</v>
      </c>
      <c r="F47" s="31">
        <v>0.22727272727272727</v>
      </c>
      <c r="G47" s="31">
        <v>0.30654761904761907</v>
      </c>
      <c r="H47" s="31">
        <v>0.15476190476190477</v>
      </c>
      <c r="I47" s="32">
        <v>9647.5728155339802</v>
      </c>
      <c r="J47" s="32">
        <v>-7163.4615384615381</v>
      </c>
      <c r="K47" s="31">
        <v>9.0909090909090912E-2</v>
      </c>
      <c r="L47" s="31">
        <v>0.34523809523809523</v>
      </c>
      <c r="M47" s="31">
        <v>0.18154761904761904</v>
      </c>
      <c r="N47" s="31">
        <v>0.50862068965517238</v>
      </c>
      <c r="O47" s="31">
        <v>0.4098360655737705</v>
      </c>
      <c r="P47" s="31">
        <v>0.4854368932038835</v>
      </c>
    </row>
    <row r="48" spans="1:16" x14ac:dyDescent="0.4">
      <c r="A48" s="33">
        <v>45</v>
      </c>
      <c r="B48" s="30">
        <v>224.80000000000004</v>
      </c>
      <c r="C48" s="30">
        <v>4.9955555555555566</v>
      </c>
      <c r="D48" s="35">
        <v>1.8444444444444446</v>
      </c>
      <c r="E48" s="31">
        <v>0.4</v>
      </c>
      <c r="F48" s="31">
        <v>0.24444444444444444</v>
      </c>
      <c r="G48" s="31">
        <v>0.30029154518950435</v>
      </c>
      <c r="H48" s="31">
        <v>0.16034985422740525</v>
      </c>
      <c r="I48" s="32">
        <v>9647.5728155339802</v>
      </c>
      <c r="J48" s="32">
        <v>-6983.636363636364</v>
      </c>
      <c r="K48" s="31">
        <v>8.8888888888888892E-2</v>
      </c>
      <c r="L48" s="31">
        <v>0.33819241982507287</v>
      </c>
      <c r="M48" s="31">
        <v>0.18367346938775511</v>
      </c>
      <c r="N48" s="31">
        <v>0.50862068965517238</v>
      </c>
      <c r="O48" s="31">
        <v>0.3968253968253968</v>
      </c>
      <c r="P48" s="31">
        <v>0.4854368932038835</v>
      </c>
    </row>
    <row r="49" spans="1:16" x14ac:dyDescent="0.4">
      <c r="A49" s="33">
        <v>46</v>
      </c>
      <c r="B49" s="30">
        <v>260.00000000000006</v>
      </c>
      <c r="C49" s="30">
        <v>5.6521739130434794</v>
      </c>
      <c r="D49" s="35">
        <v>1.826086956521739</v>
      </c>
      <c r="E49" s="31">
        <v>0.41304347826086957</v>
      </c>
      <c r="F49" s="31">
        <v>0.2391304347826087</v>
      </c>
      <c r="G49" s="31">
        <v>0.3002832861189802</v>
      </c>
      <c r="H49" s="31">
        <v>0.15580736543909349</v>
      </c>
      <c r="I49" s="32">
        <v>9666.9811320754725</v>
      </c>
      <c r="J49" s="32">
        <v>-6983.636363636364</v>
      </c>
      <c r="K49" s="31">
        <v>8.6956521739130432E-2</v>
      </c>
      <c r="L49" s="31">
        <v>0.33711048158640228</v>
      </c>
      <c r="M49" s="31">
        <v>0.18413597733711048</v>
      </c>
      <c r="N49" s="31">
        <v>0.51260504201680668</v>
      </c>
      <c r="O49" s="31">
        <v>0.4</v>
      </c>
      <c r="P49" s="31">
        <v>0.48113207547169812</v>
      </c>
    </row>
    <row r="50" spans="1:16" x14ac:dyDescent="0.4">
      <c r="A50" s="33">
        <v>47</v>
      </c>
      <c r="B50" s="30">
        <v>233.20000000000005</v>
      </c>
      <c r="C50" s="30">
        <v>4.9617021276595752</v>
      </c>
      <c r="D50" s="35">
        <v>1.8510638297872339</v>
      </c>
      <c r="E50" s="31">
        <v>0.40425531914893614</v>
      </c>
      <c r="F50" s="31">
        <v>0.25531914893617019</v>
      </c>
      <c r="G50" s="31">
        <v>0.29916897506925205</v>
      </c>
      <c r="H50" s="31">
        <v>0.15512465373961218</v>
      </c>
      <c r="I50" s="32">
        <v>9636.1111111111113</v>
      </c>
      <c r="J50" s="32">
        <v>-7001.7857142857147</v>
      </c>
      <c r="K50" s="31">
        <v>8.5106382978723402E-2</v>
      </c>
      <c r="L50" s="31">
        <v>0.33795013850415512</v>
      </c>
      <c r="M50" s="31">
        <v>0.18282548476454294</v>
      </c>
      <c r="N50" s="31">
        <v>0.51639344262295084</v>
      </c>
      <c r="O50" s="31">
        <v>0.39393939393939392</v>
      </c>
      <c r="P50" s="31">
        <v>0.48148148148148145</v>
      </c>
    </row>
    <row r="51" spans="1:16" x14ac:dyDescent="0.4">
      <c r="A51" s="33">
        <v>48</v>
      </c>
      <c r="B51" s="30">
        <v>174.40000000000003</v>
      </c>
      <c r="C51" s="30">
        <v>3.6333333333333342</v>
      </c>
      <c r="D51" s="35">
        <v>1.875</v>
      </c>
      <c r="E51" s="31">
        <v>0.39583333333333331</v>
      </c>
      <c r="F51" s="31">
        <v>0.27083333333333331</v>
      </c>
      <c r="G51" s="31">
        <v>0.29459459459459458</v>
      </c>
      <c r="H51" s="31">
        <v>0.15945945945945947</v>
      </c>
      <c r="I51" s="32">
        <v>9574.3119266055037</v>
      </c>
      <c r="J51" s="32">
        <v>-7115.2542372881353</v>
      </c>
      <c r="K51" s="31">
        <v>0.10416666666666667</v>
      </c>
      <c r="L51" s="31">
        <v>0.34054054054054056</v>
      </c>
      <c r="M51" s="31">
        <v>0.18378378378378379</v>
      </c>
      <c r="N51" s="31">
        <v>0.5</v>
      </c>
      <c r="O51" s="31">
        <v>0.39705882352941174</v>
      </c>
      <c r="P51" s="31">
        <v>0.47706422018348627</v>
      </c>
    </row>
    <row r="52" spans="1:16" x14ac:dyDescent="0.4">
      <c r="A52" s="33">
        <v>49</v>
      </c>
      <c r="B52" s="30">
        <v>116.60000000000004</v>
      </c>
      <c r="C52" s="30">
        <v>2.3795918367346944</v>
      </c>
      <c r="D52" s="35">
        <v>1.8979591836734695</v>
      </c>
      <c r="E52" s="31">
        <v>0.38775510204081631</v>
      </c>
      <c r="F52" s="31">
        <v>0.2857142857142857</v>
      </c>
      <c r="G52" s="31">
        <v>0.29177718832891247</v>
      </c>
      <c r="H52" s="31">
        <v>0.15915119363395225</v>
      </c>
      <c r="I52" s="32">
        <v>9505.454545454546</v>
      </c>
      <c r="J52" s="32">
        <v>-7530</v>
      </c>
      <c r="K52" s="31">
        <v>0.12244897959183673</v>
      </c>
      <c r="L52" s="31">
        <v>0.33421750663129973</v>
      </c>
      <c r="M52" s="31">
        <v>0.19363395225464192</v>
      </c>
      <c r="N52" s="31">
        <v>0.5</v>
      </c>
      <c r="O52" s="31">
        <v>0.38356164383561642</v>
      </c>
      <c r="P52" s="31">
        <v>0.47272727272727272</v>
      </c>
    </row>
    <row r="53" spans="1:16" x14ac:dyDescent="0.4">
      <c r="A53" s="33">
        <v>50</v>
      </c>
      <c r="B53" s="30">
        <v>55.900000000000034</v>
      </c>
      <c r="C53" s="30">
        <v>1.1180000000000008</v>
      </c>
      <c r="D53" s="35">
        <v>1.92</v>
      </c>
      <c r="E53" s="31">
        <v>0.38</v>
      </c>
      <c r="F53" s="31">
        <v>0.3</v>
      </c>
      <c r="G53" s="31">
        <v>0.2868217054263566</v>
      </c>
      <c r="H53" s="31">
        <v>0.15762273901808785</v>
      </c>
      <c r="I53" s="32">
        <v>9489.1891891891901</v>
      </c>
      <c r="J53" s="32">
        <v>-7532.7868852459014</v>
      </c>
      <c r="K53" s="31">
        <v>0.14000000000000001</v>
      </c>
      <c r="L53" s="31">
        <v>0.32558139534883723</v>
      </c>
      <c r="M53" s="31">
        <v>0.19896640826873385</v>
      </c>
      <c r="N53" s="31">
        <v>0.5</v>
      </c>
      <c r="O53" s="31">
        <v>0.37662337662337664</v>
      </c>
      <c r="P53" s="31">
        <v>0.47747747747747749</v>
      </c>
    </row>
    <row r="54" spans="1:16" x14ac:dyDescent="0.4">
      <c r="A54" s="33">
        <v>51</v>
      </c>
      <c r="B54" s="30">
        <v>55.900000000000034</v>
      </c>
      <c r="C54" s="30">
        <v>1.0960784313725498</v>
      </c>
      <c r="D54" s="35">
        <v>1.9215686274509804</v>
      </c>
      <c r="E54" s="31">
        <v>0.37254901960784315</v>
      </c>
      <c r="F54" s="31">
        <v>0.29411764705882354</v>
      </c>
      <c r="G54" s="31">
        <v>0.28643216080402012</v>
      </c>
      <c r="H54" s="31">
        <v>0.15829145728643215</v>
      </c>
      <c r="I54" s="32">
        <v>9395.6140350877195</v>
      </c>
      <c r="J54" s="32">
        <v>-7546.0317460317465</v>
      </c>
      <c r="K54" s="31">
        <v>0.13725490196078433</v>
      </c>
      <c r="L54" s="31">
        <v>0.31909547738693467</v>
      </c>
      <c r="M54" s="31">
        <v>0.20100502512562815</v>
      </c>
      <c r="N54" s="31">
        <v>0.49606299212598426</v>
      </c>
      <c r="O54" s="31">
        <v>0.38750000000000001</v>
      </c>
      <c r="P54" s="31">
        <v>0.47368421052631576</v>
      </c>
    </row>
    <row r="55" spans="1:16" x14ac:dyDescent="0.4">
      <c r="A55" s="33">
        <v>52</v>
      </c>
      <c r="B55" s="30">
        <v>101.10000000000004</v>
      </c>
      <c r="C55" s="30">
        <v>1.9442307692307699</v>
      </c>
      <c r="D55" s="35">
        <v>1.9038461538461537</v>
      </c>
      <c r="E55" s="31">
        <v>0.38461538461538464</v>
      </c>
      <c r="F55" s="31">
        <v>0.28846153846153844</v>
      </c>
      <c r="G55" s="31">
        <v>0.29135802469135802</v>
      </c>
      <c r="H55" s="31">
        <v>0.15802469135802469</v>
      </c>
      <c r="I55" s="32">
        <v>9311.8644067796613</v>
      </c>
      <c r="J55" s="32">
        <v>-7553.125</v>
      </c>
      <c r="K55" s="31">
        <v>0.13461538461538461</v>
      </c>
      <c r="L55" s="31">
        <v>0.32592592592592595</v>
      </c>
      <c r="M55" s="31">
        <v>0.2</v>
      </c>
      <c r="N55" s="31">
        <v>0.49242424242424243</v>
      </c>
      <c r="O55" s="31">
        <v>0.39506172839506171</v>
      </c>
      <c r="P55" s="31">
        <v>0.46610169491525422</v>
      </c>
    </row>
    <row r="56" spans="1:16" x14ac:dyDescent="0.4">
      <c r="A56" s="33">
        <v>53</v>
      </c>
      <c r="B56" s="30">
        <v>145.80000000000004</v>
      </c>
      <c r="C56" s="30">
        <v>2.750943396226416</v>
      </c>
      <c r="D56" s="35">
        <v>1.8867924528301887</v>
      </c>
      <c r="E56" s="31">
        <v>0.39622641509433965</v>
      </c>
      <c r="F56" s="31">
        <v>0.28301886792452829</v>
      </c>
      <c r="G56" s="31">
        <v>0.29539951573849876</v>
      </c>
      <c r="H56" s="31">
        <v>0.15496368038740921</v>
      </c>
      <c r="I56" s="32">
        <v>9282.7868852459014</v>
      </c>
      <c r="J56" s="32">
        <v>-7553.125</v>
      </c>
      <c r="K56" s="31">
        <v>0.13207547169811321</v>
      </c>
      <c r="L56" s="31">
        <v>0.32445520581113801</v>
      </c>
      <c r="M56" s="31">
        <v>0.20338983050847459</v>
      </c>
      <c r="N56" s="31">
        <v>0.4925373134328358</v>
      </c>
      <c r="O56" s="31">
        <v>0.40476190476190477</v>
      </c>
      <c r="P56" s="31">
        <v>0.46721311475409838</v>
      </c>
    </row>
    <row r="57" spans="1:16" x14ac:dyDescent="0.4">
      <c r="A57" s="33">
        <v>54</v>
      </c>
      <c r="B57" s="30">
        <v>193.00000000000006</v>
      </c>
      <c r="C57" s="30">
        <v>3.5740740740740753</v>
      </c>
      <c r="D57" s="35">
        <v>1.8703703703703705</v>
      </c>
      <c r="E57" s="31">
        <v>0.40740740740740738</v>
      </c>
      <c r="F57" s="31">
        <v>0.27777777777777779</v>
      </c>
      <c r="G57" s="31">
        <v>0.29761904761904762</v>
      </c>
      <c r="H57" s="31">
        <v>0.15238095238095239</v>
      </c>
      <c r="I57" s="32">
        <v>9364</v>
      </c>
      <c r="J57" s="32">
        <v>-7553.125</v>
      </c>
      <c r="K57" s="31">
        <v>0.12962962962962962</v>
      </c>
      <c r="L57" s="31">
        <v>0.3261904761904762</v>
      </c>
      <c r="M57" s="31">
        <v>0.20238095238095238</v>
      </c>
      <c r="N57" s="31">
        <v>0.49635036496350365</v>
      </c>
      <c r="O57" s="31">
        <v>0.41176470588235292</v>
      </c>
      <c r="P57" s="31">
        <v>0.46400000000000002</v>
      </c>
    </row>
    <row r="58" spans="1:16" x14ac:dyDescent="0.4">
      <c r="A58" s="33">
        <v>55</v>
      </c>
      <c r="B58" s="30">
        <v>133.60000000000005</v>
      </c>
      <c r="C58" s="30">
        <v>2.4290909090909101</v>
      </c>
      <c r="D58" s="35">
        <v>1.8909090909090909</v>
      </c>
      <c r="E58" s="31">
        <v>0.4</v>
      </c>
      <c r="F58" s="31">
        <v>0.29090909090909089</v>
      </c>
      <c r="G58" s="31">
        <v>0.29137529137529139</v>
      </c>
      <c r="H58" s="31">
        <v>0.15151515151515152</v>
      </c>
      <c r="I58" s="32">
        <v>9364</v>
      </c>
      <c r="J58" s="32">
        <v>-7560</v>
      </c>
      <c r="K58" s="31">
        <v>0.14545454545454545</v>
      </c>
      <c r="L58" s="31">
        <v>0.32400932400932403</v>
      </c>
      <c r="M58" s="31">
        <v>0.20512820512820512</v>
      </c>
      <c r="N58" s="31">
        <v>0.48920863309352519</v>
      </c>
      <c r="O58" s="31">
        <v>0.39772727272727271</v>
      </c>
      <c r="P58" s="31">
        <v>0.46400000000000002</v>
      </c>
    </row>
    <row r="59" spans="1:16" x14ac:dyDescent="0.4">
      <c r="A59" s="33">
        <v>56</v>
      </c>
      <c r="B59" s="30">
        <v>133.60000000000005</v>
      </c>
      <c r="C59" s="30">
        <v>2.3857142857142866</v>
      </c>
      <c r="D59" s="35">
        <v>1.8928571428571428</v>
      </c>
      <c r="E59" s="31">
        <v>0.39285714285714285</v>
      </c>
      <c r="F59" s="31">
        <v>0.2857142857142857</v>
      </c>
      <c r="G59" s="31">
        <v>0.28935185185185186</v>
      </c>
      <c r="H59" s="31">
        <v>0.15046296296296297</v>
      </c>
      <c r="I59" s="32">
        <v>9364</v>
      </c>
      <c r="J59" s="32">
        <v>-7560</v>
      </c>
      <c r="K59" s="31">
        <v>0.14285714285714285</v>
      </c>
      <c r="L59" s="31">
        <v>0.32175925925925924</v>
      </c>
      <c r="M59" s="31">
        <v>0.20370370370370369</v>
      </c>
      <c r="N59" s="31">
        <v>0.48920863309352519</v>
      </c>
      <c r="O59" s="31">
        <v>0.39772727272727271</v>
      </c>
      <c r="P59" s="31">
        <v>0.46400000000000002</v>
      </c>
    </row>
    <row r="60" spans="1:16" x14ac:dyDescent="0.4">
      <c r="A60" s="33">
        <v>57</v>
      </c>
      <c r="B60" s="30">
        <v>132.90000000000006</v>
      </c>
      <c r="C60" s="30">
        <v>2.3315789473684223</v>
      </c>
      <c r="D60" s="35">
        <v>1.8947368421052631</v>
      </c>
      <c r="E60" s="31">
        <v>0.38596491228070173</v>
      </c>
      <c r="F60" s="31">
        <v>0.2807017543859649</v>
      </c>
      <c r="G60" s="31">
        <v>0.29024943310657597</v>
      </c>
      <c r="H60" s="31">
        <v>0.15192743764172337</v>
      </c>
      <c r="I60" s="32">
        <v>9425.78125</v>
      </c>
      <c r="J60" s="32">
        <v>-7728.3582089552237</v>
      </c>
      <c r="K60" s="31">
        <v>0.14035087719298245</v>
      </c>
      <c r="L60" s="31">
        <v>0.32199546485260772</v>
      </c>
      <c r="M60" s="31">
        <v>0.20181405895691609</v>
      </c>
      <c r="N60" s="31">
        <v>0.49295774647887325</v>
      </c>
      <c r="O60" s="31">
        <v>0.39325842696629215</v>
      </c>
      <c r="P60" s="31">
        <v>0.4609375</v>
      </c>
    </row>
    <row r="61" spans="1:16" x14ac:dyDescent="0.4">
      <c r="A61" s="33">
        <v>58</v>
      </c>
      <c r="B61" s="30">
        <v>99.000000000000057</v>
      </c>
      <c r="C61" s="30">
        <v>1.706896551724139</v>
      </c>
      <c r="D61" s="35">
        <v>1.9137931034482758</v>
      </c>
      <c r="E61" s="31">
        <v>0.37931034482758619</v>
      </c>
      <c r="F61" s="31">
        <v>0.29310344827586204</v>
      </c>
      <c r="G61" s="31">
        <v>0.29046563192904656</v>
      </c>
      <c r="H61" s="31">
        <v>0.15077605321507762</v>
      </c>
      <c r="I61" s="32">
        <v>9387.0229007633588</v>
      </c>
      <c r="J61" s="32">
        <v>-7755.8823529411766</v>
      </c>
      <c r="K61" s="31">
        <v>0.13793103448275862</v>
      </c>
      <c r="L61" s="31">
        <v>0.3215077605321508</v>
      </c>
      <c r="M61" s="31">
        <v>0.19955654101995565</v>
      </c>
      <c r="N61" s="31">
        <v>0.49655172413793103</v>
      </c>
      <c r="O61" s="31">
        <v>0.3888888888888889</v>
      </c>
      <c r="P61" s="31">
        <v>0.46564885496183206</v>
      </c>
    </row>
    <row r="62" spans="1:16" x14ac:dyDescent="0.4">
      <c r="A62" s="33">
        <v>59</v>
      </c>
      <c r="B62" s="30">
        <v>157.90000000000006</v>
      </c>
      <c r="C62" s="30">
        <v>2.6762711864406792</v>
      </c>
      <c r="D62" s="35">
        <v>1.8983050847457628</v>
      </c>
      <c r="E62" s="31">
        <v>0.38983050847457629</v>
      </c>
      <c r="F62" s="31">
        <v>0.28813559322033899</v>
      </c>
      <c r="G62" s="31">
        <v>0.29321663019693656</v>
      </c>
      <c r="H62" s="31">
        <v>0.1487964989059081</v>
      </c>
      <c r="I62" s="32">
        <v>9397.7611940298502</v>
      </c>
      <c r="J62" s="32">
        <v>-7755.8823529411766</v>
      </c>
      <c r="K62" s="31">
        <v>0.13559322033898305</v>
      </c>
      <c r="L62" s="31">
        <v>0.32385120350109409</v>
      </c>
      <c r="M62" s="31">
        <v>0.19912472647702406</v>
      </c>
      <c r="N62" s="31">
        <v>0.5</v>
      </c>
      <c r="O62" s="31">
        <v>0.39560439560439559</v>
      </c>
      <c r="P62" s="31">
        <v>0.47014925373134331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99551-6A82-4CD7-8AF3-EB88B19E2985}">
  <sheetPr codeName="Sheet6"/>
  <dimension ref="A1:Q8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0.27777777777777779</v>
      </c>
      <c r="H4" s="31">
        <v>0.22222222222222221</v>
      </c>
      <c r="I4" s="32">
        <v>9720</v>
      </c>
      <c r="J4" s="32">
        <v>-7650</v>
      </c>
      <c r="K4" s="31">
        <v>0.33333333333333331</v>
      </c>
      <c r="L4" s="31">
        <v>0.16666666666666666</v>
      </c>
      <c r="M4" s="31">
        <v>0.22222222222222221</v>
      </c>
      <c r="N4" s="31">
        <v>1</v>
      </c>
      <c r="O4" s="31">
        <v>0.25</v>
      </c>
      <c r="P4" s="31">
        <v>0.2</v>
      </c>
    </row>
    <row r="5" spans="1:17" x14ac:dyDescent="0.4">
      <c r="A5" s="33">
        <v>2</v>
      </c>
      <c r="B5" s="30">
        <v>7.1054273576010019E-15</v>
      </c>
      <c r="C5" s="30">
        <v>1.1842378929335002E-15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0.21212121212121213</v>
      </c>
      <c r="I5" s="32">
        <v>9630</v>
      </c>
      <c r="J5" s="32">
        <v>-8942.8571428571431</v>
      </c>
      <c r="K5" s="31">
        <v>0.33333333333333331</v>
      </c>
      <c r="L5" s="31">
        <v>0.33333333333333331</v>
      </c>
      <c r="M5" s="31">
        <v>0.21212121212121213</v>
      </c>
      <c r="N5" s="31">
        <v>0.63636363636363635</v>
      </c>
      <c r="O5" s="31">
        <v>0.2857142857142857</v>
      </c>
      <c r="P5" s="31">
        <v>0.3</v>
      </c>
    </row>
    <row r="6" spans="1:17" x14ac:dyDescent="0.4">
      <c r="A6" s="33">
        <v>3</v>
      </c>
      <c r="B6" s="30">
        <v>7.1054273576010019E-15</v>
      </c>
      <c r="C6" s="30">
        <v>7.894919286223335E-16</v>
      </c>
      <c r="D6" s="35">
        <v>2</v>
      </c>
      <c r="E6" s="31">
        <v>0.33333333333333331</v>
      </c>
      <c r="F6" s="31">
        <v>0.33333333333333331</v>
      </c>
      <c r="G6" s="31">
        <v>0.31372549019607843</v>
      </c>
      <c r="H6" s="31">
        <v>0.21568627450980393</v>
      </c>
      <c r="I6" s="32">
        <v>8525</v>
      </c>
      <c r="J6" s="32">
        <v>-8136.363636363636</v>
      </c>
      <c r="K6" s="31">
        <v>0.22222222222222221</v>
      </c>
      <c r="L6" s="31">
        <v>0.33333333333333331</v>
      </c>
      <c r="M6" s="31">
        <v>0.25490196078431371</v>
      </c>
      <c r="N6" s="31">
        <v>0.52941176470588236</v>
      </c>
      <c r="O6" s="31">
        <v>0.46153846153846156</v>
      </c>
      <c r="P6" s="31">
        <v>0.3125</v>
      </c>
    </row>
    <row r="7" spans="1:17" x14ac:dyDescent="0.4">
      <c r="A7" s="33">
        <v>4</v>
      </c>
      <c r="B7" s="30">
        <v>7.1054273576010019E-15</v>
      </c>
      <c r="C7" s="30">
        <v>5.9211894646675012E-16</v>
      </c>
      <c r="D7" s="35">
        <v>2</v>
      </c>
      <c r="E7" s="31">
        <v>0.33333333333333331</v>
      </c>
      <c r="F7" s="31">
        <v>0.33333333333333331</v>
      </c>
      <c r="G7" s="31">
        <v>0.32</v>
      </c>
      <c r="H7" s="31">
        <v>0.17333333333333334</v>
      </c>
      <c r="I7" s="32">
        <v>8141.666666666667</v>
      </c>
      <c r="J7" s="32">
        <v>-8115.3846153846152</v>
      </c>
      <c r="K7" s="31">
        <v>0.16666666666666666</v>
      </c>
      <c r="L7" s="31">
        <v>0.29333333333333333</v>
      </c>
      <c r="M7" s="31">
        <v>0.21333333333333335</v>
      </c>
      <c r="N7" s="31">
        <v>0.59090909090909094</v>
      </c>
      <c r="O7" s="31">
        <v>0.375</v>
      </c>
      <c r="P7" s="31">
        <v>0.45833333333333331</v>
      </c>
    </row>
    <row r="8" spans="1:17" x14ac:dyDescent="0.4">
      <c r="A8" s="33">
        <v>5</v>
      </c>
      <c r="B8" s="30">
        <v>3.5527136788005009E-15</v>
      </c>
      <c r="C8" s="30">
        <v>2.3684757858670006E-16</v>
      </c>
      <c r="D8" s="35">
        <v>2</v>
      </c>
      <c r="E8" s="31">
        <v>0.33333333333333331</v>
      </c>
      <c r="F8" s="31">
        <v>0.33333333333333331</v>
      </c>
      <c r="G8" s="31">
        <v>0.31372549019607843</v>
      </c>
      <c r="H8" s="31">
        <v>0.16666666666666666</v>
      </c>
      <c r="I8" s="32">
        <v>8528.125</v>
      </c>
      <c r="J8" s="32">
        <v>-8429.4117647058829</v>
      </c>
      <c r="K8" s="31">
        <v>0.13333333333333333</v>
      </c>
      <c r="L8" s="31">
        <v>0.25490196078431371</v>
      </c>
      <c r="M8" s="31">
        <v>0.26470588235294118</v>
      </c>
      <c r="N8" s="31">
        <v>0.57692307692307687</v>
      </c>
      <c r="O8" s="31">
        <v>0.40740740740740738</v>
      </c>
      <c r="P8" s="31">
        <v>0.46875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0.30701754385964913</v>
      </c>
      <c r="H9" s="31">
        <v>0.14912280701754385</v>
      </c>
      <c r="I9" s="32">
        <v>9625.7142857142862</v>
      </c>
      <c r="J9" s="32">
        <v>-8429.4117647058829</v>
      </c>
      <c r="K9" s="31">
        <v>0.16666666666666666</v>
      </c>
      <c r="L9" s="31">
        <v>0.23684210526315788</v>
      </c>
      <c r="M9" s="31">
        <v>0.25438596491228072</v>
      </c>
      <c r="N9" s="31">
        <v>0.59259259259259256</v>
      </c>
      <c r="O9" s="31">
        <v>0.37931034482758619</v>
      </c>
      <c r="P9" s="31">
        <v>0.51428571428571423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0.31914893617021278</v>
      </c>
      <c r="H10" s="31">
        <v>0.1702127659574468</v>
      </c>
      <c r="I10" s="32">
        <v>8984.4444444444453</v>
      </c>
      <c r="J10" s="32">
        <v>-8395.8333333333339</v>
      </c>
      <c r="K10" s="31">
        <v>0.19047619047619047</v>
      </c>
      <c r="L10" s="31">
        <v>0.24113475177304963</v>
      </c>
      <c r="M10" s="31">
        <v>0.26241134751773049</v>
      </c>
      <c r="N10" s="31">
        <v>0.55882352941176472</v>
      </c>
      <c r="O10" s="31">
        <v>0.35135135135135137</v>
      </c>
      <c r="P10" s="31">
        <v>0.44444444444444442</v>
      </c>
    </row>
    <row r="11" spans="1:17" x14ac:dyDescent="0.4">
      <c r="A11" s="33">
        <v>8</v>
      </c>
      <c r="B11" s="30">
        <v>0</v>
      </c>
      <c r="C11" s="30">
        <v>0</v>
      </c>
      <c r="D11" s="35">
        <v>2</v>
      </c>
      <c r="E11" s="31">
        <v>0.33333333333333331</v>
      </c>
      <c r="F11" s="31">
        <v>0.33333333333333331</v>
      </c>
      <c r="G11" s="31">
        <v>0.32163742690058478</v>
      </c>
      <c r="H11" s="31">
        <v>0.17543859649122806</v>
      </c>
      <c r="I11" s="32">
        <v>8225.454545454546</v>
      </c>
      <c r="J11" s="32">
        <v>-7483.333333333333</v>
      </c>
      <c r="K11" s="31">
        <v>0.16666666666666666</v>
      </c>
      <c r="L11" s="31">
        <v>0.25146198830409355</v>
      </c>
      <c r="M11" s="31">
        <v>0.23976608187134502</v>
      </c>
      <c r="N11" s="31">
        <v>0.58139534883720934</v>
      </c>
      <c r="O11" s="31">
        <v>0.34146341463414637</v>
      </c>
      <c r="P11" s="31">
        <v>0.43636363636363634</v>
      </c>
    </row>
    <row r="12" spans="1:17" x14ac:dyDescent="0.4">
      <c r="A12" s="33">
        <v>9</v>
      </c>
      <c r="B12" s="30">
        <v>3.5527136788005009E-15</v>
      </c>
      <c r="C12" s="30">
        <v>1.3158198810372225E-16</v>
      </c>
      <c r="D12" s="35">
        <v>2</v>
      </c>
      <c r="E12" s="31">
        <v>0.33333333333333331</v>
      </c>
      <c r="F12" s="31">
        <v>0.33333333333333331</v>
      </c>
      <c r="G12" s="31">
        <v>0.31818181818181818</v>
      </c>
      <c r="H12" s="31">
        <v>0.16666666666666666</v>
      </c>
      <c r="I12" s="32">
        <v>8398.4126984126979</v>
      </c>
      <c r="J12" s="32">
        <v>-7281.818181818182</v>
      </c>
      <c r="K12" s="31">
        <v>0.14814814814814814</v>
      </c>
      <c r="L12" s="31">
        <v>0.24747474747474749</v>
      </c>
      <c r="M12" s="31">
        <v>0.21212121212121213</v>
      </c>
      <c r="N12" s="31">
        <v>0.61224489795918369</v>
      </c>
      <c r="O12" s="31">
        <v>0.33333333333333331</v>
      </c>
      <c r="P12" s="31">
        <v>0.46031746031746029</v>
      </c>
    </row>
    <row r="13" spans="1:17" x14ac:dyDescent="0.4">
      <c r="A13" s="33">
        <v>10</v>
      </c>
      <c r="B13" s="30">
        <v>1.7763568394002505E-15</v>
      </c>
      <c r="C13" s="30">
        <v>5.9211894646675015E-17</v>
      </c>
      <c r="D13" s="35">
        <v>2</v>
      </c>
      <c r="E13" s="31">
        <v>0.33333333333333331</v>
      </c>
      <c r="F13" s="31">
        <v>0.33333333333333331</v>
      </c>
      <c r="G13" s="31">
        <v>0.31140350877192985</v>
      </c>
      <c r="H13" s="31">
        <v>0.16228070175438597</v>
      </c>
      <c r="I13" s="32">
        <v>8725.352112676057</v>
      </c>
      <c r="J13" s="32">
        <v>-7532.4324324324325</v>
      </c>
      <c r="K13" s="31">
        <v>0.13333333333333333</v>
      </c>
      <c r="L13" s="31">
        <v>0.25</v>
      </c>
      <c r="M13" s="31">
        <v>0.20614035087719298</v>
      </c>
      <c r="N13" s="31">
        <v>0.61403508771929827</v>
      </c>
      <c r="O13" s="31">
        <v>0.31914893617021278</v>
      </c>
      <c r="P13" s="31">
        <v>0.46478873239436619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0.30522088353413657</v>
      </c>
      <c r="H14" s="31">
        <v>0.1646586345381526</v>
      </c>
      <c r="I14" s="32">
        <v>8760.5263157894733</v>
      </c>
      <c r="J14" s="32">
        <v>-7797.5609756097565</v>
      </c>
      <c r="K14" s="31">
        <v>0.12121212121212122</v>
      </c>
      <c r="L14" s="31">
        <v>0.25301204819277107</v>
      </c>
      <c r="M14" s="31">
        <v>0.20481927710843373</v>
      </c>
      <c r="N14" s="31">
        <v>0.58730158730158732</v>
      </c>
      <c r="O14" s="31">
        <v>0.35294117647058826</v>
      </c>
      <c r="P14" s="31">
        <v>0.44736842105263158</v>
      </c>
    </row>
    <row r="15" spans="1:17" x14ac:dyDescent="0.4">
      <c r="A15" s="33">
        <v>12</v>
      </c>
      <c r="B15" s="30">
        <v>-7.1054273576010019E-15</v>
      </c>
      <c r="C15" s="30">
        <v>-1.9737298215558337E-16</v>
      </c>
      <c r="D15" s="35">
        <v>2</v>
      </c>
      <c r="E15" s="31">
        <v>0.33333333333333331</v>
      </c>
      <c r="F15" s="31">
        <v>0.33333333333333331</v>
      </c>
      <c r="G15" s="31">
        <v>0.30851063829787234</v>
      </c>
      <c r="H15" s="31">
        <v>0.1702127659574468</v>
      </c>
      <c r="I15" s="32">
        <v>8350.5747126436781</v>
      </c>
      <c r="J15" s="32">
        <v>-7429.166666666667</v>
      </c>
      <c r="K15" s="31">
        <v>0.1111111111111111</v>
      </c>
      <c r="L15" s="31">
        <v>0.26241134751773049</v>
      </c>
      <c r="M15" s="31">
        <v>0.20567375886524822</v>
      </c>
      <c r="N15" s="31">
        <v>0.58108108108108103</v>
      </c>
      <c r="O15" s="31">
        <v>0.36206896551724138</v>
      </c>
      <c r="P15" s="31">
        <v>0.42528735632183906</v>
      </c>
    </row>
    <row r="16" spans="1:17" x14ac:dyDescent="0.4">
      <c r="A16" s="33">
        <v>13</v>
      </c>
      <c r="B16" s="30">
        <v>-1.0658141036401503E-14</v>
      </c>
      <c r="C16" s="30">
        <v>-2.7328566760003855E-16</v>
      </c>
      <c r="D16" s="35">
        <v>2</v>
      </c>
      <c r="E16" s="31">
        <v>0.33333333333333331</v>
      </c>
      <c r="F16" s="31">
        <v>0.33333333333333331</v>
      </c>
      <c r="G16" s="31">
        <v>0.30392156862745096</v>
      </c>
      <c r="H16" s="31">
        <v>0.16666666666666666</v>
      </c>
      <c r="I16" s="32">
        <v>8360.2150537634407</v>
      </c>
      <c r="J16" s="32">
        <v>-7370.588235294118</v>
      </c>
      <c r="K16" s="31">
        <v>0.10256410256410256</v>
      </c>
      <c r="L16" s="31">
        <v>0.27777777777777779</v>
      </c>
      <c r="M16" s="31">
        <v>0.20588235294117646</v>
      </c>
      <c r="N16" s="31">
        <v>0.57647058823529407</v>
      </c>
      <c r="O16" s="31">
        <v>0.33333333333333331</v>
      </c>
      <c r="P16" s="31">
        <v>0.43010752688172044</v>
      </c>
    </row>
    <row r="17" spans="1:16" x14ac:dyDescent="0.4">
      <c r="A17" s="33">
        <v>14</v>
      </c>
      <c r="B17" s="30">
        <v>-1.4210854715202004E-14</v>
      </c>
      <c r="C17" s="30">
        <v>-3.3835368369528578E-16</v>
      </c>
      <c r="D17" s="35">
        <v>2</v>
      </c>
      <c r="E17" s="31">
        <v>0.33333333333333331</v>
      </c>
      <c r="F17" s="31">
        <v>0.33333333333333331</v>
      </c>
      <c r="G17" s="31">
        <v>0.30357142857142855</v>
      </c>
      <c r="H17" s="31">
        <v>0.16369047619047619</v>
      </c>
      <c r="I17" s="32">
        <v>8680.3921568627447</v>
      </c>
      <c r="J17" s="32">
        <v>-7463.636363636364</v>
      </c>
      <c r="K17" s="31">
        <v>9.5238095238095233E-2</v>
      </c>
      <c r="L17" s="31">
        <v>0.29166666666666669</v>
      </c>
      <c r="M17" s="31">
        <v>0.20238095238095238</v>
      </c>
      <c r="N17" s="31">
        <v>0.56122448979591832</v>
      </c>
      <c r="O17" s="31">
        <v>0.3235294117647059</v>
      </c>
      <c r="P17" s="31">
        <v>0.44117647058823528</v>
      </c>
    </row>
    <row r="18" spans="1:16" x14ac:dyDescent="0.4">
      <c r="A18" s="33">
        <v>15</v>
      </c>
      <c r="B18" s="30">
        <v>-1.4210854715202004E-14</v>
      </c>
      <c r="C18" s="30">
        <v>-3.1579677144893343E-16</v>
      </c>
      <c r="D18" s="35">
        <v>2</v>
      </c>
      <c r="E18" s="31">
        <v>0.33333333333333331</v>
      </c>
      <c r="F18" s="31">
        <v>0.33333333333333331</v>
      </c>
      <c r="G18" s="31">
        <v>0.29971988795518206</v>
      </c>
      <c r="H18" s="31">
        <v>0.15406162464985995</v>
      </c>
      <c r="I18" s="32">
        <v>8846.7289719626169</v>
      </c>
      <c r="J18" s="32">
        <v>-7463.636363636364</v>
      </c>
      <c r="K18" s="31">
        <v>0.1111111111111111</v>
      </c>
      <c r="L18" s="31">
        <v>0.28291316526610644</v>
      </c>
      <c r="M18" s="31">
        <v>0.20448179271708683</v>
      </c>
      <c r="N18" s="31">
        <v>0.5643564356435643</v>
      </c>
      <c r="O18" s="31">
        <v>0.32876712328767121</v>
      </c>
      <c r="P18" s="31">
        <v>0.46728971962616822</v>
      </c>
    </row>
    <row r="19" spans="1:16" x14ac:dyDescent="0.4">
      <c r="A19" s="33">
        <v>16</v>
      </c>
      <c r="B19" s="30">
        <v>-1.2434497875801753E-14</v>
      </c>
      <c r="C19" s="30">
        <v>-2.5905203907920321E-16</v>
      </c>
      <c r="D19" s="35">
        <v>2</v>
      </c>
      <c r="E19" s="31">
        <v>0.33333333333333331</v>
      </c>
      <c r="F19" s="31">
        <v>0.33333333333333331</v>
      </c>
      <c r="G19" s="31">
        <v>0.29921259842519687</v>
      </c>
      <c r="H19" s="31">
        <v>0.15223097112860892</v>
      </c>
      <c r="I19" s="32">
        <v>8937.7192982456145</v>
      </c>
      <c r="J19" s="32">
        <v>-7565.5172413793107</v>
      </c>
      <c r="K19" s="31">
        <v>0.125</v>
      </c>
      <c r="L19" s="31">
        <v>0.29921259842519687</v>
      </c>
      <c r="M19" s="31">
        <v>0.1942257217847769</v>
      </c>
      <c r="N19" s="31">
        <v>0.54385964912280704</v>
      </c>
      <c r="O19" s="31">
        <v>0.32432432432432434</v>
      </c>
      <c r="P19" s="31">
        <v>0.47368421052631576</v>
      </c>
    </row>
    <row r="20" spans="1:16" x14ac:dyDescent="0.4">
      <c r="A20" s="33">
        <v>17</v>
      </c>
      <c r="B20" s="30">
        <v>-1.5543122344752192E-14</v>
      </c>
      <c r="C20" s="30">
        <v>-3.0476710479906258E-16</v>
      </c>
      <c r="D20" s="35">
        <v>2</v>
      </c>
      <c r="E20" s="31">
        <v>0.33333333333333331</v>
      </c>
      <c r="F20" s="31">
        <v>0.33333333333333331</v>
      </c>
      <c r="G20" s="31">
        <v>0.29197080291970801</v>
      </c>
      <c r="H20" s="31">
        <v>0.14355231143552311</v>
      </c>
      <c r="I20" s="32">
        <v>9056.6666666666661</v>
      </c>
      <c r="J20" s="32">
        <v>-7503.3898305084749</v>
      </c>
      <c r="K20" s="31">
        <v>0.11764705882352941</v>
      </c>
      <c r="L20" s="31">
        <v>0.31630170316301703</v>
      </c>
      <c r="M20" s="31">
        <v>0.18734793187347931</v>
      </c>
      <c r="N20" s="31">
        <v>0.52307692307692311</v>
      </c>
      <c r="O20" s="31">
        <v>0.31168831168831168</v>
      </c>
      <c r="P20" s="31">
        <v>0.49166666666666664</v>
      </c>
    </row>
    <row r="21" spans="1:16" x14ac:dyDescent="0.4">
      <c r="A21" s="33">
        <v>18</v>
      </c>
      <c r="B21" s="30">
        <v>-1.7763568394002505E-14</v>
      </c>
      <c r="C21" s="30">
        <v>-3.2895497025930562E-16</v>
      </c>
      <c r="D21" s="35">
        <v>2</v>
      </c>
      <c r="E21" s="31">
        <v>0.33333333333333331</v>
      </c>
      <c r="F21" s="31">
        <v>0.33333333333333331</v>
      </c>
      <c r="G21" s="31">
        <v>0.28935185185185186</v>
      </c>
      <c r="H21" s="31">
        <v>0.14814814814814814</v>
      </c>
      <c r="I21" s="32">
        <v>8990.4</v>
      </c>
      <c r="J21" s="32">
        <v>-7495.3125</v>
      </c>
      <c r="K21" s="31">
        <v>0.1111111111111111</v>
      </c>
      <c r="L21" s="31">
        <v>0.31481481481481483</v>
      </c>
      <c r="M21" s="31">
        <v>0.1875</v>
      </c>
      <c r="N21" s="31">
        <v>0.51470588235294112</v>
      </c>
      <c r="O21" s="31">
        <v>0.32098765432098764</v>
      </c>
      <c r="P21" s="31">
        <v>0.47199999999999998</v>
      </c>
    </row>
    <row r="22" spans="1:16" x14ac:dyDescent="0.4">
      <c r="A22" s="33">
        <v>19</v>
      </c>
      <c r="B22" s="30">
        <v>-2.1316282072803006E-14</v>
      </c>
      <c r="C22" s="30">
        <v>-3.739698609263685E-16</v>
      </c>
      <c r="D22" s="35">
        <v>2</v>
      </c>
      <c r="E22" s="31">
        <v>0.33333333333333331</v>
      </c>
      <c r="F22" s="31">
        <v>0.33333333333333331</v>
      </c>
      <c r="G22" s="31">
        <v>0.29193899782135074</v>
      </c>
      <c r="H22" s="31">
        <v>0.14814814814814814</v>
      </c>
      <c r="I22" s="32">
        <v>8952.9850746268658</v>
      </c>
      <c r="J22" s="32">
        <v>-7739.7058823529414</v>
      </c>
      <c r="K22" s="31">
        <v>0.10526315789473684</v>
      </c>
      <c r="L22" s="31">
        <v>0.31808278867102396</v>
      </c>
      <c r="M22" s="31">
        <v>0.18736383442265794</v>
      </c>
      <c r="N22" s="31">
        <v>0.51369863013698636</v>
      </c>
      <c r="O22" s="31">
        <v>0.33720930232558138</v>
      </c>
      <c r="P22" s="31">
        <v>0.47014925373134331</v>
      </c>
    </row>
    <row r="23" spans="1:16" x14ac:dyDescent="0.4">
      <c r="A23" s="33">
        <v>20</v>
      </c>
      <c r="B23" s="30">
        <v>-2.1316282072803006E-14</v>
      </c>
      <c r="C23" s="30">
        <v>-3.5527136788005011E-16</v>
      </c>
      <c r="D23" s="35">
        <v>2</v>
      </c>
      <c r="E23" s="31">
        <v>0.33333333333333331</v>
      </c>
      <c r="F23" s="31">
        <v>0.33333333333333331</v>
      </c>
      <c r="G23" s="31">
        <v>0.29140461215932911</v>
      </c>
      <c r="H23" s="31">
        <v>0.1488469601677149</v>
      </c>
      <c r="I23" s="32">
        <v>8884.1726618705034</v>
      </c>
      <c r="J23" s="32">
        <v>-7683.0985915492956</v>
      </c>
      <c r="K23" s="31">
        <v>0.1</v>
      </c>
      <c r="L23" s="31">
        <v>0.31865828092243187</v>
      </c>
      <c r="M23" s="31">
        <v>0.18448637316561844</v>
      </c>
      <c r="N23" s="31">
        <v>0.51973684210526316</v>
      </c>
      <c r="O23" s="31">
        <v>0.34090909090909088</v>
      </c>
      <c r="P23" s="31">
        <v>0.46762589928057552</v>
      </c>
    </row>
    <row r="24" spans="1:16" x14ac:dyDescent="0.4">
      <c r="A24" s="33">
        <v>21</v>
      </c>
      <c r="B24" s="30">
        <v>-1.6875389974302379E-14</v>
      </c>
      <c r="C24" s="30">
        <v>-2.6786333292543458E-16</v>
      </c>
      <c r="D24" s="35">
        <v>2</v>
      </c>
      <c r="E24" s="31">
        <v>0.33333333333333331</v>
      </c>
      <c r="F24" s="31">
        <v>0.33333333333333331</v>
      </c>
      <c r="G24" s="31">
        <v>0.29341317365269459</v>
      </c>
      <c r="H24" s="31">
        <v>0.15369261477045909</v>
      </c>
      <c r="I24" s="32">
        <v>8885.0340136054419</v>
      </c>
      <c r="J24" s="32">
        <v>-7701.2987012987014</v>
      </c>
      <c r="K24" s="31">
        <v>9.5238095238095233E-2</v>
      </c>
      <c r="L24" s="31">
        <v>0.31536926147704591</v>
      </c>
      <c r="M24" s="31">
        <v>0.17964071856287425</v>
      </c>
      <c r="N24" s="31">
        <v>0.53164556962025311</v>
      </c>
      <c r="O24" s="31">
        <v>0.34444444444444444</v>
      </c>
      <c r="P24" s="31">
        <v>0.45578231292517007</v>
      </c>
    </row>
    <row r="25" spans="1:16" x14ac:dyDescent="0.4">
      <c r="A25" s="33">
        <v>22</v>
      </c>
      <c r="B25" s="30">
        <v>-2.1316282072803006E-14</v>
      </c>
      <c r="C25" s="30">
        <v>-3.2297397080004555E-16</v>
      </c>
      <c r="D25" s="35">
        <v>2</v>
      </c>
      <c r="E25" s="31">
        <v>0.33333333333333331</v>
      </c>
      <c r="F25" s="31">
        <v>0.33333333333333331</v>
      </c>
      <c r="G25" s="31">
        <v>0.29378531073446329</v>
      </c>
      <c r="H25" s="31">
        <v>0.15254237288135594</v>
      </c>
      <c r="I25" s="32">
        <v>8957.6923076923085</v>
      </c>
      <c r="J25" s="32">
        <v>-7864.1975308641977</v>
      </c>
      <c r="K25" s="31">
        <v>9.0909090909090912E-2</v>
      </c>
      <c r="L25" s="31">
        <v>0.31638418079096048</v>
      </c>
      <c r="M25" s="31">
        <v>0.1807909604519774</v>
      </c>
      <c r="N25" s="31">
        <v>0.54166666666666663</v>
      </c>
      <c r="O25" s="31">
        <v>0.34375</v>
      </c>
      <c r="P25" s="31">
        <v>0.46153846153846156</v>
      </c>
    </row>
    <row r="26" spans="1:16" x14ac:dyDescent="0.4">
      <c r="A26" s="33">
        <v>23</v>
      </c>
      <c r="B26" s="30">
        <v>-2.1316282072803006E-14</v>
      </c>
      <c r="C26" s="30">
        <v>-3.0893162424352181E-16</v>
      </c>
      <c r="D26" s="35">
        <v>2</v>
      </c>
      <c r="E26" s="31">
        <v>0.33333333333333331</v>
      </c>
      <c r="F26" s="31">
        <v>0.33333333333333331</v>
      </c>
      <c r="G26" s="31">
        <v>0.29549549549549547</v>
      </c>
      <c r="H26" s="31">
        <v>0.15315315315315314</v>
      </c>
      <c r="I26" s="32">
        <v>8948.7804878048773</v>
      </c>
      <c r="J26" s="32">
        <v>-7850.588235294118</v>
      </c>
      <c r="K26" s="31">
        <v>0.10144927536231885</v>
      </c>
      <c r="L26" s="31">
        <v>0.3171171171171171</v>
      </c>
      <c r="M26" s="31">
        <v>0.18018018018018017</v>
      </c>
      <c r="N26" s="31">
        <v>0.54545454545454541</v>
      </c>
      <c r="O26" s="31">
        <v>0.35</v>
      </c>
      <c r="P26" s="31">
        <v>0.46341463414634149</v>
      </c>
    </row>
    <row r="27" spans="1:16" x14ac:dyDescent="0.4">
      <c r="A27" s="33">
        <v>24</v>
      </c>
      <c r="B27" s="30">
        <v>-2.1316282072803006E-14</v>
      </c>
      <c r="C27" s="30">
        <v>-2.9605947323337506E-16</v>
      </c>
      <c r="D27" s="35">
        <v>2</v>
      </c>
      <c r="E27" s="31">
        <v>0.33333333333333331</v>
      </c>
      <c r="F27" s="31">
        <v>0.33333333333333331</v>
      </c>
      <c r="G27" s="31">
        <v>0.29441624365482233</v>
      </c>
      <c r="H27" s="31">
        <v>0.15397631133671744</v>
      </c>
      <c r="I27" s="32">
        <v>8858.6206896551721</v>
      </c>
      <c r="J27" s="32">
        <v>-7838.4615384615381</v>
      </c>
      <c r="K27" s="31">
        <v>9.7222222222222224E-2</v>
      </c>
      <c r="L27" s="31">
        <v>0.31641285956006771</v>
      </c>
      <c r="M27" s="31">
        <v>0.17597292724196278</v>
      </c>
      <c r="N27" s="31">
        <v>0.54545454545454541</v>
      </c>
      <c r="O27" s="31">
        <v>0.34615384615384615</v>
      </c>
      <c r="P27" s="31">
        <v>0.45977011494252873</v>
      </c>
    </row>
    <row r="28" spans="1:16" x14ac:dyDescent="0.4">
      <c r="A28" s="33">
        <v>25</v>
      </c>
      <c r="B28" s="30">
        <v>-2.1316282072803006E-14</v>
      </c>
      <c r="C28" s="30">
        <v>-2.8421709430404008E-16</v>
      </c>
      <c r="D28" s="35">
        <v>1.96</v>
      </c>
      <c r="E28" s="31">
        <v>0.36</v>
      </c>
      <c r="F28" s="31">
        <v>0.32</v>
      </c>
      <c r="G28" s="31">
        <v>0.29441624365482233</v>
      </c>
      <c r="H28" s="31">
        <v>0.15397631133671744</v>
      </c>
      <c r="I28" s="32">
        <v>8858.6206896551721</v>
      </c>
      <c r="J28" s="32">
        <v>-7838.4615384615381</v>
      </c>
      <c r="K28" s="31">
        <v>9.3333333333333338E-2</v>
      </c>
      <c r="L28" s="31">
        <v>0.31641285956006771</v>
      </c>
      <c r="M28" s="31">
        <v>0.17597292724196278</v>
      </c>
      <c r="N28" s="31">
        <v>0.54545454545454541</v>
      </c>
      <c r="O28" s="31">
        <v>0.34615384615384615</v>
      </c>
      <c r="P28" s="31">
        <v>0.45977011494252873</v>
      </c>
    </row>
    <row r="29" spans="1:16" x14ac:dyDescent="0.4">
      <c r="A29" s="33">
        <v>26</v>
      </c>
      <c r="B29" s="30">
        <v>-1.4210854715202004E-14</v>
      </c>
      <c r="C29" s="30">
        <v>-1.8219044506669235E-16</v>
      </c>
      <c r="D29" s="35">
        <v>1.9615384615384615</v>
      </c>
      <c r="E29" s="31">
        <v>0.35897435897435898</v>
      </c>
      <c r="F29" s="31">
        <v>0.32051282051282054</v>
      </c>
      <c r="G29" s="31">
        <v>0.29523809523809524</v>
      </c>
      <c r="H29" s="31">
        <v>0.15555555555555556</v>
      </c>
      <c r="I29" s="32">
        <v>8826.3440860215051</v>
      </c>
      <c r="J29" s="32">
        <v>-7633.6734693877552</v>
      </c>
      <c r="K29" s="31">
        <v>8.9743589743589744E-2</v>
      </c>
      <c r="L29" s="31">
        <v>0.31428571428571428</v>
      </c>
      <c r="M29" s="31">
        <v>0.18412698412698414</v>
      </c>
      <c r="N29" s="31">
        <v>0.54040404040404044</v>
      </c>
      <c r="O29" s="31">
        <v>0.35344827586206895</v>
      </c>
      <c r="P29" s="31">
        <v>0.45698924731182794</v>
      </c>
    </row>
    <row r="30" spans="1:16" x14ac:dyDescent="0.4">
      <c r="A30" s="33">
        <v>27</v>
      </c>
      <c r="B30" s="30">
        <v>-1.4210854715202004E-14</v>
      </c>
      <c r="C30" s="30">
        <v>-1.75442650804963E-16</v>
      </c>
      <c r="D30" s="35">
        <v>1.962962962962963</v>
      </c>
      <c r="E30" s="31">
        <v>0.35802469135802467</v>
      </c>
      <c r="F30" s="31">
        <v>0.32098765432098764</v>
      </c>
      <c r="G30" s="31">
        <v>0.29528158295281581</v>
      </c>
      <c r="H30" s="31">
        <v>0.15525114155251141</v>
      </c>
      <c r="I30" s="32">
        <v>8757.7319587628863</v>
      </c>
      <c r="J30" s="32">
        <v>-7686.2745098039213</v>
      </c>
      <c r="K30" s="31">
        <v>8.6419753086419748E-2</v>
      </c>
      <c r="L30" s="31">
        <v>0.31506849315068491</v>
      </c>
      <c r="M30" s="31">
        <v>0.17808219178082191</v>
      </c>
      <c r="N30" s="31">
        <v>0.53623188405797106</v>
      </c>
      <c r="O30" s="31">
        <v>0.35897435897435898</v>
      </c>
      <c r="P30" s="31">
        <v>0.45876288659793812</v>
      </c>
    </row>
    <row r="31" spans="1:16" x14ac:dyDescent="0.4">
      <c r="A31" s="33">
        <v>28</v>
      </c>
      <c r="B31" s="30">
        <v>-1.4210854715202004E-14</v>
      </c>
      <c r="C31" s="30">
        <v>-1.6917684184764289E-16</v>
      </c>
      <c r="D31" s="35">
        <v>1.9642857142857142</v>
      </c>
      <c r="E31" s="31">
        <v>0.35714285714285715</v>
      </c>
      <c r="F31" s="31">
        <v>0.32142857142857145</v>
      </c>
      <c r="G31" s="31">
        <v>0.29515418502202645</v>
      </c>
      <c r="H31" s="31">
        <v>0.1512481644640235</v>
      </c>
      <c r="I31" s="32">
        <v>8825.8706467661686</v>
      </c>
      <c r="J31" s="32">
        <v>-7728.155339805825</v>
      </c>
      <c r="K31" s="31">
        <v>8.3333333333333329E-2</v>
      </c>
      <c r="L31" s="31">
        <v>0.32305433186490456</v>
      </c>
      <c r="M31" s="31">
        <v>0.17180616740088106</v>
      </c>
      <c r="N31" s="31">
        <v>0.53181818181818186</v>
      </c>
      <c r="O31" s="31">
        <v>0.35897435897435898</v>
      </c>
      <c r="P31" s="31">
        <v>0.47263681592039802</v>
      </c>
    </row>
    <row r="32" spans="1:16" x14ac:dyDescent="0.4">
      <c r="A32" s="33">
        <v>29</v>
      </c>
      <c r="B32" s="30">
        <v>-1.7763568394002505E-14</v>
      </c>
      <c r="C32" s="30">
        <v>-2.0417894705750005E-16</v>
      </c>
      <c r="D32" s="35">
        <v>1.9655172413793103</v>
      </c>
      <c r="E32" s="31">
        <v>0.35632183908045978</v>
      </c>
      <c r="F32" s="31">
        <v>0.32183908045977011</v>
      </c>
      <c r="G32" s="31">
        <v>0.29629629629629628</v>
      </c>
      <c r="H32" s="31">
        <v>0.150997150997151</v>
      </c>
      <c r="I32" s="32">
        <v>8773.5576923076915</v>
      </c>
      <c r="J32" s="32">
        <v>-7680.1886792452833</v>
      </c>
      <c r="K32" s="31">
        <v>8.0459770114942528E-2</v>
      </c>
      <c r="L32" s="31">
        <v>0.32193732193732194</v>
      </c>
      <c r="M32" s="31">
        <v>0.1752136752136752</v>
      </c>
      <c r="N32" s="31">
        <v>0.52654867256637172</v>
      </c>
      <c r="O32" s="31">
        <v>0.38211382113821141</v>
      </c>
      <c r="P32" s="31">
        <v>0.47596153846153844</v>
      </c>
    </row>
    <row r="33" spans="1:16" x14ac:dyDescent="0.4">
      <c r="A33" s="33">
        <v>30</v>
      </c>
      <c r="B33" s="30">
        <v>-2.1316282072803006E-14</v>
      </c>
      <c r="C33" s="30">
        <v>-2.3684757858670006E-16</v>
      </c>
      <c r="D33" s="35">
        <v>1.9666666666666666</v>
      </c>
      <c r="E33" s="31">
        <v>0.35555555555555557</v>
      </c>
      <c r="F33" s="31">
        <v>0.32222222222222224</v>
      </c>
      <c r="G33" s="31">
        <v>0.29766803840877915</v>
      </c>
      <c r="H33" s="31">
        <v>0.15226337448559671</v>
      </c>
      <c r="I33" s="32">
        <v>8763.1336405529946</v>
      </c>
      <c r="J33" s="32">
        <v>-7674.7747747747744</v>
      </c>
      <c r="K33" s="31">
        <v>7.7777777777777779E-2</v>
      </c>
      <c r="L33" s="31">
        <v>0.32510288065843623</v>
      </c>
      <c r="M33" s="31">
        <v>0.17146776406035666</v>
      </c>
      <c r="N33" s="31">
        <v>0.53164556962025311</v>
      </c>
      <c r="O33" s="31">
        <v>0.38400000000000001</v>
      </c>
      <c r="P33" s="31">
        <v>0.47465437788018433</v>
      </c>
    </row>
    <row r="34" spans="1:16" x14ac:dyDescent="0.4">
      <c r="A34" s="33">
        <v>31</v>
      </c>
      <c r="B34" s="30">
        <v>-2.1316282072803006E-14</v>
      </c>
      <c r="C34" s="30">
        <v>-2.2920733411616134E-16</v>
      </c>
      <c r="D34" s="35">
        <v>1.967741935483871</v>
      </c>
      <c r="E34" s="31">
        <v>0.35483870967741937</v>
      </c>
      <c r="F34" s="31">
        <v>0.32258064516129031</v>
      </c>
      <c r="G34" s="31">
        <v>0.29852744310575635</v>
      </c>
      <c r="H34" s="31">
        <v>0.1499330655957162</v>
      </c>
      <c r="I34" s="32">
        <v>8674.8878923766824</v>
      </c>
      <c r="J34" s="32">
        <v>-7677.6785714285716</v>
      </c>
      <c r="K34" s="31">
        <v>7.5268817204301078E-2</v>
      </c>
      <c r="L34" s="31">
        <v>0.32396251673360105</v>
      </c>
      <c r="M34" s="31">
        <v>0.16867469879518071</v>
      </c>
      <c r="N34" s="31">
        <v>0.53305785123966942</v>
      </c>
      <c r="O34" s="31">
        <v>0.38095238095238093</v>
      </c>
      <c r="P34" s="31">
        <v>0.48430493273542602</v>
      </c>
    </row>
    <row r="35" spans="1:16" x14ac:dyDescent="0.4">
      <c r="A35" s="33">
        <v>32</v>
      </c>
      <c r="B35" s="30">
        <v>-2.8421709430404007E-14</v>
      </c>
      <c r="C35" s="30">
        <v>-2.9605947323337506E-16</v>
      </c>
      <c r="D35" s="35">
        <v>1.96875</v>
      </c>
      <c r="E35" s="31">
        <v>0.35416666666666669</v>
      </c>
      <c r="F35" s="31">
        <v>0.32291666666666669</v>
      </c>
      <c r="G35" s="31">
        <v>0.29629629629629628</v>
      </c>
      <c r="H35" s="31">
        <v>0.14942528735632185</v>
      </c>
      <c r="I35" s="32">
        <v>8747.4137931034475</v>
      </c>
      <c r="J35" s="32">
        <v>-7928.2051282051279</v>
      </c>
      <c r="K35" s="31">
        <v>7.2916666666666671E-2</v>
      </c>
      <c r="L35" s="31">
        <v>0.31928480204342274</v>
      </c>
      <c r="M35" s="31">
        <v>0.16475095785440613</v>
      </c>
      <c r="N35" s="31">
        <v>0.53600000000000003</v>
      </c>
      <c r="O35" s="31">
        <v>0.37984496124031009</v>
      </c>
      <c r="P35" s="31">
        <v>0.48275862068965519</v>
      </c>
    </row>
    <row r="36" spans="1:16" x14ac:dyDescent="0.4">
      <c r="A36" s="33">
        <v>33</v>
      </c>
      <c r="B36" s="30">
        <v>-2.8421709430404007E-14</v>
      </c>
      <c r="C36" s="30">
        <v>-2.8708797404448495E-16</v>
      </c>
      <c r="D36" s="35">
        <v>1.9696969696969697</v>
      </c>
      <c r="E36" s="31">
        <v>0.35353535353535354</v>
      </c>
      <c r="F36" s="31">
        <v>0.32323232323232326</v>
      </c>
      <c r="G36" s="31">
        <v>0.29685534591194968</v>
      </c>
      <c r="H36" s="31">
        <v>0.14968553459119496</v>
      </c>
      <c r="I36" s="32">
        <v>8841.5254237288136</v>
      </c>
      <c r="J36" s="32">
        <v>-8107.5630252100837</v>
      </c>
      <c r="K36" s="31">
        <v>8.0808080808080815E-2</v>
      </c>
      <c r="L36" s="31">
        <v>0.31823899371069181</v>
      </c>
      <c r="M36" s="31">
        <v>0.16477987421383647</v>
      </c>
      <c r="N36" s="31">
        <v>0.53754940711462451</v>
      </c>
      <c r="O36" s="31">
        <v>0.37404580152671757</v>
      </c>
      <c r="P36" s="31">
        <v>0.48305084745762711</v>
      </c>
    </row>
    <row r="37" spans="1:16" x14ac:dyDescent="0.4">
      <c r="A37" s="33">
        <v>34</v>
      </c>
      <c r="B37" s="30">
        <v>-2.8421709430404007E-14</v>
      </c>
      <c r="C37" s="30">
        <v>-2.7864421010200007E-16</v>
      </c>
      <c r="D37" s="35">
        <v>1.9705882352941178</v>
      </c>
      <c r="E37" s="31">
        <v>0.35294117647058826</v>
      </c>
      <c r="F37" s="31">
        <v>0.3235294117647059</v>
      </c>
      <c r="G37" s="31">
        <v>0.29699248120300753</v>
      </c>
      <c r="H37" s="31">
        <v>0.15037593984962405</v>
      </c>
      <c r="I37" s="32">
        <v>9006.7510548523205</v>
      </c>
      <c r="J37" s="32">
        <v>-8440</v>
      </c>
      <c r="K37" s="31">
        <v>8.8235294117647065E-2</v>
      </c>
      <c r="L37" s="31">
        <v>0.31704260651629074</v>
      </c>
      <c r="M37" s="31">
        <v>0.16416040100250626</v>
      </c>
      <c r="N37" s="31">
        <v>0.53754940711462451</v>
      </c>
      <c r="O37" s="31">
        <v>0.37404580152671757</v>
      </c>
      <c r="P37" s="31">
        <v>0.48101265822784811</v>
      </c>
    </row>
    <row r="38" spans="1:16" x14ac:dyDescent="0.4">
      <c r="A38" s="33">
        <v>35</v>
      </c>
      <c r="B38" s="30">
        <v>-2.4868995751603507E-14</v>
      </c>
      <c r="C38" s="30">
        <v>-2.3684757858670006E-16</v>
      </c>
      <c r="D38" s="35">
        <v>1.9714285714285715</v>
      </c>
      <c r="E38" s="31">
        <v>0.35238095238095241</v>
      </c>
      <c r="F38" s="31">
        <v>0.32380952380952382</v>
      </c>
      <c r="G38" s="31">
        <v>0.2980535279805353</v>
      </c>
      <c r="H38" s="31">
        <v>0.14841849148418493</v>
      </c>
      <c r="I38" s="32">
        <v>8977.1428571428569</v>
      </c>
      <c r="J38" s="32">
        <v>-8430.3278688524588</v>
      </c>
      <c r="K38" s="31">
        <v>8.5714285714285715E-2</v>
      </c>
      <c r="L38" s="31">
        <v>0.31386861313868614</v>
      </c>
      <c r="M38" s="31">
        <v>0.16666666666666666</v>
      </c>
      <c r="N38" s="31">
        <v>0.53875968992248058</v>
      </c>
      <c r="O38" s="31">
        <v>0.37956204379562042</v>
      </c>
      <c r="P38" s="31">
        <v>0.48979591836734693</v>
      </c>
    </row>
    <row r="39" spans="1:16" x14ac:dyDescent="0.4">
      <c r="A39" s="33">
        <v>36</v>
      </c>
      <c r="B39" s="30">
        <v>-2.1316282072803006E-14</v>
      </c>
      <c r="C39" s="30">
        <v>-1.9737298215558337E-16</v>
      </c>
      <c r="D39" s="35">
        <v>1.9722222222222223</v>
      </c>
      <c r="E39" s="31">
        <v>0.35185185185185186</v>
      </c>
      <c r="F39" s="31">
        <v>0.32407407407407407</v>
      </c>
      <c r="G39" s="31">
        <v>0.29836829836829837</v>
      </c>
      <c r="H39" s="31">
        <v>0.14918414918414918</v>
      </c>
      <c r="I39" s="32">
        <v>8980.078125</v>
      </c>
      <c r="J39" s="32">
        <v>-8435.9375</v>
      </c>
      <c r="K39" s="31">
        <v>9.2592592592592587E-2</v>
      </c>
      <c r="L39" s="31">
        <v>0.317016317016317</v>
      </c>
      <c r="M39" s="31">
        <v>0.1655011655011655</v>
      </c>
      <c r="N39" s="31">
        <v>0.53676470588235292</v>
      </c>
      <c r="O39" s="31">
        <v>0.38732394366197181</v>
      </c>
      <c r="P39" s="31">
        <v>0.48828125</v>
      </c>
    </row>
    <row r="40" spans="1:16" x14ac:dyDescent="0.4">
      <c r="A40" s="33">
        <v>37</v>
      </c>
      <c r="B40" s="30">
        <v>-2.8421709430404007E-14</v>
      </c>
      <c r="C40" s="30">
        <v>-2.5605143630994601E-16</v>
      </c>
      <c r="D40" s="35">
        <v>1.972972972972973</v>
      </c>
      <c r="E40" s="31">
        <v>0.35135135135135137</v>
      </c>
      <c r="F40" s="31">
        <v>0.32432432432432434</v>
      </c>
      <c r="G40" s="31">
        <v>0.2988505747126437</v>
      </c>
      <c r="H40" s="31">
        <v>0.15057471264367817</v>
      </c>
      <c r="I40" s="32">
        <v>9080.3846153846152</v>
      </c>
      <c r="J40" s="32">
        <v>-8624.4274809160306</v>
      </c>
      <c r="K40" s="31">
        <v>9.90990990990991E-2</v>
      </c>
      <c r="L40" s="31">
        <v>0.31954022988505748</v>
      </c>
      <c r="M40" s="31">
        <v>0.16436781609195403</v>
      </c>
      <c r="N40" s="31">
        <v>0.53956834532374098</v>
      </c>
      <c r="O40" s="31">
        <v>0.38461538461538464</v>
      </c>
      <c r="P40" s="31">
        <v>0.48461538461538461</v>
      </c>
    </row>
    <row r="41" spans="1:16" x14ac:dyDescent="0.4">
      <c r="A41" s="33">
        <v>38</v>
      </c>
      <c r="B41" s="30">
        <v>-2.4202861936828413E-14</v>
      </c>
      <c r="C41" s="30">
        <v>-2.1230580646340712E-16</v>
      </c>
      <c r="D41" s="35">
        <v>1.9736842105263157</v>
      </c>
      <c r="E41" s="31">
        <v>0.35087719298245612</v>
      </c>
      <c r="F41" s="31">
        <v>0.32456140350877194</v>
      </c>
      <c r="G41" s="31">
        <v>0.29842342342342343</v>
      </c>
      <c r="H41" s="31">
        <v>0.14864864864864866</v>
      </c>
      <c r="I41" s="32">
        <v>9067.9245283018863</v>
      </c>
      <c r="J41" s="32">
        <v>-8650</v>
      </c>
      <c r="K41" s="31">
        <v>9.6491228070175433E-2</v>
      </c>
      <c r="L41" s="31">
        <v>0.31869369369369371</v>
      </c>
      <c r="M41" s="31">
        <v>0.16666666666666666</v>
      </c>
      <c r="N41" s="31">
        <v>0.54063604240282681</v>
      </c>
      <c r="O41" s="31">
        <v>0.3783783783783784</v>
      </c>
      <c r="P41" s="31">
        <v>0.49056603773584906</v>
      </c>
    </row>
    <row r="42" spans="1:16" x14ac:dyDescent="0.4">
      <c r="A42" s="33">
        <v>39</v>
      </c>
      <c r="B42" s="30">
        <v>-2.1316282072803006E-14</v>
      </c>
      <c r="C42" s="30">
        <v>-1.8219044506669235E-16</v>
      </c>
      <c r="D42" s="35">
        <v>1.9743589743589745</v>
      </c>
      <c r="E42" s="31">
        <v>0.3504273504273504</v>
      </c>
      <c r="F42" s="31">
        <v>0.3247863247863248</v>
      </c>
      <c r="G42" s="31">
        <v>0.29956427015250547</v>
      </c>
      <c r="H42" s="31">
        <v>0.15032679738562091</v>
      </c>
      <c r="I42" s="32">
        <v>9054.181818181818</v>
      </c>
      <c r="J42" s="32">
        <v>-8594.927536231884</v>
      </c>
      <c r="K42" s="31">
        <v>9.4017094017094016E-2</v>
      </c>
      <c r="L42" s="31">
        <v>0.3202614379084967</v>
      </c>
      <c r="M42" s="31">
        <v>0.16557734204793029</v>
      </c>
      <c r="N42" s="31">
        <v>0.54081632653061229</v>
      </c>
      <c r="O42" s="31">
        <v>0.38157894736842107</v>
      </c>
      <c r="P42" s="31">
        <v>0.48727272727272725</v>
      </c>
    </row>
    <row r="43" spans="1:16" x14ac:dyDescent="0.4">
      <c r="A43" s="33">
        <v>40</v>
      </c>
      <c r="B43" s="30">
        <v>-2.1316282072803006E-14</v>
      </c>
      <c r="C43" s="30">
        <v>-1.7763568394002506E-16</v>
      </c>
      <c r="D43" s="35">
        <v>1.9750000000000001</v>
      </c>
      <c r="E43" s="31">
        <v>0.35</v>
      </c>
      <c r="F43" s="31">
        <v>0.32500000000000001</v>
      </c>
      <c r="G43" s="31">
        <v>0.30063291139240506</v>
      </c>
      <c r="H43" s="31">
        <v>0.15084388185654007</v>
      </c>
      <c r="I43" s="32">
        <v>9028.4210526315783</v>
      </c>
      <c r="J43" s="32">
        <v>-8665.0349650349654</v>
      </c>
      <c r="K43" s="31">
        <v>0.1</v>
      </c>
      <c r="L43" s="31">
        <v>0.32172995780590719</v>
      </c>
      <c r="M43" s="31">
        <v>0.17088607594936708</v>
      </c>
      <c r="N43" s="31">
        <v>0.54098360655737709</v>
      </c>
      <c r="O43" s="31">
        <v>0.37654320987654322</v>
      </c>
      <c r="P43" s="31">
        <v>0.48771929824561405</v>
      </c>
    </row>
    <row r="44" spans="1:16" x14ac:dyDescent="0.4">
      <c r="A44" s="33">
        <v>41</v>
      </c>
      <c r="B44" s="30">
        <v>-2.1316282072803006E-14</v>
      </c>
      <c r="C44" s="30">
        <v>-1.7330310628295127E-16</v>
      </c>
      <c r="D44" s="35">
        <v>1.975609756097561</v>
      </c>
      <c r="E44" s="31">
        <v>0.34959349593495936</v>
      </c>
      <c r="F44" s="31">
        <v>0.32520325203252032</v>
      </c>
      <c r="G44" s="31">
        <v>0.29979674796747968</v>
      </c>
      <c r="H44" s="31">
        <v>0.1524390243902439</v>
      </c>
      <c r="I44" s="32">
        <v>8910.5084745762706</v>
      </c>
      <c r="J44" s="32">
        <v>-8460</v>
      </c>
      <c r="K44" s="31">
        <v>9.7560975609756101E-2</v>
      </c>
      <c r="L44" s="31">
        <v>0.32113821138211385</v>
      </c>
      <c r="M44" s="31">
        <v>0.16971544715447154</v>
      </c>
      <c r="N44" s="31">
        <v>0.53797468354430378</v>
      </c>
      <c r="O44" s="31">
        <v>0.38323353293413176</v>
      </c>
      <c r="P44" s="31">
        <v>0.48135593220338985</v>
      </c>
    </row>
    <row r="45" spans="1:16" x14ac:dyDescent="0.4">
      <c r="A45" s="33">
        <v>42</v>
      </c>
      <c r="B45" s="30">
        <v>-2.1316282072803006E-14</v>
      </c>
      <c r="C45" s="30">
        <v>-1.6917684184764289E-16</v>
      </c>
      <c r="D45" s="35">
        <v>1.9761904761904763</v>
      </c>
      <c r="E45" s="31">
        <v>0.34920634920634919</v>
      </c>
      <c r="F45" s="31">
        <v>0.32539682539682541</v>
      </c>
      <c r="G45" s="31">
        <v>0.29980276134122286</v>
      </c>
      <c r="H45" s="31">
        <v>0.15581854043392504</v>
      </c>
      <c r="I45" s="32">
        <v>8928.28947368421</v>
      </c>
      <c r="J45" s="32">
        <v>-8345.5696202531653</v>
      </c>
      <c r="K45" s="31">
        <v>9.5238095238095233E-2</v>
      </c>
      <c r="L45" s="31">
        <v>0.31656804733727811</v>
      </c>
      <c r="M45" s="31">
        <v>0.17061143984220908</v>
      </c>
      <c r="N45" s="31">
        <v>0.54205607476635509</v>
      </c>
      <c r="O45" s="31">
        <v>0.38728323699421963</v>
      </c>
      <c r="P45" s="31">
        <v>0.47039473684210525</v>
      </c>
    </row>
    <row r="46" spans="1:16" x14ac:dyDescent="0.4">
      <c r="A46" s="33">
        <v>43</v>
      </c>
      <c r="B46" s="30">
        <v>-2.1316282072803006E-14</v>
      </c>
      <c r="C46" s="30">
        <v>-1.6524249668839539E-16</v>
      </c>
      <c r="D46" s="35">
        <v>1.9767441860465116</v>
      </c>
      <c r="E46" s="31">
        <v>0.34883720930232559</v>
      </c>
      <c r="F46" s="31">
        <v>0.32558139534883723</v>
      </c>
      <c r="G46" s="31">
        <v>0.30029154518950435</v>
      </c>
      <c r="H46" s="31">
        <v>0.15646258503401361</v>
      </c>
      <c r="I46" s="32">
        <v>8976.0517799352747</v>
      </c>
      <c r="J46" s="32">
        <v>-8335.4037267080748</v>
      </c>
      <c r="K46" s="31">
        <v>9.3023255813953487E-2</v>
      </c>
      <c r="L46" s="31">
        <v>0.31875607385811466</v>
      </c>
      <c r="M46" s="31">
        <v>0.16909620991253643</v>
      </c>
      <c r="N46" s="31">
        <v>0.54573170731707321</v>
      </c>
      <c r="O46" s="31">
        <v>0.38505747126436779</v>
      </c>
      <c r="P46" s="31">
        <v>0.46925566343042069</v>
      </c>
    </row>
    <row r="47" spans="1:16" x14ac:dyDescent="0.4">
      <c r="A47" s="33">
        <v>44</v>
      </c>
      <c r="B47" s="30">
        <v>-1.7763568394002505E-14</v>
      </c>
      <c r="C47" s="30">
        <v>-1.3457248783335231E-16</v>
      </c>
      <c r="D47" s="35">
        <v>1.9772727272727273</v>
      </c>
      <c r="E47" s="31">
        <v>0.34848484848484851</v>
      </c>
      <c r="F47" s="31">
        <v>0.32575757575757575</v>
      </c>
      <c r="G47" s="31">
        <v>0.30095238095238097</v>
      </c>
      <c r="H47" s="31">
        <v>0.15714285714285714</v>
      </c>
      <c r="I47" s="32">
        <v>8926.2658227848096</v>
      </c>
      <c r="J47" s="32">
        <v>-8344.8484848484841</v>
      </c>
      <c r="K47" s="31">
        <v>9.0909090909090912E-2</v>
      </c>
      <c r="L47" s="31">
        <v>0.3180952380952381</v>
      </c>
      <c r="M47" s="31">
        <v>0.16952380952380952</v>
      </c>
      <c r="N47" s="31">
        <v>0.54790419161676651</v>
      </c>
      <c r="O47" s="31">
        <v>0.38764044943820225</v>
      </c>
      <c r="P47" s="31">
        <v>0.46835443037974683</v>
      </c>
    </row>
    <row r="48" spans="1:16" x14ac:dyDescent="0.4">
      <c r="A48" s="33">
        <v>45</v>
      </c>
      <c r="B48" s="30">
        <v>-2.1316282072803006E-14</v>
      </c>
      <c r="C48" s="30">
        <v>-1.5789838572446671E-16</v>
      </c>
      <c r="D48" s="35">
        <v>1.9777777777777779</v>
      </c>
      <c r="E48" s="31">
        <v>0.34814814814814815</v>
      </c>
      <c r="F48" s="31">
        <v>0.32592592592592595</v>
      </c>
      <c r="G48" s="31">
        <v>0.29935720844811753</v>
      </c>
      <c r="H48" s="31">
        <v>0.15886134067952251</v>
      </c>
      <c r="I48" s="32">
        <v>8878.5276073619625</v>
      </c>
      <c r="J48" s="32">
        <v>-8273.9884393063585</v>
      </c>
      <c r="K48" s="31">
        <v>9.6296296296296297E-2</v>
      </c>
      <c r="L48" s="31">
        <v>0.30945821854912764</v>
      </c>
      <c r="M48" s="31">
        <v>0.17447199265381083</v>
      </c>
      <c r="N48" s="31">
        <v>0.54599406528189909</v>
      </c>
      <c r="O48" s="31">
        <v>0.38947368421052631</v>
      </c>
      <c r="P48" s="31">
        <v>0.46012269938650308</v>
      </c>
    </row>
    <row r="49" spans="1:16" x14ac:dyDescent="0.4">
      <c r="A49" s="33">
        <v>46</v>
      </c>
      <c r="B49" s="30">
        <v>-2.1316282072803006E-14</v>
      </c>
      <c r="C49" s="30">
        <v>-1.5446581212176091E-16</v>
      </c>
      <c r="D49" s="35">
        <v>1.9782608695652173</v>
      </c>
      <c r="E49" s="31">
        <v>0.34782608695652173</v>
      </c>
      <c r="F49" s="31">
        <v>0.32608695652173914</v>
      </c>
      <c r="G49" s="31">
        <v>0.29838709677419356</v>
      </c>
      <c r="H49" s="31">
        <v>0.15860215053763441</v>
      </c>
      <c r="I49" s="32">
        <v>8807.807807807807</v>
      </c>
      <c r="J49" s="32">
        <v>-8227.1186440677975</v>
      </c>
      <c r="K49" s="31">
        <v>9.420289855072464E-2</v>
      </c>
      <c r="L49" s="31">
        <v>0.30734767025089604</v>
      </c>
      <c r="M49" s="31">
        <v>0.17652329749103943</v>
      </c>
      <c r="N49" s="31">
        <v>0.54227405247813409</v>
      </c>
      <c r="O49" s="31">
        <v>0.39086294416243655</v>
      </c>
      <c r="P49" s="31">
        <v>0.45945945945945948</v>
      </c>
    </row>
    <row r="50" spans="1:16" x14ac:dyDescent="0.4">
      <c r="A50" s="33">
        <v>47</v>
      </c>
      <c r="B50" s="30">
        <v>-2.8421709430404007E-14</v>
      </c>
      <c r="C50" s="30">
        <v>-2.0157240730782984E-16</v>
      </c>
      <c r="D50" s="35">
        <v>1.9787234042553192</v>
      </c>
      <c r="E50" s="31">
        <v>0.3475177304964539</v>
      </c>
      <c r="F50" s="31">
        <v>0.32624113475177308</v>
      </c>
      <c r="G50" s="31">
        <v>0.29852045256744997</v>
      </c>
      <c r="H50" s="31">
        <v>0.15752828546562228</v>
      </c>
      <c r="I50" s="32">
        <v>8981.6326530612241</v>
      </c>
      <c r="J50" s="32">
        <v>-8319.8895027624312</v>
      </c>
      <c r="K50" s="31">
        <v>0.10638297872340426</v>
      </c>
      <c r="L50" s="31">
        <v>0.30983463881636203</v>
      </c>
      <c r="M50" s="31">
        <v>0.17580504786771106</v>
      </c>
      <c r="N50" s="31">
        <v>0.5449438202247191</v>
      </c>
      <c r="O50" s="31">
        <v>0.38118811881188119</v>
      </c>
      <c r="P50" s="31">
        <v>0.46355685131195334</v>
      </c>
    </row>
    <row r="51" spans="1:16" x14ac:dyDescent="0.4">
      <c r="A51" s="33">
        <v>48</v>
      </c>
      <c r="B51" s="30">
        <v>-3.1974423109204508E-14</v>
      </c>
      <c r="C51" s="30">
        <v>-2.2204460492503131E-16</v>
      </c>
      <c r="D51" s="35">
        <v>1.9791666666666667</v>
      </c>
      <c r="E51" s="31">
        <v>0.34722222222222221</v>
      </c>
      <c r="F51" s="31">
        <v>0.3263888888888889</v>
      </c>
      <c r="G51" s="31">
        <v>0.29896907216494845</v>
      </c>
      <c r="H51" s="31">
        <v>0.15721649484536082</v>
      </c>
      <c r="I51" s="32">
        <v>9068.9655172413786</v>
      </c>
      <c r="J51" s="32">
        <v>-8360.1092896174869</v>
      </c>
      <c r="K51" s="31">
        <v>0.1111111111111111</v>
      </c>
      <c r="L51" s="31">
        <v>0.31013745704467355</v>
      </c>
      <c r="M51" s="31">
        <v>0.17439862542955326</v>
      </c>
      <c r="N51" s="31">
        <v>0.54847645429362879</v>
      </c>
      <c r="O51" s="31">
        <v>0.37931034482758619</v>
      </c>
      <c r="P51" s="31">
        <v>0.46551724137931033</v>
      </c>
    </row>
    <row r="52" spans="1:16" x14ac:dyDescent="0.4">
      <c r="A52" s="33">
        <v>49</v>
      </c>
      <c r="B52" s="30">
        <v>-2.9753977059954195E-14</v>
      </c>
      <c r="C52" s="30">
        <v>-2.0240800721057276E-16</v>
      </c>
      <c r="D52" s="35">
        <v>1.9795918367346939</v>
      </c>
      <c r="E52" s="31">
        <v>0.34693877551020408</v>
      </c>
      <c r="F52" s="31">
        <v>0.32653061224489793</v>
      </c>
      <c r="G52" s="31">
        <v>0.29882154882154882</v>
      </c>
      <c r="H52" s="31">
        <v>0.15824915824915825</v>
      </c>
      <c r="I52" s="32">
        <v>9003.3802816901407</v>
      </c>
      <c r="J52" s="32">
        <v>-8283.510638297872</v>
      </c>
      <c r="K52" s="31">
        <v>0.10884353741496598</v>
      </c>
      <c r="L52" s="31">
        <v>0.30892255892255893</v>
      </c>
      <c r="M52" s="31">
        <v>0.17255892255892255</v>
      </c>
      <c r="N52" s="31">
        <v>0.55313351498637597</v>
      </c>
      <c r="O52" s="31">
        <v>0.37560975609756098</v>
      </c>
      <c r="P52" s="31">
        <v>0.46197183098591549</v>
      </c>
    </row>
    <row r="53" spans="1:16" x14ac:dyDescent="0.4">
      <c r="A53" s="33">
        <v>50</v>
      </c>
      <c r="B53" s="30">
        <v>-2.8421709430404007E-14</v>
      </c>
      <c r="C53" s="30">
        <v>-1.8947806286936006E-16</v>
      </c>
      <c r="D53" s="35">
        <v>1.98</v>
      </c>
      <c r="E53" s="31">
        <v>0.34666666666666668</v>
      </c>
      <c r="F53" s="31">
        <v>0.32666666666666666</v>
      </c>
      <c r="G53" s="31">
        <v>0.29693961952026471</v>
      </c>
      <c r="H53" s="31">
        <v>0.15715467328370555</v>
      </c>
      <c r="I53" s="32">
        <v>8982.1727019498612</v>
      </c>
      <c r="J53" s="32">
        <v>-8240.5263157894733</v>
      </c>
      <c r="K53" s="31">
        <v>0.10666666666666667</v>
      </c>
      <c r="L53" s="31">
        <v>0.30686517783291978</v>
      </c>
      <c r="M53" s="31">
        <v>0.17369727047146402</v>
      </c>
      <c r="N53" s="31">
        <v>0.55525606469002697</v>
      </c>
      <c r="O53" s="31">
        <v>0.37142857142857144</v>
      </c>
      <c r="P53" s="31">
        <v>0.46239554317548748</v>
      </c>
    </row>
    <row r="54" spans="1:16" x14ac:dyDescent="0.4">
      <c r="A54" s="33">
        <v>51</v>
      </c>
      <c r="B54" s="30">
        <v>-2.6645352591003757E-14</v>
      </c>
      <c r="C54" s="30">
        <v>-1.7415263131375004E-16</v>
      </c>
      <c r="D54" s="35">
        <v>1.9803921568627452</v>
      </c>
      <c r="E54" s="31">
        <v>0.34640522875816993</v>
      </c>
      <c r="F54" s="31">
        <v>0.32679738562091504</v>
      </c>
      <c r="G54" s="31">
        <v>0.29773462783171523</v>
      </c>
      <c r="H54" s="31">
        <v>0.15938511326860841</v>
      </c>
      <c r="I54" s="32">
        <v>9017.391304347826</v>
      </c>
      <c r="J54" s="32">
        <v>-8346.7005076142141</v>
      </c>
      <c r="K54" s="31">
        <v>0.10457516339869281</v>
      </c>
      <c r="L54" s="31">
        <v>0.30744336569579289</v>
      </c>
      <c r="M54" s="31">
        <v>0.17152103559870549</v>
      </c>
      <c r="N54" s="31">
        <v>0.55526315789473679</v>
      </c>
      <c r="O54" s="31">
        <v>0.37264150943396224</v>
      </c>
      <c r="P54" s="31">
        <v>0.45652173913043476</v>
      </c>
    </row>
    <row r="55" spans="1:16" x14ac:dyDescent="0.4">
      <c r="A55" s="33">
        <v>52</v>
      </c>
      <c r="B55" s="30">
        <v>-2.8421709430404007E-14</v>
      </c>
      <c r="C55" s="30">
        <v>-1.8219044506669235E-16</v>
      </c>
      <c r="D55" s="35">
        <v>1.9807692307692308</v>
      </c>
      <c r="E55" s="31">
        <v>0.34615384615384615</v>
      </c>
      <c r="F55" s="31">
        <v>0.32692307692307693</v>
      </c>
      <c r="G55" s="31">
        <v>0.29727564102564102</v>
      </c>
      <c r="H55" s="31">
        <v>0.15945512820512819</v>
      </c>
      <c r="I55" s="32">
        <v>9091.9137466307275</v>
      </c>
      <c r="J55" s="32">
        <v>-8296.4824120603007</v>
      </c>
      <c r="K55" s="31">
        <v>0.10897435897435898</v>
      </c>
      <c r="L55" s="31">
        <v>0.30769230769230771</v>
      </c>
      <c r="M55" s="31">
        <v>0.17067307692307693</v>
      </c>
      <c r="N55" s="31">
        <v>0.5546875</v>
      </c>
      <c r="O55" s="31">
        <v>0.37558685446009388</v>
      </c>
      <c r="P55" s="31">
        <v>0.4555256064690027</v>
      </c>
    </row>
    <row r="56" spans="1:16" x14ac:dyDescent="0.4">
      <c r="A56" s="33">
        <v>53</v>
      </c>
      <c r="B56" s="30">
        <v>-2.8421709430404007E-14</v>
      </c>
      <c r="C56" s="30">
        <v>-1.7875288949939628E-16</v>
      </c>
      <c r="D56" s="35">
        <v>1.9811320754716981</v>
      </c>
      <c r="E56" s="31">
        <v>0.34591194968553457</v>
      </c>
      <c r="F56" s="31">
        <v>0.32704402515723269</v>
      </c>
      <c r="G56" s="31">
        <v>0.29733959311424102</v>
      </c>
      <c r="H56" s="31">
        <v>0.15805946791862285</v>
      </c>
      <c r="I56" s="32">
        <v>9060</v>
      </c>
      <c r="J56" s="32">
        <v>-8351.485148514852</v>
      </c>
      <c r="K56" s="31">
        <v>0.1069182389937107</v>
      </c>
      <c r="L56" s="31">
        <v>0.30672926447574334</v>
      </c>
      <c r="M56" s="31">
        <v>0.1729264475743349</v>
      </c>
      <c r="N56" s="31">
        <v>0.55102040816326525</v>
      </c>
      <c r="O56" s="31">
        <v>0.38009049773755654</v>
      </c>
      <c r="P56" s="31">
        <v>0.46052631578947367</v>
      </c>
    </row>
    <row r="57" spans="1:16" x14ac:dyDescent="0.4">
      <c r="A57" s="33">
        <v>54</v>
      </c>
      <c r="B57" s="30">
        <v>-2.8421709430404007E-14</v>
      </c>
      <c r="C57" s="30">
        <v>-1.75442650804963E-16</v>
      </c>
      <c r="D57" s="35">
        <v>1.9814814814814814</v>
      </c>
      <c r="E57" s="31">
        <v>0.34567901234567899</v>
      </c>
      <c r="F57" s="31">
        <v>0.3271604938271605</v>
      </c>
      <c r="G57" s="31">
        <v>0.29792147806004621</v>
      </c>
      <c r="H57" s="31">
        <v>0.15935334872979215</v>
      </c>
      <c r="I57" s="32">
        <v>9062.5322997416024</v>
      </c>
      <c r="J57" s="32">
        <v>-8385.0241545893714</v>
      </c>
      <c r="K57" s="31">
        <v>0.10493827160493827</v>
      </c>
      <c r="L57" s="31">
        <v>0.30561970746728251</v>
      </c>
      <c r="M57" s="31">
        <v>0.17244033872209391</v>
      </c>
      <c r="N57" s="31">
        <v>0.55163727959697728</v>
      </c>
      <c r="O57" s="31">
        <v>0.38392857142857145</v>
      </c>
      <c r="P57" s="31">
        <v>0.4573643410852713</v>
      </c>
    </row>
    <row r="58" spans="1:16" x14ac:dyDescent="0.4">
      <c r="A58" s="33">
        <v>55</v>
      </c>
      <c r="B58" s="30">
        <v>-2.8421709430404007E-14</v>
      </c>
      <c r="C58" s="30">
        <v>-1.7225278442669095E-16</v>
      </c>
      <c r="D58" s="35">
        <v>1.9818181818181819</v>
      </c>
      <c r="E58" s="31">
        <v>0.34545454545454546</v>
      </c>
      <c r="F58" s="31">
        <v>0.32727272727272727</v>
      </c>
      <c r="G58" s="31">
        <v>0.29571106094808125</v>
      </c>
      <c r="H58" s="31">
        <v>0.15876598946576373</v>
      </c>
      <c r="I58" s="32">
        <v>9066.1577608142488</v>
      </c>
      <c r="J58" s="32">
        <v>-8427.4881516587684</v>
      </c>
      <c r="K58" s="31">
        <v>0.10303030303030303</v>
      </c>
      <c r="L58" s="31">
        <v>0.30624529721595184</v>
      </c>
      <c r="M58" s="31">
        <v>0.17005267118133935</v>
      </c>
      <c r="N58" s="31">
        <v>0.54791154791154795</v>
      </c>
      <c r="O58" s="31">
        <v>0.38495575221238937</v>
      </c>
      <c r="P58" s="31">
        <v>0.45547073791348602</v>
      </c>
    </row>
    <row r="59" spans="1:16" x14ac:dyDescent="0.4">
      <c r="A59" s="33">
        <v>56</v>
      </c>
      <c r="B59" s="30">
        <v>-2.8421709430404007E-14</v>
      </c>
      <c r="C59" s="30">
        <v>-1.6917684184764289E-16</v>
      </c>
      <c r="D59" s="35">
        <v>1.9821428571428572</v>
      </c>
      <c r="E59" s="31">
        <v>0.34523809523809523</v>
      </c>
      <c r="F59" s="31">
        <v>0.32738095238095238</v>
      </c>
      <c r="G59" s="31">
        <v>0.29637841832963785</v>
      </c>
      <c r="H59" s="31">
        <v>0.15964523281596452</v>
      </c>
      <c r="I59" s="32">
        <v>9062.0947630922692</v>
      </c>
      <c r="J59" s="32">
        <v>-8415.7407407407409</v>
      </c>
      <c r="K59" s="31">
        <v>0.10714285714285714</v>
      </c>
      <c r="L59" s="31">
        <v>0.30968218773096823</v>
      </c>
      <c r="M59" s="31">
        <v>0.16777531411677754</v>
      </c>
      <c r="N59" s="31">
        <v>0.54653937947494036</v>
      </c>
      <c r="O59" s="31">
        <v>0.38325991189427311</v>
      </c>
      <c r="P59" s="31">
        <v>0.4538653366583541</v>
      </c>
    </row>
    <row r="60" spans="1:16" x14ac:dyDescent="0.4">
      <c r="A60" s="33">
        <v>57</v>
      </c>
      <c r="B60" s="30">
        <v>-2.8421709430404007E-14</v>
      </c>
      <c r="C60" s="30">
        <v>-1.66208827078386E-16</v>
      </c>
      <c r="D60" s="35">
        <v>1.9824561403508771</v>
      </c>
      <c r="E60" s="31">
        <v>0.34502923976608185</v>
      </c>
      <c r="F60" s="31">
        <v>0.32748538011695905</v>
      </c>
      <c r="G60" s="31">
        <v>0.29637681159420287</v>
      </c>
      <c r="H60" s="31">
        <v>0.15942028985507245</v>
      </c>
      <c r="I60" s="32">
        <v>9136.6748166259167</v>
      </c>
      <c r="J60" s="32">
        <v>-8350.9090909090901</v>
      </c>
      <c r="K60" s="31">
        <v>0.1111111111111111</v>
      </c>
      <c r="L60" s="31">
        <v>0.30942028985507247</v>
      </c>
      <c r="M60" s="31">
        <v>0.1681159420289855</v>
      </c>
      <c r="N60" s="31">
        <v>0.55035128805620603</v>
      </c>
      <c r="O60" s="31">
        <v>0.37931034482758619</v>
      </c>
      <c r="P60" s="31">
        <v>0.45476772616136918</v>
      </c>
    </row>
    <row r="61" spans="1:16" x14ac:dyDescent="0.4">
      <c r="A61" s="33">
        <v>58</v>
      </c>
      <c r="B61" s="30">
        <v>-2.8421709430404007E-14</v>
      </c>
      <c r="C61" s="30">
        <v>-1.6334315764600004E-16</v>
      </c>
      <c r="D61" s="35">
        <v>1.9827586206896552</v>
      </c>
      <c r="E61" s="31">
        <v>0.34482758620689657</v>
      </c>
      <c r="F61" s="31">
        <v>0.32758620689655171</v>
      </c>
      <c r="G61" s="31">
        <v>0.29637526652452023</v>
      </c>
      <c r="H61" s="31">
        <v>0.15920398009950248</v>
      </c>
      <c r="I61" s="32">
        <v>9117.9856115107905</v>
      </c>
      <c r="J61" s="32">
        <v>-8350</v>
      </c>
      <c r="K61" s="31">
        <v>0.10919540229885058</v>
      </c>
      <c r="L61" s="31">
        <v>0.31130063965884863</v>
      </c>
      <c r="M61" s="31">
        <v>0.16702203269367449</v>
      </c>
      <c r="N61" s="31">
        <v>0.55022831050228316</v>
      </c>
      <c r="O61" s="31">
        <v>0.37446808510638296</v>
      </c>
      <c r="P61" s="31">
        <v>0.45563549160671463</v>
      </c>
    </row>
    <row r="62" spans="1:16" x14ac:dyDescent="0.4">
      <c r="A62" s="33">
        <v>59</v>
      </c>
      <c r="B62" s="30">
        <v>-2.5757174171303632E-14</v>
      </c>
      <c r="C62" s="30">
        <v>-1.4552075802996401E-16</v>
      </c>
      <c r="D62" s="35">
        <v>1.9830508474576272</v>
      </c>
      <c r="E62" s="31">
        <v>0.34463276836158191</v>
      </c>
      <c r="F62" s="31">
        <v>0.32768361581920902</v>
      </c>
      <c r="G62" s="31">
        <v>0.29684210526315791</v>
      </c>
      <c r="H62" s="31">
        <v>0.16</v>
      </c>
      <c r="I62" s="32">
        <v>9148.6997635933803</v>
      </c>
      <c r="J62" s="32">
        <v>-8395.1754385964905</v>
      </c>
      <c r="K62" s="31">
        <v>0.11299435028248588</v>
      </c>
      <c r="L62" s="31">
        <v>0.31508771929824564</v>
      </c>
      <c r="M62" s="31">
        <v>0.1656140350877193</v>
      </c>
      <c r="N62" s="31">
        <v>0.55011135857461024</v>
      </c>
      <c r="O62" s="31">
        <v>0.3728813559322034</v>
      </c>
      <c r="P62" s="31">
        <v>0.45390070921985815</v>
      </c>
    </row>
    <row r="63" spans="1:16" x14ac:dyDescent="0.4">
      <c r="A63" s="33">
        <v>60</v>
      </c>
      <c r="B63" s="30">
        <v>-2.8421709430404007E-14</v>
      </c>
      <c r="C63" s="30">
        <v>-1.5789838572446671E-16</v>
      </c>
      <c r="D63" s="35">
        <v>1.9833333333333334</v>
      </c>
      <c r="E63" s="31">
        <v>0.34444444444444444</v>
      </c>
      <c r="F63" s="31">
        <v>0.32777777777777778</v>
      </c>
      <c r="G63" s="31">
        <v>0.29699510831586301</v>
      </c>
      <c r="H63" s="31">
        <v>0.16002795248078266</v>
      </c>
      <c r="I63" s="32">
        <v>9260.9411764705874</v>
      </c>
      <c r="J63" s="32">
        <v>-8437.1179039301314</v>
      </c>
      <c r="K63" s="31">
        <v>0.11666666666666667</v>
      </c>
      <c r="L63" s="31">
        <v>0.31586303284416489</v>
      </c>
      <c r="M63" s="31">
        <v>0.16491963661774983</v>
      </c>
      <c r="N63" s="31">
        <v>0.55088495575221241</v>
      </c>
      <c r="O63" s="31">
        <v>0.3728813559322034</v>
      </c>
      <c r="P63" s="31">
        <v>0.45411764705882351</v>
      </c>
    </row>
    <row r="64" spans="1:16" x14ac:dyDescent="0.4">
      <c r="A64" s="33">
        <v>61</v>
      </c>
      <c r="B64" s="30">
        <v>-2.8421709430404007E-14</v>
      </c>
      <c r="C64" s="30">
        <v>-1.5530988759783611E-16</v>
      </c>
      <c r="D64" s="35">
        <v>1.9836065573770492</v>
      </c>
      <c r="E64" s="31">
        <v>0.34426229508196721</v>
      </c>
      <c r="F64" s="31">
        <v>0.32786885245901637</v>
      </c>
      <c r="G64" s="31">
        <v>0.29698216735253774</v>
      </c>
      <c r="H64" s="31">
        <v>0.15912208504801098</v>
      </c>
      <c r="I64" s="32">
        <v>9258.1986143187059</v>
      </c>
      <c r="J64" s="32">
        <v>-8409.4827586206902</v>
      </c>
      <c r="K64" s="31">
        <v>0.11475409836065574</v>
      </c>
      <c r="L64" s="31">
        <v>0.3168724279835391</v>
      </c>
      <c r="M64" s="31">
        <v>0.16460905349794239</v>
      </c>
      <c r="N64" s="31">
        <v>0.55411255411255411</v>
      </c>
      <c r="O64" s="31">
        <v>0.37083333333333335</v>
      </c>
      <c r="P64" s="31">
        <v>0.45727482678983833</v>
      </c>
    </row>
    <row r="65" spans="1:16" x14ac:dyDescent="0.4">
      <c r="A65" s="33">
        <v>62</v>
      </c>
      <c r="B65" s="30">
        <v>-2.4868995751603507E-14</v>
      </c>
      <c r="C65" s="30">
        <v>-1.3370427823442746E-16</v>
      </c>
      <c r="D65" s="35">
        <v>1.9838709677419355</v>
      </c>
      <c r="E65" s="31">
        <v>0.34408602150537637</v>
      </c>
      <c r="F65" s="31">
        <v>0.32795698924731181</v>
      </c>
      <c r="G65" s="31">
        <v>0.29742547425474253</v>
      </c>
      <c r="H65" s="31">
        <v>0.15921409214092141</v>
      </c>
      <c r="I65" s="32">
        <v>9253.0751708428252</v>
      </c>
      <c r="J65" s="32">
        <v>-8429.3617021276605</v>
      </c>
      <c r="K65" s="31">
        <v>0.11290322580645161</v>
      </c>
      <c r="L65" s="31">
        <v>0.31707317073170732</v>
      </c>
      <c r="M65" s="31">
        <v>0.16463414634146342</v>
      </c>
      <c r="N65" s="31">
        <v>0.55128205128205132</v>
      </c>
      <c r="O65" s="31">
        <v>0.37860082304526749</v>
      </c>
      <c r="P65" s="31">
        <v>0.45785876993166286</v>
      </c>
    </row>
    <row r="66" spans="1:16" x14ac:dyDescent="0.4">
      <c r="A66" s="33">
        <v>63</v>
      </c>
      <c r="B66" s="30">
        <v>-2.1316282072803006E-14</v>
      </c>
      <c r="C66" s="30">
        <v>-1.1278456123176193E-16</v>
      </c>
      <c r="D66" s="35">
        <v>1.9841269841269842</v>
      </c>
      <c r="E66" s="31">
        <v>0.3439153439153439</v>
      </c>
      <c r="F66" s="31">
        <v>0.32804232804232802</v>
      </c>
      <c r="G66" s="31">
        <v>0.29799999999999999</v>
      </c>
      <c r="H66" s="31">
        <v>0.15866666666666668</v>
      </c>
      <c r="I66" s="32">
        <v>9291.9463087248314</v>
      </c>
      <c r="J66" s="32">
        <v>-8404.6218487394963</v>
      </c>
      <c r="K66" s="31">
        <v>0.1111111111111111</v>
      </c>
      <c r="L66" s="31">
        <v>0.316</v>
      </c>
      <c r="M66" s="31">
        <v>0.16400000000000001</v>
      </c>
      <c r="N66" s="31">
        <v>0.5527426160337553</v>
      </c>
      <c r="O66" s="31">
        <v>0.37804878048780488</v>
      </c>
      <c r="P66" s="31">
        <v>0.46085011185682329</v>
      </c>
    </row>
    <row r="67" spans="1:16" x14ac:dyDescent="0.4">
      <c r="A67" s="33">
        <v>64</v>
      </c>
      <c r="B67" s="30">
        <v>-2.5757174171303632E-14</v>
      </c>
      <c r="C67" s="30">
        <v>-1.3415194880887307E-16</v>
      </c>
      <c r="D67" s="35">
        <v>1.984375</v>
      </c>
      <c r="E67" s="31">
        <v>0.34375</v>
      </c>
      <c r="F67" s="31">
        <v>0.328125</v>
      </c>
      <c r="G67" s="31">
        <v>0.2978303747534517</v>
      </c>
      <c r="H67" s="31">
        <v>0.15976331360946747</v>
      </c>
      <c r="I67" s="32">
        <v>9290.0662251655631</v>
      </c>
      <c r="J67" s="32">
        <v>-8391.7695473251024</v>
      </c>
      <c r="K67" s="31">
        <v>0.109375</v>
      </c>
      <c r="L67" s="31">
        <v>0.31689677843524</v>
      </c>
      <c r="M67" s="31">
        <v>0.16370808678500987</v>
      </c>
      <c r="N67" s="31">
        <v>0.55394190871369298</v>
      </c>
      <c r="O67" s="31">
        <v>0.37349397590361444</v>
      </c>
      <c r="P67" s="31">
        <v>0.45695364238410596</v>
      </c>
    </row>
    <row r="68" spans="1:16" x14ac:dyDescent="0.4">
      <c r="A68" s="33">
        <v>65</v>
      </c>
      <c r="B68" s="30">
        <v>-2.8421709430404007E-14</v>
      </c>
      <c r="C68" s="30">
        <v>-1.4575235605335388E-16</v>
      </c>
      <c r="D68" s="35">
        <v>1.9846153846153847</v>
      </c>
      <c r="E68" s="31">
        <v>0.34358974358974359</v>
      </c>
      <c r="F68" s="31">
        <v>0.3282051282051282</v>
      </c>
      <c r="G68" s="31">
        <v>0.29831387808041504</v>
      </c>
      <c r="H68" s="31">
        <v>0.1601815823605707</v>
      </c>
      <c r="I68" s="32">
        <v>9272.391304347826</v>
      </c>
      <c r="J68" s="32">
        <v>-8335.2226720647777</v>
      </c>
      <c r="K68" s="31">
        <v>0.1076923076923077</v>
      </c>
      <c r="L68" s="31">
        <v>0.31776913099870296</v>
      </c>
      <c r="M68" s="31">
        <v>0.16277561608300908</v>
      </c>
      <c r="N68" s="31">
        <v>0.55714285714285716</v>
      </c>
      <c r="O68" s="31">
        <v>0.37051792828685259</v>
      </c>
      <c r="P68" s="31">
        <v>0.45652173913043476</v>
      </c>
    </row>
    <row r="69" spans="1:16" x14ac:dyDescent="0.4">
      <c r="A69" s="33">
        <v>66</v>
      </c>
      <c r="B69" s="30">
        <v>-2.1316282072803006E-14</v>
      </c>
      <c r="C69" s="30">
        <v>-1.0765799026668185E-16</v>
      </c>
      <c r="D69" s="35">
        <v>1.9848484848484849</v>
      </c>
      <c r="E69" s="31">
        <v>0.34343434343434343</v>
      </c>
      <c r="F69" s="31">
        <v>0.32828282828282829</v>
      </c>
      <c r="G69" s="31">
        <v>0.29770992366412213</v>
      </c>
      <c r="H69" s="31">
        <v>0.15903307888040713</v>
      </c>
      <c r="I69" s="32">
        <v>9304.2735042735039</v>
      </c>
      <c r="J69" s="32">
        <v>-8386</v>
      </c>
      <c r="K69" s="31">
        <v>0.10606060606060606</v>
      </c>
      <c r="L69" s="31">
        <v>0.32061068702290074</v>
      </c>
      <c r="M69" s="31">
        <v>0.16157760814249364</v>
      </c>
      <c r="N69" s="31">
        <v>0.55158730158730163</v>
      </c>
      <c r="O69" s="31">
        <v>0.37401574803149606</v>
      </c>
      <c r="P69" s="31">
        <v>0.45940170940170938</v>
      </c>
    </row>
    <row r="70" spans="1:16" x14ac:dyDescent="0.4">
      <c r="A70" s="33">
        <v>67</v>
      </c>
      <c r="B70" s="30">
        <v>-2.1316282072803006E-14</v>
      </c>
      <c r="C70" s="30">
        <v>-1.0605115459105973E-16</v>
      </c>
      <c r="D70" s="35">
        <v>1.9850746268656716</v>
      </c>
      <c r="E70" s="31">
        <v>0.34328358208955223</v>
      </c>
      <c r="F70" s="31">
        <v>0.32835820895522388</v>
      </c>
      <c r="G70" s="31">
        <v>0.29761904761904762</v>
      </c>
      <c r="H70" s="31">
        <v>0.15789473684210525</v>
      </c>
      <c r="I70" s="32">
        <v>9276</v>
      </c>
      <c r="J70" s="32">
        <v>-8382.936507936507</v>
      </c>
      <c r="K70" s="31">
        <v>0.1044776119402985</v>
      </c>
      <c r="L70" s="31">
        <v>0.32142857142857145</v>
      </c>
      <c r="M70" s="31">
        <v>0.16290726817042606</v>
      </c>
      <c r="N70" s="31">
        <v>0.54970760233918126</v>
      </c>
      <c r="O70" s="31">
        <v>0.37307692307692308</v>
      </c>
      <c r="P70" s="31">
        <v>0.4631578947368421</v>
      </c>
    </row>
    <row r="71" spans="1:16" x14ac:dyDescent="0.4">
      <c r="A71" s="33">
        <v>68</v>
      </c>
      <c r="B71" s="30">
        <v>-2.1316282072803006E-14</v>
      </c>
      <c r="C71" s="30">
        <v>-1.0449157878825003E-16</v>
      </c>
      <c r="D71" s="35">
        <v>1.9852941176470589</v>
      </c>
      <c r="E71" s="31">
        <v>0.34313725490196079</v>
      </c>
      <c r="F71" s="31">
        <v>0.32843137254901961</v>
      </c>
      <c r="G71" s="31">
        <v>0.29759704251386321</v>
      </c>
      <c r="H71" s="31">
        <v>0.15958102279728897</v>
      </c>
      <c r="I71" s="32">
        <v>9300</v>
      </c>
      <c r="J71" s="32">
        <v>-8418.1467181467178</v>
      </c>
      <c r="K71" s="31">
        <v>0.10784313725490197</v>
      </c>
      <c r="L71" s="31">
        <v>0.32285890326555761</v>
      </c>
      <c r="M71" s="31">
        <v>0.1614294516327788</v>
      </c>
      <c r="N71" s="31">
        <v>0.54770992366412219</v>
      </c>
      <c r="O71" s="31">
        <v>0.37404580152671757</v>
      </c>
      <c r="P71" s="31">
        <v>0.45755693581780538</v>
      </c>
    </row>
    <row r="72" spans="1:16" x14ac:dyDescent="0.4">
      <c r="A72" s="33">
        <v>69</v>
      </c>
      <c r="B72" s="30">
        <v>-2.1316282072803006E-14</v>
      </c>
      <c r="C72" s="30">
        <v>-1.0297720808117394E-16</v>
      </c>
      <c r="D72" s="35">
        <v>1.9855072463768115</v>
      </c>
      <c r="E72" s="31">
        <v>0.34299516908212563</v>
      </c>
      <c r="F72" s="31">
        <v>0.32850241545893721</v>
      </c>
      <c r="G72" s="31">
        <v>0.29683698296836986</v>
      </c>
      <c r="H72" s="31">
        <v>0.15936739659367397</v>
      </c>
      <c r="I72" s="32">
        <v>9319.057377049181</v>
      </c>
      <c r="J72" s="32">
        <v>-8480.9160305343503</v>
      </c>
      <c r="K72" s="31">
        <v>0.1111111111111111</v>
      </c>
      <c r="L72" s="31">
        <v>0.32238442822384428</v>
      </c>
      <c r="M72" s="31">
        <v>0.16301703163017031</v>
      </c>
      <c r="N72" s="31">
        <v>0.54528301886792452</v>
      </c>
      <c r="O72" s="31">
        <v>0.36940298507462688</v>
      </c>
      <c r="P72" s="31">
        <v>0.45696721311475408</v>
      </c>
    </row>
    <row r="73" spans="1:16" x14ac:dyDescent="0.4">
      <c r="A73" s="33">
        <v>70</v>
      </c>
      <c r="B73" s="30">
        <v>-3.5527136788005009E-14</v>
      </c>
      <c r="C73" s="30">
        <v>-1.6917684184764289E-16</v>
      </c>
      <c r="D73" s="35">
        <v>1.9857142857142858</v>
      </c>
      <c r="E73" s="31">
        <v>0.34285714285714286</v>
      </c>
      <c r="F73" s="31">
        <v>0.32857142857142857</v>
      </c>
      <c r="G73" s="31">
        <v>0.2968936678614098</v>
      </c>
      <c r="H73" s="31">
        <v>0.15770609318996415</v>
      </c>
      <c r="I73" s="32">
        <v>9347.283702213279</v>
      </c>
      <c r="J73" s="32">
        <v>-8476.136363636364</v>
      </c>
      <c r="K73" s="31">
        <v>0.11428571428571428</v>
      </c>
      <c r="L73" s="31">
        <v>0.32198327359617684</v>
      </c>
      <c r="M73" s="31">
        <v>0.16367980884109917</v>
      </c>
      <c r="N73" s="31">
        <v>0.54359925788497221</v>
      </c>
      <c r="O73" s="31">
        <v>0.36861313868613138</v>
      </c>
      <c r="P73" s="31">
        <v>0.46277665995975853</v>
      </c>
    </row>
    <row r="74" spans="1:16" x14ac:dyDescent="0.4">
      <c r="A74" s="33">
        <v>71</v>
      </c>
      <c r="B74" s="30">
        <v>-3.5527136788005009E-14</v>
      </c>
      <c r="C74" s="30">
        <v>-1.6679406942725356E-16</v>
      </c>
      <c r="D74" s="35">
        <v>1.9859154929577465</v>
      </c>
      <c r="E74" s="31">
        <v>0.34272300469483569</v>
      </c>
      <c r="F74" s="31">
        <v>0.32863849765258218</v>
      </c>
      <c r="G74" s="31">
        <v>0.29701230228471004</v>
      </c>
      <c r="H74" s="31">
        <v>0.15817223198594024</v>
      </c>
      <c r="I74" s="32">
        <v>9267.8500986193285</v>
      </c>
      <c r="J74" s="32">
        <v>-8460</v>
      </c>
      <c r="K74" s="31">
        <v>0.11267605633802817</v>
      </c>
      <c r="L74" s="31">
        <v>0.31751611013473929</v>
      </c>
      <c r="M74" s="31">
        <v>0.16637375512595196</v>
      </c>
      <c r="N74" s="31">
        <v>0.54243542435424352</v>
      </c>
      <c r="O74" s="31">
        <v>0.37323943661971831</v>
      </c>
      <c r="P74" s="31">
        <v>0.45956607495069035</v>
      </c>
    </row>
    <row r="75" spans="1:16" x14ac:dyDescent="0.4">
      <c r="A75" s="33">
        <v>72</v>
      </c>
      <c r="B75" s="30">
        <v>-3.5527136788005009E-14</v>
      </c>
      <c r="C75" s="30">
        <v>-1.6447748512965281E-16</v>
      </c>
      <c r="D75" s="35">
        <v>1.9861111111111112</v>
      </c>
      <c r="E75" s="31">
        <v>0.34259259259259262</v>
      </c>
      <c r="F75" s="31">
        <v>0.32870370370370372</v>
      </c>
      <c r="G75" s="31">
        <v>0.29636048526863085</v>
      </c>
      <c r="H75" s="31">
        <v>0.15713460427498555</v>
      </c>
      <c r="I75" s="32">
        <v>9270.3703703703704</v>
      </c>
      <c r="J75" s="32">
        <v>-8424.2647058823532</v>
      </c>
      <c r="K75" s="31">
        <v>0.11574074074074074</v>
      </c>
      <c r="L75" s="31">
        <v>0.31773541305603697</v>
      </c>
      <c r="M75" s="31">
        <v>0.16464471403812825</v>
      </c>
      <c r="N75" s="31">
        <v>0.54181818181818187</v>
      </c>
      <c r="O75" s="31">
        <v>0.37543859649122807</v>
      </c>
      <c r="P75" s="31">
        <v>0.46198830409356723</v>
      </c>
    </row>
    <row r="76" spans="1:16" x14ac:dyDescent="0.4">
      <c r="A76" s="33">
        <v>73</v>
      </c>
      <c r="B76" s="30">
        <v>-3.5527136788005009E-14</v>
      </c>
      <c r="C76" s="30">
        <v>-1.6222436889500003E-16</v>
      </c>
      <c r="D76" s="35">
        <v>1.9863013698630136</v>
      </c>
      <c r="E76" s="31">
        <v>0.34246575342465752</v>
      </c>
      <c r="F76" s="31">
        <v>0.32876712328767121</v>
      </c>
      <c r="G76" s="31">
        <v>0.29686609686609688</v>
      </c>
      <c r="H76" s="31">
        <v>0.15783475783475784</v>
      </c>
      <c r="I76" s="32">
        <v>9257.5815738963538</v>
      </c>
      <c r="J76" s="32">
        <v>-8408.3032490974729</v>
      </c>
      <c r="K76" s="31">
        <v>0.11872146118721461</v>
      </c>
      <c r="L76" s="31">
        <v>0.31851851851851853</v>
      </c>
      <c r="M76" s="31">
        <v>0.16467236467236468</v>
      </c>
      <c r="N76" s="31">
        <v>0.54382826475849733</v>
      </c>
      <c r="O76" s="31">
        <v>0.37370242214532873</v>
      </c>
      <c r="P76" s="31">
        <v>0.46065259117082535</v>
      </c>
    </row>
    <row r="77" spans="1:16" x14ac:dyDescent="0.4">
      <c r="A77" s="33">
        <v>74</v>
      </c>
      <c r="B77" s="30">
        <v>-2.8421709430404007E-14</v>
      </c>
      <c r="C77" s="30">
        <v>-1.2802571815497301E-16</v>
      </c>
      <c r="D77" s="35">
        <v>1.9864864864864864</v>
      </c>
      <c r="E77" s="31">
        <v>0.34234234234234234</v>
      </c>
      <c r="F77" s="31">
        <v>0.32882882882882886</v>
      </c>
      <c r="G77" s="31">
        <v>0.29617117117117114</v>
      </c>
      <c r="H77" s="31">
        <v>0.15822072072072071</v>
      </c>
      <c r="I77" s="32">
        <v>9237.4524714828895</v>
      </c>
      <c r="J77" s="32">
        <v>-8358.7188612099635</v>
      </c>
      <c r="K77" s="31">
        <v>0.11711711711711711</v>
      </c>
      <c r="L77" s="31">
        <v>0.31813063063063063</v>
      </c>
      <c r="M77" s="31">
        <v>0.16385135135135134</v>
      </c>
      <c r="N77" s="31">
        <v>0.54159292035398232</v>
      </c>
      <c r="O77" s="31">
        <v>0.37800687285223367</v>
      </c>
      <c r="P77" s="31">
        <v>0.45817490494296575</v>
      </c>
    </row>
    <row r="78" spans="1:16" x14ac:dyDescent="0.4">
      <c r="A78" s="33">
        <v>75</v>
      </c>
      <c r="B78" s="30">
        <v>-2.8421709430404007E-14</v>
      </c>
      <c r="C78" s="30">
        <v>-1.2631870857957337E-16</v>
      </c>
      <c r="D78" s="35">
        <v>1.9866666666666666</v>
      </c>
      <c r="E78" s="31">
        <v>0.34222222222222221</v>
      </c>
      <c r="F78" s="31">
        <v>0.3288888888888889</v>
      </c>
      <c r="G78" s="31">
        <v>0.29666666666666669</v>
      </c>
      <c r="H78" s="31">
        <v>0.15777777777777777</v>
      </c>
      <c r="I78" s="32">
        <v>9200</v>
      </c>
      <c r="J78" s="32">
        <v>-8338.0281690140837</v>
      </c>
      <c r="K78" s="31">
        <v>0.11555555555555555</v>
      </c>
      <c r="L78" s="31">
        <v>0.31777777777777777</v>
      </c>
      <c r="M78" s="31">
        <v>0.16388888888888889</v>
      </c>
      <c r="N78" s="31">
        <v>0.54370629370629375</v>
      </c>
      <c r="O78" s="31">
        <v>0.37966101694915255</v>
      </c>
      <c r="P78" s="31">
        <v>0.4606741573033708</v>
      </c>
    </row>
    <row r="79" spans="1:16" x14ac:dyDescent="0.4">
      <c r="A79" s="33">
        <v>76</v>
      </c>
      <c r="B79" s="30">
        <v>-2.1316282072803006E-14</v>
      </c>
      <c r="C79" s="30">
        <v>-9.3492465231592125E-17</v>
      </c>
      <c r="D79" s="35">
        <v>1.986842105263158</v>
      </c>
      <c r="E79" s="31">
        <v>0.34210526315789475</v>
      </c>
      <c r="F79" s="31">
        <v>0.32894736842105265</v>
      </c>
      <c r="G79" s="31">
        <v>0.29599121361889069</v>
      </c>
      <c r="H79" s="31">
        <v>0.15705656232839099</v>
      </c>
      <c r="I79" s="32">
        <v>9232.6530612244896</v>
      </c>
      <c r="J79" s="32">
        <v>-8370.6293706293709</v>
      </c>
      <c r="K79" s="31">
        <v>0.11842105263157894</v>
      </c>
      <c r="L79" s="31">
        <v>0.31905546403075236</v>
      </c>
      <c r="M79" s="31">
        <v>0.1630971993410214</v>
      </c>
      <c r="N79" s="31">
        <v>0.54044750430292599</v>
      </c>
      <c r="O79" s="31">
        <v>0.38047138047138046</v>
      </c>
      <c r="P79" s="31">
        <v>0.46196660482374768</v>
      </c>
    </row>
    <row r="80" spans="1:16" x14ac:dyDescent="0.4">
      <c r="A80" s="33">
        <v>77</v>
      </c>
      <c r="B80" s="30">
        <v>-2.1316282072803006E-14</v>
      </c>
      <c r="C80" s="30">
        <v>-9.2278277371441589E-17</v>
      </c>
      <c r="D80" s="35">
        <v>1.9870129870129871</v>
      </c>
      <c r="E80" s="31">
        <v>0.34199134199134201</v>
      </c>
      <c r="F80" s="31">
        <v>0.32900432900432902</v>
      </c>
      <c r="G80" s="31">
        <v>0.29599567099567098</v>
      </c>
      <c r="H80" s="31">
        <v>0.15692640692640691</v>
      </c>
      <c r="I80" s="32">
        <v>9231.6270566727599</v>
      </c>
      <c r="J80" s="32">
        <v>-8318.6206896551721</v>
      </c>
      <c r="K80" s="31">
        <v>0.12121212121212122</v>
      </c>
      <c r="L80" s="31">
        <v>0.31980519480519481</v>
      </c>
      <c r="M80" s="31">
        <v>0.16287878787878787</v>
      </c>
      <c r="N80" s="31">
        <v>0.54145516074450084</v>
      </c>
      <c r="O80" s="31">
        <v>0.37541528239202659</v>
      </c>
      <c r="P80" s="31">
        <v>0.46252285191956122</v>
      </c>
    </row>
    <row r="81" spans="1:16" x14ac:dyDescent="0.4">
      <c r="A81" s="33">
        <v>78</v>
      </c>
      <c r="B81" s="30">
        <v>-2.1316282072803006E-14</v>
      </c>
      <c r="C81" s="30">
        <v>-9.1095222533346175E-17</v>
      </c>
      <c r="D81" s="35">
        <v>1.9871794871794872</v>
      </c>
      <c r="E81" s="31">
        <v>0.34188034188034189</v>
      </c>
      <c r="F81" s="31">
        <v>0.32905982905982906</v>
      </c>
      <c r="G81" s="31">
        <v>0.29617662897145935</v>
      </c>
      <c r="H81" s="31">
        <v>0.15778136779752289</v>
      </c>
      <c r="I81" s="32">
        <v>9246</v>
      </c>
      <c r="J81" s="32">
        <v>-8354.94880546075</v>
      </c>
      <c r="K81" s="31">
        <v>0.12393162393162394</v>
      </c>
      <c r="L81" s="31">
        <v>0.3193322563274098</v>
      </c>
      <c r="M81" s="31">
        <v>0.16262789445341949</v>
      </c>
      <c r="N81" s="31">
        <v>0.54300168634064083</v>
      </c>
      <c r="O81" s="31">
        <v>0.37748344370860926</v>
      </c>
      <c r="P81" s="31">
        <v>0.46</v>
      </c>
    </row>
    <row r="82" spans="1:16" x14ac:dyDescent="0.4">
      <c r="A82" s="33">
        <v>79</v>
      </c>
      <c r="B82" s="30">
        <v>-1.7763568394002505E-14</v>
      </c>
      <c r="C82" s="30">
        <v>-7.4951765375537991E-17</v>
      </c>
      <c r="D82" s="35">
        <v>1.9873417721518987</v>
      </c>
      <c r="E82" s="31">
        <v>0.34177215189873417</v>
      </c>
      <c r="F82" s="31">
        <v>0.32911392405063289</v>
      </c>
      <c r="G82" s="31">
        <v>0.29670912951167727</v>
      </c>
      <c r="H82" s="31">
        <v>0.15870488322717621</v>
      </c>
      <c r="I82" s="32">
        <v>9308.4078711985694</v>
      </c>
      <c r="J82" s="32">
        <v>-8476.2541806020072</v>
      </c>
      <c r="K82" s="31">
        <v>0.12236286919831224</v>
      </c>
      <c r="L82" s="31">
        <v>0.31794055201698512</v>
      </c>
      <c r="M82" s="31">
        <v>0.16295116772823778</v>
      </c>
      <c r="N82" s="31">
        <v>0.54424040066777968</v>
      </c>
      <c r="O82" s="31">
        <v>0.3745928338762215</v>
      </c>
      <c r="P82" s="31">
        <v>0.45796064400715564</v>
      </c>
    </row>
    <row r="83" spans="1:16" x14ac:dyDescent="0.4">
      <c r="A83" s="33">
        <v>80</v>
      </c>
      <c r="B83" s="30">
        <v>-1.9539925233402755E-14</v>
      </c>
      <c r="C83" s="30">
        <v>-8.1416355139178141E-17</v>
      </c>
      <c r="D83" s="35">
        <v>1.9875</v>
      </c>
      <c r="E83" s="31">
        <v>0.34166666666666667</v>
      </c>
      <c r="F83" s="31">
        <v>0.32916666666666666</v>
      </c>
      <c r="G83" s="31">
        <v>0.29728317659352144</v>
      </c>
      <c r="H83" s="31">
        <v>0.15778474399164055</v>
      </c>
      <c r="I83" s="32">
        <v>9312.1265377855889</v>
      </c>
      <c r="J83" s="32">
        <v>-8449.0066225165556</v>
      </c>
      <c r="K83" s="31">
        <v>0.12083333333333333</v>
      </c>
      <c r="L83" s="31">
        <v>0.31818181818181818</v>
      </c>
      <c r="M83" s="31">
        <v>0.16144200626959249</v>
      </c>
      <c r="N83" s="31">
        <v>0.5451559934318555</v>
      </c>
      <c r="O83" s="31">
        <v>0.37216828478964403</v>
      </c>
      <c r="P83" s="31">
        <v>0.46221441124780316</v>
      </c>
    </row>
    <row r="84" spans="1:16" x14ac:dyDescent="0.4">
      <c r="A84" s="33">
        <v>81</v>
      </c>
      <c r="B84" s="30">
        <v>0</v>
      </c>
      <c r="C84" s="30">
        <v>0</v>
      </c>
      <c r="D84" s="35">
        <v>1.9876543209876543</v>
      </c>
      <c r="E84" s="31">
        <v>0.34156378600823045</v>
      </c>
      <c r="F84" s="31">
        <v>0.32921810699588477</v>
      </c>
      <c r="G84" s="31">
        <v>0.29641025641025642</v>
      </c>
      <c r="H84" s="31">
        <v>0.15794871794871795</v>
      </c>
      <c r="I84" s="32">
        <v>9369.5501730103806</v>
      </c>
      <c r="J84" s="32">
        <v>-8605.8441558441555</v>
      </c>
      <c r="K84" s="31">
        <v>0.12345679012345678</v>
      </c>
      <c r="L84" s="31">
        <v>0.31846153846153846</v>
      </c>
      <c r="M84" s="31">
        <v>0.16205128205128205</v>
      </c>
      <c r="N84" s="31">
        <v>0.54106280193236711</v>
      </c>
      <c r="O84" s="31">
        <v>0.370253164556962</v>
      </c>
      <c r="P84" s="31">
        <v>0.46020761245674741</v>
      </c>
    </row>
    <row r="85" spans="1:16" x14ac:dyDescent="0.4">
      <c r="A85" s="33">
        <v>82</v>
      </c>
      <c r="B85" s="30">
        <v>0</v>
      </c>
      <c r="C85" s="30">
        <v>0</v>
      </c>
      <c r="D85" s="35">
        <v>1.9878048780487805</v>
      </c>
      <c r="E85" s="31">
        <v>0.34146341463414637</v>
      </c>
      <c r="F85" s="31">
        <v>0.32926829268292684</v>
      </c>
      <c r="G85" s="31">
        <v>0.29573170731707316</v>
      </c>
      <c r="H85" s="31">
        <v>0.15701219512195122</v>
      </c>
      <c r="I85" s="32">
        <v>9360.8247422680415</v>
      </c>
      <c r="J85" s="32">
        <v>-8616.8284789644022</v>
      </c>
      <c r="K85" s="31">
        <v>0.12601626016260162</v>
      </c>
      <c r="L85" s="31">
        <v>0.31859756097560976</v>
      </c>
      <c r="M85" s="31">
        <v>0.16158536585365854</v>
      </c>
      <c r="N85" s="31">
        <v>0.54066985645933019</v>
      </c>
      <c r="O85" s="31">
        <v>0.37106918238993708</v>
      </c>
      <c r="P85" s="31">
        <v>0.46219931271477666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504</vt:i4>
      </vt:variant>
    </vt:vector>
  </HeadingPairs>
  <TitlesOfParts>
    <vt:vector size="53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だいち</vt:lpstr>
      <vt:lpstr>ともき</vt:lpstr>
      <vt:lpstr>ただ</vt:lpstr>
      <vt:lpstr>りくと</vt:lpstr>
      <vt:lpstr>ぱぱ</vt:lpstr>
      <vt:lpstr>ぱぱ2</vt:lpstr>
      <vt:lpstr>りくと2</vt:lpstr>
      <vt:lpstr>ただ2</vt:lpstr>
      <vt:lpstr>ともき2</vt:lpstr>
      <vt:lpstr>だいち2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ただ!アガリ数</vt:lpstr>
      <vt:lpstr>ともき!アガリ数</vt:lpstr>
      <vt:lpstr>ぱぱ!アガリ数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ただ!アガリ率</vt:lpstr>
      <vt:lpstr>ともき!アガリ率</vt:lpstr>
      <vt:lpstr>ぱぱ!アガリ率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ただ!ダマアガリ数</vt:lpstr>
      <vt:lpstr>ともき!ダマアガリ数</vt:lpstr>
      <vt:lpstr>ぱぱ!ダマアガリ数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ただ!ダマアガリ率</vt:lpstr>
      <vt:lpstr>ともき!ダマアガリ率</vt:lpstr>
      <vt:lpstr>ぱぱ!ダマアガリ率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ただ!チョンボ数</vt:lpstr>
      <vt:lpstr>ともき!チョンボ数</vt:lpstr>
      <vt:lpstr>ぱぱ!チョンボ数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ただ!チョンボ率</vt:lpstr>
      <vt:lpstr>ともき!チョンボ率</vt:lpstr>
      <vt:lpstr>ぱぱ!チョンボ率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ただ!ツモ数</vt:lpstr>
      <vt:lpstr>ともき!ツモ数</vt:lpstr>
      <vt:lpstr>ぱぱ!ツモ数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ただ!ツモ率</vt:lpstr>
      <vt:lpstr>ともき!ツモ率</vt:lpstr>
      <vt:lpstr>ぱぱ!ツモ率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ただ!トップ数</vt:lpstr>
      <vt:lpstr>ともき!トップ数</vt:lpstr>
      <vt:lpstr>ぱぱ!トップ数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ただ!トップ率</vt:lpstr>
      <vt:lpstr>ともき!トップ率</vt:lpstr>
      <vt:lpstr>ぱぱ!トップ率</vt:lpstr>
      <vt:lpstr>りくと!トップ率</vt:lpstr>
      <vt:lpstr>れんたろう!トップ率</vt:lpstr>
      <vt:lpstr>全体!トップ率</vt:lpstr>
      <vt:lpstr>だいち!バランス</vt:lpstr>
      <vt:lpstr>ただ!バランス</vt:lpstr>
      <vt:lpstr>ともき!バランス</vt:lpstr>
      <vt:lpstr>ぱぱ!バランス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ただ!ふっとび数</vt:lpstr>
      <vt:lpstr>ともき!ふっとび数</vt:lpstr>
      <vt:lpstr>ぱぱ!ふっとび数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ただ!ふっとび率</vt:lpstr>
      <vt:lpstr>ともき!ふっとび率</vt:lpstr>
      <vt:lpstr>ぱぱ!ふっとび率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ただ!ラス数</vt:lpstr>
      <vt:lpstr>ともき!ラス数</vt:lpstr>
      <vt:lpstr>ぱぱ!ラス数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ただ!ラス率</vt:lpstr>
      <vt:lpstr>ともき!ラス率</vt:lpstr>
      <vt:lpstr>ぱぱ!ラス率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ただ!リーチアガリ数</vt:lpstr>
      <vt:lpstr>ともき!リーチアガリ数</vt:lpstr>
      <vt:lpstr>ぱぱ!リーチアガリ数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ただ!リーチアガリ率</vt:lpstr>
      <vt:lpstr>ともき!リーチアガリ率</vt:lpstr>
      <vt:lpstr>ぱぱ!リーチアガリ率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ただ!リーチ数</vt:lpstr>
      <vt:lpstr>ともき!リーチ数</vt:lpstr>
      <vt:lpstr>ぱぱ!リーチ数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ただ!リーチ成功数</vt:lpstr>
      <vt:lpstr>ともき!リーチ成功数</vt:lpstr>
      <vt:lpstr>ぱぱ!リーチ成功数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ただ!リーチ成功率</vt:lpstr>
      <vt:lpstr>ともき!リーチ成功率</vt:lpstr>
      <vt:lpstr>ぱぱ!リーチ成功率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ただ!リーチ率</vt:lpstr>
      <vt:lpstr>ともき!リーチ率</vt:lpstr>
      <vt:lpstr>ぱぱ!リーチ率</vt:lpstr>
      <vt:lpstr>りくと!リーチ率</vt:lpstr>
      <vt:lpstr>れんたろう!リーチ率</vt:lpstr>
      <vt:lpstr>全体!リーチ率</vt:lpstr>
      <vt:lpstr>だいち!レーティング</vt:lpstr>
      <vt:lpstr>ただ!レーティング</vt:lpstr>
      <vt:lpstr>ともき!レーティング</vt:lpstr>
      <vt:lpstr>ぱぱ!レーティング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だいち!ロン数</vt:lpstr>
      <vt:lpstr>ただ!ロン数</vt:lpstr>
      <vt:lpstr>ともき!ロン数</vt:lpstr>
      <vt:lpstr>ぱぱ!ロン数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ただ!ロン率</vt:lpstr>
      <vt:lpstr>ともき!ロン率</vt:lpstr>
      <vt:lpstr>ぱぱ!ロン率</vt:lpstr>
      <vt:lpstr>りくと!ロン率</vt:lpstr>
      <vt:lpstr>れんたろう!ロン率</vt:lpstr>
      <vt:lpstr>全体!ロン率</vt:lpstr>
      <vt:lpstr>だいち!一位スコア</vt:lpstr>
      <vt:lpstr>ただ!一位スコア</vt:lpstr>
      <vt:lpstr>ともき!一位スコア</vt:lpstr>
      <vt:lpstr>ぱぱ!一位スコア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ただ!一位通算スコア</vt:lpstr>
      <vt:lpstr>ともき!一位通算スコア</vt:lpstr>
      <vt:lpstr>ぱぱ!一位通算スコア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ただ!一翻数</vt:lpstr>
      <vt:lpstr>ともき!一翻数</vt:lpstr>
      <vt:lpstr>ぱぱ!一翻数</vt:lpstr>
      <vt:lpstr>りくと!一翻数</vt:lpstr>
      <vt:lpstr>れんたろう!一翻数</vt:lpstr>
      <vt:lpstr>全体!一翻数</vt:lpstr>
      <vt:lpstr>一翻数</vt:lpstr>
      <vt:lpstr>だいち!一翻率</vt:lpstr>
      <vt:lpstr>ただ!一翻率</vt:lpstr>
      <vt:lpstr>ともき!一翻率</vt:lpstr>
      <vt:lpstr>ぱぱ!一翻率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ただ!現行連続アガリ</vt:lpstr>
      <vt:lpstr>ともき!現行連続アガリ</vt:lpstr>
      <vt:lpstr>ぱぱ!現行連続アガリ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ただ!現行連続無放銃</vt:lpstr>
      <vt:lpstr>ともき!現行連続無放銃</vt:lpstr>
      <vt:lpstr>ぱぱ!現行連続無放銃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ただ!最高点</vt:lpstr>
      <vt:lpstr>ともき!最高点</vt:lpstr>
      <vt:lpstr>ぱぱ!最高点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ただ!最大ドラ数</vt:lpstr>
      <vt:lpstr>ともき!最大ドラ数</vt:lpstr>
      <vt:lpstr>ぱぱ!最大ドラ数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ただ!最大点数</vt:lpstr>
      <vt:lpstr>ともき!最大点数</vt:lpstr>
      <vt:lpstr>ぱぱ!最大点数</vt:lpstr>
      <vt:lpstr>りくと!最大点数</vt:lpstr>
      <vt:lpstr>れんたろう!最大点数</vt:lpstr>
      <vt:lpstr>全体!最大点数</vt:lpstr>
      <vt:lpstr>だいち!三位スコア</vt:lpstr>
      <vt:lpstr>ただ!三位スコア</vt:lpstr>
      <vt:lpstr>ともき!三位スコア</vt:lpstr>
      <vt:lpstr>ぱぱ!三位スコア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ただ!三位通算スコア</vt:lpstr>
      <vt:lpstr>ともき!三位通算スコア</vt:lpstr>
      <vt:lpstr>ぱぱ!三位通算スコア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ただ!総局数</vt:lpstr>
      <vt:lpstr>ともき!総局数</vt:lpstr>
      <vt:lpstr>ぱぱ!総局数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ただ!対戦数</vt:lpstr>
      <vt:lpstr>ともき!対戦数</vt:lpstr>
      <vt:lpstr>ぱぱ!対戦数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ただ!通算アガリ点</vt:lpstr>
      <vt:lpstr>ともき!通算アガリ点</vt:lpstr>
      <vt:lpstr>ぱぱ!通算アガリ点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ただ!通算スコア</vt:lpstr>
      <vt:lpstr>ともき!通算スコア</vt:lpstr>
      <vt:lpstr>ぱぱ!通算スコア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ただ!通算副露アガリ点</vt:lpstr>
      <vt:lpstr>ともき!通算副露アガリ点</vt:lpstr>
      <vt:lpstr>ぱぱ!通算副露アガリ点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ただ!通算放銃点</vt:lpstr>
      <vt:lpstr>ともき!通算放銃点</vt:lpstr>
      <vt:lpstr>ぱぱ!通算放銃点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ただ!通算門前アガリ点</vt:lpstr>
      <vt:lpstr>ともき!通算門前アガリ点</vt:lpstr>
      <vt:lpstr>ぱぱ!通算門前アガリ点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ただ!二位スコア</vt:lpstr>
      <vt:lpstr>ともき!二位スコア</vt:lpstr>
      <vt:lpstr>ぱぱ!二位スコア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ただ!二位数</vt:lpstr>
      <vt:lpstr>ともき!二位数</vt:lpstr>
      <vt:lpstr>ぱぱ!二位数</vt:lpstr>
      <vt:lpstr>りくと!二位数</vt:lpstr>
      <vt:lpstr>れんたろう!二位数</vt:lpstr>
      <vt:lpstr>全体!二位数</vt:lpstr>
      <vt:lpstr>だいち!二位通算スコア</vt:lpstr>
      <vt:lpstr>ただ!二位通算スコア</vt:lpstr>
      <vt:lpstr>ともき!二位通算スコア</vt:lpstr>
      <vt:lpstr>ぱぱ!二位通算スコア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ただ!二位率</vt:lpstr>
      <vt:lpstr>ともき!二位率</vt:lpstr>
      <vt:lpstr>ぱぱ!二位率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ただ!副露アガリ数</vt:lpstr>
      <vt:lpstr>ともき!副露アガリ数</vt:lpstr>
      <vt:lpstr>ぱぱ!副露アガリ数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ただ!副露アガリ点</vt:lpstr>
      <vt:lpstr>ともき!副露アガリ点</vt:lpstr>
      <vt:lpstr>ぱぱ!副露アガリ点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ただ!副露アガリ率</vt:lpstr>
      <vt:lpstr>ともき!副露アガリ率</vt:lpstr>
      <vt:lpstr>ぱぱ!副露アガリ率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ただ!副露数</vt:lpstr>
      <vt:lpstr>ともき!副露数</vt:lpstr>
      <vt:lpstr>ぱぱ!副露数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ただ!副露成功数</vt:lpstr>
      <vt:lpstr>ともき!副露成功数</vt:lpstr>
      <vt:lpstr>ぱぱ!副露成功数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ただ!副露成功率</vt:lpstr>
      <vt:lpstr>ともき!副露成功率</vt:lpstr>
      <vt:lpstr>ぱぱ!副露成功率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ただ!副露率</vt:lpstr>
      <vt:lpstr>ともき!副露率</vt:lpstr>
      <vt:lpstr>ぱぱ!副露率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ただ!平均アガリ点</vt:lpstr>
      <vt:lpstr>ともき!平均アガリ点</vt:lpstr>
      <vt:lpstr>ぱぱ!平均アガリ点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ただ!平均スコア</vt:lpstr>
      <vt:lpstr>ともき!平均スコア</vt:lpstr>
      <vt:lpstr>ぱぱ!平均スコア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ただ!平均順位</vt:lpstr>
      <vt:lpstr>ともき!平均順位</vt:lpstr>
      <vt:lpstr>ぱぱ!平均順位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ただ!平均放銃点</vt:lpstr>
      <vt:lpstr>ともき!平均放銃点</vt:lpstr>
      <vt:lpstr>ぱぱ!平均放銃点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ただ!放銃数</vt:lpstr>
      <vt:lpstr>ともき!放銃数</vt:lpstr>
      <vt:lpstr>ぱぱ!放銃数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ただ!放銃率</vt:lpstr>
      <vt:lpstr>ともき!放銃率</vt:lpstr>
      <vt:lpstr>ぱぱ!放銃率</vt:lpstr>
      <vt:lpstr>りくと!放銃率</vt:lpstr>
      <vt:lpstr>れんたろう!放銃率</vt:lpstr>
      <vt:lpstr>全体!放銃率</vt:lpstr>
      <vt:lpstr>Template1!名前</vt:lpstr>
      <vt:lpstr>だいち!名前</vt:lpstr>
      <vt:lpstr>ただ!名前</vt:lpstr>
      <vt:lpstr>ともき!名前</vt:lpstr>
      <vt:lpstr>ぱぱ!名前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ただ!門前アガリ点</vt:lpstr>
      <vt:lpstr>ともき!門前アガリ点</vt:lpstr>
      <vt:lpstr>ぱぱ!門前アガリ点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ただ!連続アガリ</vt:lpstr>
      <vt:lpstr>ともき!連続アガリ</vt:lpstr>
      <vt:lpstr>ぱぱ!連続アガリ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ただ!連続無放銃</vt:lpstr>
      <vt:lpstr>ともき!連続無放銃</vt:lpstr>
      <vt:lpstr>ぱぱ!連続無放銃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2022-08-28T08:34:16Z</dcterms:modified>
</cp:coreProperties>
</file>