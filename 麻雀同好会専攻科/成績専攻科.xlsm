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36D459E1-3CBB-4025-8D38-F1FD7EBB6B1D}" xr6:coauthVersionLast="46" xr6:coauthVersionMax="46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32" r:id="rId6"/>
    <sheet name="れんたろう" sheetId="7034" r:id="rId7"/>
    <sheet name="だいち" sheetId="7036" r:id="rId8"/>
    <sheet name="ともき" sheetId="7038" r:id="rId9"/>
    <sheet name="ただ" sheetId="7040" r:id="rId10"/>
    <sheet name="ただ2" sheetId="7041" state="hidden" r:id="rId11"/>
    <sheet name="ともき2" sheetId="7039" state="hidden" r:id="rId12"/>
    <sheet name="だいち2" sheetId="7037" state="hidden" r:id="rId13"/>
    <sheet name="れんたろう2" sheetId="7035" state="hidden" r:id="rId14"/>
    <sheet name="全体2" sheetId="7033" state="hidden" r:id="rId15"/>
    <sheet name="通算スコア" sheetId="3331" state="hidden" r:id="rId16"/>
    <sheet name="平均スコア" sheetId="3493" state="hidden" r:id="rId17"/>
    <sheet name="平均順位" sheetId="3183" state="hidden" r:id="rId18"/>
    <sheet name="トップ率" sheetId="3185" state="hidden" r:id="rId19"/>
    <sheet name="ラス率" sheetId="4886" state="hidden" r:id="rId20"/>
    <sheet name="アガリ率" sheetId="3189" state="hidden" r:id="rId21"/>
    <sheet name="放銃率" sheetId="3190" state="hidden" r:id="rId22"/>
    <sheet name="平均アガリ点" sheetId="3520" state="hidden" r:id="rId23"/>
    <sheet name="平均放銃点" sheetId="3521" state="hidden" r:id="rId24"/>
    <sheet name="ふっとび率" sheetId="3522" state="hidden" r:id="rId25"/>
    <sheet name="リーチ率" sheetId="3524" state="hidden" r:id="rId26"/>
    <sheet name="副露率" sheetId="3525" state="hidden" r:id="rId27"/>
    <sheet name="リーチ成功率" sheetId="4841" state="hidden" r:id="rId28"/>
    <sheet name="副露成功率" sheetId="3527" state="hidden" r:id="rId29"/>
    <sheet name="ツモ率" sheetId="3528" state="hidden" r:id="rId30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34" l="1"/>
  <c r="P16" i="7040"/>
  <c r="P15" i="7040"/>
  <c r="C35" i="7040"/>
  <c r="B30" i="7040"/>
  <c r="C21" i="7040"/>
  <c r="B20" i="7040"/>
  <c r="H50" i="7040" s="1"/>
  <c r="C19" i="7040"/>
  <c r="B19" i="7040"/>
  <c r="B29" i="7040" s="1"/>
  <c r="B18" i="7040"/>
  <c r="C18" i="7040" s="1"/>
  <c r="C17" i="7040"/>
  <c r="C16" i="7040"/>
  <c r="C15" i="7040"/>
  <c r="B13" i="7040"/>
  <c r="P12" i="7040"/>
  <c r="B12" i="7040"/>
  <c r="P11" i="7040"/>
  <c r="B11" i="7040"/>
  <c r="P10" i="7040"/>
  <c r="C10" i="7040"/>
  <c r="C9" i="7040"/>
  <c r="C8" i="7040"/>
  <c r="P7" i="7040"/>
  <c r="B7" i="7040"/>
  <c r="P6" i="7040"/>
  <c r="P5" i="7040"/>
  <c r="B5" i="7040"/>
  <c r="P4" i="7040"/>
  <c r="P3" i="7040"/>
  <c r="P2" i="7040"/>
  <c r="P17" i="7036"/>
  <c r="P16" i="7032"/>
  <c r="B14" i="7040" l="1"/>
  <c r="C20" i="7040"/>
  <c r="H4" i="7040"/>
  <c r="H25" i="7040"/>
  <c r="H11" i="7040"/>
  <c r="H33" i="7040"/>
  <c r="C38" i="7040"/>
  <c r="C42" i="7040"/>
  <c r="C46" i="7040"/>
  <c r="H51" i="7040"/>
  <c r="H2" i="7040"/>
  <c r="H7" i="7040"/>
  <c r="H17" i="7040"/>
  <c r="H20" i="7040"/>
  <c r="C24" i="7040"/>
  <c r="B28" i="7040"/>
  <c r="H34" i="7040"/>
  <c r="H39" i="7040"/>
  <c r="H43" i="7040"/>
  <c r="H47" i="7040"/>
  <c r="H5" i="7040"/>
  <c r="H23" i="7040"/>
  <c r="H26" i="7040"/>
  <c r="H29" i="7040"/>
  <c r="H35" i="7040"/>
  <c r="C39" i="7040"/>
  <c r="C43" i="7040"/>
  <c r="C47" i="7040"/>
  <c r="H52" i="7040"/>
  <c r="H15" i="7040"/>
  <c r="H18" i="7040"/>
  <c r="C25" i="7040"/>
  <c r="H40" i="7040"/>
  <c r="H44" i="7040"/>
  <c r="H48" i="7040"/>
  <c r="H8" i="7040"/>
  <c r="H9" i="7040"/>
  <c r="H21" i="7040"/>
  <c r="H13" i="7040"/>
  <c r="H27" i="7040"/>
  <c r="H30" i="7040"/>
  <c r="H36" i="7040"/>
  <c r="C40" i="7040"/>
  <c r="C44" i="7040"/>
  <c r="C48" i="7040"/>
  <c r="H3" i="7040"/>
  <c r="H19" i="7040"/>
  <c r="C22" i="7040"/>
  <c r="C26" i="7040"/>
  <c r="H37" i="7040"/>
  <c r="H41" i="7040"/>
  <c r="H45" i="7040"/>
  <c r="H49" i="7040"/>
  <c r="H6" i="7040"/>
  <c r="H14" i="7040"/>
  <c r="H16" i="7040"/>
  <c r="H24" i="7040"/>
  <c r="H28" i="7040"/>
  <c r="H31" i="7040"/>
  <c r="C37" i="7040"/>
  <c r="C41" i="7040"/>
  <c r="C45" i="7040"/>
  <c r="C49" i="7040"/>
  <c r="H12" i="7040"/>
  <c r="H10" i="7040"/>
  <c r="H22" i="7040"/>
  <c r="C23" i="7040"/>
  <c r="B27" i="7040"/>
  <c r="H32" i="7040"/>
  <c r="H38" i="7040"/>
  <c r="H42" i="7040"/>
  <c r="H46" i="7040"/>
  <c r="P16" i="7038" l="1"/>
  <c r="P15" i="7038"/>
  <c r="C35" i="7038"/>
  <c r="B30" i="7038"/>
  <c r="C21" i="7038"/>
  <c r="B20" i="7038"/>
  <c r="H50" i="7038" s="1"/>
  <c r="B19" i="7038"/>
  <c r="B29" i="7038" s="1"/>
  <c r="C18" i="7038"/>
  <c r="B18" i="7038"/>
  <c r="C17" i="7038"/>
  <c r="C16" i="7038"/>
  <c r="C15" i="7038"/>
  <c r="B13" i="7038"/>
  <c r="P12" i="7038"/>
  <c r="B12" i="7038"/>
  <c r="P11" i="7038"/>
  <c r="B11" i="7038"/>
  <c r="P10" i="7038"/>
  <c r="C10" i="7038"/>
  <c r="C9" i="7038"/>
  <c r="C8" i="7038"/>
  <c r="P7" i="7038"/>
  <c r="B7" i="7038"/>
  <c r="P6" i="7038"/>
  <c r="P5" i="7038"/>
  <c r="B5" i="7038"/>
  <c r="P4" i="7038"/>
  <c r="P3" i="7038"/>
  <c r="P2" i="7038"/>
  <c r="P16" i="7036"/>
  <c r="P15" i="7036"/>
  <c r="C35" i="7036"/>
  <c r="B30" i="7036"/>
  <c r="C21" i="7036"/>
  <c r="B20" i="7036"/>
  <c r="H51" i="7036" s="1"/>
  <c r="B19" i="7036"/>
  <c r="B29" i="7036" s="1"/>
  <c r="B18" i="7036"/>
  <c r="C18" i="7036" s="1"/>
  <c r="C17" i="7036"/>
  <c r="C16" i="7036"/>
  <c r="C15" i="7036"/>
  <c r="B13" i="7036"/>
  <c r="P12" i="7036"/>
  <c r="B12" i="7036"/>
  <c r="P11" i="7036"/>
  <c r="B11" i="7036"/>
  <c r="B14" i="7036" s="1"/>
  <c r="P10" i="7036"/>
  <c r="C10" i="7036"/>
  <c r="C9" i="7036"/>
  <c r="C8" i="7036"/>
  <c r="P7" i="7036"/>
  <c r="B7" i="7036"/>
  <c r="P6" i="7036"/>
  <c r="P5" i="7036"/>
  <c r="B5" i="7036"/>
  <c r="P4" i="7036"/>
  <c r="P3" i="7036"/>
  <c r="P2" i="7036"/>
  <c r="P17" i="7032"/>
  <c r="P15" i="7034"/>
  <c r="P17" i="7034"/>
  <c r="C35" i="7034"/>
  <c r="B30" i="7034"/>
  <c r="C21" i="7034"/>
  <c r="B20" i="7034"/>
  <c r="H51" i="7034" s="1"/>
  <c r="B19" i="7034"/>
  <c r="B29" i="7034" s="1"/>
  <c r="B18" i="7034"/>
  <c r="C18" i="7034" s="1"/>
  <c r="C17" i="7034"/>
  <c r="C16" i="7034"/>
  <c r="C15" i="7034"/>
  <c r="B13" i="7034"/>
  <c r="P12" i="7034"/>
  <c r="B12" i="7034"/>
  <c r="P11" i="7034"/>
  <c r="B11" i="7034"/>
  <c r="P10" i="7034"/>
  <c r="C10" i="7034"/>
  <c r="C9" i="7034"/>
  <c r="C8" i="7034"/>
  <c r="P7" i="7034"/>
  <c r="B7" i="7034"/>
  <c r="P6" i="7034"/>
  <c r="P5" i="7034"/>
  <c r="B5" i="7034"/>
  <c r="P4" i="7034"/>
  <c r="P3" i="7034"/>
  <c r="P2" i="7034"/>
  <c r="P15" i="7032"/>
  <c r="P18" i="7032"/>
  <c r="C35" i="7032"/>
  <c r="B30" i="7032"/>
  <c r="C21" i="7032"/>
  <c r="B20" i="7032"/>
  <c r="H52" i="7032" s="1"/>
  <c r="B19" i="7032"/>
  <c r="B29" i="7032" s="1"/>
  <c r="B18" i="7032"/>
  <c r="C18" i="7032" s="1"/>
  <c r="C17" i="7032"/>
  <c r="C16" i="7032"/>
  <c r="C15" i="7032"/>
  <c r="B13" i="7032"/>
  <c r="P12" i="7032"/>
  <c r="B12" i="7032"/>
  <c r="P11" i="7032"/>
  <c r="B11" i="7032"/>
  <c r="P10" i="7032"/>
  <c r="C10" i="7032"/>
  <c r="C9" i="7032"/>
  <c r="C8" i="7032"/>
  <c r="P7" i="7032"/>
  <c r="B7" i="7032"/>
  <c r="P6" i="7032"/>
  <c r="P5" i="7032"/>
  <c r="B5" i="7032"/>
  <c r="P4" i="7032"/>
  <c r="P3" i="7032"/>
  <c r="P2" i="7032"/>
  <c r="B14" i="7034" l="1"/>
  <c r="C19" i="7036"/>
  <c r="C19" i="7038"/>
  <c r="C20" i="7038"/>
  <c r="H2" i="7038"/>
  <c r="B14" i="7032"/>
  <c r="C19" i="7034"/>
  <c r="C19" i="7032"/>
  <c r="B14" i="7038"/>
  <c r="H24" i="7038"/>
  <c r="H28" i="7038"/>
  <c r="H33" i="7038"/>
  <c r="C38" i="7038"/>
  <c r="C42" i="7038"/>
  <c r="C46" i="7038"/>
  <c r="H51" i="7038"/>
  <c r="H6" i="7038"/>
  <c r="H9" i="7038"/>
  <c r="H14" i="7038"/>
  <c r="H18" i="7038"/>
  <c r="C24" i="7038"/>
  <c r="B28" i="7038"/>
  <c r="H34" i="7038"/>
  <c r="H39" i="7038"/>
  <c r="H43" i="7038"/>
  <c r="H47" i="7038"/>
  <c r="H3" i="7038"/>
  <c r="H21" i="7038"/>
  <c r="H25" i="7038"/>
  <c r="H29" i="7038"/>
  <c r="H35" i="7038"/>
  <c r="C39" i="7038"/>
  <c r="C43" i="7038"/>
  <c r="C47" i="7038"/>
  <c r="H52" i="7038"/>
  <c r="H12" i="7038"/>
  <c r="H15" i="7038"/>
  <c r="C25" i="7038"/>
  <c r="H40" i="7038"/>
  <c r="H44" i="7038"/>
  <c r="H48" i="7038"/>
  <c r="H7" i="7038"/>
  <c r="H10" i="7038"/>
  <c r="H19" i="7038"/>
  <c r="H22" i="7038"/>
  <c r="H26" i="7038"/>
  <c r="H30" i="7038"/>
  <c r="H36" i="7038"/>
  <c r="C40" i="7038"/>
  <c r="C44" i="7038"/>
  <c r="C48" i="7038"/>
  <c r="H4" i="7038"/>
  <c r="H16" i="7038"/>
  <c r="C22" i="7038"/>
  <c r="C26" i="7038"/>
  <c r="H37" i="7038"/>
  <c r="H41" i="7038"/>
  <c r="H45" i="7038"/>
  <c r="H49" i="7038"/>
  <c r="H8" i="7038"/>
  <c r="H11" i="7038"/>
  <c r="H13" i="7038"/>
  <c r="H23" i="7038"/>
  <c r="H27" i="7038"/>
  <c r="H31" i="7038"/>
  <c r="C37" i="7038"/>
  <c r="C41" i="7038"/>
  <c r="C45" i="7038"/>
  <c r="C49" i="7038"/>
  <c r="H5" i="7038"/>
  <c r="H17" i="7038"/>
  <c r="H20" i="7038"/>
  <c r="C23" i="7038"/>
  <c r="B27" i="7038"/>
  <c r="H32" i="7038"/>
  <c r="H38" i="7038"/>
  <c r="H42" i="7038"/>
  <c r="H46" i="7038"/>
  <c r="H3" i="7036"/>
  <c r="H22" i="7036"/>
  <c r="H32" i="7036"/>
  <c r="H34" i="7036"/>
  <c r="H10" i="7036"/>
  <c r="H19" i="7036"/>
  <c r="H23" i="7036"/>
  <c r="H2" i="7036"/>
  <c r="H27" i="7036"/>
  <c r="C39" i="7036"/>
  <c r="H40" i="7036"/>
  <c r="H12" i="7036"/>
  <c r="H7" i="7036"/>
  <c r="H41" i="7036"/>
  <c r="H9" i="7036"/>
  <c r="C26" i="7036"/>
  <c r="C45" i="7036"/>
  <c r="C24" i="7036"/>
  <c r="H21" i="7036"/>
  <c r="H47" i="7036"/>
  <c r="C47" i="7036"/>
  <c r="C25" i="7036"/>
  <c r="H35" i="7036"/>
  <c r="C41" i="7036"/>
  <c r="H48" i="7036"/>
  <c r="C20" i="7036"/>
  <c r="H49" i="7036"/>
  <c r="H4" i="7036"/>
  <c r="H13" i="7036"/>
  <c r="H20" i="7036"/>
  <c r="H26" i="7036"/>
  <c r="H17" i="7036"/>
  <c r="H37" i="7036"/>
  <c r="C43" i="7036"/>
  <c r="C49" i="7036"/>
  <c r="H8" i="7036"/>
  <c r="H24" i="7036"/>
  <c r="B28" i="7036"/>
  <c r="C37" i="7036"/>
  <c r="H44" i="7036"/>
  <c r="H5" i="7036"/>
  <c r="H43" i="7036"/>
  <c r="H6" i="7036"/>
  <c r="C22" i="7036"/>
  <c r="H30" i="7036"/>
  <c r="H39" i="7036"/>
  <c r="H45" i="7036"/>
  <c r="H52" i="7036"/>
  <c r="H25" i="7036"/>
  <c r="H16" i="7036"/>
  <c r="H29" i="7036"/>
  <c r="H31" i="7036"/>
  <c r="H36" i="7036"/>
  <c r="C40" i="7036"/>
  <c r="C44" i="7036"/>
  <c r="C48" i="7036"/>
  <c r="H14" i="7036"/>
  <c r="H15" i="7036"/>
  <c r="C23" i="7036"/>
  <c r="B27" i="7036"/>
  <c r="H18" i="7036"/>
  <c r="H38" i="7036"/>
  <c r="H42" i="7036"/>
  <c r="H46" i="7036"/>
  <c r="H50" i="7036"/>
  <c r="H28" i="7036"/>
  <c r="H11" i="7036"/>
  <c r="H33" i="7036"/>
  <c r="C38" i="7036"/>
  <c r="C42" i="7036"/>
  <c r="C46" i="7036"/>
  <c r="H16" i="7032"/>
  <c r="H22" i="7032"/>
  <c r="H6" i="7032"/>
  <c r="H19" i="7032"/>
  <c r="H50" i="7032"/>
  <c r="H3" i="7034"/>
  <c r="H18" i="7034"/>
  <c r="H22" i="7034"/>
  <c r="H31" i="7034"/>
  <c r="H19" i="7034"/>
  <c r="H15" i="7034"/>
  <c r="H25" i="7034"/>
  <c r="H38" i="7034"/>
  <c r="C39" i="7034"/>
  <c r="C23" i="7034"/>
  <c r="H13" i="7034"/>
  <c r="C40" i="7034"/>
  <c r="H10" i="7034"/>
  <c r="H6" i="7034"/>
  <c r="H4" i="7034"/>
  <c r="H27" i="7034"/>
  <c r="C45" i="7034"/>
  <c r="H30" i="7034"/>
  <c r="H46" i="7034"/>
  <c r="C47" i="7034"/>
  <c r="C25" i="7034"/>
  <c r="H34" i="7034"/>
  <c r="H41" i="7034"/>
  <c r="C48" i="7034"/>
  <c r="H49" i="7034"/>
  <c r="C20" i="7034"/>
  <c r="H42" i="7034"/>
  <c r="H11" i="7034"/>
  <c r="H16" i="7034"/>
  <c r="H20" i="7034"/>
  <c r="H23" i="7034"/>
  <c r="H28" i="7034"/>
  <c r="H43" i="7034"/>
  <c r="H50" i="7034"/>
  <c r="H7" i="7034"/>
  <c r="B27" i="7034"/>
  <c r="H37" i="7034"/>
  <c r="C43" i="7034"/>
  <c r="H5" i="7034"/>
  <c r="H35" i="7034"/>
  <c r="H2" i="7034"/>
  <c r="H14" i="7034"/>
  <c r="H17" i="7034"/>
  <c r="C22" i="7034"/>
  <c r="B28" i="7034"/>
  <c r="C37" i="7034"/>
  <c r="H45" i="7034"/>
  <c r="H52" i="7034"/>
  <c r="C24" i="7034"/>
  <c r="H29" i="7034"/>
  <c r="H36" i="7034"/>
  <c r="C41" i="7034"/>
  <c r="H47" i="7034"/>
  <c r="H12" i="7034"/>
  <c r="H9" i="7034"/>
  <c r="H21" i="7034"/>
  <c r="H24" i="7034"/>
  <c r="C26" i="7034"/>
  <c r="H32" i="7034"/>
  <c r="H39" i="7034"/>
  <c r="C44" i="7034"/>
  <c r="C49" i="7034"/>
  <c r="H40" i="7034"/>
  <c r="H44" i="7034"/>
  <c r="H48" i="7034"/>
  <c r="H26" i="7034"/>
  <c r="H8" i="7034"/>
  <c r="H33" i="7034"/>
  <c r="C38" i="7034"/>
  <c r="C42" i="7034"/>
  <c r="C46" i="7034"/>
  <c r="H10" i="7032"/>
  <c r="C25" i="7032"/>
  <c r="H13" i="7032"/>
  <c r="H40" i="7032"/>
  <c r="H41" i="7032"/>
  <c r="H14" i="7032"/>
  <c r="H44" i="7032"/>
  <c r="H20" i="7032"/>
  <c r="C22" i="7032"/>
  <c r="H49" i="7032"/>
  <c r="H9" i="7032"/>
  <c r="H11" i="7032"/>
  <c r="C23" i="7032"/>
  <c r="H18" i="7032"/>
  <c r="H42" i="7032"/>
  <c r="H3" i="7032"/>
  <c r="H23" i="7032"/>
  <c r="H12" i="7032"/>
  <c r="H35" i="7032"/>
  <c r="C43" i="7032"/>
  <c r="H37" i="7032"/>
  <c r="H4" i="7032"/>
  <c r="C20" i="7032"/>
  <c r="B27" i="7032"/>
  <c r="H38" i="7032"/>
  <c r="H46" i="7032"/>
  <c r="C26" i="7032"/>
  <c r="H45" i="7032"/>
  <c r="H2" i="7032"/>
  <c r="H7" i="7032"/>
  <c r="H21" i="7032"/>
  <c r="H24" i="7032"/>
  <c r="H26" i="7032"/>
  <c r="H30" i="7032"/>
  <c r="C39" i="7032"/>
  <c r="C47" i="7032"/>
  <c r="H48" i="7032"/>
  <c r="H25" i="7032"/>
  <c r="H15" i="7032"/>
  <c r="H29" i="7032"/>
  <c r="H31" i="7032"/>
  <c r="H36" i="7032"/>
  <c r="C40" i="7032"/>
  <c r="C44" i="7032"/>
  <c r="C48" i="7032"/>
  <c r="H27" i="7032"/>
  <c r="H17" i="7032"/>
  <c r="H32" i="7032"/>
  <c r="C37" i="7032"/>
  <c r="C41" i="7032"/>
  <c r="C45" i="7032"/>
  <c r="C49" i="7032"/>
  <c r="H28" i="7032"/>
  <c r="H8" i="7032"/>
  <c r="H33" i="7032"/>
  <c r="C38" i="7032"/>
  <c r="C42" i="7032"/>
  <c r="C46" i="7032"/>
  <c r="H51" i="7032"/>
  <c r="C24" i="7032"/>
  <c r="B28" i="7032"/>
  <c r="H34" i="7032"/>
  <c r="H39" i="7032"/>
  <c r="H43" i="7032"/>
  <c r="H47" i="7032"/>
  <c r="H5" i="703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<sst xmlns="http://schemas.openxmlformats.org/spreadsheetml/2006/main" count="1436" uniqueCount="221">
  <si>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</si>
  <si>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</si>
  <si>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</si>
  <si>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</si>
  <si>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</si>
  <si>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</si>
  <si>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</si>
  <si>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</si>
  <si>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</si>
  <si>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</si>
  <si>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</si>
  <si>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</si>
  <si>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</si>
  <si>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</si>
  <si>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</si>
  <si>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</si>
  <si>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</si>
  <si>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</si>
  <si>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</si>
  <si>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</si>
  <si>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</si>
  <si>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</si>
  <si>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</si>
  <si>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</si>
  <si>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</si>
  <si>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</si>
  <si>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</si>
  <si>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</si>
  <si>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</si>
  <si>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</si>
  <si>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</si>
  <si>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</si>
  <si>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</si>
  <si>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</si>
  <si>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</si>
  <si>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</si>
  <si>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</si>
  <si>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</si>
  <si>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</si>
  <si>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</si>
  <si>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</si>
  <si>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</si>
  <si>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</si>
  <si>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</si>
  <si>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</si>
  <si>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</si>
  <si>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</si>
  <si>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</si>
  <si>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</si>
  <si>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</si>
  <si>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</si>
  <si>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</si>
  <si>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</si>
  <si>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</si>
  <si>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</si>
  <si>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</si>
  <si>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</si>
  <si>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</si>
  <si>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</si>
  <si>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</si>
  <si>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</si>
  <si>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</si>
  <si>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</si>
  <si>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</si>
  <si>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</si>
  <si>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</si>
  <si>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</si>
  <si>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</si>
  <si>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</si>
  <si>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</si>
  <si>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</si>
  <si>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</si>
  <si>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</si>
  <si>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</si>
  <si>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</si>
  <si>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</si>
  <si>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</si>
  <si>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</si>
  <si>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</si>
  <si>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</si>
  <si>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</si>
  <si>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</si>
  <si>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</si>
  <si>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</si>
  <si>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</si>
  <si>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</si>
  <si>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</si>
  <si>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</si>
  <si>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</si>
  <si>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</si>
  <si>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</si>
  <si>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</si>
  <si>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</si>
  <si>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</si>
  <si>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</si>
  <si>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</si>
  <si>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</si>
  <si>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</si>
  <si>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</si>
  <si>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</si>
  <si>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</si>
  <si>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</si>
  <si>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</si>
  <si>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</si>
  <si>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</si>
  <si>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</si>
  <si>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</si>
  <si>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</si>
  <si>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</si>
  <si>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</si>
  <si>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</si>
  <si>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</si>
  <si>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</si>
  <si>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</si>
  <si>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</si>
  <si>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</si>
  <si>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</si>
  <si>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</si>
  <si>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</si>
  <si>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</si>
  <si>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</si>
  <si>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</si>
  <si>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</si>
  <si>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</si>
  <si>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</si>
  <si>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</si>
  <si>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</si>
  <si>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</si>
  <si>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</si>
  <si>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</si>
  <si>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</si>
  <si>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</si>
  <si>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</si>
  <si>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</si>
  <si>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</si>
  <si>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</si>
  <si>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</si>
  <si>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</si>
  <si>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</si>
  <si>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</si>
  <si>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</si>
  <si>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</si>
  <si>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</si>
  <si>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</si>
  <si>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</si>
  <si>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</si>
  <si>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</si>
  <si>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</si>
  <si>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</si>
  <si>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</si>
  <si>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</si>
  <si>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</si>
  <si>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</si>
  <si>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</si>
  <si>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</si>
  <si>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</si>
  <si>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</si>
  <si>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</si>
  <si>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</si>
  <si>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</si>
  <si>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</si>
  <si>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</si>
  <si>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</si>
  <si>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</si>
  <si>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</si>
  <si>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</si>
  <si>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</si>
  <si>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</si>
  <si>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</si>
  <si>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</si>
  <si>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</si>
  <si>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</si>
  <si>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</si>
  <si>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</si>
  <si>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</si>
  <si>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</si>
  <si>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</si>
  <si>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</si>
  <si>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</si>
  <si>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</si>
  <si>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</si>
  <si>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</si>
  <si>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</si>
  <si>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</si>
  <si>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</si>
  <si>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</si>
  <si>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</si>
  <si>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</si>
  <si>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</si>
  <si>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</si>
  <si>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</si>
  <si>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</si>
  <si>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</si>
  <si>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</si>
  <si>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</si>
  <si>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</si>
  <si>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</si>
  <si>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</si>
  <si>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</si>
  <si>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</si>
  <si>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</si>
  <si>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</si>
  <si>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</si>
  <si>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</si>
  <si>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</si>
  <si>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</si>
  <si>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</si>
  <si>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</si>
  <si>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</si>
  <si>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</si>
  <si>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</si>
  <si>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</si>
  <si>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</si>
  <si>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</si>
  <si>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2021-02-13@Ina.xlsm</t>
  </si>
  <si>
    <t>―</t>
  </si>
  <si>
    <t>ただ</t>
    <phoneticPr fontId="1"/>
  </si>
  <si>
    <t>Sheet4</t>
  </si>
  <si>
    <t>Sheet5</t>
  </si>
  <si>
    <t>Sheet6</t>
  </si>
  <si>
    <t>2021-05-01@Ina.xlsm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</si>
</sst>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全体!$L$2:$L$29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0-468D-AC5A-E32F25DD8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-55.555555555555557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1-48BD-9E42-E05A1F98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8</c:v>
                </c:pt>
                <c:pt idx="3">
                  <c:v>14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5-4118-8982-E9F26825E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全体!$M$2:$M$29</c:f>
              <c:numCache>
                <c:formatCode>0</c:formatCode>
                <c:ptCount val="28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0-4639-BD46-3A852537F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9-4AF9-A269-9A9AD81BB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4322.2222222222226</c:v>
                </c:pt>
                <c:pt idx="1">
                  <c:v>-1333.3333333333333</c:v>
                </c:pt>
                <c:pt idx="2">
                  <c:v>-585.71428571428567</c:v>
                </c:pt>
                <c:pt idx="3">
                  <c:v>3485.7142857142858</c:v>
                </c:pt>
                <c:pt idx="4">
                  <c:v>650</c:v>
                </c:pt>
                <c:pt idx="5">
                  <c:v>-4125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B-4D96-866C-CF9FAE730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3-4A29-9C76-CFAD1400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B-4909-8C1B-D9F01382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だいち!$L$2:$L$11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0-4D30-99BE-80EF62E58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-2300</c:v>
                </c:pt>
                <c:pt idx="1">
                  <c:v>8300</c:v>
                </c:pt>
                <c:pt idx="2">
                  <c:v>-3228.5714285714284</c:v>
                </c:pt>
                <c:pt idx="3">
                  <c:v>-3871.4285714285716</c:v>
                </c:pt>
                <c:pt idx="4">
                  <c:v>2266.6666666666665</c:v>
                </c:pt>
                <c:pt idx="5">
                  <c:v>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F-4730-951C-10611306A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8-4B99-86CB-644A9C26C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だいち!$M$2:$M$11</c:f>
              <c:numCache>
                <c:formatCode>0</c:formatCode>
                <c:ptCount val="10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0-4AC4-9C72-9AD4CA4B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A8-4254-80D5-ADD9F63B9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7-47E7-9A30-1F16C2439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B-4CAF-8011-5EA860D16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8-424A-A396-5E89EF253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A-4EA2-BB4C-F454591FD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800</c:v>
                </c:pt>
                <c:pt idx="1">
                  <c:v>-4083.3333333333335</c:v>
                </c:pt>
                <c:pt idx="2">
                  <c:v>7420</c:v>
                </c:pt>
                <c:pt idx="3">
                  <c:v>1300</c:v>
                </c:pt>
                <c:pt idx="4">
                  <c:v>-2625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D-4E37-8643-87EA31E5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C-4E9F-ACA5-874A233D5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ただ!$M$2:$M$8</c:f>
              <c:numCache>
                <c:formatCode>0</c:formatCode>
                <c:ptCount val="7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B2-4CDB-928A-6FAE12A3F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-46</c:v>
                </c:pt>
                <c:pt idx="2">
                  <c:v>-48.45</c:v>
                </c:pt>
                <c:pt idx="3">
                  <c:v>-37.800000000000004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15819881037222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8181818181818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0.5</c:v>
                </c:pt>
                <c:pt idx="2">
                  <c:v>0.54545454545454541</c:v>
                </c:pt>
                <c:pt idx="3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0</c:v>
                </c:pt>
                <c:pt idx="2">
                  <c:v>0</c:v>
                </c:pt>
                <c:pt idx="3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98.4126984126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-7000</c:v>
                </c:pt>
                <c:pt idx="2">
                  <c:v>-8833.3333333333339</c:v>
                </c:pt>
                <c:pt idx="3">
                  <c:v>-8314.2857142857138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81.8181818181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814814814814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7474747474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12121212121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12244897959183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031746031746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6FB1DB-AB9F-4B99-A62F-BB79A932D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2AA4DA-C340-4DE7-BB41-384FD739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D083A03-1586-489F-BE35-E02A7145A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4887694-A7C1-4752-BA8F-20C28F25F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CC4503-A758-464B-B747-2C34C0631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449A89-4427-43B0-8EFC-C86B66EE0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FD6B19-996A-430A-8558-EBCEC4A6D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A5219F-25EE-47C0-B6A9-C6DAC0020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08C4FD-D0B9-4557-9B98-C3E6F8A80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28BF3E-38A0-4A9E-9B00-3C06C3858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FC1050-57E5-4A90-AF88-CD6406119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E39319F-77F5-4D90-9EE7-E51229CE7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820A64-898B-41A8-B0BF-BC17E1C76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4EF1C5-DDB5-4496-92BE-708CEB779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847192-2DB3-4682-B47E-9591E72CF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9D2E72D-1BDA-434E-883C-FD18E53E6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96C137-9C0D-437F-B627-112632559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CF3466-830B-41EA-8F75-130A948B9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92B575-7000-456A-B67F-8AB200FF7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344ABD9-B3FF-4918-BD68-D5791E114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H3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8" x14ac:dyDescent="0.4">
      <c r="A1" s="1">
        <v>32874</v>
      </c>
      <c r="B1" s="1">
        <v>2958465</v>
      </c>
    </row>
    <row r="2" spans="1:8" x14ac:dyDescent="0.4">
      <c r="A2" s="2" t="s">
        <v>214</v>
      </c>
      <c r="B2" s="3">
        <v>44240.69635416667</v>
      </c>
      <c r="C2" s="2" t="s">
        <v>127</v>
      </c>
      <c r="D2" s="2" t="s">
        <v>188</v>
      </c>
      <c r="E2" s="2" t="s">
        <v>191</v>
      </c>
    </row>
    <row r="3" spans="1:8" x14ac:dyDescent="0.4">
      <c r="A3" s="2" t="s">
        <v>220</v>
      </c>
      <c r="B3" s="3">
        <v>44317.696481481478</v>
      </c>
      <c r="C3" s="2" t="s">
        <v>127</v>
      </c>
      <c r="D3" s="2" t="s">
        <v>188</v>
      </c>
      <c r="E3" s="2" t="s">
        <v>191</v>
      </c>
      <c r="F3" s="2" t="s">
        <v>217</v>
      </c>
      <c r="G3" s="2" t="s">
        <v>218</v>
      </c>
      <c r="H3" s="2" t="s">
        <v>219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216</v>
      </c>
    </row>
    <row r="2" spans="1:3" x14ac:dyDescent="0.4">
      <c r="A2" t="s">
        <v>126</v>
      </c>
      <c r="B2" s="120">
        <v>9</v>
      </c>
      <c r="C2" s="120">
        <v>1758.0662353696366</v>
      </c>
    </row>
    <row r="3" spans="1:3" x14ac:dyDescent="0.4">
      <c r="A3" t="s">
        <v>192</v>
      </c>
      <c r="B3" s="120">
        <v>6</v>
      </c>
      <c r="C3" s="120">
        <v>1606.4452616651972</v>
      </c>
    </row>
    <row r="4" spans="1:3" x14ac:dyDescent="0.4">
      <c r="A4" t="s">
        <v>163</v>
      </c>
      <c r="B4" s="120">
        <v>9</v>
      </c>
      <c r="C4" s="120">
        <v>1605.0170841089816</v>
      </c>
    </row>
    <row r="5" spans="1:3" x14ac:dyDescent="0.4">
      <c r="A5" t="s">
        <v>139</v>
      </c>
      <c r="B5" s="120">
        <v>27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 t="s">
        <v>215</v>
      </c>
      <c r="C2" s="144"/>
      <c r="D2" s="143" t="s">
        <v>215</v>
      </c>
      <c r="E2" s="144"/>
      <c r="F2" s="143" t="s">
        <v>215</v>
      </c>
      <c r="G2" s="144"/>
      <c r="H2" s="145"/>
      <c r="I2" s="146"/>
      <c r="J2" s="143" t="s">
        <v>215</v>
      </c>
      <c r="K2" s="144"/>
      <c r="L2" s="143" t="s">
        <v>215</v>
      </c>
      <c r="M2" s="144"/>
      <c r="N2" s="143" t="s">
        <v>215</v>
      </c>
      <c r="O2" s="144"/>
      <c r="P2" s="143" t="s">
        <v>215</v>
      </c>
      <c r="Q2" s="144"/>
      <c r="R2" s="143" t="s">
        <v>215</v>
      </c>
      <c r="S2" s="144"/>
      <c r="T2" s="143" t="s">
        <v>215</v>
      </c>
      <c r="U2" s="144"/>
      <c r="V2" s="143" t="s">
        <v>215</v>
      </c>
      <c r="W2" s="144"/>
      <c r="X2" s="143" t="s">
        <v>215</v>
      </c>
      <c r="Y2" s="144"/>
      <c r="Z2" s="143" t="s">
        <v>215</v>
      </c>
      <c r="AA2" s="144"/>
      <c r="AB2" s="143" t="s">
        <v>215</v>
      </c>
      <c r="AC2" s="144"/>
      <c r="AD2" s="143" t="s">
        <v>215</v>
      </c>
      <c r="AE2" s="144"/>
      <c r="AF2" s="143" t="s">
        <v>215</v>
      </c>
      <c r="AG2" s="144"/>
      <c r="AH2" s="143" t="s">
        <v>215</v>
      </c>
      <c r="AI2" s="144"/>
      <c r="AJ2" s="143" t="s">
        <v>215</v>
      </c>
      <c r="AK2" s="144"/>
    </row>
    <row r="3" spans="1:37" x14ac:dyDescent="0.4">
      <c r="A3" s="38">
        <v>1</v>
      </c>
      <c r="B3" s="41" t="s">
        <v>126</v>
      </c>
      <c r="C3" s="113">
        <v>9</v>
      </c>
      <c r="D3" s="39" t="s">
        <v>126</v>
      </c>
      <c r="E3" s="40">
        <v>65.100000000000009</v>
      </c>
      <c r="F3" s="41" t="s">
        <v>126</v>
      </c>
      <c r="G3" s="60">
        <v>7.2333333333333343</v>
      </c>
      <c r="H3" s="41" t="s">
        <v>126</v>
      </c>
      <c r="I3" s="45">
        <v>1762.2465184026232</v>
      </c>
      <c r="J3" s="41" t="s">
        <v>126</v>
      </c>
      <c r="K3" s="42">
        <v>1.7777777777777777</v>
      </c>
      <c r="L3" s="41" t="s">
        <v>126</v>
      </c>
      <c r="M3" s="43">
        <v>0.55555555555555558</v>
      </c>
      <c r="N3" s="41" t="s">
        <v>163</v>
      </c>
      <c r="O3" s="43">
        <v>0.1111111111111111</v>
      </c>
      <c r="P3" s="41" t="s">
        <v>126</v>
      </c>
      <c r="Q3" s="44">
        <v>0.39393939393939392</v>
      </c>
      <c r="R3" s="41" t="s">
        <v>192</v>
      </c>
      <c r="S3" s="44">
        <v>6.1224489795918366E-2</v>
      </c>
      <c r="T3" s="41" t="s">
        <v>126</v>
      </c>
      <c r="U3" s="45">
        <v>9076.9230769230762</v>
      </c>
      <c r="V3" s="41" t="s">
        <v>192</v>
      </c>
      <c r="W3" s="45">
        <v>-5066.666666666667</v>
      </c>
      <c r="X3" s="41" t="s">
        <v>163</v>
      </c>
      <c r="Y3" s="43">
        <v>0</v>
      </c>
      <c r="Z3" s="41" t="s">
        <v>126</v>
      </c>
      <c r="AA3" s="44">
        <v>0.31818181818181818</v>
      </c>
      <c r="AB3" s="41" t="s">
        <v>192</v>
      </c>
      <c r="AC3" s="44">
        <v>0.26530612244897961</v>
      </c>
      <c r="AD3" s="41" t="s">
        <v>192</v>
      </c>
      <c r="AE3" s="44">
        <v>0.66666666666666663</v>
      </c>
      <c r="AF3" s="41" t="s">
        <v>197</v>
      </c>
      <c r="AG3" s="44">
        <v>0.5</v>
      </c>
      <c r="AH3" s="41" t="s">
        <v>126</v>
      </c>
      <c r="AI3" s="44">
        <v>0.5</v>
      </c>
      <c r="AJ3" s="41" t="s">
        <v>126</v>
      </c>
      <c r="AK3" s="55">
        <v>101500</v>
      </c>
    </row>
    <row r="4" spans="1:37" x14ac:dyDescent="0.4">
      <c r="A4" s="46">
        <v>2</v>
      </c>
      <c r="B4" s="49" t="s">
        <v>163</v>
      </c>
      <c r="C4" s="114">
        <v>9</v>
      </c>
      <c r="D4" s="47" t="s">
        <v>163</v>
      </c>
      <c r="E4" s="48">
        <v>40.700000000000003</v>
      </c>
      <c r="F4" s="49" t="s">
        <v>163</v>
      </c>
      <c r="G4" s="61">
        <v>4.5222222222222221</v>
      </c>
      <c r="H4" s="49" t="s">
        <v>163</v>
      </c>
      <c r="I4" s="53">
        <v>1613.3226961858495</v>
      </c>
      <c r="J4" s="49" t="s">
        <v>163</v>
      </c>
      <c r="K4" s="50">
        <v>1.8888888888888888</v>
      </c>
      <c r="L4" s="49" t="s">
        <v>192</v>
      </c>
      <c r="M4" s="51">
        <v>0.33333333333333331</v>
      </c>
      <c r="N4" s="49" t="s">
        <v>126</v>
      </c>
      <c r="O4" s="51">
        <v>0.33333333333333331</v>
      </c>
      <c r="P4" s="49" t="s">
        <v>139</v>
      </c>
      <c r="Q4" s="52">
        <v>0.31818181818181818</v>
      </c>
      <c r="R4" s="49" t="s">
        <v>163</v>
      </c>
      <c r="S4" s="52">
        <v>0.13636363636363635</v>
      </c>
      <c r="T4" s="49" t="s">
        <v>163</v>
      </c>
      <c r="U4" s="53">
        <v>8655</v>
      </c>
      <c r="V4" s="49" t="s">
        <v>163</v>
      </c>
      <c r="W4" s="53">
        <v>-6144.4444444444443</v>
      </c>
      <c r="X4" s="49" t="s">
        <v>126</v>
      </c>
      <c r="Y4" s="51">
        <v>0.1111111111111111</v>
      </c>
      <c r="Z4" s="49" t="s">
        <v>163</v>
      </c>
      <c r="AA4" s="52">
        <v>0.27272727272727271</v>
      </c>
      <c r="AB4" s="49" t="s">
        <v>197</v>
      </c>
      <c r="AC4" s="52">
        <v>0.23529411764705882</v>
      </c>
      <c r="AD4" s="49" t="s">
        <v>126</v>
      </c>
      <c r="AE4" s="52">
        <v>0.61904761904761907</v>
      </c>
      <c r="AF4" s="49" t="s">
        <v>126</v>
      </c>
      <c r="AG4" s="52">
        <v>0.36363636363636365</v>
      </c>
      <c r="AH4" s="49" t="s">
        <v>197</v>
      </c>
      <c r="AI4" s="52">
        <v>0.5</v>
      </c>
      <c r="AJ4" s="49" t="s">
        <v>139</v>
      </c>
      <c r="AK4" s="56">
        <v>101500</v>
      </c>
    </row>
    <row r="5" spans="1:37" x14ac:dyDescent="0.4">
      <c r="A5" s="46">
        <v>3</v>
      </c>
      <c r="B5" s="49" t="s">
        <v>139</v>
      </c>
      <c r="C5" s="114">
        <v>9</v>
      </c>
      <c r="D5" s="47" t="s">
        <v>192</v>
      </c>
      <c r="E5" s="48">
        <v>7.6000000000000014</v>
      </c>
      <c r="F5" s="49" t="s">
        <v>192</v>
      </c>
      <c r="G5" s="61">
        <v>1.2666666666666668</v>
      </c>
      <c r="H5" s="49" t="s">
        <v>192</v>
      </c>
      <c r="I5" s="53">
        <v>1609.6808536744702</v>
      </c>
      <c r="J5" s="49" t="s">
        <v>192</v>
      </c>
      <c r="K5" s="50">
        <v>2</v>
      </c>
      <c r="L5" s="49" t="s">
        <v>139</v>
      </c>
      <c r="M5" s="51">
        <v>0.33333333333333331</v>
      </c>
      <c r="N5" s="49" t="s">
        <v>192</v>
      </c>
      <c r="O5" s="51">
        <v>0.33333333333333331</v>
      </c>
      <c r="P5" s="49" t="s">
        <v>192</v>
      </c>
      <c r="Q5" s="52">
        <v>0.30612244897959184</v>
      </c>
      <c r="R5" s="49" t="s">
        <v>139</v>
      </c>
      <c r="S5" s="52">
        <v>0.16666666666666666</v>
      </c>
      <c r="T5" s="49" t="s">
        <v>139</v>
      </c>
      <c r="U5" s="53">
        <v>8398.4126984126979</v>
      </c>
      <c r="V5" s="49" t="s">
        <v>139</v>
      </c>
      <c r="W5" s="53">
        <v>-7281.818181818182</v>
      </c>
      <c r="X5" s="49" t="s">
        <v>139</v>
      </c>
      <c r="Y5" s="51">
        <v>0.14814814814814814</v>
      </c>
      <c r="Z5" s="49" t="s">
        <v>139</v>
      </c>
      <c r="AA5" s="52">
        <v>0.24747474747474749</v>
      </c>
      <c r="AB5" s="49" t="s">
        <v>163</v>
      </c>
      <c r="AC5" s="52">
        <v>0.21212121212121213</v>
      </c>
      <c r="AD5" s="49" t="s">
        <v>139</v>
      </c>
      <c r="AE5" s="52">
        <v>0.61224489795918369</v>
      </c>
      <c r="AF5" s="49" t="s">
        <v>139</v>
      </c>
      <c r="AG5" s="52">
        <v>0.33333333333333331</v>
      </c>
      <c r="AH5" s="49" t="s">
        <v>139</v>
      </c>
      <c r="AI5" s="52">
        <v>0.46031746031746029</v>
      </c>
      <c r="AJ5" s="49" t="s">
        <v>192</v>
      </c>
      <c r="AK5" s="56">
        <v>77600</v>
      </c>
    </row>
    <row r="6" spans="1:37" x14ac:dyDescent="0.4">
      <c r="A6" s="46">
        <v>4</v>
      </c>
      <c r="B6" s="49" t="s">
        <v>192</v>
      </c>
      <c r="C6" s="114">
        <v>6</v>
      </c>
      <c r="D6" s="47" t="s">
        <v>139</v>
      </c>
      <c r="E6" s="48">
        <v>3.5527136788005009E-15</v>
      </c>
      <c r="F6" s="49" t="s">
        <v>139</v>
      </c>
      <c r="G6" s="61">
        <v>1.3158198810372225E-16</v>
      </c>
      <c r="H6" s="49" t="s">
        <v>139</v>
      </c>
      <c r="I6" s="53">
        <v>1608.4039982235588</v>
      </c>
      <c r="J6" s="49" t="s">
        <v>139</v>
      </c>
      <c r="K6" s="50">
        <v>2</v>
      </c>
      <c r="L6" s="49" t="s">
        <v>163</v>
      </c>
      <c r="M6" s="51">
        <v>0.22222222222222221</v>
      </c>
      <c r="N6" s="49" t="s">
        <v>139</v>
      </c>
      <c r="O6" s="51">
        <v>0.33333333333333331</v>
      </c>
      <c r="P6" s="49" t="s">
        <v>163</v>
      </c>
      <c r="Q6" s="52">
        <v>0.30303030303030304</v>
      </c>
      <c r="R6" s="49" t="s">
        <v>126</v>
      </c>
      <c r="S6" s="52">
        <v>0.21212121212121213</v>
      </c>
      <c r="T6" s="49" t="s">
        <v>192</v>
      </c>
      <c r="U6" s="53">
        <v>7786.666666666667</v>
      </c>
      <c r="V6" s="49" t="s">
        <v>126</v>
      </c>
      <c r="W6" s="53">
        <v>-7971.4285714285716</v>
      </c>
      <c r="X6" s="49" t="s">
        <v>192</v>
      </c>
      <c r="Y6" s="51">
        <v>0.16666666666666666</v>
      </c>
      <c r="Z6" s="49" t="s">
        <v>192</v>
      </c>
      <c r="AA6" s="52">
        <v>0.18367346938775511</v>
      </c>
      <c r="AB6" s="49" t="s">
        <v>139</v>
      </c>
      <c r="AC6" s="52">
        <v>0.21212121212121213</v>
      </c>
      <c r="AD6" s="49" t="s">
        <v>163</v>
      </c>
      <c r="AE6" s="52">
        <v>0.61111111111111116</v>
      </c>
      <c r="AF6" s="49" t="s">
        <v>192</v>
      </c>
      <c r="AG6" s="52">
        <v>0.30769230769230771</v>
      </c>
      <c r="AH6" s="49" t="s">
        <v>163</v>
      </c>
      <c r="AI6" s="52">
        <v>0.45</v>
      </c>
      <c r="AJ6" s="49" t="s">
        <v>163</v>
      </c>
      <c r="AK6" s="56">
        <v>76100</v>
      </c>
    </row>
    <row r="7" spans="1:37" x14ac:dyDescent="0.4">
      <c r="A7" s="46">
        <v>5</v>
      </c>
      <c r="B7" s="49" t="s">
        <v>197</v>
      </c>
      <c r="C7" s="114">
        <v>3</v>
      </c>
      <c r="D7" s="47" t="s">
        <v>197</v>
      </c>
      <c r="E7" s="48">
        <v>-113.4</v>
      </c>
      <c r="F7" s="49" t="s">
        <v>197</v>
      </c>
      <c r="G7" s="61">
        <v>-37.800000000000004</v>
      </c>
      <c r="H7" s="49" t="s">
        <v>197</v>
      </c>
      <c r="I7" s="53">
        <v>1445.1125193047092</v>
      </c>
      <c r="J7" s="49" t="s">
        <v>197</v>
      </c>
      <c r="K7" s="50">
        <v>3</v>
      </c>
      <c r="L7" s="49" t="s">
        <v>197</v>
      </c>
      <c r="M7" s="51">
        <v>0</v>
      </c>
      <c r="N7" s="49" t="s">
        <v>197</v>
      </c>
      <c r="O7" s="51">
        <v>1</v>
      </c>
      <c r="P7" s="49" t="s">
        <v>197</v>
      </c>
      <c r="Q7" s="52">
        <v>0.11764705882352941</v>
      </c>
      <c r="R7" s="49" t="s">
        <v>197</v>
      </c>
      <c r="S7" s="52">
        <v>0.41176470588235292</v>
      </c>
      <c r="T7" s="49" t="s">
        <v>197</v>
      </c>
      <c r="U7" s="53">
        <v>1600</v>
      </c>
      <c r="V7" s="49" t="s">
        <v>197</v>
      </c>
      <c r="W7" s="53">
        <v>-8314.2857142857138</v>
      </c>
      <c r="X7" s="49" t="s">
        <v>197</v>
      </c>
      <c r="Y7" s="51">
        <v>0.66666666666666663</v>
      </c>
      <c r="Z7" s="49" t="s">
        <v>197</v>
      </c>
      <c r="AA7" s="52">
        <v>5.8823529411764705E-2</v>
      </c>
      <c r="AB7" s="49" t="s">
        <v>126</v>
      </c>
      <c r="AC7" s="52">
        <v>0.16666666666666666</v>
      </c>
      <c r="AD7" s="49" t="s">
        <v>197</v>
      </c>
      <c r="AE7" s="52">
        <v>0</v>
      </c>
      <c r="AF7" s="49" t="s">
        <v>163</v>
      </c>
      <c r="AG7" s="52">
        <v>0.2857142857142857</v>
      </c>
      <c r="AH7" s="49" t="s">
        <v>192</v>
      </c>
      <c r="AI7" s="52">
        <v>0.4</v>
      </c>
      <c r="AJ7" s="49" t="s">
        <v>197</v>
      </c>
      <c r="AK7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52BF9-29DB-41EA-B833-4F4743A0E7FD}">
  <sheetPr codeName="Sheet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27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0.84126984126984128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0</v>
      </c>
      <c r="Q2" s="76">
        <v>27</v>
      </c>
      <c r="R2" s="63">
        <v>0</v>
      </c>
    </row>
    <row r="3" spans="1:18" x14ac:dyDescent="0.4">
      <c r="A3" s="19" t="s">
        <v>8</v>
      </c>
      <c r="B3" s="135">
        <v>198</v>
      </c>
      <c r="C3" s="136"/>
      <c r="E3" s="27" t="s">
        <v>64</v>
      </c>
      <c r="F3" s="24" t="s">
        <v>20</v>
      </c>
      <c r="G3" s="12">
        <v>31</v>
      </c>
      <c r="H3" s="88">
        <f>IF(B$20=0,0,G3/B$20)</f>
        <v>0.49206349206349204</v>
      </c>
      <c r="I3" s="58">
        <v>3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0</v>
      </c>
      <c r="Q3" s="77">
        <v>27</v>
      </c>
      <c r="R3" s="64">
        <v>0</v>
      </c>
    </row>
    <row r="4" spans="1:18" x14ac:dyDescent="0.4">
      <c r="A4" s="19" t="s">
        <v>6</v>
      </c>
      <c r="B4" s="137">
        <v>3.5527136788005009E-15</v>
      </c>
      <c r="C4" s="138"/>
      <c r="E4" s="27" t="s">
        <v>72</v>
      </c>
      <c r="F4" s="24" t="s">
        <v>27</v>
      </c>
      <c r="G4" s="12">
        <v>26</v>
      </c>
      <c r="H4" s="88">
        <f>IF(B$20=0,0,G4/B$20)</f>
        <v>0.41269841269841268</v>
      </c>
      <c r="I4" s="58">
        <v>3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0</v>
      </c>
      <c r="Q4" s="77">
        <v>21</v>
      </c>
      <c r="R4" s="64">
        <v>0</v>
      </c>
    </row>
    <row r="5" spans="1:18" x14ac:dyDescent="0.4">
      <c r="A5" s="19" t="s">
        <v>7</v>
      </c>
      <c r="B5" s="125">
        <f>IF(B$2=0,0,B$4/B$2)</f>
        <v>1.3158198810372225E-16</v>
      </c>
      <c r="C5" s="126"/>
      <c r="E5" s="27" t="s">
        <v>159</v>
      </c>
      <c r="F5" s="24" t="s">
        <v>160</v>
      </c>
      <c r="G5" s="12">
        <v>25</v>
      </c>
      <c r="H5" s="88">
        <f>IF(B$20=0,0,G5/B$20)</f>
        <v>0.3968253968253968</v>
      </c>
      <c r="I5" s="58">
        <v>4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0</v>
      </c>
      <c r="Q5" s="77">
        <v>21</v>
      </c>
      <c r="R5" s="64">
        <v>0</v>
      </c>
    </row>
    <row r="6" spans="1:18" x14ac:dyDescent="0.4">
      <c r="A6" s="19" t="s">
        <v>195</v>
      </c>
      <c r="B6" s="129">
        <v>1608.4039982235588</v>
      </c>
      <c r="C6" s="130"/>
      <c r="E6" s="27" t="s">
        <v>68</v>
      </c>
      <c r="F6" s="24" t="s">
        <v>12</v>
      </c>
      <c r="G6" s="12">
        <v>21</v>
      </c>
      <c r="H6" s="88">
        <f>IF(B$20=0,0,G6/B$20)</f>
        <v>0.33333333333333331</v>
      </c>
      <c r="I6" s="58">
        <v>3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-55.555555555555557</v>
      </c>
      <c r="Q6" s="77">
        <v>18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12</v>
      </c>
      <c r="H7" s="88">
        <f>IF(B$20=0,0,G7/B$20)</f>
        <v>0.19047619047619047</v>
      </c>
      <c r="I7" s="58">
        <v>3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0</v>
      </c>
      <c r="Q7" s="78">
        <v>12</v>
      </c>
      <c r="R7" s="65">
        <v>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10</v>
      </c>
      <c r="H8" s="88">
        <f>IF(B$20=0,0,G8/B$20)</f>
        <v>0.15873015873015872</v>
      </c>
      <c r="I8" s="58">
        <v>2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1"/>
        <v>0.33333333333333331</v>
      </c>
      <c r="E9" s="27" t="s">
        <v>67</v>
      </c>
      <c r="F9" s="24" t="s">
        <v>23</v>
      </c>
      <c r="G9" s="12">
        <v>8</v>
      </c>
      <c r="H9" s="88">
        <f>IF(B$20=0,0,G9/B$20)</f>
        <v>0.12698412698412698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0.33333333333333331</v>
      </c>
      <c r="E10" s="27" t="s">
        <v>65</v>
      </c>
      <c r="F10" s="24" t="s">
        <v>21</v>
      </c>
      <c r="G10" s="12">
        <v>7</v>
      </c>
      <c r="H10" s="88">
        <f>IF(B$20=0,0,G10/B$20)</f>
        <v>0.1111111111111111</v>
      </c>
      <c r="I10" s="58">
        <v>2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-4.2222222222222223</v>
      </c>
      <c r="Q10" s="76">
        <v>9</v>
      </c>
      <c r="R10" s="67">
        <v>-38</v>
      </c>
    </row>
    <row r="11" spans="1:18" x14ac:dyDescent="0.4">
      <c r="A11" s="20" t="s">
        <v>184</v>
      </c>
      <c r="B11" s="109">
        <f>IF(B8=0,0,C11/B8)</f>
        <v>40.333333333333343</v>
      </c>
      <c r="C11" s="110">
        <v>363.00000000000006</v>
      </c>
      <c r="E11" s="27" t="s">
        <v>70</v>
      </c>
      <c r="F11" s="24" t="s">
        <v>25</v>
      </c>
      <c r="G11" s="12">
        <v>7</v>
      </c>
      <c r="H11" s="88">
        <f>IF(B$20=0,0,G11/B$20)</f>
        <v>0.1111111111111111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8.9888888888888889</v>
      </c>
      <c r="Q11" s="77">
        <v>9</v>
      </c>
      <c r="R11" s="68">
        <v>80.900000000000006</v>
      </c>
    </row>
    <row r="12" spans="1:18" x14ac:dyDescent="0.4">
      <c r="A12" s="20" t="s">
        <v>185</v>
      </c>
      <c r="B12" s="109">
        <f>IF(B9=0,0,C12/B9)</f>
        <v>-5.9111111111111105</v>
      </c>
      <c r="C12" s="110">
        <v>-53.199999999999996</v>
      </c>
      <c r="E12" s="27" t="s">
        <v>86</v>
      </c>
      <c r="F12" s="24" t="s">
        <v>41</v>
      </c>
      <c r="G12" s="12">
        <v>6</v>
      </c>
      <c r="H12" s="88">
        <f>IF(B$20=0,0,G12/B$20)</f>
        <v>9.5238095238095233E-2</v>
      </c>
      <c r="I12" s="58">
        <v>2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-4.7666666666666657</v>
      </c>
      <c r="Q12" s="78">
        <v>9</v>
      </c>
      <c r="R12" s="69">
        <v>-42.899999999999991</v>
      </c>
    </row>
    <row r="13" spans="1:18" x14ac:dyDescent="0.4">
      <c r="A13" s="20" t="s">
        <v>186</v>
      </c>
      <c r="B13" s="109">
        <f>IF(B10=0,0,C13/B10)</f>
        <v>-34.422222222222224</v>
      </c>
      <c r="C13" s="110">
        <v>-309.8</v>
      </c>
      <c r="E13" s="27" t="s">
        <v>71</v>
      </c>
      <c r="F13" s="24" t="s">
        <v>26</v>
      </c>
      <c r="G13" s="12">
        <v>4</v>
      </c>
      <c r="H13" s="88">
        <f>IF(B$20=0,0,G13/B$20)</f>
        <v>6.3492063492063489E-2</v>
      </c>
      <c r="I13" s="58">
        <v>2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4.7619047619047616E-2</v>
      </c>
      <c r="I14" s="58">
        <v>2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0.14814814814814814</v>
      </c>
      <c r="E15" s="27" t="s">
        <v>83</v>
      </c>
      <c r="F15" s="24" t="s">
        <v>38</v>
      </c>
      <c r="G15" s="12">
        <v>2</v>
      </c>
      <c r="H15" s="88">
        <f>IF(B$20=0,0,G15/B$20)</f>
        <v>3.1746031746031744E-2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49</v>
      </c>
      <c r="C16" s="10">
        <f>IF(B$3=0,0,B16/B$3)</f>
        <v>0.24747474747474749</v>
      </c>
      <c r="E16" s="27" t="s">
        <v>81</v>
      </c>
      <c r="F16" s="24" t="s">
        <v>36</v>
      </c>
      <c r="G16" s="12">
        <v>1</v>
      </c>
      <c r="H16" s="88">
        <f>IF(B$20=0,0,G16/B$20)</f>
        <v>1.5873015873015872E-2</v>
      </c>
      <c r="I16" s="58">
        <v>2</v>
      </c>
      <c r="K16" s="74">
        <v>14</v>
      </c>
      <c r="L16" s="119">
        <v>18.100000000000005</v>
      </c>
      <c r="M16" s="117">
        <v>1607.3831608073062</v>
      </c>
      <c r="O16" s="74" t="s">
        <v>192</v>
      </c>
      <c r="P16" s="83">
        <f>IF(Q16=0,0,R16/Q16)</f>
        <v>-1.8999999999999997</v>
      </c>
      <c r="Q16" s="77">
        <v>12</v>
      </c>
      <c r="R16" s="68">
        <v>-22.799999999999997</v>
      </c>
    </row>
    <row r="17" spans="1:18" x14ac:dyDescent="0.4">
      <c r="A17" s="19" t="s">
        <v>118</v>
      </c>
      <c r="B17" s="12">
        <v>42</v>
      </c>
      <c r="C17" s="6">
        <f>IF(B$3=0,0,B17/B$3)</f>
        <v>0.21212121212121213</v>
      </c>
      <c r="E17" s="27" t="s">
        <v>88</v>
      </c>
      <c r="F17" s="24" t="s">
        <v>43</v>
      </c>
      <c r="G17" s="12">
        <v>1</v>
      </c>
      <c r="H17" s="88">
        <f>IF(B$20=0,0,G17/B$20)</f>
        <v>1.5873015873015872E-2</v>
      </c>
      <c r="I17" s="58">
        <v>2</v>
      </c>
      <c r="K17" s="74">
        <v>15</v>
      </c>
      <c r="L17" s="119">
        <v>3.5527136788005009E-15</v>
      </c>
      <c r="M17" s="117">
        <v>1604.4528618424624</v>
      </c>
      <c r="O17" s="74" t="s">
        <v>163</v>
      </c>
      <c r="P17" s="83">
        <f>IF(Q17=0,0,R17/Q17)</f>
        <v>-6.7833333333333332</v>
      </c>
      <c r="Q17" s="77">
        <v>18</v>
      </c>
      <c r="R17" s="68">
        <v>-122.1</v>
      </c>
    </row>
    <row r="18" spans="1:18" x14ac:dyDescent="0.4">
      <c r="A18" s="18" t="s">
        <v>123</v>
      </c>
      <c r="B18" s="11">
        <f>B24</f>
        <v>30</v>
      </c>
      <c r="C18" s="5">
        <f>IF(B$16=0,0,B18/B$16)</f>
        <v>0.61224489795918369</v>
      </c>
      <c r="E18" s="27" t="s">
        <v>93</v>
      </c>
      <c r="F18" s="24" t="s">
        <v>48</v>
      </c>
      <c r="G18" s="12">
        <v>1</v>
      </c>
      <c r="H18" s="88">
        <f>IF(B$20=0,0,G18/B$20)</f>
        <v>1.5873015873015872E-2</v>
      </c>
      <c r="I18" s="58">
        <v>2</v>
      </c>
      <c r="K18" s="74">
        <v>16</v>
      </c>
      <c r="L18" s="119">
        <v>76.5</v>
      </c>
      <c r="M18" s="117">
        <v>1618.5681446714077</v>
      </c>
      <c r="O18" s="74" t="s">
        <v>126</v>
      </c>
      <c r="P18" s="83">
        <f>IF(Q18=0,0,R18/Q18)</f>
        <v>-10.850000000000003</v>
      </c>
      <c r="Q18" s="77">
        <v>18</v>
      </c>
      <c r="R18" s="68">
        <v>-195.30000000000007</v>
      </c>
    </row>
    <row r="19" spans="1:18" x14ac:dyDescent="0.4">
      <c r="A19" s="18" t="s">
        <v>124</v>
      </c>
      <c r="B19" s="11">
        <f>B25</f>
        <v>14</v>
      </c>
      <c r="C19" s="5">
        <f>IF(B$17=0,0,B19/B$17)</f>
        <v>0.33333333333333331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46</v>
      </c>
      <c r="M19" s="117">
        <v>1613.3387358033792</v>
      </c>
    </row>
    <row r="20" spans="1:18" x14ac:dyDescent="0.4">
      <c r="A20" s="18" t="s">
        <v>10</v>
      </c>
      <c r="B20" s="11">
        <f>B23+B22</f>
        <v>63</v>
      </c>
      <c r="C20" s="5">
        <f>IF(B$3=0,0,B20/B$3)</f>
        <v>0.31818181818181818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0</v>
      </c>
      <c r="M20" s="117">
        <v>1605.3507033885589</v>
      </c>
    </row>
    <row r="21" spans="1:18" x14ac:dyDescent="0.4">
      <c r="A21" s="19" t="s">
        <v>13</v>
      </c>
      <c r="B21" s="12">
        <v>33</v>
      </c>
      <c r="C21" s="6">
        <f>IF(B$3=0,0,B21/B$3)</f>
        <v>0.16666666666666666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29</v>
      </c>
      <c r="C22" s="6">
        <f>IF(B$20=0,0,B22/B$20)</f>
        <v>0.46031746031746029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34</v>
      </c>
      <c r="C23" s="6">
        <f>IF(B$20=0,0,B23/B$20)</f>
        <v>0.53968253968253965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30</v>
      </c>
      <c r="C24" s="6">
        <f>IF(B$20=0,0,B24/B$20)</f>
        <v>0.47619047619047616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14</v>
      </c>
      <c r="C25" s="6">
        <f>IF(B$20=0,0,B25/B$20)</f>
        <v>0.22222222222222221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19</v>
      </c>
      <c r="C26" s="6">
        <f>IF(B$20=0,0,B26/B$20)</f>
        <v>0.30158730158730157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8398.4126984126979</v>
      </c>
      <c r="C27" s="8">
        <v>529100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8730.6122448979586</v>
      </c>
      <c r="C28" s="96">
        <v>427800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7235.7142857142853</v>
      </c>
      <c r="C29" s="96">
        <v>101300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-7281.818181818182</v>
      </c>
      <c r="C30" s="96">
        <v>-240300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26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101500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7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2"/>
        <v>0.15873015873015872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2"/>
        <v>0.12698412698412698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14</v>
      </c>
      <c r="C40" s="6">
        <f t="shared" si="2"/>
        <v>0.22222222222222221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0.17460317460317459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6</v>
      </c>
      <c r="C42" s="6">
        <f t="shared" si="2"/>
        <v>9.5238095238095233E-2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3.1746031746031744E-2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3.1746031746031744E-2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2</v>
      </c>
      <c r="C45" s="6">
        <f t="shared" si="2"/>
        <v>3.1746031746031744E-2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1.5873015873015872E-2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4BB21-2383-4098-B6C9-539B7F239EB8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18</v>
      </c>
      <c r="H2" s="87">
        <f>IF(B$20=0,0,G2/B$20)</f>
        <v>0.9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4322.2222222222226</v>
      </c>
      <c r="Q2" s="76">
        <v>9</v>
      </c>
      <c r="R2" s="63">
        <v>38900</v>
      </c>
    </row>
    <row r="3" spans="1:18" x14ac:dyDescent="0.4">
      <c r="A3" s="19" t="s">
        <v>8</v>
      </c>
      <c r="B3" s="135">
        <v>66</v>
      </c>
      <c r="C3" s="136"/>
      <c r="E3" s="27" t="s">
        <v>64</v>
      </c>
      <c r="F3" s="24" t="s">
        <v>20</v>
      </c>
      <c r="G3" s="12">
        <v>12</v>
      </c>
      <c r="H3" s="88">
        <f>IF(B$20=0,0,G3/B$20)</f>
        <v>0.6</v>
      </c>
      <c r="I3" s="58">
        <v>1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-1333.3333333333333</v>
      </c>
      <c r="Q3" s="77">
        <v>9</v>
      </c>
      <c r="R3" s="64">
        <v>-12000</v>
      </c>
    </row>
    <row r="4" spans="1:18" x14ac:dyDescent="0.4">
      <c r="A4" s="19" t="s">
        <v>6</v>
      </c>
      <c r="B4" s="137">
        <v>40.700000000000003</v>
      </c>
      <c r="C4" s="138"/>
      <c r="E4" s="27" t="s">
        <v>72</v>
      </c>
      <c r="F4" s="24" t="s">
        <v>27</v>
      </c>
      <c r="G4" s="12">
        <v>11</v>
      </c>
      <c r="H4" s="88">
        <f>IF(B$20=0,0,G4/B$20)</f>
        <v>0.55000000000000004</v>
      </c>
      <c r="I4" s="58">
        <v>2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-585.71428571428567</v>
      </c>
      <c r="Q4" s="77">
        <v>7</v>
      </c>
      <c r="R4" s="64">
        <v>-4100</v>
      </c>
    </row>
    <row r="5" spans="1:18" x14ac:dyDescent="0.4">
      <c r="A5" s="19" t="s">
        <v>7</v>
      </c>
      <c r="B5" s="125">
        <f>IF(B$2=0,0,B$4/B$2)</f>
        <v>4.5222222222222221</v>
      </c>
      <c r="C5" s="126"/>
      <c r="E5" s="27" t="s">
        <v>159</v>
      </c>
      <c r="F5" s="24" t="s">
        <v>160</v>
      </c>
      <c r="G5" s="12">
        <v>8</v>
      </c>
      <c r="H5" s="88">
        <f>IF(B$20=0,0,G5/B$20)</f>
        <v>0.4</v>
      </c>
      <c r="I5" s="58">
        <v>2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3485.7142857142858</v>
      </c>
      <c r="Q5" s="77">
        <v>7</v>
      </c>
      <c r="R5" s="64">
        <v>24400</v>
      </c>
    </row>
    <row r="6" spans="1:18" x14ac:dyDescent="0.4">
      <c r="A6" s="19" t="s">
        <v>195</v>
      </c>
      <c r="B6" s="129">
        <v>1613.3226961858495</v>
      </c>
      <c r="C6" s="130"/>
      <c r="E6" s="27" t="s">
        <v>68</v>
      </c>
      <c r="F6" s="24" t="s">
        <v>12</v>
      </c>
      <c r="G6" s="12">
        <v>7</v>
      </c>
      <c r="H6" s="88">
        <f>IF(B$20=0,0,G6/B$20)</f>
        <v>0.35</v>
      </c>
      <c r="I6" s="58">
        <v>2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650</v>
      </c>
      <c r="Q6" s="77">
        <v>6</v>
      </c>
      <c r="R6" s="64">
        <v>3900</v>
      </c>
    </row>
    <row r="7" spans="1:18" x14ac:dyDescent="0.4">
      <c r="A7" s="19" t="s">
        <v>1</v>
      </c>
      <c r="B7" s="139">
        <f>IF(B$2=0,0,(B$8*1+B$9*2+B$10*3)/B$2)</f>
        <v>1.8888888888888888</v>
      </c>
      <c r="C7" s="140"/>
      <c r="E7" s="27" t="s">
        <v>69</v>
      </c>
      <c r="F7" s="24" t="s">
        <v>24</v>
      </c>
      <c r="G7" s="12">
        <v>5</v>
      </c>
      <c r="H7" s="88">
        <f>IF(B$20=0,0,G7/B$20)</f>
        <v>0.25</v>
      </c>
      <c r="I7" s="58">
        <v>1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-4125</v>
      </c>
      <c r="Q7" s="78">
        <v>4</v>
      </c>
      <c r="R7" s="65">
        <v>-16500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0.22222222222222221</v>
      </c>
      <c r="E8" s="27" t="s">
        <v>89</v>
      </c>
      <c r="F8" s="24" t="s">
        <v>44</v>
      </c>
      <c r="G8" s="12">
        <v>5</v>
      </c>
      <c r="H8" s="88">
        <f>IF(B$20=0,0,G8/B$20)</f>
        <v>0.25</v>
      </c>
      <c r="I8" s="58">
        <v>1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0.66666666666666663</v>
      </c>
      <c r="E9" s="27" t="s">
        <v>70</v>
      </c>
      <c r="F9" s="24" t="s">
        <v>25</v>
      </c>
      <c r="G9" s="12">
        <v>4</v>
      </c>
      <c r="H9" s="88">
        <f>IF(B$20=0,0,G9/B$20)</f>
        <v>0.2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0.1111111111111111</v>
      </c>
      <c r="E10" s="27" t="s">
        <v>71</v>
      </c>
      <c r="F10" s="24" t="s">
        <v>26</v>
      </c>
      <c r="G10" s="12">
        <v>3</v>
      </c>
      <c r="H10" s="88">
        <f>IF(B$20=0,0,G10/B$20)</f>
        <v>0.15</v>
      </c>
      <c r="I10" s="58">
        <v>1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32.133333333333333</v>
      </c>
      <c r="Q10" s="76">
        <v>3</v>
      </c>
      <c r="R10" s="67">
        <v>96.4</v>
      </c>
    </row>
    <row r="11" spans="1:18" x14ac:dyDescent="0.4">
      <c r="A11" s="20" t="s">
        <v>184</v>
      </c>
      <c r="B11" s="109">
        <f>IF(B8=0,0,C11/B8)</f>
        <v>50.85</v>
      </c>
      <c r="C11" s="110">
        <v>101.7</v>
      </c>
      <c r="E11" s="27" t="s">
        <v>65</v>
      </c>
      <c r="F11" s="24" t="s">
        <v>21</v>
      </c>
      <c r="G11" s="12">
        <v>2</v>
      </c>
      <c r="H11" s="88">
        <f>IF(B$20=0,0,G11/B$20)</f>
        <v>0.1</v>
      </c>
      <c r="I11" s="58">
        <v>3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-0.8999999999999998</v>
      </c>
      <c r="Q11" s="77">
        <v>4</v>
      </c>
      <c r="R11" s="68">
        <v>-3.5999999999999992</v>
      </c>
    </row>
    <row r="12" spans="1:18" x14ac:dyDescent="0.4">
      <c r="A12" s="20" t="s">
        <v>185</v>
      </c>
      <c r="B12" s="109">
        <f>IF(B9=0,0,C12/B9)</f>
        <v>-6.5666666666666664</v>
      </c>
      <c r="C12" s="110">
        <v>-39.4</v>
      </c>
      <c r="E12" s="27" t="s">
        <v>67</v>
      </c>
      <c r="F12" s="24" t="s">
        <v>23</v>
      </c>
      <c r="G12" s="12">
        <v>2</v>
      </c>
      <c r="H12" s="88">
        <f>IF(B$20=0,0,G12/B$20)</f>
        <v>0.1</v>
      </c>
      <c r="I12" s="58">
        <v>4</v>
      </c>
      <c r="O12" s="75" t="s">
        <v>153</v>
      </c>
      <c r="P12" s="84">
        <f>IF(Q12=0,0,R12/Q12)</f>
        <v>-26.05</v>
      </c>
      <c r="Q12" s="78">
        <v>2</v>
      </c>
      <c r="R12" s="69">
        <v>-52.1</v>
      </c>
    </row>
    <row r="13" spans="1:18" x14ac:dyDescent="0.4">
      <c r="A13" s="20" t="s">
        <v>186</v>
      </c>
      <c r="B13" s="109">
        <f>IF(B10=0,0,C13/B10)</f>
        <v>-21.6</v>
      </c>
      <c r="C13" s="110">
        <v>-21.6</v>
      </c>
      <c r="E13" s="27" t="s">
        <v>86</v>
      </c>
      <c r="F13" s="24" t="s">
        <v>41</v>
      </c>
      <c r="G13" s="12">
        <v>1</v>
      </c>
      <c r="H13" s="88">
        <f>IF(B$20=0,0,G13/B$20)</f>
        <v>0.05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7.56111111111111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18</v>
      </c>
      <c r="C16" s="10">
        <f>IF(B$3=0,0,B16/B$3)</f>
        <v>0.27272727272727271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</v>
      </c>
      <c r="O16" s="74" t="s">
        <v>192</v>
      </c>
      <c r="P16" s="83">
        <f>IF(Q16=0,0,R16/Q16)</f>
        <v>-2.6500000000000008</v>
      </c>
      <c r="Q16" s="77">
        <v>6</v>
      </c>
      <c r="R16" s="68">
        <v>-15.900000000000004</v>
      </c>
    </row>
    <row r="17" spans="1:18" x14ac:dyDescent="0.4">
      <c r="A17" s="19" t="s">
        <v>118</v>
      </c>
      <c r="B17" s="12">
        <v>14</v>
      </c>
      <c r="C17" s="6">
        <f>IF(B$3=0,0,B17/B$3)</f>
        <v>0.21212121212121213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-2.7111111111111099</v>
      </c>
      <c r="Q17" s="77">
        <v>9</v>
      </c>
      <c r="R17" s="68">
        <v>-24.399999999999988</v>
      </c>
    </row>
    <row r="18" spans="1:18" x14ac:dyDescent="0.4">
      <c r="A18" s="18" t="s">
        <v>123</v>
      </c>
      <c r="B18" s="11">
        <f>B24</f>
        <v>11</v>
      </c>
      <c r="C18" s="5">
        <f>IF(B$16=0,0,B18/B$16)</f>
        <v>0.61111111111111116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0.2857142857142857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20</v>
      </c>
      <c r="C20" s="5">
        <f>IF(B$3=0,0,B20/B$3)</f>
        <v>0.30303030303030304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9</v>
      </c>
      <c r="C21" s="6">
        <f>IF(B$3=0,0,B21/B$3)</f>
        <v>0.13636363636363635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0.45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11</v>
      </c>
      <c r="C23" s="6">
        <f>IF(B$20=0,0,B23/B$20)</f>
        <v>0.55000000000000004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11</v>
      </c>
      <c r="C24" s="6">
        <f>IF(B$20=0,0,B24/B$20)</f>
        <v>0.55000000000000004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4</v>
      </c>
    </row>
    <row r="25" spans="1:18" x14ac:dyDescent="0.4">
      <c r="A25" s="19" t="s">
        <v>181</v>
      </c>
      <c r="B25" s="12">
        <v>4</v>
      </c>
      <c r="C25" s="6">
        <f>IF(B$20=0,0,B25/B$20)</f>
        <v>0.2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5</v>
      </c>
      <c r="C26" s="6">
        <f>IF(B$20=0,0,B26/B$20)</f>
        <v>0.25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8655</v>
      </c>
      <c r="C27" s="8">
        <v>173100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8356.25</v>
      </c>
      <c r="C28" s="96">
        <v>133700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9850</v>
      </c>
      <c r="C29" s="96">
        <v>39400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-6144.4444444444443</v>
      </c>
      <c r="C30" s="96">
        <v>-55300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76100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0.05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0.05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8</v>
      </c>
      <c r="C40" s="6">
        <f t="shared" si="2"/>
        <v>0.4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0.05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0.1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65196-2121-41FB-8269-573E9227E17C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19</v>
      </c>
      <c r="H2" s="87">
        <f>IF(B$20=0,0,G2/B$20)</f>
        <v>0.73076923076923073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-2300</v>
      </c>
      <c r="Q2" s="76">
        <v>9</v>
      </c>
      <c r="R2" s="63">
        <v>-20700</v>
      </c>
    </row>
    <row r="3" spans="1:18" x14ac:dyDescent="0.4">
      <c r="A3" s="19" t="s">
        <v>8</v>
      </c>
      <c r="B3" s="135">
        <v>66</v>
      </c>
      <c r="C3" s="136"/>
      <c r="E3" s="27" t="s">
        <v>64</v>
      </c>
      <c r="F3" s="24" t="s">
        <v>20</v>
      </c>
      <c r="G3" s="12">
        <v>13</v>
      </c>
      <c r="H3" s="88">
        <f>IF(B$20=0,0,G3/B$20)</f>
        <v>0.5</v>
      </c>
      <c r="I3" s="58">
        <v>2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8300</v>
      </c>
      <c r="Q3" s="77">
        <v>9</v>
      </c>
      <c r="R3" s="64">
        <v>74700</v>
      </c>
    </row>
    <row r="4" spans="1:18" x14ac:dyDescent="0.4">
      <c r="A4" s="19" t="s">
        <v>6</v>
      </c>
      <c r="B4" s="137">
        <v>65.100000000000009</v>
      </c>
      <c r="C4" s="138"/>
      <c r="E4" s="27" t="s">
        <v>68</v>
      </c>
      <c r="F4" s="24" t="s">
        <v>12</v>
      </c>
      <c r="G4" s="12">
        <v>10</v>
      </c>
      <c r="H4" s="88">
        <f>IF(B$20=0,0,G4/B$20)</f>
        <v>0.38461538461538464</v>
      </c>
      <c r="I4" s="58">
        <v>1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-3228.5714285714284</v>
      </c>
      <c r="Q4" s="77">
        <v>7</v>
      </c>
      <c r="R4" s="64">
        <v>-22600</v>
      </c>
    </row>
    <row r="5" spans="1:18" x14ac:dyDescent="0.4">
      <c r="A5" s="19" t="s">
        <v>7</v>
      </c>
      <c r="B5" s="125">
        <f>IF(B$2=0,0,B$4/B$2)</f>
        <v>7.2333333333333343</v>
      </c>
      <c r="C5" s="126"/>
      <c r="E5" s="27" t="s">
        <v>159</v>
      </c>
      <c r="F5" s="24" t="s">
        <v>160</v>
      </c>
      <c r="G5" s="12">
        <v>10</v>
      </c>
      <c r="H5" s="88">
        <f>IF(B$20=0,0,G5/B$20)</f>
        <v>0.38461538461538464</v>
      </c>
      <c r="I5" s="58">
        <v>5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-3871.4285714285716</v>
      </c>
      <c r="Q5" s="77">
        <v>7</v>
      </c>
      <c r="R5" s="64">
        <v>-27100</v>
      </c>
    </row>
    <row r="6" spans="1:18" x14ac:dyDescent="0.4">
      <c r="A6" s="19" t="s">
        <v>195</v>
      </c>
      <c r="B6" s="129">
        <v>1762.2465184026232</v>
      </c>
      <c r="C6" s="130"/>
      <c r="E6" s="27" t="s">
        <v>72</v>
      </c>
      <c r="F6" s="24" t="s">
        <v>27</v>
      </c>
      <c r="G6" s="12">
        <v>7</v>
      </c>
      <c r="H6" s="88">
        <f>IF(B$20=0,0,G6/B$20)</f>
        <v>0.26923076923076922</v>
      </c>
      <c r="I6" s="58">
        <v>5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2266.6666666666665</v>
      </c>
      <c r="Q6" s="77">
        <v>6</v>
      </c>
      <c r="R6" s="64">
        <v>13600</v>
      </c>
    </row>
    <row r="7" spans="1:18" x14ac:dyDescent="0.4">
      <c r="A7" s="19" t="s">
        <v>1</v>
      </c>
      <c r="B7" s="139">
        <f>IF(B$2=0,0,(B$8*1+B$9*2+B$10*3)/B$2)</f>
        <v>1.7777777777777777</v>
      </c>
      <c r="C7" s="140"/>
      <c r="E7" s="27" t="s">
        <v>86</v>
      </c>
      <c r="F7" s="24" t="s">
        <v>41</v>
      </c>
      <c r="G7" s="12">
        <v>5</v>
      </c>
      <c r="H7" s="88">
        <f>IF(B$20=0,0,G7/B$20)</f>
        <v>0.19230769230769232</v>
      </c>
      <c r="I7" s="58">
        <v>1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6800</v>
      </c>
      <c r="Q7" s="78">
        <v>4</v>
      </c>
      <c r="R7" s="65">
        <v>27200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0.55555555555555558</v>
      </c>
      <c r="E8" s="27" t="s">
        <v>65</v>
      </c>
      <c r="F8" s="24" t="s">
        <v>21</v>
      </c>
      <c r="G8" s="12">
        <v>4</v>
      </c>
      <c r="H8" s="88">
        <f>IF(B$20=0,0,G8/B$20)</f>
        <v>0.15384615384615385</v>
      </c>
      <c r="I8" s="58">
        <v>1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0.1111111111111111</v>
      </c>
      <c r="E9" s="27" t="s">
        <v>67</v>
      </c>
      <c r="F9" s="24" t="s">
        <v>23</v>
      </c>
      <c r="G9" s="12">
        <v>4</v>
      </c>
      <c r="H9" s="88">
        <f>IF(B$20=0,0,G9/B$20)</f>
        <v>0.15384615384615385</v>
      </c>
      <c r="I9" s="58">
        <v>1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0.33333333333333331</v>
      </c>
      <c r="E10" s="27" t="s">
        <v>69</v>
      </c>
      <c r="F10" s="24" t="s">
        <v>24</v>
      </c>
      <c r="G10" s="12">
        <v>4</v>
      </c>
      <c r="H10" s="88">
        <f>IF(B$20=0,0,G10/B$20)</f>
        <v>0.15384615384615385</v>
      </c>
      <c r="I10" s="58">
        <v>4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-9.375</v>
      </c>
      <c r="Q10" s="76">
        <v>4</v>
      </c>
      <c r="R10" s="67">
        <v>-37.5</v>
      </c>
    </row>
    <row r="11" spans="1:18" x14ac:dyDescent="0.4">
      <c r="A11" s="20" t="s">
        <v>184</v>
      </c>
      <c r="B11" s="109">
        <f>IF(B8=0,0,C11/B8)</f>
        <v>36.08</v>
      </c>
      <c r="C11" s="110">
        <v>180.4</v>
      </c>
      <c r="E11" s="27" t="s">
        <v>89</v>
      </c>
      <c r="F11" s="24" t="s">
        <v>44</v>
      </c>
      <c r="G11" s="12">
        <v>3</v>
      </c>
      <c r="H11" s="88">
        <f>IF(B$20=0,0,G11/B$20)</f>
        <v>0.11538461538461539</v>
      </c>
      <c r="I11" s="58">
        <v>4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31.233333333333334</v>
      </c>
      <c r="Q11" s="77">
        <v>3</v>
      </c>
      <c r="R11" s="68">
        <v>93.7</v>
      </c>
    </row>
    <row r="12" spans="1:18" x14ac:dyDescent="0.4">
      <c r="A12" s="20" t="s">
        <v>185</v>
      </c>
      <c r="B12" s="109">
        <f>IF(B9=0,0,C12/B9)</f>
        <v>-4.5999999999999996</v>
      </c>
      <c r="C12" s="110">
        <v>-4.5999999999999996</v>
      </c>
      <c r="E12" s="27" t="s">
        <v>70</v>
      </c>
      <c r="F12" s="24" t="s">
        <v>25</v>
      </c>
      <c r="G12" s="12">
        <v>1</v>
      </c>
      <c r="H12" s="88">
        <f>IF(B$20=0,0,G12/B$20)</f>
        <v>3.8461538461538464E-2</v>
      </c>
      <c r="I12" s="58">
        <v>4</v>
      </c>
      <c r="O12" s="75" t="s">
        <v>153</v>
      </c>
      <c r="P12" s="84">
        <f>IF(Q12=0,0,R12/Q12)</f>
        <v>4.4500000000000028</v>
      </c>
      <c r="Q12" s="78">
        <v>2</v>
      </c>
      <c r="R12" s="69">
        <v>8.9000000000000057</v>
      </c>
    </row>
    <row r="13" spans="1:18" x14ac:dyDescent="0.4">
      <c r="A13" s="20" t="s">
        <v>186</v>
      </c>
      <c r="B13" s="109">
        <f>IF(B10=0,0,C13/B10)</f>
        <v>-36.9</v>
      </c>
      <c r="C13" s="110">
        <v>-110.7</v>
      </c>
      <c r="E13" s="27" t="s">
        <v>71</v>
      </c>
      <c r="F13" s="24" t="s">
        <v>26</v>
      </c>
      <c r="G13" s="12">
        <v>1</v>
      </c>
      <c r="H13" s="88">
        <f>IF(B$20=0,0,G13/B$20)</f>
        <v>3.8461538461538464E-2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-1.8066666666666673</v>
      </c>
      <c r="C14" s="126"/>
      <c r="E14" s="27" t="s">
        <v>78</v>
      </c>
      <c r="F14" s="24" t="s">
        <v>33</v>
      </c>
      <c r="G14" s="12">
        <v>1</v>
      </c>
      <c r="H14" s="88">
        <f>IF(B$20=0,0,G14/B$20)</f>
        <v>3.8461538461538464E-2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3.8461538461538464E-2</v>
      </c>
      <c r="I15" s="58">
        <v>1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21</v>
      </c>
      <c r="C16" s="10">
        <f>IF(B$3=0,0,B16/B$3)</f>
        <v>0.31818181818181818</v>
      </c>
      <c r="E16" s="27" t="s">
        <v>83</v>
      </c>
      <c r="F16" s="24" t="s">
        <v>38</v>
      </c>
      <c r="G16" s="12">
        <v>1</v>
      </c>
      <c r="H16" s="88">
        <f>IF(B$20=0,0,G16/B$20)</f>
        <v>3.8461538461538464E-2</v>
      </c>
      <c r="I16" s="58">
        <v>2</v>
      </c>
      <c r="O16" s="74" t="s">
        <v>163</v>
      </c>
      <c r="P16" s="83">
        <f>IF(Q16=0,0,R16/Q16)</f>
        <v>2.7111111111111104</v>
      </c>
      <c r="Q16" s="77">
        <v>9</v>
      </c>
      <c r="R16" s="68">
        <v>24.399999999999991</v>
      </c>
    </row>
    <row r="17" spans="1:18" x14ac:dyDescent="0.4">
      <c r="A17" s="19" t="s">
        <v>118</v>
      </c>
      <c r="B17" s="12">
        <v>11</v>
      </c>
      <c r="C17" s="6">
        <f>IF(B$3=0,0,B17/B$3)</f>
        <v>0.16666666666666666</v>
      </c>
      <c r="E17" s="27" t="s">
        <v>88</v>
      </c>
      <c r="F17" s="24" t="s">
        <v>43</v>
      </c>
      <c r="G17" s="12">
        <v>1</v>
      </c>
      <c r="H17" s="88">
        <f>IF(B$20=0,0,G17/B$20)</f>
        <v>3.8461538461538464E-2</v>
      </c>
      <c r="I17" s="58">
        <v>1</v>
      </c>
      <c r="O17" s="74" t="s">
        <v>192</v>
      </c>
      <c r="P17" s="83">
        <f>IF(Q17=0,0,R17/Q17)</f>
        <v>-1.150000000000001</v>
      </c>
      <c r="Q17" s="77">
        <v>6</v>
      </c>
      <c r="R17" s="68">
        <v>-6.9000000000000057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0.61904761904761907</v>
      </c>
      <c r="E18" s="27" t="s">
        <v>93</v>
      </c>
      <c r="F18" s="24" t="s">
        <v>48</v>
      </c>
      <c r="G18" s="12">
        <v>1</v>
      </c>
      <c r="H18" s="88">
        <f>IF(B$20=0,0,G18/B$20)</f>
        <v>3.8461538461538464E-2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0.36363636363636365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0.39393939393939392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14</v>
      </c>
      <c r="C21" s="6">
        <f>IF(B$3=0,0,B21/B$3)</f>
        <v>0.21212121212121213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13</v>
      </c>
      <c r="C22" s="6">
        <f>IF(B$20=0,0,B22/B$20)</f>
        <v>0.5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13</v>
      </c>
      <c r="C24" s="6">
        <f>IF(B$20=0,0,B24/B$20)</f>
        <v>0.5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0.15384615384615385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9</v>
      </c>
      <c r="C26" s="6">
        <f>IF(B$20=0,0,B26/B$20)</f>
        <v>0.34615384615384615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9076.9230769230762</v>
      </c>
      <c r="C27" s="8">
        <v>236000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9409.0909090909099</v>
      </c>
      <c r="C28" s="96">
        <v>207000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7250</v>
      </c>
      <c r="C29" s="96">
        <v>29000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-7971.4285714285716</v>
      </c>
      <c r="C30" s="96">
        <v>-111600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11</v>
      </c>
      <c r="C32" s="90">
        <v>11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101500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4</v>
      </c>
      <c r="C37" s="98">
        <f t="shared" ref="C37:C49" si="2">IF(B$20=0,0,B37/B$20)</f>
        <v>0.15384615384615385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7.6923076923076927E-2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4</v>
      </c>
      <c r="C39" s="6">
        <f t="shared" si="2"/>
        <v>0.15384615384615385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5</v>
      </c>
      <c r="C40" s="6">
        <f t="shared" si="2"/>
        <v>0.19230769230769232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4</v>
      </c>
      <c r="C41" s="6">
        <f t="shared" si="2"/>
        <v>0.15384615384615385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2"/>
        <v>0.15384615384615385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3.8461538461538464E-2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3.8461538461538464E-2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331E-D168-4E08-AF9F-F5380CA191C2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5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5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5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5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5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5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4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1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4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3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4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4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5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2625-0FED-49C8-B51C-7B82A7E7C60B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1.0666666666666667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800</v>
      </c>
      <c r="Q2" s="76">
        <v>6</v>
      </c>
      <c r="R2" s="63">
        <v>4800</v>
      </c>
    </row>
    <row r="3" spans="1:18" x14ac:dyDescent="0.4">
      <c r="A3" s="19" t="s">
        <v>8</v>
      </c>
      <c r="B3" s="135">
        <v>49</v>
      </c>
      <c r="C3" s="136"/>
      <c r="E3" s="27" t="s">
        <v>64</v>
      </c>
      <c r="F3" s="24" t="s">
        <v>20</v>
      </c>
      <c r="G3" s="12">
        <v>6</v>
      </c>
      <c r="H3" s="88">
        <f>IF(B$20=0,0,G3/B$20)</f>
        <v>0.4</v>
      </c>
      <c r="I3" s="58">
        <v>4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-4083.3333333333335</v>
      </c>
      <c r="Q3" s="77">
        <v>6</v>
      </c>
      <c r="R3" s="64">
        <v>-24500</v>
      </c>
    </row>
    <row r="4" spans="1:18" x14ac:dyDescent="0.4">
      <c r="A4" s="19" t="s">
        <v>6</v>
      </c>
      <c r="B4" s="137">
        <v>7.6000000000000014</v>
      </c>
      <c r="C4" s="138"/>
      <c r="E4" s="27" t="s">
        <v>72</v>
      </c>
      <c r="F4" s="24" t="s">
        <v>27</v>
      </c>
      <c r="G4" s="12">
        <v>6</v>
      </c>
      <c r="H4" s="88">
        <f>IF(B$20=0,0,G4/B$20)</f>
        <v>0.4</v>
      </c>
      <c r="I4" s="58">
        <v>4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7420</v>
      </c>
      <c r="Q4" s="77">
        <v>5</v>
      </c>
      <c r="R4" s="64">
        <v>37100</v>
      </c>
    </row>
    <row r="5" spans="1:18" x14ac:dyDescent="0.4">
      <c r="A5" s="19" t="s">
        <v>7</v>
      </c>
      <c r="B5" s="125">
        <f>IF(B$2=0,0,B$4/B$2)</f>
        <v>1.2666666666666668</v>
      </c>
      <c r="C5" s="126"/>
      <c r="E5" s="27" t="s">
        <v>159</v>
      </c>
      <c r="F5" s="24" t="s">
        <v>160</v>
      </c>
      <c r="G5" s="12">
        <v>6</v>
      </c>
      <c r="H5" s="88">
        <f>IF(B$20=0,0,G5/B$20)</f>
        <v>0.4</v>
      </c>
      <c r="I5" s="58">
        <v>2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1300</v>
      </c>
      <c r="Q5" s="77">
        <v>5</v>
      </c>
      <c r="R5" s="64">
        <v>6500</v>
      </c>
    </row>
    <row r="6" spans="1:18" x14ac:dyDescent="0.4">
      <c r="A6" s="19" t="s">
        <v>195</v>
      </c>
      <c r="B6" s="129">
        <v>1609.6808536744702</v>
      </c>
      <c r="C6" s="130"/>
      <c r="E6" s="27" t="s">
        <v>68</v>
      </c>
      <c r="F6" s="24" t="s">
        <v>12</v>
      </c>
      <c r="G6" s="12">
        <v>4</v>
      </c>
      <c r="H6" s="88">
        <f>IF(B$20=0,0,G6/B$20)</f>
        <v>0.26666666666666666</v>
      </c>
      <c r="I6" s="58">
        <v>4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-2625</v>
      </c>
      <c r="Q6" s="77">
        <v>4</v>
      </c>
      <c r="R6" s="64">
        <v>-10500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0.2</v>
      </c>
      <c r="I7" s="58">
        <v>2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-3566.6666666666665</v>
      </c>
      <c r="Q7" s="78">
        <v>3</v>
      </c>
      <c r="R7" s="65">
        <v>-10700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2</v>
      </c>
      <c r="H8" s="88">
        <f>IF(B$20=0,0,G8/B$20)</f>
        <v>0.13333333333333333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70</v>
      </c>
      <c r="F9" s="24" t="s">
        <v>25</v>
      </c>
      <c r="G9" s="12">
        <v>2</v>
      </c>
      <c r="H9" s="88">
        <f>IF(B$20=0,0,G9/B$20)</f>
        <v>0.13333333333333333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0.33333333333333331</v>
      </c>
      <c r="E10" s="27" t="s">
        <v>78</v>
      </c>
      <c r="F10" s="24" t="s">
        <v>33</v>
      </c>
      <c r="G10" s="12">
        <v>2</v>
      </c>
      <c r="H10" s="88">
        <f>IF(B$20=0,0,G10/B$20)</f>
        <v>0.13333333333333333</v>
      </c>
      <c r="I10" s="58">
        <v>1</v>
      </c>
      <c r="O10" s="73" t="s">
        <v>151</v>
      </c>
      <c r="P10" s="82">
        <f>IF(Q10=0,0,R10/Q10)</f>
        <v>-46</v>
      </c>
      <c r="Q10" s="76">
        <v>1</v>
      </c>
      <c r="R10" s="67">
        <v>-46</v>
      </c>
    </row>
    <row r="11" spans="1:18" x14ac:dyDescent="0.4">
      <c r="A11" s="20" t="s">
        <v>184</v>
      </c>
      <c r="B11" s="109">
        <f>IF(B8=0,0,C11/B8)</f>
        <v>40.450000000000003</v>
      </c>
      <c r="C11" s="110">
        <v>80.900000000000006</v>
      </c>
      <c r="E11" s="27" t="s">
        <v>89</v>
      </c>
      <c r="F11" s="24" t="s">
        <v>44</v>
      </c>
      <c r="G11" s="12">
        <v>2</v>
      </c>
      <c r="H11" s="88">
        <f>IF(B$20=0,0,G11/B$20)</f>
        <v>0.13333333333333333</v>
      </c>
      <c r="I11" s="58">
        <v>3</v>
      </c>
      <c r="O11" s="74" t="s">
        <v>152</v>
      </c>
      <c r="P11" s="83">
        <f>IF(Q11=0,0,R11/Q11)</f>
        <v>-4.6000000000000005</v>
      </c>
      <c r="Q11" s="77">
        <v>2</v>
      </c>
      <c r="R11" s="68">
        <v>-9.2000000000000011</v>
      </c>
    </row>
    <row r="12" spans="1:18" x14ac:dyDescent="0.4">
      <c r="A12" s="20" t="s">
        <v>185</v>
      </c>
      <c r="B12" s="109">
        <f>IF(B9=0,0,C12/B9)</f>
        <v>-4.6000000000000005</v>
      </c>
      <c r="C12" s="110">
        <v>-9.2000000000000011</v>
      </c>
      <c r="E12" s="27" t="s">
        <v>65</v>
      </c>
      <c r="F12" s="24" t="s">
        <v>21</v>
      </c>
      <c r="G12" s="12">
        <v>1</v>
      </c>
      <c r="H12" s="88">
        <f>IF(B$20=0,0,G12/B$20)</f>
        <v>6.6666666666666666E-2</v>
      </c>
      <c r="I12" s="58">
        <v>4</v>
      </c>
      <c r="O12" s="75" t="s">
        <v>153</v>
      </c>
      <c r="P12" s="84">
        <f>IF(Q12=0,0,R12/Q12)</f>
        <v>20.933333333333334</v>
      </c>
      <c r="Q12" s="78">
        <v>3</v>
      </c>
      <c r="R12" s="69">
        <v>62.8</v>
      </c>
    </row>
    <row r="13" spans="1:18" x14ac:dyDescent="0.4">
      <c r="A13" s="20" t="s">
        <v>186</v>
      </c>
      <c r="B13" s="109">
        <f>IF(B10=0,0,C13/B10)</f>
        <v>-32.049999999999997</v>
      </c>
      <c r="C13" s="110">
        <v>-64.099999999999994</v>
      </c>
      <c r="E13" s="27" t="s">
        <v>83</v>
      </c>
      <c r="F13" s="24" t="s">
        <v>38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1.2666666666666682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0.16666666666666666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2.6499999999999995</v>
      </c>
      <c r="Q15" s="76">
        <v>6</v>
      </c>
      <c r="R15" s="67">
        <v>15.899999999999997</v>
      </c>
    </row>
    <row r="16" spans="1:18" x14ac:dyDescent="0.4">
      <c r="A16" s="22" t="s">
        <v>121</v>
      </c>
      <c r="B16" s="15">
        <v>9</v>
      </c>
      <c r="C16" s="10">
        <f>IF(B$3=0,0,B16/B$3)</f>
        <v>0.18367346938775511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1.1499999999999986</v>
      </c>
      <c r="Q16" s="77">
        <v>6</v>
      </c>
      <c r="R16" s="68">
        <v>6.8999999999999915</v>
      </c>
    </row>
    <row r="17" spans="1:9" x14ac:dyDescent="0.4">
      <c r="A17" s="19" t="s">
        <v>118</v>
      </c>
      <c r="B17" s="12">
        <v>13</v>
      </c>
      <c r="C17" s="6">
        <f>IF(B$3=0,0,B17/B$3)</f>
        <v>0.26530612244897961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6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0.30612244897959184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3</v>
      </c>
      <c r="C21" s="6">
        <f>IF(B$3=0,0,B21/B$3)</f>
        <v>6.1224489795918366E-2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6</v>
      </c>
      <c r="C22" s="6">
        <f>IF(B$20=0,0,B22/B$20)</f>
        <v>0.4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3</v>
      </c>
    </row>
    <row r="23" spans="1:9" x14ac:dyDescent="0.4">
      <c r="A23" s="19" t="s">
        <v>11</v>
      </c>
      <c r="B23" s="12">
        <v>9</v>
      </c>
      <c r="C23" s="6">
        <f>IF(B$20=0,0,B23/B$20)</f>
        <v>0.6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6</v>
      </c>
      <c r="C24" s="6">
        <f>IF(B$20=0,0,B24/B$20)</f>
        <v>0.4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4</v>
      </c>
      <c r="C25" s="6">
        <f>IF(B$20=0,0,B25/B$20)</f>
        <v>0.26666666666666666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5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4</v>
      </c>
    </row>
    <row r="27" spans="1:9" x14ac:dyDescent="0.4">
      <c r="A27" s="19" t="s">
        <v>5</v>
      </c>
      <c r="B27" s="16">
        <f>IF(B$20=0,0,C27/B$20)</f>
        <v>7786.666666666667</v>
      </c>
      <c r="C27" s="8">
        <v>116800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7918.181818181818</v>
      </c>
      <c r="C28" s="96">
        <v>87100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166</v>
      </c>
      <c r="B29" s="95">
        <f>IF(B$19=0,0,C29/B$19)</f>
        <v>7425</v>
      </c>
      <c r="C29" s="96">
        <v>29700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-5066.666666666667</v>
      </c>
      <c r="C30" s="96">
        <v>-15200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6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27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6.6666666666666666E-2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2"/>
        <v>0.13333333333333333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6.6666666666666666E-2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6.6666666666666666E-2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9156F-F993-46D3-B558-1EDA12ADD1B3}">
  <sheetPr codeName="Sheet14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D55B-4A7C-4012-AE66-B3F556EE1EA8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C8A8-5DAF-461C-987B-4910EFA1A967}">
  <sheetPr codeName="Sheet10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1DCE-3F9A-4694-A3E6-99E8BAD80B6E}">
  <sheetPr codeName="Sheet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C779E-6377-4D46-A6AD-672C26425D89}">
  <sheetPr codeName="Sheet6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378</vt:i4>
      </vt:variant>
    </vt:vector>
  </HeadingPairs>
  <TitlesOfParts>
    <vt:vector size="40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2021-05-01T07:44:29Z</dcterms:modified>
</cp:coreProperties>
</file>