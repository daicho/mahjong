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"/>
    </mc:Choice>
  </mc:AlternateContent>
  <xr:revisionPtr revIDLastSave="0" documentId="13_ncr:1_{A9391656-2D2A-415F-A2DB-F9E62644A651}" xr6:coauthVersionLast="47" xr6:coauthVersionMax="47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170" r:id="rId6"/>
    <sheet name="れんたろう" sheetId="7172" r:id="rId7"/>
    <sheet name="だいち" sheetId="7174" r:id="rId8"/>
    <sheet name="ともき" sheetId="7176" r:id="rId9"/>
    <sheet name="ただ" sheetId="7178" r:id="rId10"/>
    <sheet name="りくと" sheetId="7180" r:id="rId11"/>
    <sheet name="ぱぱ" sheetId="7182" r:id="rId12"/>
    <sheet name="ぱぱ2" sheetId="7183" state="hidden" r:id="rId13"/>
    <sheet name="りくと2" sheetId="7181" state="hidden" r:id="rId14"/>
    <sheet name="ただ2" sheetId="7179" state="hidden" r:id="rId15"/>
    <sheet name="ともき2" sheetId="7177" state="hidden" r:id="rId16"/>
    <sheet name="だいち2" sheetId="7175" state="hidden" r:id="rId17"/>
    <sheet name="れんたろう2" sheetId="7173" state="hidden" r:id="rId18"/>
    <sheet name="全体2" sheetId="7171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11">ぱぱ!$B$20</definedName>
    <definedName name="アガリ数" localSheetId="10">りくと!$B$20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11">ぱぱ!$C$20</definedName>
    <definedName name="アガリ率" localSheetId="10">りくと!$C$20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11">ぱぱ!$B$26</definedName>
    <definedName name="ダマアガリ数" localSheetId="10">りくと!$B$26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11">ぱぱ!$C$26</definedName>
    <definedName name="ダマアガリ率" localSheetId="10">りくと!$C$26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11">ぱぱ!$B$35</definedName>
    <definedName name="チョンボ数" localSheetId="10">りくと!$B$35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11">ぱぱ!$C$35</definedName>
    <definedName name="チョンボ率" localSheetId="10">りくと!$C$35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11">ぱぱ!$B$22</definedName>
    <definedName name="ツモ数" localSheetId="10">りくと!$B$22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11">ぱぱ!$C$22</definedName>
    <definedName name="ツモ率" localSheetId="10">りくと!$C$22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11">ぱぱ!$B$8</definedName>
    <definedName name="トップ数" localSheetId="10">りくと!$B$8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11">ぱぱ!$C$8</definedName>
    <definedName name="トップ率" localSheetId="10">りくと!$C$8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11">ぱぱ!$B$14</definedName>
    <definedName name="バランス" localSheetId="10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11">ぱぱ!$B$15</definedName>
    <definedName name="ふっとび数" localSheetId="10">りくと!$B$15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11">ぱぱ!$C$15</definedName>
    <definedName name="ふっとび率" localSheetId="10">りくと!$C$15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11">ぱぱ!$B$10</definedName>
    <definedName name="ラス数" localSheetId="10">りくと!$B$10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11">ぱぱ!$C$10</definedName>
    <definedName name="ラス率" localSheetId="10">りくと!$C$10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11">ぱぱ!$B$24</definedName>
    <definedName name="リーチアガリ数" localSheetId="10">りくと!$B$24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11">ぱぱ!$C$24</definedName>
    <definedName name="リーチアガリ率" localSheetId="10">りくと!$C$24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11">ぱぱ!$B$16</definedName>
    <definedName name="リーチ数" localSheetId="10">りくと!$B$16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11">ぱぱ!$B$18</definedName>
    <definedName name="リーチ成功数" localSheetId="10">りくと!$B$18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11">ぱぱ!$C$18</definedName>
    <definedName name="リーチ成功率" localSheetId="10">りくと!$C$18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11">ぱぱ!$C$16</definedName>
    <definedName name="リーチ率" localSheetId="10">りくと!$C$16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11">ぱぱ!$B$6</definedName>
    <definedName name="レーティング" localSheetId="10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11">ぱぱ!$B$23</definedName>
    <definedName name="ロン数" localSheetId="10">りくと!$B$23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11">ぱぱ!$C$23</definedName>
    <definedName name="ロン率" localSheetId="10">りくと!$C$23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11">ぱぱ!$B$11</definedName>
    <definedName name="一位スコア" localSheetId="10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11">ぱぱ!$C$11</definedName>
    <definedName name="一位通算スコア" localSheetId="10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11">ぱぱ!$B$37</definedName>
    <definedName name="一翻数" localSheetId="10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11">ぱぱ!$C$37</definedName>
    <definedName name="一翻率" localSheetId="10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11">ぱぱ!$C$31</definedName>
    <definedName name="現行連続アガリ" localSheetId="10">りくと!$C$31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11">ぱぱ!$C$32</definedName>
    <definedName name="現行連続無放銃" localSheetId="10">りくと!$C$32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11">ぱぱ!$B$34</definedName>
    <definedName name="最高点" localSheetId="10">りくと!$B$34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11">ぱぱ!$B$33</definedName>
    <definedName name="最大ドラ数" localSheetId="10">りくと!$B$33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11">ぱぱ!$B$34</definedName>
    <definedName name="最大点数" localSheetId="10">りくと!$B$34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11">ぱぱ!$B$13</definedName>
    <definedName name="三位スコア" localSheetId="10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11">ぱぱ!$C$13</definedName>
    <definedName name="三位通算スコア" localSheetId="10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11">ぱぱ!$B$3</definedName>
    <definedName name="総局数" localSheetId="10">りくと!$B$3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11">ぱぱ!$B$2</definedName>
    <definedName name="対戦数" localSheetId="10">りくと!$B$2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11">ぱぱ!$C$27</definedName>
    <definedName name="通算アガリ点" localSheetId="10">りくと!$C$27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11">ぱぱ!$B$4</definedName>
    <definedName name="通算スコア" localSheetId="10">りくと!$B$4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11">ぱぱ!$C$29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11">ぱぱ!$C$30</definedName>
    <definedName name="通算放銃点" localSheetId="10">りくと!$C$30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11">ぱぱ!$C$28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11">ぱぱ!$B$12</definedName>
    <definedName name="二位スコア" localSheetId="10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11">ぱぱ!$B$9</definedName>
    <definedName name="二位数" localSheetId="10">りくと!$B$9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11">ぱぱ!$C$12</definedName>
    <definedName name="二位通算スコア" localSheetId="10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11">ぱぱ!$C$9</definedName>
    <definedName name="二位率" localSheetId="10">りくと!$C$9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11">ぱぱ!$B$25</definedName>
    <definedName name="副露アガリ数" localSheetId="10">りくと!$B$25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11">ぱぱ!$B$29</definedName>
    <definedName name="副露アガリ点" localSheetId="10">りくと!$B$29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11">ぱぱ!$C$25</definedName>
    <definedName name="副露アガリ率" localSheetId="10">りくと!$C$25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11">ぱぱ!$B$17</definedName>
    <definedName name="副露数" localSheetId="10">りくと!$B$17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11">ぱぱ!$B$19</definedName>
    <definedName name="副露成功数" localSheetId="10">りくと!$B$19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11">ぱぱ!$C$19</definedName>
    <definedName name="副露成功率" localSheetId="10">りくと!$C$19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11">ぱぱ!$C$17</definedName>
    <definedName name="副露率" localSheetId="10">りくと!$C$17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11">ぱぱ!$B$27</definedName>
    <definedName name="平均アガリ点" localSheetId="10">りくと!$B$27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11">ぱぱ!$B$5</definedName>
    <definedName name="平均スコア" localSheetId="10">りくと!$B$5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11">ぱぱ!$B$7</definedName>
    <definedName name="平均順位" localSheetId="10">りくと!$B$7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11">ぱぱ!$B$30</definedName>
    <definedName name="平均放銃点" localSheetId="10">りくと!$B$30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11">ぱぱ!$B$21</definedName>
    <definedName name="放銃数" localSheetId="10">りくと!$B$21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11">ぱぱ!$C$21</definedName>
    <definedName name="放銃率" localSheetId="10">りくと!$C$21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11">ぱぱ!$B$1</definedName>
    <definedName name="名前" localSheetId="10">りくと!$B$1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11">ぱぱ!$B$28</definedName>
    <definedName name="門前アガリ点" localSheetId="10">りくと!$B$28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11">ぱぱ!$B$31</definedName>
    <definedName name="連続アガリ" localSheetId="10">りくと!$B$31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11">ぱぱ!$B$32</definedName>
    <definedName name="連続無放銃" localSheetId="10">りくと!$B$32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9" i="7172" l="1"/>
  <c r="P16" i="7182"/>
  <c r="P15" i="7182" l="1"/>
  <c r="P17" i="7182"/>
  <c r="C35" i="7182"/>
  <c r="B30" i="7182"/>
  <c r="C21" i="7182"/>
  <c r="B20" i="7182"/>
  <c r="H51" i="7182" s="1"/>
  <c r="B19" i="7182"/>
  <c r="B29" i="7182" s="1"/>
  <c r="B18" i="7182"/>
  <c r="C18" i="7182" s="1"/>
  <c r="C17" i="7182"/>
  <c r="C16" i="7182"/>
  <c r="C15" i="7182"/>
  <c r="B13" i="7182"/>
  <c r="P12" i="7182"/>
  <c r="B12" i="7182"/>
  <c r="P11" i="7182"/>
  <c r="B11" i="7182"/>
  <c r="P10" i="7182"/>
  <c r="C10" i="7182"/>
  <c r="C9" i="7182"/>
  <c r="C8" i="7182"/>
  <c r="P7" i="7182"/>
  <c r="B7" i="7182"/>
  <c r="P6" i="7182"/>
  <c r="P5" i="7182"/>
  <c r="B5" i="7182"/>
  <c r="P4" i="7182"/>
  <c r="P3" i="7182"/>
  <c r="P2" i="7182"/>
  <c r="P18" i="7178"/>
  <c r="P18" i="7174"/>
  <c r="P19" i="7170"/>
  <c r="C19" i="7182" l="1"/>
  <c r="B14" i="7182"/>
  <c r="C20" i="7182"/>
  <c r="H5" i="7182"/>
  <c r="H30" i="7182"/>
  <c r="H13" i="7182"/>
  <c r="H34" i="7182"/>
  <c r="C38" i="7182"/>
  <c r="C42" i="7182"/>
  <c r="C46" i="7182"/>
  <c r="H21" i="7182"/>
  <c r="H2" i="7182"/>
  <c r="H8" i="7182"/>
  <c r="H23" i="7182"/>
  <c r="H26" i="7182"/>
  <c r="C24" i="7182"/>
  <c r="B28" i="7182"/>
  <c r="H35" i="7182"/>
  <c r="H40" i="7182"/>
  <c r="H44" i="7182"/>
  <c r="H48" i="7182"/>
  <c r="H4" i="7182"/>
  <c r="H28" i="7182"/>
  <c r="H12" i="7182"/>
  <c r="H32" i="7182"/>
  <c r="H36" i="7182"/>
  <c r="C39" i="7182"/>
  <c r="C43" i="7182"/>
  <c r="C47" i="7182"/>
  <c r="H52" i="7182"/>
  <c r="H22" i="7182"/>
  <c r="H24" i="7182"/>
  <c r="C25" i="7182"/>
  <c r="H41" i="7182"/>
  <c r="H45" i="7182"/>
  <c r="H49" i="7182"/>
  <c r="H7" i="7182"/>
  <c r="H9" i="7182"/>
  <c r="H27" i="7182"/>
  <c r="H14" i="7182"/>
  <c r="H20" i="7182"/>
  <c r="H18" i="7182"/>
  <c r="H37" i="7182"/>
  <c r="C40" i="7182"/>
  <c r="C44" i="7182"/>
  <c r="C48" i="7182"/>
  <c r="H3" i="7182"/>
  <c r="H25" i="7182"/>
  <c r="C22" i="7182"/>
  <c r="C26" i="7182"/>
  <c r="H38" i="7182"/>
  <c r="H42" i="7182"/>
  <c r="H46" i="7182"/>
  <c r="H50" i="7182"/>
  <c r="H6" i="7182"/>
  <c r="H11" i="7182"/>
  <c r="H19" i="7182"/>
  <c r="H29" i="7182"/>
  <c r="H31" i="7182"/>
  <c r="H33" i="7182"/>
  <c r="C37" i="7182"/>
  <c r="C41" i="7182"/>
  <c r="C45" i="7182"/>
  <c r="C49" i="7182"/>
  <c r="H10" i="7182"/>
  <c r="H16" i="7182"/>
  <c r="H17" i="7182"/>
  <c r="C23" i="7182"/>
  <c r="B27" i="7182"/>
  <c r="H15" i="7182"/>
  <c r="H39" i="7182"/>
  <c r="H43" i="7182"/>
  <c r="H47" i="7182"/>
  <c r="P17" i="7172" l="1"/>
  <c r="P15" i="7180"/>
  <c r="P16" i="7174" l="1"/>
  <c r="P15" i="7178"/>
  <c r="P17" i="7170"/>
  <c r="P17" i="7180"/>
  <c r="P16" i="7180"/>
  <c r="C35" i="7180"/>
  <c r="B30" i="7180"/>
  <c r="C21" i="7180"/>
  <c r="B20" i="7180"/>
  <c r="C47" i="7180" s="1"/>
  <c r="B19" i="7180"/>
  <c r="B29" i="7180" s="1"/>
  <c r="B18" i="7180"/>
  <c r="C18" i="7180" s="1"/>
  <c r="C17" i="7180"/>
  <c r="C16" i="7180"/>
  <c r="C15" i="7180"/>
  <c r="B13" i="7180"/>
  <c r="P12" i="7180"/>
  <c r="B12" i="7180"/>
  <c r="P11" i="7180"/>
  <c r="B11" i="7180"/>
  <c r="P10" i="7180"/>
  <c r="C10" i="7180"/>
  <c r="C9" i="7180"/>
  <c r="H10" i="7180"/>
  <c r="C8" i="7180"/>
  <c r="P7" i="7180"/>
  <c r="B7" i="7180"/>
  <c r="P6" i="7180"/>
  <c r="P5" i="7180"/>
  <c r="B5" i="7180"/>
  <c r="P4" i="7180"/>
  <c r="P3" i="7180"/>
  <c r="P2" i="7180"/>
  <c r="C19" i="7180" l="1"/>
  <c r="B14" i="7180"/>
  <c r="C20" i="7180"/>
  <c r="H8" i="7180"/>
  <c r="C44" i="7180"/>
  <c r="H5" i="7180"/>
  <c r="H11" i="7180"/>
  <c r="H19" i="7180"/>
  <c r="H3" i="7180"/>
  <c r="H7" i="7180"/>
  <c r="H22" i="7180"/>
  <c r="H25" i="7180"/>
  <c r="C24" i="7180"/>
  <c r="B28" i="7180"/>
  <c r="H35" i="7180"/>
  <c r="H40" i="7180"/>
  <c r="H44" i="7180"/>
  <c r="H6" i="7180"/>
  <c r="H12" i="7180"/>
  <c r="H36" i="7180"/>
  <c r="H52" i="7180"/>
  <c r="H20" i="7180"/>
  <c r="H23" i="7180"/>
  <c r="C25" i="7180"/>
  <c r="H41" i="7180"/>
  <c r="H45" i="7180"/>
  <c r="H49" i="7180"/>
  <c r="H2" i="7180"/>
  <c r="H46" i="7180"/>
  <c r="H31" i="7180"/>
  <c r="C37" i="7180"/>
  <c r="C41" i="7180"/>
  <c r="C45" i="7180"/>
  <c r="H26" i="7180"/>
  <c r="H16" i="7180"/>
  <c r="H30" i="7180"/>
  <c r="H18" i="7180"/>
  <c r="H37" i="7180"/>
  <c r="C40" i="7180"/>
  <c r="C48" i="7180"/>
  <c r="H15" i="7180"/>
  <c r="C22" i="7180"/>
  <c r="C26" i="7180"/>
  <c r="H38" i="7180"/>
  <c r="H42" i="7180"/>
  <c r="H50" i="7180"/>
  <c r="H4" i="7180"/>
  <c r="H14" i="7180"/>
  <c r="H21" i="7180"/>
  <c r="H28" i="7180"/>
  <c r="H32" i="7180"/>
  <c r="C49" i="7180"/>
  <c r="H9" i="7180"/>
  <c r="H24" i="7180"/>
  <c r="H13" i="7180"/>
  <c r="C23" i="7180"/>
  <c r="B27" i="7180"/>
  <c r="H33" i="7180"/>
  <c r="H39" i="7180"/>
  <c r="H43" i="7180"/>
  <c r="H47" i="7180"/>
  <c r="H51" i="7180"/>
  <c r="H29" i="7180"/>
  <c r="H34" i="7180"/>
  <c r="C38" i="7180"/>
  <c r="C42" i="7180"/>
  <c r="C46" i="7180"/>
  <c r="H48" i="7180"/>
  <c r="H27" i="7180"/>
  <c r="H17" i="7180"/>
  <c r="C39" i="7180"/>
  <c r="C43" i="7180"/>
  <c r="P16" i="7172" l="1"/>
  <c r="P16" i="7178"/>
  <c r="P17" i="7178"/>
  <c r="C35" i="7178"/>
  <c r="B30" i="7178"/>
  <c r="C21" i="7178"/>
  <c r="B20" i="7178"/>
  <c r="H51" i="7178" s="1"/>
  <c r="B19" i="7178"/>
  <c r="B29" i="7178" s="1"/>
  <c r="B18" i="7178"/>
  <c r="C18" i="7178" s="1"/>
  <c r="C17" i="7178"/>
  <c r="C16" i="7178"/>
  <c r="C15" i="7178"/>
  <c r="B13" i="7178"/>
  <c r="P12" i="7178"/>
  <c r="B12" i="7178"/>
  <c r="P11" i="7178"/>
  <c r="B11" i="7178"/>
  <c r="P10" i="7178"/>
  <c r="C10" i="7178"/>
  <c r="C9" i="7178"/>
  <c r="C8" i="7178"/>
  <c r="P7" i="7178"/>
  <c r="B7" i="7178"/>
  <c r="P6" i="7178"/>
  <c r="P5" i="7178"/>
  <c r="B5" i="7178"/>
  <c r="P4" i="7178"/>
  <c r="P3" i="7178"/>
  <c r="P2" i="7178"/>
  <c r="P17" i="7174"/>
  <c r="P16" i="7170"/>
  <c r="C19" i="7178" l="1"/>
  <c r="B14" i="7178"/>
  <c r="C20" i="7178"/>
  <c r="H3" i="7178"/>
  <c r="C46" i="7178"/>
  <c r="H27" i="7178"/>
  <c r="H8" i="7178"/>
  <c r="H34" i="7178"/>
  <c r="C38" i="7178"/>
  <c r="C42" i="7178"/>
  <c r="H20" i="7178"/>
  <c r="H2" i="7178"/>
  <c r="H9" i="7178"/>
  <c r="H21" i="7178"/>
  <c r="H19" i="7178"/>
  <c r="C24" i="7178"/>
  <c r="B28" i="7178"/>
  <c r="H35" i="7178"/>
  <c r="H40" i="7178"/>
  <c r="H44" i="7178"/>
  <c r="H48" i="7178"/>
  <c r="H5" i="7178"/>
  <c r="H25" i="7178"/>
  <c r="H16" i="7178"/>
  <c r="H30" i="7178"/>
  <c r="H36" i="7178"/>
  <c r="C39" i="7178"/>
  <c r="C43" i="7178"/>
  <c r="C47" i="7178"/>
  <c r="H52" i="7178"/>
  <c r="H17" i="7178"/>
  <c r="H22" i="7178"/>
  <c r="C25" i="7178"/>
  <c r="H41" i="7178"/>
  <c r="H45" i="7178"/>
  <c r="H49" i="7178"/>
  <c r="H10" i="7178"/>
  <c r="C44" i="7178"/>
  <c r="H7" i="7178"/>
  <c r="H24" i="7178"/>
  <c r="H15" i="7178"/>
  <c r="H28" i="7178"/>
  <c r="H31" i="7178"/>
  <c r="H37" i="7178"/>
  <c r="C40" i="7178"/>
  <c r="C48" i="7178"/>
  <c r="H4" i="7178"/>
  <c r="H23" i="7178"/>
  <c r="C22" i="7178"/>
  <c r="C26" i="7178"/>
  <c r="H38" i="7178"/>
  <c r="H42" i="7178"/>
  <c r="H46" i="7178"/>
  <c r="H50" i="7178"/>
  <c r="H6" i="7178"/>
  <c r="H12" i="7178"/>
  <c r="H18" i="7178"/>
  <c r="H26" i="7178"/>
  <c r="H29" i="7178"/>
  <c r="H32" i="7178"/>
  <c r="C37" i="7178"/>
  <c r="C41" i="7178"/>
  <c r="C45" i="7178"/>
  <c r="C49" i="7178"/>
  <c r="H11" i="7178"/>
  <c r="H13" i="7178"/>
  <c r="H14" i="7178"/>
  <c r="C23" i="7178"/>
  <c r="B27" i="7178"/>
  <c r="H33" i="7178"/>
  <c r="H39" i="7178"/>
  <c r="H43" i="7178"/>
  <c r="H47" i="7178"/>
  <c r="P16" i="7176" l="1"/>
  <c r="P15" i="7176"/>
  <c r="C35" i="7176"/>
  <c r="B30" i="7176"/>
  <c r="C21" i="7176"/>
  <c r="B20" i="7176"/>
  <c r="H50" i="7176" s="1"/>
  <c r="B19" i="7176"/>
  <c r="B29" i="7176" s="1"/>
  <c r="C18" i="7176"/>
  <c r="B18" i="7176"/>
  <c r="C17" i="7176"/>
  <c r="C16" i="7176"/>
  <c r="C15" i="7176"/>
  <c r="B13" i="7176"/>
  <c r="P12" i="7176"/>
  <c r="B12" i="7176"/>
  <c r="P11" i="7176"/>
  <c r="B11" i="7176"/>
  <c r="P10" i="7176"/>
  <c r="C10" i="7176"/>
  <c r="C9" i="7176"/>
  <c r="C8" i="7176"/>
  <c r="P7" i="7176"/>
  <c r="B7" i="7176"/>
  <c r="P6" i="7176"/>
  <c r="P5" i="7176"/>
  <c r="B5" i="7176"/>
  <c r="P4" i="7176"/>
  <c r="P3" i="7176"/>
  <c r="P2" i="7176"/>
  <c r="P19" i="7174"/>
  <c r="P15" i="7174"/>
  <c r="C35" i="7174"/>
  <c r="B30" i="7174"/>
  <c r="C21" i="7174"/>
  <c r="B20" i="7174"/>
  <c r="H51" i="7174" s="1"/>
  <c r="B19" i="7174"/>
  <c r="B29" i="7174" s="1"/>
  <c r="B18" i="7174"/>
  <c r="C18" i="7174" s="1"/>
  <c r="C17" i="7174"/>
  <c r="C16" i="7174"/>
  <c r="C15" i="7174"/>
  <c r="B13" i="7174"/>
  <c r="P12" i="7174"/>
  <c r="B12" i="7174"/>
  <c r="P11" i="7174"/>
  <c r="B11" i="7174"/>
  <c r="P10" i="7174"/>
  <c r="C10" i="7174"/>
  <c r="C9" i="7174"/>
  <c r="C8" i="7174"/>
  <c r="P7" i="7174"/>
  <c r="B7" i="7174"/>
  <c r="P6" i="7174"/>
  <c r="P5" i="7174"/>
  <c r="B5" i="7174"/>
  <c r="P4" i="7174"/>
  <c r="P3" i="7174"/>
  <c r="P2" i="7174"/>
  <c r="P18" i="7170"/>
  <c r="P15" i="7172"/>
  <c r="P18" i="7172"/>
  <c r="C35" i="7172"/>
  <c r="B30" i="7172"/>
  <c r="C21" i="7172"/>
  <c r="B20" i="7172"/>
  <c r="H51" i="7172" s="1"/>
  <c r="B19" i="7172"/>
  <c r="B29" i="7172" s="1"/>
  <c r="B18" i="7172"/>
  <c r="C18" i="7172" s="1"/>
  <c r="C17" i="7172"/>
  <c r="C16" i="7172"/>
  <c r="C15" i="7172"/>
  <c r="B13" i="7172"/>
  <c r="P12" i="7172"/>
  <c r="B12" i="7172"/>
  <c r="P11" i="7172"/>
  <c r="B11" i="7172"/>
  <c r="P10" i="7172"/>
  <c r="C10" i="7172"/>
  <c r="C9" i="7172"/>
  <c r="C8" i="7172"/>
  <c r="P7" i="7172"/>
  <c r="B7" i="7172"/>
  <c r="P6" i="7172"/>
  <c r="P5" i="7172"/>
  <c r="B5" i="7172"/>
  <c r="P4" i="7172"/>
  <c r="P3" i="7172"/>
  <c r="P2" i="7172"/>
  <c r="P15" i="7170"/>
  <c r="P20" i="7170"/>
  <c r="C35" i="7170"/>
  <c r="B30" i="7170"/>
  <c r="C21" i="7170"/>
  <c r="B20" i="7170"/>
  <c r="H52" i="7170" s="1"/>
  <c r="B19" i="7170"/>
  <c r="B29" i="7170" s="1"/>
  <c r="B18" i="7170"/>
  <c r="C18" i="7170" s="1"/>
  <c r="C17" i="7170"/>
  <c r="C16" i="7170"/>
  <c r="C15" i="7170"/>
  <c r="B13" i="7170"/>
  <c r="P12" i="7170"/>
  <c r="B12" i="7170"/>
  <c r="P11" i="7170"/>
  <c r="B11" i="7170"/>
  <c r="P10" i="7170"/>
  <c r="C10" i="7170"/>
  <c r="C9" i="7170"/>
  <c r="C8" i="7170"/>
  <c r="P7" i="7170"/>
  <c r="B7" i="7170"/>
  <c r="P6" i="7170"/>
  <c r="P5" i="7170"/>
  <c r="B5" i="7170"/>
  <c r="P4" i="7170"/>
  <c r="P3" i="7170"/>
  <c r="P2" i="7170"/>
  <c r="B14" i="7172" l="1"/>
  <c r="B14" i="7174"/>
  <c r="H2" i="7176"/>
  <c r="C19" i="7176"/>
  <c r="C20" i="7176"/>
  <c r="C19" i="7172"/>
  <c r="B14" i="7176"/>
  <c r="H24" i="7176"/>
  <c r="H28" i="7176"/>
  <c r="H33" i="7176"/>
  <c r="C38" i="7176"/>
  <c r="C42" i="7176"/>
  <c r="C46" i="7176"/>
  <c r="H51" i="7176"/>
  <c r="H6" i="7176"/>
  <c r="H9" i="7176"/>
  <c r="H14" i="7176"/>
  <c r="H18" i="7176"/>
  <c r="C24" i="7176"/>
  <c r="B28" i="7176"/>
  <c r="H34" i="7176"/>
  <c r="H39" i="7176"/>
  <c r="H43" i="7176"/>
  <c r="H47" i="7176"/>
  <c r="H3" i="7176"/>
  <c r="H21" i="7176"/>
  <c r="H25" i="7176"/>
  <c r="H29" i="7176"/>
  <c r="H35" i="7176"/>
  <c r="C39" i="7176"/>
  <c r="C43" i="7176"/>
  <c r="C47" i="7176"/>
  <c r="H52" i="7176"/>
  <c r="H12" i="7176"/>
  <c r="H15" i="7176"/>
  <c r="C25" i="7176"/>
  <c r="H40" i="7176"/>
  <c r="H44" i="7176"/>
  <c r="H48" i="7176"/>
  <c r="H7" i="7176"/>
  <c r="H10" i="7176"/>
  <c r="H19" i="7176"/>
  <c r="H22" i="7176"/>
  <c r="H26" i="7176"/>
  <c r="H30" i="7176"/>
  <c r="H36" i="7176"/>
  <c r="C40" i="7176"/>
  <c r="C44" i="7176"/>
  <c r="C48" i="7176"/>
  <c r="H4" i="7176"/>
  <c r="H16" i="7176"/>
  <c r="C22" i="7176"/>
  <c r="C26" i="7176"/>
  <c r="H37" i="7176"/>
  <c r="H41" i="7176"/>
  <c r="H45" i="7176"/>
  <c r="H49" i="7176"/>
  <c r="H8" i="7176"/>
  <c r="H11" i="7176"/>
  <c r="H13" i="7176"/>
  <c r="H23" i="7176"/>
  <c r="H27" i="7176"/>
  <c r="H31" i="7176"/>
  <c r="C37" i="7176"/>
  <c r="C41" i="7176"/>
  <c r="C45" i="7176"/>
  <c r="C49" i="7176"/>
  <c r="H5" i="7176"/>
  <c r="H17" i="7176"/>
  <c r="H20" i="7176"/>
  <c r="C23" i="7176"/>
  <c r="B27" i="7176"/>
  <c r="H32" i="7176"/>
  <c r="H38" i="7176"/>
  <c r="H42" i="7176"/>
  <c r="H46" i="7176"/>
  <c r="B14" i="7170"/>
  <c r="C19" i="7174"/>
  <c r="C20" i="7174"/>
  <c r="H5" i="7174"/>
  <c r="H22" i="7174"/>
  <c r="H10" i="7174"/>
  <c r="H36" i="7174"/>
  <c r="C38" i="7174"/>
  <c r="C42" i="7174"/>
  <c r="C46" i="7174"/>
  <c r="H21" i="7174"/>
  <c r="H2" i="7174"/>
  <c r="H9" i="7174"/>
  <c r="H28" i="7174"/>
  <c r="H31" i="7174"/>
  <c r="C24" i="7174"/>
  <c r="B28" i="7174"/>
  <c r="H37" i="7174"/>
  <c r="H41" i="7174"/>
  <c r="H45" i="7174"/>
  <c r="H48" i="7174"/>
  <c r="H4" i="7174"/>
  <c r="H33" i="7174"/>
  <c r="H12" i="7174"/>
  <c r="H23" i="7174"/>
  <c r="H38" i="7174"/>
  <c r="C39" i="7174"/>
  <c r="C43" i="7174"/>
  <c r="C47" i="7174"/>
  <c r="H52" i="7174"/>
  <c r="H26" i="7174"/>
  <c r="H29" i="7174"/>
  <c r="C25" i="7174"/>
  <c r="H42" i="7174"/>
  <c r="H46" i="7174"/>
  <c r="H49" i="7174"/>
  <c r="H7" i="7174"/>
  <c r="H11" i="7174"/>
  <c r="H32" i="7174"/>
  <c r="H15" i="7174"/>
  <c r="H35" i="7174"/>
  <c r="H18" i="7174"/>
  <c r="H39" i="7174"/>
  <c r="C40" i="7174"/>
  <c r="C44" i="7174"/>
  <c r="C48" i="7174"/>
  <c r="H3" i="7174"/>
  <c r="H30" i="7174"/>
  <c r="C22" i="7174"/>
  <c r="C26" i="7174"/>
  <c r="H24" i="7174"/>
  <c r="H43" i="7174"/>
  <c r="H25" i="7174"/>
  <c r="H50" i="7174"/>
  <c r="H6" i="7174"/>
  <c r="H13" i="7174"/>
  <c r="H27" i="7174"/>
  <c r="H34" i="7174"/>
  <c r="H17" i="7174"/>
  <c r="H19" i="7174"/>
  <c r="C37" i="7174"/>
  <c r="C41" i="7174"/>
  <c r="C45" i="7174"/>
  <c r="C49" i="7174"/>
  <c r="H8" i="7174"/>
  <c r="H14" i="7174"/>
  <c r="H16" i="7174"/>
  <c r="C23" i="7174"/>
  <c r="B27" i="7174"/>
  <c r="H20" i="7174"/>
  <c r="H40" i="7174"/>
  <c r="H44" i="7174"/>
  <c r="H47" i="7174"/>
  <c r="C19" i="7170"/>
  <c r="C20" i="7172"/>
  <c r="H3" i="7172"/>
  <c r="H31" i="7172"/>
  <c r="H9" i="7172"/>
  <c r="H23" i="7172"/>
  <c r="C38" i="7172"/>
  <c r="C42" i="7172"/>
  <c r="C46" i="7172"/>
  <c r="H14" i="7172"/>
  <c r="H2" i="7172"/>
  <c r="H8" i="7172"/>
  <c r="H19" i="7172"/>
  <c r="H27" i="7172"/>
  <c r="C24" i="7172"/>
  <c r="B28" i="7172"/>
  <c r="H35" i="7172"/>
  <c r="H40" i="7172"/>
  <c r="H44" i="7172"/>
  <c r="H48" i="7172"/>
  <c r="H6" i="7172"/>
  <c r="H29" i="7172"/>
  <c r="H13" i="7172"/>
  <c r="H34" i="7172"/>
  <c r="H36" i="7172"/>
  <c r="C39" i="7172"/>
  <c r="C43" i="7172"/>
  <c r="C47" i="7172"/>
  <c r="H52" i="7172"/>
  <c r="H18" i="7172"/>
  <c r="H25" i="7172"/>
  <c r="C25" i="7172"/>
  <c r="H41" i="7172"/>
  <c r="H45" i="7172"/>
  <c r="H49" i="7172"/>
  <c r="H7" i="7172"/>
  <c r="H11" i="7172"/>
  <c r="H28" i="7172"/>
  <c r="H17" i="7172"/>
  <c r="H32" i="7172"/>
  <c r="H20" i="7172"/>
  <c r="H37" i="7172"/>
  <c r="C40" i="7172"/>
  <c r="C44" i="7172"/>
  <c r="C48" i="7172"/>
  <c r="H4" i="7172"/>
  <c r="H26" i="7172"/>
  <c r="C22" i="7172"/>
  <c r="C26" i="7172"/>
  <c r="H38" i="7172"/>
  <c r="H42" i="7172"/>
  <c r="H46" i="7172"/>
  <c r="H50" i="7172"/>
  <c r="H5" i="7172"/>
  <c r="H12" i="7172"/>
  <c r="H24" i="7172"/>
  <c r="H30" i="7172"/>
  <c r="H33" i="7172"/>
  <c r="H21" i="7172"/>
  <c r="C37" i="7172"/>
  <c r="C41" i="7172"/>
  <c r="C45" i="7172"/>
  <c r="C49" i="7172"/>
  <c r="H10" i="7172"/>
  <c r="H15" i="7172"/>
  <c r="H16" i="7172"/>
  <c r="C23" i="7172"/>
  <c r="B27" i="7172"/>
  <c r="H22" i="7172"/>
  <c r="H39" i="7172"/>
  <c r="H43" i="7172"/>
  <c r="H47" i="7172"/>
  <c r="H4" i="7170"/>
  <c r="H16" i="7170"/>
  <c r="H19" i="7170"/>
  <c r="C37" i="7170"/>
  <c r="H3" i="7170"/>
  <c r="C22" i="7170"/>
  <c r="H40" i="7170"/>
  <c r="H6" i="7170"/>
  <c r="H44" i="7170"/>
  <c r="C26" i="7170"/>
  <c r="H22" i="7170"/>
  <c r="H23" i="7170"/>
  <c r="H32" i="7170"/>
  <c r="H26" i="7170"/>
  <c r="H50" i="7170"/>
  <c r="H20" i="7170"/>
  <c r="C49" i="7170"/>
  <c r="B27" i="7170"/>
  <c r="H43" i="7170"/>
  <c r="H51" i="7170"/>
  <c r="H9" i="7170"/>
  <c r="H14" i="7170"/>
  <c r="C20" i="7170"/>
  <c r="C41" i="7170"/>
  <c r="H12" i="7170"/>
  <c r="H36" i="7170"/>
  <c r="C45" i="7170"/>
  <c r="C23" i="7170"/>
  <c r="H31" i="7170"/>
  <c r="H47" i="7170"/>
  <c r="H28" i="7170"/>
  <c r="C42" i="7170"/>
  <c r="H27" i="7170"/>
  <c r="B28" i="7170"/>
  <c r="H37" i="7170"/>
  <c r="H48" i="7170"/>
  <c r="H21" i="7170"/>
  <c r="H33" i="7170"/>
  <c r="C25" i="7170"/>
  <c r="H42" i="7170"/>
  <c r="H46" i="7170"/>
  <c r="H49" i="7170"/>
  <c r="H30" i="7170"/>
  <c r="C38" i="7170"/>
  <c r="H17" i="7170"/>
  <c r="H2" i="7170"/>
  <c r="H45" i="7170"/>
  <c r="H7" i="7170"/>
  <c r="H11" i="7170"/>
  <c r="H34" i="7170"/>
  <c r="H15" i="7170"/>
  <c r="H29" i="7170"/>
  <c r="H18" i="7170"/>
  <c r="H39" i="7170"/>
  <c r="C40" i="7170"/>
  <c r="C44" i="7170"/>
  <c r="C48" i="7170"/>
  <c r="H10" i="7170"/>
  <c r="C46" i="7170"/>
  <c r="H8" i="7170"/>
  <c r="H25" i="7170"/>
  <c r="C24" i="7170"/>
  <c r="H41" i="7170"/>
  <c r="H5" i="7170"/>
  <c r="H35" i="7170"/>
  <c r="H13" i="7170"/>
  <c r="H24" i="7170"/>
  <c r="H38" i="7170"/>
  <c r="C39" i="7170"/>
  <c r="C43" i="7170"/>
  <c r="C47" i="717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<sst xmlns="http://schemas.openxmlformats.org/spreadsheetml/2006/main" count="1963" uniqueCount="235">
  <si>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</si>
  <si>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</si>
  <si>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</si>
  <si>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</si>
  <si>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</si>
  <si>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</si>
  <si>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</si>
  <si>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</si>
  <si>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</si>
  <si>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</si>
  <si>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</si>
  <si>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</si>
  <si>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</si>
  <si>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</si>
  <si>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</si>
  <si>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</si>
  <si>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</si>
  <si>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</si>
  <si>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</si>
  <si>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</si>
  <si>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</si>
  <si>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</si>
  <si>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</si>
  <si>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</si>
  <si>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</si>
  <si>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</si>
  <si>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</si>
  <si>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</si>
  <si>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</si>
  <si>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</si>
  <si>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</si>
  <si>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</si>
  <si>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</si>
  <si>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</si>
  <si>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</si>
  <si>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</si>
  <si>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</si>
  <si>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</si>
  <si>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</si>
  <si>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</si>
  <si>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</si>
  <si>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</si>
  <si>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</si>
  <si>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</si>
  <si>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</si>
  <si>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</si>
  <si>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</si>
  <si>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</si>
  <si>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</si>
  <si>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</si>
  <si>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</si>
  <si>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</si>
  <si>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</si>
  <si>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</si>
  <si>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</si>
  <si>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</si>
  <si>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</si>
  <si>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</si>
  <si>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</si>
  <si>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</si>
  <si>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</si>
  <si>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</si>
  <si>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</si>
  <si>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</si>
  <si>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</si>
  <si>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</si>
  <si>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</si>
  <si>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</si>
  <si>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</si>
  <si>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</si>
  <si>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</si>
  <si>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</si>
  <si>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</si>
  <si>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</si>
  <si>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</si>
  <si>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</si>
  <si>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</si>
  <si>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</si>
  <si>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</si>
  <si>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</si>
  <si>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</si>
  <si>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</si>
  <si>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</si>
  <si>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</si>
  <si>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</si>
  <si>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</si>
  <si>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</si>
  <si>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</si>
  <si>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</si>
  <si>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</si>
  <si>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</si>
  <si>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</si>
  <si>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</si>
  <si>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</si>
  <si>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</si>
  <si>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</si>
  <si>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</si>
  <si>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</si>
  <si>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</si>
  <si>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</si>
  <si>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</si>
  <si>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</si>
  <si>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</si>
  <si>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</si>
  <si>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</si>
  <si>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</si>
  <si>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</si>
  <si>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</si>
  <si>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</si>
  <si>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</si>
  <si>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</si>
  <si>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</si>
  <si>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</si>
  <si>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</si>
  <si>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</si>
  <si>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</si>
  <si>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</si>
  <si>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</si>
  <si>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</si>
  <si>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</si>
  <si>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</si>
  <si>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</si>
  <si>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</si>
  <si>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</si>
  <si>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</si>
  <si>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</si>
  <si>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</si>
  <si>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</si>
  <si>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</si>
  <si>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</si>
  <si>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</si>
  <si>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</si>
  <si>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</si>
  <si>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</si>
  <si>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</si>
  <si>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</si>
  <si>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</si>
  <si>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</si>
  <si>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</si>
  <si>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</si>
  <si>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</si>
  <si>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</si>
  <si>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</si>
  <si>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</si>
  <si>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</si>
  <si>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</si>
  <si>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</si>
  <si>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</si>
  <si>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</si>
  <si>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</si>
  <si>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</si>
  <si>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</si>
  <si>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</si>
  <si>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</si>
  <si>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</si>
  <si>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</si>
  <si>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</si>
  <si>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</si>
  <si>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</si>
  <si>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</si>
  <si>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</si>
  <si>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</si>
  <si>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</si>
  <si>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</si>
  <si>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</si>
  <si>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</si>
  <si>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</si>
  <si>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</si>
  <si>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</si>
  <si>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</si>
  <si>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</si>
  <si>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</si>
  <si>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</si>
  <si>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</si>
  <si>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</si>
  <si>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</si>
  <si>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</si>
  <si>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</si>
  <si>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</si>
  <si>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</si>
  <si>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</si>
  <si>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</si>
  <si>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</si>
  <si>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</si>
  <si>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</si>
  <si>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</si>
  <si>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</si>
  <si>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</si>
  <si>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</si>
  <si>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</si>
  <si>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</si>
  <si>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</si>
  <si>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</si>
  <si>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</si>
  <si>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</si>
  <si>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</si>
  <si>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</si>
  <si>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</si>
  <si>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</si>
  <si>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</si>
  <si>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</si>
  <si>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</si>
  <si>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</si>
  <si>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</si>
  <si>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</si>
  <si>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</si>
  <si>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</si>
  <si>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</si>
  <si>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</si>
  <si>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</si>
  <si>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</si>
  <si>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</si>
  <si>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</si>
  <si>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</si>
  <si>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</si>
  <si>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</si>
  <si>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</si>
  <si>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</si>
  <si>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</si>
  <si>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</si>
  <si>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</si>
  <si>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</si>
  <si>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</si>
  <si>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2022-07-24@Ina.xlsm</t>
  </si>
  <si>
    <t>2021-02-13@Ina.xlsm</t>
  </si>
  <si>
    <t>2021-05-01@Ina.xlsm</t>
  </si>
  <si>
    <t>2022-03-13@Kohama.xlsm</t>
  </si>
  <si>
    <t>2022-03-21@Ina.xlsm</t>
  </si>
  <si>
    <t>2022-04-30@Kohama.xlsm</t>
  </si>
  <si>
    <t>Sheet13</t>
  </si>
  <si>
    <t>Sheet14</t>
  </si>
  <si>
    <t>Sheet15</t>
  </si>
  <si>
    <t>2022-05-07@Ina.xlsm</t>
  </si>
  <si>
    <t>ぱぱ</t>
    <phoneticPr fontId="1"/>
  </si>
  <si>
    <t>2022-06-11@Ina.xlsm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</si>
</sst>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全体!$K$2:$K$215</c:f>
              <c:numCache>
                <c:formatCode>General</c:formatCode>
                <c:ptCount val="2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</c:numCache>
            </c:numRef>
          </c:xVal>
          <c:yVal>
            <c:numRef>
              <c:f>全体!$L$2:$L$215</c:f>
              <c:numCache>
                <c:formatCode>\+0.0;\-0.0;\±0</c:formatCode>
                <c:ptCount val="214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  <c:pt idx="28">
                  <c:v>-24.299999999999997</c:v>
                </c:pt>
                <c:pt idx="29">
                  <c:v>4.6000000000000014</c:v>
                </c:pt>
                <c:pt idx="30">
                  <c:v>1.7763568394002505E-15</c:v>
                </c:pt>
                <c:pt idx="31">
                  <c:v>20</c:v>
                </c:pt>
                <c:pt idx="32">
                  <c:v>19.399999999999999</c:v>
                </c:pt>
                <c:pt idx="33">
                  <c:v>0</c:v>
                </c:pt>
                <c:pt idx="34">
                  <c:v>-18.600000000000001</c:v>
                </c:pt>
                <c:pt idx="35">
                  <c:v>-57.800000000000004</c:v>
                </c:pt>
                <c:pt idx="36">
                  <c:v>-7.1054273576010019E-15</c:v>
                </c:pt>
                <c:pt idx="37">
                  <c:v>-22.600000000000009</c:v>
                </c:pt>
                <c:pt idx="38">
                  <c:v>-20.20000000000001</c:v>
                </c:pt>
                <c:pt idx="39">
                  <c:v>-1.0658141036401503E-14</c:v>
                </c:pt>
                <c:pt idx="40">
                  <c:v>-40.800000000000011</c:v>
                </c:pt>
                <c:pt idx="41">
                  <c:v>-43.300000000000011</c:v>
                </c:pt>
                <c:pt idx="42">
                  <c:v>-1.4210854715202004E-14</c:v>
                </c:pt>
                <c:pt idx="43">
                  <c:v>-47.500000000000014</c:v>
                </c:pt>
                <c:pt idx="44">
                  <c:v>-56.800000000000011</c:v>
                </c:pt>
                <c:pt idx="45">
                  <c:v>-1.4210854715202004E-14</c:v>
                </c:pt>
                <c:pt idx="46">
                  <c:v>57.599999999999987</c:v>
                </c:pt>
                <c:pt idx="47">
                  <c:v>11.599999999999987</c:v>
                </c:pt>
                <c:pt idx="48">
                  <c:v>-1.2434497875801753E-14</c:v>
                </c:pt>
                <c:pt idx="49">
                  <c:v>-27.600000000000016</c:v>
                </c:pt>
                <c:pt idx="50">
                  <c:v>-1.6000000000000156</c:v>
                </c:pt>
                <c:pt idx="51">
                  <c:v>-1.5543122344752192E-14</c:v>
                </c:pt>
                <c:pt idx="52">
                  <c:v>-28.600000000000016</c:v>
                </c:pt>
                <c:pt idx="53">
                  <c:v>14.799999999999983</c:v>
                </c:pt>
                <c:pt idx="54">
                  <c:v>-1.7763568394002505E-14</c:v>
                </c:pt>
                <c:pt idx="55">
                  <c:v>10.299999999999983</c:v>
                </c:pt>
                <c:pt idx="56">
                  <c:v>-22.40000000000002</c:v>
                </c:pt>
                <c:pt idx="57">
                  <c:v>-2.1316282072803006E-14</c:v>
                </c:pt>
                <c:pt idx="58">
                  <c:v>-1.2000000000000213</c:v>
                </c:pt>
                <c:pt idx="59">
                  <c:v>22.799999999999979</c:v>
                </c:pt>
                <c:pt idx="60">
                  <c:v>-2.1316282072803006E-14</c:v>
                </c:pt>
                <c:pt idx="61">
                  <c:v>37.199999999999982</c:v>
                </c:pt>
                <c:pt idx="62">
                  <c:v>-3.2000000000000171</c:v>
                </c:pt>
                <c:pt idx="63">
                  <c:v>-1.6875389974302379E-14</c:v>
                </c:pt>
                <c:pt idx="64">
                  <c:v>-2.2000000000000171</c:v>
                </c:pt>
                <c:pt idx="65">
                  <c:v>-51.800000000000018</c:v>
                </c:pt>
                <c:pt idx="66">
                  <c:v>-2.1316282072803006E-14</c:v>
                </c:pt>
                <c:pt idx="67">
                  <c:v>11.699999999999978</c:v>
                </c:pt>
                <c:pt idx="68">
                  <c:v>-46.40000000000002</c:v>
                </c:pt>
                <c:pt idx="69">
                  <c:v>-2.1316282072803006E-14</c:v>
                </c:pt>
                <c:pt idx="70">
                  <c:v>-0.70000000000002127</c:v>
                </c:pt>
                <c:pt idx="71">
                  <c:v>-31.700000000000021</c:v>
                </c:pt>
                <c:pt idx="72">
                  <c:v>-2.1316282072803006E-14</c:v>
                </c:pt>
                <c:pt idx="73">
                  <c:v>-2.1316282072803006E-14</c:v>
                </c:pt>
                <c:pt idx="74">
                  <c:v>-2.1316282072803006E-14</c:v>
                </c:pt>
                <c:pt idx="75">
                  <c:v>-2.1316282072803006E-14</c:v>
                </c:pt>
                <c:pt idx="76">
                  <c:v>-48.800000000000018</c:v>
                </c:pt>
                <c:pt idx="77">
                  <c:v>-71.000000000000014</c:v>
                </c:pt>
                <c:pt idx="78">
                  <c:v>-1.4210854715202004E-14</c:v>
                </c:pt>
                <c:pt idx="79">
                  <c:v>24.299999999999986</c:v>
                </c:pt>
                <c:pt idx="80">
                  <c:v>23.099999999999987</c:v>
                </c:pt>
                <c:pt idx="81">
                  <c:v>-1.4210854715202004E-14</c:v>
                </c:pt>
                <c:pt idx="82">
                  <c:v>-35.500000000000014</c:v>
                </c:pt>
                <c:pt idx="83">
                  <c:v>-29.700000000000014</c:v>
                </c:pt>
                <c:pt idx="84">
                  <c:v>-1.4210854715202004E-14</c:v>
                </c:pt>
                <c:pt idx="85">
                  <c:v>-42.100000000000016</c:v>
                </c:pt>
                <c:pt idx="86">
                  <c:v>-9.2000000000000171</c:v>
                </c:pt>
                <c:pt idx="87">
                  <c:v>-1.7763568394002505E-14</c:v>
                </c:pt>
                <c:pt idx="88">
                  <c:v>45.299999999999983</c:v>
                </c:pt>
                <c:pt idx="89">
                  <c:v>51.199999999999982</c:v>
                </c:pt>
                <c:pt idx="90">
                  <c:v>-2.1316282072803006E-14</c:v>
                </c:pt>
                <c:pt idx="91">
                  <c:v>0.49999999999997868</c:v>
                </c:pt>
                <c:pt idx="92">
                  <c:v>-26.90000000000002</c:v>
                </c:pt>
                <c:pt idx="93">
                  <c:v>-2.1316282072803006E-14</c:v>
                </c:pt>
                <c:pt idx="94">
                  <c:v>-20.300000000000022</c:v>
                </c:pt>
                <c:pt idx="95">
                  <c:v>53.199999999999974</c:v>
                </c:pt>
                <c:pt idx="96">
                  <c:v>-2.8421709430404007E-14</c:v>
                </c:pt>
                <c:pt idx="97">
                  <c:v>-60.500000000000028</c:v>
                </c:pt>
                <c:pt idx="98">
                  <c:v>-60.300000000000026</c:v>
                </c:pt>
                <c:pt idx="99">
                  <c:v>-2.8421709430404007E-14</c:v>
                </c:pt>
                <c:pt idx="100">
                  <c:v>-68.000000000000028</c:v>
                </c:pt>
                <c:pt idx="101">
                  <c:v>-2.8421709430404007E-14</c:v>
                </c:pt>
                <c:pt idx="102">
                  <c:v>-2.8421709430404007E-14</c:v>
                </c:pt>
                <c:pt idx="103">
                  <c:v>42.199999999999974</c:v>
                </c:pt>
                <c:pt idx="104">
                  <c:v>-12.300000000000026</c:v>
                </c:pt>
                <c:pt idx="105">
                  <c:v>-2.4868995751603507E-14</c:v>
                </c:pt>
                <c:pt idx="106">
                  <c:v>16.199999999999974</c:v>
                </c:pt>
                <c:pt idx="107">
                  <c:v>56.799999999999976</c:v>
                </c:pt>
                <c:pt idx="108">
                  <c:v>-2.1316282072803006E-14</c:v>
                </c:pt>
                <c:pt idx="109">
                  <c:v>-16.000000000000021</c:v>
                </c:pt>
                <c:pt idx="110">
                  <c:v>-80.000000000000028</c:v>
                </c:pt>
                <c:pt idx="111">
                  <c:v>-2.8421709430404007E-14</c:v>
                </c:pt>
                <c:pt idx="112">
                  <c:v>-31.900000000000027</c:v>
                </c:pt>
                <c:pt idx="113">
                  <c:v>0.79999999999997584</c:v>
                </c:pt>
                <c:pt idx="114">
                  <c:v>-2.4202861936828413E-14</c:v>
                </c:pt>
                <c:pt idx="115">
                  <c:v>-13.200000000000024</c:v>
                </c:pt>
                <c:pt idx="116">
                  <c:v>49.899999999999977</c:v>
                </c:pt>
                <c:pt idx="117">
                  <c:v>-2.1316282072803006E-14</c:v>
                </c:pt>
                <c:pt idx="118">
                  <c:v>51.799999999999976</c:v>
                </c:pt>
                <c:pt idx="119">
                  <c:v>55.399999999999977</c:v>
                </c:pt>
                <c:pt idx="120">
                  <c:v>-2.1316282072803006E-14</c:v>
                </c:pt>
                <c:pt idx="121">
                  <c:v>-6.5000000000000213</c:v>
                </c:pt>
                <c:pt idx="122">
                  <c:v>-34.100000000000023</c:v>
                </c:pt>
                <c:pt idx="123">
                  <c:v>-2.1316282072803006E-14</c:v>
                </c:pt>
                <c:pt idx="124">
                  <c:v>-1.3000000000000214</c:v>
                </c:pt>
                <c:pt idx="125">
                  <c:v>-38.300000000000018</c:v>
                </c:pt>
                <c:pt idx="126">
                  <c:v>-2.1316282072803006E-14</c:v>
                </c:pt>
                <c:pt idx="127">
                  <c:v>-35.000000000000021</c:v>
                </c:pt>
                <c:pt idx="128">
                  <c:v>-38.000000000000021</c:v>
                </c:pt>
                <c:pt idx="129">
                  <c:v>-2.1316282072803006E-14</c:v>
                </c:pt>
                <c:pt idx="130">
                  <c:v>46.199999999999982</c:v>
                </c:pt>
                <c:pt idx="131">
                  <c:v>10.199999999999982</c:v>
                </c:pt>
                <c:pt idx="132">
                  <c:v>-1.7763568394002505E-14</c:v>
                </c:pt>
                <c:pt idx="133">
                  <c:v>-19.600000000000019</c:v>
                </c:pt>
                <c:pt idx="134">
                  <c:v>56.899999999999977</c:v>
                </c:pt>
                <c:pt idx="135">
                  <c:v>-2.1316282072803006E-14</c:v>
                </c:pt>
                <c:pt idx="136">
                  <c:v>35.09999999999998</c:v>
                </c:pt>
                <c:pt idx="137">
                  <c:v>28.999999999999979</c:v>
                </c:pt>
                <c:pt idx="138">
                  <c:v>-2.1316282072803006E-14</c:v>
                </c:pt>
                <c:pt idx="139">
                  <c:v>-79.000000000000028</c:v>
                </c:pt>
                <c:pt idx="140">
                  <c:v>-127.70000000000003</c:v>
                </c:pt>
                <c:pt idx="141">
                  <c:v>-2.8421709430404007E-14</c:v>
                </c:pt>
                <c:pt idx="142">
                  <c:v>44.299999999999969</c:v>
                </c:pt>
                <c:pt idx="143">
                  <c:v>-11.800000000000033</c:v>
                </c:pt>
                <c:pt idx="144">
                  <c:v>-3.1974423109204508E-14</c:v>
                </c:pt>
                <c:pt idx="145">
                  <c:v>-31.400000000000031</c:v>
                </c:pt>
                <c:pt idx="146">
                  <c:v>-3.1000000000000298</c:v>
                </c:pt>
                <c:pt idx="147">
                  <c:v>-2.9753977059954195E-14</c:v>
                </c:pt>
                <c:pt idx="148">
                  <c:v>56.39999999999997</c:v>
                </c:pt>
                <c:pt idx="149">
                  <c:v>44.39999999999997</c:v>
                </c:pt>
                <c:pt idx="150">
                  <c:v>-2.8421709430404007E-14</c:v>
                </c:pt>
                <c:pt idx="151">
                  <c:v>44.199999999999974</c:v>
                </c:pt>
                <c:pt idx="152">
                  <c:v>9.599999999999973</c:v>
                </c:pt>
                <c:pt idx="153">
                  <c:v>-2.6645352591003757E-14</c:v>
                </c:pt>
                <c:pt idx="154">
                  <c:v>-25.000000000000028</c:v>
                </c:pt>
                <c:pt idx="155">
                  <c:v>56.199999999999974</c:v>
                </c:pt>
                <c:pt idx="156">
                  <c:v>-2.8421709430404007E-14</c:v>
                </c:pt>
                <c:pt idx="157">
                  <c:v>1.5999999999999717</c:v>
                </c:pt>
                <c:pt idx="158">
                  <c:v>-43.60000000000003</c:v>
                </c:pt>
                <c:pt idx="159">
                  <c:v>-2.8421709430404007E-14</c:v>
                </c:pt>
                <c:pt idx="160">
                  <c:v>50.999999999999972</c:v>
                </c:pt>
                <c:pt idx="161">
                  <c:v>0.99999999999997158</c:v>
                </c:pt>
                <c:pt idx="162">
                  <c:v>-2.8421709430404007E-14</c:v>
                </c:pt>
                <c:pt idx="163">
                  <c:v>-46.200000000000031</c:v>
                </c:pt>
                <c:pt idx="164">
                  <c:v>-37.10000000000003</c:v>
                </c:pt>
                <c:pt idx="165">
                  <c:v>-2.8421709430404007E-14</c:v>
                </c:pt>
                <c:pt idx="166">
                  <c:v>5.7999999999999714</c:v>
                </c:pt>
                <c:pt idx="167">
                  <c:v>-51.10000000000003</c:v>
                </c:pt>
                <c:pt idx="168">
                  <c:v>-2.8421709430404007E-14</c:v>
                </c:pt>
                <c:pt idx="169">
                  <c:v>-6.8000000000000282</c:v>
                </c:pt>
                <c:pt idx="170">
                  <c:v>62.199999999999974</c:v>
                </c:pt>
                <c:pt idx="171">
                  <c:v>-2.8421709430404007E-14</c:v>
                </c:pt>
                <c:pt idx="172">
                  <c:v>11.999999999999972</c:v>
                </c:pt>
                <c:pt idx="173">
                  <c:v>46.799999999999969</c:v>
                </c:pt>
                <c:pt idx="174">
                  <c:v>-2.8421709430404007E-14</c:v>
                </c:pt>
                <c:pt idx="175">
                  <c:v>-61.300000000000026</c:v>
                </c:pt>
                <c:pt idx="176">
                  <c:v>6.1999999999999744</c:v>
                </c:pt>
                <c:pt idx="177">
                  <c:v>-2.5757174171303632E-14</c:v>
                </c:pt>
                <c:pt idx="178">
                  <c:v>-63.500000000000028</c:v>
                </c:pt>
                <c:pt idx="179">
                  <c:v>-88.000000000000028</c:v>
                </c:pt>
                <c:pt idx="180">
                  <c:v>-2.8421709430404007E-14</c:v>
                </c:pt>
                <c:pt idx="181">
                  <c:v>-30.500000000000028</c:v>
                </c:pt>
                <c:pt idx="182">
                  <c:v>-30.60000000000003</c:v>
                </c:pt>
                <c:pt idx="183">
                  <c:v>-2.8421709430404007E-14</c:v>
                </c:pt>
                <c:pt idx="184">
                  <c:v>55.699999999999974</c:v>
                </c:pt>
                <c:pt idx="185">
                  <c:v>10.199999999999974</c:v>
                </c:pt>
                <c:pt idx="186">
                  <c:v>-2.4868995751603507E-14</c:v>
                </c:pt>
                <c:pt idx="187">
                  <c:v>3.9999999999999751</c:v>
                </c:pt>
                <c:pt idx="188">
                  <c:v>-28.800000000000022</c:v>
                </c:pt>
                <c:pt idx="189">
                  <c:v>-2.1316282072803006E-14</c:v>
                </c:pt>
                <c:pt idx="190">
                  <c:v>36.799999999999976</c:v>
                </c:pt>
                <c:pt idx="191">
                  <c:v>6.1999999999999744</c:v>
                </c:pt>
                <c:pt idx="192">
                  <c:v>-2.5757174171303632E-14</c:v>
                </c:pt>
                <c:pt idx="193">
                  <c:v>55.999999999999972</c:v>
                </c:pt>
                <c:pt idx="194">
                  <c:v>50.89999999999997</c:v>
                </c:pt>
                <c:pt idx="195">
                  <c:v>-2.8421709430404007E-14</c:v>
                </c:pt>
                <c:pt idx="196">
                  <c:v>-0.90000000000002844</c:v>
                </c:pt>
                <c:pt idx="197">
                  <c:v>-35.200000000000024</c:v>
                </c:pt>
                <c:pt idx="198">
                  <c:v>-2.1316282072803006E-14</c:v>
                </c:pt>
                <c:pt idx="199">
                  <c:v>29.59999999999998</c:v>
                </c:pt>
                <c:pt idx="200">
                  <c:v>26.799999999999979</c:v>
                </c:pt>
                <c:pt idx="201">
                  <c:v>-2.1316282072803006E-14</c:v>
                </c:pt>
                <c:pt idx="202">
                  <c:v>-7.3000000000000211</c:v>
                </c:pt>
                <c:pt idx="203">
                  <c:v>58.799999999999976</c:v>
                </c:pt>
                <c:pt idx="204">
                  <c:v>-2.1316282072803006E-14</c:v>
                </c:pt>
                <c:pt idx="205">
                  <c:v>42.899999999999977</c:v>
                </c:pt>
                <c:pt idx="206">
                  <c:v>57.799999999999976</c:v>
                </c:pt>
                <c:pt idx="207">
                  <c:v>-2.1316282072803006E-14</c:v>
                </c:pt>
                <c:pt idx="208">
                  <c:v>85.599999999999966</c:v>
                </c:pt>
                <c:pt idx="209">
                  <c:v>60.699999999999967</c:v>
                </c:pt>
                <c:pt idx="210">
                  <c:v>-3.5527136788005009E-14</c:v>
                </c:pt>
                <c:pt idx="211">
                  <c:v>-23.400000000000034</c:v>
                </c:pt>
                <c:pt idx="212">
                  <c:v>-3.5527136788005009E-14</c:v>
                </c:pt>
                <c:pt idx="213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9C-4344-8407-95BED1449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-23.80952380952381</c:v>
                </c:pt>
                <c:pt idx="1">
                  <c:v>14.925373134328359</c:v>
                </c:pt>
                <c:pt idx="2">
                  <c:v>-5.208333333333333</c:v>
                </c:pt>
                <c:pt idx="3">
                  <c:v>-22.598870056497177</c:v>
                </c:pt>
                <c:pt idx="4">
                  <c:v>6.0606060606060606</c:v>
                </c:pt>
                <c:pt idx="5">
                  <c:v>34.013605442176868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6-4BF7-8653-FECACF563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26</c:v>
                </c:pt>
                <c:pt idx="1">
                  <c:v>71</c:v>
                </c:pt>
                <c:pt idx="2">
                  <c:v>93</c:v>
                </c:pt>
                <c:pt idx="3">
                  <c:v>120</c:v>
                </c:pt>
                <c:pt idx="4">
                  <c:v>79</c:v>
                </c:pt>
                <c:pt idx="5">
                  <c:v>53</c:v>
                </c:pt>
                <c:pt idx="6">
                  <c:v>21</c:v>
                </c:pt>
                <c:pt idx="7">
                  <c:v>15</c:v>
                </c:pt>
                <c:pt idx="8">
                  <c:v>10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92-4E9C-A450-F9DA4DF6C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全体!$K$2:$K$215</c:f>
              <c:numCache>
                <c:formatCode>General</c:formatCode>
                <c:ptCount val="2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</c:numCache>
            </c:numRef>
          </c:xVal>
          <c:yVal>
            <c:numRef>
              <c:f>全体!$M$2:$M$215</c:f>
              <c:numCache>
                <c:formatCode>0</c:formatCode>
                <c:ptCount val="214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  <c:pt idx="28">
                  <c:v>1604.1235742342174</c:v>
                </c:pt>
                <c:pt idx="29">
                  <c:v>1609.4448327888122</c:v>
                </c:pt>
                <c:pt idx="30">
                  <c:v>1608.7041637920793</c:v>
                </c:pt>
                <c:pt idx="31">
                  <c:v>1612.1499388093268</c:v>
                </c:pt>
                <c:pt idx="32">
                  <c:v>1611.8670391764708</c:v>
                </c:pt>
                <c:pt idx="33">
                  <c:v>1608.201836941412</c:v>
                </c:pt>
                <c:pt idx="34">
                  <c:v>1604.7026259197635</c:v>
                </c:pt>
                <c:pt idx="35">
                  <c:v>1597.5164101642449</c:v>
                </c:pt>
                <c:pt idx="36">
                  <c:v>1607.8333117032594</c:v>
                </c:pt>
                <c:pt idx="37">
                  <c:v>1603.6163118330398</c:v>
                </c:pt>
                <c:pt idx="38">
                  <c:v>1603.9246139620416</c:v>
                </c:pt>
                <c:pt idx="39">
                  <c:v>1607.4350662782692</c:v>
                </c:pt>
                <c:pt idx="40">
                  <c:v>1599.9444558805997</c:v>
                </c:pt>
                <c:pt idx="41">
                  <c:v>1599.3927891453161</c:v>
                </c:pt>
                <c:pt idx="42">
                  <c:v>1607.0884324104443</c:v>
                </c:pt>
                <c:pt idx="43">
                  <c:v>1598.3939018159815</c:v>
                </c:pt>
                <c:pt idx="44">
                  <c:v>1596.6275384050857</c:v>
                </c:pt>
                <c:pt idx="45">
                  <c:v>1606.7697731746553</c:v>
                </c:pt>
                <c:pt idx="46">
                  <c:v>1616.9951545356073</c:v>
                </c:pt>
                <c:pt idx="47">
                  <c:v>1608.5111836083936</c:v>
                </c:pt>
                <c:pt idx="48">
                  <c:v>1606.2701165067433</c:v>
                </c:pt>
                <c:pt idx="49">
                  <c:v>1601.162495807703</c:v>
                </c:pt>
                <c:pt idx="50">
                  <c:v>1605.7335208328568</c:v>
                </c:pt>
                <c:pt idx="51">
                  <c:v>1605.8851197078598</c:v>
                </c:pt>
                <c:pt idx="52">
                  <c:v>1600.5998089896127</c:v>
                </c:pt>
                <c:pt idx="53">
                  <c:v>1608.306210135675</c:v>
                </c:pt>
                <c:pt idx="54">
                  <c:v>1605.4903728748609</c:v>
                </c:pt>
                <c:pt idx="55">
                  <c:v>1607.2094306376118</c:v>
                </c:pt>
                <c:pt idx="56">
                  <c:v>1601.1781740537861</c:v>
                </c:pt>
                <c:pt idx="57">
                  <c:v>1605.1011050094633</c:v>
                </c:pt>
                <c:pt idx="58">
                  <c:v>1605.2444983794064</c:v>
                </c:pt>
                <c:pt idx="59">
                  <c:v>1609.9230313891301</c:v>
                </c:pt>
                <c:pt idx="60">
                  <c:v>1606.1494932007954</c:v>
                </c:pt>
                <c:pt idx="61">
                  <c:v>1613.1985962415906</c:v>
                </c:pt>
                <c:pt idx="62">
                  <c:v>1606.237404664141</c:v>
                </c:pt>
                <c:pt idx="63">
                  <c:v>1607.1659802361562</c:v>
                </c:pt>
                <c:pt idx="64">
                  <c:v>1607.1169843547393</c:v>
                </c:pt>
                <c:pt idx="65">
                  <c:v>1598.5362824486108</c:v>
                </c:pt>
                <c:pt idx="66">
                  <c:v>1608.2590647539191</c:v>
                </c:pt>
                <c:pt idx="67">
                  <c:v>1610.7055103653956</c:v>
                </c:pt>
                <c:pt idx="68">
                  <c:v>1600.5732773032032</c:v>
                </c:pt>
                <c:pt idx="69">
                  <c:v>1609.3118376393841</c:v>
                </c:pt>
                <c:pt idx="70">
                  <c:v>1609.5199666135477</c:v>
                </c:pt>
                <c:pt idx="71">
                  <c:v>1604.2728468138664</c:v>
                </c:pt>
                <c:pt idx="72">
                  <c:v>1610.3432097329833</c:v>
                </c:pt>
                <c:pt idx="73">
                  <c:v>1610.6711504745854</c:v>
                </c:pt>
                <c:pt idx="74">
                  <c:v>1610.9971235717378</c:v>
                </c:pt>
                <c:pt idx="75">
                  <c:v>1611.3211408303073</c:v>
                </c:pt>
                <c:pt idx="76">
                  <c:v>1602.8592139853254</c:v>
                </c:pt>
                <c:pt idx="77">
                  <c:v>1599.2360587014134</c:v>
                </c:pt>
                <c:pt idx="78">
                  <c:v>1612.4106423492049</c:v>
                </c:pt>
                <c:pt idx="79">
                  <c:v>1616.6861784951097</c:v>
                </c:pt>
                <c:pt idx="80">
                  <c:v>1616.3460614241392</c:v>
                </c:pt>
                <c:pt idx="81">
                  <c:v>1612.0659850555944</c:v>
                </c:pt>
                <c:pt idx="82">
                  <c:v>1605.5855891452609</c:v>
                </c:pt>
                <c:pt idx="83">
                  <c:v>1606.5780756103893</c:v>
                </c:pt>
                <c:pt idx="84">
                  <c:v>1611.866607156727</c:v>
                </c:pt>
                <c:pt idx="85">
                  <c:v>1604.1934075137867</c:v>
                </c:pt>
                <c:pt idx="86">
                  <c:v>1610.0662470687041</c:v>
                </c:pt>
                <c:pt idx="87">
                  <c:v>1611.6378495862918</c:v>
                </c:pt>
                <c:pt idx="88">
                  <c:v>1619.7040224887742</c:v>
                </c:pt>
                <c:pt idx="89">
                  <c:v>1620.6297983538416</c:v>
                </c:pt>
                <c:pt idx="90">
                  <c:v>1611.2720195637185</c:v>
                </c:pt>
                <c:pt idx="91">
                  <c:v>1611.2703874463361</c:v>
                </c:pt>
                <c:pt idx="92">
                  <c:v>1606.2467651216582</c:v>
                </c:pt>
                <c:pt idx="93">
                  <c:v>1611.0272845309282</c:v>
                </c:pt>
                <c:pt idx="94">
                  <c:v>1607.2891208237427</c:v>
                </c:pt>
                <c:pt idx="95">
                  <c:v>1620.4573860988003</c:v>
                </c:pt>
                <c:pt idx="96">
                  <c:v>1610.7406417822074</c:v>
                </c:pt>
                <c:pt idx="97">
                  <c:v>1599.762197931514</c:v>
                </c:pt>
                <c:pt idx="98">
                  <c:v>1599.7756247439249</c:v>
                </c:pt>
                <c:pt idx="99">
                  <c:v>1610.6069709954613</c:v>
                </c:pt>
                <c:pt idx="100">
                  <c:v>1598.2853291694885</c:v>
                </c:pt>
                <c:pt idx="101">
                  <c:v>1610.5176171944715</c:v>
                </c:pt>
                <c:pt idx="102">
                  <c:v>1610.4365114913046</c:v>
                </c:pt>
                <c:pt idx="103">
                  <c:v>1617.9458924223568</c:v>
                </c:pt>
                <c:pt idx="104">
                  <c:v>1608.0042170678225</c:v>
                </c:pt>
                <c:pt idx="105">
                  <c:v>1610.1461917654156</c:v>
                </c:pt>
                <c:pt idx="106">
                  <c:v>1612.9773146148232</c:v>
                </c:pt>
                <c:pt idx="107">
                  <c:v>1620.1834507271342</c:v>
                </c:pt>
                <c:pt idx="108">
                  <c:v>1609.8143500227714</c:v>
                </c:pt>
                <c:pt idx="109">
                  <c:v>1606.8514639226348</c:v>
                </c:pt>
                <c:pt idx="110">
                  <c:v>1595.266355139099</c:v>
                </c:pt>
                <c:pt idx="111">
                  <c:v>1609.6707570082644</c:v>
                </c:pt>
                <c:pt idx="112">
                  <c:v>1603.8467324662149</c:v>
                </c:pt>
                <c:pt idx="113">
                  <c:v>1609.6856520714177</c:v>
                </c:pt>
                <c:pt idx="114">
                  <c:v>1609.4595381589893</c:v>
                </c:pt>
                <c:pt idx="115">
                  <c:v>1607.0027809300354</c:v>
                </c:pt>
                <c:pt idx="116">
                  <c:v>1618.2947642444553</c:v>
                </c:pt>
                <c:pt idx="117">
                  <c:v>1609.1789956589887</c:v>
                </c:pt>
                <c:pt idx="118">
                  <c:v>1618.4239216850347</c:v>
                </c:pt>
                <c:pt idx="119">
                  <c:v>1618.9373781549245</c:v>
                </c:pt>
                <c:pt idx="120">
                  <c:v>1608.827753885995</c:v>
                </c:pt>
                <c:pt idx="121">
                  <c:v>1607.5807873626791</c:v>
                </c:pt>
                <c:pt idx="122">
                  <c:v>1602.5433026385031</c:v>
                </c:pt>
                <c:pt idx="123">
                  <c:v>1608.642042822672</c:v>
                </c:pt>
                <c:pt idx="124">
                  <c:v>1608.4641905657361</c:v>
                </c:pt>
                <c:pt idx="125">
                  <c:v>1601.8614054223417</c:v>
                </c:pt>
                <c:pt idx="126">
                  <c:v>1608.8522369898076</c:v>
                </c:pt>
                <c:pt idx="127">
                  <c:v>1602.3731235678688</c:v>
                </c:pt>
                <c:pt idx="128">
                  <c:v>1601.6928848264615</c:v>
                </c:pt>
                <c:pt idx="129">
                  <c:v>1608.3967275175028</c:v>
                </c:pt>
                <c:pt idx="130">
                  <c:v>1616.5363471523976</c:v>
                </c:pt>
                <c:pt idx="131">
                  <c:v>1609.8311290694833</c:v>
                </c:pt>
                <c:pt idx="132">
                  <c:v>1607.8101422950663</c:v>
                </c:pt>
                <c:pt idx="133">
                  <c:v>1604.1092814412959</c:v>
                </c:pt>
                <c:pt idx="134">
                  <c:v>1617.7286257526482</c:v>
                </c:pt>
                <c:pt idx="135">
                  <c:v>1607.2542539981323</c:v>
                </c:pt>
                <c:pt idx="136">
                  <c:v>1613.4027284741435</c:v>
                </c:pt>
                <c:pt idx="137">
                  <c:v>1612.0983121032987</c:v>
                </c:pt>
                <c:pt idx="138">
                  <c:v>1606.6797222306789</c:v>
                </c:pt>
                <c:pt idx="139">
                  <c:v>1592.2936438972947</c:v>
                </c:pt>
                <c:pt idx="140">
                  <c:v>1583.4478820339109</c:v>
                </c:pt>
                <c:pt idx="141">
                  <c:v>1606.4071947417074</c:v>
                </c:pt>
                <c:pt idx="142">
                  <c:v>1614.2167515732572</c:v>
                </c:pt>
                <c:pt idx="143">
                  <c:v>1603.9074510638177</c:v>
                </c:pt>
                <c:pt idx="144">
                  <c:v>1605.8820063574349</c:v>
                </c:pt>
                <c:pt idx="145">
                  <c:v>1600.0687143192902</c:v>
                </c:pt>
                <c:pt idx="146">
                  <c:v>1605.0363020333743</c:v>
                </c:pt>
                <c:pt idx="147">
                  <c:v>1605.438084221174</c:v>
                </c:pt>
                <c:pt idx="148">
                  <c:v>1615.4314557158471</c:v>
                </c:pt>
                <c:pt idx="149">
                  <c:v>1613.0528669815519</c:v>
                </c:pt>
                <c:pt idx="150">
                  <c:v>1604.8565497796626</c:v>
                </c:pt>
                <c:pt idx="151">
                  <c:v>1612.6574104809847</c:v>
                </c:pt>
                <c:pt idx="152">
                  <c:v>1606.2274660180988</c:v>
                </c:pt>
                <c:pt idx="153">
                  <c:v>1604.3361012219902</c:v>
                </c:pt>
                <c:pt idx="154">
                  <c:v>1599.4020846146584</c:v>
                </c:pt>
                <c:pt idx="155">
                  <c:v>1613.6136721069704</c:v>
                </c:pt>
                <c:pt idx="156">
                  <c:v>1603.0079900743285</c:v>
                </c:pt>
                <c:pt idx="157">
                  <c:v>1602.8639421338826</c:v>
                </c:pt>
                <c:pt idx="158">
                  <c:v>1594.2967584810792</c:v>
                </c:pt>
                <c:pt idx="159">
                  <c:v>1601.7649779301928</c:v>
                </c:pt>
                <c:pt idx="160">
                  <c:v>1610.5203880626116</c:v>
                </c:pt>
                <c:pt idx="161">
                  <c:v>1601.043265734236</c:v>
                </c:pt>
                <c:pt idx="162">
                  <c:v>1600.4430061398307</c:v>
                </c:pt>
                <c:pt idx="163">
                  <c:v>1592.1723481029917</c:v>
                </c:pt>
                <c:pt idx="164">
                  <c:v>1593.9053140143737</c:v>
                </c:pt>
                <c:pt idx="165">
                  <c:v>1600.6678821302876</c:v>
                </c:pt>
                <c:pt idx="166">
                  <c:v>1602.0438748375059</c:v>
                </c:pt>
                <c:pt idx="167">
                  <c:v>1592.1256115884808</c:v>
                </c:pt>
                <c:pt idx="168">
                  <c:v>1601.7068579189499</c:v>
                </c:pt>
                <c:pt idx="169">
                  <c:v>1600.0826167714363</c:v>
                </c:pt>
                <c:pt idx="170">
                  <c:v>1612.1121210708077</c:v>
                </c:pt>
                <c:pt idx="171">
                  <c:v>1600.4534483443829</c:v>
                </c:pt>
                <c:pt idx="172">
                  <c:v>1602.6587276543166</c:v>
                </c:pt>
                <c:pt idx="173">
                  <c:v>1608.9547752883907</c:v>
                </c:pt>
                <c:pt idx="174">
                  <c:v>1600.5250466366604</c:v>
                </c:pt>
                <c:pt idx="175">
                  <c:v>1589.5358963568403</c:v>
                </c:pt>
                <c:pt idx="176">
                  <c:v>1601.7966809786992</c:v>
                </c:pt>
                <c:pt idx="177">
                  <c:v>1600.7179008928269</c:v>
                </c:pt>
                <c:pt idx="178">
                  <c:v>1589.3315934874699</c:v>
                </c:pt>
                <c:pt idx="179">
                  <c:v>1585.0336039265451</c:v>
                </c:pt>
                <c:pt idx="180">
                  <c:v>1601.0114023029857</c:v>
                </c:pt>
                <c:pt idx="181">
                  <c:v>1595.5633338891678</c:v>
                </c:pt>
                <c:pt idx="182">
                  <c:v>1595.6199538858327</c:v>
                </c:pt>
                <c:pt idx="183">
                  <c:v>1601.2022341625177</c:v>
                </c:pt>
                <c:pt idx="184">
                  <c:v>1611.2690207575426</c:v>
                </c:pt>
                <c:pt idx="185">
                  <c:v>1603.0594066329975</c:v>
                </c:pt>
                <c:pt idx="186">
                  <c:v>1601.2530501931994</c:v>
                </c:pt>
                <c:pt idx="187">
                  <c:v>1602.0135318920402</c:v>
                </c:pt>
                <c:pt idx="188">
                  <c:v>1596.1454507006879</c:v>
                </c:pt>
                <c:pt idx="189">
                  <c:v>1601.4005779964837</c:v>
                </c:pt>
                <c:pt idx="190">
                  <c:v>1608.0641745285047</c:v>
                </c:pt>
                <c:pt idx="191">
                  <c:v>1602.5557894813337</c:v>
                </c:pt>
                <c:pt idx="192">
                  <c:v>1601.4724547444457</c:v>
                </c:pt>
                <c:pt idx="193">
                  <c:v>1611.5916200159791</c:v>
                </c:pt>
                <c:pt idx="194">
                  <c:v>1610.6520702958833</c:v>
                </c:pt>
                <c:pt idx="195">
                  <c:v>1601.474157874108</c:v>
                </c:pt>
                <c:pt idx="196">
                  <c:v>1601.3513129268633</c:v>
                </c:pt>
                <c:pt idx="197">
                  <c:v>1595.217205049302</c:v>
                </c:pt>
                <c:pt idx="198">
                  <c:v>1601.6299018190061</c:v>
                </c:pt>
                <c:pt idx="199">
                  <c:v>1606.9961224080921</c:v>
                </c:pt>
                <c:pt idx="200">
                  <c:v>1606.4981456736436</c:v>
                </c:pt>
                <c:pt idx="201">
                  <c:v>1601.6831567996019</c:v>
                </c:pt>
                <c:pt idx="202">
                  <c:v>1600.4070578588044</c:v>
                </c:pt>
                <c:pt idx="203">
                  <c:v>1612.3506155116515</c:v>
                </c:pt>
                <c:pt idx="204">
                  <c:v>1601.7405118185816</c:v>
                </c:pt>
                <c:pt idx="205">
                  <c:v>1609.5000687476702</c:v>
                </c:pt>
                <c:pt idx="206">
                  <c:v>1612.1730683351841</c:v>
                </c:pt>
                <c:pt idx="207">
                  <c:v>1601.744029925173</c:v>
                </c:pt>
                <c:pt idx="208">
                  <c:v>1617.1895657456218</c:v>
                </c:pt>
                <c:pt idx="209">
                  <c:v>1612.652428351148</c:v>
                </c:pt>
                <c:pt idx="210">
                  <c:v>1601.6985137810411</c:v>
                </c:pt>
                <c:pt idx="211">
                  <c:v>1597.5243226983548</c:v>
                </c:pt>
                <c:pt idx="212">
                  <c:v>1601.7991767621647</c:v>
                </c:pt>
                <c:pt idx="213">
                  <c:v>1601.8363817015918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25-4332-9DD9-E852DCF1C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  <c:pt idx="10">
                  <c:v>64.7</c:v>
                </c:pt>
                <c:pt idx="11">
                  <c:v>24.300000000000004</c:v>
                </c:pt>
                <c:pt idx="12">
                  <c:v>76.099999999999994</c:v>
                </c:pt>
                <c:pt idx="13">
                  <c:v>122.5</c:v>
                </c:pt>
                <c:pt idx="14">
                  <c:v>154.19999999999999</c:v>
                </c:pt>
                <c:pt idx="15">
                  <c:v>154.19999999999999</c:v>
                </c:pt>
                <c:pt idx="16">
                  <c:v>225.2</c:v>
                </c:pt>
                <c:pt idx="17">
                  <c:v>224</c:v>
                </c:pt>
                <c:pt idx="18">
                  <c:v>229.8</c:v>
                </c:pt>
                <c:pt idx="19">
                  <c:v>239</c:v>
                </c:pt>
                <c:pt idx="20">
                  <c:v>187.8</c:v>
                </c:pt>
                <c:pt idx="21">
                  <c:v>214.70000000000002</c:v>
                </c:pt>
                <c:pt idx="22">
                  <c:v>161.5</c:v>
                </c:pt>
                <c:pt idx="23">
                  <c:v>221.8</c:v>
                </c:pt>
                <c:pt idx="24">
                  <c:v>221.8</c:v>
                </c:pt>
                <c:pt idx="25">
                  <c:v>234.10000000000002</c:v>
                </c:pt>
                <c:pt idx="26">
                  <c:v>177.3</c:v>
                </c:pt>
                <c:pt idx="27">
                  <c:v>257.3</c:v>
                </c:pt>
                <c:pt idx="28">
                  <c:v>256.5</c:v>
                </c:pt>
                <c:pt idx="29">
                  <c:v>206.6</c:v>
                </c:pt>
                <c:pt idx="30">
                  <c:v>151.19999999999999</c:v>
                </c:pt>
                <c:pt idx="31">
                  <c:v>185.29999999999998</c:v>
                </c:pt>
                <c:pt idx="32">
                  <c:v>129.09999999999997</c:v>
                </c:pt>
                <c:pt idx="33">
                  <c:v>172.69999999999996</c:v>
                </c:pt>
                <c:pt idx="34">
                  <c:v>171.69999999999996</c:v>
                </c:pt>
                <c:pt idx="35">
                  <c:v>208.79999999999995</c:v>
                </c:pt>
                <c:pt idx="36">
                  <c:v>259.89999999999998</c:v>
                </c:pt>
                <c:pt idx="37">
                  <c:v>197.7</c:v>
                </c:pt>
                <c:pt idx="38">
                  <c:v>150.89999999999998</c:v>
                </c:pt>
                <c:pt idx="39">
                  <c:v>144.69999999999999</c:v>
                </c:pt>
                <c:pt idx="40">
                  <c:v>232.7</c:v>
                </c:pt>
                <c:pt idx="41">
                  <c:v>263.3</c:v>
                </c:pt>
                <c:pt idx="42">
                  <c:v>253.10000000000002</c:v>
                </c:pt>
                <c:pt idx="43">
                  <c:v>281.90000000000003</c:v>
                </c:pt>
                <c:pt idx="44">
                  <c:v>275.70000000000005</c:v>
                </c:pt>
                <c:pt idx="45">
                  <c:v>224.80000000000004</c:v>
                </c:pt>
                <c:pt idx="46">
                  <c:v>260.00000000000006</c:v>
                </c:pt>
                <c:pt idx="47">
                  <c:v>233.20000000000005</c:v>
                </c:pt>
                <c:pt idx="48">
                  <c:v>174.40000000000003</c:v>
                </c:pt>
                <c:pt idx="49">
                  <c:v>116.60000000000004</c:v>
                </c:pt>
                <c:pt idx="50">
                  <c:v>55.900000000000034</c:v>
                </c:pt>
                <c:pt idx="51">
                  <c:v>55.900000000000034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AC-4B3B-99E0-219E21015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2234</c:v>
                </c:pt>
                <c:pt idx="1">
                  <c:v>-585.10638297872345</c:v>
                </c:pt>
                <c:pt idx="2">
                  <c:v>-1572.7272727272727</c:v>
                </c:pt>
                <c:pt idx="3">
                  <c:v>117.07317073170732</c:v>
                </c:pt>
                <c:pt idx="4">
                  <c:v>-465.78947368421052</c:v>
                </c:pt>
                <c:pt idx="5">
                  <c:v>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1-48FD-A9EA-8F19DF3CD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10</c:v>
                </c:pt>
                <c:pt idx="2">
                  <c:v>16</c:v>
                </c:pt>
                <c:pt idx="3">
                  <c:v>36</c:v>
                </c:pt>
                <c:pt idx="4">
                  <c:v>17</c:v>
                </c:pt>
                <c:pt idx="5">
                  <c:v>13</c:v>
                </c:pt>
                <c:pt idx="6">
                  <c:v>4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EC-41D8-9ADE-DD6663808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れんたろう!$M$2:$M$53</c:f>
              <c:numCache>
                <c:formatCode>0</c:formatCode>
                <c:ptCount val="52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  <c:pt idx="10">
                  <c:v>1617.9527600087345</c:v>
                </c:pt>
                <c:pt idx="11">
                  <c:v>1610.9630434486821</c:v>
                </c:pt>
                <c:pt idx="12">
                  <c:v>1620.6112651879901</c:v>
                </c:pt>
                <c:pt idx="13">
                  <c:v>1629.229597596862</c:v>
                </c:pt>
                <c:pt idx="14">
                  <c:v>1635.1502200112809</c:v>
                </c:pt>
                <c:pt idx="15">
                  <c:v>1635.3293186912133</c:v>
                </c:pt>
                <c:pt idx="16">
                  <c:v>1648.287342779066</c:v>
                </c:pt>
                <c:pt idx="17">
                  <c:v>1647.7576187223915</c:v>
                </c:pt>
                <c:pt idx="18">
                  <c:v>1648.4970730100572</c:v>
                </c:pt>
                <c:pt idx="19">
                  <c:v>1649.8380905719969</c:v>
                </c:pt>
                <c:pt idx="20">
                  <c:v>1640.3050620285649</c:v>
                </c:pt>
                <c:pt idx="21">
                  <c:v>1644.8812316563935</c:v>
                </c:pt>
                <c:pt idx="22">
                  <c:v>1635.0179442664553</c:v>
                </c:pt>
                <c:pt idx="23">
                  <c:v>1645.6378366008566</c:v>
                </c:pt>
                <c:pt idx="24">
                  <c:v>1645.3460095812516</c:v>
                </c:pt>
                <c:pt idx="25">
                  <c:v>1647.2639335237641</c:v>
                </c:pt>
                <c:pt idx="26">
                  <c:v>1636.7323499226216</c:v>
                </c:pt>
                <c:pt idx="27">
                  <c:v>1650.8879558230858</c:v>
                </c:pt>
                <c:pt idx="28">
                  <c:v>1650.4146280881473</c:v>
                </c:pt>
                <c:pt idx="29">
                  <c:v>1641.1061403196184</c:v>
                </c:pt>
                <c:pt idx="30">
                  <c:v>1630.8635034777008</c:v>
                </c:pt>
                <c:pt idx="31">
                  <c:v>1636.7923224568347</c:v>
                </c:pt>
                <c:pt idx="32">
                  <c:v>1626.0475685220936</c:v>
                </c:pt>
                <c:pt idx="33">
                  <c:v>1633.325283110961</c:v>
                </c:pt>
                <c:pt idx="34">
                  <c:v>1632.5313314122952</c:v>
                </c:pt>
                <c:pt idx="35">
                  <c:v>1639.0621434238215</c:v>
                </c:pt>
                <c:pt idx="36">
                  <c:v>1648.3617705632785</c:v>
                </c:pt>
                <c:pt idx="37">
                  <c:v>1636.4855999398987</c:v>
                </c:pt>
                <c:pt idx="38">
                  <c:v>1627.8906863402594</c:v>
                </c:pt>
                <c:pt idx="39">
                  <c:v>1626.6553422222178</c:v>
                </c:pt>
                <c:pt idx="40">
                  <c:v>1642.3834101688844</c:v>
                </c:pt>
                <c:pt idx="41">
                  <c:v>1647.6851097078711</c:v>
                </c:pt>
                <c:pt idx="42">
                  <c:v>1645.6109990496238</c:v>
                </c:pt>
                <c:pt idx="43">
                  <c:v>1650.5693330553261</c:v>
                </c:pt>
                <c:pt idx="44">
                  <c:v>1649.1979170569941</c:v>
                </c:pt>
                <c:pt idx="45">
                  <c:v>1639.7887295546523</c:v>
                </c:pt>
                <c:pt idx="46">
                  <c:v>1645.9339971773243</c:v>
                </c:pt>
                <c:pt idx="47">
                  <c:v>1640.8823931942604</c:v>
                </c:pt>
                <c:pt idx="48">
                  <c:v>1630.1010988350949</c:v>
                </c:pt>
                <c:pt idx="49">
                  <c:v>1619.5644922420843</c:v>
                </c:pt>
                <c:pt idx="50">
                  <c:v>1608.5691052886318</c:v>
                </c:pt>
                <c:pt idx="51">
                  <c:v>1608.5656906569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7B-43D3-B41C-F90443296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だいち!$L$2:$L$69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  <c:pt idx="10">
                  <c:v>60.500000000000007</c:v>
                </c:pt>
                <c:pt idx="11">
                  <c:v>41.100000000000009</c:v>
                </c:pt>
                <c:pt idx="12">
                  <c:v>98.9</c:v>
                </c:pt>
                <c:pt idx="13">
                  <c:v>119.10000000000001</c:v>
                </c:pt>
                <c:pt idx="14">
                  <c:v>162.4</c:v>
                </c:pt>
                <c:pt idx="15">
                  <c:v>219.2</c:v>
                </c:pt>
                <c:pt idx="16">
                  <c:v>207.6</c:v>
                </c:pt>
                <c:pt idx="17">
                  <c:v>209.2</c:v>
                </c:pt>
                <c:pt idx="18">
                  <c:v>194.39999999999998</c:v>
                </c:pt>
                <c:pt idx="19">
                  <c:v>216.79999999999998</c:v>
                </c:pt>
                <c:pt idx="20">
                  <c:v>215.6</c:v>
                </c:pt>
                <c:pt idx="21">
                  <c:v>252.8</c:v>
                </c:pt>
                <c:pt idx="22">
                  <c:v>250.60000000000002</c:v>
                </c:pt>
                <c:pt idx="23">
                  <c:v>262.3</c:v>
                </c:pt>
                <c:pt idx="24">
                  <c:v>261.60000000000002</c:v>
                </c:pt>
                <c:pt idx="25">
                  <c:v>261.60000000000002</c:v>
                </c:pt>
                <c:pt idx="26">
                  <c:v>212.8</c:v>
                </c:pt>
                <c:pt idx="27">
                  <c:v>189.70000000000002</c:v>
                </c:pt>
                <c:pt idx="28">
                  <c:v>219.4</c:v>
                </c:pt>
                <c:pt idx="29">
                  <c:v>252.3</c:v>
                </c:pt>
                <c:pt idx="30">
                  <c:v>258.2</c:v>
                </c:pt>
                <c:pt idx="31">
                  <c:v>230.79999999999998</c:v>
                </c:pt>
                <c:pt idx="32">
                  <c:v>304.29999999999995</c:v>
                </c:pt>
                <c:pt idx="33">
                  <c:v>304.49999999999994</c:v>
                </c:pt>
                <c:pt idx="34">
                  <c:v>372.49999999999994</c:v>
                </c:pt>
                <c:pt idx="35">
                  <c:v>317.99999999999994</c:v>
                </c:pt>
                <c:pt idx="36">
                  <c:v>358.59999999999997</c:v>
                </c:pt>
                <c:pt idx="37">
                  <c:v>342.59999999999997</c:v>
                </c:pt>
                <c:pt idx="38">
                  <c:v>310.7</c:v>
                </c:pt>
                <c:pt idx="39">
                  <c:v>297.5</c:v>
                </c:pt>
                <c:pt idx="40">
                  <c:v>349.3</c:v>
                </c:pt>
                <c:pt idx="41">
                  <c:v>342.8</c:v>
                </c:pt>
                <c:pt idx="42">
                  <c:v>341.5</c:v>
                </c:pt>
                <c:pt idx="43">
                  <c:v>306.5</c:v>
                </c:pt>
                <c:pt idx="44">
                  <c:v>352.7</c:v>
                </c:pt>
                <c:pt idx="45">
                  <c:v>333.09999999999997</c:v>
                </c:pt>
                <c:pt idx="46">
                  <c:v>368.2</c:v>
                </c:pt>
                <c:pt idx="47">
                  <c:v>289.2</c:v>
                </c:pt>
                <c:pt idx="48">
                  <c:v>333.5</c:v>
                </c:pt>
                <c:pt idx="49">
                  <c:v>302.10000000000002</c:v>
                </c:pt>
                <c:pt idx="50">
                  <c:v>358.5</c:v>
                </c:pt>
                <c:pt idx="51">
                  <c:v>402.7</c:v>
                </c:pt>
                <c:pt idx="52">
                  <c:v>411.8</c:v>
                </c:pt>
                <c:pt idx="53">
                  <c:v>354.90000000000003</c:v>
                </c:pt>
                <c:pt idx="54">
                  <c:v>366.90000000000003</c:v>
                </c:pt>
                <c:pt idx="55">
                  <c:v>305.60000000000002</c:v>
                </c:pt>
                <c:pt idx="56">
                  <c:v>242.10000000000002</c:v>
                </c:pt>
                <c:pt idx="57">
                  <c:v>211.60000000000002</c:v>
                </c:pt>
                <c:pt idx="58">
                  <c:v>267.3</c:v>
                </c:pt>
                <c:pt idx="59">
                  <c:v>271.3</c:v>
                </c:pt>
                <c:pt idx="60">
                  <c:v>308.10000000000002</c:v>
                </c:pt>
                <c:pt idx="61">
                  <c:v>364.1</c:v>
                </c:pt>
                <c:pt idx="62">
                  <c:v>363.20000000000005</c:v>
                </c:pt>
                <c:pt idx="63">
                  <c:v>392.80000000000007</c:v>
                </c:pt>
                <c:pt idx="64">
                  <c:v>385.50000000000006</c:v>
                </c:pt>
                <c:pt idx="65">
                  <c:v>428.40000000000003</c:v>
                </c:pt>
                <c:pt idx="66">
                  <c:v>514</c:v>
                </c:pt>
                <c:pt idx="67">
                  <c:v>490.6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7D-44FD-A1D9-CCAEB99EB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1828.7878787878788</c:v>
                </c:pt>
                <c:pt idx="1">
                  <c:v>1828.5714285714287</c:v>
                </c:pt>
                <c:pt idx="2">
                  <c:v>400</c:v>
                </c:pt>
                <c:pt idx="3">
                  <c:v>1033.9285714285713</c:v>
                </c:pt>
                <c:pt idx="4">
                  <c:v>726.41509433962267</c:v>
                </c:pt>
                <c:pt idx="5">
                  <c:v>-278.72340425531917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BC-49E1-9901-BC8E0EA748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9</c:v>
                </c:pt>
                <c:pt idx="1">
                  <c:v>24</c:v>
                </c:pt>
                <c:pt idx="2">
                  <c:v>39</c:v>
                </c:pt>
                <c:pt idx="3">
                  <c:v>42</c:v>
                </c:pt>
                <c:pt idx="4">
                  <c:v>30</c:v>
                </c:pt>
                <c:pt idx="5">
                  <c:v>18</c:v>
                </c:pt>
                <c:pt idx="6">
                  <c:v>8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3-4611-B413-BBB200EC9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だいち!$M$2:$M$69</c:f>
              <c:numCache>
                <c:formatCode>0</c:formatCode>
                <c:ptCount val="68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  <c:pt idx="10">
                  <c:v>1760.5890392922074</c:v>
                </c:pt>
                <c:pt idx="11">
                  <c:v>1756.0315050564541</c:v>
                </c:pt>
                <c:pt idx="12">
                  <c:v>1765.3973160261153</c:v>
                </c:pt>
                <c:pt idx="13">
                  <c:v>1767.9389321299586</c:v>
                </c:pt>
                <c:pt idx="14">
                  <c:v>1774.6232985371789</c:v>
                </c:pt>
                <c:pt idx="15">
                  <c:v>1783.6975587459558</c:v>
                </c:pt>
                <c:pt idx="16">
                  <c:v>1780.40537339348</c:v>
                </c:pt>
                <c:pt idx="17">
                  <c:v>1779.5089411531192</c:v>
                </c:pt>
                <c:pt idx="18">
                  <c:v>1775.6658875062005</c:v>
                </c:pt>
                <c:pt idx="19">
                  <c:v>1778.5418921811633</c:v>
                </c:pt>
                <c:pt idx="20">
                  <c:v>1777.6446408280763</c:v>
                </c:pt>
                <c:pt idx="21">
                  <c:v>1783.6647729831077</c:v>
                </c:pt>
                <c:pt idx="22">
                  <c:v>1782.5567843452091</c:v>
                </c:pt>
                <c:pt idx="23">
                  <c:v>1783.9574436391379</c:v>
                </c:pt>
                <c:pt idx="24">
                  <c:v>1783.117698977303</c:v>
                </c:pt>
                <c:pt idx="25">
                  <c:v>1782.4089927834391</c:v>
                </c:pt>
                <c:pt idx="26">
                  <c:v>1772.9205388267385</c:v>
                </c:pt>
                <c:pt idx="27">
                  <c:v>1767.701015593778</c:v>
                </c:pt>
                <c:pt idx="28">
                  <c:v>1772.0228095002153</c:v>
                </c:pt>
                <c:pt idx="29">
                  <c:v>1776.888672643214</c:v>
                </c:pt>
                <c:pt idx="30">
                  <c:v>1776.8713406073548</c:v>
                </c:pt>
                <c:pt idx="31">
                  <c:v>1770.8541125637107</c:v>
                </c:pt>
                <c:pt idx="32">
                  <c:v>1783.0409878883283</c:v>
                </c:pt>
                <c:pt idx="33">
                  <c:v>1781.9547419609983</c:v>
                </c:pt>
                <c:pt idx="34">
                  <c:v>1793.0850135092323</c:v>
                </c:pt>
                <c:pt idx="35">
                  <c:v>1782.092503428177</c:v>
                </c:pt>
                <c:pt idx="36">
                  <c:v>1788.283948407608</c:v>
                </c:pt>
                <c:pt idx="37">
                  <c:v>1784.2502447171623</c:v>
                </c:pt>
                <c:pt idx="38">
                  <c:v>1777.3787432488593</c:v>
                </c:pt>
                <c:pt idx="39">
                  <c:v>1773.9144707893661</c:v>
                </c:pt>
                <c:pt idx="40">
                  <c:v>1782.1709839646298</c:v>
                </c:pt>
                <c:pt idx="41">
                  <c:v>1779.8839580608421</c:v>
                </c:pt>
                <c:pt idx="42">
                  <c:v>1778.6786543124772</c:v>
                </c:pt>
                <c:pt idx="43">
                  <c:v>1771.1805823866023</c:v>
                </c:pt>
                <c:pt idx="44">
                  <c:v>1778.3434988922827</c:v>
                </c:pt>
                <c:pt idx="45">
                  <c:v>1773.6194378989289</c:v>
                </c:pt>
                <c:pt idx="46">
                  <c:v>1778.7697212715354</c:v>
                </c:pt>
                <c:pt idx="47">
                  <c:v>1763.3511029439062</c:v>
                </c:pt>
                <c:pt idx="48">
                  <c:v>1770.2189963262429</c:v>
                </c:pt>
                <c:pt idx="49">
                  <c:v>1763.4196823482855</c:v>
                </c:pt>
                <c:pt idx="50">
                  <c:v>1772.4651642541958</c:v>
                </c:pt>
                <c:pt idx="51">
                  <c:v>1779.2603732686705</c:v>
                </c:pt>
                <c:pt idx="52">
                  <c:v>1779.8708110290584</c:v>
                </c:pt>
                <c:pt idx="53">
                  <c:v>1768.885586162884</c:v>
                </c:pt>
                <c:pt idx="54">
                  <c:v>1770.0802726459067</c:v>
                </c:pt>
                <c:pt idx="55">
                  <c:v>1758.0737910100313</c:v>
                </c:pt>
                <c:pt idx="56">
                  <c:v>1745.743348263971</c:v>
                </c:pt>
                <c:pt idx="57">
                  <c:v>1739.4268881743872</c:v>
                </c:pt>
                <c:pt idx="58">
                  <c:v>1748.6643268453408</c:v>
                </c:pt>
                <c:pt idx="59">
                  <c:v>1748.5403408842687</c:v>
                </c:pt>
                <c:pt idx="60">
                  <c:v>1754.3210988389631</c:v>
                </c:pt>
                <c:pt idx="61">
                  <c:v>1763.5231722459293</c:v>
                </c:pt>
                <c:pt idx="62">
                  <c:v>1762.4280332124538</c:v>
                </c:pt>
                <c:pt idx="63">
                  <c:v>1766.8294650131791</c:v>
                </c:pt>
                <c:pt idx="64">
                  <c:v>1764.5624882231</c:v>
                </c:pt>
                <c:pt idx="65">
                  <c:v>1771.3451132937614</c:v>
                </c:pt>
                <c:pt idx="66">
                  <c:v>1785.7730426139988</c:v>
                </c:pt>
                <c:pt idx="67">
                  <c:v>1780.4944043583148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41-41B8-A44B-31064D2B2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9-4786-93F7-6C6DFDFF6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60-425F-B299-7B857313E6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D9-4A4D-BC31-744029368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78-4362-854F-2D0338A6A6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  <c:pt idx="7">
                  <c:v>36.5</c:v>
                </c:pt>
                <c:pt idx="8">
                  <c:v>35.9</c:v>
                </c:pt>
                <c:pt idx="9">
                  <c:v>-3.3000000000000043</c:v>
                </c:pt>
                <c:pt idx="10">
                  <c:v>-0.90000000000000435</c:v>
                </c:pt>
                <c:pt idx="11">
                  <c:v>-3.4000000000000044</c:v>
                </c:pt>
                <c:pt idx="12">
                  <c:v>-12.700000000000005</c:v>
                </c:pt>
                <c:pt idx="13">
                  <c:v>-58.7</c:v>
                </c:pt>
                <c:pt idx="14">
                  <c:v>-32.700000000000003</c:v>
                </c:pt>
                <c:pt idx="15">
                  <c:v>10.699999999999996</c:v>
                </c:pt>
                <c:pt idx="16">
                  <c:v>-22.000000000000007</c:v>
                </c:pt>
                <c:pt idx="17">
                  <c:v>-44.800000000000011</c:v>
                </c:pt>
                <c:pt idx="18">
                  <c:v>-41.600000000000009</c:v>
                </c:pt>
                <c:pt idx="19">
                  <c:v>-91.200000000000017</c:v>
                </c:pt>
                <c:pt idx="20">
                  <c:v>-149.30000000000001</c:v>
                </c:pt>
                <c:pt idx="21">
                  <c:v>-180.3</c:v>
                </c:pt>
                <c:pt idx="22">
                  <c:v>-180.3</c:v>
                </c:pt>
                <c:pt idx="23">
                  <c:v>-202.5</c:v>
                </c:pt>
                <c:pt idx="24">
                  <c:v>-239.5</c:v>
                </c:pt>
                <c:pt idx="25">
                  <c:v>-242.5</c:v>
                </c:pt>
                <c:pt idx="26">
                  <c:v>-278.5</c:v>
                </c:pt>
                <c:pt idx="27">
                  <c:v>-202</c:v>
                </c:pt>
                <c:pt idx="28">
                  <c:v>-208.1</c:v>
                </c:pt>
                <c:pt idx="29">
                  <c:v>-256.8</c:v>
                </c:pt>
                <c:pt idx="30">
                  <c:v>-312.90000000000003</c:v>
                </c:pt>
                <c:pt idx="31">
                  <c:v>-284.60000000000002</c:v>
                </c:pt>
                <c:pt idx="32">
                  <c:v>-296.60000000000002</c:v>
                </c:pt>
                <c:pt idx="33">
                  <c:v>-331.20000000000005</c:v>
                </c:pt>
                <c:pt idx="34">
                  <c:v>-250.00000000000006</c:v>
                </c:pt>
                <c:pt idx="35">
                  <c:v>-295.20000000000005</c:v>
                </c:pt>
                <c:pt idx="36">
                  <c:v>-345.20000000000005</c:v>
                </c:pt>
                <c:pt idx="37">
                  <c:v>-339.40000000000003</c:v>
                </c:pt>
                <c:pt idx="38">
                  <c:v>-346.20000000000005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A9-452B-8931-0EE719B60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-2237.8378378378379</c:v>
                </c:pt>
                <c:pt idx="1">
                  <c:v>-1121.6216216216217</c:v>
                </c:pt>
                <c:pt idx="2">
                  <c:v>-1371.4285714285713</c:v>
                </c:pt>
                <c:pt idx="3">
                  <c:v>-1984.8484848484848</c:v>
                </c:pt>
                <c:pt idx="4">
                  <c:v>1823.3333333333333</c:v>
                </c:pt>
                <c:pt idx="5">
                  <c:v>-1461.5384615384614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85-4997-B3EF-F0FACBBEC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6</c:v>
                </c:pt>
                <c:pt idx="1">
                  <c:v>14</c:v>
                </c:pt>
                <c:pt idx="2">
                  <c:v>18</c:v>
                </c:pt>
                <c:pt idx="3">
                  <c:v>14</c:v>
                </c:pt>
                <c:pt idx="4">
                  <c:v>10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4-4C50-AFD3-CCD372C4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ただ!$M$2:$M$40</c:f>
              <c:numCache>
                <c:formatCode>0</c:formatCode>
                <c:ptCount val="39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  <c:pt idx="7">
                  <c:v>1614.9687685524234</c:v>
                </c:pt>
                <c:pt idx="8">
                  <c:v>1614.6689559411088</c:v>
                </c:pt>
                <c:pt idx="9">
                  <c:v>1607.4229422054623</c:v>
                </c:pt>
                <c:pt idx="10">
                  <c:v>1607.7084045522295</c:v>
                </c:pt>
                <c:pt idx="11">
                  <c:v>1607.1101541249161</c:v>
                </c:pt>
                <c:pt idx="12">
                  <c:v>1605.2914932001665</c:v>
                </c:pt>
                <c:pt idx="13">
                  <c:v>1596.8777442409655</c:v>
                </c:pt>
                <c:pt idx="14">
                  <c:v>1601.4744777755197</c:v>
                </c:pt>
                <c:pt idx="15">
                  <c:v>1609.1756309088667</c:v>
                </c:pt>
                <c:pt idx="16">
                  <c:v>1603.1325771234135</c:v>
                </c:pt>
                <c:pt idx="17">
                  <c:v>1599.3997816606729</c:v>
                </c:pt>
                <c:pt idx="18">
                  <c:v>1600.369382970709</c:v>
                </c:pt>
                <c:pt idx="19">
                  <c:v>1591.8291666728849</c:v>
                </c:pt>
                <c:pt idx="20">
                  <c:v>1581.8101916728476</c:v>
                </c:pt>
                <c:pt idx="21">
                  <c:v>1576.7293305228106</c:v>
                </c:pt>
                <c:pt idx="22">
                  <c:v>1577.2589545396738</c:v>
                </c:pt>
                <c:pt idx="23">
                  <c:v>1573.7894008124358</c:v>
                </c:pt>
                <c:pt idx="24">
                  <c:v>1567.3946644075611</c:v>
                </c:pt>
                <c:pt idx="25">
                  <c:v>1566.9242964211157</c:v>
                </c:pt>
                <c:pt idx="26">
                  <c:v>1560.5167506425892</c:v>
                </c:pt>
                <c:pt idx="27">
                  <c:v>1574.3976501387335</c:v>
                </c:pt>
                <c:pt idx="28">
                  <c:v>1573.3272642379011</c:v>
                </c:pt>
                <c:pt idx="29">
                  <c:v>1564.5953006524737</c:v>
                </c:pt>
                <c:pt idx="30">
                  <c:v>1554.5837288485588</c:v>
                </c:pt>
                <c:pt idx="31">
                  <c:v>1559.8242264754674</c:v>
                </c:pt>
                <c:pt idx="32">
                  <c:v>1557.7792811166146</c:v>
                </c:pt>
                <c:pt idx="33">
                  <c:v>1551.6786054299148</c:v>
                </c:pt>
                <c:pt idx="34">
                  <c:v>1566.1765337973352</c:v>
                </c:pt>
                <c:pt idx="35">
                  <c:v>1557.8294745945511</c:v>
                </c:pt>
                <c:pt idx="36">
                  <c:v>1548.6684977469838</c:v>
                </c:pt>
                <c:pt idx="37">
                  <c:v>1550.3564867605019</c:v>
                </c:pt>
                <c:pt idx="38">
                  <c:v>1549.0403478399389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FE-4316-AB66-342B9A4F6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-24.3</c:v>
                </c:pt>
                <c:pt idx="2">
                  <c:v>-4.3000000000000007</c:v>
                </c:pt>
                <c:pt idx="3">
                  <c:v>-22.900000000000002</c:v>
                </c:pt>
                <c:pt idx="4">
                  <c:v>-45.5</c:v>
                </c:pt>
                <c:pt idx="5">
                  <c:v>-86.3</c:v>
                </c:pt>
                <c:pt idx="6">
                  <c:v>-133.80000000000001</c:v>
                </c:pt>
                <c:pt idx="7">
                  <c:v>-76.200000000000017</c:v>
                </c:pt>
                <c:pt idx="8">
                  <c:v>-103.80000000000001</c:v>
                </c:pt>
                <c:pt idx="9">
                  <c:v>-132.4</c:v>
                </c:pt>
                <c:pt idx="10">
                  <c:v>-122.10000000000001</c:v>
                </c:pt>
                <c:pt idx="11">
                  <c:v>-97.800000000000011</c:v>
                </c:pt>
                <c:pt idx="12">
                  <c:v>-133.30000000000001</c:v>
                </c:pt>
                <c:pt idx="13">
                  <c:v>-175.4</c:v>
                </c:pt>
                <c:pt idx="14">
                  <c:v>-130.10000000000002</c:v>
                </c:pt>
                <c:pt idx="15">
                  <c:v>-129.60000000000002</c:v>
                </c:pt>
                <c:pt idx="16">
                  <c:v>-149.90000000000003</c:v>
                </c:pt>
                <c:pt idx="17">
                  <c:v>-210.40000000000003</c:v>
                </c:pt>
                <c:pt idx="18">
                  <c:v>-278.40000000000003</c:v>
                </c:pt>
                <c:pt idx="19">
                  <c:v>-236.20000000000005</c:v>
                </c:pt>
                <c:pt idx="20">
                  <c:v>-220.00000000000006</c:v>
                </c:pt>
                <c:pt idx="21">
                  <c:v>-284.00000000000006</c:v>
                </c:pt>
                <c:pt idx="22">
                  <c:v>-251.30000000000007</c:v>
                </c:pt>
                <c:pt idx="23">
                  <c:v>-188.20000000000007</c:v>
                </c:pt>
                <c:pt idx="24">
                  <c:v>-184.60000000000008</c:v>
                </c:pt>
                <c:pt idx="25">
                  <c:v>-212.20000000000007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D1-4D4B-86A6-6364E78F2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-6360</c:v>
                </c:pt>
                <c:pt idx="1">
                  <c:v>-2565.217391304348</c:v>
                </c:pt>
                <c:pt idx="2">
                  <c:v>1921.7391304347825</c:v>
                </c:pt>
                <c:pt idx="3">
                  <c:v>1413.6363636363637</c:v>
                </c:pt>
                <c:pt idx="4">
                  <c:v>-1509.5238095238096</c:v>
                </c:pt>
                <c:pt idx="5">
                  <c:v>1110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FA-4654-A06C-57B4555DC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8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C-48D1-AC6C-40D6C5778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りくと!$M$2:$M$27</c:f>
              <c:numCache>
                <c:formatCode>0</c:formatCode>
                <c:ptCount val="26"/>
                <c:pt idx="0">
                  <c:v>1377.1480089618358</c:v>
                </c:pt>
                <c:pt idx="1">
                  <c:v>1374.2551209080648</c:v>
                </c:pt>
                <c:pt idx="2">
                  <c:v>1379.1075901826164</c:v>
                </c:pt>
                <c:pt idx="3">
                  <c:v>1376.9829446415206</c:v>
                </c:pt>
                <c:pt idx="4">
                  <c:v>1374.1510469736716</c:v>
                </c:pt>
                <c:pt idx="5">
                  <c:v>1368.0601406918295</c:v>
                </c:pt>
                <c:pt idx="6">
                  <c:v>1360.7997798476786</c:v>
                </c:pt>
                <c:pt idx="7">
                  <c:v>1372.5009811685925</c:v>
                </c:pt>
                <c:pt idx="8">
                  <c:v>1368.7959752815809</c:v>
                </c:pt>
                <c:pt idx="9">
                  <c:v>1364.9331994298914</c:v>
                </c:pt>
                <c:pt idx="10">
                  <c:v>1368.0956002333121</c:v>
                </c:pt>
                <c:pt idx="11">
                  <c:v>1373.8370266319123</c:v>
                </c:pt>
                <c:pt idx="12">
                  <c:v>1368.7860044721208</c:v>
                </c:pt>
                <c:pt idx="13">
                  <c:v>1362.571288445288</c:v>
                </c:pt>
                <c:pt idx="14">
                  <c:v>1372.1318607146163</c:v>
                </c:pt>
                <c:pt idx="15">
                  <c:v>1373.5650695503286</c:v>
                </c:pt>
                <c:pt idx="16">
                  <c:v>1371.2516791330268</c:v>
                </c:pt>
                <c:pt idx="17">
                  <c:v>1361.7101690582285</c:v>
                </c:pt>
                <c:pt idx="18">
                  <c:v>1350.8819080438791</c:v>
                </c:pt>
                <c:pt idx="19">
                  <c:v>1359.9486165956159</c:v>
                </c:pt>
                <c:pt idx="20">
                  <c:v>1364.2809248960423</c:v>
                </c:pt>
                <c:pt idx="21">
                  <c:v>1354.151239346666</c:v>
                </c:pt>
                <c:pt idx="22">
                  <c:v>1361.4883319105859</c:v>
                </c:pt>
                <c:pt idx="23">
                  <c:v>1374.2534019191223</c:v>
                </c:pt>
                <c:pt idx="24">
                  <c:v>1376.2318815076076</c:v>
                </c:pt>
                <c:pt idx="25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9-42B3-918C-87950D6B6F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  <c:pt idx="8">
                  <c:v>122.8</c:v>
                </c:pt>
                <c:pt idx="9">
                  <c:v>78.400000000000006</c:v>
                </c:pt>
                <c:pt idx="10">
                  <c:v>68.800000000000011</c:v>
                </c:pt>
                <c:pt idx="11">
                  <c:v>43.800000000000011</c:v>
                </c:pt>
                <c:pt idx="12">
                  <c:v>45.400000000000013</c:v>
                </c:pt>
                <c:pt idx="13">
                  <c:v>96.4</c:v>
                </c:pt>
                <c:pt idx="14">
                  <c:v>50.2</c:v>
                </c:pt>
                <c:pt idx="15">
                  <c:v>119.2</c:v>
                </c:pt>
                <c:pt idx="16">
                  <c:v>154</c:v>
                </c:pt>
                <c:pt idx="17">
                  <c:v>221.5</c:v>
                </c:pt>
                <c:pt idx="18">
                  <c:v>197</c:v>
                </c:pt>
                <c:pt idx="19">
                  <c:v>196.9</c:v>
                </c:pt>
                <c:pt idx="20">
                  <c:v>151.4</c:v>
                </c:pt>
                <c:pt idx="21">
                  <c:v>118.60000000000001</c:v>
                </c:pt>
                <c:pt idx="22">
                  <c:v>88</c:v>
                </c:pt>
                <c:pt idx="23">
                  <c:v>82.9</c:v>
                </c:pt>
                <c:pt idx="24">
                  <c:v>48.600000000000009</c:v>
                </c:pt>
                <c:pt idx="25">
                  <c:v>45.800000000000011</c:v>
                </c:pt>
                <c:pt idx="26">
                  <c:v>111.9</c:v>
                </c:pt>
                <c:pt idx="27">
                  <c:v>126.80000000000001</c:v>
                </c:pt>
                <c:pt idx="28">
                  <c:v>101.9</c:v>
                </c:pt>
                <c:pt idx="29">
                  <c:v>125.30000000000001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3-4026-B72A-4F0BBE18A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944.82758620689651</c:v>
                </c:pt>
                <c:pt idx="1">
                  <c:v>1928.5714285714287</c:v>
                </c:pt>
                <c:pt idx="2">
                  <c:v>2148.1481481481483</c:v>
                </c:pt>
                <c:pt idx="3">
                  <c:v>-1239.1304347826087</c:v>
                </c:pt>
                <c:pt idx="4">
                  <c:v>-1657.1428571428571</c:v>
                </c:pt>
                <c:pt idx="5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17-46D1-9575-E88BF0E2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0</c:v>
                </c:pt>
                <c:pt idx="1">
                  <c:v>14</c:v>
                </c:pt>
                <c:pt idx="2">
                  <c:v>12</c:v>
                </c:pt>
                <c:pt idx="3">
                  <c:v>15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C-4FE8-81F6-1D051D2E1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ぱぱ!$M$2:$M$31</c:f>
              <c:numCache>
                <c:formatCode>0</c:formatCode>
                <c:ptCount val="30"/>
                <c:pt idx="0">
                  <c:v>1382.1789004547948</c:v>
                </c:pt>
                <c:pt idx="1">
                  <c:v>1390.487827052066</c:v>
                </c:pt>
                <c:pt idx="2">
                  <c:v>1398.4589000897536</c:v>
                </c:pt>
                <c:pt idx="3">
                  <c:v>1397.7061466892151</c:v>
                </c:pt>
                <c:pt idx="4">
                  <c:v>1388.5519098090797</c:v>
                </c:pt>
                <c:pt idx="5">
                  <c:v>1384.4745983502253</c:v>
                </c:pt>
                <c:pt idx="6">
                  <c:v>1408.6277507601239</c:v>
                </c:pt>
                <c:pt idx="7">
                  <c:v>1411.7739842555632</c:v>
                </c:pt>
                <c:pt idx="8">
                  <c:v>1413.3353403500298</c:v>
                </c:pt>
                <c:pt idx="9">
                  <c:v>1406.3373283079297</c:v>
                </c:pt>
                <c:pt idx="10">
                  <c:v>1405.6453043380823</c:v>
                </c:pt>
                <c:pt idx="11">
                  <c:v>1401.9034325120538</c:v>
                </c:pt>
                <c:pt idx="12">
                  <c:v>1402.9660119169814</c:v>
                </c:pt>
                <c:pt idx="13">
                  <c:v>1412.9142158454795</c:v>
                </c:pt>
                <c:pt idx="14">
                  <c:v>1405.7687305504066</c:v>
                </c:pt>
                <c:pt idx="15">
                  <c:v>1418.9641181671043</c:v>
                </c:pt>
                <c:pt idx="16">
                  <c:v>1426.3623334581016</c:v>
                </c:pt>
                <c:pt idx="17">
                  <c:v>1439.6021594573531</c:v>
                </c:pt>
                <c:pt idx="18">
                  <c:v>1436.2025465006091</c:v>
                </c:pt>
                <c:pt idx="19">
                  <c:v>1437.2153312216053</c:v>
                </c:pt>
                <c:pt idx="20">
                  <c:v>1430.0500392342756</c:v>
                </c:pt>
                <c:pt idx="21">
                  <c:v>1425.21373899887</c:v>
                </c:pt>
                <c:pt idx="22">
                  <c:v>1420.8024565648768</c:v>
                </c:pt>
                <c:pt idx="23">
                  <c:v>1421.0076418254876</c:v>
                </c:pt>
                <c:pt idx="24">
                  <c:v>1415.9555959745346</c:v>
                </c:pt>
                <c:pt idx="25">
                  <c:v>1416.6038623986874</c:v>
                </c:pt>
                <c:pt idx="26">
                  <c:v>1429.6502392242953</c:v>
                </c:pt>
                <c:pt idx="27">
                  <c:v>1433.4023377889496</c:v>
                </c:pt>
                <c:pt idx="28">
                  <c:v>1429.9679237622158</c:v>
                </c:pt>
                <c:pt idx="29">
                  <c:v>1435.2481162196425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24-4A70-8B08-6E2C24F7FE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ぱぱ2!$B$3:$B$32</c:f>
              <c:numCache>
                <c:formatCode>\+0.0;\-0.0;\±0</c:formatCode>
                <c:ptCount val="30"/>
                <c:pt idx="0">
                  <c:v>0</c:v>
                </c:pt>
                <c:pt idx="1">
                  <c:v>38.299999999999997</c:v>
                </c:pt>
                <c:pt idx="2">
                  <c:v>76.3</c:v>
                </c:pt>
                <c:pt idx="3">
                  <c:v>66.099999999999994</c:v>
                </c:pt>
                <c:pt idx="4">
                  <c:v>9.1999999999999957</c:v>
                </c:pt>
                <c:pt idx="5">
                  <c:v>-19.800000000000004</c:v>
                </c:pt>
                <c:pt idx="6">
                  <c:v>107.9</c:v>
                </c:pt>
                <c:pt idx="7">
                  <c:v>119.7</c:v>
                </c:pt>
                <c:pt idx="8">
                  <c:v>122.8</c:v>
                </c:pt>
                <c:pt idx="9">
                  <c:v>78.400000000000006</c:v>
                </c:pt>
                <c:pt idx="10">
                  <c:v>68.800000000000011</c:v>
                </c:pt>
                <c:pt idx="11">
                  <c:v>43.800000000000011</c:v>
                </c:pt>
                <c:pt idx="12">
                  <c:v>45.400000000000013</c:v>
                </c:pt>
                <c:pt idx="13">
                  <c:v>96.4</c:v>
                </c:pt>
                <c:pt idx="14">
                  <c:v>50.2</c:v>
                </c:pt>
                <c:pt idx="15">
                  <c:v>119.2</c:v>
                </c:pt>
                <c:pt idx="16">
                  <c:v>154</c:v>
                </c:pt>
                <c:pt idx="17">
                  <c:v>221.5</c:v>
                </c:pt>
                <c:pt idx="18">
                  <c:v>197</c:v>
                </c:pt>
                <c:pt idx="19">
                  <c:v>196.9</c:v>
                </c:pt>
                <c:pt idx="20">
                  <c:v>151.4</c:v>
                </c:pt>
                <c:pt idx="21">
                  <c:v>118.60000000000001</c:v>
                </c:pt>
                <c:pt idx="22">
                  <c:v>88</c:v>
                </c:pt>
                <c:pt idx="23">
                  <c:v>82.9</c:v>
                </c:pt>
                <c:pt idx="24">
                  <c:v>48.600000000000009</c:v>
                </c:pt>
                <c:pt idx="25">
                  <c:v>45.800000000000011</c:v>
                </c:pt>
                <c:pt idx="26">
                  <c:v>111.9</c:v>
                </c:pt>
                <c:pt idx="27">
                  <c:v>126.80000000000001</c:v>
                </c:pt>
                <c:pt idx="28">
                  <c:v>101.9</c:v>
                </c:pt>
                <c:pt idx="29">
                  <c:v>125.30000000000001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ぱぱ2!$C$3:$C$32</c:f>
              <c:numCache>
                <c:formatCode>\+0.0;\-0.0;\±0</c:formatCode>
                <c:ptCount val="30"/>
                <c:pt idx="1">
                  <c:v>38.299999999999997</c:v>
                </c:pt>
                <c:pt idx="2">
                  <c:v>38.15</c:v>
                </c:pt>
                <c:pt idx="3">
                  <c:v>22.033333333333331</c:v>
                </c:pt>
                <c:pt idx="4">
                  <c:v>2.2999999999999989</c:v>
                </c:pt>
                <c:pt idx="5">
                  <c:v>-3.9600000000000009</c:v>
                </c:pt>
                <c:pt idx="6">
                  <c:v>17.983333333333334</c:v>
                </c:pt>
                <c:pt idx="7">
                  <c:v>17.100000000000001</c:v>
                </c:pt>
                <c:pt idx="8">
                  <c:v>15.35</c:v>
                </c:pt>
                <c:pt idx="9">
                  <c:v>8.7111111111111121</c:v>
                </c:pt>
                <c:pt idx="10">
                  <c:v>6.8800000000000008</c:v>
                </c:pt>
                <c:pt idx="11">
                  <c:v>3.9818181818181828</c:v>
                </c:pt>
                <c:pt idx="12">
                  <c:v>3.7833333333333345</c:v>
                </c:pt>
                <c:pt idx="13">
                  <c:v>7.4153846153846157</c:v>
                </c:pt>
                <c:pt idx="14">
                  <c:v>3.5857142857142859</c:v>
                </c:pt>
                <c:pt idx="15">
                  <c:v>7.9466666666666672</c:v>
                </c:pt>
                <c:pt idx="16">
                  <c:v>9.625</c:v>
                </c:pt>
                <c:pt idx="17">
                  <c:v>13.029411764705882</c:v>
                </c:pt>
                <c:pt idx="18">
                  <c:v>10.944444444444445</c:v>
                </c:pt>
                <c:pt idx="19">
                  <c:v>10.363157894736842</c:v>
                </c:pt>
                <c:pt idx="20">
                  <c:v>7.57</c:v>
                </c:pt>
                <c:pt idx="21">
                  <c:v>5.647619047619048</c:v>
                </c:pt>
                <c:pt idx="22">
                  <c:v>4</c:v>
                </c:pt>
                <c:pt idx="23">
                  <c:v>3.6043478260869568</c:v>
                </c:pt>
                <c:pt idx="24">
                  <c:v>2.0250000000000004</c:v>
                </c:pt>
                <c:pt idx="25">
                  <c:v>1.8320000000000005</c:v>
                </c:pt>
                <c:pt idx="26">
                  <c:v>4.3038461538461537</c:v>
                </c:pt>
                <c:pt idx="27">
                  <c:v>4.6962962962962971</c:v>
                </c:pt>
                <c:pt idx="28">
                  <c:v>3.6392857142857147</c:v>
                </c:pt>
                <c:pt idx="29">
                  <c:v>4.3206896551724139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667940694272535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ぱぱ2!$D$3:$D$32</c:f>
              <c:numCache>
                <c:formatCode>0.00\ "位"</c:formatCode>
                <c:ptCount val="30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1.8571428571428572</c:v>
                </c:pt>
                <c:pt idx="8">
                  <c:v>1.875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1.9230769230769231</c:v>
                </c:pt>
                <c:pt idx="14">
                  <c:v>2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1.8235294117647058</c:v>
                </c:pt>
                <c:pt idx="18">
                  <c:v>1.8333333333333333</c:v>
                </c:pt>
                <c:pt idx="19">
                  <c:v>1.8421052631578947</c:v>
                </c:pt>
                <c:pt idx="20">
                  <c:v>1.9</c:v>
                </c:pt>
                <c:pt idx="21">
                  <c:v>1.9523809523809523</c:v>
                </c:pt>
                <c:pt idx="22">
                  <c:v>2</c:v>
                </c:pt>
                <c:pt idx="23">
                  <c:v>2</c:v>
                </c:pt>
                <c:pt idx="24">
                  <c:v>2.0416666666666665</c:v>
                </c:pt>
                <c:pt idx="25">
                  <c:v>2.04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1.9655172413793103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859154929577465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ぱぱ2!$E$3:$E$32</c:f>
              <c:numCache>
                <c:formatCode>0.0%</c:formatCode>
                <c:ptCount val="30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2723004694835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ぱぱ2!$F$3:$F$32</c:f>
              <c:numCache>
                <c:formatCode>0.0%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8638497652582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ぱぱ2!$G$3:$G$32</c:f>
              <c:numCache>
                <c:formatCode>0.0%</c:formatCode>
                <c:ptCount val="30"/>
                <c:pt idx="1">
                  <c:v>0.3</c:v>
                </c:pt>
                <c:pt idx="2">
                  <c:v>0.26666666666666666</c:v>
                </c:pt>
                <c:pt idx="3">
                  <c:v>0.31818181818181818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0.29090909090909089</c:v>
                </c:pt>
                <c:pt idx="7">
                  <c:v>0.28333333333333333</c:v>
                </c:pt>
                <c:pt idx="8">
                  <c:v>0.29411764705882354</c:v>
                </c:pt>
                <c:pt idx="9">
                  <c:v>0.26666666666666666</c:v>
                </c:pt>
                <c:pt idx="10">
                  <c:v>0.27380952380952384</c:v>
                </c:pt>
                <c:pt idx="11">
                  <c:v>0.26136363636363635</c:v>
                </c:pt>
                <c:pt idx="12">
                  <c:v>0.26530612244897961</c:v>
                </c:pt>
                <c:pt idx="13">
                  <c:v>0.2857142857142857</c:v>
                </c:pt>
                <c:pt idx="14">
                  <c:v>0.26956521739130435</c:v>
                </c:pt>
                <c:pt idx="15">
                  <c:v>0.28225806451612906</c:v>
                </c:pt>
                <c:pt idx="16">
                  <c:v>0.2857142857142857</c:v>
                </c:pt>
                <c:pt idx="17">
                  <c:v>0.30215827338129497</c:v>
                </c:pt>
                <c:pt idx="18">
                  <c:v>0.2978723404255319</c:v>
                </c:pt>
                <c:pt idx="19">
                  <c:v>0.30666666666666664</c:v>
                </c:pt>
                <c:pt idx="20">
                  <c:v>0.29487179487179488</c:v>
                </c:pt>
                <c:pt idx="21">
                  <c:v>0.29268292682926828</c:v>
                </c:pt>
                <c:pt idx="22">
                  <c:v>0.29239766081871343</c:v>
                </c:pt>
                <c:pt idx="23">
                  <c:v>0.30337078651685395</c:v>
                </c:pt>
                <c:pt idx="24">
                  <c:v>0.29255319148936171</c:v>
                </c:pt>
                <c:pt idx="25">
                  <c:v>0.29081632653061223</c:v>
                </c:pt>
                <c:pt idx="26">
                  <c:v>0.30243902439024389</c:v>
                </c:pt>
                <c:pt idx="27">
                  <c:v>0.30188679245283018</c:v>
                </c:pt>
                <c:pt idx="28">
                  <c:v>0.29729729729729731</c:v>
                </c:pt>
                <c:pt idx="29">
                  <c:v>0.30042918454935624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012302284710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ぱぱ2!$H$3:$H$32</c:f>
              <c:numCache>
                <c:formatCode>0.0%</c:formatCode>
                <c:ptCount val="30"/>
                <c:pt idx="1">
                  <c:v>0.3</c:v>
                </c:pt>
                <c:pt idx="2">
                  <c:v>0.2</c:v>
                </c:pt>
                <c:pt idx="3">
                  <c:v>0.22727272727272727</c:v>
                </c:pt>
                <c:pt idx="4">
                  <c:v>0.25714285714285712</c:v>
                </c:pt>
                <c:pt idx="5">
                  <c:v>0.22727272727272727</c:v>
                </c:pt>
                <c:pt idx="6">
                  <c:v>0.18181818181818182</c:v>
                </c:pt>
                <c:pt idx="7">
                  <c:v>0.18333333333333332</c:v>
                </c:pt>
                <c:pt idx="8">
                  <c:v>0.17647058823529413</c:v>
                </c:pt>
                <c:pt idx="9">
                  <c:v>0.18666666666666668</c:v>
                </c:pt>
                <c:pt idx="10">
                  <c:v>0.20238095238095238</c:v>
                </c:pt>
                <c:pt idx="11">
                  <c:v>0.19318181818181818</c:v>
                </c:pt>
                <c:pt idx="12">
                  <c:v>0.19387755102040816</c:v>
                </c:pt>
                <c:pt idx="13">
                  <c:v>0.19047619047619047</c:v>
                </c:pt>
                <c:pt idx="14">
                  <c:v>0.19130434782608696</c:v>
                </c:pt>
                <c:pt idx="15">
                  <c:v>0.17741935483870969</c:v>
                </c:pt>
                <c:pt idx="16">
                  <c:v>0.18045112781954886</c:v>
                </c:pt>
                <c:pt idx="17">
                  <c:v>0.17266187050359713</c:v>
                </c:pt>
                <c:pt idx="18">
                  <c:v>0.1702127659574468</c:v>
                </c:pt>
                <c:pt idx="19">
                  <c:v>0.16666666666666666</c:v>
                </c:pt>
                <c:pt idx="20">
                  <c:v>0.17307692307692307</c:v>
                </c:pt>
                <c:pt idx="21">
                  <c:v>0.16463414634146342</c:v>
                </c:pt>
                <c:pt idx="22">
                  <c:v>0.16959064327485379</c:v>
                </c:pt>
                <c:pt idx="23">
                  <c:v>0.16853932584269662</c:v>
                </c:pt>
                <c:pt idx="24">
                  <c:v>0.16489361702127658</c:v>
                </c:pt>
                <c:pt idx="25">
                  <c:v>0.15816326530612246</c:v>
                </c:pt>
                <c:pt idx="26">
                  <c:v>0.16585365853658537</c:v>
                </c:pt>
                <c:pt idx="27">
                  <c:v>0.1650943396226415</c:v>
                </c:pt>
                <c:pt idx="28">
                  <c:v>0.15765765765765766</c:v>
                </c:pt>
                <c:pt idx="29">
                  <c:v>0.15879828326180256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8172231985940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ぱぱ2!$I$3:$I$32</c:f>
              <c:numCache>
                <c:formatCode>0</c:formatCode>
                <c:ptCount val="30"/>
                <c:pt idx="1">
                  <c:v>15533.333333333334</c:v>
                </c:pt>
                <c:pt idx="2">
                  <c:v>17650</c:v>
                </c:pt>
                <c:pt idx="3">
                  <c:v>12785.714285714286</c:v>
                </c:pt>
                <c:pt idx="4">
                  <c:v>11266.666666666666</c:v>
                </c:pt>
                <c:pt idx="5">
                  <c:v>10350</c:v>
                </c:pt>
                <c:pt idx="6">
                  <c:v>13700</c:v>
                </c:pt>
                <c:pt idx="7">
                  <c:v>14776.470588235294</c:v>
                </c:pt>
                <c:pt idx="8">
                  <c:v>13350</c:v>
                </c:pt>
                <c:pt idx="9">
                  <c:v>13350</c:v>
                </c:pt>
                <c:pt idx="10">
                  <c:v>13113.04347826087</c:v>
                </c:pt>
                <c:pt idx="11">
                  <c:v>13113.04347826087</c:v>
                </c:pt>
                <c:pt idx="12">
                  <c:v>12538.461538461539</c:v>
                </c:pt>
                <c:pt idx="13">
                  <c:v>12286.666666666666</c:v>
                </c:pt>
                <c:pt idx="14">
                  <c:v>12277.41935483871</c:v>
                </c:pt>
                <c:pt idx="15">
                  <c:v>12697.142857142857</c:v>
                </c:pt>
                <c:pt idx="16">
                  <c:v>12336.842105263158</c:v>
                </c:pt>
                <c:pt idx="17">
                  <c:v>12304.761904761905</c:v>
                </c:pt>
                <c:pt idx="18">
                  <c:v>12304.761904761905</c:v>
                </c:pt>
                <c:pt idx="19">
                  <c:v>11863.04347826087</c:v>
                </c:pt>
                <c:pt idx="20">
                  <c:v>11863.04347826087</c:v>
                </c:pt>
                <c:pt idx="21">
                  <c:v>11727.083333333334</c:v>
                </c:pt>
                <c:pt idx="22">
                  <c:v>11658</c:v>
                </c:pt>
                <c:pt idx="23">
                  <c:v>11107.407407407407</c:v>
                </c:pt>
                <c:pt idx="24">
                  <c:v>11232.727272727272</c:v>
                </c:pt>
                <c:pt idx="25">
                  <c:v>11043.859649122807</c:v>
                </c:pt>
                <c:pt idx="26">
                  <c:v>11180.645161290322</c:v>
                </c:pt>
                <c:pt idx="27">
                  <c:v>11139.0625</c:v>
                </c:pt>
                <c:pt idx="28">
                  <c:v>10971.212121212122</c:v>
                </c:pt>
                <c:pt idx="29">
                  <c:v>10605.714285714286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267.85009861932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ぱぱ2!$J$3:$J$32</c:f>
              <c:numCache>
                <c:formatCode>0</c:formatCode>
                <c:ptCount val="30"/>
                <c:pt idx="1">
                  <c:v>-8266.6666666666661</c:v>
                </c:pt>
                <c:pt idx="2">
                  <c:v>-8266.6666666666661</c:v>
                </c:pt>
                <c:pt idx="3">
                  <c:v>-9760</c:v>
                </c:pt>
                <c:pt idx="4">
                  <c:v>-8011.1111111111113</c:v>
                </c:pt>
                <c:pt idx="5">
                  <c:v>-7790</c:v>
                </c:pt>
                <c:pt idx="6">
                  <c:v>-7790</c:v>
                </c:pt>
                <c:pt idx="7">
                  <c:v>-8172.727272727273</c:v>
                </c:pt>
                <c:pt idx="8">
                  <c:v>-8133.333333333333</c:v>
                </c:pt>
                <c:pt idx="9">
                  <c:v>-7571.4285714285716</c:v>
                </c:pt>
                <c:pt idx="10">
                  <c:v>-8352.9411764705874</c:v>
                </c:pt>
                <c:pt idx="11">
                  <c:v>-8352.9411764705874</c:v>
                </c:pt>
                <c:pt idx="12">
                  <c:v>-8736.8421052631584</c:v>
                </c:pt>
                <c:pt idx="13">
                  <c:v>-8685</c:v>
                </c:pt>
                <c:pt idx="14">
                  <c:v>-9063.636363636364</c:v>
                </c:pt>
                <c:pt idx="15">
                  <c:v>-9063.636363636364</c:v>
                </c:pt>
                <c:pt idx="16">
                  <c:v>-8858.3333333333339</c:v>
                </c:pt>
                <c:pt idx="17">
                  <c:v>-8858.3333333333339</c:v>
                </c:pt>
                <c:pt idx="18">
                  <c:v>-8858.3333333333339</c:v>
                </c:pt>
                <c:pt idx="19">
                  <c:v>-8824</c:v>
                </c:pt>
                <c:pt idx="20">
                  <c:v>-8611.1111111111113</c:v>
                </c:pt>
                <c:pt idx="21">
                  <c:v>-8611.1111111111113</c:v>
                </c:pt>
                <c:pt idx="22">
                  <c:v>-8624.1379310344819</c:v>
                </c:pt>
                <c:pt idx="23">
                  <c:v>-8603.3333333333339</c:v>
                </c:pt>
                <c:pt idx="24">
                  <c:v>-8712.9032258064508</c:v>
                </c:pt>
                <c:pt idx="25">
                  <c:v>-8712.9032258064508</c:v>
                </c:pt>
                <c:pt idx="26">
                  <c:v>-8594.1176470588234</c:v>
                </c:pt>
                <c:pt idx="27">
                  <c:v>-8405.7142857142862</c:v>
                </c:pt>
                <c:pt idx="28">
                  <c:v>-8405.7142857142862</c:v>
                </c:pt>
                <c:pt idx="29">
                  <c:v>-8308.1081081081084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46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ぱぱ2!$K$3:$K$32</c:f>
              <c:numCache>
                <c:formatCode>0.0%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2676056338028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ぱぱ2!$L$3:$L$32</c:f>
              <c:numCache>
                <c:formatCode>0.0%</c:formatCode>
                <c:ptCount val="30"/>
                <c:pt idx="1">
                  <c:v>0.3</c:v>
                </c:pt>
                <c:pt idx="2">
                  <c:v>0.33333333333333331</c:v>
                </c:pt>
                <c:pt idx="3">
                  <c:v>0.40909090909090912</c:v>
                </c:pt>
                <c:pt idx="4">
                  <c:v>0.2857142857142857</c:v>
                </c:pt>
                <c:pt idx="5">
                  <c:v>0.27272727272727271</c:v>
                </c:pt>
                <c:pt idx="6">
                  <c:v>0.32727272727272727</c:v>
                </c:pt>
                <c:pt idx="7">
                  <c:v>0.33333333333333331</c:v>
                </c:pt>
                <c:pt idx="8">
                  <c:v>0.3235294117647059</c:v>
                </c:pt>
                <c:pt idx="9">
                  <c:v>0.29333333333333333</c:v>
                </c:pt>
                <c:pt idx="10">
                  <c:v>0.27380952380952384</c:v>
                </c:pt>
                <c:pt idx="11">
                  <c:v>0.28409090909090912</c:v>
                </c:pt>
                <c:pt idx="12">
                  <c:v>0.30612244897959184</c:v>
                </c:pt>
                <c:pt idx="13">
                  <c:v>0.32380952380952382</c:v>
                </c:pt>
                <c:pt idx="14">
                  <c:v>0.30434782608695654</c:v>
                </c:pt>
                <c:pt idx="15">
                  <c:v>0.31451612903225806</c:v>
                </c:pt>
                <c:pt idx="16">
                  <c:v>0.30827067669172931</c:v>
                </c:pt>
                <c:pt idx="17">
                  <c:v>0.32374100719424459</c:v>
                </c:pt>
                <c:pt idx="18">
                  <c:v>0.31914893617021278</c:v>
                </c:pt>
                <c:pt idx="19">
                  <c:v>0.33333333333333331</c:v>
                </c:pt>
                <c:pt idx="20">
                  <c:v>0.32692307692307693</c:v>
                </c:pt>
                <c:pt idx="21">
                  <c:v>0.31707317073170732</c:v>
                </c:pt>
                <c:pt idx="22">
                  <c:v>0.31578947368421051</c:v>
                </c:pt>
                <c:pt idx="23">
                  <c:v>0.3202247191011236</c:v>
                </c:pt>
                <c:pt idx="24">
                  <c:v>0.33510638297872342</c:v>
                </c:pt>
                <c:pt idx="25">
                  <c:v>0.33673469387755101</c:v>
                </c:pt>
                <c:pt idx="26">
                  <c:v>0.34146341463414637</c:v>
                </c:pt>
                <c:pt idx="27">
                  <c:v>0.34433962264150941</c:v>
                </c:pt>
                <c:pt idx="28">
                  <c:v>0.33783783783783783</c:v>
                </c:pt>
                <c:pt idx="29">
                  <c:v>0.33047210300429186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17516110134739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ぱぱ2!$M$3:$M$32</c:f>
              <c:numCache>
                <c:formatCode>0.0%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4.5454545454545456E-2</c:v>
                </c:pt>
                <c:pt idx="4">
                  <c:v>0.11428571428571428</c:v>
                </c:pt>
                <c:pt idx="5">
                  <c:v>0.13636363636363635</c:v>
                </c:pt>
                <c:pt idx="6">
                  <c:v>0.12727272727272726</c:v>
                </c:pt>
                <c:pt idx="7">
                  <c:v>0.13333333333333333</c:v>
                </c:pt>
                <c:pt idx="8">
                  <c:v>0.13235294117647059</c:v>
                </c:pt>
                <c:pt idx="9">
                  <c:v>0.14666666666666667</c:v>
                </c:pt>
                <c:pt idx="10">
                  <c:v>0.15476190476190477</c:v>
                </c:pt>
                <c:pt idx="11">
                  <c:v>0.14772727272727273</c:v>
                </c:pt>
                <c:pt idx="12">
                  <c:v>0.1326530612244898</c:v>
                </c:pt>
                <c:pt idx="13">
                  <c:v>0.12380952380952381</c:v>
                </c:pt>
                <c:pt idx="14">
                  <c:v>0.12173913043478261</c:v>
                </c:pt>
                <c:pt idx="15">
                  <c:v>0.12096774193548387</c:v>
                </c:pt>
                <c:pt idx="16">
                  <c:v>0.11278195488721804</c:v>
                </c:pt>
                <c:pt idx="17">
                  <c:v>0.1079136690647482</c:v>
                </c:pt>
                <c:pt idx="18">
                  <c:v>0.10638297872340426</c:v>
                </c:pt>
                <c:pt idx="19">
                  <c:v>0.1</c:v>
                </c:pt>
                <c:pt idx="20">
                  <c:v>9.6153846153846159E-2</c:v>
                </c:pt>
                <c:pt idx="21">
                  <c:v>0.10365853658536585</c:v>
                </c:pt>
                <c:pt idx="22">
                  <c:v>0.10526315789473684</c:v>
                </c:pt>
                <c:pt idx="23">
                  <c:v>0.10112359550561797</c:v>
                </c:pt>
                <c:pt idx="24">
                  <c:v>9.5744680851063829E-2</c:v>
                </c:pt>
                <c:pt idx="25">
                  <c:v>0.10204081632653061</c:v>
                </c:pt>
                <c:pt idx="26">
                  <c:v>9.7560975609756101E-2</c:v>
                </c:pt>
                <c:pt idx="27">
                  <c:v>9.9056603773584911E-2</c:v>
                </c:pt>
                <c:pt idx="28">
                  <c:v>9.90990990990991E-2</c:v>
                </c:pt>
                <c:pt idx="29">
                  <c:v>0.11158798283261803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373755125951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ぱぱ2!$N$3:$N$32</c:f>
              <c:numCache>
                <c:formatCode>0.0%</c:formatCode>
                <c:ptCount val="30"/>
                <c:pt idx="1">
                  <c:v>0.66666666666666663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0.5</c:v>
                </c:pt>
                <c:pt idx="6">
                  <c:v>0.61111111111111116</c:v>
                </c:pt>
                <c:pt idx="7">
                  <c:v>0.6</c:v>
                </c:pt>
                <c:pt idx="8">
                  <c:v>0.63636363636363635</c:v>
                </c:pt>
                <c:pt idx="9">
                  <c:v>0.63636363636363635</c:v>
                </c:pt>
                <c:pt idx="10">
                  <c:v>0.60869565217391308</c:v>
                </c:pt>
                <c:pt idx="11">
                  <c:v>0.56000000000000005</c:v>
                </c:pt>
                <c:pt idx="12">
                  <c:v>0.53333333333333333</c:v>
                </c:pt>
                <c:pt idx="13">
                  <c:v>0.55882352941176472</c:v>
                </c:pt>
                <c:pt idx="14">
                  <c:v>0.54285714285714282</c:v>
                </c:pt>
                <c:pt idx="15">
                  <c:v>0.5641025641025641</c:v>
                </c:pt>
                <c:pt idx="16">
                  <c:v>0.56097560975609762</c:v>
                </c:pt>
                <c:pt idx="17">
                  <c:v>0.6</c:v>
                </c:pt>
                <c:pt idx="18">
                  <c:v>0.6</c:v>
                </c:pt>
                <c:pt idx="19">
                  <c:v>0.62</c:v>
                </c:pt>
                <c:pt idx="20">
                  <c:v>0.60784313725490191</c:v>
                </c:pt>
                <c:pt idx="21">
                  <c:v>0.61538461538461542</c:v>
                </c:pt>
                <c:pt idx="22">
                  <c:v>0.62962962962962965</c:v>
                </c:pt>
                <c:pt idx="23">
                  <c:v>0.64912280701754388</c:v>
                </c:pt>
                <c:pt idx="24">
                  <c:v>0.60317460317460314</c:v>
                </c:pt>
                <c:pt idx="25">
                  <c:v>0.59090909090909094</c:v>
                </c:pt>
                <c:pt idx="26">
                  <c:v>0.6</c:v>
                </c:pt>
                <c:pt idx="27">
                  <c:v>0.58904109589041098</c:v>
                </c:pt>
                <c:pt idx="28">
                  <c:v>0.57333333333333336</c:v>
                </c:pt>
                <c:pt idx="29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435424354243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ぱぱ2!$O$3:$O$32</c:f>
              <c:numCache>
                <c:formatCode>0.0%</c:formatCode>
                <c:ptCount val="30"/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0.18181818181818182</c:v>
                </c:pt>
                <c:pt idx="10">
                  <c:v>0.23076923076923078</c:v>
                </c:pt>
                <c:pt idx="11">
                  <c:v>0.23076923076923078</c:v>
                </c:pt>
                <c:pt idx="12">
                  <c:v>0.23076923076923078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0.17647058823529413</c:v>
                </c:pt>
                <c:pt idx="22">
                  <c:v>0.16666666666666666</c:v>
                </c:pt>
                <c:pt idx="23">
                  <c:v>0.16666666666666666</c:v>
                </c:pt>
                <c:pt idx="24">
                  <c:v>0.16666666666666666</c:v>
                </c:pt>
                <c:pt idx="25">
                  <c:v>0.15</c:v>
                </c:pt>
                <c:pt idx="26">
                  <c:v>0.15</c:v>
                </c:pt>
                <c:pt idx="27">
                  <c:v>0.14285714285714285</c:v>
                </c:pt>
                <c:pt idx="28">
                  <c:v>0.13636363636363635</c:v>
                </c:pt>
                <c:pt idx="29">
                  <c:v>0.19230769230769232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73239436619718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ぱぱ2!$A$3:$A$32</c:f>
              <c:numCache>
                <c:formatCode>0\ "回"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ぱぱ2!$P$3:$P$32</c:f>
              <c:numCache>
                <c:formatCode>0.0%</c:formatCode>
                <c:ptCount val="30"/>
                <c:pt idx="1">
                  <c:v>0.33333333333333331</c:v>
                </c:pt>
                <c:pt idx="2">
                  <c:v>0.5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0.4</c:v>
                </c:pt>
                <c:pt idx="6">
                  <c:v>0.375</c:v>
                </c:pt>
                <c:pt idx="7">
                  <c:v>0.41176470588235292</c:v>
                </c:pt>
                <c:pt idx="8">
                  <c:v>0.35</c:v>
                </c:pt>
                <c:pt idx="9">
                  <c:v>0.35</c:v>
                </c:pt>
                <c:pt idx="10">
                  <c:v>0.30434782608695654</c:v>
                </c:pt>
                <c:pt idx="11">
                  <c:v>0.30434782608695654</c:v>
                </c:pt>
                <c:pt idx="12">
                  <c:v>0.38461538461538464</c:v>
                </c:pt>
                <c:pt idx="13">
                  <c:v>0.36666666666666664</c:v>
                </c:pt>
                <c:pt idx="14">
                  <c:v>0.35483870967741937</c:v>
                </c:pt>
                <c:pt idx="15">
                  <c:v>0.37142857142857144</c:v>
                </c:pt>
                <c:pt idx="16">
                  <c:v>0.42105263157894735</c:v>
                </c:pt>
                <c:pt idx="17">
                  <c:v>0.40476190476190477</c:v>
                </c:pt>
                <c:pt idx="18">
                  <c:v>0.40476190476190477</c:v>
                </c:pt>
                <c:pt idx="19">
                  <c:v>0.41304347826086957</c:v>
                </c:pt>
                <c:pt idx="20">
                  <c:v>0.41304347826086957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0.3888888888888889</c:v>
                </c:pt>
                <c:pt idx="24">
                  <c:v>0.4</c:v>
                </c:pt>
                <c:pt idx="25">
                  <c:v>0.42105263157894735</c:v>
                </c:pt>
                <c:pt idx="26">
                  <c:v>0.40322580645161288</c:v>
                </c:pt>
                <c:pt idx="27">
                  <c:v>0.40625</c:v>
                </c:pt>
                <c:pt idx="28">
                  <c:v>0.40909090909090912</c:v>
                </c:pt>
                <c:pt idx="29">
                  <c:v>0.41428571428571431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9566074950690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C320697-7C1E-4D30-9226-35671EB0B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0C3DFEA-68BD-424E-B776-DF7D02F81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39DE11C-AAFE-4E5F-A49C-B3E1F3876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E7E7070-5B69-4DFB-9A2E-740F196F95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0A170C-7DC6-4FD0-A76B-919AA72306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A586D00-6807-4435-A6A0-814BD3345D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381CD9D-AC02-4E5F-8AAB-25D0BB92C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C457FA8-BB3E-4B71-8215-0FD995FF4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1F13BA-39F2-43C8-980D-C6BCAB4198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054074-E08F-4C49-876A-A7946F1239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C13457A-167C-48D6-8FFD-3E338BDA4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8A7DF30-30B1-4342-81C9-EA028EAFF8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8CAE9CC-F55F-4466-B5F2-D6362BD572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73C06-B2E5-4A5D-B068-F280E0EE0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9C5B370-3D2A-43B0-8DAF-CEACEFDDA6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00472F2-223E-4334-97A8-3CD6AB359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19AB930-0296-4D7C-A73B-E4837ED74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81955C6-B77B-451F-8DF9-5C5D1BE9DC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C5CF48A-7193-4DD8-8161-438492A56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919DD48-085E-4936-BA62-9ADBC3F114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EB187A0-749E-4EEB-AAB0-EB78A2A956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135E1C0-7EDE-4525-8D63-7E694B22B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6BDD925-7F8C-4683-A848-0EF4BC1148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DB57FDE-ED0F-4ADD-A179-E39EDAFBA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C3150FF-5A6A-4F44-AD79-9472DC9AAF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B40ECC-5DE5-494F-A6F9-456A470D1E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444E149-80D2-490A-AFC5-0FA02E2CD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91A6BC9D-8C74-4DA2-8FD9-EF2E1469F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Q9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7" x14ac:dyDescent="0.4">
      <c r="A1" s="1">
        <v>32874</v>
      </c>
      <c r="B1" s="1">
        <v>2958465</v>
      </c>
    </row>
    <row r="2" spans="1:17" x14ac:dyDescent="0.4">
      <c r="A2" s="2" t="s">
        <v>224</v>
      </c>
      <c r="B2" s="3">
        <v>44633.964791666665</v>
      </c>
      <c r="C2" s="2" t="s">
        <v>127</v>
      </c>
      <c r="D2" s="2" t="s">
        <v>188</v>
      </c>
      <c r="E2" s="2" t="s">
        <v>191</v>
      </c>
    </row>
    <row r="3" spans="1:17" x14ac:dyDescent="0.4">
      <c r="A3" s="2" t="s">
        <v>225</v>
      </c>
      <c r="B3" s="3">
        <v>44633.964791666665</v>
      </c>
      <c r="C3" s="2" t="s">
        <v>127</v>
      </c>
      <c r="D3" s="2" t="s">
        <v>188</v>
      </c>
      <c r="E3" s="2" t="s">
        <v>191</v>
      </c>
      <c r="F3" s="2" t="s">
        <v>214</v>
      </c>
      <c r="G3" s="2" t="s">
        <v>215</v>
      </c>
      <c r="H3" s="2" t="s">
        <v>216</v>
      </c>
    </row>
    <row r="4" spans="1:17" x14ac:dyDescent="0.4">
      <c r="A4" s="2" t="s">
        <v>226</v>
      </c>
      <c r="B4" s="3">
        <v>44633.736203703702</v>
      </c>
      <c r="C4" s="2" t="s">
        <v>127</v>
      </c>
      <c r="D4" s="2" t="s">
        <v>188</v>
      </c>
      <c r="E4" s="2" t="s">
        <v>191</v>
      </c>
      <c r="F4" s="2" t="s">
        <v>214</v>
      </c>
      <c r="G4" s="2" t="s">
        <v>215</v>
      </c>
      <c r="H4" s="2" t="s">
        <v>216</v>
      </c>
      <c r="I4" s="2" t="s">
        <v>217</v>
      </c>
      <c r="J4" s="2" t="s">
        <v>218</v>
      </c>
      <c r="K4" s="2" t="s">
        <v>219</v>
      </c>
      <c r="L4" s="2" t="s">
        <v>220</v>
      </c>
    </row>
    <row r="5" spans="1:17" x14ac:dyDescent="0.4">
      <c r="A5" s="2" t="s">
        <v>227</v>
      </c>
      <c r="B5" s="3">
        <v>44641.842581018522</v>
      </c>
      <c r="C5" s="2" t="s">
        <v>127</v>
      </c>
      <c r="D5" s="2" t="s">
        <v>188</v>
      </c>
      <c r="E5" s="2" t="s">
        <v>191</v>
      </c>
      <c r="F5" s="2" t="s">
        <v>214</v>
      </c>
      <c r="G5" s="2" t="s">
        <v>215</v>
      </c>
      <c r="H5" s="2" t="s">
        <v>216</v>
      </c>
      <c r="I5" s="2" t="s">
        <v>217</v>
      </c>
    </row>
    <row r="6" spans="1:17" x14ac:dyDescent="0.4">
      <c r="A6" s="2" t="s">
        <v>228</v>
      </c>
      <c r="B6" s="3">
        <v>44681.792303240742</v>
      </c>
      <c r="C6" s="2" t="s">
        <v>127</v>
      </c>
      <c r="D6" s="2" t="s">
        <v>188</v>
      </c>
      <c r="E6" s="2" t="s">
        <v>191</v>
      </c>
      <c r="F6" s="2" t="s">
        <v>214</v>
      </c>
      <c r="G6" s="2" t="s">
        <v>215</v>
      </c>
      <c r="H6" s="2" t="s">
        <v>216</v>
      </c>
      <c r="I6" s="2" t="s">
        <v>217</v>
      </c>
      <c r="J6" s="2" t="s">
        <v>218</v>
      </c>
      <c r="K6" s="2" t="s">
        <v>219</v>
      </c>
      <c r="L6" s="2" t="s">
        <v>220</v>
      </c>
      <c r="M6" s="2" t="s">
        <v>221</v>
      </c>
      <c r="N6" s="2" t="s">
        <v>222</v>
      </c>
      <c r="O6" s="2" t="s">
        <v>229</v>
      </c>
      <c r="P6" s="2" t="s">
        <v>230</v>
      </c>
      <c r="Q6" s="2" t="s">
        <v>231</v>
      </c>
    </row>
    <row r="7" spans="1:17" x14ac:dyDescent="0.4">
      <c r="A7" s="2" t="s">
        <v>232</v>
      </c>
      <c r="B7" s="3">
        <v>44688.713969907411</v>
      </c>
      <c r="C7" s="2" t="s">
        <v>127</v>
      </c>
      <c r="D7" s="2" t="s">
        <v>188</v>
      </c>
      <c r="E7" s="2" t="s">
        <v>191</v>
      </c>
      <c r="F7" s="2" t="s">
        <v>214</v>
      </c>
      <c r="G7" s="2" t="s">
        <v>215</v>
      </c>
      <c r="H7" s="2" t="s">
        <v>216</v>
      </c>
      <c r="I7" s="2" t="s">
        <v>217</v>
      </c>
    </row>
    <row r="8" spans="1:17" x14ac:dyDescent="0.4">
      <c r="A8" s="2" t="s">
        <v>234</v>
      </c>
      <c r="B8" s="3">
        <v>44766.342916666668</v>
      </c>
      <c r="C8" s="2" t="s">
        <v>127</v>
      </c>
      <c r="D8" s="2" t="s">
        <v>188</v>
      </c>
      <c r="E8" s="2" t="s">
        <v>191</v>
      </c>
      <c r="F8" s="2" t="s">
        <v>214</v>
      </c>
      <c r="G8" s="2" t="s">
        <v>215</v>
      </c>
      <c r="H8" s="2" t="s">
        <v>216</v>
      </c>
      <c r="I8" s="2" t="s">
        <v>217</v>
      </c>
      <c r="J8" s="2" t="s">
        <v>218</v>
      </c>
      <c r="K8" s="2" t="s">
        <v>219</v>
      </c>
      <c r="L8" s="2" t="s">
        <v>220</v>
      </c>
      <c r="M8" s="2" t="s">
        <v>221</v>
      </c>
    </row>
    <row r="9" spans="1:17" x14ac:dyDescent="0.4">
      <c r="A9" s="2" t="s">
        <v>223</v>
      </c>
      <c r="B9" s="3">
        <v>44766.707928240743</v>
      </c>
      <c r="C9" s="2" t="s">
        <v>127</v>
      </c>
      <c r="D9" s="2" t="s">
        <v>188</v>
      </c>
      <c r="E9" s="2" t="s">
        <v>191</v>
      </c>
      <c r="F9" s="2" t="s">
        <v>214</v>
      </c>
      <c r="G9" s="2" t="s">
        <v>215</v>
      </c>
      <c r="H9" s="2" t="s">
        <v>216</v>
      </c>
      <c r="I9" s="2" t="s">
        <v>217</v>
      </c>
      <c r="J9" s="2" t="s">
        <v>218</v>
      </c>
      <c r="K9" s="2" t="s">
        <v>219</v>
      </c>
      <c r="L9" s="2" t="s">
        <v>220</v>
      </c>
      <c r="M9" s="2" t="s">
        <v>221</v>
      </c>
      <c r="N9" s="2" t="s">
        <v>222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233</v>
      </c>
    </row>
    <row r="2" spans="1:3" x14ac:dyDescent="0.4">
      <c r="A2" t="s">
        <v>126</v>
      </c>
      <c r="B2" s="120">
        <v>67</v>
      </c>
      <c r="C2" s="120">
        <v>1758.0662353696366</v>
      </c>
    </row>
    <row r="3" spans="1:3" x14ac:dyDescent="0.4">
      <c r="A3" t="s">
        <v>192</v>
      </c>
      <c r="B3" s="120">
        <v>38</v>
      </c>
      <c r="C3" s="120">
        <v>1606.4452616651972</v>
      </c>
    </row>
    <row r="4" spans="1:3" x14ac:dyDescent="0.4">
      <c r="A4" t="s">
        <v>163</v>
      </c>
      <c r="B4" s="120">
        <v>51</v>
      </c>
      <c r="C4" s="120">
        <v>1605.0170841089816</v>
      </c>
    </row>
    <row r="5" spans="1:3" x14ac:dyDescent="0.4">
      <c r="A5" t="s">
        <v>139</v>
      </c>
      <c r="B5" s="120">
        <v>213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B13" s="120">
        <v>25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B17" s="120">
        <v>29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9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195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207</v>
      </c>
      <c r="B2" s="143">
        <v>0.98841384595322668</v>
      </c>
      <c r="C2" s="144"/>
      <c r="D2" s="143">
        <v>0.67783152644538003</v>
      </c>
      <c r="E2" s="144"/>
      <c r="F2" s="143">
        <v>0.58137328862672111</v>
      </c>
      <c r="G2" s="144"/>
      <c r="H2" s="145"/>
      <c r="I2" s="146"/>
      <c r="J2" s="143">
        <v>0.75732359367677304</v>
      </c>
      <c r="K2" s="144"/>
      <c r="L2" s="143">
        <v>0.76056532875830396</v>
      </c>
      <c r="M2" s="144"/>
      <c r="N2" s="143">
        <v>0.66206550461050584</v>
      </c>
      <c r="O2" s="144"/>
      <c r="P2" s="143">
        <v>0.70664274646432501</v>
      </c>
      <c r="Q2" s="144"/>
      <c r="R2" s="143">
        <v>0.84424073204406236</v>
      </c>
      <c r="S2" s="144"/>
      <c r="T2" s="143">
        <v>-0.10323728567140601</v>
      </c>
      <c r="U2" s="144"/>
      <c r="V2" s="143">
        <v>0.12532718092522313</v>
      </c>
      <c r="W2" s="144"/>
      <c r="X2" s="143">
        <v>0.20706984880045609</v>
      </c>
      <c r="Y2" s="144"/>
      <c r="Z2" s="143">
        <v>0.29781627434477176</v>
      </c>
      <c r="AA2" s="144"/>
      <c r="AB2" s="143">
        <v>0.44275129476951458</v>
      </c>
      <c r="AC2" s="144"/>
      <c r="AD2" s="143">
        <v>-0.60314579504729571</v>
      </c>
      <c r="AE2" s="144"/>
      <c r="AF2" s="143">
        <v>0.95334082586849689</v>
      </c>
      <c r="AG2" s="144"/>
      <c r="AH2" s="143">
        <v>-0.42782860868867612</v>
      </c>
      <c r="AI2" s="144"/>
      <c r="AJ2" s="143">
        <v>-8.8663389438359871E-2</v>
      </c>
      <c r="AK2" s="144"/>
    </row>
    <row r="3" spans="1:37" x14ac:dyDescent="0.4">
      <c r="A3" s="38">
        <v>1</v>
      </c>
      <c r="B3" s="41" t="s">
        <v>139</v>
      </c>
      <c r="C3" s="113">
        <v>71</v>
      </c>
      <c r="D3" s="39" t="s">
        <v>126</v>
      </c>
      <c r="E3" s="40">
        <v>490.6</v>
      </c>
      <c r="F3" s="41" t="s">
        <v>126</v>
      </c>
      <c r="G3" s="60">
        <v>7.3223880597014928</v>
      </c>
      <c r="H3" s="41" t="s">
        <v>126</v>
      </c>
      <c r="I3" s="45">
        <v>1780.4944043583148</v>
      </c>
      <c r="J3" s="41" t="s">
        <v>126</v>
      </c>
      <c r="K3" s="42">
        <v>1.8208955223880596</v>
      </c>
      <c r="L3" s="41" t="s">
        <v>126</v>
      </c>
      <c r="M3" s="43">
        <v>0.43283582089552236</v>
      </c>
      <c r="N3" s="41" t="s">
        <v>126</v>
      </c>
      <c r="O3" s="43">
        <v>0.2537313432835821</v>
      </c>
      <c r="P3" s="41" t="s">
        <v>126</v>
      </c>
      <c r="Q3" s="44">
        <v>0.34693877551020408</v>
      </c>
      <c r="R3" s="41" t="s">
        <v>126</v>
      </c>
      <c r="S3" s="44">
        <v>0.14285714285714285</v>
      </c>
      <c r="T3" s="41" t="s">
        <v>198</v>
      </c>
      <c r="U3" s="45">
        <v>10605.714285714286</v>
      </c>
      <c r="V3" s="41" t="s">
        <v>163</v>
      </c>
      <c r="W3" s="45">
        <v>-7546.0317460317465</v>
      </c>
      <c r="X3" s="41" t="s">
        <v>198</v>
      </c>
      <c r="Y3" s="43">
        <v>3.4482758620689655E-2</v>
      </c>
      <c r="Z3" s="41" t="s">
        <v>126</v>
      </c>
      <c r="AA3" s="44">
        <v>0.36920222634508348</v>
      </c>
      <c r="AB3" s="41" t="s">
        <v>197</v>
      </c>
      <c r="AC3" s="44">
        <v>0.23529411764705882</v>
      </c>
      <c r="AD3" s="41" t="s">
        <v>194</v>
      </c>
      <c r="AE3" s="44">
        <v>0.60606060606060608</v>
      </c>
      <c r="AF3" s="41" t="s">
        <v>197</v>
      </c>
      <c r="AG3" s="44">
        <v>0.5</v>
      </c>
      <c r="AH3" s="41" t="s">
        <v>194</v>
      </c>
      <c r="AI3" s="44">
        <v>0.55555555555555558</v>
      </c>
      <c r="AJ3" s="41" t="s">
        <v>198</v>
      </c>
      <c r="AK3" s="55">
        <v>142700</v>
      </c>
    </row>
    <row r="4" spans="1:37" x14ac:dyDescent="0.4">
      <c r="A4" s="46">
        <v>2</v>
      </c>
      <c r="B4" s="49" t="s">
        <v>126</v>
      </c>
      <c r="C4" s="114">
        <v>67</v>
      </c>
      <c r="D4" s="47" t="s">
        <v>198</v>
      </c>
      <c r="E4" s="48">
        <v>125.30000000000001</v>
      </c>
      <c r="F4" s="49" t="s">
        <v>198</v>
      </c>
      <c r="G4" s="61">
        <v>4.3206896551724139</v>
      </c>
      <c r="H4" s="49" t="s">
        <v>163</v>
      </c>
      <c r="I4" s="53">
        <v>1608.5656906569</v>
      </c>
      <c r="J4" s="49" t="s">
        <v>163</v>
      </c>
      <c r="K4" s="50">
        <v>1.9215686274509804</v>
      </c>
      <c r="L4" s="49" t="s">
        <v>163</v>
      </c>
      <c r="M4" s="51">
        <v>0.37254901960784315</v>
      </c>
      <c r="N4" s="49" t="s">
        <v>198</v>
      </c>
      <c r="O4" s="51">
        <v>0.27586206896551724</v>
      </c>
      <c r="P4" s="49" t="s">
        <v>198</v>
      </c>
      <c r="Q4" s="52">
        <v>0.30042918454935624</v>
      </c>
      <c r="R4" s="49" t="s">
        <v>139</v>
      </c>
      <c r="S4" s="52">
        <v>0.15817223198594024</v>
      </c>
      <c r="T4" s="49" t="s">
        <v>163</v>
      </c>
      <c r="U4" s="53">
        <v>9395.6140350877195</v>
      </c>
      <c r="V4" s="49" t="s">
        <v>192</v>
      </c>
      <c r="W4" s="53">
        <v>-8030.7692307692305</v>
      </c>
      <c r="X4" s="49" t="s">
        <v>126</v>
      </c>
      <c r="Y4" s="51">
        <v>7.4626865671641784E-2</v>
      </c>
      <c r="Z4" s="49" t="s">
        <v>198</v>
      </c>
      <c r="AA4" s="52">
        <v>0.33047210300429186</v>
      </c>
      <c r="AB4" s="49" t="s">
        <v>192</v>
      </c>
      <c r="AC4" s="52">
        <v>0.20317460317460317</v>
      </c>
      <c r="AD4" s="49" t="s">
        <v>198</v>
      </c>
      <c r="AE4" s="52">
        <v>0.5714285714285714</v>
      </c>
      <c r="AF4" s="49" t="s">
        <v>126</v>
      </c>
      <c r="AG4" s="52">
        <v>0.46987951807228917</v>
      </c>
      <c r="AH4" s="49" t="s">
        <v>197</v>
      </c>
      <c r="AI4" s="52">
        <v>0.5</v>
      </c>
      <c r="AJ4" s="49" t="s">
        <v>139</v>
      </c>
      <c r="AK4" s="56">
        <v>142700</v>
      </c>
    </row>
    <row r="5" spans="1:37" x14ac:dyDescent="0.4">
      <c r="A5" s="46">
        <v>3</v>
      </c>
      <c r="B5" s="49" t="s">
        <v>163</v>
      </c>
      <c r="C5" s="114">
        <v>51</v>
      </c>
      <c r="D5" s="47" t="s">
        <v>163</v>
      </c>
      <c r="E5" s="48">
        <v>55.900000000000034</v>
      </c>
      <c r="F5" s="49" t="s">
        <v>163</v>
      </c>
      <c r="G5" s="61">
        <v>1.0960784313725498</v>
      </c>
      <c r="H5" s="49" t="s">
        <v>139</v>
      </c>
      <c r="I5" s="53">
        <v>1601.8363817015918</v>
      </c>
      <c r="J5" s="49" t="s">
        <v>198</v>
      </c>
      <c r="K5" s="50">
        <v>1.9655172413793103</v>
      </c>
      <c r="L5" s="49" t="s">
        <v>139</v>
      </c>
      <c r="M5" s="51">
        <v>0.34272300469483569</v>
      </c>
      <c r="N5" s="49" t="s">
        <v>163</v>
      </c>
      <c r="O5" s="51">
        <v>0.29411764705882354</v>
      </c>
      <c r="P5" s="49" t="s">
        <v>139</v>
      </c>
      <c r="Q5" s="52">
        <v>0.29701230228471004</v>
      </c>
      <c r="R5" s="49" t="s">
        <v>163</v>
      </c>
      <c r="S5" s="52">
        <v>0.15829145728643215</v>
      </c>
      <c r="T5" s="49" t="s">
        <v>139</v>
      </c>
      <c r="U5" s="53">
        <v>9267.8500986193285</v>
      </c>
      <c r="V5" s="49" t="s">
        <v>198</v>
      </c>
      <c r="W5" s="53">
        <v>-8308.1081081081084</v>
      </c>
      <c r="X5" s="49" t="s">
        <v>139</v>
      </c>
      <c r="Y5" s="51">
        <v>0.11267605633802817</v>
      </c>
      <c r="Z5" s="49" t="s">
        <v>194</v>
      </c>
      <c r="AA5" s="52">
        <v>0.32195121951219513</v>
      </c>
      <c r="AB5" s="49" t="s">
        <v>163</v>
      </c>
      <c r="AC5" s="52">
        <v>0.20100502512562815</v>
      </c>
      <c r="AD5" s="49" t="s">
        <v>126</v>
      </c>
      <c r="AE5" s="52">
        <v>0.54773869346733672</v>
      </c>
      <c r="AF5" s="49" t="s">
        <v>163</v>
      </c>
      <c r="AG5" s="52">
        <v>0.38750000000000001</v>
      </c>
      <c r="AH5" s="49" t="s">
        <v>163</v>
      </c>
      <c r="AI5" s="52">
        <v>0.47368421052631576</v>
      </c>
      <c r="AJ5" s="49" t="s">
        <v>163</v>
      </c>
      <c r="AK5" s="56">
        <v>103000</v>
      </c>
    </row>
    <row r="6" spans="1:37" x14ac:dyDescent="0.4">
      <c r="A6" s="46">
        <v>4</v>
      </c>
      <c r="B6" s="49" t="s">
        <v>192</v>
      </c>
      <c r="C6" s="114">
        <v>38</v>
      </c>
      <c r="D6" s="47" t="s">
        <v>139</v>
      </c>
      <c r="E6" s="48">
        <v>-3.5527136788005009E-14</v>
      </c>
      <c r="F6" s="49" t="s">
        <v>139</v>
      </c>
      <c r="G6" s="61">
        <v>-1.6679406942725356E-16</v>
      </c>
      <c r="H6" s="49" t="s">
        <v>192</v>
      </c>
      <c r="I6" s="53">
        <v>1549.0403478399389</v>
      </c>
      <c r="J6" s="49" t="s">
        <v>139</v>
      </c>
      <c r="K6" s="50">
        <v>1.9859154929577465</v>
      </c>
      <c r="L6" s="49" t="s">
        <v>198</v>
      </c>
      <c r="M6" s="51">
        <v>0.31034482758620691</v>
      </c>
      <c r="N6" s="49" t="s">
        <v>139</v>
      </c>
      <c r="O6" s="51">
        <v>0.32863849765258218</v>
      </c>
      <c r="P6" s="49" t="s">
        <v>163</v>
      </c>
      <c r="Q6" s="52">
        <v>0.28643216080402012</v>
      </c>
      <c r="R6" s="49" t="s">
        <v>198</v>
      </c>
      <c r="S6" s="52">
        <v>0.15879828326180256</v>
      </c>
      <c r="T6" s="49" t="s">
        <v>126</v>
      </c>
      <c r="U6" s="53">
        <v>9234.7593582887694</v>
      </c>
      <c r="V6" s="49" t="s">
        <v>197</v>
      </c>
      <c r="W6" s="53">
        <v>-8314.2857142857138</v>
      </c>
      <c r="X6" s="49" t="s">
        <v>192</v>
      </c>
      <c r="Y6" s="51">
        <v>0.13157894736842105</v>
      </c>
      <c r="Z6" s="49" t="s">
        <v>163</v>
      </c>
      <c r="AA6" s="52">
        <v>0.31909547738693467</v>
      </c>
      <c r="AB6" s="49" t="s">
        <v>139</v>
      </c>
      <c r="AC6" s="52">
        <v>0.16637375512595196</v>
      </c>
      <c r="AD6" s="49" t="s">
        <v>139</v>
      </c>
      <c r="AE6" s="52">
        <v>0.54243542435424352</v>
      </c>
      <c r="AF6" s="49" t="s">
        <v>192</v>
      </c>
      <c r="AG6" s="52">
        <v>0.375</v>
      </c>
      <c r="AH6" s="49" t="s">
        <v>139</v>
      </c>
      <c r="AI6" s="52">
        <v>0.45956607495069035</v>
      </c>
      <c r="AJ6" s="49" t="s">
        <v>126</v>
      </c>
      <c r="AK6" s="56">
        <v>101500</v>
      </c>
    </row>
    <row r="7" spans="1:37" x14ac:dyDescent="0.4">
      <c r="A7" s="46">
        <v>5</v>
      </c>
      <c r="B7" s="49" t="s">
        <v>198</v>
      </c>
      <c r="C7" s="114">
        <v>29</v>
      </c>
      <c r="D7" s="47" t="s">
        <v>197</v>
      </c>
      <c r="E7" s="48">
        <v>-113.4</v>
      </c>
      <c r="F7" s="49" t="s">
        <v>194</v>
      </c>
      <c r="G7" s="61">
        <v>-8.4880000000000031</v>
      </c>
      <c r="H7" s="49" t="s">
        <v>197</v>
      </c>
      <c r="I7" s="53">
        <v>1445.1125193047092</v>
      </c>
      <c r="J7" s="49" t="s">
        <v>192</v>
      </c>
      <c r="K7" s="50">
        <v>2.1578947368421053</v>
      </c>
      <c r="L7" s="49" t="s">
        <v>194</v>
      </c>
      <c r="M7" s="51">
        <v>0.28000000000000003</v>
      </c>
      <c r="N7" s="49" t="s">
        <v>192</v>
      </c>
      <c r="O7" s="51">
        <v>0.39473684210526316</v>
      </c>
      <c r="P7" s="49" t="s">
        <v>194</v>
      </c>
      <c r="Q7" s="52">
        <v>0.26341463414634148</v>
      </c>
      <c r="R7" s="49" t="s">
        <v>192</v>
      </c>
      <c r="S7" s="52">
        <v>0.16507936507936508</v>
      </c>
      <c r="T7" s="49" t="s">
        <v>194</v>
      </c>
      <c r="U7" s="53">
        <v>8705.5555555555547</v>
      </c>
      <c r="V7" s="49" t="s">
        <v>139</v>
      </c>
      <c r="W7" s="53">
        <v>-8460</v>
      </c>
      <c r="X7" s="49" t="s">
        <v>163</v>
      </c>
      <c r="Y7" s="51">
        <v>0.13725490196078433</v>
      </c>
      <c r="Z7" s="49" t="s">
        <v>139</v>
      </c>
      <c r="AA7" s="52">
        <v>0.31751611013473929</v>
      </c>
      <c r="AB7" s="49" t="s">
        <v>126</v>
      </c>
      <c r="AC7" s="52">
        <v>0.15398886827458255</v>
      </c>
      <c r="AD7" s="49" t="s">
        <v>192</v>
      </c>
      <c r="AE7" s="52">
        <v>0.52777777777777779</v>
      </c>
      <c r="AF7" s="49" t="s">
        <v>139</v>
      </c>
      <c r="AG7" s="52">
        <v>0.37323943661971831</v>
      </c>
      <c r="AH7" s="49" t="s">
        <v>192</v>
      </c>
      <c r="AI7" s="52">
        <v>0.45</v>
      </c>
      <c r="AJ7" s="49" t="s">
        <v>192</v>
      </c>
      <c r="AK7" s="56">
        <v>96200</v>
      </c>
    </row>
    <row r="8" spans="1:37" x14ac:dyDescent="0.4">
      <c r="A8" s="46">
        <v>6</v>
      </c>
      <c r="B8" s="49" t="s">
        <v>194</v>
      </c>
      <c r="C8" s="114">
        <v>25</v>
      </c>
      <c r="D8" s="47" t="s">
        <v>194</v>
      </c>
      <c r="E8" s="48">
        <v>-212.20000000000007</v>
      </c>
      <c r="F8" s="49" t="s">
        <v>192</v>
      </c>
      <c r="G8" s="61">
        <v>-9.1105263157894747</v>
      </c>
      <c r="H8" s="49" t="s">
        <v>198</v>
      </c>
      <c r="I8" s="53">
        <v>1435.2481162196425</v>
      </c>
      <c r="J8" s="49" t="s">
        <v>194</v>
      </c>
      <c r="K8" s="50">
        <v>2.2000000000000002</v>
      </c>
      <c r="L8" s="49" t="s">
        <v>192</v>
      </c>
      <c r="M8" s="51">
        <v>0.23684210526315788</v>
      </c>
      <c r="N8" s="49" t="s">
        <v>194</v>
      </c>
      <c r="O8" s="51">
        <v>0.48</v>
      </c>
      <c r="P8" s="49" t="s">
        <v>192</v>
      </c>
      <c r="Q8" s="52">
        <v>0.25396825396825395</v>
      </c>
      <c r="R8" s="49" t="s">
        <v>194</v>
      </c>
      <c r="S8" s="52">
        <v>0.16585365853658537</v>
      </c>
      <c r="T8" s="49" t="s">
        <v>192</v>
      </c>
      <c r="U8" s="53">
        <v>8563.75</v>
      </c>
      <c r="V8" s="49" t="s">
        <v>126</v>
      </c>
      <c r="W8" s="53">
        <v>-9129.8701298701308</v>
      </c>
      <c r="X8" s="49" t="s">
        <v>194</v>
      </c>
      <c r="Y8" s="51">
        <v>0.16</v>
      </c>
      <c r="Z8" s="49" t="s">
        <v>192</v>
      </c>
      <c r="AA8" s="52">
        <v>0.22857142857142856</v>
      </c>
      <c r="AB8" s="49" t="s">
        <v>194</v>
      </c>
      <c r="AC8" s="52">
        <v>0.13170731707317074</v>
      </c>
      <c r="AD8" s="49" t="s">
        <v>163</v>
      </c>
      <c r="AE8" s="52">
        <v>0.49606299212598426</v>
      </c>
      <c r="AF8" s="49" t="s">
        <v>198</v>
      </c>
      <c r="AG8" s="52">
        <v>0.19230769230769232</v>
      </c>
      <c r="AH8" s="49" t="s">
        <v>126</v>
      </c>
      <c r="AI8" s="52">
        <v>0.44385026737967914</v>
      </c>
      <c r="AJ8" s="49" t="s">
        <v>194</v>
      </c>
      <c r="AK8" s="56">
        <v>82600</v>
      </c>
    </row>
    <row r="9" spans="1:37" x14ac:dyDescent="0.4">
      <c r="A9" s="46">
        <v>7</v>
      </c>
      <c r="B9" s="49" t="s">
        <v>197</v>
      </c>
      <c r="C9" s="114">
        <v>3</v>
      </c>
      <c r="D9" s="47" t="s">
        <v>192</v>
      </c>
      <c r="E9" s="48">
        <v>-346.20000000000005</v>
      </c>
      <c r="F9" s="49" t="s">
        <v>197</v>
      </c>
      <c r="G9" s="61">
        <v>-37.800000000000004</v>
      </c>
      <c r="H9" s="49" t="s">
        <v>194</v>
      </c>
      <c r="I9" s="53">
        <v>1372.5824902185618</v>
      </c>
      <c r="J9" s="49" t="s">
        <v>197</v>
      </c>
      <c r="K9" s="50">
        <v>3</v>
      </c>
      <c r="L9" s="49" t="s">
        <v>197</v>
      </c>
      <c r="M9" s="51">
        <v>0</v>
      </c>
      <c r="N9" s="49" t="s">
        <v>197</v>
      </c>
      <c r="O9" s="51">
        <v>1</v>
      </c>
      <c r="P9" s="49" t="s">
        <v>197</v>
      </c>
      <c r="Q9" s="52">
        <v>0.11764705882352941</v>
      </c>
      <c r="R9" s="49" t="s">
        <v>197</v>
      </c>
      <c r="S9" s="52">
        <v>0.41176470588235292</v>
      </c>
      <c r="T9" s="49" t="s">
        <v>197</v>
      </c>
      <c r="U9" s="53">
        <v>1600</v>
      </c>
      <c r="V9" s="49" t="s">
        <v>194</v>
      </c>
      <c r="W9" s="53">
        <v>-9488.2352941176468</v>
      </c>
      <c r="X9" s="49" t="s">
        <v>197</v>
      </c>
      <c r="Y9" s="51">
        <v>0.66666666666666663</v>
      </c>
      <c r="Z9" s="49" t="s">
        <v>197</v>
      </c>
      <c r="AA9" s="52">
        <v>5.8823529411764705E-2</v>
      </c>
      <c r="AB9" s="49" t="s">
        <v>198</v>
      </c>
      <c r="AC9" s="52">
        <v>0.11158798283261803</v>
      </c>
      <c r="AD9" s="49" t="s">
        <v>197</v>
      </c>
      <c r="AE9" s="52">
        <v>0</v>
      </c>
      <c r="AF9" s="49" t="s">
        <v>194</v>
      </c>
      <c r="AG9" s="52">
        <v>0.18518518518518517</v>
      </c>
      <c r="AH9" s="49" t="s">
        <v>198</v>
      </c>
      <c r="AI9" s="52">
        <v>0.41428571428571431</v>
      </c>
      <c r="AJ9" s="49" t="s">
        <v>197</v>
      </c>
      <c r="AK9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C6004-74FA-4EF1-ACB1-0EA842C2EC4F}">
  <sheetPr codeName="Sheet4"/>
  <dimension ref="A1:R21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213</v>
      </c>
      <c r="C2" s="134"/>
      <c r="E2" s="26" t="s">
        <v>66</v>
      </c>
      <c r="F2" s="23" t="s">
        <v>22</v>
      </c>
      <c r="G2" s="11">
        <v>389</v>
      </c>
      <c r="H2" s="87">
        <f>IF(B$20=0,0,G2/B$20)</f>
        <v>0.76725838264299806</v>
      </c>
      <c r="I2" s="57">
        <v>3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-23.80952380952381</v>
      </c>
      <c r="Q2" s="76">
        <v>210</v>
      </c>
      <c r="R2" s="63">
        <v>-5000</v>
      </c>
    </row>
    <row r="3" spans="1:18" x14ac:dyDescent="0.4">
      <c r="A3" s="19" t="s">
        <v>8</v>
      </c>
      <c r="B3" s="135">
        <v>1707</v>
      </c>
      <c r="C3" s="136"/>
      <c r="E3" s="27" t="s">
        <v>64</v>
      </c>
      <c r="F3" s="24" t="s">
        <v>20</v>
      </c>
      <c r="G3" s="12">
        <v>280</v>
      </c>
      <c r="H3" s="88">
        <f>IF(B$20=0,0,G3/B$20)</f>
        <v>0.55226824457593693</v>
      </c>
      <c r="I3" s="58">
        <v>3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14.925373134328359</v>
      </c>
      <c r="Q3" s="77">
        <v>201</v>
      </c>
      <c r="R3" s="64">
        <v>3000</v>
      </c>
    </row>
    <row r="4" spans="1:18" x14ac:dyDescent="0.4">
      <c r="A4" s="19" t="s">
        <v>6</v>
      </c>
      <c r="B4" s="137">
        <v>-3.5527136788005009E-14</v>
      </c>
      <c r="C4" s="138"/>
      <c r="E4" s="27" t="s">
        <v>72</v>
      </c>
      <c r="F4" s="24" t="s">
        <v>27</v>
      </c>
      <c r="G4" s="12">
        <v>221</v>
      </c>
      <c r="H4" s="88">
        <f>IF(B$20=0,0,G4/B$20)</f>
        <v>0.4358974358974359</v>
      </c>
      <c r="I4" s="58">
        <v>5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-5.208333333333333</v>
      </c>
      <c r="Q4" s="77">
        <v>192</v>
      </c>
      <c r="R4" s="64">
        <v>-1000</v>
      </c>
    </row>
    <row r="5" spans="1:18" x14ac:dyDescent="0.4">
      <c r="A5" s="19" t="s">
        <v>7</v>
      </c>
      <c r="B5" s="125">
        <f>IF(B$2=0,0,B$4/B$2)</f>
        <v>-1.6679406942725356E-16</v>
      </c>
      <c r="C5" s="126"/>
      <c r="E5" s="27" t="s">
        <v>159</v>
      </c>
      <c r="F5" s="24" t="s">
        <v>160</v>
      </c>
      <c r="G5" s="12">
        <v>198</v>
      </c>
      <c r="H5" s="88">
        <f>IF(B$20=0,0,G5/B$20)</f>
        <v>0.39053254437869822</v>
      </c>
      <c r="I5" s="58">
        <v>5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-22.598870056497177</v>
      </c>
      <c r="Q5" s="77">
        <v>177</v>
      </c>
      <c r="R5" s="64">
        <v>-4000</v>
      </c>
    </row>
    <row r="6" spans="1:18" x14ac:dyDescent="0.4">
      <c r="A6" s="19" t="s">
        <v>195</v>
      </c>
      <c r="B6" s="129">
        <v>1601.8363817015918</v>
      </c>
      <c r="C6" s="130"/>
      <c r="E6" s="27" t="s">
        <v>68</v>
      </c>
      <c r="F6" s="24" t="s">
        <v>12</v>
      </c>
      <c r="G6" s="12">
        <v>181</v>
      </c>
      <c r="H6" s="88">
        <f>IF(B$20=0,0,G6/B$20)</f>
        <v>0.35700197238658776</v>
      </c>
      <c r="I6" s="58">
        <v>2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6.0606060606060606</v>
      </c>
      <c r="Q6" s="77">
        <v>165</v>
      </c>
      <c r="R6" s="64">
        <v>1000</v>
      </c>
    </row>
    <row r="7" spans="1:18" x14ac:dyDescent="0.4">
      <c r="A7" s="19" t="s">
        <v>1</v>
      </c>
      <c r="B7" s="139">
        <f>IF(B$2=0,0,(B$8*1+B$9*2+B$10*3)/B$2)</f>
        <v>1.9859154929577465</v>
      </c>
      <c r="C7" s="140"/>
      <c r="E7" s="27" t="s">
        <v>67</v>
      </c>
      <c r="F7" s="24" t="s">
        <v>23</v>
      </c>
      <c r="G7" s="12">
        <v>127</v>
      </c>
      <c r="H7" s="88">
        <f>IF(B$20=0,0,G7/B$20)</f>
        <v>0.2504930966469428</v>
      </c>
      <c r="I7" s="58">
        <v>2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34.013605442176868</v>
      </c>
      <c r="Q7" s="78">
        <v>147</v>
      </c>
      <c r="R7" s="65">
        <v>5000</v>
      </c>
    </row>
    <row r="8" spans="1:18" x14ac:dyDescent="0.4">
      <c r="A8" s="19" t="s">
        <v>2</v>
      </c>
      <c r="B8" s="12">
        <v>73</v>
      </c>
      <c r="C8" s="6">
        <f t="shared" ref="C8:C15" si="1">IF(B$2=0,0,B8/B$2)</f>
        <v>0.34272300469483569</v>
      </c>
      <c r="E8" s="27" t="s">
        <v>69</v>
      </c>
      <c r="F8" s="24" t="s">
        <v>24</v>
      </c>
      <c r="G8" s="12">
        <v>86</v>
      </c>
      <c r="H8" s="88">
        <f>IF(B$20=0,0,G8/B$20)</f>
        <v>0.16962524654832348</v>
      </c>
      <c r="I8" s="58">
        <v>4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70</v>
      </c>
      <c r="C9" s="6">
        <f t="shared" si="1"/>
        <v>0.32863849765258218</v>
      </c>
      <c r="E9" s="27" t="s">
        <v>65</v>
      </c>
      <c r="F9" s="24" t="s">
        <v>21</v>
      </c>
      <c r="G9" s="12">
        <v>71</v>
      </c>
      <c r="H9" s="88">
        <f>IF(B$20=0,0,G9/B$20)</f>
        <v>0.14003944773175542</v>
      </c>
      <c r="I9" s="58">
        <v>3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70</v>
      </c>
      <c r="C10" s="7">
        <f t="shared" si="1"/>
        <v>0.32863849765258218</v>
      </c>
      <c r="E10" s="27" t="s">
        <v>89</v>
      </c>
      <c r="F10" s="24" t="s">
        <v>44</v>
      </c>
      <c r="G10" s="12">
        <v>71</v>
      </c>
      <c r="H10" s="88">
        <f>IF(B$20=0,0,G10/B$20)</f>
        <v>0.14003944773175542</v>
      </c>
      <c r="I10" s="58">
        <v>4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4.7985915492957751</v>
      </c>
      <c r="Q10" s="76">
        <v>71</v>
      </c>
      <c r="R10" s="67">
        <v>340.70000000000005</v>
      </c>
    </row>
    <row r="11" spans="1:18" x14ac:dyDescent="0.4">
      <c r="A11" s="20" t="s">
        <v>184</v>
      </c>
      <c r="B11" s="109">
        <f>IF(B8=0,0,C11/B8)</f>
        <v>44.601369863013694</v>
      </c>
      <c r="C11" s="110">
        <v>3255.8999999999996</v>
      </c>
      <c r="E11" s="27" t="s">
        <v>70</v>
      </c>
      <c r="F11" s="24" t="s">
        <v>25</v>
      </c>
      <c r="G11" s="12">
        <v>57</v>
      </c>
      <c r="H11" s="88">
        <f>IF(B$20=0,0,G11/B$20)</f>
        <v>0.11242603550295859</v>
      </c>
      <c r="I11" s="58">
        <v>3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-3.8760563380281678</v>
      </c>
      <c r="Q11" s="77">
        <v>71</v>
      </c>
      <c r="R11" s="68">
        <v>-275.19999999999993</v>
      </c>
    </row>
    <row r="12" spans="1:18" x14ac:dyDescent="0.4">
      <c r="A12" s="20" t="s">
        <v>185</v>
      </c>
      <c r="B12" s="109">
        <f>IF(B9=0,0,C12/B9)</f>
        <v>-4.0828571428571427</v>
      </c>
      <c r="C12" s="110">
        <v>-285.8</v>
      </c>
      <c r="E12" s="27" t="s">
        <v>71</v>
      </c>
      <c r="F12" s="24" t="s">
        <v>26</v>
      </c>
      <c r="G12" s="12">
        <v>35</v>
      </c>
      <c r="H12" s="88">
        <f>IF(B$20=0,0,G12/B$20)</f>
        <v>6.9033530571992116E-2</v>
      </c>
      <c r="I12" s="58">
        <v>4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-0.92253521126760563</v>
      </c>
      <c r="Q12" s="78">
        <v>71</v>
      </c>
      <c r="R12" s="69">
        <v>-65.5</v>
      </c>
    </row>
    <row r="13" spans="1:18" x14ac:dyDescent="0.4">
      <c r="A13" s="20" t="s">
        <v>186</v>
      </c>
      <c r="B13" s="109">
        <f>IF(B10=0,0,C13/B10)</f>
        <v>-42.430000000000021</v>
      </c>
      <c r="C13" s="110">
        <v>-2970.1000000000013</v>
      </c>
      <c r="E13" s="27" t="s">
        <v>86</v>
      </c>
      <c r="F13" s="24" t="s">
        <v>41</v>
      </c>
      <c r="G13" s="12">
        <v>32</v>
      </c>
      <c r="H13" s="88">
        <f>IF(B$20=0,0,G13/B$20)</f>
        <v>6.3116370808678504E-2</v>
      </c>
      <c r="I13" s="58">
        <v>4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-0.63716242661449007</v>
      </c>
      <c r="C14" s="126"/>
      <c r="E14" s="27" t="s">
        <v>78</v>
      </c>
      <c r="F14" s="24" t="s">
        <v>33</v>
      </c>
      <c r="G14" s="12">
        <v>18</v>
      </c>
      <c r="H14" s="88">
        <f>IF(B$20=0,0,G14/B$20)</f>
        <v>3.5502958579881658E-2</v>
      </c>
      <c r="I14" s="58">
        <v>3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24</v>
      </c>
      <c r="C15" s="9">
        <f t="shared" si="1"/>
        <v>0.11267605633802817</v>
      </c>
      <c r="E15" s="27" t="s">
        <v>83</v>
      </c>
      <c r="F15" s="24" t="s">
        <v>38</v>
      </c>
      <c r="G15" s="12">
        <v>18</v>
      </c>
      <c r="H15" s="88">
        <f>IF(B$20=0,0,G15/B$20)</f>
        <v>3.5502958579881658E-2</v>
      </c>
      <c r="I15" s="58">
        <v>4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542</v>
      </c>
      <c r="C16" s="10">
        <f>IF(B$3=0,0,B16/B$3)</f>
        <v>0.31751611013473929</v>
      </c>
      <c r="E16" s="27" t="s">
        <v>81</v>
      </c>
      <c r="F16" s="24" t="s">
        <v>36</v>
      </c>
      <c r="G16" s="12">
        <v>16</v>
      </c>
      <c r="H16" s="88">
        <f>IF(B$20=0,0,G16/B$20)</f>
        <v>3.1558185404339252E-2</v>
      </c>
      <c r="I16" s="58">
        <v>4</v>
      </c>
      <c r="K16" s="74">
        <v>14</v>
      </c>
      <c r="L16" s="119">
        <v>18.100000000000005</v>
      </c>
      <c r="M16" s="117">
        <v>1607.3831608073062</v>
      </c>
      <c r="O16" s="74" t="s">
        <v>192</v>
      </c>
      <c r="P16" s="83">
        <f>IF(Q16=0,0,R16/Q16)</f>
        <v>13.665789473684216</v>
      </c>
      <c r="Q16" s="77">
        <v>76</v>
      </c>
      <c r="R16" s="68">
        <v>1038.6000000000004</v>
      </c>
    </row>
    <row r="17" spans="1:18" x14ac:dyDescent="0.4">
      <c r="A17" s="19" t="s">
        <v>118</v>
      </c>
      <c r="B17" s="12">
        <v>284</v>
      </c>
      <c r="C17" s="6">
        <f>IF(B$3=0,0,B17/B$3)</f>
        <v>0.16637375512595196</v>
      </c>
      <c r="E17" s="27" t="s">
        <v>155</v>
      </c>
      <c r="F17" s="24" t="s">
        <v>156</v>
      </c>
      <c r="G17" s="12">
        <v>9</v>
      </c>
      <c r="H17" s="88">
        <f>IF(B$20=0,0,G17/B$20)</f>
        <v>1.7751479289940829E-2</v>
      </c>
      <c r="I17" s="58">
        <v>3</v>
      </c>
      <c r="K17" s="74">
        <v>15</v>
      </c>
      <c r="L17" s="119">
        <v>3.5527136788005009E-15</v>
      </c>
      <c r="M17" s="117">
        <v>1604.4528618424624</v>
      </c>
      <c r="O17" s="74" t="s">
        <v>194</v>
      </c>
      <c r="P17" s="83">
        <f>IF(Q17=0,0,R17/Q17)</f>
        <v>12.731999999999994</v>
      </c>
      <c r="Q17" s="77">
        <v>50</v>
      </c>
      <c r="R17" s="68">
        <v>636.59999999999968</v>
      </c>
    </row>
    <row r="18" spans="1:18" x14ac:dyDescent="0.4">
      <c r="A18" s="18" t="s">
        <v>123</v>
      </c>
      <c r="B18" s="11">
        <f>B24</f>
        <v>294</v>
      </c>
      <c r="C18" s="5">
        <f>IF(B$16=0,0,B18/B$16)</f>
        <v>0.54243542435424352</v>
      </c>
      <c r="E18" s="27" t="s">
        <v>91</v>
      </c>
      <c r="F18" s="24" t="s">
        <v>46</v>
      </c>
      <c r="G18" s="12">
        <v>6</v>
      </c>
      <c r="H18" s="88">
        <f>IF(B$20=0,0,G18/B$20)</f>
        <v>1.1834319526627219E-2</v>
      </c>
      <c r="I18" s="58">
        <v>3</v>
      </c>
      <c r="K18" s="74">
        <v>16</v>
      </c>
      <c r="L18" s="119">
        <v>76.5</v>
      </c>
      <c r="M18" s="117">
        <v>1618.5681446714077</v>
      </c>
      <c r="O18" s="74" t="s">
        <v>163</v>
      </c>
      <c r="P18" s="83">
        <f>IF(Q18=0,0,R18/Q18)</f>
        <v>-1.6441176470588195</v>
      </c>
      <c r="Q18" s="77">
        <v>102</v>
      </c>
      <c r="R18" s="68">
        <v>-167.69999999999959</v>
      </c>
    </row>
    <row r="19" spans="1:18" x14ac:dyDescent="0.4">
      <c r="A19" s="18" t="s">
        <v>124</v>
      </c>
      <c r="B19" s="11">
        <f>B25</f>
        <v>106</v>
      </c>
      <c r="C19" s="5">
        <f>IF(B$17=0,0,B19/B$17)</f>
        <v>0.37323943661971831</v>
      </c>
      <c r="E19" s="27" t="s">
        <v>93</v>
      </c>
      <c r="F19" s="24" t="s">
        <v>48</v>
      </c>
      <c r="G19" s="12">
        <v>6</v>
      </c>
      <c r="H19" s="88">
        <f>IF(B$20=0,0,G19/B$20)</f>
        <v>1.1834319526627219E-2</v>
      </c>
      <c r="I19" s="58">
        <v>2</v>
      </c>
      <c r="K19" s="74">
        <v>17</v>
      </c>
      <c r="L19" s="119">
        <v>46</v>
      </c>
      <c r="M19" s="117">
        <v>1613.3387358033792</v>
      </c>
      <c r="O19" s="74" t="s">
        <v>198</v>
      </c>
      <c r="P19" s="83">
        <f>IF(Q19=0,0,R19/Q19)</f>
        <v>-6.481034482758619</v>
      </c>
      <c r="Q19" s="77">
        <v>58</v>
      </c>
      <c r="R19" s="68">
        <v>-375.89999999999992</v>
      </c>
    </row>
    <row r="20" spans="1:18" x14ac:dyDescent="0.4">
      <c r="A20" s="18" t="s">
        <v>10</v>
      </c>
      <c r="B20" s="11">
        <f>B23+B22</f>
        <v>507</v>
      </c>
      <c r="C20" s="5">
        <f>IF(B$3=0,0,B20/B$3)</f>
        <v>0.29701230228471004</v>
      </c>
      <c r="E20" s="27" t="s">
        <v>92</v>
      </c>
      <c r="F20" s="24" t="s">
        <v>47</v>
      </c>
      <c r="G20" s="12">
        <v>3</v>
      </c>
      <c r="H20" s="88">
        <f>IF(B$20=0,0,G20/B$20)</f>
        <v>5.9171597633136093E-3</v>
      </c>
      <c r="I20" s="58">
        <v>3</v>
      </c>
      <c r="K20" s="74">
        <v>18</v>
      </c>
      <c r="L20" s="119">
        <v>0</v>
      </c>
      <c r="M20" s="117">
        <v>1605.3507033885589</v>
      </c>
      <c r="O20" s="74" t="s">
        <v>126</v>
      </c>
      <c r="P20" s="83">
        <f>IF(Q20=0,0,R20/Q20)</f>
        <v>-10.983582089552236</v>
      </c>
      <c r="Q20" s="77">
        <v>134</v>
      </c>
      <c r="R20" s="68">
        <v>-1471.7999999999997</v>
      </c>
    </row>
    <row r="21" spans="1:18" x14ac:dyDescent="0.4">
      <c r="A21" s="19" t="s">
        <v>13</v>
      </c>
      <c r="B21" s="12">
        <v>270</v>
      </c>
      <c r="C21" s="6">
        <f>IF(B$3=0,0,B21/B$3)</f>
        <v>0.15817223198594024</v>
      </c>
      <c r="E21" s="27" t="s">
        <v>73</v>
      </c>
      <c r="F21" s="24" t="s">
        <v>28</v>
      </c>
      <c r="G21" s="12">
        <v>2</v>
      </c>
      <c r="H21" s="88">
        <f>IF(B$20=0,0,G21/B$20)</f>
        <v>3.9447731755424065E-3</v>
      </c>
      <c r="I21" s="58">
        <v>3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233</v>
      </c>
      <c r="C22" s="6">
        <f>IF(B$20=0,0,B22/B$20)</f>
        <v>0.45956607495069035</v>
      </c>
      <c r="E22" s="27" t="s">
        <v>74</v>
      </c>
      <c r="F22" s="24" t="s">
        <v>29</v>
      </c>
      <c r="G22" s="12">
        <v>2</v>
      </c>
      <c r="H22" s="88">
        <f>IF(B$20=0,0,G22/B$20)</f>
        <v>3.9447731755424065E-3</v>
      </c>
      <c r="I22" s="58">
        <v>3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274</v>
      </c>
      <c r="C23" s="6">
        <f>IF(B$20=0,0,B23/B$20)</f>
        <v>0.54043392504930965</v>
      </c>
      <c r="E23" s="27" t="s">
        <v>88</v>
      </c>
      <c r="F23" s="24" t="s">
        <v>43</v>
      </c>
      <c r="G23" s="12">
        <v>2</v>
      </c>
      <c r="H23" s="88">
        <f>IF(B$20=0,0,G23/B$20)</f>
        <v>3.9447731755424065E-3</v>
      </c>
      <c r="I23" s="58">
        <v>2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294</v>
      </c>
      <c r="C24" s="6">
        <f>IF(B$20=0,0,B24/B$20)</f>
        <v>0.57988165680473369</v>
      </c>
      <c r="E24" s="27" t="s">
        <v>90</v>
      </c>
      <c r="F24" s="24" t="s">
        <v>45</v>
      </c>
      <c r="G24" s="12">
        <v>2</v>
      </c>
      <c r="H24" s="88">
        <f>IF(B$20=0,0,G24/B$20)</f>
        <v>3.9447731755424065E-3</v>
      </c>
      <c r="I24" s="58">
        <v>3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106</v>
      </c>
      <c r="C25" s="6">
        <f>IF(B$20=0,0,B25/B$20)</f>
        <v>0.20907297830374755</v>
      </c>
      <c r="E25" s="27" t="s">
        <v>75</v>
      </c>
      <c r="F25" s="24" t="s">
        <v>30</v>
      </c>
      <c r="G25" s="12">
        <v>1</v>
      </c>
      <c r="H25" s="88">
        <f>IF(B$20=0,0,G25/B$20)</f>
        <v>1.9723865877712033E-3</v>
      </c>
      <c r="I25" s="58">
        <v>2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107</v>
      </c>
      <c r="C26" s="6">
        <f>IF(B$20=0,0,B26/B$20)</f>
        <v>0.21104536489151873</v>
      </c>
      <c r="E26" s="27" t="s">
        <v>77</v>
      </c>
      <c r="F26" s="24" t="s">
        <v>32</v>
      </c>
      <c r="G26" s="12">
        <v>1</v>
      </c>
      <c r="H26" s="88">
        <f>IF(B$20=0,0,G26/B$20)</f>
        <v>1.9723865877712033E-3</v>
      </c>
      <c r="I26" s="58">
        <v>2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9267.8500986193285</v>
      </c>
      <c r="C27" s="8">
        <v>4698800</v>
      </c>
      <c r="E27" s="27" t="s">
        <v>79</v>
      </c>
      <c r="F27" s="24" t="s">
        <v>34</v>
      </c>
      <c r="G27" s="12">
        <v>1</v>
      </c>
      <c r="H27" s="88">
        <f>IF(B$20=0,0,G27/B$20)</f>
        <v>1.9723865877712033E-3</v>
      </c>
      <c r="I27" s="58">
        <v>2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9884.7880299251865</v>
      </c>
      <c r="C28" s="96">
        <v>3963800</v>
      </c>
      <c r="E28" s="27" t="s">
        <v>85</v>
      </c>
      <c r="F28" s="24" t="s">
        <v>40</v>
      </c>
      <c r="G28" s="12">
        <v>1</v>
      </c>
      <c r="H28" s="88">
        <f>IF(B$20=0,0,G28/B$20)</f>
        <v>1.9723865877712033E-3</v>
      </c>
      <c r="I28" s="58">
        <v>2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6933.9622641509432</v>
      </c>
      <c r="C29" s="96">
        <v>735000</v>
      </c>
      <c r="E29" s="27" t="s">
        <v>87</v>
      </c>
      <c r="F29" s="24" t="s">
        <v>42</v>
      </c>
      <c r="G29" s="12">
        <v>1</v>
      </c>
      <c r="H29" s="88">
        <f>IF(B$20=0,0,G29/B$20)</f>
        <v>1.9723865877712033E-3</v>
      </c>
      <c r="I29" s="58">
        <v>2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-8460</v>
      </c>
      <c r="C30" s="96">
        <v>-2284200</v>
      </c>
      <c r="E30" s="27" t="s">
        <v>94</v>
      </c>
      <c r="F30" s="24" t="s">
        <v>49</v>
      </c>
      <c r="G30" s="12">
        <v>1</v>
      </c>
      <c r="H30" s="88">
        <f>IF(B$20=0,0,G30/B$20)</f>
        <v>1.9723865877712033E-3</v>
      </c>
      <c r="I30" s="58">
        <v>2</v>
      </c>
      <c r="K30" s="74">
        <v>28</v>
      </c>
      <c r="L30" s="119">
        <v>-24.299999999999997</v>
      </c>
      <c r="M30" s="117">
        <v>1604.1235742342174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98</v>
      </c>
      <c r="F31" s="24" t="s">
        <v>53</v>
      </c>
      <c r="G31" s="12">
        <v>1</v>
      </c>
      <c r="H31" s="88">
        <f>IF(B$20=0,0,G31/B$20)</f>
        <v>1.9723865877712033E-3</v>
      </c>
      <c r="I31" s="58">
        <v>2</v>
      </c>
      <c r="K31" s="74">
        <v>29</v>
      </c>
      <c r="L31" s="119">
        <v>4.6000000000000014</v>
      </c>
      <c r="M31" s="117">
        <v>1609.4448327888122</v>
      </c>
    </row>
    <row r="32" spans="1:18" x14ac:dyDescent="0.4">
      <c r="A32" s="19" t="s">
        <v>158</v>
      </c>
      <c r="B32" s="12">
        <v>41</v>
      </c>
      <c r="C32" s="90">
        <v>1</v>
      </c>
      <c r="E32" s="27" t="s">
        <v>106</v>
      </c>
      <c r="F32" s="24" t="s">
        <v>113</v>
      </c>
      <c r="G32" s="12">
        <v>1</v>
      </c>
      <c r="H32" s="88">
        <f>IF(B$20=0,0,G32/B$20)</f>
        <v>1.9723865877712033E-3</v>
      </c>
      <c r="I32" s="58">
        <v>2</v>
      </c>
      <c r="K32" s="74">
        <v>30</v>
      </c>
      <c r="L32" s="119">
        <v>1.7763568394002505E-15</v>
      </c>
      <c r="M32" s="117">
        <v>1608.7041637920793</v>
      </c>
    </row>
    <row r="33" spans="1:13" x14ac:dyDescent="0.4">
      <c r="A33" s="54" t="s">
        <v>136</v>
      </c>
      <c r="B33" s="127">
        <v>7</v>
      </c>
      <c r="C33" s="128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20</v>
      </c>
      <c r="M33" s="117">
        <v>1612.1499388093268</v>
      </c>
    </row>
    <row r="34" spans="1:13" x14ac:dyDescent="0.4">
      <c r="A34" s="22" t="s">
        <v>180</v>
      </c>
      <c r="B34" s="129">
        <v>142700</v>
      </c>
      <c r="C34" s="130"/>
      <c r="E34" s="27" t="s">
        <v>80</v>
      </c>
      <c r="F34" s="24" t="s">
        <v>35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19.399999999999999</v>
      </c>
      <c r="M34" s="117">
        <v>1611.8670391764708</v>
      </c>
    </row>
    <row r="35" spans="1:13" x14ac:dyDescent="0.4">
      <c r="A35" s="21" t="s">
        <v>137</v>
      </c>
      <c r="B35" s="29">
        <v>2</v>
      </c>
      <c r="C35" s="9">
        <f>IF(B$3=0,0,B35/B$3)</f>
        <v>1.1716461628588166E-3</v>
      </c>
      <c r="E35" s="27" t="s">
        <v>82</v>
      </c>
      <c r="F35" s="24" t="s">
        <v>37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1608.201836941412</v>
      </c>
    </row>
    <row r="36" spans="1:13" x14ac:dyDescent="0.4">
      <c r="E36" s="27" t="s">
        <v>84</v>
      </c>
      <c r="F36" s="24" t="s">
        <v>39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-18.600000000000001</v>
      </c>
      <c r="M36" s="117">
        <v>1604.7026259197635</v>
      </c>
    </row>
    <row r="37" spans="1:13" x14ac:dyDescent="0.4">
      <c r="A37" s="54" t="s">
        <v>171</v>
      </c>
      <c r="B37" s="123">
        <v>26</v>
      </c>
      <c r="C37" s="98">
        <f t="shared" ref="C37:C49" si="2">IF(B$20=0,0,B37/B$20)</f>
        <v>5.128205128205128E-2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-57.800000000000004</v>
      </c>
      <c r="M37" s="117">
        <v>1597.5164101642449</v>
      </c>
    </row>
    <row r="38" spans="1:13" x14ac:dyDescent="0.4">
      <c r="A38" s="19" t="s">
        <v>167</v>
      </c>
      <c r="B38" s="12">
        <v>71</v>
      </c>
      <c r="C38" s="6">
        <f t="shared" si="2"/>
        <v>0.14003944773175542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-7.1054273576010019E-15</v>
      </c>
      <c r="M38" s="117">
        <v>1607.8333117032594</v>
      </c>
    </row>
    <row r="39" spans="1:13" x14ac:dyDescent="0.4">
      <c r="A39" s="19" t="s">
        <v>168</v>
      </c>
      <c r="B39" s="124">
        <v>93</v>
      </c>
      <c r="C39" s="6">
        <f t="shared" si="2"/>
        <v>0.18343195266272189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-22.600000000000009</v>
      </c>
      <c r="M39" s="117">
        <v>1603.6163118330398</v>
      </c>
    </row>
    <row r="40" spans="1:13" x14ac:dyDescent="0.4">
      <c r="A40" s="19" t="s">
        <v>169</v>
      </c>
      <c r="B40" s="124">
        <v>120</v>
      </c>
      <c r="C40" s="6">
        <f t="shared" si="2"/>
        <v>0.23668639053254437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-20.20000000000001</v>
      </c>
      <c r="M40" s="117">
        <v>1603.9246139620416</v>
      </c>
    </row>
    <row r="41" spans="1:13" x14ac:dyDescent="0.4">
      <c r="A41" s="19" t="s">
        <v>170</v>
      </c>
      <c r="B41" s="124">
        <v>79</v>
      </c>
      <c r="C41" s="6">
        <f t="shared" si="2"/>
        <v>0.15581854043392504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-1.0658141036401503E-14</v>
      </c>
      <c r="M41" s="117">
        <v>1607.4350662782692</v>
      </c>
    </row>
    <row r="42" spans="1:13" x14ac:dyDescent="0.4">
      <c r="A42" s="19" t="s">
        <v>172</v>
      </c>
      <c r="B42" s="124">
        <v>53</v>
      </c>
      <c r="C42" s="6">
        <f t="shared" si="2"/>
        <v>0.10453648915187377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-40.800000000000011</v>
      </c>
      <c r="M42" s="117">
        <v>1599.9444558805997</v>
      </c>
    </row>
    <row r="43" spans="1:13" x14ac:dyDescent="0.4">
      <c r="A43" s="19" t="s">
        <v>173</v>
      </c>
      <c r="B43" s="124">
        <v>21</v>
      </c>
      <c r="C43" s="6">
        <f t="shared" si="2"/>
        <v>4.142011834319527E-2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-43.300000000000011</v>
      </c>
      <c r="M43" s="117">
        <v>1599.3927891453161</v>
      </c>
    </row>
    <row r="44" spans="1:13" x14ac:dyDescent="0.4">
      <c r="A44" s="19" t="s">
        <v>174</v>
      </c>
      <c r="B44" s="124">
        <v>15</v>
      </c>
      <c r="C44" s="6">
        <f t="shared" si="2"/>
        <v>2.9585798816568046E-2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-1.4210854715202004E-14</v>
      </c>
      <c r="M44" s="117">
        <v>1607.0884324104443</v>
      </c>
    </row>
    <row r="45" spans="1:13" x14ac:dyDescent="0.4">
      <c r="A45" s="19" t="s">
        <v>175</v>
      </c>
      <c r="B45" s="124">
        <v>10</v>
      </c>
      <c r="C45" s="6">
        <f t="shared" si="2"/>
        <v>1.9723865877712032E-2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-47.500000000000014</v>
      </c>
      <c r="M45" s="117">
        <v>1598.3939018159815</v>
      </c>
    </row>
    <row r="46" spans="1:13" x14ac:dyDescent="0.4">
      <c r="A46" s="19" t="s">
        <v>176</v>
      </c>
      <c r="B46" s="124">
        <v>4</v>
      </c>
      <c r="C46" s="6">
        <f t="shared" si="2"/>
        <v>7.889546351084813E-3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-56.800000000000011</v>
      </c>
      <c r="M46" s="117">
        <v>1596.6275384050857</v>
      </c>
    </row>
    <row r="47" spans="1:13" x14ac:dyDescent="0.4">
      <c r="A47" s="19" t="s">
        <v>177</v>
      </c>
      <c r="B47" s="124">
        <v>2</v>
      </c>
      <c r="C47" s="6">
        <f t="shared" si="2"/>
        <v>3.9447731755424065E-3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-1.4210854715202004E-14</v>
      </c>
      <c r="M47" s="117">
        <v>1606.7697731746553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57.599999999999987</v>
      </c>
      <c r="M48" s="117">
        <v>1616.9951545356073</v>
      </c>
    </row>
    <row r="49" spans="1:13" x14ac:dyDescent="0.4">
      <c r="A49" s="21" t="s">
        <v>179</v>
      </c>
      <c r="B49" s="97">
        <v>13</v>
      </c>
      <c r="C49" s="9">
        <f t="shared" si="2"/>
        <v>2.564102564102564E-2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11.599999999999987</v>
      </c>
      <c r="M49" s="117">
        <v>1608.5111836083936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-1.2434497875801753E-14</v>
      </c>
      <c r="M50" s="117">
        <v>1606.2701165067433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-27.600000000000016</v>
      </c>
      <c r="M51" s="117">
        <v>1601.162495807703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-1.6000000000000156</v>
      </c>
      <c r="M52" s="117">
        <v>1605.7335208328568</v>
      </c>
    </row>
    <row r="53" spans="1:13" x14ac:dyDescent="0.4">
      <c r="K53" s="74">
        <v>51</v>
      </c>
      <c r="L53" s="119">
        <v>-1.5543122344752192E-14</v>
      </c>
      <c r="M53" s="117">
        <v>1605.8851197078598</v>
      </c>
    </row>
    <row r="54" spans="1:13" x14ac:dyDescent="0.4">
      <c r="K54" s="74">
        <v>52</v>
      </c>
      <c r="L54" s="119">
        <v>-28.600000000000016</v>
      </c>
      <c r="M54" s="117">
        <v>1600.5998089896127</v>
      </c>
    </row>
    <row r="55" spans="1:13" x14ac:dyDescent="0.4">
      <c r="K55" s="74">
        <v>53</v>
      </c>
      <c r="L55" s="119">
        <v>14.799999999999983</v>
      </c>
      <c r="M55" s="117">
        <v>1608.306210135675</v>
      </c>
    </row>
    <row r="56" spans="1:13" x14ac:dyDescent="0.4">
      <c r="K56" s="74">
        <v>54</v>
      </c>
      <c r="L56" s="119">
        <v>-1.7763568394002505E-14</v>
      </c>
      <c r="M56" s="117">
        <v>1605.4903728748609</v>
      </c>
    </row>
    <row r="57" spans="1:13" x14ac:dyDescent="0.4">
      <c r="K57" s="74">
        <v>55</v>
      </c>
      <c r="L57" s="119">
        <v>10.299999999999983</v>
      </c>
      <c r="M57" s="117">
        <v>1607.2094306376118</v>
      </c>
    </row>
    <row r="58" spans="1:13" x14ac:dyDescent="0.4">
      <c r="K58" s="74">
        <v>56</v>
      </c>
      <c r="L58" s="119">
        <v>-22.40000000000002</v>
      </c>
      <c r="M58" s="117">
        <v>1601.1781740537861</v>
      </c>
    </row>
    <row r="59" spans="1:13" x14ac:dyDescent="0.4">
      <c r="K59" s="74">
        <v>57</v>
      </c>
      <c r="L59" s="119">
        <v>-2.1316282072803006E-14</v>
      </c>
      <c r="M59" s="117">
        <v>1605.1011050094633</v>
      </c>
    </row>
    <row r="60" spans="1:13" x14ac:dyDescent="0.4">
      <c r="K60" s="74">
        <v>58</v>
      </c>
      <c r="L60" s="119">
        <v>-1.2000000000000213</v>
      </c>
      <c r="M60" s="117">
        <v>1605.2444983794064</v>
      </c>
    </row>
    <row r="61" spans="1:13" x14ac:dyDescent="0.4">
      <c r="K61" s="74">
        <v>59</v>
      </c>
      <c r="L61" s="119">
        <v>22.799999999999979</v>
      </c>
      <c r="M61" s="117">
        <v>1609.9230313891301</v>
      </c>
    </row>
    <row r="62" spans="1:13" x14ac:dyDescent="0.4">
      <c r="K62" s="74">
        <v>60</v>
      </c>
      <c r="L62" s="119">
        <v>-2.1316282072803006E-14</v>
      </c>
      <c r="M62" s="117">
        <v>1606.1494932007954</v>
      </c>
    </row>
    <row r="63" spans="1:13" x14ac:dyDescent="0.4">
      <c r="K63" s="74">
        <v>61</v>
      </c>
      <c r="L63" s="119">
        <v>37.199999999999982</v>
      </c>
      <c r="M63" s="117">
        <v>1613.1985962415906</v>
      </c>
    </row>
    <row r="64" spans="1:13" x14ac:dyDescent="0.4">
      <c r="K64" s="74">
        <v>62</v>
      </c>
      <c r="L64" s="119">
        <v>-3.2000000000000171</v>
      </c>
      <c r="M64" s="117">
        <v>1606.237404664141</v>
      </c>
    </row>
    <row r="65" spans="11:13" x14ac:dyDescent="0.4">
      <c r="K65" s="74">
        <v>63</v>
      </c>
      <c r="L65" s="119">
        <v>-1.6875389974302379E-14</v>
      </c>
      <c r="M65" s="117">
        <v>1607.1659802361562</v>
      </c>
    </row>
    <row r="66" spans="11:13" x14ac:dyDescent="0.4">
      <c r="K66" s="74">
        <v>64</v>
      </c>
      <c r="L66" s="119">
        <v>-2.2000000000000171</v>
      </c>
      <c r="M66" s="117">
        <v>1607.1169843547393</v>
      </c>
    </row>
    <row r="67" spans="11:13" x14ac:dyDescent="0.4">
      <c r="K67" s="74">
        <v>65</v>
      </c>
      <c r="L67" s="119">
        <v>-51.800000000000018</v>
      </c>
      <c r="M67" s="117">
        <v>1598.5362824486108</v>
      </c>
    </row>
    <row r="68" spans="11:13" x14ac:dyDescent="0.4">
      <c r="K68" s="74">
        <v>66</v>
      </c>
      <c r="L68" s="119">
        <v>-2.1316282072803006E-14</v>
      </c>
      <c r="M68" s="117">
        <v>1608.2590647539191</v>
      </c>
    </row>
    <row r="69" spans="11:13" x14ac:dyDescent="0.4">
      <c r="K69" s="74">
        <v>67</v>
      </c>
      <c r="L69" s="119">
        <v>11.699999999999978</v>
      </c>
      <c r="M69" s="117">
        <v>1610.7055103653956</v>
      </c>
    </row>
    <row r="70" spans="11:13" x14ac:dyDescent="0.4">
      <c r="K70" s="74">
        <v>68</v>
      </c>
      <c r="L70" s="119">
        <v>-46.40000000000002</v>
      </c>
      <c r="M70" s="117">
        <v>1600.5732773032032</v>
      </c>
    </row>
    <row r="71" spans="11:13" x14ac:dyDescent="0.4">
      <c r="K71" s="74">
        <v>69</v>
      </c>
      <c r="L71" s="119">
        <v>-2.1316282072803006E-14</v>
      </c>
      <c r="M71" s="117">
        <v>1609.3118376393841</v>
      </c>
    </row>
    <row r="72" spans="11:13" x14ac:dyDescent="0.4">
      <c r="K72" s="74">
        <v>70</v>
      </c>
      <c r="L72" s="119">
        <v>-0.70000000000002127</v>
      </c>
      <c r="M72" s="117">
        <v>1609.5199666135477</v>
      </c>
    </row>
    <row r="73" spans="11:13" x14ac:dyDescent="0.4">
      <c r="K73" s="74">
        <v>71</v>
      </c>
      <c r="L73" s="119">
        <v>-31.700000000000021</v>
      </c>
      <c r="M73" s="117">
        <v>1604.2728468138664</v>
      </c>
    </row>
    <row r="74" spans="11:13" x14ac:dyDescent="0.4">
      <c r="K74" s="74">
        <v>72</v>
      </c>
      <c r="L74" s="119">
        <v>-2.1316282072803006E-14</v>
      </c>
      <c r="M74" s="117">
        <v>1610.3432097329833</v>
      </c>
    </row>
    <row r="75" spans="11:13" x14ac:dyDescent="0.4">
      <c r="K75" s="74">
        <v>73</v>
      </c>
      <c r="L75" s="119">
        <v>-2.1316282072803006E-14</v>
      </c>
      <c r="M75" s="117">
        <v>1610.6711504745854</v>
      </c>
    </row>
    <row r="76" spans="11:13" x14ac:dyDescent="0.4">
      <c r="K76" s="74">
        <v>74</v>
      </c>
      <c r="L76" s="119">
        <v>-2.1316282072803006E-14</v>
      </c>
      <c r="M76" s="117">
        <v>1610.9971235717378</v>
      </c>
    </row>
    <row r="77" spans="11:13" x14ac:dyDescent="0.4">
      <c r="K77" s="74">
        <v>75</v>
      </c>
      <c r="L77" s="119">
        <v>-2.1316282072803006E-14</v>
      </c>
      <c r="M77" s="117">
        <v>1611.3211408303073</v>
      </c>
    </row>
    <row r="78" spans="11:13" x14ac:dyDescent="0.4">
      <c r="K78" s="74">
        <v>76</v>
      </c>
      <c r="L78" s="119">
        <v>-48.800000000000018</v>
      </c>
      <c r="M78" s="117">
        <v>1602.8592139853254</v>
      </c>
    </row>
    <row r="79" spans="11:13" x14ac:dyDescent="0.4">
      <c r="K79" s="74">
        <v>77</v>
      </c>
      <c r="L79" s="119">
        <v>-71.000000000000014</v>
      </c>
      <c r="M79" s="117">
        <v>1599.2360587014134</v>
      </c>
    </row>
    <row r="80" spans="11:13" x14ac:dyDescent="0.4">
      <c r="K80" s="74">
        <v>78</v>
      </c>
      <c r="L80" s="119">
        <v>-1.4210854715202004E-14</v>
      </c>
      <c r="M80" s="117">
        <v>1612.4106423492049</v>
      </c>
    </row>
    <row r="81" spans="11:13" x14ac:dyDescent="0.4">
      <c r="K81" s="74">
        <v>79</v>
      </c>
      <c r="L81" s="119">
        <v>24.299999999999986</v>
      </c>
      <c r="M81" s="117">
        <v>1616.6861784951097</v>
      </c>
    </row>
    <row r="82" spans="11:13" x14ac:dyDescent="0.4">
      <c r="K82" s="74">
        <v>80</v>
      </c>
      <c r="L82" s="119">
        <v>23.099999999999987</v>
      </c>
      <c r="M82" s="117">
        <v>1616.3460614241392</v>
      </c>
    </row>
    <row r="83" spans="11:13" x14ac:dyDescent="0.4">
      <c r="K83" s="74">
        <v>81</v>
      </c>
      <c r="L83" s="119">
        <v>-1.4210854715202004E-14</v>
      </c>
      <c r="M83" s="117">
        <v>1612.0659850555944</v>
      </c>
    </row>
    <row r="84" spans="11:13" x14ac:dyDescent="0.4">
      <c r="K84" s="74">
        <v>82</v>
      </c>
      <c r="L84" s="119">
        <v>-35.500000000000014</v>
      </c>
      <c r="M84" s="117">
        <v>1605.5855891452609</v>
      </c>
    </row>
    <row r="85" spans="11:13" x14ac:dyDescent="0.4">
      <c r="K85" s="74">
        <v>83</v>
      </c>
      <c r="L85" s="119">
        <v>-29.700000000000014</v>
      </c>
      <c r="M85" s="117">
        <v>1606.5780756103893</v>
      </c>
    </row>
    <row r="86" spans="11:13" x14ac:dyDescent="0.4">
      <c r="K86" s="74">
        <v>84</v>
      </c>
      <c r="L86" s="119">
        <v>-1.4210854715202004E-14</v>
      </c>
      <c r="M86" s="117">
        <v>1611.866607156727</v>
      </c>
    </row>
    <row r="87" spans="11:13" x14ac:dyDescent="0.4">
      <c r="K87" s="74">
        <v>85</v>
      </c>
      <c r="L87" s="119">
        <v>-42.100000000000016</v>
      </c>
      <c r="M87" s="117">
        <v>1604.1934075137867</v>
      </c>
    </row>
    <row r="88" spans="11:13" x14ac:dyDescent="0.4">
      <c r="K88" s="74">
        <v>86</v>
      </c>
      <c r="L88" s="119">
        <v>-9.2000000000000171</v>
      </c>
      <c r="M88" s="117">
        <v>1610.0662470687041</v>
      </c>
    </row>
    <row r="89" spans="11:13" x14ac:dyDescent="0.4">
      <c r="K89" s="74">
        <v>87</v>
      </c>
      <c r="L89" s="119">
        <v>-1.7763568394002505E-14</v>
      </c>
      <c r="M89" s="117">
        <v>1611.6378495862918</v>
      </c>
    </row>
    <row r="90" spans="11:13" x14ac:dyDescent="0.4">
      <c r="K90" s="74">
        <v>88</v>
      </c>
      <c r="L90" s="119">
        <v>45.299999999999983</v>
      </c>
      <c r="M90" s="117">
        <v>1619.7040224887742</v>
      </c>
    </row>
    <row r="91" spans="11:13" x14ac:dyDescent="0.4">
      <c r="K91" s="74">
        <v>89</v>
      </c>
      <c r="L91" s="119">
        <v>51.199999999999982</v>
      </c>
      <c r="M91" s="117">
        <v>1620.6297983538416</v>
      </c>
    </row>
    <row r="92" spans="11:13" x14ac:dyDescent="0.4">
      <c r="K92" s="74">
        <v>90</v>
      </c>
      <c r="L92" s="119">
        <v>-2.1316282072803006E-14</v>
      </c>
      <c r="M92" s="117">
        <v>1611.2720195637185</v>
      </c>
    </row>
    <row r="93" spans="11:13" x14ac:dyDescent="0.4">
      <c r="K93" s="74">
        <v>91</v>
      </c>
      <c r="L93" s="119">
        <v>0.49999999999997868</v>
      </c>
      <c r="M93" s="117">
        <v>1611.2703874463361</v>
      </c>
    </row>
    <row r="94" spans="11:13" x14ac:dyDescent="0.4">
      <c r="K94" s="74">
        <v>92</v>
      </c>
      <c r="L94" s="119">
        <v>-26.90000000000002</v>
      </c>
      <c r="M94" s="117">
        <v>1606.2467651216582</v>
      </c>
    </row>
    <row r="95" spans="11:13" x14ac:dyDescent="0.4">
      <c r="K95" s="74">
        <v>93</v>
      </c>
      <c r="L95" s="119">
        <v>-2.1316282072803006E-14</v>
      </c>
      <c r="M95" s="117">
        <v>1611.0272845309282</v>
      </c>
    </row>
    <row r="96" spans="11:13" x14ac:dyDescent="0.4">
      <c r="K96" s="74">
        <v>94</v>
      </c>
      <c r="L96" s="119">
        <v>-20.300000000000022</v>
      </c>
      <c r="M96" s="117">
        <v>1607.2891208237427</v>
      </c>
    </row>
    <row r="97" spans="11:13" x14ac:dyDescent="0.4">
      <c r="K97" s="74">
        <v>95</v>
      </c>
      <c r="L97" s="119">
        <v>53.199999999999974</v>
      </c>
      <c r="M97" s="117">
        <v>1620.4573860988003</v>
      </c>
    </row>
    <row r="98" spans="11:13" x14ac:dyDescent="0.4">
      <c r="K98" s="74">
        <v>96</v>
      </c>
      <c r="L98" s="119">
        <v>-2.8421709430404007E-14</v>
      </c>
      <c r="M98" s="117">
        <v>1610.7406417822074</v>
      </c>
    </row>
    <row r="99" spans="11:13" x14ac:dyDescent="0.4">
      <c r="K99" s="74">
        <v>97</v>
      </c>
      <c r="L99" s="119">
        <v>-60.500000000000028</v>
      </c>
      <c r="M99" s="117">
        <v>1599.762197931514</v>
      </c>
    </row>
    <row r="100" spans="11:13" x14ac:dyDescent="0.4">
      <c r="K100" s="74">
        <v>98</v>
      </c>
      <c r="L100" s="119">
        <v>-60.300000000000026</v>
      </c>
      <c r="M100" s="117">
        <v>1599.7756247439249</v>
      </c>
    </row>
    <row r="101" spans="11:13" x14ac:dyDescent="0.4">
      <c r="K101" s="74">
        <v>99</v>
      </c>
      <c r="L101" s="119">
        <v>-2.8421709430404007E-14</v>
      </c>
      <c r="M101" s="117">
        <v>1610.6069709954613</v>
      </c>
    </row>
    <row r="102" spans="11:13" x14ac:dyDescent="0.4">
      <c r="K102" s="74">
        <v>100</v>
      </c>
      <c r="L102" s="119">
        <v>-68.000000000000028</v>
      </c>
      <c r="M102" s="117">
        <v>1598.2853291694885</v>
      </c>
    </row>
    <row r="103" spans="11:13" x14ac:dyDescent="0.4">
      <c r="K103" s="74">
        <v>101</v>
      </c>
      <c r="L103" s="119">
        <v>-2.8421709430404007E-14</v>
      </c>
      <c r="M103" s="117">
        <v>1610.5176171944715</v>
      </c>
    </row>
    <row r="104" spans="11:13" x14ac:dyDescent="0.4">
      <c r="K104" s="74">
        <v>102</v>
      </c>
      <c r="L104" s="119">
        <v>-2.8421709430404007E-14</v>
      </c>
      <c r="M104" s="117">
        <v>1610.4365114913046</v>
      </c>
    </row>
    <row r="105" spans="11:13" x14ac:dyDescent="0.4">
      <c r="K105" s="74">
        <v>103</v>
      </c>
      <c r="L105" s="119">
        <v>42.199999999999974</v>
      </c>
      <c r="M105" s="117">
        <v>1617.9458924223568</v>
      </c>
    </row>
    <row r="106" spans="11:13" x14ac:dyDescent="0.4">
      <c r="K106" s="74">
        <v>104</v>
      </c>
      <c r="L106" s="119">
        <v>-12.300000000000026</v>
      </c>
      <c r="M106" s="117">
        <v>1608.0042170678225</v>
      </c>
    </row>
    <row r="107" spans="11:13" x14ac:dyDescent="0.4">
      <c r="K107" s="74">
        <v>105</v>
      </c>
      <c r="L107" s="119">
        <v>-2.4868995751603507E-14</v>
      </c>
      <c r="M107" s="117">
        <v>1610.1461917654156</v>
      </c>
    </row>
    <row r="108" spans="11:13" x14ac:dyDescent="0.4">
      <c r="K108" s="74">
        <v>106</v>
      </c>
      <c r="L108" s="119">
        <v>16.199999999999974</v>
      </c>
      <c r="M108" s="117">
        <v>1612.9773146148232</v>
      </c>
    </row>
    <row r="109" spans="11:13" x14ac:dyDescent="0.4">
      <c r="K109" s="74">
        <v>107</v>
      </c>
      <c r="L109" s="119">
        <v>56.799999999999976</v>
      </c>
      <c r="M109" s="117">
        <v>1620.1834507271342</v>
      </c>
    </row>
    <row r="110" spans="11:13" x14ac:dyDescent="0.4">
      <c r="K110" s="74">
        <v>108</v>
      </c>
      <c r="L110" s="119">
        <v>-2.1316282072803006E-14</v>
      </c>
      <c r="M110" s="117">
        <v>1609.8143500227714</v>
      </c>
    </row>
    <row r="111" spans="11:13" x14ac:dyDescent="0.4">
      <c r="K111" s="74">
        <v>109</v>
      </c>
      <c r="L111" s="119">
        <v>-16.000000000000021</v>
      </c>
      <c r="M111" s="117">
        <v>1606.8514639226348</v>
      </c>
    </row>
    <row r="112" spans="11:13" x14ac:dyDescent="0.4">
      <c r="K112" s="74">
        <v>110</v>
      </c>
      <c r="L112" s="119">
        <v>-80.000000000000028</v>
      </c>
      <c r="M112" s="117">
        <v>1595.266355139099</v>
      </c>
    </row>
    <row r="113" spans="11:13" x14ac:dyDescent="0.4">
      <c r="K113" s="74">
        <v>111</v>
      </c>
      <c r="L113" s="119">
        <v>-2.8421709430404007E-14</v>
      </c>
      <c r="M113" s="117">
        <v>1609.6707570082644</v>
      </c>
    </row>
    <row r="114" spans="11:13" x14ac:dyDescent="0.4">
      <c r="K114" s="74">
        <v>112</v>
      </c>
      <c r="L114" s="119">
        <v>-31.900000000000027</v>
      </c>
      <c r="M114" s="117">
        <v>1603.8467324662149</v>
      </c>
    </row>
    <row r="115" spans="11:13" x14ac:dyDescent="0.4">
      <c r="K115" s="74">
        <v>113</v>
      </c>
      <c r="L115" s="119">
        <v>0.79999999999997584</v>
      </c>
      <c r="M115" s="117">
        <v>1609.6856520714177</v>
      </c>
    </row>
    <row r="116" spans="11:13" x14ac:dyDescent="0.4">
      <c r="K116" s="74">
        <v>114</v>
      </c>
      <c r="L116" s="119">
        <v>-2.4202861936828413E-14</v>
      </c>
      <c r="M116" s="117">
        <v>1609.4595381589893</v>
      </c>
    </row>
    <row r="117" spans="11:13" x14ac:dyDescent="0.4">
      <c r="K117" s="74">
        <v>115</v>
      </c>
      <c r="L117" s="119">
        <v>-13.200000000000024</v>
      </c>
      <c r="M117" s="117">
        <v>1607.0027809300354</v>
      </c>
    </row>
    <row r="118" spans="11:13" x14ac:dyDescent="0.4">
      <c r="K118" s="74">
        <v>116</v>
      </c>
      <c r="L118" s="119">
        <v>49.899999999999977</v>
      </c>
      <c r="M118" s="117">
        <v>1618.2947642444553</v>
      </c>
    </row>
    <row r="119" spans="11:13" x14ac:dyDescent="0.4">
      <c r="K119" s="74">
        <v>117</v>
      </c>
      <c r="L119" s="119">
        <v>-2.1316282072803006E-14</v>
      </c>
      <c r="M119" s="117">
        <v>1609.1789956589887</v>
      </c>
    </row>
    <row r="120" spans="11:13" x14ac:dyDescent="0.4">
      <c r="K120" s="74">
        <v>118</v>
      </c>
      <c r="L120" s="119">
        <v>51.799999999999976</v>
      </c>
      <c r="M120" s="117">
        <v>1618.4239216850347</v>
      </c>
    </row>
    <row r="121" spans="11:13" x14ac:dyDescent="0.4">
      <c r="K121" s="74">
        <v>119</v>
      </c>
      <c r="L121" s="119">
        <v>55.399999999999977</v>
      </c>
      <c r="M121" s="117">
        <v>1618.9373781549245</v>
      </c>
    </row>
    <row r="122" spans="11:13" x14ac:dyDescent="0.4">
      <c r="K122" s="74">
        <v>120</v>
      </c>
      <c r="L122" s="119">
        <v>-2.1316282072803006E-14</v>
      </c>
      <c r="M122" s="117">
        <v>1608.827753885995</v>
      </c>
    </row>
    <row r="123" spans="11:13" x14ac:dyDescent="0.4">
      <c r="K123" s="74">
        <v>121</v>
      </c>
      <c r="L123" s="119">
        <v>-6.5000000000000213</v>
      </c>
      <c r="M123" s="117">
        <v>1607.5807873626791</v>
      </c>
    </row>
    <row r="124" spans="11:13" x14ac:dyDescent="0.4">
      <c r="K124" s="74">
        <v>122</v>
      </c>
      <c r="L124" s="119">
        <v>-34.100000000000023</v>
      </c>
      <c r="M124" s="117">
        <v>1602.5433026385031</v>
      </c>
    </row>
    <row r="125" spans="11:13" x14ac:dyDescent="0.4">
      <c r="K125" s="74">
        <v>123</v>
      </c>
      <c r="L125" s="119">
        <v>-2.1316282072803006E-14</v>
      </c>
      <c r="M125" s="117">
        <v>1608.642042822672</v>
      </c>
    </row>
    <row r="126" spans="11:13" x14ac:dyDescent="0.4">
      <c r="K126" s="74">
        <v>124</v>
      </c>
      <c r="L126" s="119">
        <v>-1.3000000000000214</v>
      </c>
      <c r="M126" s="117">
        <v>1608.4641905657361</v>
      </c>
    </row>
    <row r="127" spans="11:13" x14ac:dyDescent="0.4">
      <c r="K127" s="74">
        <v>125</v>
      </c>
      <c r="L127" s="119">
        <v>-38.300000000000018</v>
      </c>
      <c r="M127" s="117">
        <v>1601.8614054223417</v>
      </c>
    </row>
    <row r="128" spans="11:13" x14ac:dyDescent="0.4">
      <c r="K128" s="74">
        <v>126</v>
      </c>
      <c r="L128" s="119">
        <v>-2.1316282072803006E-14</v>
      </c>
      <c r="M128" s="117">
        <v>1608.8522369898076</v>
      </c>
    </row>
    <row r="129" spans="11:13" x14ac:dyDescent="0.4">
      <c r="K129" s="74">
        <v>127</v>
      </c>
      <c r="L129" s="119">
        <v>-35.000000000000021</v>
      </c>
      <c r="M129" s="117">
        <v>1602.3731235678688</v>
      </c>
    </row>
    <row r="130" spans="11:13" x14ac:dyDescent="0.4">
      <c r="K130" s="74">
        <v>128</v>
      </c>
      <c r="L130" s="119">
        <v>-38.000000000000021</v>
      </c>
      <c r="M130" s="117">
        <v>1601.6928848264615</v>
      </c>
    </row>
    <row r="131" spans="11:13" x14ac:dyDescent="0.4">
      <c r="K131" s="74">
        <v>129</v>
      </c>
      <c r="L131" s="119">
        <v>-2.1316282072803006E-14</v>
      </c>
      <c r="M131" s="117">
        <v>1608.3967275175028</v>
      </c>
    </row>
    <row r="132" spans="11:13" x14ac:dyDescent="0.4">
      <c r="K132" s="74">
        <v>130</v>
      </c>
      <c r="L132" s="119">
        <v>46.199999999999982</v>
      </c>
      <c r="M132" s="117">
        <v>1616.5363471523976</v>
      </c>
    </row>
    <row r="133" spans="11:13" x14ac:dyDescent="0.4">
      <c r="K133" s="74">
        <v>131</v>
      </c>
      <c r="L133" s="119">
        <v>10.199999999999982</v>
      </c>
      <c r="M133" s="117">
        <v>1609.8311290694833</v>
      </c>
    </row>
    <row r="134" spans="11:13" x14ac:dyDescent="0.4">
      <c r="K134" s="74">
        <v>132</v>
      </c>
      <c r="L134" s="119">
        <v>-1.7763568394002505E-14</v>
      </c>
      <c r="M134" s="117">
        <v>1607.8101422950663</v>
      </c>
    </row>
    <row r="135" spans="11:13" x14ac:dyDescent="0.4">
      <c r="K135" s="74">
        <v>133</v>
      </c>
      <c r="L135" s="119">
        <v>-19.600000000000019</v>
      </c>
      <c r="M135" s="117">
        <v>1604.1092814412959</v>
      </c>
    </row>
    <row r="136" spans="11:13" x14ac:dyDescent="0.4">
      <c r="K136" s="74">
        <v>134</v>
      </c>
      <c r="L136" s="119">
        <v>56.899999999999977</v>
      </c>
      <c r="M136" s="117">
        <v>1617.7286257526482</v>
      </c>
    </row>
    <row r="137" spans="11:13" x14ac:dyDescent="0.4">
      <c r="K137" s="74">
        <v>135</v>
      </c>
      <c r="L137" s="119">
        <v>-2.1316282072803006E-14</v>
      </c>
      <c r="M137" s="117">
        <v>1607.2542539981323</v>
      </c>
    </row>
    <row r="138" spans="11:13" x14ac:dyDescent="0.4">
      <c r="K138" s="74">
        <v>136</v>
      </c>
      <c r="L138" s="119">
        <v>35.09999999999998</v>
      </c>
      <c r="M138" s="117">
        <v>1613.4027284741435</v>
      </c>
    </row>
    <row r="139" spans="11:13" x14ac:dyDescent="0.4">
      <c r="K139" s="74">
        <v>137</v>
      </c>
      <c r="L139" s="119">
        <v>28.999999999999979</v>
      </c>
      <c r="M139" s="117">
        <v>1612.0983121032987</v>
      </c>
    </row>
    <row r="140" spans="11:13" x14ac:dyDescent="0.4">
      <c r="K140" s="74">
        <v>138</v>
      </c>
      <c r="L140" s="119">
        <v>-2.1316282072803006E-14</v>
      </c>
      <c r="M140" s="117">
        <v>1606.6797222306789</v>
      </c>
    </row>
    <row r="141" spans="11:13" x14ac:dyDescent="0.4">
      <c r="K141" s="74">
        <v>139</v>
      </c>
      <c r="L141" s="119">
        <v>-79.000000000000028</v>
      </c>
      <c r="M141" s="117">
        <v>1592.2936438972947</v>
      </c>
    </row>
    <row r="142" spans="11:13" x14ac:dyDescent="0.4">
      <c r="K142" s="74">
        <v>140</v>
      </c>
      <c r="L142" s="119">
        <v>-127.70000000000003</v>
      </c>
      <c r="M142" s="117">
        <v>1583.4478820339109</v>
      </c>
    </row>
    <row r="143" spans="11:13" x14ac:dyDescent="0.4">
      <c r="K143" s="74">
        <v>141</v>
      </c>
      <c r="L143" s="119">
        <v>-2.8421709430404007E-14</v>
      </c>
      <c r="M143" s="117">
        <v>1606.4071947417074</v>
      </c>
    </row>
    <row r="144" spans="11:13" x14ac:dyDescent="0.4">
      <c r="K144" s="74">
        <v>142</v>
      </c>
      <c r="L144" s="119">
        <v>44.299999999999969</v>
      </c>
      <c r="M144" s="117">
        <v>1614.2167515732572</v>
      </c>
    </row>
    <row r="145" spans="11:13" x14ac:dyDescent="0.4">
      <c r="K145" s="74">
        <v>143</v>
      </c>
      <c r="L145" s="119">
        <v>-11.800000000000033</v>
      </c>
      <c r="M145" s="117">
        <v>1603.9074510638177</v>
      </c>
    </row>
    <row r="146" spans="11:13" x14ac:dyDescent="0.4">
      <c r="K146" s="74">
        <v>144</v>
      </c>
      <c r="L146" s="119">
        <v>-3.1974423109204508E-14</v>
      </c>
      <c r="M146" s="117">
        <v>1605.8820063574349</v>
      </c>
    </row>
    <row r="147" spans="11:13" x14ac:dyDescent="0.4">
      <c r="K147" s="74">
        <v>145</v>
      </c>
      <c r="L147" s="119">
        <v>-31.400000000000031</v>
      </c>
      <c r="M147" s="117">
        <v>1600.0687143192902</v>
      </c>
    </row>
    <row r="148" spans="11:13" x14ac:dyDescent="0.4">
      <c r="K148" s="74">
        <v>146</v>
      </c>
      <c r="L148" s="119">
        <v>-3.1000000000000298</v>
      </c>
      <c r="M148" s="117">
        <v>1605.0363020333743</v>
      </c>
    </row>
    <row r="149" spans="11:13" x14ac:dyDescent="0.4">
      <c r="K149" s="74">
        <v>147</v>
      </c>
      <c r="L149" s="119">
        <v>-2.9753977059954195E-14</v>
      </c>
      <c r="M149" s="117">
        <v>1605.438084221174</v>
      </c>
    </row>
    <row r="150" spans="11:13" x14ac:dyDescent="0.4">
      <c r="K150" s="74">
        <v>148</v>
      </c>
      <c r="L150" s="119">
        <v>56.39999999999997</v>
      </c>
      <c r="M150" s="117">
        <v>1615.4314557158471</v>
      </c>
    </row>
    <row r="151" spans="11:13" x14ac:dyDescent="0.4">
      <c r="K151" s="74">
        <v>149</v>
      </c>
      <c r="L151" s="119">
        <v>44.39999999999997</v>
      </c>
      <c r="M151" s="117">
        <v>1613.0528669815519</v>
      </c>
    </row>
    <row r="152" spans="11:13" x14ac:dyDescent="0.4">
      <c r="K152" s="74">
        <v>150</v>
      </c>
      <c r="L152" s="119">
        <v>-2.8421709430404007E-14</v>
      </c>
      <c r="M152" s="117">
        <v>1604.8565497796626</v>
      </c>
    </row>
    <row r="153" spans="11:13" x14ac:dyDescent="0.4">
      <c r="K153" s="74">
        <v>151</v>
      </c>
      <c r="L153" s="119">
        <v>44.199999999999974</v>
      </c>
      <c r="M153" s="117">
        <v>1612.6574104809847</v>
      </c>
    </row>
    <row r="154" spans="11:13" x14ac:dyDescent="0.4">
      <c r="K154" s="74">
        <v>152</v>
      </c>
      <c r="L154" s="119">
        <v>9.599999999999973</v>
      </c>
      <c r="M154" s="117">
        <v>1606.2274660180988</v>
      </c>
    </row>
    <row r="155" spans="11:13" x14ac:dyDescent="0.4">
      <c r="K155" s="74">
        <v>153</v>
      </c>
      <c r="L155" s="119">
        <v>-2.6645352591003757E-14</v>
      </c>
      <c r="M155" s="117">
        <v>1604.3361012219902</v>
      </c>
    </row>
    <row r="156" spans="11:13" x14ac:dyDescent="0.4">
      <c r="K156" s="74">
        <v>154</v>
      </c>
      <c r="L156" s="119">
        <v>-25.000000000000028</v>
      </c>
      <c r="M156" s="117">
        <v>1599.4020846146584</v>
      </c>
    </row>
    <row r="157" spans="11:13" x14ac:dyDescent="0.4">
      <c r="K157" s="74">
        <v>155</v>
      </c>
      <c r="L157" s="119">
        <v>56.199999999999974</v>
      </c>
      <c r="M157" s="117">
        <v>1613.6136721069704</v>
      </c>
    </row>
    <row r="158" spans="11:13" x14ac:dyDescent="0.4">
      <c r="K158" s="74">
        <v>156</v>
      </c>
      <c r="L158" s="119">
        <v>-2.8421709430404007E-14</v>
      </c>
      <c r="M158" s="117">
        <v>1603.0079900743285</v>
      </c>
    </row>
    <row r="159" spans="11:13" x14ac:dyDescent="0.4">
      <c r="K159" s="74">
        <v>157</v>
      </c>
      <c r="L159" s="119">
        <v>1.5999999999999717</v>
      </c>
      <c r="M159" s="117">
        <v>1602.8639421338826</v>
      </c>
    </row>
    <row r="160" spans="11:13" x14ac:dyDescent="0.4">
      <c r="K160" s="74">
        <v>158</v>
      </c>
      <c r="L160" s="119">
        <v>-43.60000000000003</v>
      </c>
      <c r="M160" s="117">
        <v>1594.2967584810792</v>
      </c>
    </row>
    <row r="161" spans="11:13" x14ac:dyDescent="0.4">
      <c r="K161" s="74">
        <v>159</v>
      </c>
      <c r="L161" s="119">
        <v>-2.8421709430404007E-14</v>
      </c>
      <c r="M161" s="117">
        <v>1601.7649779301928</v>
      </c>
    </row>
    <row r="162" spans="11:13" x14ac:dyDescent="0.4">
      <c r="K162" s="74">
        <v>160</v>
      </c>
      <c r="L162" s="119">
        <v>50.999999999999972</v>
      </c>
      <c r="M162" s="117">
        <v>1610.5203880626116</v>
      </c>
    </row>
    <row r="163" spans="11:13" x14ac:dyDescent="0.4">
      <c r="K163" s="74">
        <v>161</v>
      </c>
      <c r="L163" s="119">
        <v>0.99999999999997158</v>
      </c>
      <c r="M163" s="117">
        <v>1601.043265734236</v>
      </c>
    </row>
    <row r="164" spans="11:13" x14ac:dyDescent="0.4">
      <c r="K164" s="74">
        <v>162</v>
      </c>
      <c r="L164" s="119">
        <v>-2.8421709430404007E-14</v>
      </c>
      <c r="M164" s="117">
        <v>1600.4430061398307</v>
      </c>
    </row>
    <row r="165" spans="11:13" x14ac:dyDescent="0.4">
      <c r="K165" s="74">
        <v>163</v>
      </c>
      <c r="L165" s="119">
        <v>-46.200000000000031</v>
      </c>
      <c r="M165" s="117">
        <v>1592.1723481029917</v>
      </c>
    </row>
    <row r="166" spans="11:13" x14ac:dyDescent="0.4">
      <c r="K166" s="74">
        <v>164</v>
      </c>
      <c r="L166" s="119">
        <v>-37.10000000000003</v>
      </c>
      <c r="M166" s="117">
        <v>1593.9053140143737</v>
      </c>
    </row>
    <row r="167" spans="11:13" x14ac:dyDescent="0.4">
      <c r="K167" s="74">
        <v>165</v>
      </c>
      <c r="L167" s="119">
        <v>-2.8421709430404007E-14</v>
      </c>
      <c r="M167" s="117">
        <v>1600.6678821302876</v>
      </c>
    </row>
    <row r="168" spans="11:13" x14ac:dyDescent="0.4">
      <c r="K168" s="74">
        <v>166</v>
      </c>
      <c r="L168" s="119">
        <v>5.7999999999999714</v>
      </c>
      <c r="M168" s="117">
        <v>1602.0438748375059</v>
      </c>
    </row>
    <row r="169" spans="11:13" x14ac:dyDescent="0.4">
      <c r="K169" s="74">
        <v>167</v>
      </c>
      <c r="L169" s="119">
        <v>-51.10000000000003</v>
      </c>
      <c r="M169" s="117">
        <v>1592.1256115884808</v>
      </c>
    </row>
    <row r="170" spans="11:13" x14ac:dyDescent="0.4">
      <c r="K170" s="74">
        <v>168</v>
      </c>
      <c r="L170" s="119">
        <v>-2.8421709430404007E-14</v>
      </c>
      <c r="M170" s="117">
        <v>1601.7068579189499</v>
      </c>
    </row>
    <row r="171" spans="11:13" x14ac:dyDescent="0.4">
      <c r="K171" s="74">
        <v>169</v>
      </c>
      <c r="L171" s="119">
        <v>-6.8000000000000282</v>
      </c>
      <c r="M171" s="117">
        <v>1600.0826167714363</v>
      </c>
    </row>
    <row r="172" spans="11:13" x14ac:dyDescent="0.4">
      <c r="K172" s="74">
        <v>170</v>
      </c>
      <c r="L172" s="119">
        <v>62.199999999999974</v>
      </c>
      <c r="M172" s="117">
        <v>1612.1121210708077</v>
      </c>
    </row>
    <row r="173" spans="11:13" x14ac:dyDescent="0.4">
      <c r="K173" s="74">
        <v>171</v>
      </c>
      <c r="L173" s="119">
        <v>-2.8421709430404007E-14</v>
      </c>
      <c r="M173" s="117">
        <v>1600.4534483443829</v>
      </c>
    </row>
    <row r="174" spans="11:13" x14ac:dyDescent="0.4">
      <c r="K174" s="74">
        <v>172</v>
      </c>
      <c r="L174" s="119">
        <v>11.999999999999972</v>
      </c>
      <c r="M174" s="117">
        <v>1602.6587276543166</v>
      </c>
    </row>
    <row r="175" spans="11:13" x14ac:dyDescent="0.4">
      <c r="K175" s="74">
        <v>173</v>
      </c>
      <c r="L175" s="119">
        <v>46.799999999999969</v>
      </c>
      <c r="M175" s="117">
        <v>1608.9547752883907</v>
      </c>
    </row>
    <row r="176" spans="11:13" x14ac:dyDescent="0.4">
      <c r="K176" s="74">
        <v>174</v>
      </c>
      <c r="L176" s="119">
        <v>-2.8421709430404007E-14</v>
      </c>
      <c r="M176" s="117">
        <v>1600.5250466366604</v>
      </c>
    </row>
    <row r="177" spans="11:13" x14ac:dyDescent="0.4">
      <c r="K177" s="74">
        <v>175</v>
      </c>
      <c r="L177" s="119">
        <v>-61.300000000000026</v>
      </c>
      <c r="M177" s="117">
        <v>1589.5358963568403</v>
      </c>
    </row>
    <row r="178" spans="11:13" x14ac:dyDescent="0.4">
      <c r="K178" s="74">
        <v>176</v>
      </c>
      <c r="L178" s="119">
        <v>6.1999999999999744</v>
      </c>
      <c r="M178" s="117">
        <v>1601.7966809786992</v>
      </c>
    </row>
    <row r="179" spans="11:13" x14ac:dyDescent="0.4">
      <c r="K179" s="74">
        <v>177</v>
      </c>
      <c r="L179" s="119">
        <v>-2.5757174171303632E-14</v>
      </c>
      <c r="M179" s="117">
        <v>1600.7179008928269</v>
      </c>
    </row>
    <row r="180" spans="11:13" x14ac:dyDescent="0.4">
      <c r="K180" s="74">
        <v>178</v>
      </c>
      <c r="L180" s="119">
        <v>-63.500000000000028</v>
      </c>
      <c r="M180" s="117">
        <v>1589.3315934874699</v>
      </c>
    </row>
    <row r="181" spans="11:13" x14ac:dyDescent="0.4">
      <c r="K181" s="74">
        <v>179</v>
      </c>
      <c r="L181" s="119">
        <v>-88.000000000000028</v>
      </c>
      <c r="M181" s="117">
        <v>1585.0336039265451</v>
      </c>
    </row>
    <row r="182" spans="11:13" x14ac:dyDescent="0.4">
      <c r="K182" s="74">
        <v>180</v>
      </c>
      <c r="L182" s="119">
        <v>-2.8421709430404007E-14</v>
      </c>
      <c r="M182" s="117">
        <v>1601.0114023029857</v>
      </c>
    </row>
    <row r="183" spans="11:13" x14ac:dyDescent="0.4">
      <c r="K183" s="74">
        <v>181</v>
      </c>
      <c r="L183" s="119">
        <v>-30.500000000000028</v>
      </c>
      <c r="M183" s="117">
        <v>1595.5633338891678</v>
      </c>
    </row>
    <row r="184" spans="11:13" x14ac:dyDescent="0.4">
      <c r="K184" s="74">
        <v>182</v>
      </c>
      <c r="L184" s="119">
        <v>-30.60000000000003</v>
      </c>
      <c r="M184" s="117">
        <v>1595.6199538858327</v>
      </c>
    </row>
    <row r="185" spans="11:13" x14ac:dyDescent="0.4">
      <c r="K185" s="74">
        <v>183</v>
      </c>
      <c r="L185" s="119">
        <v>-2.8421709430404007E-14</v>
      </c>
      <c r="M185" s="117">
        <v>1601.2022341625177</v>
      </c>
    </row>
    <row r="186" spans="11:13" x14ac:dyDescent="0.4">
      <c r="K186" s="74">
        <v>184</v>
      </c>
      <c r="L186" s="119">
        <v>55.699999999999974</v>
      </c>
      <c r="M186" s="117">
        <v>1611.2690207575426</v>
      </c>
    </row>
    <row r="187" spans="11:13" x14ac:dyDescent="0.4">
      <c r="K187" s="74">
        <v>185</v>
      </c>
      <c r="L187" s="119">
        <v>10.199999999999974</v>
      </c>
      <c r="M187" s="117">
        <v>1603.0594066329975</v>
      </c>
    </row>
    <row r="188" spans="11:13" x14ac:dyDescent="0.4">
      <c r="K188" s="74">
        <v>186</v>
      </c>
      <c r="L188" s="119">
        <v>-2.4868995751603507E-14</v>
      </c>
      <c r="M188" s="117">
        <v>1601.2530501931994</v>
      </c>
    </row>
    <row r="189" spans="11:13" x14ac:dyDescent="0.4">
      <c r="K189" s="74">
        <v>187</v>
      </c>
      <c r="L189" s="119">
        <v>3.9999999999999751</v>
      </c>
      <c r="M189" s="117">
        <v>1602.0135318920402</v>
      </c>
    </row>
    <row r="190" spans="11:13" x14ac:dyDescent="0.4">
      <c r="K190" s="74">
        <v>188</v>
      </c>
      <c r="L190" s="119">
        <v>-28.800000000000022</v>
      </c>
      <c r="M190" s="117">
        <v>1596.1454507006879</v>
      </c>
    </row>
    <row r="191" spans="11:13" x14ac:dyDescent="0.4">
      <c r="K191" s="74">
        <v>189</v>
      </c>
      <c r="L191" s="119">
        <v>-2.1316282072803006E-14</v>
      </c>
      <c r="M191" s="117">
        <v>1601.4005779964837</v>
      </c>
    </row>
    <row r="192" spans="11:13" x14ac:dyDescent="0.4">
      <c r="K192" s="74">
        <v>190</v>
      </c>
      <c r="L192" s="119">
        <v>36.799999999999976</v>
      </c>
      <c r="M192" s="117">
        <v>1608.0641745285047</v>
      </c>
    </row>
    <row r="193" spans="11:13" x14ac:dyDescent="0.4">
      <c r="K193" s="74">
        <v>191</v>
      </c>
      <c r="L193" s="119">
        <v>6.1999999999999744</v>
      </c>
      <c r="M193" s="117">
        <v>1602.5557894813337</v>
      </c>
    </row>
    <row r="194" spans="11:13" x14ac:dyDescent="0.4">
      <c r="K194" s="74">
        <v>192</v>
      </c>
      <c r="L194" s="119">
        <v>-2.5757174171303632E-14</v>
      </c>
      <c r="M194" s="117">
        <v>1601.4724547444457</v>
      </c>
    </row>
    <row r="195" spans="11:13" x14ac:dyDescent="0.4">
      <c r="K195" s="74">
        <v>193</v>
      </c>
      <c r="L195" s="119">
        <v>55.999999999999972</v>
      </c>
      <c r="M195" s="117">
        <v>1611.5916200159791</v>
      </c>
    </row>
    <row r="196" spans="11:13" x14ac:dyDescent="0.4">
      <c r="K196" s="74">
        <v>194</v>
      </c>
      <c r="L196" s="119">
        <v>50.89999999999997</v>
      </c>
      <c r="M196" s="117">
        <v>1610.6520702958833</v>
      </c>
    </row>
    <row r="197" spans="11:13" x14ac:dyDescent="0.4">
      <c r="K197" s="74">
        <v>195</v>
      </c>
      <c r="L197" s="119">
        <v>-2.8421709430404007E-14</v>
      </c>
      <c r="M197" s="117">
        <v>1601.474157874108</v>
      </c>
    </row>
    <row r="198" spans="11:13" x14ac:dyDescent="0.4">
      <c r="K198" s="74">
        <v>196</v>
      </c>
      <c r="L198" s="119">
        <v>-0.90000000000002844</v>
      </c>
      <c r="M198" s="117">
        <v>1601.3513129268633</v>
      </c>
    </row>
    <row r="199" spans="11:13" x14ac:dyDescent="0.4">
      <c r="K199" s="74">
        <v>197</v>
      </c>
      <c r="L199" s="119">
        <v>-35.200000000000024</v>
      </c>
      <c r="M199" s="117">
        <v>1595.217205049302</v>
      </c>
    </row>
    <row r="200" spans="11:13" x14ac:dyDescent="0.4">
      <c r="K200" s="74">
        <v>198</v>
      </c>
      <c r="L200" s="119">
        <v>-2.1316282072803006E-14</v>
      </c>
      <c r="M200" s="117">
        <v>1601.6299018190061</v>
      </c>
    </row>
    <row r="201" spans="11:13" x14ac:dyDescent="0.4">
      <c r="K201" s="74">
        <v>199</v>
      </c>
      <c r="L201" s="119">
        <v>29.59999999999998</v>
      </c>
      <c r="M201" s="117">
        <v>1606.9961224080921</v>
      </c>
    </row>
    <row r="202" spans="11:13" x14ac:dyDescent="0.4">
      <c r="K202" s="74">
        <v>200</v>
      </c>
      <c r="L202" s="119">
        <v>26.799999999999979</v>
      </c>
      <c r="M202" s="117">
        <v>1606.4981456736436</v>
      </c>
    </row>
    <row r="203" spans="11:13" x14ac:dyDescent="0.4">
      <c r="K203" s="74">
        <v>201</v>
      </c>
      <c r="L203" s="119">
        <v>-2.1316282072803006E-14</v>
      </c>
      <c r="M203" s="117">
        <v>1601.6831567996019</v>
      </c>
    </row>
    <row r="204" spans="11:13" x14ac:dyDescent="0.4">
      <c r="K204" s="74">
        <v>202</v>
      </c>
      <c r="L204" s="119">
        <v>-7.3000000000000211</v>
      </c>
      <c r="M204" s="117">
        <v>1600.4070578588044</v>
      </c>
    </row>
    <row r="205" spans="11:13" x14ac:dyDescent="0.4">
      <c r="K205" s="74">
        <v>203</v>
      </c>
      <c r="L205" s="119">
        <v>58.799999999999976</v>
      </c>
      <c r="M205" s="117">
        <v>1612.3506155116515</v>
      </c>
    </row>
    <row r="206" spans="11:13" x14ac:dyDescent="0.4">
      <c r="K206" s="74">
        <v>204</v>
      </c>
      <c r="L206" s="119">
        <v>-2.1316282072803006E-14</v>
      </c>
      <c r="M206" s="117">
        <v>1601.7405118185816</v>
      </c>
    </row>
    <row r="207" spans="11:13" x14ac:dyDescent="0.4">
      <c r="K207" s="74">
        <v>205</v>
      </c>
      <c r="L207" s="119">
        <v>42.899999999999977</v>
      </c>
      <c r="M207" s="117">
        <v>1609.5000687476702</v>
      </c>
    </row>
    <row r="208" spans="11:13" x14ac:dyDescent="0.4">
      <c r="K208" s="74">
        <v>206</v>
      </c>
      <c r="L208" s="119">
        <v>57.799999999999976</v>
      </c>
      <c r="M208" s="117">
        <v>1612.1730683351841</v>
      </c>
    </row>
    <row r="209" spans="11:13" x14ac:dyDescent="0.4">
      <c r="K209" s="74">
        <v>207</v>
      </c>
      <c r="L209" s="119">
        <v>-2.1316282072803006E-14</v>
      </c>
      <c r="M209" s="117">
        <v>1601.744029925173</v>
      </c>
    </row>
    <row r="210" spans="11:13" x14ac:dyDescent="0.4">
      <c r="K210" s="74">
        <v>208</v>
      </c>
      <c r="L210" s="119">
        <v>85.599999999999966</v>
      </c>
      <c r="M210" s="117">
        <v>1617.1895657456218</v>
      </c>
    </row>
    <row r="211" spans="11:13" x14ac:dyDescent="0.4">
      <c r="K211" s="74">
        <v>209</v>
      </c>
      <c r="L211" s="119">
        <v>60.699999999999967</v>
      </c>
      <c r="M211" s="117">
        <v>1612.652428351148</v>
      </c>
    </row>
    <row r="212" spans="11:13" x14ac:dyDescent="0.4">
      <c r="K212" s="74">
        <v>210</v>
      </c>
      <c r="L212" s="119">
        <v>-3.5527136788005009E-14</v>
      </c>
      <c r="M212" s="117">
        <v>1601.6985137810411</v>
      </c>
    </row>
    <row r="213" spans="11:13" x14ac:dyDescent="0.4">
      <c r="K213" s="74">
        <v>211</v>
      </c>
      <c r="L213" s="119">
        <v>-23.400000000000034</v>
      </c>
      <c r="M213" s="117">
        <v>1597.5243226983548</v>
      </c>
    </row>
    <row r="214" spans="11:13" x14ac:dyDescent="0.4">
      <c r="K214" s="74">
        <v>212</v>
      </c>
      <c r="L214" s="119">
        <v>-3.5527136788005009E-14</v>
      </c>
      <c r="M214" s="117">
        <v>1601.7991767621647</v>
      </c>
    </row>
    <row r="215" spans="11:13" x14ac:dyDescent="0.4">
      <c r="K215" s="74">
        <v>213</v>
      </c>
      <c r="L215" s="119">
        <v>-3.5527136788005009E-14</v>
      </c>
      <c r="M215" s="117">
        <v>1601.8363817015918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2925D-5537-4B98-9F23-04D6743ED441}">
  <sheetPr codeName="Sheet7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51</v>
      </c>
      <c r="C2" s="134"/>
      <c r="E2" s="26" t="s">
        <v>66</v>
      </c>
      <c r="F2" s="23" t="s">
        <v>22</v>
      </c>
      <c r="G2" s="11">
        <v>92</v>
      </c>
      <c r="H2" s="87">
        <f>IF(B$20=0,0,G2/B$20)</f>
        <v>0.80701754385964908</v>
      </c>
      <c r="I2" s="57">
        <v>2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2234</v>
      </c>
      <c r="Q2" s="76">
        <v>50</v>
      </c>
      <c r="R2" s="63">
        <v>111700</v>
      </c>
    </row>
    <row r="3" spans="1:18" x14ac:dyDescent="0.4">
      <c r="A3" s="19" t="s">
        <v>8</v>
      </c>
      <c r="B3" s="135">
        <v>398</v>
      </c>
      <c r="C3" s="136"/>
      <c r="E3" s="27" t="s">
        <v>72</v>
      </c>
      <c r="F3" s="24" t="s">
        <v>27</v>
      </c>
      <c r="G3" s="12">
        <v>60</v>
      </c>
      <c r="H3" s="88">
        <f>IF(B$20=0,0,G3/B$20)</f>
        <v>0.52631578947368418</v>
      </c>
      <c r="I3" s="58">
        <v>2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-585.10638297872345</v>
      </c>
      <c r="Q3" s="77">
        <v>47</v>
      </c>
      <c r="R3" s="64">
        <v>-27500</v>
      </c>
    </row>
    <row r="4" spans="1:18" x14ac:dyDescent="0.4">
      <c r="A4" s="19" t="s">
        <v>6</v>
      </c>
      <c r="B4" s="137">
        <v>55.900000000000034</v>
      </c>
      <c r="C4" s="138"/>
      <c r="E4" s="27" t="s">
        <v>64</v>
      </c>
      <c r="F4" s="24" t="s">
        <v>20</v>
      </c>
      <c r="G4" s="12">
        <v>59</v>
      </c>
      <c r="H4" s="88">
        <f>IF(B$20=0,0,G4/B$20)</f>
        <v>0.51754385964912286</v>
      </c>
      <c r="I4" s="58">
        <v>5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-1572.7272727272727</v>
      </c>
      <c r="Q4" s="77">
        <v>44</v>
      </c>
      <c r="R4" s="64">
        <v>-69200</v>
      </c>
    </row>
    <row r="5" spans="1:18" x14ac:dyDescent="0.4">
      <c r="A5" s="19" t="s">
        <v>7</v>
      </c>
      <c r="B5" s="125">
        <f>IF(B$2=0,0,B$4/B$2)</f>
        <v>1.0960784313725498</v>
      </c>
      <c r="C5" s="126"/>
      <c r="E5" s="27" t="s">
        <v>68</v>
      </c>
      <c r="F5" s="24" t="s">
        <v>12</v>
      </c>
      <c r="G5" s="12">
        <v>40</v>
      </c>
      <c r="H5" s="88">
        <f>IF(B$20=0,0,G5/B$20)</f>
        <v>0.35087719298245612</v>
      </c>
      <c r="I5" s="58">
        <v>3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117.07317073170732</v>
      </c>
      <c r="Q5" s="77">
        <v>41</v>
      </c>
      <c r="R5" s="64">
        <v>4800</v>
      </c>
    </row>
    <row r="6" spans="1:18" x14ac:dyDescent="0.4">
      <c r="A6" s="19" t="s">
        <v>195</v>
      </c>
      <c r="B6" s="129">
        <v>1608.5656906569</v>
      </c>
      <c r="C6" s="130"/>
      <c r="E6" s="27" t="s">
        <v>159</v>
      </c>
      <c r="F6" s="24" t="s">
        <v>160</v>
      </c>
      <c r="G6" s="12">
        <v>40</v>
      </c>
      <c r="H6" s="88">
        <f>IF(B$20=0,0,G6/B$20)</f>
        <v>0.35087719298245612</v>
      </c>
      <c r="I6" s="58">
        <v>6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-465.78947368421052</v>
      </c>
      <c r="Q6" s="77">
        <v>38</v>
      </c>
      <c r="R6" s="64">
        <v>-17700</v>
      </c>
    </row>
    <row r="7" spans="1:18" x14ac:dyDescent="0.4">
      <c r="A7" s="19" t="s">
        <v>1</v>
      </c>
      <c r="B7" s="139">
        <f>IF(B$2=0,0,(B$8*1+B$9*2+B$10*3)/B$2)</f>
        <v>1.9215686274509804</v>
      </c>
      <c r="C7" s="140"/>
      <c r="E7" s="27" t="s">
        <v>67</v>
      </c>
      <c r="F7" s="24" t="s">
        <v>23</v>
      </c>
      <c r="G7" s="12">
        <v>27</v>
      </c>
      <c r="H7" s="88">
        <f>IF(B$20=0,0,G7/B$20)</f>
        <v>0.23684210526315788</v>
      </c>
      <c r="I7" s="58">
        <v>5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550</v>
      </c>
      <c r="Q7" s="78">
        <v>34</v>
      </c>
      <c r="R7" s="65">
        <v>18700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0.37254901960784315</v>
      </c>
      <c r="E8" s="27" t="s">
        <v>69</v>
      </c>
      <c r="F8" s="24" t="s">
        <v>24</v>
      </c>
      <c r="G8" s="12">
        <v>20</v>
      </c>
      <c r="H8" s="88">
        <f>IF(B$20=0,0,G8/B$20)</f>
        <v>0.17543859649122806</v>
      </c>
      <c r="I8" s="58">
        <v>3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0.33333333333333331</v>
      </c>
      <c r="E9" s="27" t="s">
        <v>89</v>
      </c>
      <c r="F9" s="24" t="s">
        <v>44</v>
      </c>
      <c r="G9" s="12">
        <v>20</v>
      </c>
      <c r="H9" s="88">
        <f>IF(B$20=0,0,G9/B$20)</f>
        <v>0.17543859649122806</v>
      </c>
      <c r="I9" s="58">
        <v>1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0.29411764705882354</v>
      </c>
      <c r="E10" s="27" t="s">
        <v>65</v>
      </c>
      <c r="F10" s="24" t="s">
        <v>21</v>
      </c>
      <c r="G10" s="12">
        <v>14</v>
      </c>
      <c r="H10" s="88">
        <f>IF(B$20=0,0,G10/B$20)</f>
        <v>0.12280701754385964</v>
      </c>
      <c r="I10" s="58">
        <v>4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4.9434782608695631</v>
      </c>
      <c r="Q10" s="76">
        <v>23</v>
      </c>
      <c r="R10" s="67">
        <v>113.69999999999995</v>
      </c>
    </row>
    <row r="11" spans="1:18" x14ac:dyDescent="0.4">
      <c r="A11" s="20" t="s">
        <v>184</v>
      </c>
      <c r="B11" s="109">
        <f>IF(B8=0,0,C11/B8)</f>
        <v>44.331578947368428</v>
      </c>
      <c r="C11" s="110">
        <v>842.30000000000007</v>
      </c>
      <c r="E11" s="27" t="s">
        <v>70</v>
      </c>
      <c r="F11" s="24" t="s">
        <v>25</v>
      </c>
      <c r="G11" s="12">
        <v>12</v>
      </c>
      <c r="H11" s="88">
        <f>IF(B$20=0,0,G11/B$20)</f>
        <v>0.10526315789473684</v>
      </c>
      <c r="I11" s="58">
        <v>6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1.5416666666666667</v>
      </c>
      <c r="Q11" s="77">
        <v>12</v>
      </c>
      <c r="R11" s="68">
        <v>18.5</v>
      </c>
    </row>
    <row r="12" spans="1:18" x14ac:dyDescent="0.4">
      <c r="A12" s="20" t="s">
        <v>185</v>
      </c>
      <c r="B12" s="109">
        <f>IF(B9=0,0,C12/B9)</f>
        <v>-2.2176470588235295</v>
      </c>
      <c r="C12" s="110">
        <v>-37.700000000000003</v>
      </c>
      <c r="E12" s="27" t="s">
        <v>71</v>
      </c>
      <c r="F12" s="24" t="s">
        <v>26</v>
      </c>
      <c r="G12" s="12">
        <v>10</v>
      </c>
      <c r="H12" s="88">
        <f>IF(B$20=0,0,G12/B$20)</f>
        <v>8.771929824561403E-2</v>
      </c>
      <c r="I12" s="58">
        <v>1</v>
      </c>
      <c r="K12" s="74">
        <v>10</v>
      </c>
      <c r="L12" s="119">
        <v>64.7</v>
      </c>
      <c r="M12" s="117">
        <v>1617.9527600087345</v>
      </c>
      <c r="O12" s="75" t="s">
        <v>153</v>
      </c>
      <c r="P12" s="84">
        <f>IF(Q12=0,0,R12/Q12)</f>
        <v>-4.7687500000000007</v>
      </c>
      <c r="Q12" s="78">
        <v>16</v>
      </c>
      <c r="R12" s="69">
        <v>-76.300000000000011</v>
      </c>
    </row>
    <row r="13" spans="1:18" x14ac:dyDescent="0.4">
      <c r="A13" s="20" t="s">
        <v>186</v>
      </c>
      <c r="B13" s="109">
        <f>IF(B10=0,0,C13/B10)</f>
        <v>-49.91333333333332</v>
      </c>
      <c r="C13" s="110">
        <v>-748.69999999999982</v>
      </c>
      <c r="E13" s="27" t="s">
        <v>86</v>
      </c>
      <c r="F13" s="24" t="s">
        <v>41</v>
      </c>
      <c r="G13" s="12">
        <v>7</v>
      </c>
      <c r="H13" s="88">
        <f>IF(B$20=0,0,G13/B$20)</f>
        <v>6.1403508771929821E-2</v>
      </c>
      <c r="I13" s="58">
        <v>5</v>
      </c>
      <c r="K13" s="74">
        <v>11</v>
      </c>
      <c r="L13" s="119">
        <v>24.300000000000004</v>
      </c>
      <c r="M13" s="117">
        <v>1610.9630434486821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-2.5998004815961409</v>
      </c>
      <c r="C14" s="126"/>
      <c r="E14" s="27" t="s">
        <v>155</v>
      </c>
      <c r="F14" s="24" t="s">
        <v>156</v>
      </c>
      <c r="G14" s="12">
        <v>4</v>
      </c>
      <c r="H14" s="88">
        <f>IF(B$20=0,0,G14/B$20)</f>
        <v>3.5087719298245612E-2</v>
      </c>
      <c r="I14" s="58">
        <v>1</v>
      </c>
      <c r="K14" s="74">
        <v>12</v>
      </c>
      <c r="L14" s="119">
        <v>76.099999999999994</v>
      </c>
      <c r="M14" s="117">
        <v>1620.6112651879901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0.13725490196078433</v>
      </c>
      <c r="E15" s="27" t="s">
        <v>78</v>
      </c>
      <c r="F15" s="24" t="s">
        <v>33</v>
      </c>
      <c r="G15" s="12">
        <v>3</v>
      </c>
      <c r="H15" s="88">
        <f>IF(B$20=0,0,G15/B$20)</f>
        <v>2.6315789473684209E-2</v>
      </c>
      <c r="I15" s="58">
        <v>5</v>
      </c>
      <c r="K15" s="74">
        <v>13</v>
      </c>
      <c r="L15" s="119">
        <v>122.5</v>
      </c>
      <c r="M15" s="117">
        <v>1629.229597596862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127</v>
      </c>
      <c r="C16" s="10">
        <f>IF(B$3=0,0,B16/B$3)</f>
        <v>0.31909547738693467</v>
      </c>
      <c r="E16" s="27" t="s">
        <v>81</v>
      </c>
      <c r="F16" s="24" t="s">
        <v>36</v>
      </c>
      <c r="G16" s="12">
        <v>2</v>
      </c>
      <c r="H16" s="88">
        <f>IF(B$20=0,0,G16/B$20)</f>
        <v>1.7543859649122806E-2</v>
      </c>
      <c r="I16" s="58">
        <v>6</v>
      </c>
      <c r="K16" s="74">
        <v>14</v>
      </c>
      <c r="L16" s="119">
        <v>154.19999999999999</v>
      </c>
      <c r="M16" s="117">
        <v>1635.1502200112809</v>
      </c>
      <c r="O16" s="74" t="s">
        <v>192</v>
      </c>
      <c r="P16" s="83">
        <f>IF(Q16=0,0,R16/Q16)</f>
        <v>18.855555555555558</v>
      </c>
      <c r="Q16" s="77">
        <v>18</v>
      </c>
      <c r="R16" s="68">
        <v>339.40000000000003</v>
      </c>
    </row>
    <row r="17" spans="1:18" x14ac:dyDescent="0.4">
      <c r="A17" s="19" t="s">
        <v>118</v>
      </c>
      <c r="B17" s="12">
        <v>80</v>
      </c>
      <c r="C17" s="6">
        <f>IF(B$3=0,0,B17/B$3)</f>
        <v>0.20100502512562815</v>
      </c>
      <c r="E17" s="27" t="s">
        <v>83</v>
      </c>
      <c r="F17" s="24" t="s">
        <v>38</v>
      </c>
      <c r="G17" s="12">
        <v>2</v>
      </c>
      <c r="H17" s="88">
        <f>IF(B$20=0,0,G17/B$20)</f>
        <v>1.7543859649122806E-2</v>
      </c>
      <c r="I17" s="58">
        <v>6</v>
      </c>
      <c r="K17" s="74">
        <v>15</v>
      </c>
      <c r="L17" s="119">
        <v>154.19999999999999</v>
      </c>
      <c r="M17" s="117">
        <v>1635.3293186912133</v>
      </c>
      <c r="O17" s="74" t="s">
        <v>194</v>
      </c>
      <c r="P17" s="83">
        <f>IF(Q17=0,0,R17/Q17)</f>
        <v>3.3466666666666662</v>
      </c>
      <c r="Q17" s="77">
        <v>15</v>
      </c>
      <c r="R17" s="68">
        <v>50.199999999999996</v>
      </c>
    </row>
    <row r="18" spans="1:18" x14ac:dyDescent="0.4">
      <c r="A18" s="18" t="s">
        <v>123</v>
      </c>
      <c r="B18" s="11">
        <f>B24</f>
        <v>63</v>
      </c>
      <c r="C18" s="5">
        <f>IF(B$16=0,0,B18/B$16)</f>
        <v>0.49606299212598426</v>
      </c>
      <c r="E18" s="27" t="s">
        <v>73</v>
      </c>
      <c r="F18" s="24" t="s">
        <v>28</v>
      </c>
      <c r="G18" s="12">
        <v>1</v>
      </c>
      <c r="H18" s="88">
        <f>IF(B$20=0,0,G18/B$20)</f>
        <v>8.771929824561403E-3</v>
      </c>
      <c r="I18" s="58">
        <v>2</v>
      </c>
      <c r="K18" s="74">
        <v>16</v>
      </c>
      <c r="L18" s="119">
        <v>225.2</v>
      </c>
      <c r="M18" s="117">
        <v>1648.287342779066</v>
      </c>
      <c r="O18" s="74" t="s">
        <v>126</v>
      </c>
      <c r="P18" s="83">
        <f>IF(Q18=0,0,R18/Q18)</f>
        <v>-3.1340425531914877</v>
      </c>
      <c r="Q18" s="77">
        <v>47</v>
      </c>
      <c r="R18" s="68">
        <v>-147.29999999999993</v>
      </c>
    </row>
    <row r="19" spans="1:18" x14ac:dyDescent="0.4">
      <c r="A19" s="18" t="s">
        <v>124</v>
      </c>
      <c r="B19" s="11">
        <f>B25</f>
        <v>31</v>
      </c>
      <c r="C19" s="5">
        <f>IF(B$17=0,0,B19/B$17)</f>
        <v>0.38750000000000001</v>
      </c>
      <c r="E19" s="27" t="s">
        <v>75</v>
      </c>
      <c r="F19" s="24" t="s">
        <v>30</v>
      </c>
      <c r="G19" s="12">
        <v>1</v>
      </c>
      <c r="H19" s="88">
        <f>IF(B$20=0,0,G19/B$20)</f>
        <v>8.771929824561403E-3</v>
      </c>
      <c r="I19" s="58">
        <v>1</v>
      </c>
      <c r="K19" s="74">
        <v>17</v>
      </c>
      <c r="L19" s="119">
        <v>224</v>
      </c>
      <c r="M19" s="117">
        <v>1647.7576187223915</v>
      </c>
      <c r="O19" s="74" t="s">
        <v>198</v>
      </c>
      <c r="P19" s="83">
        <f>IF(Q19=0,0,R19/Q19)</f>
        <v>-12.473684210526315</v>
      </c>
      <c r="Q19" s="77">
        <v>19</v>
      </c>
      <c r="R19" s="68">
        <v>-237</v>
      </c>
    </row>
    <row r="20" spans="1:18" x14ac:dyDescent="0.4">
      <c r="A20" s="18" t="s">
        <v>10</v>
      </c>
      <c r="B20" s="11">
        <f>B23+B22</f>
        <v>114</v>
      </c>
      <c r="C20" s="5">
        <f>IF(B$3=0,0,B20/B$3)</f>
        <v>0.28643216080402012</v>
      </c>
      <c r="E20" s="27" t="s">
        <v>91</v>
      </c>
      <c r="F20" s="24" t="s">
        <v>46</v>
      </c>
      <c r="G20" s="12">
        <v>1</v>
      </c>
      <c r="H20" s="88">
        <f>IF(B$20=0,0,G20/B$20)</f>
        <v>8.771929824561403E-3</v>
      </c>
      <c r="I20" s="58">
        <v>5</v>
      </c>
      <c r="K20" s="74">
        <v>18</v>
      </c>
      <c r="L20" s="119">
        <v>229.8</v>
      </c>
      <c r="M20" s="117">
        <v>1648.4970730100572</v>
      </c>
    </row>
    <row r="21" spans="1:18" x14ac:dyDescent="0.4">
      <c r="A21" s="19" t="s">
        <v>13</v>
      </c>
      <c r="B21" s="12">
        <v>63</v>
      </c>
      <c r="C21" s="6">
        <f>IF(B$3=0,0,B21/B$3)</f>
        <v>0.15829145728643215</v>
      </c>
      <c r="E21" s="27" t="s">
        <v>92</v>
      </c>
      <c r="F21" s="24" t="s">
        <v>47</v>
      </c>
      <c r="G21" s="12">
        <v>1</v>
      </c>
      <c r="H21" s="88">
        <f>IF(B$20=0,0,G21/B$20)</f>
        <v>8.771929824561403E-3</v>
      </c>
      <c r="I21" s="58">
        <v>2</v>
      </c>
      <c r="K21" s="74">
        <v>19</v>
      </c>
      <c r="L21" s="119">
        <v>239</v>
      </c>
      <c r="M21" s="117">
        <v>1649.8380905719969</v>
      </c>
    </row>
    <row r="22" spans="1:18" x14ac:dyDescent="0.4">
      <c r="A22" s="19" t="s">
        <v>12</v>
      </c>
      <c r="B22" s="12">
        <v>54</v>
      </c>
      <c r="C22" s="6">
        <f>IF(B$20=0,0,B22/B$20)</f>
        <v>0.47368421052631576</v>
      </c>
      <c r="E22" s="27" t="s">
        <v>93</v>
      </c>
      <c r="F22" s="24" t="s">
        <v>48</v>
      </c>
      <c r="G22" s="12">
        <v>1</v>
      </c>
      <c r="H22" s="88">
        <f>IF(B$20=0,0,G22/B$20)</f>
        <v>8.771929824561403E-3</v>
      </c>
      <c r="I22" s="58">
        <v>4</v>
      </c>
      <c r="K22" s="74">
        <v>20</v>
      </c>
      <c r="L22" s="119">
        <v>187.8</v>
      </c>
      <c r="M22" s="117">
        <v>1640.3050620285649</v>
      </c>
    </row>
    <row r="23" spans="1:18" x14ac:dyDescent="0.4">
      <c r="A23" s="19" t="s">
        <v>11</v>
      </c>
      <c r="B23" s="12">
        <v>60</v>
      </c>
      <c r="C23" s="6">
        <f>IF(B$20=0,0,B23/B$20)</f>
        <v>0.52631578947368418</v>
      </c>
      <c r="E23" s="27" t="s">
        <v>94</v>
      </c>
      <c r="F23" s="24" t="s">
        <v>49</v>
      </c>
      <c r="G23" s="12">
        <v>1</v>
      </c>
      <c r="H23" s="88">
        <f>IF(B$20=0,0,G23/B$20)</f>
        <v>8.771929824561403E-3</v>
      </c>
      <c r="I23" s="58">
        <v>1</v>
      </c>
      <c r="K23" s="74">
        <v>21</v>
      </c>
      <c r="L23" s="119">
        <v>214.70000000000002</v>
      </c>
      <c r="M23" s="117">
        <v>1644.8812316563935</v>
      </c>
    </row>
    <row r="24" spans="1:18" x14ac:dyDescent="0.4">
      <c r="A24" s="19" t="s">
        <v>183</v>
      </c>
      <c r="B24" s="12">
        <v>63</v>
      </c>
      <c r="C24" s="6">
        <f>IF(B$20=0,0,B24/B$20)</f>
        <v>0.55263157894736847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4</v>
      </c>
      <c r="K24" s="74">
        <v>22</v>
      </c>
      <c r="L24" s="119">
        <v>161.5</v>
      </c>
      <c r="M24" s="117">
        <v>1635.0179442664553</v>
      </c>
    </row>
    <row r="25" spans="1:18" x14ac:dyDescent="0.4">
      <c r="A25" s="19" t="s">
        <v>181</v>
      </c>
      <c r="B25" s="12">
        <v>31</v>
      </c>
      <c r="C25" s="6">
        <f>IF(B$20=0,0,B25/B$20)</f>
        <v>0.27192982456140352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221.8</v>
      </c>
      <c r="M25" s="117">
        <v>1645.6378366008566</v>
      </c>
    </row>
    <row r="26" spans="1:18" x14ac:dyDescent="0.4">
      <c r="A26" s="19" t="s">
        <v>182</v>
      </c>
      <c r="B26" s="12">
        <v>20</v>
      </c>
      <c r="C26" s="6">
        <f>IF(B$20=0,0,B26/B$20)</f>
        <v>0.17543859649122806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221.8</v>
      </c>
      <c r="M26" s="117">
        <v>1645.3460095812516</v>
      </c>
    </row>
    <row r="27" spans="1:18" x14ac:dyDescent="0.4">
      <c r="A27" s="19" t="s">
        <v>5</v>
      </c>
      <c r="B27" s="16">
        <f>IF(B$20=0,0,C27/B$20)</f>
        <v>9395.6140350877195</v>
      </c>
      <c r="C27" s="8">
        <v>1071100</v>
      </c>
      <c r="E27" s="27" t="s">
        <v>79</v>
      </c>
      <c r="F27" s="24" t="s">
        <v>34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234.10000000000002</v>
      </c>
      <c r="M27" s="117">
        <v>1647.2639335237641</v>
      </c>
    </row>
    <row r="28" spans="1:18" x14ac:dyDescent="0.4">
      <c r="A28" s="20" t="s">
        <v>165</v>
      </c>
      <c r="B28" s="95">
        <f>IF($B$20-B$19=0,0,C28/($B$20-B$19))</f>
        <v>10414.457831325301</v>
      </c>
      <c r="C28" s="96">
        <v>864400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177.3</v>
      </c>
      <c r="M28" s="117">
        <v>1636.7323499226216</v>
      </c>
    </row>
    <row r="29" spans="1:18" x14ac:dyDescent="0.4">
      <c r="A29" s="20" t="s">
        <v>166</v>
      </c>
      <c r="B29" s="95">
        <f>IF(B$19=0,0,C29/B$19)</f>
        <v>6667.7419354838712</v>
      </c>
      <c r="C29" s="96">
        <v>206700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257.3</v>
      </c>
      <c r="M29" s="117">
        <v>1650.8879558230858</v>
      </c>
    </row>
    <row r="30" spans="1:18" x14ac:dyDescent="0.4">
      <c r="A30" s="20" t="s">
        <v>164</v>
      </c>
      <c r="B30" s="95">
        <f>IF(B$21=0,0,C30/B$21)</f>
        <v>-7546.0317460317465</v>
      </c>
      <c r="C30" s="96">
        <v>-475400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256.5</v>
      </c>
      <c r="M30" s="117">
        <v>1650.4146280881473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206.6</v>
      </c>
      <c r="M31" s="117">
        <v>1641.1061403196184</v>
      </c>
    </row>
    <row r="32" spans="1:18" x14ac:dyDescent="0.4">
      <c r="A32" s="19" t="s">
        <v>158</v>
      </c>
      <c r="B32" s="12">
        <v>18</v>
      </c>
      <c r="C32" s="90">
        <v>1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151.19999999999999</v>
      </c>
      <c r="M32" s="117">
        <v>1630.8635034777008</v>
      </c>
    </row>
    <row r="33" spans="1:13" x14ac:dyDescent="0.4">
      <c r="A33" s="54" t="s">
        <v>136</v>
      </c>
      <c r="B33" s="127">
        <v>6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185.29999999999998</v>
      </c>
      <c r="M33" s="117">
        <v>1636.7923224568347</v>
      </c>
    </row>
    <row r="34" spans="1:13" x14ac:dyDescent="0.4">
      <c r="A34" s="22" t="s">
        <v>180</v>
      </c>
      <c r="B34" s="129">
        <v>103000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129.09999999999997</v>
      </c>
      <c r="M34" s="117">
        <v>1626.0475685220936</v>
      </c>
    </row>
    <row r="35" spans="1:13" x14ac:dyDescent="0.4">
      <c r="A35" s="21" t="s">
        <v>137</v>
      </c>
      <c r="B35" s="29">
        <v>1</v>
      </c>
      <c r="C35" s="9">
        <f>IF(B$3=0,0,B35/B$3)</f>
        <v>2.5125628140703518E-3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172.69999999999996</v>
      </c>
      <c r="M35" s="117">
        <v>1633.325283110961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171.69999999999996</v>
      </c>
      <c r="M36" s="117">
        <v>1632.5313314122952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7.0175438596491224E-2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208.79999999999995</v>
      </c>
      <c r="M37" s="117">
        <v>1639.0621434238215</v>
      </c>
    </row>
    <row r="38" spans="1:13" x14ac:dyDescent="0.4">
      <c r="A38" s="19" t="s">
        <v>167</v>
      </c>
      <c r="B38" s="12">
        <v>10</v>
      </c>
      <c r="C38" s="6">
        <f t="shared" si="2"/>
        <v>8.771929824561403E-2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259.89999999999998</v>
      </c>
      <c r="M38" s="117">
        <v>1648.3617705632785</v>
      </c>
    </row>
    <row r="39" spans="1:13" x14ac:dyDescent="0.4">
      <c r="A39" s="19" t="s">
        <v>168</v>
      </c>
      <c r="B39" s="124">
        <v>16</v>
      </c>
      <c r="C39" s="6">
        <f t="shared" si="2"/>
        <v>0.14035087719298245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197.7</v>
      </c>
      <c r="M39" s="117">
        <v>1636.4855999398987</v>
      </c>
    </row>
    <row r="40" spans="1:13" x14ac:dyDescent="0.4">
      <c r="A40" s="19" t="s">
        <v>169</v>
      </c>
      <c r="B40" s="124">
        <v>36</v>
      </c>
      <c r="C40" s="6">
        <f t="shared" si="2"/>
        <v>0.31578947368421051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150.89999999999998</v>
      </c>
      <c r="M40" s="117">
        <v>1627.8906863402594</v>
      </c>
    </row>
    <row r="41" spans="1:13" x14ac:dyDescent="0.4">
      <c r="A41" s="19" t="s">
        <v>170</v>
      </c>
      <c r="B41" s="124">
        <v>17</v>
      </c>
      <c r="C41" s="6">
        <f t="shared" si="2"/>
        <v>0.14912280701754385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144.69999999999999</v>
      </c>
      <c r="M41" s="117">
        <v>1626.6553422222178</v>
      </c>
    </row>
    <row r="42" spans="1:13" x14ac:dyDescent="0.4">
      <c r="A42" s="19" t="s">
        <v>172</v>
      </c>
      <c r="B42" s="124">
        <v>13</v>
      </c>
      <c r="C42" s="6">
        <f t="shared" si="2"/>
        <v>0.11403508771929824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232.7</v>
      </c>
      <c r="M42" s="117">
        <v>1642.3834101688844</v>
      </c>
    </row>
    <row r="43" spans="1:13" x14ac:dyDescent="0.4">
      <c r="A43" s="19" t="s">
        <v>173</v>
      </c>
      <c r="B43" s="124">
        <v>4</v>
      </c>
      <c r="C43" s="6">
        <f t="shared" si="2"/>
        <v>3.5087719298245612E-2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263.3</v>
      </c>
      <c r="M43" s="117">
        <v>1647.6851097078711</v>
      </c>
    </row>
    <row r="44" spans="1:13" x14ac:dyDescent="0.4">
      <c r="A44" s="19" t="s">
        <v>174</v>
      </c>
      <c r="B44" s="124">
        <v>6</v>
      </c>
      <c r="C44" s="6">
        <f t="shared" si="2"/>
        <v>5.2631578947368418E-2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253.10000000000002</v>
      </c>
      <c r="M44" s="117">
        <v>1645.6109990496238</v>
      </c>
    </row>
    <row r="45" spans="1:13" x14ac:dyDescent="0.4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281.90000000000003</v>
      </c>
      <c r="M45" s="117">
        <v>1650.5693330553261</v>
      </c>
    </row>
    <row r="46" spans="1:13" x14ac:dyDescent="0.4">
      <c r="A46" s="19" t="s">
        <v>176</v>
      </c>
      <c r="B46" s="124">
        <v>1</v>
      </c>
      <c r="C46" s="6">
        <f t="shared" si="2"/>
        <v>8.771929824561403E-3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275.70000000000005</v>
      </c>
      <c r="M46" s="117">
        <v>1649.1979170569941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224.80000000000004</v>
      </c>
      <c r="M47" s="117">
        <v>1639.7887295546523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260.00000000000006</v>
      </c>
      <c r="M48" s="117">
        <v>1645.9339971773243</v>
      </c>
    </row>
    <row r="49" spans="1:13" x14ac:dyDescent="0.4">
      <c r="A49" s="21" t="s">
        <v>179</v>
      </c>
      <c r="B49" s="97">
        <v>3</v>
      </c>
      <c r="C49" s="9">
        <f t="shared" si="2"/>
        <v>2.6315789473684209E-2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233.20000000000005</v>
      </c>
      <c r="M49" s="117">
        <v>1640.8823931942604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174.40000000000003</v>
      </c>
      <c r="M50" s="117">
        <v>1630.1010988350949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116.60000000000004</v>
      </c>
      <c r="M51" s="117">
        <v>1619.5644922420843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55.900000000000034</v>
      </c>
      <c r="M52" s="117">
        <v>1608.5691052886318</v>
      </c>
    </row>
    <row r="53" spans="1:13" x14ac:dyDescent="0.4">
      <c r="K53" s="74">
        <v>51</v>
      </c>
      <c r="L53" s="119">
        <v>55.900000000000034</v>
      </c>
      <c r="M53" s="117">
        <v>1608.5656906569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F6758-E320-4F04-AA9C-D87F8916481F}">
  <sheetPr codeName="Sheet9"/>
  <dimension ref="A1:R6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67</v>
      </c>
      <c r="C2" s="134"/>
      <c r="E2" s="26" t="s">
        <v>66</v>
      </c>
      <c r="F2" s="23" t="s">
        <v>22</v>
      </c>
      <c r="G2" s="11">
        <v>137</v>
      </c>
      <c r="H2" s="87">
        <f>IF(B$20=0,0,G2/B$20)</f>
        <v>0.73262032085561501</v>
      </c>
      <c r="I2" s="57">
        <v>5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1828.7878787878788</v>
      </c>
      <c r="Q2" s="76">
        <v>66</v>
      </c>
      <c r="R2" s="63">
        <v>120700</v>
      </c>
    </row>
    <row r="3" spans="1:18" x14ac:dyDescent="0.4">
      <c r="A3" s="19" t="s">
        <v>8</v>
      </c>
      <c r="B3" s="135">
        <v>539</v>
      </c>
      <c r="C3" s="136"/>
      <c r="E3" s="27" t="s">
        <v>64</v>
      </c>
      <c r="F3" s="24" t="s">
        <v>20</v>
      </c>
      <c r="G3" s="12">
        <v>103</v>
      </c>
      <c r="H3" s="88">
        <f>IF(B$20=0,0,G3/B$20)</f>
        <v>0.55080213903743314</v>
      </c>
      <c r="I3" s="58">
        <v>4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1828.5714285714287</v>
      </c>
      <c r="Q3" s="77">
        <v>63</v>
      </c>
      <c r="R3" s="64">
        <v>115200</v>
      </c>
    </row>
    <row r="4" spans="1:18" x14ac:dyDescent="0.4">
      <c r="A4" s="19" t="s">
        <v>6</v>
      </c>
      <c r="B4" s="137">
        <v>490.6</v>
      </c>
      <c r="C4" s="138"/>
      <c r="E4" s="27" t="s">
        <v>159</v>
      </c>
      <c r="F4" s="24" t="s">
        <v>160</v>
      </c>
      <c r="G4" s="12">
        <v>76</v>
      </c>
      <c r="H4" s="88">
        <f>IF(B$20=0,0,G4/B$20)</f>
        <v>0.40641711229946526</v>
      </c>
      <c r="I4" s="58">
        <v>4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400</v>
      </c>
      <c r="Q4" s="77">
        <v>61</v>
      </c>
      <c r="R4" s="64">
        <v>24400</v>
      </c>
    </row>
    <row r="5" spans="1:18" x14ac:dyDescent="0.4">
      <c r="A5" s="19" t="s">
        <v>7</v>
      </c>
      <c r="B5" s="125">
        <f>IF(B$2=0,0,B$4/B$2)</f>
        <v>7.3223880597014928</v>
      </c>
      <c r="C5" s="126"/>
      <c r="E5" s="27" t="s">
        <v>72</v>
      </c>
      <c r="F5" s="24" t="s">
        <v>27</v>
      </c>
      <c r="G5" s="12">
        <v>66</v>
      </c>
      <c r="H5" s="88">
        <f>IF(B$20=0,0,G5/B$20)</f>
        <v>0.35294117647058826</v>
      </c>
      <c r="I5" s="58">
        <v>7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1033.9285714285713</v>
      </c>
      <c r="Q5" s="77">
        <v>56</v>
      </c>
      <c r="R5" s="64">
        <v>57900</v>
      </c>
    </row>
    <row r="6" spans="1:18" x14ac:dyDescent="0.4">
      <c r="A6" s="19" t="s">
        <v>195</v>
      </c>
      <c r="B6" s="129">
        <v>1780.4944043583148</v>
      </c>
      <c r="C6" s="130"/>
      <c r="E6" s="27" t="s">
        <v>68</v>
      </c>
      <c r="F6" s="24" t="s">
        <v>12</v>
      </c>
      <c r="G6" s="12">
        <v>64</v>
      </c>
      <c r="H6" s="88">
        <f>IF(B$20=0,0,G6/B$20)</f>
        <v>0.34224598930481281</v>
      </c>
      <c r="I6" s="58">
        <v>5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726.41509433962267</v>
      </c>
      <c r="Q6" s="77">
        <v>53</v>
      </c>
      <c r="R6" s="64">
        <v>38500</v>
      </c>
    </row>
    <row r="7" spans="1:18" x14ac:dyDescent="0.4">
      <c r="A7" s="19" t="s">
        <v>1</v>
      </c>
      <c r="B7" s="139">
        <f>IF(B$2=0,0,(B$8*1+B$9*2+B$10*3)/B$2)</f>
        <v>1.8208955223880596</v>
      </c>
      <c r="C7" s="140"/>
      <c r="E7" s="27" t="s">
        <v>67</v>
      </c>
      <c r="F7" s="24" t="s">
        <v>23</v>
      </c>
      <c r="G7" s="12">
        <v>44</v>
      </c>
      <c r="H7" s="88">
        <f>IF(B$20=0,0,G7/B$20)</f>
        <v>0.23529411764705882</v>
      </c>
      <c r="I7" s="58">
        <v>6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-278.72340425531917</v>
      </c>
      <c r="Q7" s="78">
        <v>47</v>
      </c>
      <c r="R7" s="65">
        <v>-13100</v>
      </c>
    </row>
    <row r="8" spans="1:18" x14ac:dyDescent="0.4">
      <c r="A8" s="19" t="s">
        <v>2</v>
      </c>
      <c r="B8" s="12">
        <v>29</v>
      </c>
      <c r="C8" s="6">
        <f t="shared" ref="C8:C15" si="1">IF(B$2=0,0,B8/B$2)</f>
        <v>0.43283582089552236</v>
      </c>
      <c r="E8" s="27" t="s">
        <v>65</v>
      </c>
      <c r="F8" s="24" t="s">
        <v>21</v>
      </c>
      <c r="G8" s="12">
        <v>30</v>
      </c>
      <c r="H8" s="88">
        <f>IF(B$20=0,0,G8/B$20)</f>
        <v>0.16042780748663102</v>
      </c>
      <c r="I8" s="58">
        <v>2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21</v>
      </c>
      <c r="C9" s="6">
        <f t="shared" si="1"/>
        <v>0.31343283582089554</v>
      </c>
      <c r="E9" s="27" t="s">
        <v>69</v>
      </c>
      <c r="F9" s="24" t="s">
        <v>24</v>
      </c>
      <c r="G9" s="12">
        <v>29</v>
      </c>
      <c r="H9" s="88">
        <f>IF(B$20=0,0,G9/B$20)</f>
        <v>0.15508021390374332</v>
      </c>
      <c r="I9" s="58">
        <v>5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17</v>
      </c>
      <c r="C10" s="7">
        <f t="shared" si="1"/>
        <v>0.2537313432835821</v>
      </c>
      <c r="E10" s="27" t="s">
        <v>89</v>
      </c>
      <c r="F10" s="24" t="s">
        <v>44</v>
      </c>
      <c r="G10" s="12">
        <v>28</v>
      </c>
      <c r="H10" s="88">
        <f>IF(B$20=0,0,G10/B$20)</f>
        <v>0.1497326203208556</v>
      </c>
      <c r="I10" s="58">
        <v>3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8.9826086956521731</v>
      </c>
      <c r="Q10" s="76">
        <v>23</v>
      </c>
      <c r="R10" s="67">
        <v>206.59999999999997</v>
      </c>
    </row>
    <row r="11" spans="1:18" x14ac:dyDescent="0.4">
      <c r="A11" s="20" t="s">
        <v>184</v>
      </c>
      <c r="B11" s="109">
        <f>IF(B8=0,0,C11/B8)</f>
        <v>43.013793103448272</v>
      </c>
      <c r="C11" s="110">
        <v>1247.3999999999999</v>
      </c>
      <c r="E11" s="27" t="s">
        <v>70</v>
      </c>
      <c r="F11" s="24" t="s">
        <v>25</v>
      </c>
      <c r="G11" s="12">
        <v>20</v>
      </c>
      <c r="H11" s="88">
        <f>IF(B$20=0,0,G11/B$20)</f>
        <v>0.10695187165775401</v>
      </c>
      <c r="I11" s="58">
        <v>5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5.8320000000000007</v>
      </c>
      <c r="Q11" s="77">
        <v>25</v>
      </c>
      <c r="R11" s="68">
        <v>145.80000000000001</v>
      </c>
    </row>
    <row r="12" spans="1:18" x14ac:dyDescent="0.4">
      <c r="A12" s="20" t="s">
        <v>185</v>
      </c>
      <c r="B12" s="109">
        <f>IF(B9=0,0,C12/B9)</f>
        <v>-2.8571428571428577</v>
      </c>
      <c r="C12" s="110">
        <v>-60.000000000000007</v>
      </c>
      <c r="E12" s="27" t="s">
        <v>86</v>
      </c>
      <c r="F12" s="24" t="s">
        <v>41</v>
      </c>
      <c r="G12" s="12">
        <v>14</v>
      </c>
      <c r="H12" s="88">
        <f>IF(B$20=0,0,G12/B$20)</f>
        <v>7.4866310160427801E-2</v>
      </c>
      <c r="I12" s="58">
        <v>1</v>
      </c>
      <c r="K12" s="74">
        <v>10</v>
      </c>
      <c r="L12" s="119">
        <v>60.500000000000007</v>
      </c>
      <c r="M12" s="117">
        <v>1760.5890392922074</v>
      </c>
      <c r="O12" s="75" t="s">
        <v>153</v>
      </c>
      <c r="P12" s="84">
        <f>IF(Q12=0,0,R12/Q12)</f>
        <v>7.2736842105263166</v>
      </c>
      <c r="Q12" s="78">
        <v>19</v>
      </c>
      <c r="R12" s="69">
        <v>138.20000000000002</v>
      </c>
    </row>
    <row r="13" spans="1:18" x14ac:dyDescent="0.4">
      <c r="A13" s="20" t="s">
        <v>186</v>
      </c>
      <c r="B13" s="109">
        <f>IF(B10=0,0,C13/B10)</f>
        <v>-40.988235294117636</v>
      </c>
      <c r="C13" s="110">
        <v>-696.79999999999984</v>
      </c>
      <c r="E13" s="27" t="s">
        <v>71</v>
      </c>
      <c r="F13" s="24" t="s">
        <v>26</v>
      </c>
      <c r="G13" s="12">
        <v>13</v>
      </c>
      <c r="H13" s="88">
        <f>IF(B$20=0,0,G13/B$20)</f>
        <v>6.9518716577540107E-2</v>
      </c>
      <c r="I13" s="58">
        <v>3</v>
      </c>
      <c r="K13" s="74">
        <v>11</v>
      </c>
      <c r="L13" s="119">
        <v>41.100000000000009</v>
      </c>
      <c r="M13" s="117">
        <v>1756.0315050564541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-0.2771950159374062</v>
      </c>
      <c r="C14" s="126"/>
      <c r="E14" s="27" t="s">
        <v>78</v>
      </c>
      <c r="F14" s="24" t="s">
        <v>33</v>
      </c>
      <c r="G14" s="12">
        <v>9</v>
      </c>
      <c r="H14" s="88">
        <f>IF(B$20=0,0,G14/B$20)</f>
        <v>4.8128342245989303E-2</v>
      </c>
      <c r="I14" s="58">
        <v>2</v>
      </c>
      <c r="K14" s="74">
        <v>12</v>
      </c>
      <c r="L14" s="119">
        <v>98.9</v>
      </c>
      <c r="M14" s="117">
        <v>1765.3973160261153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7.4626865671641784E-2</v>
      </c>
      <c r="E15" s="27" t="s">
        <v>83</v>
      </c>
      <c r="F15" s="24" t="s">
        <v>38</v>
      </c>
      <c r="G15" s="12">
        <v>9</v>
      </c>
      <c r="H15" s="88">
        <f>IF(B$20=0,0,G15/B$20)</f>
        <v>4.8128342245989303E-2</v>
      </c>
      <c r="I15" s="58">
        <v>1</v>
      </c>
      <c r="K15" s="74">
        <v>13</v>
      </c>
      <c r="L15" s="119">
        <v>119.10000000000001</v>
      </c>
      <c r="M15" s="117">
        <v>1767.9389321299586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199</v>
      </c>
      <c r="C16" s="10">
        <f>IF(B$3=0,0,B16/B$3)</f>
        <v>0.36920222634508348</v>
      </c>
      <c r="E16" s="27" t="s">
        <v>81</v>
      </c>
      <c r="F16" s="24" t="s">
        <v>36</v>
      </c>
      <c r="G16" s="12">
        <v>6</v>
      </c>
      <c r="H16" s="88">
        <f>IF(B$20=0,0,G16/B$20)</f>
        <v>3.2085561497326207E-2</v>
      </c>
      <c r="I16" s="58">
        <v>3</v>
      </c>
      <c r="K16" s="74">
        <v>14</v>
      </c>
      <c r="L16" s="119">
        <v>162.4</v>
      </c>
      <c r="M16" s="117">
        <v>1774.6232985371789</v>
      </c>
      <c r="O16" s="74" t="s">
        <v>194</v>
      </c>
      <c r="P16" s="83">
        <f>IF(Q16=0,0,R16/Q16)</f>
        <v>19.755999999999997</v>
      </c>
      <c r="Q16" s="77">
        <v>25</v>
      </c>
      <c r="R16" s="68">
        <v>493.89999999999992</v>
      </c>
    </row>
    <row r="17" spans="1:18" x14ac:dyDescent="0.4">
      <c r="A17" s="19" t="s">
        <v>118</v>
      </c>
      <c r="B17" s="12">
        <v>83</v>
      </c>
      <c r="C17" s="6">
        <f>IF(B$3=0,0,B17/B$3)</f>
        <v>0.15398886827458255</v>
      </c>
      <c r="E17" s="27" t="s">
        <v>88</v>
      </c>
      <c r="F17" s="24" t="s">
        <v>43</v>
      </c>
      <c r="G17" s="12">
        <v>2</v>
      </c>
      <c r="H17" s="88">
        <f>IF(B$20=0,0,G17/B$20)</f>
        <v>1.06951871657754E-2</v>
      </c>
      <c r="I17" s="58">
        <v>1</v>
      </c>
      <c r="K17" s="74">
        <v>15</v>
      </c>
      <c r="L17" s="119">
        <v>219.2</v>
      </c>
      <c r="M17" s="117">
        <v>1783.6975587459558</v>
      </c>
      <c r="O17" s="74" t="s">
        <v>192</v>
      </c>
      <c r="P17" s="83">
        <f>IF(Q17=0,0,R17/Q17)</f>
        <v>14.023529411764706</v>
      </c>
      <c r="Q17" s="77">
        <v>34</v>
      </c>
      <c r="R17" s="68">
        <v>476.8</v>
      </c>
    </row>
    <row r="18" spans="1:18" x14ac:dyDescent="0.4">
      <c r="A18" s="18" t="s">
        <v>123</v>
      </c>
      <c r="B18" s="11">
        <f>B24</f>
        <v>109</v>
      </c>
      <c r="C18" s="5">
        <f>IF(B$16=0,0,B18/B$16)</f>
        <v>0.54773869346733672</v>
      </c>
      <c r="E18" s="27" t="s">
        <v>91</v>
      </c>
      <c r="F18" s="24" t="s">
        <v>46</v>
      </c>
      <c r="G18" s="12">
        <v>2</v>
      </c>
      <c r="H18" s="88">
        <f>IF(B$20=0,0,G18/B$20)</f>
        <v>1.06951871657754E-2</v>
      </c>
      <c r="I18" s="58">
        <v>4</v>
      </c>
      <c r="K18" s="74">
        <v>16</v>
      </c>
      <c r="L18" s="119">
        <v>207.6</v>
      </c>
      <c r="M18" s="117">
        <v>1780.40537339348</v>
      </c>
      <c r="O18" s="74" t="s">
        <v>198</v>
      </c>
      <c r="P18" s="83">
        <f>IF(Q18=0,0,R18/Q18)</f>
        <v>7.04</v>
      </c>
      <c r="Q18" s="77">
        <v>25</v>
      </c>
      <c r="R18" s="68">
        <v>176</v>
      </c>
    </row>
    <row r="19" spans="1:18" x14ac:dyDescent="0.4">
      <c r="A19" s="18" t="s">
        <v>124</v>
      </c>
      <c r="B19" s="11">
        <f>B25</f>
        <v>39</v>
      </c>
      <c r="C19" s="5">
        <f>IF(B$17=0,0,B19/B$17)</f>
        <v>0.46987951807228917</v>
      </c>
      <c r="E19" s="27" t="s">
        <v>92</v>
      </c>
      <c r="F19" s="24" t="s">
        <v>47</v>
      </c>
      <c r="G19" s="12">
        <v>2</v>
      </c>
      <c r="H19" s="88">
        <f>IF(B$20=0,0,G19/B$20)</f>
        <v>1.06951871657754E-2</v>
      </c>
      <c r="I19" s="58">
        <v>1</v>
      </c>
      <c r="K19" s="74">
        <v>17</v>
      </c>
      <c r="L19" s="119">
        <v>209.2</v>
      </c>
      <c r="M19" s="117">
        <v>1779.5089411531192</v>
      </c>
      <c r="O19" s="74" t="s">
        <v>163</v>
      </c>
      <c r="P19" s="83">
        <f>IF(Q19=0,0,R19/Q19)</f>
        <v>3.1340425531914877</v>
      </c>
      <c r="Q19" s="77">
        <v>47</v>
      </c>
      <c r="R19" s="68">
        <v>147.29999999999993</v>
      </c>
    </row>
    <row r="20" spans="1:18" x14ac:dyDescent="0.4">
      <c r="A20" s="18" t="s">
        <v>10</v>
      </c>
      <c r="B20" s="11">
        <f>B23+B22</f>
        <v>187</v>
      </c>
      <c r="C20" s="5">
        <f>IF(B$3=0,0,B20/B$3)</f>
        <v>0.34693877551020408</v>
      </c>
      <c r="E20" s="27" t="s">
        <v>93</v>
      </c>
      <c r="F20" s="24" t="s">
        <v>48</v>
      </c>
      <c r="G20" s="12">
        <v>2</v>
      </c>
      <c r="H20" s="88">
        <f>IF(B$20=0,0,G20/B$20)</f>
        <v>1.06951871657754E-2</v>
      </c>
      <c r="I20" s="58">
        <v>3</v>
      </c>
      <c r="K20" s="74">
        <v>18</v>
      </c>
      <c r="L20" s="119">
        <v>194.39999999999998</v>
      </c>
      <c r="M20" s="117">
        <v>1775.6658875062005</v>
      </c>
    </row>
    <row r="21" spans="1:18" x14ac:dyDescent="0.4">
      <c r="A21" s="19" t="s">
        <v>13</v>
      </c>
      <c r="B21" s="12">
        <v>77</v>
      </c>
      <c r="C21" s="6">
        <f>IF(B$3=0,0,B21/B$3)</f>
        <v>0.14285714285714285</v>
      </c>
      <c r="E21" s="27" t="s">
        <v>155</v>
      </c>
      <c r="F21" s="24" t="s">
        <v>156</v>
      </c>
      <c r="G21" s="12">
        <v>2</v>
      </c>
      <c r="H21" s="88">
        <f>IF(B$20=0,0,G21/B$20)</f>
        <v>1.06951871657754E-2</v>
      </c>
      <c r="I21" s="58">
        <v>6</v>
      </c>
      <c r="K21" s="74">
        <v>19</v>
      </c>
      <c r="L21" s="119">
        <v>216.79999999999998</v>
      </c>
      <c r="M21" s="117">
        <v>1778.5418921811633</v>
      </c>
    </row>
    <row r="22" spans="1:18" x14ac:dyDescent="0.4">
      <c r="A22" s="19" t="s">
        <v>12</v>
      </c>
      <c r="B22" s="12">
        <v>83</v>
      </c>
      <c r="C22" s="6">
        <f>IF(B$20=0,0,B22/B$20)</f>
        <v>0.44385026737967914</v>
      </c>
      <c r="E22" s="27" t="s">
        <v>85</v>
      </c>
      <c r="F22" s="24" t="s">
        <v>40</v>
      </c>
      <c r="G22" s="12">
        <v>1</v>
      </c>
      <c r="H22" s="88">
        <f>IF(B$20=0,0,G22/B$20)</f>
        <v>5.3475935828877002E-3</v>
      </c>
      <c r="I22" s="58">
        <v>1</v>
      </c>
      <c r="K22" s="74">
        <v>20</v>
      </c>
      <c r="L22" s="119">
        <v>215.6</v>
      </c>
      <c r="M22" s="117">
        <v>1777.6446408280763</v>
      </c>
    </row>
    <row r="23" spans="1:18" x14ac:dyDescent="0.4">
      <c r="A23" s="19" t="s">
        <v>11</v>
      </c>
      <c r="B23" s="12">
        <v>104</v>
      </c>
      <c r="C23" s="6">
        <f>IF(B$20=0,0,B23/B$20)</f>
        <v>0.55614973262032086</v>
      </c>
      <c r="E23" s="27" t="s">
        <v>90</v>
      </c>
      <c r="F23" s="24" t="s">
        <v>45</v>
      </c>
      <c r="G23" s="12">
        <v>1</v>
      </c>
      <c r="H23" s="88">
        <f>IF(B$20=0,0,G23/B$20)</f>
        <v>5.3475935828877002E-3</v>
      </c>
      <c r="I23" s="58">
        <v>2</v>
      </c>
      <c r="K23" s="74">
        <v>21</v>
      </c>
      <c r="L23" s="119">
        <v>252.8</v>
      </c>
      <c r="M23" s="117">
        <v>1783.6647729831077</v>
      </c>
    </row>
    <row r="24" spans="1:18" x14ac:dyDescent="0.4">
      <c r="A24" s="19" t="s">
        <v>183</v>
      </c>
      <c r="B24" s="12">
        <v>109</v>
      </c>
      <c r="C24" s="6">
        <f>IF(B$20=0,0,B24/B$20)</f>
        <v>0.58288770053475936</v>
      </c>
      <c r="E24" s="27" t="s">
        <v>98</v>
      </c>
      <c r="F24" s="24" t="s">
        <v>53</v>
      </c>
      <c r="G24" s="12">
        <v>1</v>
      </c>
      <c r="H24" s="88">
        <f>IF(B$20=0,0,G24/B$20)</f>
        <v>5.3475935828877002E-3</v>
      </c>
      <c r="I24" s="58">
        <v>1</v>
      </c>
      <c r="K24" s="74">
        <v>22</v>
      </c>
      <c r="L24" s="119">
        <v>250.60000000000002</v>
      </c>
      <c r="M24" s="117">
        <v>1782.5567843452091</v>
      </c>
    </row>
    <row r="25" spans="1:18" x14ac:dyDescent="0.4">
      <c r="A25" s="19" t="s">
        <v>181</v>
      </c>
      <c r="B25" s="12">
        <v>39</v>
      </c>
      <c r="C25" s="6">
        <f>IF(B$20=0,0,B25/B$20)</f>
        <v>0.20855614973262032</v>
      </c>
      <c r="E25" s="27" t="s">
        <v>106</v>
      </c>
      <c r="F25" s="24" t="s">
        <v>113</v>
      </c>
      <c r="G25" s="12">
        <v>1</v>
      </c>
      <c r="H25" s="88">
        <f>IF(B$20=0,0,G25/B$20)</f>
        <v>5.3475935828877002E-3</v>
      </c>
      <c r="I25" s="58">
        <v>1</v>
      </c>
      <c r="K25" s="74">
        <v>23</v>
      </c>
      <c r="L25" s="119">
        <v>262.3</v>
      </c>
      <c r="M25" s="117">
        <v>1783.9574436391379</v>
      </c>
    </row>
    <row r="26" spans="1:18" x14ac:dyDescent="0.4">
      <c r="A26" s="19" t="s">
        <v>182</v>
      </c>
      <c r="B26" s="12">
        <v>39</v>
      </c>
      <c r="C26" s="6">
        <f>IF(B$20=0,0,B26/B$20)</f>
        <v>0.20855614973262032</v>
      </c>
      <c r="E26" s="27" t="s">
        <v>73</v>
      </c>
      <c r="F26" s="24" t="s">
        <v>28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261.60000000000002</v>
      </c>
      <c r="M26" s="117">
        <v>1783.117698977303</v>
      </c>
    </row>
    <row r="27" spans="1:18" x14ac:dyDescent="0.4">
      <c r="A27" s="19" t="s">
        <v>5</v>
      </c>
      <c r="B27" s="16">
        <f>IF(B$20=0,0,C27/B$20)</f>
        <v>9234.7593582887694</v>
      </c>
      <c r="C27" s="8">
        <v>1726900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4</v>
      </c>
      <c r="K27" s="74">
        <v>25</v>
      </c>
      <c r="L27" s="119">
        <v>261.60000000000002</v>
      </c>
      <c r="M27" s="117">
        <v>1782.4089927834391</v>
      </c>
    </row>
    <row r="28" spans="1:18" x14ac:dyDescent="0.4">
      <c r="A28" s="20" t="s">
        <v>165</v>
      </c>
      <c r="B28" s="95">
        <f>IF($B$20-B$19=0,0,C28/($B$20-B$19))</f>
        <v>9649.3243243243251</v>
      </c>
      <c r="C28" s="96">
        <v>1428100</v>
      </c>
      <c r="E28" s="27" t="s">
        <v>75</v>
      </c>
      <c r="F28" s="24" t="s">
        <v>30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212.8</v>
      </c>
      <c r="M28" s="117">
        <v>1772.9205388267385</v>
      </c>
    </row>
    <row r="29" spans="1:18" x14ac:dyDescent="0.4">
      <c r="A29" s="20" t="s">
        <v>166</v>
      </c>
      <c r="B29" s="95">
        <f>IF(B$19=0,0,C29/B$19)</f>
        <v>7661.5384615384619</v>
      </c>
      <c r="C29" s="96">
        <v>298800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189.70000000000002</v>
      </c>
      <c r="M29" s="117">
        <v>1767.701015593778</v>
      </c>
    </row>
    <row r="30" spans="1:18" x14ac:dyDescent="0.4">
      <c r="A30" s="20" t="s">
        <v>164</v>
      </c>
      <c r="B30" s="95">
        <f>IF(B$21=0,0,C30/B$21)</f>
        <v>-9129.8701298701308</v>
      </c>
      <c r="C30" s="96">
        <v>-703000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219.4</v>
      </c>
      <c r="M30" s="117">
        <v>1772.0228095002153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79</v>
      </c>
      <c r="F31" s="24" t="s">
        <v>34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252.3</v>
      </c>
      <c r="M31" s="117">
        <v>1776.888672643214</v>
      </c>
    </row>
    <row r="32" spans="1:18" x14ac:dyDescent="0.4">
      <c r="A32" s="19" t="s">
        <v>158</v>
      </c>
      <c r="B32" s="12">
        <v>25</v>
      </c>
      <c r="C32" s="90">
        <v>3</v>
      </c>
      <c r="E32" s="27" t="s">
        <v>80</v>
      </c>
      <c r="F32" s="24" t="s">
        <v>35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258.2</v>
      </c>
      <c r="M32" s="117">
        <v>1776.8713406073548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230.79999999999998</v>
      </c>
      <c r="M33" s="117">
        <v>1770.8541125637107</v>
      </c>
    </row>
    <row r="34" spans="1:13" x14ac:dyDescent="0.4">
      <c r="A34" s="22" t="s">
        <v>180</v>
      </c>
      <c r="B34" s="129">
        <v>101500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304.29999999999995</v>
      </c>
      <c r="M34" s="117">
        <v>1783.0409878883283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304.49999999999994</v>
      </c>
      <c r="M35" s="117">
        <v>1781.9547419609983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372.49999999999994</v>
      </c>
      <c r="M36" s="117">
        <v>1793.0850135092323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4.8128342245989303E-2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317.99999999999994</v>
      </c>
      <c r="M37" s="117">
        <v>1782.092503428177</v>
      </c>
    </row>
    <row r="38" spans="1:13" x14ac:dyDescent="0.4">
      <c r="A38" s="19" t="s">
        <v>167</v>
      </c>
      <c r="B38" s="12">
        <v>24</v>
      </c>
      <c r="C38" s="6">
        <f t="shared" si="2"/>
        <v>0.12834224598930483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358.59999999999997</v>
      </c>
      <c r="M38" s="117">
        <v>1788.283948407608</v>
      </c>
    </row>
    <row r="39" spans="1:13" x14ac:dyDescent="0.4">
      <c r="A39" s="19" t="s">
        <v>168</v>
      </c>
      <c r="B39" s="124">
        <v>39</v>
      </c>
      <c r="C39" s="6">
        <f t="shared" si="2"/>
        <v>0.20855614973262032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342.59999999999997</v>
      </c>
      <c r="M39" s="117">
        <v>1784.2502447171623</v>
      </c>
    </row>
    <row r="40" spans="1:13" x14ac:dyDescent="0.4">
      <c r="A40" s="19" t="s">
        <v>169</v>
      </c>
      <c r="B40" s="124">
        <v>42</v>
      </c>
      <c r="C40" s="6">
        <f t="shared" si="2"/>
        <v>0.22459893048128343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310.7</v>
      </c>
      <c r="M40" s="117">
        <v>1777.3787432488593</v>
      </c>
    </row>
    <row r="41" spans="1:13" x14ac:dyDescent="0.4">
      <c r="A41" s="19" t="s">
        <v>170</v>
      </c>
      <c r="B41" s="124">
        <v>30</v>
      </c>
      <c r="C41" s="6">
        <f t="shared" si="2"/>
        <v>0.16042780748663102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297.5</v>
      </c>
      <c r="M41" s="117">
        <v>1773.9144707893661</v>
      </c>
    </row>
    <row r="42" spans="1:13" x14ac:dyDescent="0.4">
      <c r="A42" s="19" t="s">
        <v>172</v>
      </c>
      <c r="B42" s="124">
        <v>18</v>
      </c>
      <c r="C42" s="6">
        <f t="shared" si="2"/>
        <v>9.6256684491978606E-2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349.3</v>
      </c>
      <c r="M42" s="117">
        <v>1782.1709839646298</v>
      </c>
    </row>
    <row r="43" spans="1:13" x14ac:dyDescent="0.4">
      <c r="A43" s="19" t="s">
        <v>173</v>
      </c>
      <c r="B43" s="124">
        <v>8</v>
      </c>
      <c r="C43" s="6">
        <f t="shared" si="2"/>
        <v>4.2780748663101602E-2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342.8</v>
      </c>
      <c r="M43" s="117">
        <v>1779.8839580608421</v>
      </c>
    </row>
    <row r="44" spans="1:13" x14ac:dyDescent="0.4">
      <c r="A44" s="19" t="s">
        <v>174</v>
      </c>
      <c r="B44" s="124">
        <v>4</v>
      </c>
      <c r="C44" s="6">
        <f t="shared" si="2"/>
        <v>2.1390374331550801E-2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341.5</v>
      </c>
      <c r="M44" s="117">
        <v>1778.6786543124772</v>
      </c>
    </row>
    <row r="45" spans="1:13" x14ac:dyDescent="0.4">
      <c r="A45" s="19" t="s">
        <v>175</v>
      </c>
      <c r="B45" s="124">
        <v>5</v>
      </c>
      <c r="C45" s="6">
        <f t="shared" si="2"/>
        <v>2.6737967914438502E-2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306.5</v>
      </c>
      <c r="M45" s="117">
        <v>1771.1805823866023</v>
      </c>
    </row>
    <row r="46" spans="1:13" x14ac:dyDescent="0.4">
      <c r="A46" s="19" t="s">
        <v>176</v>
      </c>
      <c r="B46" s="124">
        <v>1</v>
      </c>
      <c r="C46" s="6">
        <f t="shared" si="2"/>
        <v>5.3475935828877002E-3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352.7</v>
      </c>
      <c r="M46" s="117">
        <v>1778.3434988922827</v>
      </c>
    </row>
    <row r="47" spans="1:13" x14ac:dyDescent="0.4">
      <c r="A47" s="19" t="s">
        <v>177</v>
      </c>
      <c r="B47" s="124">
        <v>1</v>
      </c>
      <c r="C47" s="6">
        <f t="shared" si="2"/>
        <v>5.3475935828877002E-3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333.09999999999997</v>
      </c>
      <c r="M47" s="117">
        <v>1773.6194378989289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368.2</v>
      </c>
      <c r="M48" s="117">
        <v>1778.7697212715354</v>
      </c>
    </row>
    <row r="49" spans="1:13" x14ac:dyDescent="0.4">
      <c r="A49" s="21" t="s">
        <v>179</v>
      </c>
      <c r="B49" s="97">
        <v>6</v>
      </c>
      <c r="C49" s="9">
        <f t="shared" si="2"/>
        <v>3.2085561497326207E-2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289.2</v>
      </c>
      <c r="M49" s="117">
        <v>1763.3511029439062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333.5</v>
      </c>
      <c r="M50" s="117">
        <v>1770.2189963262429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302.10000000000002</v>
      </c>
      <c r="M51" s="117">
        <v>1763.4196823482855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358.5</v>
      </c>
      <c r="M52" s="117">
        <v>1772.4651642541958</v>
      </c>
    </row>
    <row r="53" spans="1:13" x14ac:dyDescent="0.4">
      <c r="K53" s="74">
        <v>51</v>
      </c>
      <c r="L53" s="119">
        <v>402.7</v>
      </c>
      <c r="M53" s="117">
        <v>1779.2603732686705</v>
      </c>
    </row>
    <row r="54" spans="1:13" x14ac:dyDescent="0.4">
      <c r="K54" s="74">
        <v>52</v>
      </c>
      <c r="L54" s="119">
        <v>411.8</v>
      </c>
      <c r="M54" s="117">
        <v>1779.8708110290584</v>
      </c>
    </row>
    <row r="55" spans="1:13" x14ac:dyDescent="0.4">
      <c r="K55" s="74">
        <v>53</v>
      </c>
      <c r="L55" s="119">
        <v>354.90000000000003</v>
      </c>
      <c r="M55" s="117">
        <v>1768.885586162884</v>
      </c>
    </row>
    <row r="56" spans="1:13" x14ac:dyDescent="0.4">
      <c r="K56" s="74">
        <v>54</v>
      </c>
      <c r="L56" s="119">
        <v>366.90000000000003</v>
      </c>
      <c r="M56" s="117">
        <v>1770.0802726459067</v>
      </c>
    </row>
    <row r="57" spans="1:13" x14ac:dyDescent="0.4">
      <c r="K57" s="74">
        <v>55</v>
      </c>
      <c r="L57" s="119">
        <v>305.60000000000002</v>
      </c>
      <c r="M57" s="117">
        <v>1758.0737910100313</v>
      </c>
    </row>
    <row r="58" spans="1:13" x14ac:dyDescent="0.4">
      <c r="K58" s="74">
        <v>56</v>
      </c>
      <c r="L58" s="119">
        <v>242.10000000000002</v>
      </c>
      <c r="M58" s="117">
        <v>1745.743348263971</v>
      </c>
    </row>
    <row r="59" spans="1:13" x14ac:dyDescent="0.4">
      <c r="K59" s="74">
        <v>57</v>
      </c>
      <c r="L59" s="119">
        <v>211.60000000000002</v>
      </c>
      <c r="M59" s="117">
        <v>1739.4268881743872</v>
      </c>
    </row>
    <row r="60" spans="1:13" x14ac:dyDescent="0.4">
      <c r="K60" s="74">
        <v>58</v>
      </c>
      <c r="L60" s="119">
        <v>267.3</v>
      </c>
      <c r="M60" s="117">
        <v>1748.6643268453408</v>
      </c>
    </row>
    <row r="61" spans="1:13" x14ac:dyDescent="0.4">
      <c r="K61" s="74">
        <v>59</v>
      </c>
      <c r="L61" s="119">
        <v>271.3</v>
      </c>
      <c r="M61" s="117">
        <v>1748.5403408842687</v>
      </c>
    </row>
    <row r="62" spans="1:13" x14ac:dyDescent="0.4">
      <c r="K62" s="74">
        <v>60</v>
      </c>
      <c r="L62" s="119">
        <v>308.10000000000002</v>
      </c>
      <c r="M62" s="117">
        <v>1754.3210988389631</v>
      </c>
    </row>
    <row r="63" spans="1:13" x14ac:dyDescent="0.4">
      <c r="K63" s="74">
        <v>61</v>
      </c>
      <c r="L63" s="119">
        <v>364.1</v>
      </c>
      <c r="M63" s="117">
        <v>1763.5231722459293</v>
      </c>
    </row>
    <row r="64" spans="1:13" x14ac:dyDescent="0.4">
      <c r="K64" s="74">
        <v>62</v>
      </c>
      <c r="L64" s="119">
        <v>363.20000000000005</v>
      </c>
      <c r="M64" s="117">
        <v>1762.4280332124538</v>
      </c>
    </row>
    <row r="65" spans="11:13" x14ac:dyDescent="0.4">
      <c r="K65" s="74">
        <v>63</v>
      </c>
      <c r="L65" s="119">
        <v>392.80000000000007</v>
      </c>
      <c r="M65" s="117">
        <v>1766.8294650131791</v>
      </c>
    </row>
    <row r="66" spans="11:13" x14ac:dyDescent="0.4">
      <c r="K66" s="74">
        <v>64</v>
      </c>
      <c r="L66" s="119">
        <v>385.50000000000006</v>
      </c>
      <c r="M66" s="117">
        <v>1764.5624882231</v>
      </c>
    </row>
    <row r="67" spans="11:13" x14ac:dyDescent="0.4">
      <c r="K67" s="74">
        <v>65</v>
      </c>
      <c r="L67" s="119">
        <v>428.40000000000003</v>
      </c>
      <c r="M67" s="117">
        <v>1771.3451132937614</v>
      </c>
    </row>
    <row r="68" spans="11:13" x14ac:dyDescent="0.4">
      <c r="K68" s="74">
        <v>66</v>
      </c>
      <c r="L68" s="119">
        <v>514</v>
      </c>
      <c r="M68" s="117">
        <v>1785.7730426139988</v>
      </c>
    </row>
    <row r="69" spans="11:13" x14ac:dyDescent="0.4">
      <c r="K69" s="74">
        <v>67</v>
      </c>
      <c r="L69" s="119">
        <v>490.6</v>
      </c>
      <c r="M69" s="117">
        <v>1780.4944043583148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E12E7-C4DD-4441-A26B-036174B4E329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1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7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7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7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7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7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7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7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6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3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7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7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3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7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3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7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7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44287-C7FF-428D-B26F-9BA9DBB9C7A1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38</v>
      </c>
      <c r="C2" s="134"/>
      <c r="E2" s="26" t="s">
        <v>66</v>
      </c>
      <c r="F2" s="23" t="s">
        <v>22</v>
      </c>
      <c r="G2" s="11">
        <v>71</v>
      </c>
      <c r="H2" s="87">
        <f>IF(B$20=0,0,G2/B$20)</f>
        <v>0.88749999999999996</v>
      </c>
      <c r="I2" s="57">
        <v>1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-2237.8378378378379</v>
      </c>
      <c r="Q2" s="76">
        <v>37</v>
      </c>
      <c r="R2" s="63">
        <v>-82800</v>
      </c>
    </row>
    <row r="3" spans="1:18" x14ac:dyDescent="0.4">
      <c r="A3" s="19" t="s">
        <v>8</v>
      </c>
      <c r="B3" s="135">
        <v>315</v>
      </c>
      <c r="C3" s="136"/>
      <c r="E3" s="27" t="s">
        <v>72</v>
      </c>
      <c r="F3" s="24" t="s">
        <v>27</v>
      </c>
      <c r="G3" s="12">
        <v>41</v>
      </c>
      <c r="H3" s="88">
        <f>IF(B$20=0,0,G3/B$20)</f>
        <v>0.51249999999999996</v>
      </c>
      <c r="I3" s="58">
        <v>3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-1121.6216216216217</v>
      </c>
      <c r="Q3" s="77">
        <v>37</v>
      </c>
      <c r="R3" s="64">
        <v>-41500</v>
      </c>
    </row>
    <row r="4" spans="1:18" x14ac:dyDescent="0.4">
      <c r="A4" s="19" t="s">
        <v>6</v>
      </c>
      <c r="B4" s="137">
        <v>-346.20000000000005</v>
      </c>
      <c r="C4" s="138"/>
      <c r="E4" s="27" t="s">
        <v>64</v>
      </c>
      <c r="F4" s="24" t="s">
        <v>20</v>
      </c>
      <c r="G4" s="12">
        <v>38</v>
      </c>
      <c r="H4" s="88">
        <f>IF(B$20=0,0,G4/B$20)</f>
        <v>0.47499999999999998</v>
      </c>
      <c r="I4" s="58">
        <v>6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-1371.4285714285713</v>
      </c>
      <c r="Q4" s="77">
        <v>35</v>
      </c>
      <c r="R4" s="64">
        <v>-48000</v>
      </c>
    </row>
    <row r="5" spans="1:18" x14ac:dyDescent="0.4">
      <c r="A5" s="19" t="s">
        <v>7</v>
      </c>
      <c r="B5" s="125">
        <f>IF(B$2=0,0,B$4/B$2)</f>
        <v>-9.1105263157894747</v>
      </c>
      <c r="C5" s="126"/>
      <c r="E5" s="27" t="s">
        <v>159</v>
      </c>
      <c r="F5" s="24" t="s">
        <v>160</v>
      </c>
      <c r="G5" s="12">
        <v>34</v>
      </c>
      <c r="H5" s="88">
        <f>IF(B$20=0,0,G5/B$20)</f>
        <v>0.42499999999999999</v>
      </c>
      <c r="I5" s="58">
        <v>2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-1984.8484848484848</v>
      </c>
      <c r="Q5" s="77">
        <v>33</v>
      </c>
      <c r="R5" s="64">
        <v>-65500</v>
      </c>
    </row>
    <row r="6" spans="1:18" x14ac:dyDescent="0.4">
      <c r="A6" s="19" t="s">
        <v>195</v>
      </c>
      <c r="B6" s="129">
        <v>1549.0403478399389</v>
      </c>
      <c r="C6" s="130"/>
      <c r="E6" s="27" t="s">
        <v>68</v>
      </c>
      <c r="F6" s="24" t="s">
        <v>12</v>
      </c>
      <c r="G6" s="12">
        <v>27</v>
      </c>
      <c r="H6" s="88">
        <f>IF(B$20=0,0,G6/B$20)</f>
        <v>0.33750000000000002</v>
      </c>
      <c r="I6" s="58">
        <v>6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1823.3333333333333</v>
      </c>
      <c r="Q6" s="77">
        <v>30</v>
      </c>
      <c r="R6" s="64">
        <v>54700</v>
      </c>
    </row>
    <row r="7" spans="1:18" x14ac:dyDescent="0.4">
      <c r="A7" s="19" t="s">
        <v>1</v>
      </c>
      <c r="B7" s="139">
        <f>IF(B$2=0,0,(B$8*1+B$9*2+B$10*3)/B$2)</f>
        <v>2.1578947368421053</v>
      </c>
      <c r="C7" s="140"/>
      <c r="E7" s="27" t="s">
        <v>67</v>
      </c>
      <c r="F7" s="24" t="s">
        <v>23</v>
      </c>
      <c r="G7" s="12">
        <v>20</v>
      </c>
      <c r="H7" s="88">
        <f>IF(B$20=0,0,G7/B$20)</f>
        <v>0.25</v>
      </c>
      <c r="I7" s="58">
        <v>3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-1461.5384615384614</v>
      </c>
      <c r="Q7" s="78">
        <v>26</v>
      </c>
      <c r="R7" s="65">
        <v>-38000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0.23684210526315788</v>
      </c>
      <c r="E8" s="27" t="s">
        <v>89</v>
      </c>
      <c r="F8" s="24" t="s">
        <v>44</v>
      </c>
      <c r="G8" s="12">
        <v>14</v>
      </c>
      <c r="H8" s="88">
        <f>IF(B$20=0,0,G8/B$20)</f>
        <v>0.17499999999999999</v>
      </c>
      <c r="I8" s="58">
        <v>2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1"/>
        <v>0.36842105263157893</v>
      </c>
      <c r="E9" s="27" t="s">
        <v>69</v>
      </c>
      <c r="F9" s="24" t="s">
        <v>24</v>
      </c>
      <c r="G9" s="12">
        <v>10</v>
      </c>
      <c r="H9" s="88">
        <f>IF(B$20=0,0,G9/B$20)</f>
        <v>0.125</v>
      </c>
      <c r="I9" s="58">
        <v>6</v>
      </c>
      <c r="K9" s="74">
        <v>7</v>
      </c>
      <c r="L9" s="119">
        <v>36.5</v>
      </c>
      <c r="M9" s="117">
        <v>1614.9687685524234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0.39473684210526316</v>
      </c>
      <c r="E10" s="27" t="s">
        <v>70</v>
      </c>
      <c r="F10" s="24" t="s">
        <v>25</v>
      </c>
      <c r="G10" s="12">
        <v>10</v>
      </c>
      <c r="H10" s="88">
        <f>IF(B$20=0,0,G10/B$20)</f>
        <v>0.125</v>
      </c>
      <c r="I10" s="58">
        <v>2</v>
      </c>
      <c r="K10" s="74">
        <v>8</v>
      </c>
      <c r="L10" s="119">
        <v>35.9</v>
      </c>
      <c r="M10" s="117">
        <v>1614.6689559411088</v>
      </c>
      <c r="O10" s="73" t="s">
        <v>151</v>
      </c>
      <c r="P10" s="82">
        <f>IF(Q10=0,0,R10/Q10)</f>
        <v>-13.744444444444444</v>
      </c>
      <c r="Q10" s="76">
        <v>9</v>
      </c>
      <c r="R10" s="67">
        <v>-123.69999999999999</v>
      </c>
    </row>
    <row r="11" spans="1:18" x14ac:dyDescent="0.4">
      <c r="A11" s="20" t="s">
        <v>184</v>
      </c>
      <c r="B11" s="109">
        <f>IF(B8=0,0,C11/B8)</f>
        <v>40.577777777777776</v>
      </c>
      <c r="C11" s="110">
        <v>365.2</v>
      </c>
      <c r="E11" s="27" t="s">
        <v>65</v>
      </c>
      <c r="F11" s="24" t="s">
        <v>21</v>
      </c>
      <c r="G11" s="12">
        <v>9</v>
      </c>
      <c r="H11" s="88">
        <f>IF(B$20=0,0,G11/B$20)</f>
        <v>0.1125</v>
      </c>
      <c r="I11" s="58">
        <v>6</v>
      </c>
      <c r="K11" s="74">
        <v>9</v>
      </c>
      <c r="L11" s="119">
        <v>-3.3000000000000043</v>
      </c>
      <c r="M11" s="117">
        <v>1607.4229422054623</v>
      </c>
      <c r="O11" s="74" t="s">
        <v>152</v>
      </c>
      <c r="P11" s="83">
        <f>IF(Q11=0,0,R11/Q11)</f>
        <v>-8.0153846153846136</v>
      </c>
      <c r="Q11" s="77">
        <v>13</v>
      </c>
      <c r="R11" s="68">
        <v>-104.19999999999997</v>
      </c>
    </row>
    <row r="12" spans="1:18" x14ac:dyDescent="0.4">
      <c r="A12" s="20" t="s">
        <v>185</v>
      </c>
      <c r="B12" s="109">
        <f>IF(B9=0,0,C12/B9)</f>
        <v>-7.7857142857142856</v>
      </c>
      <c r="C12" s="110">
        <v>-109</v>
      </c>
      <c r="E12" s="27" t="s">
        <v>71</v>
      </c>
      <c r="F12" s="24" t="s">
        <v>26</v>
      </c>
      <c r="G12" s="12">
        <v>5</v>
      </c>
      <c r="H12" s="88">
        <f>IF(B$20=0,0,G12/B$20)</f>
        <v>6.25E-2</v>
      </c>
      <c r="I12" s="58">
        <v>5</v>
      </c>
      <c r="K12" s="74">
        <v>10</v>
      </c>
      <c r="L12" s="119">
        <v>-0.90000000000000435</v>
      </c>
      <c r="M12" s="117">
        <v>1607.7084045522295</v>
      </c>
      <c r="O12" s="75" t="s">
        <v>153</v>
      </c>
      <c r="P12" s="84">
        <f>IF(Q12=0,0,R12/Q12)</f>
        <v>-7.3937500000000016</v>
      </c>
      <c r="Q12" s="78">
        <v>16</v>
      </c>
      <c r="R12" s="69">
        <v>-118.30000000000003</v>
      </c>
    </row>
    <row r="13" spans="1:18" x14ac:dyDescent="0.4">
      <c r="A13" s="20" t="s">
        <v>186</v>
      </c>
      <c r="B13" s="109">
        <f>IF(B10=0,0,C13/B10)</f>
        <v>-40.160000000000004</v>
      </c>
      <c r="C13" s="110">
        <v>-602.40000000000009</v>
      </c>
      <c r="E13" s="27" t="s">
        <v>78</v>
      </c>
      <c r="F13" s="24" t="s">
        <v>33</v>
      </c>
      <c r="G13" s="12">
        <v>4</v>
      </c>
      <c r="H13" s="88">
        <f>IF(B$20=0,0,G13/B$20)</f>
        <v>0.05</v>
      </c>
      <c r="I13" s="58">
        <v>1</v>
      </c>
      <c r="K13" s="74">
        <v>11</v>
      </c>
      <c r="L13" s="119">
        <v>-3.4000000000000044</v>
      </c>
      <c r="M13" s="117">
        <v>1607.1101541249161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-2.4559788359788377</v>
      </c>
      <c r="C14" s="126"/>
      <c r="E14" s="27" t="s">
        <v>81</v>
      </c>
      <c r="F14" s="24" t="s">
        <v>36</v>
      </c>
      <c r="G14" s="12">
        <v>4</v>
      </c>
      <c r="H14" s="88">
        <f>IF(B$20=0,0,G14/B$20)</f>
        <v>0.05</v>
      </c>
      <c r="I14" s="58">
        <v>1</v>
      </c>
      <c r="K14" s="74">
        <v>12</v>
      </c>
      <c r="L14" s="119">
        <v>-12.700000000000005</v>
      </c>
      <c r="M14" s="117">
        <v>1605.2914932001665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5</v>
      </c>
      <c r="C15" s="9">
        <f t="shared" si="1"/>
        <v>0.13157894736842105</v>
      </c>
      <c r="E15" s="27" t="s">
        <v>83</v>
      </c>
      <c r="F15" s="24" t="s">
        <v>38</v>
      </c>
      <c r="G15" s="12">
        <v>3</v>
      </c>
      <c r="H15" s="88">
        <f>IF(B$20=0,0,G15/B$20)</f>
        <v>3.7499999999999999E-2</v>
      </c>
      <c r="I15" s="58">
        <v>3</v>
      </c>
      <c r="K15" s="74">
        <v>13</v>
      </c>
      <c r="L15" s="119">
        <v>-58.7</v>
      </c>
      <c r="M15" s="117">
        <v>1596.8777442409655</v>
      </c>
      <c r="O15" s="73" t="s">
        <v>194</v>
      </c>
      <c r="P15" s="82">
        <f>IF(Q15=0,0,R15/Q15)</f>
        <v>9.25</v>
      </c>
      <c r="Q15" s="76">
        <v>10</v>
      </c>
      <c r="R15" s="67">
        <v>92.5</v>
      </c>
    </row>
    <row r="16" spans="1:18" x14ac:dyDescent="0.4">
      <c r="A16" s="22" t="s">
        <v>121</v>
      </c>
      <c r="B16" s="15">
        <v>72</v>
      </c>
      <c r="C16" s="10">
        <f>IF(B$3=0,0,B16/B$3)</f>
        <v>0.22857142857142856</v>
      </c>
      <c r="E16" s="27" t="s">
        <v>86</v>
      </c>
      <c r="F16" s="24" t="s">
        <v>41</v>
      </c>
      <c r="G16" s="12">
        <v>2</v>
      </c>
      <c r="H16" s="88">
        <f>IF(B$20=0,0,G16/B$20)</f>
        <v>2.5000000000000001E-2</v>
      </c>
      <c r="I16" s="58">
        <v>6</v>
      </c>
      <c r="K16" s="74">
        <v>14</v>
      </c>
      <c r="L16" s="119">
        <v>-32.700000000000003</v>
      </c>
      <c r="M16" s="117">
        <v>1601.4744777755197</v>
      </c>
      <c r="O16" s="74" t="s">
        <v>126</v>
      </c>
      <c r="P16" s="83">
        <f>IF(Q16=0,0,R16/Q16)</f>
        <v>-14.023529411764711</v>
      </c>
      <c r="Q16" s="77">
        <v>34</v>
      </c>
      <c r="R16" s="68">
        <v>-476.80000000000018</v>
      </c>
    </row>
    <row r="17" spans="1:18" x14ac:dyDescent="0.4">
      <c r="A17" s="19" t="s">
        <v>118</v>
      </c>
      <c r="B17" s="12">
        <v>64</v>
      </c>
      <c r="C17" s="6">
        <f>IF(B$3=0,0,B17/B$3)</f>
        <v>0.20317460317460317</v>
      </c>
      <c r="E17" s="27" t="s">
        <v>73</v>
      </c>
      <c r="F17" s="24" t="s">
        <v>28</v>
      </c>
      <c r="G17" s="12">
        <v>1</v>
      </c>
      <c r="H17" s="88">
        <f>IF(B$20=0,0,G17/B$20)</f>
        <v>1.2500000000000001E-2</v>
      </c>
      <c r="I17" s="58">
        <v>1</v>
      </c>
      <c r="K17" s="74">
        <v>15</v>
      </c>
      <c r="L17" s="119">
        <v>10.699999999999996</v>
      </c>
      <c r="M17" s="117">
        <v>1609.1756309088667</v>
      </c>
      <c r="O17" s="74" t="s">
        <v>163</v>
      </c>
      <c r="P17" s="83">
        <f>IF(Q17=0,0,R17/Q17)</f>
        <v>-18.855555555555561</v>
      </c>
      <c r="Q17" s="77">
        <v>18</v>
      </c>
      <c r="R17" s="68">
        <v>-339.40000000000009</v>
      </c>
    </row>
    <row r="18" spans="1:18" x14ac:dyDescent="0.4">
      <c r="A18" s="18" t="s">
        <v>123</v>
      </c>
      <c r="B18" s="11">
        <f>B24</f>
        <v>38</v>
      </c>
      <c r="C18" s="5">
        <f>IF(B$16=0,0,B18/B$16)</f>
        <v>0.52777777777777779</v>
      </c>
      <c r="E18" s="27" t="s">
        <v>74</v>
      </c>
      <c r="F18" s="24" t="s">
        <v>29</v>
      </c>
      <c r="G18" s="12">
        <v>1</v>
      </c>
      <c r="H18" s="88">
        <f>IF(B$20=0,0,G18/B$20)</f>
        <v>1.2500000000000001E-2</v>
      </c>
      <c r="I18" s="58">
        <v>2</v>
      </c>
      <c r="K18" s="74">
        <v>16</v>
      </c>
      <c r="L18" s="119">
        <v>-22.000000000000007</v>
      </c>
      <c r="M18" s="117">
        <v>1603.1325771234135</v>
      </c>
      <c r="O18" s="74" t="s">
        <v>198</v>
      </c>
      <c r="P18" s="83">
        <f>IF(Q18=0,0,R18/Q18)</f>
        <v>-22.492857142857144</v>
      </c>
      <c r="Q18" s="77">
        <v>14</v>
      </c>
      <c r="R18" s="68">
        <v>-314.90000000000003</v>
      </c>
    </row>
    <row r="19" spans="1:18" x14ac:dyDescent="0.4">
      <c r="A19" s="18" t="s">
        <v>124</v>
      </c>
      <c r="B19" s="11">
        <f>B25</f>
        <v>24</v>
      </c>
      <c r="C19" s="5">
        <f>IF(B$17=0,0,B19/B$17)</f>
        <v>0.375</v>
      </c>
      <c r="E19" s="27" t="s">
        <v>79</v>
      </c>
      <c r="F19" s="24" t="s">
        <v>34</v>
      </c>
      <c r="G19" s="12">
        <v>1</v>
      </c>
      <c r="H19" s="88">
        <f>IF(B$20=0,0,G19/B$20)</f>
        <v>1.2500000000000001E-2</v>
      </c>
      <c r="I19" s="58">
        <v>1</v>
      </c>
      <c r="K19" s="74">
        <v>17</v>
      </c>
      <c r="L19" s="119">
        <v>-44.800000000000011</v>
      </c>
      <c r="M19" s="117">
        <v>1599.3997816606729</v>
      </c>
    </row>
    <row r="20" spans="1:18" x14ac:dyDescent="0.4">
      <c r="A20" s="18" t="s">
        <v>10</v>
      </c>
      <c r="B20" s="11">
        <f>B23+B22</f>
        <v>80</v>
      </c>
      <c r="C20" s="5">
        <f>IF(B$3=0,0,B20/B$3)</f>
        <v>0.25396825396825395</v>
      </c>
      <c r="E20" s="27" t="s">
        <v>155</v>
      </c>
      <c r="F20" s="24" t="s">
        <v>156</v>
      </c>
      <c r="G20" s="12">
        <v>1</v>
      </c>
      <c r="H20" s="88">
        <f>IF(B$20=0,0,G20/B$20)</f>
        <v>1.2500000000000001E-2</v>
      </c>
      <c r="I20" s="58">
        <v>5</v>
      </c>
      <c r="K20" s="74">
        <v>18</v>
      </c>
      <c r="L20" s="119">
        <v>-41.600000000000009</v>
      </c>
      <c r="M20" s="117">
        <v>1600.369382970709</v>
      </c>
    </row>
    <row r="21" spans="1:18" x14ac:dyDescent="0.4">
      <c r="A21" s="19" t="s">
        <v>13</v>
      </c>
      <c r="B21" s="12">
        <v>52</v>
      </c>
      <c r="C21" s="6">
        <f>IF(B$3=0,0,B21/B$3)</f>
        <v>0.16507936507936508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-91.200000000000017</v>
      </c>
      <c r="M21" s="117">
        <v>1591.8291666728849</v>
      </c>
    </row>
    <row r="22" spans="1:18" x14ac:dyDescent="0.4">
      <c r="A22" s="19" t="s">
        <v>12</v>
      </c>
      <c r="B22" s="12">
        <v>36</v>
      </c>
      <c r="C22" s="6">
        <f>IF(B$20=0,0,B22/B$20)</f>
        <v>0.45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-149.30000000000001</v>
      </c>
      <c r="M22" s="117">
        <v>1581.8101916728476</v>
      </c>
    </row>
    <row r="23" spans="1:18" x14ac:dyDescent="0.4">
      <c r="A23" s="19" t="s">
        <v>11</v>
      </c>
      <c r="B23" s="12">
        <v>44</v>
      </c>
      <c r="C23" s="6">
        <f>IF(B$20=0,0,B23/B$20)</f>
        <v>0.55000000000000004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-180.3</v>
      </c>
      <c r="M23" s="117">
        <v>1576.7293305228106</v>
      </c>
    </row>
    <row r="24" spans="1:18" x14ac:dyDescent="0.4">
      <c r="A24" s="19" t="s">
        <v>183</v>
      </c>
      <c r="B24" s="12">
        <v>38</v>
      </c>
      <c r="C24" s="6">
        <f>IF(B$20=0,0,B24/B$20)</f>
        <v>0.47499999999999998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-180.3</v>
      </c>
      <c r="M24" s="117">
        <v>1577.2589545396738</v>
      </c>
    </row>
    <row r="25" spans="1:18" x14ac:dyDescent="0.4">
      <c r="A25" s="19" t="s">
        <v>181</v>
      </c>
      <c r="B25" s="12">
        <v>24</v>
      </c>
      <c r="C25" s="6">
        <f>IF(B$20=0,0,B25/B$20)</f>
        <v>0.3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-202.5</v>
      </c>
      <c r="M25" s="117">
        <v>1573.7894008124358</v>
      </c>
    </row>
    <row r="26" spans="1:18" x14ac:dyDescent="0.4">
      <c r="A26" s="19" t="s">
        <v>182</v>
      </c>
      <c r="B26" s="12">
        <v>18</v>
      </c>
      <c r="C26" s="6">
        <f>IF(B$20=0,0,B26/B$20)</f>
        <v>0.22500000000000001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-239.5</v>
      </c>
      <c r="M26" s="117">
        <v>1567.3946644075611</v>
      </c>
    </row>
    <row r="27" spans="1:18" x14ac:dyDescent="0.4">
      <c r="A27" s="19" t="s">
        <v>5</v>
      </c>
      <c r="B27" s="16">
        <f>IF(B$20=0,0,C27/B$20)</f>
        <v>8563.75</v>
      </c>
      <c r="C27" s="8">
        <v>685100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-242.5</v>
      </c>
      <c r="M27" s="117">
        <v>1566.9242964211157</v>
      </c>
    </row>
    <row r="28" spans="1:18" x14ac:dyDescent="0.4">
      <c r="A28" s="20" t="s">
        <v>165</v>
      </c>
      <c r="B28" s="95">
        <f>IF($B$20-B$19=0,0,C28/($B$20-B$19))</f>
        <v>9283.9285714285706</v>
      </c>
      <c r="C28" s="96">
        <v>519900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-278.5</v>
      </c>
      <c r="M28" s="117">
        <v>1560.5167506425892</v>
      </c>
    </row>
    <row r="29" spans="1:18" x14ac:dyDescent="0.4">
      <c r="A29" s="20" t="s">
        <v>166</v>
      </c>
      <c r="B29" s="95">
        <f>IF(B$19=0,0,C29/B$19)</f>
        <v>6883.333333333333</v>
      </c>
      <c r="C29" s="96">
        <v>165200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-202</v>
      </c>
      <c r="M29" s="117">
        <v>1574.3976501387335</v>
      </c>
    </row>
    <row r="30" spans="1:18" x14ac:dyDescent="0.4">
      <c r="A30" s="20" t="s">
        <v>164</v>
      </c>
      <c r="B30" s="95">
        <f>IF(B$21=0,0,C30/B$21)</f>
        <v>-8030.7692307692305</v>
      </c>
      <c r="C30" s="96">
        <v>-417600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4</v>
      </c>
      <c r="K30" s="74">
        <v>28</v>
      </c>
      <c r="L30" s="119">
        <v>-208.1</v>
      </c>
      <c r="M30" s="117">
        <v>1573.3272642379011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6</v>
      </c>
      <c r="K31" s="74">
        <v>29</v>
      </c>
      <c r="L31" s="119">
        <v>-256.8</v>
      </c>
      <c r="M31" s="117">
        <v>1564.5953006524737</v>
      </c>
    </row>
    <row r="32" spans="1:18" x14ac:dyDescent="0.4">
      <c r="A32" s="19" t="s">
        <v>158</v>
      </c>
      <c r="B32" s="12">
        <v>27</v>
      </c>
      <c r="C32" s="90">
        <v>2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-312.90000000000003</v>
      </c>
      <c r="M32" s="117">
        <v>1554.5837288485588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-284.60000000000002</v>
      </c>
      <c r="M33" s="117">
        <v>1559.8242264754674</v>
      </c>
    </row>
    <row r="34" spans="1:13" x14ac:dyDescent="0.4">
      <c r="A34" s="22" t="s">
        <v>180</v>
      </c>
      <c r="B34" s="129">
        <v>96200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-296.60000000000002</v>
      </c>
      <c r="M34" s="117">
        <v>1557.7792811166146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-331.20000000000005</v>
      </c>
      <c r="M35" s="117">
        <v>1551.6786054299148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-250.00000000000006</v>
      </c>
      <c r="M36" s="117">
        <v>1566.1765337973352</v>
      </c>
    </row>
    <row r="37" spans="1:13" x14ac:dyDescent="0.4">
      <c r="A37" s="54" t="s">
        <v>171</v>
      </c>
      <c r="B37" s="123">
        <v>6</v>
      </c>
      <c r="C37" s="98">
        <f t="shared" ref="C37:C49" si="2">IF(B$20=0,0,B37/B$20)</f>
        <v>7.4999999999999997E-2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-295.20000000000005</v>
      </c>
      <c r="M37" s="117">
        <v>1557.8294745945511</v>
      </c>
    </row>
    <row r="38" spans="1:13" x14ac:dyDescent="0.4">
      <c r="A38" s="19" t="s">
        <v>167</v>
      </c>
      <c r="B38" s="12">
        <v>14</v>
      </c>
      <c r="C38" s="6">
        <f t="shared" si="2"/>
        <v>0.17499999999999999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-345.20000000000005</v>
      </c>
      <c r="M38" s="117">
        <v>1548.6684977469838</v>
      </c>
    </row>
    <row r="39" spans="1:13" x14ac:dyDescent="0.4">
      <c r="A39" s="19" t="s">
        <v>168</v>
      </c>
      <c r="B39" s="124">
        <v>18</v>
      </c>
      <c r="C39" s="6">
        <f t="shared" si="2"/>
        <v>0.22500000000000001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-339.40000000000003</v>
      </c>
      <c r="M39" s="117">
        <v>1550.3564867605019</v>
      </c>
    </row>
    <row r="40" spans="1:13" x14ac:dyDescent="0.4">
      <c r="A40" s="19" t="s">
        <v>169</v>
      </c>
      <c r="B40" s="124">
        <v>14</v>
      </c>
      <c r="C40" s="6">
        <f t="shared" si="2"/>
        <v>0.17499999999999999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-346.20000000000005</v>
      </c>
      <c r="M40" s="117">
        <v>1549.0403478399389</v>
      </c>
    </row>
    <row r="41" spans="1:13" x14ac:dyDescent="0.4">
      <c r="A41" s="19" t="s">
        <v>170</v>
      </c>
      <c r="B41" s="124">
        <v>10</v>
      </c>
      <c r="C41" s="6">
        <f t="shared" si="2"/>
        <v>0.125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172</v>
      </c>
      <c r="B42" s="124">
        <v>6</v>
      </c>
      <c r="C42" s="6">
        <f t="shared" si="2"/>
        <v>7.4999999999999997E-2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5</v>
      </c>
      <c r="C43" s="6">
        <f t="shared" si="2"/>
        <v>6.25E-2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3</v>
      </c>
      <c r="C44" s="6">
        <f t="shared" si="2"/>
        <v>3.7499999999999999E-2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3</v>
      </c>
      <c r="C45" s="6">
        <f t="shared" si="2"/>
        <v>3.7499999999999999E-2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1.2500000000000001E-2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215B3-C080-402A-BA5B-7C281DB0369B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194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25</v>
      </c>
      <c r="C2" s="134"/>
      <c r="E2" s="26" t="s">
        <v>64</v>
      </c>
      <c r="F2" s="23" t="s">
        <v>20</v>
      </c>
      <c r="G2" s="11">
        <v>38</v>
      </c>
      <c r="H2" s="87">
        <f>IF(B$20=0,0,G2/B$20)</f>
        <v>0.70370370370370372</v>
      </c>
      <c r="I2" s="57">
        <v>1</v>
      </c>
      <c r="K2" s="73">
        <v>0</v>
      </c>
      <c r="L2" s="118">
        <v>0</v>
      </c>
      <c r="M2" s="116">
        <v>1377.1480089618358</v>
      </c>
      <c r="O2" s="73" t="s">
        <v>128</v>
      </c>
      <c r="P2" s="79">
        <f t="shared" ref="P2:P7" si="0">IF(Q2=0,0,R2/Q2)</f>
        <v>-6360</v>
      </c>
      <c r="Q2" s="76">
        <v>25</v>
      </c>
      <c r="R2" s="63">
        <v>-159000</v>
      </c>
    </row>
    <row r="3" spans="1:18" x14ac:dyDescent="0.4">
      <c r="A3" s="19" t="s">
        <v>8</v>
      </c>
      <c r="B3" s="135">
        <v>205</v>
      </c>
      <c r="C3" s="136"/>
      <c r="E3" s="27" t="s">
        <v>66</v>
      </c>
      <c r="F3" s="24" t="s">
        <v>22</v>
      </c>
      <c r="G3" s="12">
        <v>37</v>
      </c>
      <c r="H3" s="88">
        <f>IF(B$20=0,0,G3/B$20)</f>
        <v>0.68518518518518523</v>
      </c>
      <c r="I3" s="58">
        <v>6</v>
      </c>
      <c r="K3" s="74">
        <v>1</v>
      </c>
      <c r="L3" s="119">
        <v>-24.3</v>
      </c>
      <c r="M3" s="117">
        <v>1374.2551209080648</v>
      </c>
      <c r="O3" s="74" t="s">
        <v>129</v>
      </c>
      <c r="P3" s="80">
        <f t="shared" si="0"/>
        <v>-2565.217391304348</v>
      </c>
      <c r="Q3" s="77">
        <v>23</v>
      </c>
      <c r="R3" s="64">
        <v>-59000</v>
      </c>
    </row>
    <row r="4" spans="1:18" x14ac:dyDescent="0.4">
      <c r="A4" s="19" t="s">
        <v>6</v>
      </c>
      <c r="B4" s="137">
        <v>-212.20000000000007</v>
      </c>
      <c r="C4" s="138"/>
      <c r="E4" s="27" t="s">
        <v>68</v>
      </c>
      <c r="F4" s="24" t="s">
        <v>12</v>
      </c>
      <c r="G4" s="12">
        <v>26</v>
      </c>
      <c r="H4" s="88">
        <f>IF(B$20=0,0,G4/B$20)</f>
        <v>0.48148148148148145</v>
      </c>
      <c r="I4" s="58">
        <v>1</v>
      </c>
      <c r="K4" s="74">
        <v>2</v>
      </c>
      <c r="L4" s="119">
        <v>-4.3000000000000007</v>
      </c>
      <c r="M4" s="117">
        <v>1379.1075901826164</v>
      </c>
      <c r="O4" s="74" t="s">
        <v>130</v>
      </c>
      <c r="P4" s="80">
        <f t="shared" si="0"/>
        <v>1921.7391304347825</v>
      </c>
      <c r="Q4" s="77">
        <v>23</v>
      </c>
      <c r="R4" s="64">
        <v>44200</v>
      </c>
    </row>
    <row r="5" spans="1:18" x14ac:dyDescent="0.4">
      <c r="A5" s="19" t="s">
        <v>7</v>
      </c>
      <c r="B5" s="125">
        <f>IF(B$2=0,0,B$4/B$2)</f>
        <v>-8.4880000000000031</v>
      </c>
      <c r="C5" s="126"/>
      <c r="E5" s="27" t="s">
        <v>72</v>
      </c>
      <c r="F5" s="24" t="s">
        <v>27</v>
      </c>
      <c r="G5" s="12">
        <v>24</v>
      </c>
      <c r="H5" s="88">
        <f>IF(B$20=0,0,G5/B$20)</f>
        <v>0.44444444444444442</v>
      </c>
      <c r="I5" s="58">
        <v>4</v>
      </c>
      <c r="K5" s="74">
        <v>3</v>
      </c>
      <c r="L5" s="119">
        <v>-22.900000000000002</v>
      </c>
      <c r="M5" s="117">
        <v>1376.9829446415206</v>
      </c>
      <c r="O5" s="74" t="s">
        <v>131</v>
      </c>
      <c r="P5" s="80">
        <f t="shared" si="0"/>
        <v>1413.6363636363637</v>
      </c>
      <c r="Q5" s="77">
        <v>22</v>
      </c>
      <c r="R5" s="64">
        <v>31100</v>
      </c>
    </row>
    <row r="6" spans="1:18" x14ac:dyDescent="0.4">
      <c r="A6" s="19" t="s">
        <v>195</v>
      </c>
      <c r="B6" s="129">
        <v>1372.5824902185618</v>
      </c>
      <c r="C6" s="130"/>
      <c r="E6" s="27" t="s">
        <v>159</v>
      </c>
      <c r="F6" s="24" t="s">
        <v>160</v>
      </c>
      <c r="G6" s="12">
        <v>18</v>
      </c>
      <c r="H6" s="88">
        <f>IF(B$20=0,0,G6/B$20)</f>
        <v>0.33333333333333331</v>
      </c>
      <c r="I6" s="58">
        <v>7</v>
      </c>
      <c r="K6" s="74">
        <v>4</v>
      </c>
      <c r="L6" s="119">
        <v>-45.5</v>
      </c>
      <c r="M6" s="117">
        <v>1374.1510469736716</v>
      </c>
      <c r="O6" s="74" t="s">
        <v>132</v>
      </c>
      <c r="P6" s="80">
        <f t="shared" si="0"/>
        <v>-1509.5238095238096</v>
      </c>
      <c r="Q6" s="77">
        <v>21</v>
      </c>
      <c r="R6" s="64">
        <v>-31700</v>
      </c>
    </row>
    <row r="7" spans="1:18" x14ac:dyDescent="0.4">
      <c r="A7" s="19" t="s">
        <v>1</v>
      </c>
      <c r="B7" s="139">
        <f>IF(B$2=0,0,(B$8*1+B$9*2+B$10*3)/B$2)</f>
        <v>2.2000000000000002</v>
      </c>
      <c r="C7" s="140"/>
      <c r="E7" s="27" t="s">
        <v>69</v>
      </c>
      <c r="F7" s="24" t="s">
        <v>24</v>
      </c>
      <c r="G7" s="12">
        <v>14</v>
      </c>
      <c r="H7" s="88">
        <f>IF(B$20=0,0,G7/B$20)</f>
        <v>0.25925925925925924</v>
      </c>
      <c r="I7" s="58">
        <v>1</v>
      </c>
      <c r="K7" s="74">
        <v>5</v>
      </c>
      <c r="L7" s="119">
        <v>-86.3</v>
      </c>
      <c r="M7" s="117">
        <v>1368.0601406918295</v>
      </c>
      <c r="O7" s="75" t="s">
        <v>133</v>
      </c>
      <c r="P7" s="81">
        <f t="shared" si="0"/>
        <v>1110</v>
      </c>
      <c r="Q7" s="78">
        <v>20</v>
      </c>
      <c r="R7" s="65">
        <v>22200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0.28000000000000003</v>
      </c>
      <c r="E8" s="27" t="s">
        <v>67</v>
      </c>
      <c r="F8" s="24" t="s">
        <v>23</v>
      </c>
      <c r="G8" s="12">
        <v>13</v>
      </c>
      <c r="H8" s="88">
        <f>IF(B$20=0,0,G8/B$20)</f>
        <v>0.24074074074074073</v>
      </c>
      <c r="I8" s="58">
        <v>4</v>
      </c>
      <c r="K8" s="74">
        <v>6</v>
      </c>
      <c r="L8" s="119">
        <v>-133.80000000000001</v>
      </c>
      <c r="M8" s="117">
        <v>1360.7997798476786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0.24</v>
      </c>
      <c r="E9" s="27" t="s">
        <v>65</v>
      </c>
      <c r="F9" s="24" t="s">
        <v>21</v>
      </c>
      <c r="G9" s="12">
        <v>10</v>
      </c>
      <c r="H9" s="88">
        <f>IF(B$20=0,0,G9/B$20)</f>
        <v>0.18518518518518517</v>
      </c>
      <c r="I9" s="58">
        <v>1</v>
      </c>
      <c r="K9" s="74">
        <v>7</v>
      </c>
      <c r="L9" s="119">
        <v>-76.200000000000017</v>
      </c>
      <c r="M9" s="117">
        <v>1372.5009811685925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0.48</v>
      </c>
      <c r="E10" s="27" t="s">
        <v>70</v>
      </c>
      <c r="F10" s="24" t="s">
        <v>25</v>
      </c>
      <c r="G10" s="12">
        <v>6</v>
      </c>
      <c r="H10" s="88">
        <f>IF(B$20=0,0,G10/B$20)</f>
        <v>0.1111111111111111</v>
      </c>
      <c r="I10" s="58">
        <v>4</v>
      </c>
      <c r="K10" s="74">
        <v>8</v>
      </c>
      <c r="L10" s="119">
        <v>-103.80000000000001</v>
      </c>
      <c r="M10" s="117">
        <v>1368.7959752815809</v>
      </c>
      <c r="O10" s="73" t="s">
        <v>151</v>
      </c>
      <c r="P10" s="82">
        <f>IF(Q10=0,0,R10/Q10)</f>
        <v>19.900000000000002</v>
      </c>
      <c r="Q10" s="76">
        <v>5</v>
      </c>
      <c r="R10" s="67">
        <v>99.500000000000014</v>
      </c>
    </row>
    <row r="11" spans="1:18" x14ac:dyDescent="0.4">
      <c r="A11" s="20" t="s">
        <v>184</v>
      </c>
      <c r="B11" s="109">
        <f>IF(B8=0,0,C11/B8)</f>
        <v>40.74285714285714</v>
      </c>
      <c r="C11" s="110">
        <v>285.2</v>
      </c>
      <c r="E11" s="27" t="s">
        <v>89</v>
      </c>
      <c r="F11" s="24" t="s">
        <v>44</v>
      </c>
      <c r="G11" s="12">
        <v>5</v>
      </c>
      <c r="H11" s="88">
        <f>IF(B$20=0,0,G11/B$20)</f>
        <v>9.2592592592592587E-2</v>
      </c>
      <c r="I11" s="58">
        <v>5</v>
      </c>
      <c r="K11" s="74">
        <v>9</v>
      </c>
      <c r="L11" s="119">
        <v>-132.4</v>
      </c>
      <c r="M11" s="117">
        <v>1364.9331994298914</v>
      </c>
      <c r="O11" s="74" t="s">
        <v>152</v>
      </c>
      <c r="P11" s="83">
        <f>IF(Q11=0,0,R11/Q11)</f>
        <v>-17.669999999999998</v>
      </c>
      <c r="Q11" s="77">
        <v>10</v>
      </c>
      <c r="R11" s="68">
        <v>-176.7</v>
      </c>
    </row>
    <row r="12" spans="1:18" x14ac:dyDescent="0.4">
      <c r="A12" s="20" t="s">
        <v>185</v>
      </c>
      <c r="B12" s="109">
        <f>IF(B9=0,0,C12/B9)</f>
        <v>-1.3833333333333337</v>
      </c>
      <c r="C12" s="110">
        <v>-8.3000000000000025</v>
      </c>
      <c r="E12" s="27" t="s">
        <v>86</v>
      </c>
      <c r="F12" s="24" t="s">
        <v>41</v>
      </c>
      <c r="G12" s="12">
        <v>4</v>
      </c>
      <c r="H12" s="88">
        <f>IF(B$20=0,0,G12/B$20)</f>
        <v>7.407407407407407E-2</v>
      </c>
      <c r="I12" s="58">
        <v>2</v>
      </c>
      <c r="K12" s="74">
        <v>10</v>
      </c>
      <c r="L12" s="119">
        <v>-122.10000000000001</v>
      </c>
      <c r="M12" s="117">
        <v>1368.0956002333121</v>
      </c>
      <c r="O12" s="75" t="s">
        <v>153</v>
      </c>
      <c r="P12" s="84">
        <f>IF(Q12=0,0,R12/Q12)</f>
        <v>-13.500000000000004</v>
      </c>
      <c r="Q12" s="78">
        <v>10</v>
      </c>
      <c r="R12" s="69">
        <v>-135.00000000000003</v>
      </c>
    </row>
    <row r="13" spans="1:18" x14ac:dyDescent="0.4">
      <c r="A13" s="20" t="s">
        <v>186</v>
      </c>
      <c r="B13" s="109">
        <f>IF(B10=0,0,C13/B10)</f>
        <v>-40.758333333333333</v>
      </c>
      <c r="C13" s="110">
        <v>-489.1</v>
      </c>
      <c r="E13" s="27" t="s">
        <v>81</v>
      </c>
      <c r="F13" s="24" t="s">
        <v>36</v>
      </c>
      <c r="G13" s="12">
        <v>2</v>
      </c>
      <c r="H13" s="88">
        <f>IF(B$20=0,0,G13/B$20)</f>
        <v>3.7037037037037035E-2</v>
      </c>
      <c r="I13" s="58">
        <v>2</v>
      </c>
      <c r="K13" s="74">
        <v>11</v>
      </c>
      <c r="L13" s="119">
        <v>-97.800000000000011</v>
      </c>
      <c r="M13" s="117">
        <v>1373.8370266319123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-0.46626984126984183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1.8518518518518517E-2</v>
      </c>
      <c r="I14" s="58">
        <v>6</v>
      </c>
      <c r="K14" s="74">
        <v>12</v>
      </c>
      <c r="L14" s="119">
        <v>-133.30000000000001</v>
      </c>
      <c r="M14" s="117">
        <v>1368.7860044721208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0.16</v>
      </c>
      <c r="E15" s="27" t="s">
        <v>77</v>
      </c>
      <c r="F15" s="24" t="s">
        <v>32</v>
      </c>
      <c r="G15" s="12">
        <v>1</v>
      </c>
      <c r="H15" s="88">
        <f>IF(B$20=0,0,G15/B$20)</f>
        <v>1.8518518518518517E-2</v>
      </c>
      <c r="I15" s="58">
        <v>1</v>
      </c>
      <c r="K15" s="74">
        <v>13</v>
      </c>
      <c r="L15" s="119">
        <v>-175.4</v>
      </c>
      <c r="M15" s="117">
        <v>1362.571288445288</v>
      </c>
      <c r="O15" s="73" t="s">
        <v>163</v>
      </c>
      <c r="P15" s="82">
        <f>IF(Q15=0,0,R15/Q15)</f>
        <v>-3.3466666666666671</v>
      </c>
      <c r="Q15" s="76">
        <v>15</v>
      </c>
      <c r="R15" s="67">
        <v>-50.20000000000001</v>
      </c>
    </row>
    <row r="16" spans="1:18" x14ac:dyDescent="0.4">
      <c r="A16" s="22" t="s">
        <v>121</v>
      </c>
      <c r="B16" s="15">
        <v>66</v>
      </c>
      <c r="C16" s="10">
        <f>IF(B$3=0,0,B16/B$3)</f>
        <v>0.32195121951219513</v>
      </c>
      <c r="E16" s="27" t="s">
        <v>83</v>
      </c>
      <c r="F16" s="24" t="s">
        <v>38</v>
      </c>
      <c r="G16" s="12">
        <v>1</v>
      </c>
      <c r="H16" s="88">
        <f>IF(B$20=0,0,G16/B$20)</f>
        <v>1.8518518518518517E-2</v>
      </c>
      <c r="I16" s="58">
        <v>5</v>
      </c>
      <c r="K16" s="74">
        <v>14</v>
      </c>
      <c r="L16" s="119">
        <v>-130.10000000000002</v>
      </c>
      <c r="M16" s="117">
        <v>1372.1318607146163</v>
      </c>
      <c r="O16" s="74" t="s">
        <v>192</v>
      </c>
      <c r="P16" s="83">
        <f>IF(Q16=0,0,R16/Q16)</f>
        <v>-9.25</v>
      </c>
      <c r="Q16" s="77">
        <v>10</v>
      </c>
      <c r="R16" s="68">
        <v>-92.5</v>
      </c>
    </row>
    <row r="17" spans="1:18" x14ac:dyDescent="0.4">
      <c r="A17" s="19" t="s">
        <v>118</v>
      </c>
      <c r="B17" s="12">
        <v>27</v>
      </c>
      <c r="C17" s="6">
        <f>IF(B$3=0,0,B17/B$3)</f>
        <v>0.13170731707317074</v>
      </c>
      <c r="E17" s="27" t="s">
        <v>90</v>
      </c>
      <c r="F17" s="24" t="s">
        <v>45</v>
      </c>
      <c r="G17" s="12">
        <v>1</v>
      </c>
      <c r="H17" s="88">
        <f>IF(B$20=0,0,G17/B$20)</f>
        <v>1.8518518518518517E-2</v>
      </c>
      <c r="I17" s="58">
        <v>1</v>
      </c>
      <c r="K17" s="74">
        <v>15</v>
      </c>
      <c r="L17" s="119">
        <v>-129.60000000000002</v>
      </c>
      <c r="M17" s="117">
        <v>1373.5650695503286</v>
      </c>
      <c r="O17" s="74" t="s">
        <v>126</v>
      </c>
      <c r="P17" s="83">
        <f>IF(Q17=0,0,R17/Q17)</f>
        <v>-19.755999999999993</v>
      </c>
      <c r="Q17" s="77">
        <v>25</v>
      </c>
      <c r="R17" s="68">
        <v>-493.89999999999986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0.60606060606060608</v>
      </c>
      <c r="E18" s="27" t="s">
        <v>91</v>
      </c>
      <c r="F18" s="24" t="s">
        <v>46</v>
      </c>
      <c r="G18" s="12">
        <v>1</v>
      </c>
      <c r="H18" s="88">
        <f>IF(B$20=0,0,G18/B$20)</f>
        <v>1.8518518518518517E-2</v>
      </c>
      <c r="I18" s="58">
        <v>2</v>
      </c>
      <c r="K18" s="74">
        <v>16</v>
      </c>
      <c r="L18" s="119">
        <v>-149.90000000000003</v>
      </c>
      <c r="M18" s="117">
        <v>1371.2516791330268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0.18518518518518517</v>
      </c>
      <c r="E19" s="27" t="s">
        <v>155</v>
      </c>
      <c r="F19" s="24" t="s">
        <v>156</v>
      </c>
      <c r="G19" s="12">
        <v>1</v>
      </c>
      <c r="H19" s="88">
        <f>IF(B$20=0,0,G19/B$20)</f>
        <v>1.8518518518518517E-2</v>
      </c>
      <c r="I19" s="58">
        <v>2</v>
      </c>
      <c r="K19" s="74">
        <v>17</v>
      </c>
      <c r="L19" s="119">
        <v>-210.40000000000003</v>
      </c>
      <c r="M19" s="117">
        <v>1361.7101690582285</v>
      </c>
    </row>
    <row r="20" spans="1:18" x14ac:dyDescent="0.4">
      <c r="A20" s="18" t="s">
        <v>10</v>
      </c>
      <c r="B20" s="11">
        <f>B23+B22</f>
        <v>54</v>
      </c>
      <c r="C20" s="5">
        <f>IF(B$3=0,0,B20/B$3)</f>
        <v>0.26341463414634148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4</v>
      </c>
      <c r="K20" s="74">
        <v>18</v>
      </c>
      <c r="L20" s="119">
        <v>-278.40000000000003</v>
      </c>
      <c r="M20" s="117">
        <v>1350.8819080438791</v>
      </c>
    </row>
    <row r="21" spans="1:18" x14ac:dyDescent="0.4">
      <c r="A21" s="19" t="s">
        <v>13</v>
      </c>
      <c r="B21" s="12">
        <v>34</v>
      </c>
      <c r="C21" s="6">
        <f>IF(B$3=0,0,B21/B$3)</f>
        <v>0.16585365853658537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-236.20000000000005</v>
      </c>
      <c r="M21" s="117">
        <v>1359.9486165956159</v>
      </c>
    </row>
    <row r="22" spans="1:18" x14ac:dyDescent="0.4">
      <c r="A22" s="19" t="s">
        <v>12</v>
      </c>
      <c r="B22" s="12">
        <v>30</v>
      </c>
      <c r="C22" s="6">
        <f>IF(B$20=0,0,B22/B$20)</f>
        <v>0.55555555555555558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-220.00000000000006</v>
      </c>
      <c r="M22" s="117">
        <v>1364.2809248960423</v>
      </c>
    </row>
    <row r="23" spans="1:18" x14ac:dyDescent="0.4">
      <c r="A23" s="19" t="s">
        <v>11</v>
      </c>
      <c r="B23" s="12">
        <v>24</v>
      </c>
      <c r="C23" s="6">
        <f>IF(B$20=0,0,B23/B$20)</f>
        <v>0.44444444444444442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-284.00000000000006</v>
      </c>
      <c r="M23" s="117">
        <v>1354.151239346666</v>
      </c>
    </row>
    <row r="24" spans="1:18" x14ac:dyDescent="0.4">
      <c r="A24" s="19" t="s">
        <v>183</v>
      </c>
      <c r="B24" s="12">
        <v>40</v>
      </c>
      <c r="C24" s="6">
        <f>IF(B$20=0,0,B24/B$20)</f>
        <v>0.7407407407407407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6</v>
      </c>
      <c r="K24" s="74">
        <v>22</v>
      </c>
      <c r="L24" s="119">
        <v>-251.30000000000007</v>
      </c>
      <c r="M24" s="117">
        <v>1361.4883319105859</v>
      </c>
    </row>
    <row r="25" spans="1:18" x14ac:dyDescent="0.4">
      <c r="A25" s="19" t="s">
        <v>181</v>
      </c>
      <c r="B25" s="12">
        <v>5</v>
      </c>
      <c r="C25" s="6">
        <f>IF(B$20=0,0,B25/B$20)</f>
        <v>9.2592592592592587E-2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-188.20000000000007</v>
      </c>
      <c r="M25" s="117">
        <v>1374.2534019191223</v>
      </c>
    </row>
    <row r="26" spans="1:18" x14ac:dyDescent="0.4">
      <c r="A26" s="19" t="s">
        <v>182</v>
      </c>
      <c r="B26" s="12">
        <v>9</v>
      </c>
      <c r="C26" s="6">
        <f>IF(B$20=0,0,B26/B$20)</f>
        <v>0.16666666666666666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-184.60000000000008</v>
      </c>
      <c r="M26" s="117">
        <v>1376.2318815076076</v>
      </c>
    </row>
    <row r="27" spans="1:18" x14ac:dyDescent="0.4">
      <c r="A27" s="19" t="s">
        <v>5</v>
      </c>
      <c r="B27" s="16">
        <f>IF(B$20=0,0,C27/B$20)</f>
        <v>8705.5555555555547</v>
      </c>
      <c r="C27" s="8">
        <v>470100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-212.20000000000007</v>
      </c>
      <c r="M27" s="117">
        <v>1372.5824902185618</v>
      </c>
    </row>
    <row r="28" spans="1:18" x14ac:dyDescent="0.4">
      <c r="A28" s="20" t="s">
        <v>165</v>
      </c>
      <c r="B28" s="95">
        <f>IF($B$20-B$19=0,0,C28/($B$20-B$19))</f>
        <v>9059.1836734693879</v>
      </c>
      <c r="C28" s="96">
        <v>443900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5240</v>
      </c>
      <c r="C29" s="96">
        <v>26200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-9488.2352941176468</v>
      </c>
      <c r="C30" s="96">
        <v>-322600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3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18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4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</row>
    <row r="34" spans="1:9" x14ac:dyDescent="0.4">
      <c r="A34" s="22" t="s">
        <v>180</v>
      </c>
      <c r="B34" s="129">
        <v>82600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4.8780487804878049E-3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2"/>
        <v>0.14814814814814814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8</v>
      </c>
      <c r="C39" s="6">
        <f t="shared" si="2"/>
        <v>0.14814814814814814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2"/>
        <v>0.24074074074074073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0.20370370370370369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8</v>
      </c>
      <c r="C42" s="6">
        <f t="shared" si="2"/>
        <v>0.14814814814814814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1.8518518518518517E-2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1.8518518518518517E-2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861CE-C452-486F-B065-10A747734B06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29</v>
      </c>
      <c r="C2" s="134"/>
      <c r="E2" s="26" t="s">
        <v>66</v>
      </c>
      <c r="F2" s="23" t="s">
        <v>22</v>
      </c>
      <c r="G2" s="11">
        <v>52</v>
      </c>
      <c r="H2" s="87">
        <f>IF(B$20=0,0,G2/B$20)</f>
        <v>0.74285714285714288</v>
      </c>
      <c r="I2" s="57">
        <v>4</v>
      </c>
      <c r="K2" s="73">
        <v>0</v>
      </c>
      <c r="L2" s="118">
        <v>0</v>
      </c>
      <c r="M2" s="116">
        <v>1382.1789004547948</v>
      </c>
      <c r="O2" s="73" t="s">
        <v>128</v>
      </c>
      <c r="P2" s="79">
        <f t="shared" ref="P2:P7" si="0">IF(Q2=0,0,R2/Q2)</f>
        <v>944.82758620689651</v>
      </c>
      <c r="Q2" s="76">
        <v>29</v>
      </c>
      <c r="R2" s="63">
        <v>27400</v>
      </c>
    </row>
    <row r="3" spans="1:18" x14ac:dyDescent="0.4">
      <c r="A3" s="19" t="s">
        <v>8</v>
      </c>
      <c r="B3" s="135">
        <v>233</v>
      </c>
      <c r="C3" s="136"/>
      <c r="E3" s="27" t="s">
        <v>64</v>
      </c>
      <c r="F3" s="24" t="s">
        <v>20</v>
      </c>
      <c r="G3" s="12">
        <v>42</v>
      </c>
      <c r="H3" s="88">
        <f>IF(B$20=0,0,G3/B$20)</f>
        <v>0.6</v>
      </c>
      <c r="I3" s="58">
        <v>2</v>
      </c>
      <c r="K3" s="74">
        <v>1</v>
      </c>
      <c r="L3" s="119">
        <v>38.299999999999997</v>
      </c>
      <c r="M3" s="117">
        <v>1390.487827052066</v>
      </c>
      <c r="O3" s="74" t="s">
        <v>129</v>
      </c>
      <c r="P3" s="80">
        <f t="shared" si="0"/>
        <v>1928.5714285714287</v>
      </c>
      <c r="Q3" s="77">
        <v>28</v>
      </c>
      <c r="R3" s="64">
        <v>54000</v>
      </c>
    </row>
    <row r="4" spans="1:18" x14ac:dyDescent="0.4">
      <c r="A4" s="19" t="s">
        <v>6</v>
      </c>
      <c r="B4" s="137">
        <v>125.30000000000001</v>
      </c>
      <c r="C4" s="138"/>
      <c r="E4" s="27" t="s">
        <v>159</v>
      </c>
      <c r="F4" s="24" t="s">
        <v>160</v>
      </c>
      <c r="G4" s="12">
        <v>29</v>
      </c>
      <c r="H4" s="88">
        <f>IF(B$20=0,0,G4/B$20)</f>
        <v>0.41428571428571431</v>
      </c>
      <c r="I4" s="58">
        <v>3</v>
      </c>
      <c r="K4" s="74">
        <v>2</v>
      </c>
      <c r="L4" s="119">
        <v>76.3</v>
      </c>
      <c r="M4" s="117">
        <v>1398.4589000897536</v>
      </c>
      <c r="O4" s="74" t="s">
        <v>130</v>
      </c>
      <c r="P4" s="80">
        <f t="shared" si="0"/>
        <v>2148.1481481481483</v>
      </c>
      <c r="Q4" s="77">
        <v>27</v>
      </c>
      <c r="R4" s="64">
        <v>58000</v>
      </c>
    </row>
    <row r="5" spans="1:18" x14ac:dyDescent="0.4">
      <c r="A5" s="19" t="s">
        <v>7</v>
      </c>
      <c r="B5" s="125">
        <f>IF(B$2=0,0,B$4/B$2)</f>
        <v>4.3206896551724139</v>
      </c>
      <c r="C5" s="126"/>
      <c r="E5" s="27" t="s">
        <v>72</v>
      </c>
      <c r="F5" s="24" t="s">
        <v>27</v>
      </c>
      <c r="G5" s="12">
        <v>28</v>
      </c>
      <c r="H5" s="88">
        <f>IF(B$20=0,0,G5/B$20)</f>
        <v>0.4</v>
      </c>
      <c r="I5" s="58">
        <v>6</v>
      </c>
      <c r="K5" s="74">
        <v>3</v>
      </c>
      <c r="L5" s="119">
        <v>66.099999999999994</v>
      </c>
      <c r="M5" s="117">
        <v>1397.7061466892151</v>
      </c>
      <c r="O5" s="74" t="s">
        <v>131</v>
      </c>
      <c r="P5" s="80">
        <f t="shared" si="0"/>
        <v>-1239.1304347826087</v>
      </c>
      <c r="Q5" s="77">
        <v>23</v>
      </c>
      <c r="R5" s="64">
        <v>-28500</v>
      </c>
    </row>
    <row r="6" spans="1:18" x14ac:dyDescent="0.4">
      <c r="A6" s="19" t="s">
        <v>195</v>
      </c>
      <c r="B6" s="129">
        <v>1435.2481162196425</v>
      </c>
      <c r="C6" s="130"/>
      <c r="E6" s="27" t="s">
        <v>68</v>
      </c>
      <c r="F6" s="24" t="s">
        <v>12</v>
      </c>
      <c r="G6" s="12">
        <v>24</v>
      </c>
      <c r="H6" s="88">
        <f>IF(B$20=0,0,G6/B$20)</f>
        <v>0.34285714285714286</v>
      </c>
      <c r="I6" s="58">
        <v>4</v>
      </c>
      <c r="K6" s="74">
        <v>4</v>
      </c>
      <c r="L6" s="119">
        <v>9.1999999999999957</v>
      </c>
      <c r="M6" s="117">
        <v>1388.5519098090797</v>
      </c>
      <c r="O6" s="74" t="s">
        <v>132</v>
      </c>
      <c r="P6" s="80">
        <f t="shared" si="0"/>
        <v>-1657.1428571428571</v>
      </c>
      <c r="Q6" s="77">
        <v>21</v>
      </c>
      <c r="R6" s="64">
        <v>-34800</v>
      </c>
    </row>
    <row r="7" spans="1:18" x14ac:dyDescent="0.4">
      <c r="A7" s="19" t="s">
        <v>1</v>
      </c>
      <c r="B7" s="139">
        <f>IF(B$2=0,0,(B$8*1+B$9*2+B$10*3)/B$2)</f>
        <v>1.9655172413793103</v>
      </c>
      <c r="C7" s="140"/>
      <c r="E7" s="27" t="s">
        <v>67</v>
      </c>
      <c r="F7" s="24" t="s">
        <v>23</v>
      </c>
      <c r="G7" s="12">
        <v>23</v>
      </c>
      <c r="H7" s="88">
        <f>IF(B$20=0,0,G7/B$20)</f>
        <v>0.32857142857142857</v>
      </c>
      <c r="I7" s="58">
        <v>1</v>
      </c>
      <c r="K7" s="74">
        <v>5</v>
      </c>
      <c r="L7" s="119">
        <v>-19.800000000000004</v>
      </c>
      <c r="M7" s="117">
        <v>1384.4745983502253</v>
      </c>
      <c r="O7" s="75" t="s">
        <v>133</v>
      </c>
      <c r="P7" s="81">
        <f t="shared" si="0"/>
        <v>800</v>
      </c>
      <c r="Q7" s="78">
        <v>19</v>
      </c>
      <c r="R7" s="65">
        <v>15200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0.31034482758620691</v>
      </c>
      <c r="E8" s="27" t="s">
        <v>69</v>
      </c>
      <c r="F8" s="24" t="s">
        <v>24</v>
      </c>
      <c r="G8" s="12">
        <v>13</v>
      </c>
      <c r="H8" s="88">
        <f>IF(B$20=0,0,G8/B$20)</f>
        <v>0.18571428571428572</v>
      </c>
      <c r="I8" s="58">
        <v>2</v>
      </c>
      <c r="K8" s="74">
        <v>6</v>
      </c>
      <c r="L8" s="119">
        <v>107.9</v>
      </c>
      <c r="M8" s="117">
        <v>1408.6277507601239</v>
      </c>
      <c r="O8" s="107"/>
      <c r="P8" s="85"/>
      <c r="Q8" s="108"/>
      <c r="R8" s="70"/>
    </row>
    <row r="9" spans="1:18" x14ac:dyDescent="0.4">
      <c r="A9" s="19" t="s">
        <v>3</v>
      </c>
      <c r="B9" s="12">
        <v>12</v>
      </c>
      <c r="C9" s="6">
        <f t="shared" si="1"/>
        <v>0.41379310344827586</v>
      </c>
      <c r="E9" s="27" t="s">
        <v>70</v>
      </c>
      <c r="F9" s="24" t="s">
        <v>25</v>
      </c>
      <c r="G9" s="12">
        <v>9</v>
      </c>
      <c r="H9" s="88">
        <f>IF(B$20=0,0,G9/B$20)</f>
        <v>0.12857142857142856</v>
      </c>
      <c r="I9" s="58">
        <v>1</v>
      </c>
      <c r="K9" s="74">
        <v>7</v>
      </c>
      <c r="L9" s="119">
        <v>119.7</v>
      </c>
      <c r="M9" s="117">
        <v>1411.7739842555632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0.27586206896551724</v>
      </c>
      <c r="E10" s="27" t="s">
        <v>65</v>
      </c>
      <c r="F10" s="24" t="s">
        <v>21</v>
      </c>
      <c r="G10" s="12">
        <v>8</v>
      </c>
      <c r="H10" s="88">
        <f>IF(B$20=0,0,G10/B$20)</f>
        <v>0.11428571428571428</v>
      </c>
      <c r="I10" s="58">
        <v>5</v>
      </c>
      <c r="K10" s="74">
        <v>8</v>
      </c>
      <c r="L10" s="119">
        <v>122.8</v>
      </c>
      <c r="M10" s="117">
        <v>1413.3353403500298</v>
      </c>
      <c r="O10" s="73" t="s">
        <v>151</v>
      </c>
      <c r="P10" s="82">
        <f>IF(Q10=0,0,R10/Q10)</f>
        <v>9.5500000000000007</v>
      </c>
      <c r="Q10" s="76">
        <v>10</v>
      </c>
      <c r="R10" s="67">
        <v>95.5</v>
      </c>
    </row>
    <row r="11" spans="1:18" x14ac:dyDescent="0.4">
      <c r="A11" s="20" t="s">
        <v>184</v>
      </c>
      <c r="B11" s="109">
        <f>IF(B8=0,0,C11/B8)</f>
        <v>57.311111111111103</v>
      </c>
      <c r="C11" s="110">
        <v>515.79999999999995</v>
      </c>
      <c r="E11" s="27" t="s">
        <v>71</v>
      </c>
      <c r="F11" s="24" t="s">
        <v>26</v>
      </c>
      <c r="G11" s="12">
        <v>6</v>
      </c>
      <c r="H11" s="88">
        <f>IF(B$20=0,0,G11/B$20)</f>
        <v>8.5714285714285715E-2</v>
      </c>
      <c r="I11" s="58">
        <v>2</v>
      </c>
      <c r="K11" s="74">
        <v>9</v>
      </c>
      <c r="L11" s="119">
        <v>78.400000000000006</v>
      </c>
      <c r="M11" s="117">
        <v>1406.3373283079297</v>
      </c>
      <c r="O11" s="74" t="s">
        <v>152</v>
      </c>
      <c r="P11" s="83">
        <f>IF(Q11=0,0,R11/Q11)</f>
        <v>-14.418181818181818</v>
      </c>
      <c r="Q11" s="77">
        <v>11</v>
      </c>
      <c r="R11" s="68">
        <v>-158.6</v>
      </c>
    </row>
    <row r="12" spans="1:18" x14ac:dyDescent="0.4">
      <c r="A12" s="20" t="s">
        <v>185</v>
      </c>
      <c r="B12" s="109">
        <f>IF(B9=0,0,C12/B9)</f>
        <v>-5.8999999999999995</v>
      </c>
      <c r="C12" s="110">
        <v>-70.8</v>
      </c>
      <c r="E12" s="27" t="s">
        <v>86</v>
      </c>
      <c r="F12" s="24" t="s">
        <v>41</v>
      </c>
      <c r="G12" s="12">
        <v>5</v>
      </c>
      <c r="H12" s="88">
        <f>IF(B$20=0,0,G12/B$20)</f>
        <v>7.1428571428571425E-2</v>
      </c>
      <c r="I12" s="58">
        <v>3</v>
      </c>
      <c r="K12" s="74">
        <v>10</v>
      </c>
      <c r="L12" s="119">
        <v>68.800000000000011</v>
      </c>
      <c r="M12" s="117">
        <v>1405.6453043380823</v>
      </c>
      <c r="O12" s="75" t="s">
        <v>153</v>
      </c>
      <c r="P12" s="84">
        <f>IF(Q12=0,0,R12/Q12)</f>
        <v>23.55</v>
      </c>
      <c r="Q12" s="78">
        <v>8</v>
      </c>
      <c r="R12" s="69">
        <v>188.4</v>
      </c>
    </row>
    <row r="13" spans="1:18" x14ac:dyDescent="0.4">
      <c r="A13" s="20" t="s">
        <v>186</v>
      </c>
      <c r="B13" s="109">
        <f>IF(B10=0,0,C13/B10)</f>
        <v>-39.962500000000006</v>
      </c>
      <c r="C13" s="110">
        <v>-319.70000000000005</v>
      </c>
      <c r="E13" s="27" t="s">
        <v>89</v>
      </c>
      <c r="F13" s="24" t="s">
        <v>44</v>
      </c>
      <c r="G13" s="12">
        <v>4</v>
      </c>
      <c r="H13" s="88">
        <f>IF(B$20=0,0,G13/B$20)</f>
        <v>5.7142857142857141E-2</v>
      </c>
      <c r="I13" s="58">
        <v>6</v>
      </c>
      <c r="K13" s="74">
        <v>11</v>
      </c>
      <c r="L13" s="119">
        <v>43.800000000000011</v>
      </c>
      <c r="M13" s="117">
        <v>1401.9034325120538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3.8162037037036995</v>
      </c>
      <c r="C14" s="126"/>
      <c r="E14" s="27" t="s">
        <v>83</v>
      </c>
      <c r="F14" s="24" t="s">
        <v>38</v>
      </c>
      <c r="G14" s="12">
        <v>3</v>
      </c>
      <c r="H14" s="88">
        <f>IF(B$20=0,0,G14/B$20)</f>
        <v>4.2857142857142858E-2</v>
      </c>
      <c r="I14" s="58">
        <v>2</v>
      </c>
      <c r="K14" s="74">
        <v>12</v>
      </c>
      <c r="L14" s="119">
        <v>45.400000000000013</v>
      </c>
      <c r="M14" s="117">
        <v>1402.9660119169814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3.4482758620689655E-2</v>
      </c>
      <c r="E15" s="27" t="s">
        <v>93</v>
      </c>
      <c r="F15" s="24" t="s">
        <v>48</v>
      </c>
      <c r="G15" s="12">
        <v>3</v>
      </c>
      <c r="H15" s="88">
        <f>IF(B$20=0,0,G15/B$20)</f>
        <v>4.2857142857142858E-2</v>
      </c>
      <c r="I15" s="58">
        <v>1</v>
      </c>
      <c r="K15" s="74">
        <v>13</v>
      </c>
      <c r="L15" s="119">
        <v>96.4</v>
      </c>
      <c r="M15" s="117">
        <v>1412.9142158454795</v>
      </c>
      <c r="O15" s="73" t="s">
        <v>192</v>
      </c>
      <c r="P15" s="82">
        <f>IF(Q15=0,0,R15/Q15)</f>
        <v>22.49285714285714</v>
      </c>
      <c r="Q15" s="76">
        <v>14</v>
      </c>
      <c r="R15" s="67">
        <v>314.89999999999998</v>
      </c>
    </row>
    <row r="16" spans="1:18" x14ac:dyDescent="0.4">
      <c r="A16" s="22" t="s">
        <v>121</v>
      </c>
      <c r="B16" s="15">
        <v>77</v>
      </c>
      <c r="C16" s="10">
        <f>IF(B$3=0,0,B16/B$3)</f>
        <v>0.33047210300429186</v>
      </c>
      <c r="E16" s="27" t="s">
        <v>78</v>
      </c>
      <c r="F16" s="24" t="s">
        <v>33</v>
      </c>
      <c r="G16" s="12">
        <v>2</v>
      </c>
      <c r="H16" s="88">
        <f>IF(B$20=0,0,G16/B$20)</f>
        <v>2.8571428571428571E-2</v>
      </c>
      <c r="I16" s="58">
        <v>4</v>
      </c>
      <c r="K16" s="74">
        <v>14</v>
      </c>
      <c r="L16" s="119">
        <v>50.2</v>
      </c>
      <c r="M16" s="117">
        <v>1405.7687305504066</v>
      </c>
      <c r="O16" s="74" t="s">
        <v>163</v>
      </c>
      <c r="P16" s="83">
        <f>IF(Q16=0,0,R16/Q16)</f>
        <v>12.473684210526315</v>
      </c>
      <c r="Q16" s="77">
        <v>19</v>
      </c>
      <c r="R16" s="68">
        <v>236.99999999999997</v>
      </c>
    </row>
    <row r="17" spans="1:18" x14ac:dyDescent="0.4">
      <c r="A17" s="19" t="s">
        <v>118</v>
      </c>
      <c r="B17" s="12">
        <v>26</v>
      </c>
      <c r="C17" s="6">
        <f>IF(B$3=0,0,B17/B$3)</f>
        <v>0.11158798283261803</v>
      </c>
      <c r="E17" s="27" t="s">
        <v>81</v>
      </c>
      <c r="F17" s="24" t="s">
        <v>36</v>
      </c>
      <c r="G17" s="12">
        <v>2</v>
      </c>
      <c r="H17" s="88">
        <f>IF(B$20=0,0,G17/B$20)</f>
        <v>2.8571428571428571E-2</v>
      </c>
      <c r="I17" s="58">
        <v>5</v>
      </c>
      <c r="K17" s="74">
        <v>15</v>
      </c>
      <c r="L17" s="119">
        <v>119.2</v>
      </c>
      <c r="M17" s="117">
        <v>1418.9641181671043</v>
      </c>
      <c r="O17" s="74" t="s">
        <v>126</v>
      </c>
      <c r="P17" s="83">
        <f>IF(Q17=0,0,R17/Q17)</f>
        <v>-7.0399999999999991</v>
      </c>
      <c r="Q17" s="77">
        <v>25</v>
      </c>
      <c r="R17" s="68">
        <v>-175.99999999999997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0.5714285714285714</v>
      </c>
      <c r="E18" s="27" t="s">
        <v>91</v>
      </c>
      <c r="F18" s="24" t="s">
        <v>46</v>
      </c>
      <c r="G18" s="12">
        <v>2</v>
      </c>
      <c r="H18" s="88">
        <f>IF(B$20=0,0,G18/B$20)</f>
        <v>2.8571428571428571E-2</v>
      </c>
      <c r="I18" s="58">
        <v>1</v>
      </c>
      <c r="K18" s="74">
        <v>16</v>
      </c>
      <c r="L18" s="119">
        <v>154</v>
      </c>
      <c r="M18" s="117">
        <v>1426.3623334581016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0.19230769230769232</v>
      </c>
      <c r="E19" s="27" t="s">
        <v>74</v>
      </c>
      <c r="F19" s="24" t="s">
        <v>29</v>
      </c>
      <c r="G19" s="12">
        <v>1</v>
      </c>
      <c r="H19" s="88">
        <f>IF(B$20=0,0,G19/B$20)</f>
        <v>1.4285714285714285E-2</v>
      </c>
      <c r="I19" s="58">
        <v>1</v>
      </c>
      <c r="K19" s="74">
        <v>17</v>
      </c>
      <c r="L19" s="119">
        <v>221.5</v>
      </c>
      <c r="M19" s="117">
        <v>1439.6021594573531</v>
      </c>
    </row>
    <row r="20" spans="1:18" x14ac:dyDescent="0.4">
      <c r="A20" s="18" t="s">
        <v>10</v>
      </c>
      <c r="B20" s="11">
        <f>B23+B22</f>
        <v>70</v>
      </c>
      <c r="C20" s="5">
        <f>IF(B$3=0,0,B20/B$3)</f>
        <v>0.30042918454935624</v>
      </c>
      <c r="E20" s="27" t="s">
        <v>87</v>
      </c>
      <c r="F20" s="24" t="s">
        <v>42</v>
      </c>
      <c r="G20" s="12">
        <v>1</v>
      </c>
      <c r="H20" s="88">
        <f>IF(B$20=0,0,G20/B$20)</f>
        <v>1.4285714285714285E-2</v>
      </c>
      <c r="I20" s="58">
        <v>1</v>
      </c>
      <c r="K20" s="74">
        <v>18</v>
      </c>
      <c r="L20" s="119">
        <v>197</v>
      </c>
      <c r="M20" s="117">
        <v>1436.2025465006091</v>
      </c>
    </row>
    <row r="21" spans="1:18" x14ac:dyDescent="0.4">
      <c r="A21" s="19" t="s">
        <v>13</v>
      </c>
      <c r="B21" s="12">
        <v>37</v>
      </c>
      <c r="C21" s="6">
        <f>IF(B$3=0,0,B21/B$3)</f>
        <v>0.15879828326180256</v>
      </c>
      <c r="E21" s="27" t="s">
        <v>155</v>
      </c>
      <c r="F21" s="24" t="s">
        <v>156</v>
      </c>
      <c r="G21" s="12">
        <v>1</v>
      </c>
      <c r="H21" s="88">
        <f>IF(B$20=0,0,G21/B$20)</f>
        <v>1.4285714285714285E-2</v>
      </c>
      <c r="I21" s="58">
        <v>4</v>
      </c>
      <c r="K21" s="74">
        <v>19</v>
      </c>
      <c r="L21" s="119">
        <v>196.9</v>
      </c>
      <c r="M21" s="117">
        <v>1437.2153312216053</v>
      </c>
    </row>
    <row r="22" spans="1:18" x14ac:dyDescent="0.4">
      <c r="A22" s="19" t="s">
        <v>12</v>
      </c>
      <c r="B22" s="12">
        <v>29</v>
      </c>
      <c r="C22" s="6">
        <f>IF(B$20=0,0,B22/B$20)</f>
        <v>0.41428571428571431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151.4</v>
      </c>
      <c r="M22" s="117">
        <v>1430.0500392342756</v>
      </c>
    </row>
    <row r="23" spans="1:18" x14ac:dyDescent="0.4">
      <c r="A23" s="19" t="s">
        <v>11</v>
      </c>
      <c r="B23" s="12">
        <v>41</v>
      </c>
      <c r="C23" s="6">
        <f>IF(B$20=0,0,B23/B$20)</f>
        <v>0.58571428571428574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118.60000000000001</v>
      </c>
      <c r="M23" s="117">
        <v>1425.21373899887</v>
      </c>
    </row>
    <row r="24" spans="1:18" x14ac:dyDescent="0.4">
      <c r="A24" s="19" t="s">
        <v>183</v>
      </c>
      <c r="B24" s="12">
        <v>44</v>
      </c>
      <c r="C24" s="6">
        <f>IF(B$20=0,0,B24/B$20)</f>
        <v>0.62857142857142856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88</v>
      </c>
      <c r="M24" s="117">
        <v>1420.8024565648768</v>
      </c>
    </row>
    <row r="25" spans="1:18" x14ac:dyDescent="0.4">
      <c r="A25" s="19" t="s">
        <v>181</v>
      </c>
      <c r="B25" s="12">
        <v>5</v>
      </c>
      <c r="C25" s="6">
        <f>IF(B$20=0,0,B25/B$20)</f>
        <v>7.1428571428571425E-2</v>
      </c>
      <c r="E25" s="27" t="s">
        <v>77</v>
      </c>
      <c r="F25" s="24" t="s">
        <v>32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82.9</v>
      </c>
      <c r="M25" s="117">
        <v>1421.0076418254876</v>
      </c>
    </row>
    <row r="26" spans="1:18" x14ac:dyDescent="0.4">
      <c r="A26" s="19" t="s">
        <v>182</v>
      </c>
      <c r="B26" s="12">
        <v>21</v>
      </c>
      <c r="C26" s="6">
        <f>IF(B$20=0,0,B26/B$20)</f>
        <v>0.3</v>
      </c>
      <c r="E26" s="27" t="s">
        <v>79</v>
      </c>
      <c r="F26" s="24" t="s">
        <v>34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48.600000000000009</v>
      </c>
      <c r="M26" s="117">
        <v>1415.9555959745346</v>
      </c>
    </row>
    <row r="27" spans="1:18" x14ac:dyDescent="0.4">
      <c r="A27" s="19" t="s">
        <v>5</v>
      </c>
      <c r="B27" s="16">
        <f>IF(B$20=0,0,C27/B$20)</f>
        <v>10605.714285714286</v>
      </c>
      <c r="C27" s="8">
        <v>742400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45.800000000000011</v>
      </c>
      <c r="M27" s="117">
        <v>1416.6038623986874</v>
      </c>
    </row>
    <row r="28" spans="1:18" x14ac:dyDescent="0.4">
      <c r="A28" s="20" t="s">
        <v>165</v>
      </c>
      <c r="B28" s="95">
        <f>IF($B$20-B$19=0,0,C28/($B$20-B$19))</f>
        <v>10884.615384615385</v>
      </c>
      <c r="C28" s="96">
        <v>707500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111.9</v>
      </c>
      <c r="M28" s="117">
        <v>1429.6502392242953</v>
      </c>
    </row>
    <row r="29" spans="1:18" x14ac:dyDescent="0.4">
      <c r="A29" s="20" t="s">
        <v>166</v>
      </c>
      <c r="B29" s="95">
        <f>IF(B$19=0,0,C29/B$19)</f>
        <v>6980</v>
      </c>
      <c r="C29" s="96">
        <v>34900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126.80000000000001</v>
      </c>
      <c r="M29" s="117">
        <v>1433.4023377889496</v>
      </c>
    </row>
    <row r="30" spans="1:18" x14ac:dyDescent="0.4">
      <c r="A30" s="20" t="s">
        <v>164</v>
      </c>
      <c r="B30" s="95">
        <f>IF(B$21=0,0,C30/B$21)</f>
        <v>-8308.1081081081084</v>
      </c>
      <c r="C30" s="96">
        <v>-307400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101.9</v>
      </c>
      <c r="M30" s="117">
        <v>1429.9679237622158</v>
      </c>
    </row>
    <row r="31" spans="1:18" x14ac:dyDescent="0.4">
      <c r="A31" s="19" t="s">
        <v>157</v>
      </c>
      <c r="B31" s="12">
        <v>3</v>
      </c>
      <c r="C31" s="90">
        <v>1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125.30000000000001</v>
      </c>
      <c r="M31" s="117">
        <v>1435.2481162196425</v>
      </c>
    </row>
    <row r="32" spans="1:18" x14ac:dyDescent="0.4">
      <c r="A32" s="19" t="s">
        <v>158</v>
      </c>
      <c r="B32" s="12">
        <v>17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</row>
    <row r="34" spans="1:9" x14ac:dyDescent="0.4">
      <c r="A34" s="22" t="s">
        <v>180</v>
      </c>
      <c r="B34" s="129">
        <v>142700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14</v>
      </c>
      <c r="C38" s="6">
        <f t="shared" si="2"/>
        <v>0.2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12</v>
      </c>
      <c r="C39" s="6">
        <f t="shared" si="2"/>
        <v>0.17142857142857143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15</v>
      </c>
      <c r="C40" s="6">
        <f t="shared" si="2"/>
        <v>0.21428571428571427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0.15714285714285714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8</v>
      </c>
      <c r="C42" s="6">
        <f t="shared" si="2"/>
        <v>0.11428571428571428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2.8571428571428571E-2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2.8571428571428571E-2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1.4285714285714285E-2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1.4285714285714285E-2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1</v>
      </c>
      <c r="C47" s="6">
        <f t="shared" si="2"/>
        <v>1.4285714285714285E-2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3</v>
      </c>
      <c r="C49" s="9">
        <f t="shared" si="2"/>
        <v>4.2857142857142858E-2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77663-70B2-4DE0-B94B-9A423332A52A}">
  <sheetPr codeName="Sheet18"/>
  <dimension ref="A1:Q3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38.299999999999997</v>
      </c>
      <c r="C4" s="30">
        <v>38.299999999999997</v>
      </c>
      <c r="D4" s="35">
        <v>1</v>
      </c>
      <c r="E4" s="31">
        <v>1</v>
      </c>
      <c r="F4" s="31">
        <v>0</v>
      </c>
      <c r="G4" s="31">
        <v>0.3</v>
      </c>
      <c r="H4" s="31">
        <v>0.3</v>
      </c>
      <c r="I4" s="32">
        <v>15533.333333333334</v>
      </c>
      <c r="J4" s="32">
        <v>-8266.6666666666661</v>
      </c>
      <c r="K4" s="31">
        <v>0</v>
      </c>
      <c r="L4" s="31">
        <v>0.3</v>
      </c>
      <c r="M4" s="31">
        <v>0</v>
      </c>
      <c r="N4" s="31">
        <v>0.66666666666666663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76.3</v>
      </c>
      <c r="C5" s="30">
        <v>38.15</v>
      </c>
      <c r="D5" s="35">
        <v>1</v>
      </c>
      <c r="E5" s="31">
        <v>1</v>
      </c>
      <c r="F5" s="31">
        <v>0</v>
      </c>
      <c r="G5" s="31">
        <v>0.26666666666666666</v>
      </c>
      <c r="H5" s="31">
        <v>0.2</v>
      </c>
      <c r="I5" s="32">
        <v>17650</v>
      </c>
      <c r="J5" s="32">
        <v>-8266.6666666666661</v>
      </c>
      <c r="K5" s="31">
        <v>0</v>
      </c>
      <c r="L5" s="31">
        <v>0.33333333333333331</v>
      </c>
      <c r="M5" s="31">
        <v>0</v>
      </c>
      <c r="N5" s="31">
        <v>0.6</v>
      </c>
      <c r="O5" s="31">
        <v>0</v>
      </c>
      <c r="P5" s="31">
        <v>0.5</v>
      </c>
    </row>
    <row r="6" spans="1:17" x14ac:dyDescent="0.4">
      <c r="A6" s="33">
        <v>3</v>
      </c>
      <c r="B6" s="30">
        <v>66.099999999999994</v>
      </c>
      <c r="C6" s="30">
        <v>22.033333333333331</v>
      </c>
      <c r="D6" s="35">
        <v>1.3333333333333333</v>
      </c>
      <c r="E6" s="31">
        <v>0.66666666666666663</v>
      </c>
      <c r="F6" s="31">
        <v>0</v>
      </c>
      <c r="G6" s="31">
        <v>0.31818181818181818</v>
      </c>
      <c r="H6" s="31">
        <v>0.22727272727272727</v>
      </c>
      <c r="I6" s="32">
        <v>12785.714285714286</v>
      </c>
      <c r="J6" s="32">
        <v>-9760</v>
      </c>
      <c r="K6" s="31">
        <v>0</v>
      </c>
      <c r="L6" s="31">
        <v>0.40909090909090912</v>
      </c>
      <c r="M6" s="31">
        <v>4.5454545454545456E-2</v>
      </c>
      <c r="N6" s="31">
        <v>0.55555555555555558</v>
      </c>
      <c r="O6" s="31">
        <v>1</v>
      </c>
      <c r="P6" s="31">
        <v>0.42857142857142855</v>
      </c>
    </row>
    <row r="7" spans="1:17" x14ac:dyDescent="0.4">
      <c r="A7" s="33">
        <v>4</v>
      </c>
      <c r="B7" s="30">
        <v>9.1999999999999957</v>
      </c>
      <c r="C7" s="30">
        <v>2.2999999999999989</v>
      </c>
      <c r="D7" s="35">
        <v>1.75</v>
      </c>
      <c r="E7" s="31">
        <v>0.5</v>
      </c>
      <c r="F7" s="31">
        <v>0.25</v>
      </c>
      <c r="G7" s="31">
        <v>0.25714285714285712</v>
      </c>
      <c r="H7" s="31">
        <v>0.25714285714285712</v>
      </c>
      <c r="I7" s="32">
        <v>11266.666666666666</v>
      </c>
      <c r="J7" s="32">
        <v>-8011.1111111111113</v>
      </c>
      <c r="K7" s="31">
        <v>0.25</v>
      </c>
      <c r="L7" s="31">
        <v>0.2857142857142857</v>
      </c>
      <c r="M7" s="31">
        <v>0.11428571428571428</v>
      </c>
      <c r="N7" s="31">
        <v>0.6</v>
      </c>
      <c r="O7" s="31">
        <v>0.5</v>
      </c>
      <c r="P7" s="31">
        <v>0.33333333333333331</v>
      </c>
    </row>
    <row r="8" spans="1:17" x14ac:dyDescent="0.4">
      <c r="A8" s="33">
        <v>5</v>
      </c>
      <c r="B8" s="30">
        <v>-19.800000000000004</v>
      </c>
      <c r="C8" s="30">
        <v>-3.9600000000000009</v>
      </c>
      <c r="D8" s="35">
        <v>2</v>
      </c>
      <c r="E8" s="31">
        <v>0.4</v>
      </c>
      <c r="F8" s="31">
        <v>0.4</v>
      </c>
      <c r="G8" s="31">
        <v>0.22727272727272727</v>
      </c>
      <c r="H8" s="31">
        <v>0.22727272727272727</v>
      </c>
      <c r="I8" s="32">
        <v>10350</v>
      </c>
      <c r="J8" s="32">
        <v>-7790</v>
      </c>
      <c r="K8" s="31">
        <v>0.2</v>
      </c>
      <c r="L8" s="31">
        <v>0.27272727272727271</v>
      </c>
      <c r="M8" s="31">
        <v>0.13636363636363635</v>
      </c>
      <c r="N8" s="31">
        <v>0.5</v>
      </c>
      <c r="O8" s="31">
        <v>0.33333333333333331</v>
      </c>
      <c r="P8" s="31">
        <v>0.4</v>
      </c>
    </row>
    <row r="9" spans="1:17" x14ac:dyDescent="0.4">
      <c r="A9" s="33">
        <v>6</v>
      </c>
      <c r="B9" s="30">
        <v>107.9</v>
      </c>
      <c r="C9" s="30">
        <v>17.983333333333334</v>
      </c>
      <c r="D9" s="35">
        <v>1.8333333333333333</v>
      </c>
      <c r="E9" s="31">
        <v>0.5</v>
      </c>
      <c r="F9" s="31">
        <v>0.33333333333333331</v>
      </c>
      <c r="G9" s="31">
        <v>0.29090909090909089</v>
      </c>
      <c r="H9" s="31">
        <v>0.18181818181818182</v>
      </c>
      <c r="I9" s="32">
        <v>13700</v>
      </c>
      <c r="J9" s="32">
        <v>-7790</v>
      </c>
      <c r="K9" s="31">
        <v>0.16666666666666666</v>
      </c>
      <c r="L9" s="31">
        <v>0.32727272727272727</v>
      </c>
      <c r="M9" s="31">
        <v>0.12727272727272726</v>
      </c>
      <c r="N9" s="31">
        <v>0.61111111111111116</v>
      </c>
      <c r="O9" s="31">
        <v>0.2857142857142857</v>
      </c>
      <c r="P9" s="31">
        <v>0.375</v>
      </c>
    </row>
    <row r="10" spans="1:17" x14ac:dyDescent="0.4">
      <c r="A10" s="33">
        <v>7</v>
      </c>
      <c r="B10" s="30">
        <v>119.7</v>
      </c>
      <c r="C10" s="30">
        <v>17.100000000000001</v>
      </c>
      <c r="D10" s="35">
        <v>1.8571428571428572</v>
      </c>
      <c r="E10" s="31">
        <v>0.42857142857142855</v>
      </c>
      <c r="F10" s="31">
        <v>0.2857142857142857</v>
      </c>
      <c r="G10" s="31">
        <v>0.28333333333333333</v>
      </c>
      <c r="H10" s="31">
        <v>0.18333333333333332</v>
      </c>
      <c r="I10" s="32">
        <v>14776.470588235294</v>
      </c>
      <c r="J10" s="32">
        <v>-8172.727272727273</v>
      </c>
      <c r="K10" s="31">
        <v>0.14285714285714285</v>
      </c>
      <c r="L10" s="31">
        <v>0.33333333333333331</v>
      </c>
      <c r="M10" s="31">
        <v>0.13333333333333333</v>
      </c>
      <c r="N10" s="31">
        <v>0.6</v>
      </c>
      <c r="O10" s="31">
        <v>0.25</v>
      </c>
      <c r="P10" s="31">
        <v>0.41176470588235292</v>
      </c>
    </row>
    <row r="11" spans="1:17" x14ac:dyDescent="0.4">
      <c r="A11" s="33">
        <v>8</v>
      </c>
      <c r="B11" s="30">
        <v>122.8</v>
      </c>
      <c r="C11" s="30">
        <v>15.35</v>
      </c>
      <c r="D11" s="35">
        <v>1.875</v>
      </c>
      <c r="E11" s="31">
        <v>0.375</v>
      </c>
      <c r="F11" s="31">
        <v>0.25</v>
      </c>
      <c r="G11" s="31">
        <v>0.29411764705882354</v>
      </c>
      <c r="H11" s="31">
        <v>0.17647058823529413</v>
      </c>
      <c r="I11" s="32">
        <v>13350</v>
      </c>
      <c r="J11" s="32">
        <v>-8133.333333333333</v>
      </c>
      <c r="K11" s="31">
        <v>0.125</v>
      </c>
      <c r="L11" s="31">
        <v>0.3235294117647059</v>
      </c>
      <c r="M11" s="31">
        <v>0.13235294117647059</v>
      </c>
      <c r="N11" s="31">
        <v>0.63636363636363635</v>
      </c>
      <c r="O11" s="31">
        <v>0.22222222222222221</v>
      </c>
      <c r="P11" s="31">
        <v>0.35</v>
      </c>
    </row>
    <row r="12" spans="1:17" x14ac:dyDescent="0.4">
      <c r="A12" s="33">
        <v>9</v>
      </c>
      <c r="B12" s="30">
        <v>78.400000000000006</v>
      </c>
      <c r="C12" s="30">
        <v>8.7111111111111121</v>
      </c>
      <c r="D12" s="35">
        <v>2</v>
      </c>
      <c r="E12" s="31">
        <v>0.33333333333333331</v>
      </c>
      <c r="F12" s="31">
        <v>0.33333333333333331</v>
      </c>
      <c r="G12" s="31">
        <v>0.26666666666666666</v>
      </c>
      <c r="H12" s="31">
        <v>0.18666666666666668</v>
      </c>
      <c r="I12" s="32">
        <v>13350</v>
      </c>
      <c r="J12" s="32">
        <v>-7571.4285714285716</v>
      </c>
      <c r="K12" s="31">
        <v>0.1111111111111111</v>
      </c>
      <c r="L12" s="31">
        <v>0.29333333333333333</v>
      </c>
      <c r="M12" s="31">
        <v>0.14666666666666667</v>
      </c>
      <c r="N12" s="31">
        <v>0.63636363636363635</v>
      </c>
      <c r="O12" s="31">
        <v>0.18181818181818182</v>
      </c>
      <c r="P12" s="31">
        <v>0.35</v>
      </c>
    </row>
    <row r="13" spans="1:17" x14ac:dyDescent="0.4">
      <c r="A13" s="33">
        <v>10</v>
      </c>
      <c r="B13" s="30">
        <v>68.800000000000011</v>
      </c>
      <c r="C13" s="30">
        <v>6.8800000000000008</v>
      </c>
      <c r="D13" s="35">
        <v>2</v>
      </c>
      <c r="E13" s="31">
        <v>0.3</v>
      </c>
      <c r="F13" s="31">
        <v>0.3</v>
      </c>
      <c r="G13" s="31">
        <v>0.27380952380952384</v>
      </c>
      <c r="H13" s="31">
        <v>0.20238095238095238</v>
      </c>
      <c r="I13" s="32">
        <v>13113.04347826087</v>
      </c>
      <c r="J13" s="32">
        <v>-8352.9411764705874</v>
      </c>
      <c r="K13" s="31">
        <v>0.1</v>
      </c>
      <c r="L13" s="31">
        <v>0.27380952380952384</v>
      </c>
      <c r="M13" s="31">
        <v>0.15476190476190477</v>
      </c>
      <c r="N13" s="31">
        <v>0.60869565217391308</v>
      </c>
      <c r="O13" s="31">
        <v>0.23076923076923078</v>
      </c>
      <c r="P13" s="31">
        <v>0.30434782608695654</v>
      </c>
    </row>
    <row r="14" spans="1:17" x14ac:dyDescent="0.4">
      <c r="A14" s="33">
        <v>11</v>
      </c>
      <c r="B14" s="30">
        <v>43.800000000000011</v>
      </c>
      <c r="C14" s="30">
        <v>3.9818181818181828</v>
      </c>
      <c r="D14" s="35">
        <v>2</v>
      </c>
      <c r="E14" s="31">
        <v>0.27272727272727271</v>
      </c>
      <c r="F14" s="31">
        <v>0.27272727272727271</v>
      </c>
      <c r="G14" s="31">
        <v>0.26136363636363635</v>
      </c>
      <c r="H14" s="31">
        <v>0.19318181818181818</v>
      </c>
      <c r="I14" s="32">
        <v>13113.04347826087</v>
      </c>
      <c r="J14" s="32">
        <v>-8352.9411764705874</v>
      </c>
      <c r="K14" s="31">
        <v>9.0909090909090912E-2</v>
      </c>
      <c r="L14" s="31">
        <v>0.28409090909090912</v>
      </c>
      <c r="M14" s="31">
        <v>0.14772727272727273</v>
      </c>
      <c r="N14" s="31">
        <v>0.56000000000000005</v>
      </c>
      <c r="O14" s="31">
        <v>0.23076923076923078</v>
      </c>
      <c r="P14" s="31">
        <v>0.30434782608695654</v>
      </c>
    </row>
    <row r="15" spans="1:17" x14ac:dyDescent="0.4">
      <c r="A15" s="33">
        <v>12</v>
      </c>
      <c r="B15" s="30">
        <v>45.400000000000013</v>
      </c>
      <c r="C15" s="30">
        <v>3.7833333333333345</v>
      </c>
      <c r="D15" s="35">
        <v>2</v>
      </c>
      <c r="E15" s="31">
        <v>0.25</v>
      </c>
      <c r="F15" s="31">
        <v>0.25</v>
      </c>
      <c r="G15" s="31">
        <v>0.26530612244897961</v>
      </c>
      <c r="H15" s="31">
        <v>0.19387755102040816</v>
      </c>
      <c r="I15" s="32">
        <v>12538.461538461539</v>
      </c>
      <c r="J15" s="32">
        <v>-8736.8421052631584</v>
      </c>
      <c r="K15" s="31">
        <v>8.3333333333333329E-2</v>
      </c>
      <c r="L15" s="31">
        <v>0.30612244897959184</v>
      </c>
      <c r="M15" s="31">
        <v>0.1326530612244898</v>
      </c>
      <c r="N15" s="31">
        <v>0.53333333333333333</v>
      </c>
      <c r="O15" s="31">
        <v>0.23076923076923078</v>
      </c>
      <c r="P15" s="31">
        <v>0.38461538461538464</v>
      </c>
    </row>
    <row r="16" spans="1:17" x14ac:dyDescent="0.4">
      <c r="A16" s="33">
        <v>13</v>
      </c>
      <c r="B16" s="30">
        <v>96.4</v>
      </c>
      <c r="C16" s="30">
        <v>7.4153846153846157</v>
      </c>
      <c r="D16" s="35">
        <v>1.9230769230769231</v>
      </c>
      <c r="E16" s="31">
        <v>0.30769230769230771</v>
      </c>
      <c r="F16" s="31">
        <v>0.23076923076923078</v>
      </c>
      <c r="G16" s="31">
        <v>0.2857142857142857</v>
      </c>
      <c r="H16" s="31">
        <v>0.19047619047619047</v>
      </c>
      <c r="I16" s="32">
        <v>12286.666666666666</v>
      </c>
      <c r="J16" s="32">
        <v>-8685</v>
      </c>
      <c r="K16" s="31">
        <v>7.6923076923076927E-2</v>
      </c>
      <c r="L16" s="31">
        <v>0.32380952380952382</v>
      </c>
      <c r="M16" s="31">
        <v>0.12380952380952381</v>
      </c>
      <c r="N16" s="31">
        <v>0.55882352941176472</v>
      </c>
      <c r="O16" s="31">
        <v>0.23076923076923078</v>
      </c>
      <c r="P16" s="31">
        <v>0.36666666666666664</v>
      </c>
    </row>
    <row r="17" spans="1:16" x14ac:dyDescent="0.4">
      <c r="A17" s="33">
        <v>14</v>
      </c>
      <c r="B17" s="30">
        <v>50.2</v>
      </c>
      <c r="C17" s="30">
        <v>3.5857142857142859</v>
      </c>
      <c r="D17" s="35">
        <v>2</v>
      </c>
      <c r="E17" s="31">
        <v>0.2857142857142857</v>
      </c>
      <c r="F17" s="31">
        <v>0.2857142857142857</v>
      </c>
      <c r="G17" s="31">
        <v>0.26956521739130435</v>
      </c>
      <c r="H17" s="31">
        <v>0.19130434782608696</v>
      </c>
      <c r="I17" s="32">
        <v>12277.41935483871</v>
      </c>
      <c r="J17" s="32">
        <v>-9063.636363636364</v>
      </c>
      <c r="K17" s="31">
        <v>7.1428571428571425E-2</v>
      </c>
      <c r="L17" s="31">
        <v>0.30434782608695654</v>
      </c>
      <c r="M17" s="31">
        <v>0.12173913043478261</v>
      </c>
      <c r="N17" s="31">
        <v>0.54285714285714282</v>
      </c>
      <c r="O17" s="31">
        <v>0.21428571428571427</v>
      </c>
      <c r="P17" s="31">
        <v>0.35483870967741937</v>
      </c>
    </row>
    <row r="18" spans="1:16" x14ac:dyDescent="0.4">
      <c r="A18" s="33">
        <v>15</v>
      </c>
      <c r="B18" s="30">
        <v>119.2</v>
      </c>
      <c r="C18" s="30">
        <v>7.9466666666666672</v>
      </c>
      <c r="D18" s="35">
        <v>1.9333333333333333</v>
      </c>
      <c r="E18" s="31">
        <v>0.33333333333333331</v>
      </c>
      <c r="F18" s="31">
        <v>0.26666666666666666</v>
      </c>
      <c r="G18" s="31">
        <v>0.28225806451612906</v>
      </c>
      <c r="H18" s="31">
        <v>0.17741935483870969</v>
      </c>
      <c r="I18" s="32">
        <v>12697.142857142857</v>
      </c>
      <c r="J18" s="32">
        <v>-9063.636363636364</v>
      </c>
      <c r="K18" s="31">
        <v>6.6666666666666666E-2</v>
      </c>
      <c r="L18" s="31">
        <v>0.31451612903225806</v>
      </c>
      <c r="M18" s="31">
        <v>0.12096774193548387</v>
      </c>
      <c r="N18" s="31">
        <v>0.5641025641025641</v>
      </c>
      <c r="O18" s="31">
        <v>0.2</v>
      </c>
      <c r="P18" s="31">
        <v>0.37142857142857144</v>
      </c>
    </row>
    <row r="19" spans="1:16" x14ac:dyDescent="0.4">
      <c r="A19" s="33">
        <v>16</v>
      </c>
      <c r="B19" s="30">
        <v>154</v>
      </c>
      <c r="C19" s="30">
        <v>9.625</v>
      </c>
      <c r="D19" s="35">
        <v>1.875</v>
      </c>
      <c r="E19" s="31">
        <v>0.375</v>
      </c>
      <c r="F19" s="31">
        <v>0.25</v>
      </c>
      <c r="G19" s="31">
        <v>0.2857142857142857</v>
      </c>
      <c r="H19" s="31">
        <v>0.18045112781954886</v>
      </c>
      <c r="I19" s="32">
        <v>12336.842105263158</v>
      </c>
      <c r="J19" s="32">
        <v>-8858.3333333333339</v>
      </c>
      <c r="K19" s="31">
        <v>6.25E-2</v>
      </c>
      <c r="L19" s="31">
        <v>0.30827067669172931</v>
      </c>
      <c r="M19" s="31">
        <v>0.11278195488721804</v>
      </c>
      <c r="N19" s="31">
        <v>0.56097560975609762</v>
      </c>
      <c r="O19" s="31">
        <v>0.2</v>
      </c>
      <c r="P19" s="31">
        <v>0.42105263157894735</v>
      </c>
    </row>
    <row r="20" spans="1:16" x14ac:dyDescent="0.4">
      <c r="A20" s="33">
        <v>17</v>
      </c>
      <c r="B20" s="30">
        <v>221.5</v>
      </c>
      <c r="C20" s="30">
        <v>13.029411764705882</v>
      </c>
      <c r="D20" s="35">
        <v>1.8235294117647058</v>
      </c>
      <c r="E20" s="31">
        <v>0.41176470588235292</v>
      </c>
      <c r="F20" s="31">
        <v>0.23529411764705882</v>
      </c>
      <c r="G20" s="31">
        <v>0.30215827338129497</v>
      </c>
      <c r="H20" s="31">
        <v>0.17266187050359713</v>
      </c>
      <c r="I20" s="32">
        <v>12304.761904761905</v>
      </c>
      <c r="J20" s="32">
        <v>-8858.3333333333339</v>
      </c>
      <c r="K20" s="31">
        <v>5.8823529411764705E-2</v>
      </c>
      <c r="L20" s="31">
        <v>0.32374100719424459</v>
      </c>
      <c r="M20" s="31">
        <v>0.1079136690647482</v>
      </c>
      <c r="N20" s="31">
        <v>0.6</v>
      </c>
      <c r="O20" s="31">
        <v>0.2</v>
      </c>
      <c r="P20" s="31">
        <v>0.40476190476190477</v>
      </c>
    </row>
    <row r="21" spans="1:16" x14ac:dyDescent="0.4">
      <c r="A21" s="33">
        <v>18</v>
      </c>
      <c r="B21" s="30">
        <v>197</v>
      </c>
      <c r="C21" s="30">
        <v>10.944444444444445</v>
      </c>
      <c r="D21" s="35">
        <v>1.8333333333333333</v>
      </c>
      <c r="E21" s="31">
        <v>0.3888888888888889</v>
      </c>
      <c r="F21" s="31">
        <v>0.22222222222222221</v>
      </c>
      <c r="G21" s="31">
        <v>0.2978723404255319</v>
      </c>
      <c r="H21" s="31">
        <v>0.1702127659574468</v>
      </c>
      <c r="I21" s="32">
        <v>12304.761904761905</v>
      </c>
      <c r="J21" s="32">
        <v>-8858.3333333333339</v>
      </c>
      <c r="K21" s="31">
        <v>5.5555555555555552E-2</v>
      </c>
      <c r="L21" s="31">
        <v>0.31914893617021278</v>
      </c>
      <c r="M21" s="31">
        <v>0.10638297872340426</v>
      </c>
      <c r="N21" s="31">
        <v>0.6</v>
      </c>
      <c r="O21" s="31">
        <v>0.2</v>
      </c>
      <c r="P21" s="31">
        <v>0.40476190476190477</v>
      </c>
    </row>
    <row r="22" spans="1:16" x14ac:dyDescent="0.4">
      <c r="A22" s="33">
        <v>19</v>
      </c>
      <c r="B22" s="30">
        <v>196.9</v>
      </c>
      <c r="C22" s="30">
        <v>10.363157894736842</v>
      </c>
      <c r="D22" s="35">
        <v>1.8421052631578947</v>
      </c>
      <c r="E22" s="31">
        <v>0.36842105263157893</v>
      </c>
      <c r="F22" s="31">
        <v>0.21052631578947367</v>
      </c>
      <c r="G22" s="31">
        <v>0.30666666666666664</v>
      </c>
      <c r="H22" s="31">
        <v>0.16666666666666666</v>
      </c>
      <c r="I22" s="32">
        <v>11863.04347826087</v>
      </c>
      <c r="J22" s="32">
        <v>-8824</v>
      </c>
      <c r="K22" s="31">
        <v>5.2631578947368418E-2</v>
      </c>
      <c r="L22" s="31">
        <v>0.33333333333333331</v>
      </c>
      <c r="M22" s="31">
        <v>0.1</v>
      </c>
      <c r="N22" s="31">
        <v>0.62</v>
      </c>
      <c r="O22" s="31">
        <v>0.2</v>
      </c>
      <c r="P22" s="31">
        <v>0.41304347826086957</v>
      </c>
    </row>
    <row r="23" spans="1:16" x14ac:dyDescent="0.4">
      <c r="A23" s="33">
        <v>20</v>
      </c>
      <c r="B23" s="30">
        <v>151.4</v>
      </c>
      <c r="C23" s="30">
        <v>7.57</v>
      </c>
      <c r="D23" s="35">
        <v>1.9</v>
      </c>
      <c r="E23" s="31">
        <v>0.35</v>
      </c>
      <c r="F23" s="31">
        <v>0.25</v>
      </c>
      <c r="G23" s="31">
        <v>0.29487179487179488</v>
      </c>
      <c r="H23" s="31">
        <v>0.17307692307692307</v>
      </c>
      <c r="I23" s="32">
        <v>11863.04347826087</v>
      </c>
      <c r="J23" s="32">
        <v>-8611.1111111111113</v>
      </c>
      <c r="K23" s="31">
        <v>0.05</v>
      </c>
      <c r="L23" s="31">
        <v>0.32692307692307693</v>
      </c>
      <c r="M23" s="31">
        <v>9.6153846153846159E-2</v>
      </c>
      <c r="N23" s="31">
        <v>0.60784313725490191</v>
      </c>
      <c r="O23" s="31">
        <v>0.2</v>
      </c>
      <c r="P23" s="31">
        <v>0.41304347826086957</v>
      </c>
    </row>
    <row r="24" spans="1:16" x14ac:dyDescent="0.4">
      <c r="A24" s="33">
        <v>21</v>
      </c>
      <c r="B24" s="30">
        <v>118.60000000000001</v>
      </c>
      <c r="C24" s="30">
        <v>5.647619047619048</v>
      </c>
      <c r="D24" s="35">
        <v>1.9523809523809523</v>
      </c>
      <c r="E24" s="31">
        <v>0.33333333333333331</v>
      </c>
      <c r="F24" s="31">
        <v>0.2857142857142857</v>
      </c>
      <c r="G24" s="31">
        <v>0.29268292682926828</v>
      </c>
      <c r="H24" s="31">
        <v>0.16463414634146342</v>
      </c>
      <c r="I24" s="32">
        <v>11727.083333333334</v>
      </c>
      <c r="J24" s="32">
        <v>-8611.1111111111113</v>
      </c>
      <c r="K24" s="31">
        <v>4.7619047619047616E-2</v>
      </c>
      <c r="L24" s="31">
        <v>0.31707317073170732</v>
      </c>
      <c r="M24" s="31">
        <v>0.10365853658536585</v>
      </c>
      <c r="N24" s="31">
        <v>0.61538461538461542</v>
      </c>
      <c r="O24" s="31">
        <v>0.17647058823529413</v>
      </c>
      <c r="P24" s="31">
        <v>0.41666666666666669</v>
      </c>
    </row>
    <row r="25" spans="1:16" x14ac:dyDescent="0.4">
      <c r="A25" s="33">
        <v>22</v>
      </c>
      <c r="B25" s="30">
        <v>88</v>
      </c>
      <c r="C25" s="30">
        <v>4</v>
      </c>
      <c r="D25" s="35">
        <v>2</v>
      </c>
      <c r="E25" s="31">
        <v>0.31818181818181818</v>
      </c>
      <c r="F25" s="31">
        <v>0.31818181818181818</v>
      </c>
      <c r="G25" s="31">
        <v>0.29239766081871343</v>
      </c>
      <c r="H25" s="31">
        <v>0.16959064327485379</v>
      </c>
      <c r="I25" s="32">
        <v>11658</v>
      </c>
      <c r="J25" s="32">
        <v>-8624.1379310344819</v>
      </c>
      <c r="K25" s="31">
        <v>4.5454545454545456E-2</v>
      </c>
      <c r="L25" s="31">
        <v>0.31578947368421051</v>
      </c>
      <c r="M25" s="31">
        <v>0.10526315789473684</v>
      </c>
      <c r="N25" s="31">
        <v>0.62962962962962965</v>
      </c>
      <c r="O25" s="31">
        <v>0.16666666666666666</v>
      </c>
      <c r="P25" s="31">
        <v>0.4</v>
      </c>
    </row>
    <row r="26" spans="1:16" x14ac:dyDescent="0.4">
      <c r="A26" s="33">
        <v>23</v>
      </c>
      <c r="B26" s="30">
        <v>82.9</v>
      </c>
      <c r="C26" s="30">
        <v>3.6043478260869568</v>
      </c>
      <c r="D26" s="35">
        <v>2</v>
      </c>
      <c r="E26" s="31">
        <v>0.30434782608695654</v>
      </c>
      <c r="F26" s="31">
        <v>0.30434782608695654</v>
      </c>
      <c r="G26" s="31">
        <v>0.30337078651685395</v>
      </c>
      <c r="H26" s="31">
        <v>0.16853932584269662</v>
      </c>
      <c r="I26" s="32">
        <v>11107.407407407407</v>
      </c>
      <c r="J26" s="32">
        <v>-8603.3333333333339</v>
      </c>
      <c r="K26" s="31">
        <v>4.3478260869565216E-2</v>
      </c>
      <c r="L26" s="31">
        <v>0.3202247191011236</v>
      </c>
      <c r="M26" s="31">
        <v>0.10112359550561797</v>
      </c>
      <c r="N26" s="31">
        <v>0.64912280701754388</v>
      </c>
      <c r="O26" s="31">
        <v>0.16666666666666666</v>
      </c>
      <c r="P26" s="31">
        <v>0.3888888888888889</v>
      </c>
    </row>
    <row r="27" spans="1:16" x14ac:dyDescent="0.4">
      <c r="A27" s="33">
        <v>24</v>
      </c>
      <c r="B27" s="30">
        <v>48.600000000000009</v>
      </c>
      <c r="C27" s="30">
        <v>2.0250000000000004</v>
      </c>
      <c r="D27" s="35">
        <v>2.0416666666666665</v>
      </c>
      <c r="E27" s="31">
        <v>0.29166666666666669</v>
      </c>
      <c r="F27" s="31">
        <v>0.33333333333333331</v>
      </c>
      <c r="G27" s="31">
        <v>0.29255319148936171</v>
      </c>
      <c r="H27" s="31">
        <v>0.16489361702127658</v>
      </c>
      <c r="I27" s="32">
        <v>11232.727272727272</v>
      </c>
      <c r="J27" s="32">
        <v>-8712.9032258064508</v>
      </c>
      <c r="K27" s="31">
        <v>4.1666666666666664E-2</v>
      </c>
      <c r="L27" s="31">
        <v>0.33510638297872342</v>
      </c>
      <c r="M27" s="31">
        <v>9.5744680851063829E-2</v>
      </c>
      <c r="N27" s="31">
        <v>0.60317460317460314</v>
      </c>
      <c r="O27" s="31">
        <v>0.16666666666666666</v>
      </c>
      <c r="P27" s="31">
        <v>0.4</v>
      </c>
    </row>
    <row r="28" spans="1:16" x14ac:dyDescent="0.4">
      <c r="A28" s="33">
        <v>25</v>
      </c>
      <c r="B28" s="30">
        <v>45.800000000000011</v>
      </c>
      <c r="C28" s="30">
        <v>1.8320000000000005</v>
      </c>
      <c r="D28" s="35">
        <v>2.04</v>
      </c>
      <c r="E28" s="31">
        <v>0.28000000000000003</v>
      </c>
      <c r="F28" s="31">
        <v>0.32</v>
      </c>
      <c r="G28" s="31">
        <v>0.29081632653061223</v>
      </c>
      <c r="H28" s="31">
        <v>0.15816326530612246</v>
      </c>
      <c r="I28" s="32">
        <v>11043.859649122807</v>
      </c>
      <c r="J28" s="32">
        <v>-8712.9032258064508</v>
      </c>
      <c r="K28" s="31">
        <v>0.04</v>
      </c>
      <c r="L28" s="31">
        <v>0.33673469387755101</v>
      </c>
      <c r="M28" s="31">
        <v>0.10204081632653061</v>
      </c>
      <c r="N28" s="31">
        <v>0.59090909090909094</v>
      </c>
      <c r="O28" s="31">
        <v>0.15</v>
      </c>
      <c r="P28" s="31">
        <v>0.42105263157894735</v>
      </c>
    </row>
    <row r="29" spans="1:16" x14ac:dyDescent="0.4">
      <c r="A29" s="33">
        <v>26</v>
      </c>
      <c r="B29" s="30">
        <v>111.9</v>
      </c>
      <c r="C29" s="30">
        <v>4.3038461538461537</v>
      </c>
      <c r="D29" s="35">
        <v>2</v>
      </c>
      <c r="E29" s="31">
        <v>0.30769230769230771</v>
      </c>
      <c r="F29" s="31">
        <v>0.30769230769230771</v>
      </c>
      <c r="G29" s="31">
        <v>0.30243902439024389</v>
      </c>
      <c r="H29" s="31">
        <v>0.16585365853658537</v>
      </c>
      <c r="I29" s="32">
        <v>11180.645161290322</v>
      </c>
      <c r="J29" s="32">
        <v>-8594.1176470588234</v>
      </c>
      <c r="K29" s="31">
        <v>3.8461538461538464E-2</v>
      </c>
      <c r="L29" s="31">
        <v>0.34146341463414637</v>
      </c>
      <c r="M29" s="31">
        <v>9.7560975609756101E-2</v>
      </c>
      <c r="N29" s="31">
        <v>0.6</v>
      </c>
      <c r="O29" s="31">
        <v>0.15</v>
      </c>
      <c r="P29" s="31">
        <v>0.40322580645161288</v>
      </c>
    </row>
    <row r="30" spans="1:16" x14ac:dyDescent="0.4">
      <c r="A30" s="33">
        <v>27</v>
      </c>
      <c r="B30" s="30">
        <v>126.80000000000001</v>
      </c>
      <c r="C30" s="30">
        <v>4.6962962962962971</v>
      </c>
      <c r="D30" s="35">
        <v>2</v>
      </c>
      <c r="E30" s="31">
        <v>0.29629629629629628</v>
      </c>
      <c r="F30" s="31">
        <v>0.29629629629629628</v>
      </c>
      <c r="G30" s="31">
        <v>0.30188679245283018</v>
      </c>
      <c r="H30" s="31">
        <v>0.1650943396226415</v>
      </c>
      <c r="I30" s="32">
        <v>11139.0625</v>
      </c>
      <c r="J30" s="32">
        <v>-8405.7142857142862</v>
      </c>
      <c r="K30" s="31">
        <v>3.7037037037037035E-2</v>
      </c>
      <c r="L30" s="31">
        <v>0.34433962264150941</v>
      </c>
      <c r="M30" s="31">
        <v>9.9056603773584911E-2</v>
      </c>
      <c r="N30" s="31">
        <v>0.58904109589041098</v>
      </c>
      <c r="O30" s="31">
        <v>0.14285714285714285</v>
      </c>
      <c r="P30" s="31">
        <v>0.40625</v>
      </c>
    </row>
    <row r="31" spans="1:16" x14ac:dyDescent="0.4">
      <c r="A31" s="33">
        <v>28</v>
      </c>
      <c r="B31" s="30">
        <v>101.9</v>
      </c>
      <c r="C31" s="30">
        <v>3.6392857142857147</v>
      </c>
      <c r="D31" s="35">
        <v>2</v>
      </c>
      <c r="E31" s="31">
        <v>0.2857142857142857</v>
      </c>
      <c r="F31" s="31">
        <v>0.2857142857142857</v>
      </c>
      <c r="G31" s="31">
        <v>0.29729729729729731</v>
      </c>
      <c r="H31" s="31">
        <v>0.15765765765765766</v>
      </c>
      <c r="I31" s="32">
        <v>10971.212121212122</v>
      </c>
      <c r="J31" s="32">
        <v>-8405.7142857142862</v>
      </c>
      <c r="K31" s="31">
        <v>3.5714285714285712E-2</v>
      </c>
      <c r="L31" s="31">
        <v>0.33783783783783783</v>
      </c>
      <c r="M31" s="31">
        <v>9.90990990990991E-2</v>
      </c>
      <c r="N31" s="31">
        <v>0.57333333333333336</v>
      </c>
      <c r="O31" s="31">
        <v>0.13636363636363635</v>
      </c>
      <c r="P31" s="31">
        <v>0.40909090909090912</v>
      </c>
    </row>
    <row r="32" spans="1:16" x14ac:dyDescent="0.4">
      <c r="A32" s="33">
        <v>29</v>
      </c>
      <c r="B32" s="30">
        <v>125.30000000000001</v>
      </c>
      <c r="C32" s="30">
        <v>4.3206896551724139</v>
      </c>
      <c r="D32" s="35">
        <v>1.9655172413793103</v>
      </c>
      <c r="E32" s="31">
        <v>0.31034482758620691</v>
      </c>
      <c r="F32" s="31">
        <v>0.27586206896551724</v>
      </c>
      <c r="G32" s="31">
        <v>0.30042918454935624</v>
      </c>
      <c r="H32" s="31">
        <v>0.15879828326180256</v>
      </c>
      <c r="I32" s="32">
        <v>10605.714285714286</v>
      </c>
      <c r="J32" s="32">
        <v>-8308.1081081081084</v>
      </c>
      <c r="K32" s="31">
        <v>3.4482758620689655E-2</v>
      </c>
      <c r="L32" s="31">
        <v>0.33047210300429186</v>
      </c>
      <c r="M32" s="31">
        <v>0.11158798283261803</v>
      </c>
      <c r="N32" s="31">
        <v>0.5714285714285714</v>
      </c>
      <c r="O32" s="31">
        <v>0.19230769230769232</v>
      </c>
      <c r="P32" s="31">
        <v>0.41428571428571431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93473-C89C-4692-A821-C2BE9F3B1724}">
  <sheetPr codeName="Sheet16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-24.3</v>
      </c>
      <c r="C4" s="30">
        <v>-24.3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16000</v>
      </c>
      <c r="J4" s="32">
        <v>-5800</v>
      </c>
      <c r="K4" s="31">
        <v>0</v>
      </c>
      <c r="L4" s="31">
        <v>0.1</v>
      </c>
      <c r="M4" s="31">
        <v>0.1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-4.3000000000000007</v>
      </c>
      <c r="C5" s="30">
        <v>-2.1500000000000004</v>
      </c>
      <c r="D5" s="35">
        <v>2</v>
      </c>
      <c r="E5" s="31">
        <v>0.5</v>
      </c>
      <c r="F5" s="31">
        <v>0.5</v>
      </c>
      <c r="G5" s="31">
        <v>0.11764705882352941</v>
      </c>
      <c r="H5" s="31">
        <v>0.23529411764705882</v>
      </c>
      <c r="I5" s="32">
        <v>20000</v>
      </c>
      <c r="J5" s="32">
        <v>-5700</v>
      </c>
      <c r="K5" s="31">
        <v>0</v>
      </c>
      <c r="L5" s="31">
        <v>0.23529411764705882</v>
      </c>
      <c r="M5" s="31">
        <v>5.8823529411764705E-2</v>
      </c>
      <c r="N5" s="31">
        <v>0.5</v>
      </c>
      <c r="O5" s="31">
        <v>0</v>
      </c>
      <c r="P5" s="31">
        <v>0.5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0.32142857142857145</v>
      </c>
      <c r="I6" s="32">
        <v>13400</v>
      </c>
      <c r="J6" s="32">
        <v>-4900</v>
      </c>
      <c r="K6" s="31">
        <v>0</v>
      </c>
      <c r="L6" s="31">
        <v>0.25</v>
      </c>
      <c r="M6" s="31">
        <v>0.14285714285714285</v>
      </c>
      <c r="N6" s="31">
        <v>0.42857142857142855</v>
      </c>
      <c r="O6" s="31">
        <v>0.25</v>
      </c>
      <c r="P6" s="31">
        <v>0.25</v>
      </c>
    </row>
    <row r="7" spans="1:17" x14ac:dyDescent="0.4">
      <c r="A7" s="33">
        <v>4</v>
      </c>
      <c r="B7" s="30">
        <v>-45.5</v>
      </c>
      <c r="C7" s="30">
        <v>-11.375</v>
      </c>
      <c r="D7" s="35">
        <v>2.25</v>
      </c>
      <c r="E7" s="31">
        <v>0.25</v>
      </c>
      <c r="F7" s="31">
        <v>0.5</v>
      </c>
      <c r="G7" s="31">
        <v>0.1388888888888889</v>
      </c>
      <c r="H7" s="31">
        <v>0.25</v>
      </c>
      <c r="I7" s="32">
        <v>12260</v>
      </c>
      <c r="J7" s="32">
        <v>-4900</v>
      </c>
      <c r="K7" s="31">
        <v>0</v>
      </c>
      <c r="L7" s="31">
        <v>0.30555555555555558</v>
      </c>
      <c r="M7" s="31">
        <v>0.16666666666666666</v>
      </c>
      <c r="N7" s="31">
        <v>0.36363636363636365</v>
      </c>
      <c r="O7" s="31">
        <v>0.16666666666666666</v>
      </c>
      <c r="P7" s="31">
        <v>0.2</v>
      </c>
    </row>
    <row r="8" spans="1:17" x14ac:dyDescent="0.4">
      <c r="A8" s="33">
        <v>5</v>
      </c>
      <c r="B8" s="30">
        <v>-86.3</v>
      </c>
      <c r="C8" s="30">
        <v>-17.259999999999998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0.2608695652173913</v>
      </c>
      <c r="I8" s="32">
        <v>12085.714285714286</v>
      </c>
      <c r="J8" s="32">
        <v>-5058.333333333333</v>
      </c>
      <c r="K8" s="31">
        <v>0</v>
      </c>
      <c r="L8" s="31">
        <v>0.30434782608695654</v>
      </c>
      <c r="M8" s="31">
        <v>0.21739130434782608</v>
      </c>
      <c r="N8" s="31">
        <v>0.42857142857142855</v>
      </c>
      <c r="O8" s="31">
        <v>0.1</v>
      </c>
      <c r="P8" s="31">
        <v>0.2857142857142857</v>
      </c>
    </row>
    <row r="9" spans="1:17" x14ac:dyDescent="0.4">
      <c r="A9" s="33">
        <v>6</v>
      </c>
      <c r="B9" s="30">
        <v>-133.80000000000001</v>
      </c>
      <c r="C9" s="30">
        <v>-22.3</v>
      </c>
      <c r="D9" s="35">
        <v>2.5</v>
      </c>
      <c r="E9" s="31">
        <v>0.16666666666666666</v>
      </c>
      <c r="F9" s="31">
        <v>0.66666666666666663</v>
      </c>
      <c r="G9" s="31">
        <v>0.13207547169811321</v>
      </c>
      <c r="H9" s="31">
        <v>0.22641509433962265</v>
      </c>
      <c r="I9" s="32">
        <v>12085.714285714286</v>
      </c>
      <c r="J9" s="32">
        <v>-5058.333333333333</v>
      </c>
      <c r="K9" s="31">
        <v>0.16666666666666666</v>
      </c>
      <c r="L9" s="31">
        <v>0.28301886792452829</v>
      </c>
      <c r="M9" s="31">
        <v>0.18867924528301888</v>
      </c>
      <c r="N9" s="31">
        <v>0.4</v>
      </c>
      <c r="O9" s="31">
        <v>0.1</v>
      </c>
      <c r="P9" s="31">
        <v>0.2857142857142857</v>
      </c>
    </row>
    <row r="10" spans="1:17" x14ac:dyDescent="0.4">
      <c r="A10" s="33">
        <v>7</v>
      </c>
      <c r="B10" s="30">
        <v>-76.200000000000017</v>
      </c>
      <c r="C10" s="30">
        <v>-10.885714285714288</v>
      </c>
      <c r="D10" s="35">
        <v>2.2857142857142856</v>
      </c>
      <c r="E10" s="31">
        <v>0.2857142857142857</v>
      </c>
      <c r="F10" s="31">
        <v>0.5714285714285714</v>
      </c>
      <c r="G10" s="31">
        <v>0.18032786885245902</v>
      </c>
      <c r="H10" s="31">
        <v>0.21311475409836064</v>
      </c>
      <c r="I10" s="32">
        <v>12209.09090909091</v>
      </c>
      <c r="J10" s="32">
        <v>-4869.2307692307695</v>
      </c>
      <c r="K10" s="31">
        <v>0.14285714285714285</v>
      </c>
      <c r="L10" s="31">
        <v>0.32786885245901637</v>
      </c>
      <c r="M10" s="31">
        <v>0.16393442622950818</v>
      </c>
      <c r="N10" s="31">
        <v>0.45</v>
      </c>
      <c r="O10" s="31">
        <v>0.1</v>
      </c>
      <c r="P10" s="31">
        <v>0.36363636363636365</v>
      </c>
    </row>
    <row r="11" spans="1:17" x14ac:dyDescent="0.4">
      <c r="A11" s="33">
        <v>8</v>
      </c>
      <c r="B11" s="30">
        <v>-103.80000000000001</v>
      </c>
      <c r="C11" s="30">
        <v>-12.975000000000001</v>
      </c>
      <c r="D11" s="35">
        <v>2.375</v>
      </c>
      <c r="E11" s="31">
        <v>0.25</v>
      </c>
      <c r="F11" s="31">
        <v>0.625</v>
      </c>
      <c r="G11" s="31">
        <v>0.18309859154929578</v>
      </c>
      <c r="H11" s="31">
        <v>0.18309859154929578</v>
      </c>
      <c r="I11" s="32">
        <v>11246.153846153846</v>
      </c>
      <c r="J11" s="32">
        <v>-4869.2307692307695</v>
      </c>
      <c r="K11" s="31">
        <v>0.125</v>
      </c>
      <c r="L11" s="31">
        <v>0.30985915492957744</v>
      </c>
      <c r="M11" s="31">
        <v>0.15492957746478872</v>
      </c>
      <c r="N11" s="31">
        <v>0.5</v>
      </c>
      <c r="O11" s="31">
        <v>9.0909090909090912E-2</v>
      </c>
      <c r="P11" s="31">
        <v>0.38461538461538464</v>
      </c>
    </row>
    <row r="12" spans="1:17" x14ac:dyDescent="0.4">
      <c r="A12" s="33">
        <v>9</v>
      </c>
      <c r="B12" s="30">
        <v>-132.4</v>
      </c>
      <c r="C12" s="30">
        <v>-14.711111111111112</v>
      </c>
      <c r="D12" s="35">
        <v>2.4444444444444446</v>
      </c>
      <c r="E12" s="31">
        <v>0.22222222222222221</v>
      </c>
      <c r="F12" s="31">
        <v>0.66666666666666663</v>
      </c>
      <c r="G12" s="31">
        <v>0.16666666666666666</v>
      </c>
      <c r="H12" s="31">
        <v>0.20512820512820512</v>
      </c>
      <c r="I12" s="32">
        <v>11246.153846153846</v>
      </c>
      <c r="J12" s="32">
        <v>-5025</v>
      </c>
      <c r="K12" s="31">
        <v>0.1111111111111111</v>
      </c>
      <c r="L12" s="31">
        <v>0.30769230769230771</v>
      </c>
      <c r="M12" s="31">
        <v>0.16666666666666666</v>
      </c>
      <c r="N12" s="31">
        <v>0.45833333333333331</v>
      </c>
      <c r="O12" s="31">
        <v>7.6923076923076927E-2</v>
      </c>
      <c r="P12" s="31">
        <v>0.38461538461538464</v>
      </c>
    </row>
    <row r="13" spans="1:17" x14ac:dyDescent="0.4">
      <c r="A13" s="33">
        <v>10</v>
      </c>
      <c r="B13" s="30">
        <v>-122.10000000000001</v>
      </c>
      <c r="C13" s="30">
        <v>-12.21</v>
      </c>
      <c r="D13" s="35">
        <v>2.4</v>
      </c>
      <c r="E13" s="31">
        <v>0.2</v>
      </c>
      <c r="F13" s="31">
        <v>0.6</v>
      </c>
      <c r="G13" s="31">
        <v>0.19540229885057472</v>
      </c>
      <c r="H13" s="31">
        <v>0.19540229885057472</v>
      </c>
      <c r="I13" s="32">
        <v>10558.823529411764</v>
      </c>
      <c r="J13" s="32">
        <v>-5435.2941176470586</v>
      </c>
      <c r="K13" s="31">
        <v>0.1</v>
      </c>
      <c r="L13" s="31">
        <v>0.33333333333333331</v>
      </c>
      <c r="M13" s="31">
        <v>0.16091954022988506</v>
      </c>
      <c r="N13" s="31">
        <v>0.48275862068965519</v>
      </c>
      <c r="O13" s="31">
        <v>0.14285714285714285</v>
      </c>
      <c r="P13" s="31">
        <v>0.41176470588235292</v>
      </c>
    </row>
    <row r="14" spans="1:17" x14ac:dyDescent="0.4">
      <c r="A14" s="33">
        <v>11</v>
      </c>
      <c r="B14" s="30">
        <v>-97.800000000000011</v>
      </c>
      <c r="C14" s="30">
        <v>-8.8909090909090924</v>
      </c>
      <c r="D14" s="35">
        <v>2.2727272727272729</v>
      </c>
      <c r="E14" s="31">
        <v>0.27272727272727271</v>
      </c>
      <c r="F14" s="31">
        <v>0.54545454545454541</v>
      </c>
      <c r="G14" s="31">
        <v>0.21875</v>
      </c>
      <c r="H14" s="31">
        <v>0.1875</v>
      </c>
      <c r="I14" s="32">
        <v>9657.1428571428569</v>
      </c>
      <c r="J14" s="32">
        <v>-5800</v>
      </c>
      <c r="K14" s="31">
        <v>9.0909090909090912E-2</v>
      </c>
      <c r="L14" s="31">
        <v>0.32291666666666669</v>
      </c>
      <c r="M14" s="31">
        <v>0.14583333333333334</v>
      </c>
      <c r="N14" s="31">
        <v>0.5161290322580645</v>
      </c>
      <c r="O14" s="31">
        <v>0.14285714285714285</v>
      </c>
      <c r="P14" s="31">
        <v>0.42857142857142855</v>
      </c>
    </row>
    <row r="15" spans="1:17" x14ac:dyDescent="0.4">
      <c r="A15" s="33">
        <v>12</v>
      </c>
      <c r="B15" s="30">
        <v>-133.30000000000001</v>
      </c>
      <c r="C15" s="30">
        <v>-11.108333333333334</v>
      </c>
      <c r="D15" s="35">
        <v>2.3333333333333335</v>
      </c>
      <c r="E15" s="31">
        <v>0.25</v>
      </c>
      <c r="F15" s="31">
        <v>0.58333333333333337</v>
      </c>
      <c r="G15" s="31">
        <v>0.22115384615384615</v>
      </c>
      <c r="H15" s="31">
        <v>0.17307692307692307</v>
      </c>
      <c r="I15" s="32">
        <v>9569.565217391304</v>
      </c>
      <c r="J15" s="32">
        <v>-5800</v>
      </c>
      <c r="K15" s="31">
        <v>8.3333333333333329E-2</v>
      </c>
      <c r="L15" s="31">
        <v>0.34615384615384615</v>
      </c>
      <c r="M15" s="31">
        <v>0.13461538461538461</v>
      </c>
      <c r="N15" s="31">
        <v>0.5</v>
      </c>
      <c r="O15" s="31">
        <v>0.14285714285714285</v>
      </c>
      <c r="P15" s="31">
        <v>0.43478260869565216</v>
      </c>
    </row>
    <row r="16" spans="1:17" x14ac:dyDescent="0.4">
      <c r="A16" s="33">
        <v>13</v>
      </c>
      <c r="B16" s="30">
        <v>-175.4</v>
      </c>
      <c r="C16" s="30">
        <v>-13.492307692307692</v>
      </c>
      <c r="D16" s="35">
        <v>2.3846153846153846</v>
      </c>
      <c r="E16" s="31">
        <v>0.23076923076923078</v>
      </c>
      <c r="F16" s="31">
        <v>0.61538461538461542</v>
      </c>
      <c r="G16" s="31">
        <v>0.21621621621621623</v>
      </c>
      <c r="H16" s="31">
        <v>0.18018018018018017</v>
      </c>
      <c r="I16" s="32">
        <v>9495.8333333333339</v>
      </c>
      <c r="J16" s="32">
        <v>-6060</v>
      </c>
      <c r="K16" s="31">
        <v>7.6923076923076927E-2</v>
      </c>
      <c r="L16" s="31">
        <v>0.34234234234234234</v>
      </c>
      <c r="M16" s="31">
        <v>0.13513513513513514</v>
      </c>
      <c r="N16" s="31">
        <v>0.5</v>
      </c>
      <c r="O16" s="31">
        <v>0.13333333333333333</v>
      </c>
      <c r="P16" s="31">
        <v>0.45833333333333331</v>
      </c>
    </row>
    <row r="17" spans="1:16" x14ac:dyDescent="0.4">
      <c r="A17" s="33">
        <v>14</v>
      </c>
      <c r="B17" s="30">
        <v>-130.10000000000002</v>
      </c>
      <c r="C17" s="30">
        <v>-9.2928571428571445</v>
      </c>
      <c r="D17" s="35">
        <v>2.2857142857142856</v>
      </c>
      <c r="E17" s="31">
        <v>0.2857142857142857</v>
      </c>
      <c r="F17" s="31">
        <v>0.5714285714285714</v>
      </c>
      <c r="G17" s="31">
        <v>0.24166666666666667</v>
      </c>
      <c r="H17" s="31">
        <v>0.17499999999999999</v>
      </c>
      <c r="I17" s="32">
        <v>9000</v>
      </c>
      <c r="J17" s="32">
        <v>-6342.8571428571431</v>
      </c>
      <c r="K17" s="31">
        <v>7.1428571428571425E-2</v>
      </c>
      <c r="L17" s="31">
        <v>0.35</v>
      </c>
      <c r="M17" s="31">
        <v>0.125</v>
      </c>
      <c r="N17" s="31">
        <v>0.54761904761904767</v>
      </c>
      <c r="O17" s="31">
        <v>0.13333333333333333</v>
      </c>
      <c r="P17" s="31">
        <v>0.48275862068965519</v>
      </c>
    </row>
    <row r="18" spans="1:16" x14ac:dyDescent="0.4">
      <c r="A18" s="33">
        <v>15</v>
      </c>
      <c r="B18" s="30">
        <v>-129.60000000000002</v>
      </c>
      <c r="C18" s="30">
        <v>-8.6400000000000023</v>
      </c>
      <c r="D18" s="35">
        <v>2.2666666666666666</v>
      </c>
      <c r="E18" s="31">
        <v>0.26666666666666666</v>
      </c>
      <c r="F18" s="31">
        <v>0.53333333333333333</v>
      </c>
      <c r="G18" s="31">
        <v>0.23809523809523808</v>
      </c>
      <c r="H18" s="31">
        <v>0.16666666666666666</v>
      </c>
      <c r="I18" s="32">
        <v>8966.6666666666661</v>
      </c>
      <c r="J18" s="32">
        <v>-6342.8571428571431</v>
      </c>
      <c r="K18" s="31">
        <v>6.6666666666666666E-2</v>
      </c>
      <c r="L18" s="31">
        <v>0.33333333333333331</v>
      </c>
      <c r="M18" s="31">
        <v>0.12698412698412698</v>
      </c>
      <c r="N18" s="31">
        <v>0.54761904761904767</v>
      </c>
      <c r="O18" s="31">
        <v>0.125</v>
      </c>
      <c r="P18" s="31">
        <v>0.5</v>
      </c>
    </row>
    <row r="19" spans="1:16" x14ac:dyDescent="0.4">
      <c r="A19" s="33">
        <v>16</v>
      </c>
      <c r="B19" s="30">
        <v>-149.90000000000003</v>
      </c>
      <c r="C19" s="30">
        <v>-9.3687500000000021</v>
      </c>
      <c r="D19" s="35">
        <v>2.25</v>
      </c>
      <c r="E19" s="31">
        <v>0.25</v>
      </c>
      <c r="F19" s="31">
        <v>0.5</v>
      </c>
      <c r="G19" s="31">
        <v>0.2391304347826087</v>
      </c>
      <c r="H19" s="31">
        <v>0.17391304347826086</v>
      </c>
      <c r="I19" s="32">
        <v>8975.757575757576</v>
      </c>
      <c r="J19" s="32">
        <v>-7300</v>
      </c>
      <c r="K19" s="31">
        <v>6.25E-2</v>
      </c>
      <c r="L19" s="31">
        <v>0.3188405797101449</v>
      </c>
      <c r="M19" s="31">
        <v>0.11594202898550725</v>
      </c>
      <c r="N19" s="31">
        <v>0.56818181818181823</v>
      </c>
      <c r="O19" s="31">
        <v>0.125</v>
      </c>
      <c r="P19" s="31">
        <v>0.51515151515151514</v>
      </c>
    </row>
    <row r="20" spans="1:16" x14ac:dyDescent="0.4">
      <c r="A20" s="33">
        <v>17</v>
      </c>
      <c r="B20" s="30">
        <v>-210.40000000000003</v>
      </c>
      <c r="C20" s="30">
        <v>-12.376470588235296</v>
      </c>
      <c r="D20" s="35">
        <v>2.2941176470588234</v>
      </c>
      <c r="E20" s="31">
        <v>0.23529411764705882</v>
      </c>
      <c r="F20" s="31">
        <v>0.52941176470588236</v>
      </c>
      <c r="G20" s="31">
        <v>0.23239436619718309</v>
      </c>
      <c r="H20" s="31">
        <v>0.176056338028169</v>
      </c>
      <c r="I20" s="32">
        <v>8975.757575757576</v>
      </c>
      <c r="J20" s="32">
        <v>-8288</v>
      </c>
      <c r="K20" s="31">
        <v>0.11764705882352941</v>
      </c>
      <c r="L20" s="31">
        <v>0.30985915492957744</v>
      </c>
      <c r="M20" s="31">
        <v>0.12676056338028169</v>
      </c>
      <c r="N20" s="31">
        <v>0.56818181818181823</v>
      </c>
      <c r="O20" s="31">
        <v>0.1111111111111111</v>
      </c>
      <c r="P20" s="31">
        <v>0.51515151515151514</v>
      </c>
    </row>
    <row r="21" spans="1:16" x14ac:dyDescent="0.4">
      <c r="A21" s="33">
        <v>18</v>
      </c>
      <c r="B21" s="30">
        <v>-278.40000000000003</v>
      </c>
      <c r="C21" s="30">
        <v>-15.466666666666669</v>
      </c>
      <c r="D21" s="35">
        <v>2.3333333333333335</v>
      </c>
      <c r="E21" s="31">
        <v>0.22222222222222221</v>
      </c>
      <c r="F21" s="31">
        <v>0.55555555555555558</v>
      </c>
      <c r="G21" s="31">
        <v>0.23076923076923078</v>
      </c>
      <c r="H21" s="31">
        <v>0.18181818181818182</v>
      </c>
      <c r="I21" s="32">
        <v>8975.757575757576</v>
      </c>
      <c r="J21" s="32">
        <v>-9815.3846153846152</v>
      </c>
      <c r="K21" s="31">
        <v>0.16666666666666666</v>
      </c>
      <c r="L21" s="31">
        <v>0.30769230769230771</v>
      </c>
      <c r="M21" s="31">
        <v>0.12587412587412589</v>
      </c>
      <c r="N21" s="31">
        <v>0.56818181818181823</v>
      </c>
      <c r="O21" s="31">
        <v>0.1111111111111111</v>
      </c>
      <c r="P21" s="31">
        <v>0.51515151515151514</v>
      </c>
    </row>
    <row r="22" spans="1:16" x14ac:dyDescent="0.4">
      <c r="A22" s="33">
        <v>19</v>
      </c>
      <c r="B22" s="30">
        <v>-236.20000000000005</v>
      </c>
      <c r="C22" s="30">
        <v>-12.431578947368424</v>
      </c>
      <c r="D22" s="35">
        <v>2.263157894736842</v>
      </c>
      <c r="E22" s="31">
        <v>0.26315789473684209</v>
      </c>
      <c r="F22" s="31">
        <v>0.52631578947368418</v>
      </c>
      <c r="G22" s="31">
        <v>0.24503311258278146</v>
      </c>
      <c r="H22" s="31">
        <v>0.17880794701986755</v>
      </c>
      <c r="I22" s="32">
        <v>8951.3513513513517</v>
      </c>
      <c r="J22" s="32">
        <v>-9748.1481481481478</v>
      </c>
      <c r="K22" s="31">
        <v>0.15789473684210525</v>
      </c>
      <c r="L22" s="31">
        <v>0.30463576158940397</v>
      </c>
      <c r="M22" s="31">
        <v>0.13245033112582782</v>
      </c>
      <c r="N22" s="31">
        <v>0.58695652173913049</v>
      </c>
      <c r="O22" s="31">
        <v>0.2</v>
      </c>
      <c r="P22" s="31">
        <v>0.56756756756756754</v>
      </c>
    </row>
    <row r="23" spans="1:16" x14ac:dyDescent="0.4">
      <c r="A23" s="33">
        <v>20</v>
      </c>
      <c r="B23" s="30">
        <v>-220.00000000000006</v>
      </c>
      <c r="C23" s="30">
        <v>-11.000000000000004</v>
      </c>
      <c r="D23" s="35">
        <v>2.25</v>
      </c>
      <c r="E23" s="31">
        <v>0.25</v>
      </c>
      <c r="F23" s="31">
        <v>0.5</v>
      </c>
      <c r="G23" s="31">
        <v>0.25766871165644173</v>
      </c>
      <c r="H23" s="31">
        <v>0.16564417177914109</v>
      </c>
      <c r="I23" s="32">
        <v>8616.6666666666661</v>
      </c>
      <c r="J23" s="32">
        <v>-9748.1481481481478</v>
      </c>
      <c r="K23" s="31">
        <v>0.15</v>
      </c>
      <c r="L23" s="31">
        <v>0.30674846625766872</v>
      </c>
      <c r="M23" s="31">
        <v>0.12883435582822086</v>
      </c>
      <c r="N23" s="31">
        <v>0.6</v>
      </c>
      <c r="O23" s="31">
        <v>0.23809523809523808</v>
      </c>
      <c r="P23" s="31">
        <v>0.54761904761904767</v>
      </c>
    </row>
    <row r="24" spans="1:16" x14ac:dyDescent="0.4">
      <c r="A24" s="33">
        <v>21</v>
      </c>
      <c r="B24" s="30">
        <v>-284.00000000000006</v>
      </c>
      <c r="C24" s="30">
        <v>-13.523809523809527</v>
      </c>
      <c r="D24" s="35">
        <v>2.2857142857142856</v>
      </c>
      <c r="E24" s="31">
        <v>0.23809523809523808</v>
      </c>
      <c r="F24" s="31">
        <v>0.52380952380952384</v>
      </c>
      <c r="G24" s="31">
        <v>0.25149700598802394</v>
      </c>
      <c r="H24" s="31">
        <v>0.17365269461077845</v>
      </c>
      <c r="I24" s="32">
        <v>8616.6666666666661</v>
      </c>
      <c r="J24" s="32">
        <v>-10179.310344827587</v>
      </c>
      <c r="K24" s="31">
        <v>0.19047619047619047</v>
      </c>
      <c r="L24" s="31">
        <v>0.30538922155688625</v>
      </c>
      <c r="M24" s="31">
        <v>0.12574850299401197</v>
      </c>
      <c r="N24" s="31">
        <v>0.58823529411764708</v>
      </c>
      <c r="O24" s="31">
        <v>0.23809523809523808</v>
      </c>
      <c r="P24" s="31">
        <v>0.54761904761904767</v>
      </c>
    </row>
    <row r="25" spans="1:16" x14ac:dyDescent="0.4">
      <c r="A25" s="33">
        <v>22</v>
      </c>
      <c r="B25" s="30">
        <v>-251.30000000000007</v>
      </c>
      <c r="C25" s="30">
        <v>-11.422727272727276</v>
      </c>
      <c r="D25" s="35">
        <v>2.2272727272727271</v>
      </c>
      <c r="E25" s="31">
        <v>0.27272727272727271</v>
      </c>
      <c r="F25" s="31">
        <v>0.5</v>
      </c>
      <c r="G25" s="31">
        <v>0.25433526011560692</v>
      </c>
      <c r="H25" s="31">
        <v>0.16763005780346821</v>
      </c>
      <c r="I25" s="32">
        <v>8679.545454545454</v>
      </c>
      <c r="J25" s="32">
        <v>-10179.310344827587</v>
      </c>
      <c r="K25" s="31">
        <v>0.18181818181818182</v>
      </c>
      <c r="L25" s="31">
        <v>0.31213872832369943</v>
      </c>
      <c r="M25" s="31">
        <v>0.12716763005780346</v>
      </c>
      <c r="N25" s="31">
        <v>0.59259259259259256</v>
      </c>
      <c r="O25" s="31">
        <v>0.22727272727272727</v>
      </c>
      <c r="P25" s="31">
        <v>0.56818181818181823</v>
      </c>
    </row>
    <row r="26" spans="1:16" x14ac:dyDescent="0.4">
      <c r="A26" s="33">
        <v>23</v>
      </c>
      <c r="B26" s="30">
        <v>-188.20000000000007</v>
      </c>
      <c r="C26" s="30">
        <v>-8.1826086956521777</v>
      </c>
      <c r="D26" s="35">
        <v>2.1739130434782608</v>
      </c>
      <c r="E26" s="31">
        <v>0.30434782608695654</v>
      </c>
      <c r="F26" s="31">
        <v>0.47826086956521741</v>
      </c>
      <c r="G26" s="31">
        <v>0.26229508196721313</v>
      </c>
      <c r="H26" s="31">
        <v>0.16393442622950818</v>
      </c>
      <c r="I26" s="32">
        <v>8983.3333333333339</v>
      </c>
      <c r="J26" s="32">
        <v>-9970</v>
      </c>
      <c r="K26" s="31">
        <v>0.17391304347826086</v>
      </c>
      <c r="L26" s="31">
        <v>0.31147540983606559</v>
      </c>
      <c r="M26" s="31">
        <v>0.12021857923497267</v>
      </c>
      <c r="N26" s="31">
        <v>0.59649122807017541</v>
      </c>
      <c r="O26" s="31">
        <v>0.22727272727272727</v>
      </c>
      <c r="P26" s="31">
        <v>0.58333333333333337</v>
      </c>
    </row>
    <row r="27" spans="1:16" x14ac:dyDescent="0.4">
      <c r="A27" s="33">
        <v>24</v>
      </c>
      <c r="B27" s="30">
        <v>-184.60000000000008</v>
      </c>
      <c r="C27" s="30">
        <v>-7.69166666666667</v>
      </c>
      <c r="D27" s="35">
        <v>2.1666666666666665</v>
      </c>
      <c r="E27" s="31">
        <v>0.29166666666666669</v>
      </c>
      <c r="F27" s="31">
        <v>0.45833333333333331</v>
      </c>
      <c r="G27" s="31">
        <v>0.26424870466321243</v>
      </c>
      <c r="H27" s="31">
        <v>0.16062176165803108</v>
      </c>
      <c r="I27" s="32">
        <v>8949.0196078431381</v>
      </c>
      <c r="J27" s="32">
        <v>-10035.483870967742</v>
      </c>
      <c r="K27" s="31">
        <v>0.16666666666666666</v>
      </c>
      <c r="L27" s="31">
        <v>0.31606217616580312</v>
      </c>
      <c r="M27" s="31">
        <v>0.13471502590673576</v>
      </c>
      <c r="N27" s="31">
        <v>0.60655737704918034</v>
      </c>
      <c r="O27" s="31">
        <v>0.19230769230769232</v>
      </c>
      <c r="P27" s="31">
        <v>0.56862745098039214</v>
      </c>
    </row>
    <row r="28" spans="1:16" x14ac:dyDescent="0.4">
      <c r="A28" s="33">
        <v>25</v>
      </c>
      <c r="B28" s="30">
        <v>-212.20000000000007</v>
      </c>
      <c r="C28" s="30">
        <v>-8.4880000000000031</v>
      </c>
      <c r="D28" s="35">
        <v>2.2000000000000002</v>
      </c>
      <c r="E28" s="31">
        <v>0.28000000000000003</v>
      </c>
      <c r="F28" s="31">
        <v>0.48</v>
      </c>
      <c r="G28" s="31">
        <v>0.26341463414634148</v>
      </c>
      <c r="H28" s="31">
        <v>0.16585365853658537</v>
      </c>
      <c r="I28" s="32">
        <v>8705.5555555555547</v>
      </c>
      <c r="J28" s="32">
        <v>-9488.2352941176468</v>
      </c>
      <c r="K28" s="31">
        <v>0.16</v>
      </c>
      <c r="L28" s="31">
        <v>0.32195121951219513</v>
      </c>
      <c r="M28" s="31">
        <v>0.13170731707317074</v>
      </c>
      <c r="N28" s="31">
        <v>0.60606060606060608</v>
      </c>
      <c r="O28" s="31">
        <v>0.18518518518518517</v>
      </c>
      <c r="P28" s="31">
        <v>0.55555555555555558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F254D-87FF-473E-A8AE-FF52DC5C62E0}">
  <sheetPr codeName="Sheet14"/>
  <dimension ref="A1:Q4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  <row r="10" spans="1:17" x14ac:dyDescent="0.4">
      <c r="A10" s="33">
        <v>7</v>
      </c>
      <c r="B10" s="30">
        <v>36.5</v>
      </c>
      <c r="C10" s="30">
        <v>5.2142857142857144</v>
      </c>
      <c r="D10" s="35">
        <v>1.8571428571428572</v>
      </c>
      <c r="E10" s="31">
        <v>0.42857142857142855</v>
      </c>
      <c r="F10" s="31">
        <v>0.2857142857142857</v>
      </c>
      <c r="G10" s="31">
        <v>0.32203389830508472</v>
      </c>
      <c r="H10" s="31">
        <v>5.0847457627118647E-2</v>
      </c>
      <c r="I10" s="32">
        <v>8168.4210526315792</v>
      </c>
      <c r="J10" s="32">
        <v>-5066.666666666667</v>
      </c>
      <c r="K10" s="31">
        <v>0.14285714285714285</v>
      </c>
      <c r="L10" s="31">
        <v>0.22033898305084745</v>
      </c>
      <c r="M10" s="31">
        <v>0.25423728813559321</v>
      </c>
      <c r="N10" s="31">
        <v>0.69230769230769229</v>
      </c>
      <c r="O10" s="31">
        <v>0.26666666666666666</v>
      </c>
      <c r="P10" s="31">
        <v>0.31578947368421051</v>
      </c>
    </row>
    <row r="11" spans="1:17" x14ac:dyDescent="0.4">
      <c r="A11" s="33">
        <v>8</v>
      </c>
      <c r="B11" s="30">
        <v>35.9</v>
      </c>
      <c r="C11" s="30">
        <v>4.4874999999999998</v>
      </c>
      <c r="D11" s="35">
        <v>1.875</v>
      </c>
      <c r="E11" s="31">
        <v>0.375</v>
      </c>
      <c r="F11" s="31">
        <v>0.25</v>
      </c>
      <c r="G11" s="31">
        <v>0.30303030303030304</v>
      </c>
      <c r="H11" s="31">
        <v>4.5454545454545456E-2</v>
      </c>
      <c r="I11" s="32">
        <v>8145</v>
      </c>
      <c r="J11" s="32">
        <v>-5066.666666666667</v>
      </c>
      <c r="K11" s="31">
        <v>0.125</v>
      </c>
      <c r="L11" s="31">
        <v>0.22727272727272727</v>
      </c>
      <c r="M11" s="31">
        <v>0.25757575757575757</v>
      </c>
      <c r="N11" s="31">
        <v>0.6</v>
      </c>
      <c r="O11" s="31">
        <v>0.29411764705882354</v>
      </c>
      <c r="P11" s="31">
        <v>0.3</v>
      </c>
    </row>
    <row r="12" spans="1:17" x14ac:dyDescent="0.4">
      <c r="A12" s="33">
        <v>9</v>
      </c>
      <c r="B12" s="30">
        <v>-3.3000000000000043</v>
      </c>
      <c r="C12" s="30">
        <v>-0.36666666666666714</v>
      </c>
      <c r="D12" s="35">
        <v>2</v>
      </c>
      <c r="E12" s="31">
        <v>0.33333333333333331</v>
      </c>
      <c r="F12" s="31">
        <v>0.33333333333333331</v>
      </c>
      <c r="G12" s="31">
        <v>0.2857142857142857</v>
      </c>
      <c r="H12" s="31">
        <v>6.4935064935064929E-2</v>
      </c>
      <c r="I12" s="32">
        <v>7759.090909090909</v>
      </c>
      <c r="J12" s="32">
        <v>-6160</v>
      </c>
      <c r="K12" s="31">
        <v>0.1111111111111111</v>
      </c>
      <c r="L12" s="31">
        <v>0.23376623376623376</v>
      </c>
      <c r="M12" s="31">
        <v>0.27272727272727271</v>
      </c>
      <c r="N12" s="31">
        <v>0.5</v>
      </c>
      <c r="O12" s="31">
        <v>0.33333333333333331</v>
      </c>
      <c r="P12" s="31">
        <v>0.27272727272727271</v>
      </c>
    </row>
    <row r="13" spans="1:17" x14ac:dyDescent="0.4">
      <c r="A13" s="33">
        <v>10</v>
      </c>
      <c r="B13" s="30">
        <v>-0.90000000000000435</v>
      </c>
      <c r="C13" s="30">
        <v>-9.0000000000000441E-2</v>
      </c>
      <c r="D13" s="35">
        <v>2</v>
      </c>
      <c r="E13" s="31">
        <v>0.3</v>
      </c>
      <c r="F13" s="31">
        <v>0.3</v>
      </c>
      <c r="G13" s="31">
        <v>0.28235294117647058</v>
      </c>
      <c r="H13" s="31">
        <v>7.0588235294117646E-2</v>
      </c>
      <c r="I13" s="32">
        <v>7829.166666666667</v>
      </c>
      <c r="J13" s="32">
        <v>-6200</v>
      </c>
      <c r="K13" s="31">
        <v>0.1</v>
      </c>
      <c r="L13" s="31">
        <v>0.25882352941176473</v>
      </c>
      <c r="M13" s="31">
        <v>0.25882352941176473</v>
      </c>
      <c r="N13" s="31">
        <v>0.5</v>
      </c>
      <c r="O13" s="31">
        <v>0.31818181818181818</v>
      </c>
      <c r="P13" s="31">
        <v>0.29166666666666669</v>
      </c>
    </row>
    <row r="14" spans="1:17" x14ac:dyDescent="0.4">
      <c r="A14" s="33">
        <v>11</v>
      </c>
      <c r="B14" s="30">
        <v>-3.4000000000000044</v>
      </c>
      <c r="C14" s="30">
        <v>-0.30909090909090947</v>
      </c>
      <c r="D14" s="35">
        <v>2</v>
      </c>
      <c r="E14" s="31">
        <v>0.27272727272727271</v>
      </c>
      <c r="F14" s="31">
        <v>0.27272727272727271</v>
      </c>
      <c r="G14" s="31">
        <v>0.27368421052631581</v>
      </c>
      <c r="H14" s="31">
        <v>7.3684210526315783E-2</v>
      </c>
      <c r="I14" s="32">
        <v>8611.538461538461</v>
      </c>
      <c r="J14" s="32">
        <v>-7885.7142857142853</v>
      </c>
      <c r="K14" s="31">
        <v>9.0909090909090912E-2</v>
      </c>
      <c r="L14" s="31">
        <v>0.28421052631578947</v>
      </c>
      <c r="M14" s="31">
        <v>0.23157894736842105</v>
      </c>
      <c r="N14" s="31">
        <v>0.44444444444444442</v>
      </c>
      <c r="O14" s="31">
        <v>0.31818181818181818</v>
      </c>
      <c r="P14" s="31">
        <v>0.34615384615384615</v>
      </c>
    </row>
    <row r="15" spans="1:17" x14ac:dyDescent="0.4">
      <c r="A15" s="33">
        <v>12</v>
      </c>
      <c r="B15" s="30">
        <v>-12.700000000000005</v>
      </c>
      <c r="C15" s="30">
        <v>-1.0583333333333338</v>
      </c>
      <c r="D15" s="35">
        <v>2</v>
      </c>
      <c r="E15" s="31">
        <v>0.25</v>
      </c>
      <c r="F15" s="31">
        <v>0.25</v>
      </c>
      <c r="G15" s="31">
        <v>0.27450980392156865</v>
      </c>
      <c r="H15" s="31">
        <v>6.8627450980392163E-2</v>
      </c>
      <c r="I15" s="32">
        <v>8325</v>
      </c>
      <c r="J15" s="32">
        <v>-7885.7142857142853</v>
      </c>
      <c r="K15" s="31">
        <v>8.3333333333333329E-2</v>
      </c>
      <c r="L15" s="31">
        <v>0.26470588235294118</v>
      </c>
      <c r="M15" s="31">
        <v>0.25490196078431371</v>
      </c>
      <c r="N15" s="31">
        <v>0.44444444444444442</v>
      </c>
      <c r="O15" s="31">
        <v>0.34615384615384615</v>
      </c>
      <c r="P15" s="31">
        <v>0.39285714285714285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2.0769230769230771</v>
      </c>
      <c r="E16" s="31">
        <v>0.23076923076923078</v>
      </c>
      <c r="F16" s="31">
        <v>0.30769230769230771</v>
      </c>
      <c r="G16" s="31">
        <v>0.26363636363636361</v>
      </c>
      <c r="H16" s="31">
        <v>7.2727272727272724E-2</v>
      </c>
      <c r="I16" s="32">
        <v>8313.7931034482754</v>
      </c>
      <c r="J16" s="32">
        <v>-9150</v>
      </c>
      <c r="K16" s="31">
        <v>0.15384615384615385</v>
      </c>
      <c r="L16" s="31">
        <v>0.27272727272727271</v>
      </c>
      <c r="M16" s="31">
        <v>0.24545454545454545</v>
      </c>
      <c r="N16" s="31">
        <v>0.4</v>
      </c>
      <c r="O16" s="31">
        <v>0.33333333333333331</v>
      </c>
      <c r="P16" s="31">
        <v>0.41379310344827586</v>
      </c>
    </row>
    <row r="17" spans="1:16" x14ac:dyDescent="0.4">
      <c r="A17" s="33">
        <v>14</v>
      </c>
      <c r="B17" s="30">
        <v>-32.700000000000003</v>
      </c>
      <c r="C17" s="30">
        <v>-2.3357142857142859</v>
      </c>
      <c r="D17" s="35">
        <v>2</v>
      </c>
      <c r="E17" s="31">
        <v>0.2857142857142857</v>
      </c>
      <c r="F17" s="31">
        <v>0.2857142857142857</v>
      </c>
      <c r="G17" s="31">
        <v>0.25833333333333336</v>
      </c>
      <c r="H17" s="31">
        <v>6.6666666666666666E-2</v>
      </c>
      <c r="I17" s="32">
        <v>8680.645161290322</v>
      </c>
      <c r="J17" s="32">
        <v>-9150</v>
      </c>
      <c r="K17" s="31">
        <v>0.14285714285714285</v>
      </c>
      <c r="L17" s="31">
        <v>0.29166666666666669</v>
      </c>
      <c r="M17" s="31">
        <v>0.24166666666666667</v>
      </c>
      <c r="N17" s="31">
        <v>0.4</v>
      </c>
      <c r="O17" s="31">
        <v>0.31034482758620691</v>
      </c>
      <c r="P17" s="31">
        <v>0.45161290322580644</v>
      </c>
    </row>
    <row r="18" spans="1:16" x14ac:dyDescent="0.4">
      <c r="A18" s="33">
        <v>15</v>
      </c>
      <c r="B18" s="30">
        <v>10.699999999999996</v>
      </c>
      <c r="C18" s="30">
        <v>0.71333333333333304</v>
      </c>
      <c r="D18" s="35">
        <v>1.9333333333333333</v>
      </c>
      <c r="E18" s="31">
        <v>0.33333333333333331</v>
      </c>
      <c r="F18" s="31">
        <v>0.26666666666666666</v>
      </c>
      <c r="G18" s="31">
        <v>0.26771653543307089</v>
      </c>
      <c r="H18" s="31">
        <v>6.2992125984251968E-2</v>
      </c>
      <c r="I18" s="32">
        <v>8735.2941176470595</v>
      </c>
      <c r="J18" s="32">
        <v>-9150</v>
      </c>
      <c r="K18" s="31">
        <v>0.13333333333333333</v>
      </c>
      <c r="L18" s="31">
        <v>0.27559055118110237</v>
      </c>
      <c r="M18" s="31">
        <v>0.24409448818897639</v>
      </c>
      <c r="N18" s="31">
        <v>0.4</v>
      </c>
      <c r="O18" s="31">
        <v>0.35483870967741937</v>
      </c>
      <c r="P18" s="31">
        <v>0.41176470588235292</v>
      </c>
    </row>
    <row r="19" spans="1:16" x14ac:dyDescent="0.4">
      <c r="A19" s="33">
        <v>16</v>
      </c>
      <c r="B19" s="30">
        <v>-22.000000000000007</v>
      </c>
      <c r="C19" s="30">
        <v>-1.3750000000000004</v>
      </c>
      <c r="D19" s="35">
        <v>2</v>
      </c>
      <c r="E19" s="31">
        <v>0.3125</v>
      </c>
      <c r="F19" s="31">
        <v>0.3125</v>
      </c>
      <c r="G19" s="31">
        <v>0.27205882352941174</v>
      </c>
      <c r="H19" s="31">
        <v>7.3529411764705885E-2</v>
      </c>
      <c r="I19" s="32">
        <v>8529.72972972973</v>
      </c>
      <c r="J19" s="32">
        <v>-10520</v>
      </c>
      <c r="K19" s="31">
        <v>0.125</v>
      </c>
      <c r="L19" s="31">
        <v>0.27941176470588236</v>
      </c>
      <c r="M19" s="31">
        <v>0.25</v>
      </c>
      <c r="N19" s="31">
        <v>0.42105263157894735</v>
      </c>
      <c r="O19" s="31">
        <v>0.35294117647058826</v>
      </c>
      <c r="P19" s="31">
        <v>0.43243243243243246</v>
      </c>
    </row>
    <row r="20" spans="1:16" x14ac:dyDescent="0.4">
      <c r="A20" s="33">
        <v>17</v>
      </c>
      <c r="B20" s="30">
        <v>-44.800000000000011</v>
      </c>
      <c r="C20" s="30">
        <v>-2.6352941176470597</v>
      </c>
      <c r="D20" s="35">
        <v>2.0588235294117645</v>
      </c>
      <c r="E20" s="31">
        <v>0.29411764705882354</v>
      </c>
      <c r="F20" s="31">
        <v>0.35294117647058826</v>
      </c>
      <c r="G20" s="31">
        <v>0.27464788732394368</v>
      </c>
      <c r="H20" s="31">
        <v>8.4507042253521125E-2</v>
      </c>
      <c r="I20" s="32">
        <v>8276.9230769230762</v>
      </c>
      <c r="J20" s="32">
        <v>-10100</v>
      </c>
      <c r="K20" s="31">
        <v>0.11764705882352941</v>
      </c>
      <c r="L20" s="31">
        <v>0.28873239436619719</v>
      </c>
      <c r="M20" s="31">
        <v>0.23943661971830985</v>
      </c>
      <c r="N20" s="31">
        <v>0.43902439024390244</v>
      </c>
      <c r="O20" s="31">
        <v>0.35294117647058826</v>
      </c>
      <c r="P20" s="31">
        <v>0.4358974358974359</v>
      </c>
    </row>
    <row r="21" spans="1:16" x14ac:dyDescent="0.4">
      <c r="A21" s="33">
        <v>18</v>
      </c>
      <c r="B21" s="30">
        <v>-41.600000000000009</v>
      </c>
      <c r="C21" s="30">
        <v>-2.3111111111111118</v>
      </c>
      <c r="D21" s="35">
        <v>2.0555555555555554</v>
      </c>
      <c r="E21" s="31">
        <v>0.27777777777777779</v>
      </c>
      <c r="F21" s="31">
        <v>0.33333333333333331</v>
      </c>
      <c r="G21" s="31">
        <v>0.28000000000000003</v>
      </c>
      <c r="H21" s="31">
        <v>0.11333333333333333</v>
      </c>
      <c r="I21" s="32">
        <v>8535.7142857142862</v>
      </c>
      <c r="J21" s="32">
        <v>-9217.6470588235297</v>
      </c>
      <c r="K21" s="31">
        <v>0.1111111111111111</v>
      </c>
      <c r="L21" s="31">
        <v>0.28666666666666668</v>
      </c>
      <c r="M21" s="31">
        <v>0.22666666666666666</v>
      </c>
      <c r="N21" s="31">
        <v>0.46511627906976744</v>
      </c>
      <c r="O21" s="31">
        <v>0.35294117647058826</v>
      </c>
      <c r="P21" s="31">
        <v>0.45238095238095238</v>
      </c>
    </row>
    <row r="22" spans="1:16" x14ac:dyDescent="0.4">
      <c r="A22" s="33">
        <v>19</v>
      </c>
      <c r="B22" s="30">
        <v>-91.200000000000017</v>
      </c>
      <c r="C22" s="30">
        <v>-4.8000000000000007</v>
      </c>
      <c r="D22" s="35">
        <v>2.1052631578947367</v>
      </c>
      <c r="E22" s="31">
        <v>0.26315789473684209</v>
      </c>
      <c r="F22" s="31">
        <v>0.36842105263157893</v>
      </c>
      <c r="G22" s="31">
        <v>0.27500000000000002</v>
      </c>
      <c r="H22" s="31">
        <v>0.11874999999999999</v>
      </c>
      <c r="I22" s="32">
        <v>8511.363636363636</v>
      </c>
      <c r="J22" s="32">
        <v>-9510.5263157894733</v>
      </c>
      <c r="K22" s="31">
        <v>0.10526315789473684</v>
      </c>
      <c r="L22" s="31">
        <v>0.27500000000000002</v>
      </c>
      <c r="M22" s="31">
        <v>0.23749999999999999</v>
      </c>
      <c r="N22" s="31">
        <v>0.45454545454545453</v>
      </c>
      <c r="O22" s="31">
        <v>0.36842105263157893</v>
      </c>
      <c r="P22" s="31">
        <v>0.45454545454545453</v>
      </c>
    </row>
    <row r="23" spans="1:16" x14ac:dyDescent="0.4">
      <c r="A23" s="33">
        <v>20</v>
      </c>
      <c r="B23" s="30">
        <v>-149.30000000000001</v>
      </c>
      <c r="C23" s="30">
        <v>-7.4650000000000007</v>
      </c>
      <c r="D23" s="35">
        <v>2.15</v>
      </c>
      <c r="E23" s="31">
        <v>0.25</v>
      </c>
      <c r="F23" s="31">
        <v>0.4</v>
      </c>
      <c r="G23" s="31">
        <v>0.26190476190476192</v>
      </c>
      <c r="H23" s="31">
        <v>0.125</v>
      </c>
      <c r="I23" s="32">
        <v>8511.363636363636</v>
      </c>
      <c r="J23" s="32">
        <v>-9171.4285714285706</v>
      </c>
      <c r="K23" s="31">
        <v>0.15</v>
      </c>
      <c r="L23" s="31">
        <v>0.27380952380952384</v>
      </c>
      <c r="M23" s="31">
        <v>0.23214285714285715</v>
      </c>
      <c r="N23" s="31">
        <v>0.43478260869565216</v>
      </c>
      <c r="O23" s="31">
        <v>0.35897435897435898</v>
      </c>
      <c r="P23" s="31">
        <v>0.45454545454545453</v>
      </c>
    </row>
    <row r="24" spans="1:16" x14ac:dyDescent="0.4">
      <c r="A24" s="33">
        <v>21</v>
      </c>
      <c r="B24" s="30">
        <v>-180.3</v>
      </c>
      <c r="C24" s="30">
        <v>-8.5857142857142854</v>
      </c>
      <c r="D24" s="35">
        <v>2.1904761904761907</v>
      </c>
      <c r="E24" s="31">
        <v>0.23809523809523808</v>
      </c>
      <c r="F24" s="31">
        <v>0.42857142857142855</v>
      </c>
      <c r="G24" s="31">
        <v>0.25555555555555554</v>
      </c>
      <c r="H24" s="31">
        <v>0.11666666666666667</v>
      </c>
      <c r="I24" s="32">
        <v>8230.434782608696</v>
      </c>
      <c r="J24" s="32">
        <v>-9171.4285714285706</v>
      </c>
      <c r="K24" s="31">
        <v>0.14285714285714285</v>
      </c>
      <c r="L24" s="31">
        <v>0.26111111111111113</v>
      </c>
      <c r="M24" s="31">
        <v>0.22777777777777777</v>
      </c>
      <c r="N24" s="31">
        <v>0.44680851063829785</v>
      </c>
      <c r="O24" s="31">
        <v>0.36585365853658536</v>
      </c>
      <c r="P24" s="31">
        <v>0.43478260869565216</v>
      </c>
    </row>
    <row r="25" spans="1:16" x14ac:dyDescent="0.4">
      <c r="A25" s="33">
        <v>22</v>
      </c>
      <c r="B25" s="30">
        <v>-180.3</v>
      </c>
      <c r="C25" s="30">
        <v>-8.1954545454545453</v>
      </c>
      <c r="D25" s="35">
        <v>2.1363636363636362</v>
      </c>
      <c r="E25" s="31">
        <v>0.27272727272727271</v>
      </c>
      <c r="F25" s="31">
        <v>0.40909090909090912</v>
      </c>
      <c r="G25" s="31">
        <v>0.25555555555555554</v>
      </c>
      <c r="H25" s="31">
        <v>0.11666666666666667</v>
      </c>
      <c r="I25" s="32">
        <v>8230.434782608696</v>
      </c>
      <c r="J25" s="32">
        <v>-9171.4285714285706</v>
      </c>
      <c r="K25" s="31">
        <v>0.13636363636363635</v>
      </c>
      <c r="L25" s="31">
        <v>0.26111111111111113</v>
      </c>
      <c r="M25" s="31">
        <v>0.22777777777777777</v>
      </c>
      <c r="N25" s="31">
        <v>0.44680851063829785</v>
      </c>
      <c r="O25" s="31">
        <v>0.36585365853658536</v>
      </c>
      <c r="P25" s="31">
        <v>0.43478260869565216</v>
      </c>
    </row>
    <row r="26" spans="1:16" x14ac:dyDescent="0.4">
      <c r="A26" s="33">
        <v>23</v>
      </c>
      <c r="B26" s="30">
        <v>-202.5</v>
      </c>
      <c r="C26" s="30">
        <v>-8.804347826086957</v>
      </c>
      <c r="D26" s="35">
        <v>2.1304347826086958</v>
      </c>
      <c r="E26" s="31">
        <v>0.2608695652173913</v>
      </c>
      <c r="F26" s="31">
        <v>0.39130434782608697</v>
      </c>
      <c r="G26" s="31">
        <v>0.25906735751295334</v>
      </c>
      <c r="H26" s="31">
        <v>0.12953367875647667</v>
      </c>
      <c r="I26" s="32">
        <v>8140</v>
      </c>
      <c r="J26" s="32">
        <v>-8452</v>
      </c>
      <c r="K26" s="31">
        <v>0.13043478260869565</v>
      </c>
      <c r="L26" s="31">
        <v>0.25388601036269431</v>
      </c>
      <c r="M26" s="31">
        <v>0.22279792746113988</v>
      </c>
      <c r="N26" s="31">
        <v>0.46938775510204084</v>
      </c>
      <c r="O26" s="31">
        <v>0.37209302325581395</v>
      </c>
      <c r="P26" s="31">
        <v>0.44</v>
      </c>
    </row>
    <row r="27" spans="1:16" x14ac:dyDescent="0.4">
      <c r="A27" s="33">
        <v>24</v>
      </c>
      <c r="B27" s="30">
        <v>-239.5</v>
      </c>
      <c r="C27" s="30">
        <v>-9.9791666666666661</v>
      </c>
      <c r="D27" s="35">
        <v>2.1666666666666665</v>
      </c>
      <c r="E27" s="31">
        <v>0.25</v>
      </c>
      <c r="F27" s="31">
        <v>0.41666666666666669</v>
      </c>
      <c r="G27" s="31">
        <v>0.26108374384236455</v>
      </c>
      <c r="H27" s="31">
        <v>0.14778325123152711</v>
      </c>
      <c r="I27" s="32">
        <v>8147.1698113207549</v>
      </c>
      <c r="J27" s="32">
        <v>-7870</v>
      </c>
      <c r="K27" s="31">
        <v>0.125</v>
      </c>
      <c r="L27" s="31">
        <v>0.24630541871921183</v>
      </c>
      <c r="M27" s="31">
        <v>0.23152709359605911</v>
      </c>
      <c r="N27" s="31">
        <v>0.48</v>
      </c>
      <c r="O27" s="31">
        <v>0.36170212765957449</v>
      </c>
      <c r="P27" s="31">
        <v>0.41509433962264153</v>
      </c>
    </row>
    <row r="28" spans="1:16" x14ac:dyDescent="0.4">
      <c r="A28" s="33">
        <v>25</v>
      </c>
      <c r="B28" s="30">
        <v>-242.5</v>
      </c>
      <c r="C28" s="30">
        <v>-9.6999999999999993</v>
      </c>
      <c r="D28" s="35">
        <v>2.16</v>
      </c>
      <c r="E28" s="31">
        <v>0.24</v>
      </c>
      <c r="F28" s="31">
        <v>0.4</v>
      </c>
      <c r="G28" s="31">
        <v>0.26442307692307693</v>
      </c>
      <c r="H28" s="31">
        <v>0.15384615384615385</v>
      </c>
      <c r="I28" s="32">
        <v>8209.0909090909099</v>
      </c>
      <c r="J28" s="32">
        <v>-7868.75</v>
      </c>
      <c r="K28" s="31">
        <v>0.12</v>
      </c>
      <c r="L28" s="31">
        <v>0.25</v>
      </c>
      <c r="M28" s="31">
        <v>0.22596153846153846</v>
      </c>
      <c r="N28" s="31">
        <v>0.5</v>
      </c>
      <c r="O28" s="31">
        <v>0.36170212765957449</v>
      </c>
      <c r="P28" s="31">
        <v>0.41818181818181815</v>
      </c>
    </row>
    <row r="29" spans="1:16" x14ac:dyDescent="0.4">
      <c r="A29" s="33">
        <v>26</v>
      </c>
      <c r="B29" s="30">
        <v>-278.5</v>
      </c>
      <c r="C29" s="30">
        <v>-10.711538461538462</v>
      </c>
      <c r="D29" s="35">
        <v>2.1923076923076925</v>
      </c>
      <c r="E29" s="31">
        <v>0.23076923076923078</v>
      </c>
      <c r="F29" s="31">
        <v>0.42307692307692307</v>
      </c>
      <c r="G29" s="31">
        <v>0.2558139534883721</v>
      </c>
      <c r="H29" s="31">
        <v>0.15813953488372093</v>
      </c>
      <c r="I29" s="32">
        <v>8209.0909090909099</v>
      </c>
      <c r="J29" s="32">
        <v>-7726.4705882352937</v>
      </c>
      <c r="K29" s="31">
        <v>0.11538461538461539</v>
      </c>
      <c r="L29" s="31">
        <v>0.24186046511627907</v>
      </c>
      <c r="M29" s="31">
        <v>0.22790697674418606</v>
      </c>
      <c r="N29" s="31">
        <v>0.5</v>
      </c>
      <c r="O29" s="31">
        <v>0.34693877551020408</v>
      </c>
      <c r="P29" s="31">
        <v>0.41818181818181815</v>
      </c>
    </row>
    <row r="30" spans="1:16" x14ac:dyDescent="0.4">
      <c r="A30" s="33">
        <v>27</v>
      </c>
      <c r="B30" s="30">
        <v>-202</v>
      </c>
      <c r="C30" s="30">
        <v>-7.4814814814814818</v>
      </c>
      <c r="D30" s="35">
        <v>2.1481481481481484</v>
      </c>
      <c r="E30" s="31">
        <v>0.25925925925925924</v>
      </c>
      <c r="F30" s="31">
        <v>0.40740740740740738</v>
      </c>
      <c r="G30" s="31">
        <v>0.26754385964912281</v>
      </c>
      <c r="H30" s="31">
        <v>0.15789473684210525</v>
      </c>
      <c r="I30" s="32">
        <v>8277.0491803278692</v>
      </c>
      <c r="J30" s="32">
        <v>-7627.7777777777774</v>
      </c>
      <c r="K30" s="31">
        <v>0.1111111111111111</v>
      </c>
      <c r="L30" s="31">
        <v>0.23245614035087719</v>
      </c>
      <c r="M30" s="31">
        <v>0.23684210526315788</v>
      </c>
      <c r="N30" s="31">
        <v>0.49056603773584906</v>
      </c>
      <c r="O30" s="31">
        <v>0.37037037037037035</v>
      </c>
      <c r="P30" s="31">
        <v>0.4098360655737705</v>
      </c>
    </row>
    <row r="31" spans="1:16" x14ac:dyDescent="0.4">
      <c r="A31" s="33">
        <v>28</v>
      </c>
      <c r="B31" s="30">
        <v>-208.1</v>
      </c>
      <c r="C31" s="30">
        <v>-7.4321428571428569</v>
      </c>
      <c r="D31" s="35">
        <v>2.1428571428571428</v>
      </c>
      <c r="E31" s="31">
        <v>0.25</v>
      </c>
      <c r="F31" s="31">
        <v>0.39285714285714285</v>
      </c>
      <c r="G31" s="31">
        <v>0.26582278481012656</v>
      </c>
      <c r="H31" s="31">
        <v>0.16455696202531644</v>
      </c>
      <c r="I31" s="32">
        <v>8200</v>
      </c>
      <c r="J31" s="32">
        <v>-7528.2051282051279</v>
      </c>
      <c r="K31" s="31">
        <v>0.10714285714285714</v>
      </c>
      <c r="L31" s="31">
        <v>0.22784810126582278</v>
      </c>
      <c r="M31" s="31">
        <v>0.23628691983122363</v>
      </c>
      <c r="N31" s="31">
        <v>0.5</v>
      </c>
      <c r="O31" s="31">
        <v>0.375</v>
      </c>
      <c r="P31" s="31">
        <v>0.42857142857142855</v>
      </c>
    </row>
    <row r="32" spans="1:16" x14ac:dyDescent="0.4">
      <c r="A32" s="33">
        <v>29</v>
      </c>
      <c r="B32" s="30">
        <v>-256.8</v>
      </c>
      <c r="C32" s="30">
        <v>-8.8551724137931043</v>
      </c>
      <c r="D32" s="35">
        <v>2.1379310344827585</v>
      </c>
      <c r="E32" s="31">
        <v>0.2413793103448276</v>
      </c>
      <c r="F32" s="31">
        <v>0.37931034482758619</v>
      </c>
      <c r="G32" s="31">
        <v>0.26209677419354838</v>
      </c>
      <c r="H32" s="31">
        <v>0.16532258064516128</v>
      </c>
      <c r="I32" s="32">
        <v>8193.8461538461543</v>
      </c>
      <c r="J32" s="32">
        <v>-7641.4634146341459</v>
      </c>
      <c r="K32" s="31">
        <v>0.13793103448275862</v>
      </c>
      <c r="L32" s="31">
        <v>0.22983870967741934</v>
      </c>
      <c r="M32" s="31">
        <v>0.22983870967741934</v>
      </c>
      <c r="N32" s="31">
        <v>0.50877192982456143</v>
      </c>
      <c r="O32" s="31">
        <v>0.36842105263157893</v>
      </c>
      <c r="P32" s="31">
        <v>0.44615384615384618</v>
      </c>
    </row>
    <row r="33" spans="1:16" x14ac:dyDescent="0.4">
      <c r="A33" s="33">
        <v>30</v>
      </c>
      <c r="B33" s="30">
        <v>-312.90000000000003</v>
      </c>
      <c r="C33" s="30">
        <v>-10.430000000000001</v>
      </c>
      <c r="D33" s="35">
        <v>2.1666666666666665</v>
      </c>
      <c r="E33" s="31">
        <v>0.23333333333333334</v>
      </c>
      <c r="F33" s="31">
        <v>0.4</v>
      </c>
      <c r="G33" s="31">
        <v>0.25691699604743085</v>
      </c>
      <c r="H33" s="31">
        <v>0.16600790513833993</v>
      </c>
      <c r="I33" s="32">
        <v>8193.8461538461543</v>
      </c>
      <c r="J33" s="32">
        <v>-7745.2380952380954</v>
      </c>
      <c r="K33" s="31">
        <v>0.16666666666666666</v>
      </c>
      <c r="L33" s="31">
        <v>0.22529644268774704</v>
      </c>
      <c r="M33" s="31">
        <v>0.22529644268774704</v>
      </c>
      <c r="N33" s="31">
        <v>0.50877192982456143</v>
      </c>
      <c r="O33" s="31">
        <v>0.36842105263157893</v>
      </c>
      <c r="P33" s="31">
        <v>0.44615384615384618</v>
      </c>
    </row>
    <row r="34" spans="1:16" x14ac:dyDescent="0.4">
      <c r="A34" s="33">
        <v>31</v>
      </c>
      <c r="B34" s="30">
        <v>-284.60000000000002</v>
      </c>
      <c r="C34" s="30">
        <v>-9.1806451612903235</v>
      </c>
      <c r="D34" s="35">
        <v>2.129032258064516</v>
      </c>
      <c r="E34" s="31">
        <v>0.25806451612903225</v>
      </c>
      <c r="F34" s="31">
        <v>0.38709677419354838</v>
      </c>
      <c r="G34" s="31">
        <v>0.26053639846743293</v>
      </c>
      <c r="H34" s="31">
        <v>0.17241379310344829</v>
      </c>
      <c r="I34" s="32">
        <v>8133.8235294117649</v>
      </c>
      <c r="J34" s="32">
        <v>-7488.8888888888887</v>
      </c>
      <c r="K34" s="31">
        <v>0.16129032258064516</v>
      </c>
      <c r="L34" s="31">
        <v>0.22988505747126436</v>
      </c>
      <c r="M34" s="31">
        <v>0.21839080459770116</v>
      </c>
      <c r="N34" s="31">
        <v>0.51666666666666672</v>
      </c>
      <c r="O34" s="31">
        <v>0.36842105263157893</v>
      </c>
      <c r="P34" s="31">
        <v>0.45588235294117646</v>
      </c>
    </row>
    <row r="35" spans="1:16" x14ac:dyDescent="0.4">
      <c r="A35" s="33">
        <v>32</v>
      </c>
      <c r="B35" s="30">
        <v>-296.60000000000002</v>
      </c>
      <c r="C35" s="30">
        <v>-9.2687500000000007</v>
      </c>
      <c r="D35" s="35">
        <v>2.125</v>
      </c>
      <c r="E35" s="31">
        <v>0.25</v>
      </c>
      <c r="F35" s="31">
        <v>0.375</v>
      </c>
      <c r="G35" s="31">
        <v>0.2537313432835821</v>
      </c>
      <c r="H35" s="31">
        <v>0.16791044776119404</v>
      </c>
      <c r="I35" s="32">
        <v>8133.8235294117649</v>
      </c>
      <c r="J35" s="32">
        <v>-7488.8888888888887</v>
      </c>
      <c r="K35" s="31">
        <v>0.15625</v>
      </c>
      <c r="L35" s="31">
        <v>0.22761194029850745</v>
      </c>
      <c r="M35" s="31">
        <v>0.21268656716417911</v>
      </c>
      <c r="N35" s="31">
        <v>0.50819672131147542</v>
      </c>
      <c r="O35" s="31">
        <v>0.36842105263157893</v>
      </c>
      <c r="P35" s="31">
        <v>0.45588235294117646</v>
      </c>
    </row>
    <row r="36" spans="1:16" x14ac:dyDescent="0.4">
      <c r="A36" s="33">
        <v>33</v>
      </c>
      <c r="B36" s="30">
        <v>-331.20000000000005</v>
      </c>
      <c r="C36" s="30">
        <v>-10.036363636363637</v>
      </c>
      <c r="D36" s="35">
        <v>2.1515151515151514</v>
      </c>
      <c r="E36" s="31">
        <v>0.24242424242424243</v>
      </c>
      <c r="F36" s="31">
        <v>0.39393939393939392</v>
      </c>
      <c r="G36" s="31">
        <v>0.25270758122743681</v>
      </c>
      <c r="H36" s="31">
        <v>0.16967509025270758</v>
      </c>
      <c r="I36" s="32">
        <v>8187.1428571428569</v>
      </c>
      <c r="J36" s="32">
        <v>-7736.1702127659573</v>
      </c>
      <c r="K36" s="31">
        <v>0.15151515151515152</v>
      </c>
      <c r="L36" s="31">
        <v>0.23104693140794225</v>
      </c>
      <c r="M36" s="31">
        <v>0.20577617328519857</v>
      </c>
      <c r="N36" s="31">
        <v>0.515625</v>
      </c>
      <c r="O36" s="31">
        <v>0.36842105263157893</v>
      </c>
      <c r="P36" s="31">
        <v>0.44285714285714284</v>
      </c>
    </row>
    <row r="37" spans="1:16" x14ac:dyDescent="0.4">
      <c r="A37" s="33">
        <v>34</v>
      </c>
      <c r="B37" s="30">
        <v>-250.00000000000006</v>
      </c>
      <c r="C37" s="30">
        <v>-7.3529411764705896</v>
      </c>
      <c r="D37" s="35">
        <v>2.1176470588235294</v>
      </c>
      <c r="E37" s="31">
        <v>0.26470588235294118</v>
      </c>
      <c r="F37" s="31">
        <v>0.38235294117647056</v>
      </c>
      <c r="G37" s="31">
        <v>0.2597864768683274</v>
      </c>
      <c r="H37" s="31">
        <v>0.16725978647686832</v>
      </c>
      <c r="I37" s="32">
        <v>8600</v>
      </c>
      <c r="J37" s="32">
        <v>-7736.1702127659573</v>
      </c>
      <c r="K37" s="31">
        <v>0.14705882352941177</v>
      </c>
      <c r="L37" s="31">
        <v>0.23487544483985764</v>
      </c>
      <c r="M37" s="31">
        <v>0.20640569395017794</v>
      </c>
      <c r="N37" s="31">
        <v>0.53030303030303028</v>
      </c>
      <c r="O37" s="31">
        <v>0.37931034482758619</v>
      </c>
      <c r="P37" s="31">
        <v>0.43835616438356162</v>
      </c>
    </row>
    <row r="38" spans="1:16" x14ac:dyDescent="0.4">
      <c r="A38" s="33">
        <v>35</v>
      </c>
      <c r="B38" s="30">
        <v>-295.20000000000005</v>
      </c>
      <c r="C38" s="30">
        <v>-8.4342857142857159</v>
      </c>
      <c r="D38" s="35">
        <v>2.1428571428571428</v>
      </c>
      <c r="E38" s="31">
        <v>0.25714285714285712</v>
      </c>
      <c r="F38" s="31">
        <v>0.4</v>
      </c>
      <c r="G38" s="31">
        <v>0.25429553264604809</v>
      </c>
      <c r="H38" s="31">
        <v>0.16494845360824742</v>
      </c>
      <c r="I38" s="32">
        <v>8591.8918918918916</v>
      </c>
      <c r="J38" s="32">
        <v>-7825</v>
      </c>
      <c r="K38" s="31">
        <v>0.14285714285714285</v>
      </c>
      <c r="L38" s="31">
        <v>0.23024054982817868</v>
      </c>
      <c r="M38" s="31">
        <v>0.21305841924398625</v>
      </c>
      <c r="N38" s="31">
        <v>0.52238805970149249</v>
      </c>
      <c r="O38" s="31">
        <v>0.37096774193548387</v>
      </c>
      <c r="P38" s="31">
        <v>0.43243243243243246</v>
      </c>
    </row>
    <row r="39" spans="1:16" x14ac:dyDescent="0.4">
      <c r="A39" s="33">
        <v>36</v>
      </c>
      <c r="B39" s="30">
        <v>-345.20000000000005</v>
      </c>
      <c r="C39" s="30">
        <v>-9.5888888888888903</v>
      </c>
      <c r="D39" s="35">
        <v>2.1666666666666665</v>
      </c>
      <c r="E39" s="31">
        <v>0.25</v>
      </c>
      <c r="F39" s="31">
        <v>0.41666666666666669</v>
      </c>
      <c r="G39" s="31">
        <v>0.25167785234899331</v>
      </c>
      <c r="H39" s="31">
        <v>0.16778523489932887</v>
      </c>
      <c r="I39" s="32">
        <v>8562.6666666666661</v>
      </c>
      <c r="J39" s="32">
        <v>-8044</v>
      </c>
      <c r="K39" s="31">
        <v>0.1388888888888889</v>
      </c>
      <c r="L39" s="31">
        <v>0.22818791946308725</v>
      </c>
      <c r="M39" s="31">
        <v>0.20805369127516779</v>
      </c>
      <c r="N39" s="31">
        <v>0.51470588235294112</v>
      </c>
      <c r="O39" s="31">
        <v>0.37096774193548387</v>
      </c>
      <c r="P39" s="31">
        <v>0.42666666666666669</v>
      </c>
    </row>
    <row r="40" spans="1:16" x14ac:dyDescent="0.4">
      <c r="A40" s="33">
        <v>37</v>
      </c>
      <c r="B40" s="30">
        <v>-339.40000000000003</v>
      </c>
      <c r="C40" s="30">
        <v>-9.1729729729729748</v>
      </c>
      <c r="D40" s="35">
        <v>2.1621621621621623</v>
      </c>
      <c r="E40" s="31">
        <v>0.24324324324324326</v>
      </c>
      <c r="F40" s="31">
        <v>0.40540540540540543</v>
      </c>
      <c r="G40" s="31">
        <v>0.25163398692810457</v>
      </c>
      <c r="H40" s="31">
        <v>0.16339869281045752</v>
      </c>
      <c r="I40" s="32">
        <v>8512.9870129870123</v>
      </c>
      <c r="J40" s="32">
        <v>-8044</v>
      </c>
      <c r="K40" s="31">
        <v>0.13513513513513514</v>
      </c>
      <c r="L40" s="31">
        <v>0.22875816993464052</v>
      </c>
      <c r="M40" s="31">
        <v>0.20261437908496732</v>
      </c>
      <c r="N40" s="31">
        <v>0.51428571428571423</v>
      </c>
      <c r="O40" s="31">
        <v>0.37096774193548387</v>
      </c>
      <c r="P40" s="31">
        <v>0.44155844155844154</v>
      </c>
    </row>
    <row r="41" spans="1:16" x14ac:dyDescent="0.4">
      <c r="A41" s="33">
        <v>38</v>
      </c>
      <c r="B41" s="30">
        <v>-346.20000000000005</v>
      </c>
      <c r="C41" s="30">
        <v>-9.1105263157894747</v>
      </c>
      <c r="D41" s="35">
        <v>2.1578947368421053</v>
      </c>
      <c r="E41" s="31">
        <v>0.23684210526315788</v>
      </c>
      <c r="F41" s="31">
        <v>0.39473684210526316</v>
      </c>
      <c r="G41" s="31">
        <v>0.25396825396825395</v>
      </c>
      <c r="H41" s="31">
        <v>0.16507936507936508</v>
      </c>
      <c r="I41" s="32">
        <v>8563.75</v>
      </c>
      <c r="J41" s="32">
        <v>-8030.7692307692305</v>
      </c>
      <c r="K41" s="31">
        <v>0.13157894736842105</v>
      </c>
      <c r="L41" s="31">
        <v>0.22857142857142856</v>
      </c>
      <c r="M41" s="31">
        <v>0.20317460317460317</v>
      </c>
      <c r="N41" s="31">
        <v>0.52777777777777779</v>
      </c>
      <c r="O41" s="31">
        <v>0.375</v>
      </c>
      <c r="P41" s="31">
        <v>0.45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3817B-0F22-4D00-9B2E-86550951411A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F14FE-6191-4EBB-A5DC-7537089802BE}">
  <sheetPr codeName="Sheet10"/>
  <dimension ref="A1:Q7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  <row r="13" spans="1:17" x14ac:dyDescent="0.4">
      <c r="A13" s="33">
        <v>10</v>
      </c>
      <c r="B13" s="30">
        <v>60.500000000000007</v>
      </c>
      <c r="C13" s="30">
        <v>6.0500000000000007</v>
      </c>
      <c r="D13" s="35">
        <v>1.8</v>
      </c>
      <c r="E13" s="31">
        <v>0.5</v>
      </c>
      <c r="F13" s="31">
        <v>0.3</v>
      </c>
      <c r="G13" s="31">
        <v>0.38157894736842107</v>
      </c>
      <c r="H13" s="31">
        <v>0.22368421052631579</v>
      </c>
      <c r="I13" s="32">
        <v>9379.310344827587</v>
      </c>
      <c r="J13" s="32">
        <v>-8482.3529411764703</v>
      </c>
      <c r="K13" s="31">
        <v>0.1</v>
      </c>
      <c r="L13" s="31">
        <v>0.31578947368421051</v>
      </c>
      <c r="M13" s="31">
        <v>0.17105263157894737</v>
      </c>
      <c r="N13" s="31">
        <v>0.58333333333333337</v>
      </c>
      <c r="O13" s="31">
        <v>0.38461538461538464</v>
      </c>
      <c r="P13" s="31">
        <v>0.55172413793103448</v>
      </c>
    </row>
    <row r="14" spans="1:17" x14ac:dyDescent="0.4">
      <c r="A14" s="33">
        <v>11</v>
      </c>
      <c r="B14" s="30">
        <v>41.100000000000009</v>
      </c>
      <c r="C14" s="30">
        <v>3.7363636363636372</v>
      </c>
      <c r="D14" s="35">
        <v>1.9090909090909092</v>
      </c>
      <c r="E14" s="31">
        <v>0.45454545454545453</v>
      </c>
      <c r="F14" s="31">
        <v>0.36363636363636365</v>
      </c>
      <c r="G14" s="31">
        <v>0.38554216867469882</v>
      </c>
      <c r="H14" s="31">
        <v>0.21686746987951808</v>
      </c>
      <c r="I14" s="32">
        <v>8956.25</v>
      </c>
      <c r="J14" s="32">
        <v>-9344.4444444444453</v>
      </c>
      <c r="K14" s="31">
        <v>9.0909090909090912E-2</v>
      </c>
      <c r="L14" s="31">
        <v>0.30120481927710846</v>
      </c>
      <c r="M14" s="31">
        <v>0.18072289156626506</v>
      </c>
      <c r="N14" s="31">
        <v>0.6</v>
      </c>
      <c r="O14" s="31">
        <v>0.46666666666666667</v>
      </c>
      <c r="P14" s="31">
        <v>0.53125</v>
      </c>
    </row>
    <row r="15" spans="1:17" x14ac:dyDescent="0.4">
      <c r="A15" s="33">
        <v>12</v>
      </c>
      <c r="B15" s="30">
        <v>98.9</v>
      </c>
      <c r="C15" s="30">
        <v>8.2416666666666671</v>
      </c>
      <c r="D15" s="35">
        <v>1.8333333333333333</v>
      </c>
      <c r="E15" s="31">
        <v>0.5</v>
      </c>
      <c r="F15" s="31">
        <v>0.33333333333333331</v>
      </c>
      <c r="G15" s="31">
        <v>0.41489361702127658</v>
      </c>
      <c r="H15" s="31">
        <v>0.19148936170212766</v>
      </c>
      <c r="I15" s="32">
        <v>8356.4102564102559</v>
      </c>
      <c r="J15" s="32">
        <v>-9344.4444444444453</v>
      </c>
      <c r="K15" s="31">
        <v>8.3333333333333329E-2</v>
      </c>
      <c r="L15" s="31">
        <v>0.31914893617021278</v>
      </c>
      <c r="M15" s="31">
        <v>0.15957446808510639</v>
      </c>
      <c r="N15" s="31">
        <v>0.66666666666666663</v>
      </c>
      <c r="O15" s="31">
        <v>0.46666666666666667</v>
      </c>
      <c r="P15" s="31">
        <v>0.51282051282051277</v>
      </c>
    </row>
    <row r="16" spans="1:17" x14ac:dyDescent="0.4">
      <c r="A16" s="33">
        <v>13</v>
      </c>
      <c r="B16" s="30">
        <v>119.10000000000001</v>
      </c>
      <c r="C16" s="30">
        <v>9.1615384615384627</v>
      </c>
      <c r="D16" s="35">
        <v>1.7692307692307692</v>
      </c>
      <c r="E16" s="31">
        <v>0.53846153846153844</v>
      </c>
      <c r="F16" s="31">
        <v>0.30769230769230771</v>
      </c>
      <c r="G16" s="31">
        <v>0.41176470588235292</v>
      </c>
      <c r="H16" s="31">
        <v>0.19607843137254902</v>
      </c>
      <c r="I16" s="32">
        <v>8380.9523809523816</v>
      </c>
      <c r="J16" s="32">
        <v>-9055</v>
      </c>
      <c r="K16" s="31">
        <v>7.6923076923076927E-2</v>
      </c>
      <c r="L16" s="31">
        <v>0.3235294117647059</v>
      </c>
      <c r="M16" s="31">
        <v>0.16666666666666666</v>
      </c>
      <c r="N16" s="31">
        <v>0.69696969696969702</v>
      </c>
      <c r="O16" s="31">
        <v>0.41176470588235292</v>
      </c>
      <c r="P16" s="31">
        <v>0.52380952380952384</v>
      </c>
    </row>
    <row r="17" spans="1:16" x14ac:dyDescent="0.4">
      <c r="A17" s="33">
        <v>14</v>
      </c>
      <c r="B17" s="30">
        <v>162.4</v>
      </c>
      <c r="C17" s="30">
        <v>11.6</v>
      </c>
      <c r="D17" s="35">
        <v>1.7142857142857142</v>
      </c>
      <c r="E17" s="31">
        <v>0.5714285714285714</v>
      </c>
      <c r="F17" s="31">
        <v>0.2857142857142857</v>
      </c>
      <c r="G17" s="31">
        <v>0.41964285714285715</v>
      </c>
      <c r="H17" s="31">
        <v>0.17857142857142858</v>
      </c>
      <c r="I17" s="32">
        <v>8523.4042553191484</v>
      </c>
      <c r="J17" s="32">
        <v>-9055</v>
      </c>
      <c r="K17" s="31">
        <v>7.1428571428571425E-2</v>
      </c>
      <c r="L17" s="31">
        <v>0.3392857142857143</v>
      </c>
      <c r="M17" s="31">
        <v>0.16071428571428573</v>
      </c>
      <c r="N17" s="31">
        <v>0.68421052631578949</v>
      </c>
      <c r="O17" s="31">
        <v>0.44444444444444442</v>
      </c>
      <c r="P17" s="31">
        <v>0.51063829787234039</v>
      </c>
    </row>
    <row r="18" spans="1:16" x14ac:dyDescent="0.4">
      <c r="A18" s="33">
        <v>15</v>
      </c>
      <c r="B18" s="30">
        <v>219.2</v>
      </c>
      <c r="C18" s="30">
        <v>14.613333333333333</v>
      </c>
      <c r="D18" s="35">
        <v>1.6666666666666667</v>
      </c>
      <c r="E18" s="31">
        <v>0.6</v>
      </c>
      <c r="F18" s="31">
        <v>0.26666666666666666</v>
      </c>
      <c r="G18" s="31">
        <v>0.42016806722689076</v>
      </c>
      <c r="H18" s="31">
        <v>0.16806722689075632</v>
      </c>
      <c r="I18" s="32">
        <v>9052</v>
      </c>
      <c r="J18" s="32">
        <v>-9055</v>
      </c>
      <c r="K18" s="31">
        <v>6.6666666666666666E-2</v>
      </c>
      <c r="L18" s="31">
        <v>0.33613445378151263</v>
      </c>
      <c r="M18" s="31">
        <v>0.15966386554621848</v>
      </c>
      <c r="N18" s="31">
        <v>0.7</v>
      </c>
      <c r="O18" s="31">
        <v>0.42105263157894735</v>
      </c>
      <c r="P18" s="31">
        <v>0.54</v>
      </c>
    </row>
    <row r="19" spans="1:16" x14ac:dyDescent="0.4">
      <c r="A19" s="33">
        <v>16</v>
      </c>
      <c r="B19" s="30">
        <v>207.6</v>
      </c>
      <c r="C19" s="30">
        <v>12.975</v>
      </c>
      <c r="D19" s="35">
        <v>1.6875</v>
      </c>
      <c r="E19" s="31">
        <v>0.5625</v>
      </c>
      <c r="F19" s="31">
        <v>0.25</v>
      </c>
      <c r="G19" s="31">
        <v>0.40944881889763779</v>
      </c>
      <c r="H19" s="31">
        <v>0.16535433070866143</v>
      </c>
      <c r="I19" s="32">
        <v>8984.6153846153848</v>
      </c>
      <c r="J19" s="32">
        <v>-8990.4761904761908</v>
      </c>
      <c r="K19" s="31">
        <v>6.25E-2</v>
      </c>
      <c r="L19" s="31">
        <v>0.3543307086614173</v>
      </c>
      <c r="M19" s="31">
        <v>0.14960629921259844</v>
      </c>
      <c r="N19" s="31">
        <v>0.66666666666666663</v>
      </c>
      <c r="O19" s="31">
        <v>0.42105263157894735</v>
      </c>
      <c r="P19" s="31">
        <v>0.53846153846153844</v>
      </c>
    </row>
    <row r="20" spans="1:16" x14ac:dyDescent="0.4">
      <c r="A20" s="33">
        <v>17</v>
      </c>
      <c r="B20" s="30">
        <v>209.2</v>
      </c>
      <c r="C20" s="30">
        <v>12.305882352941175</v>
      </c>
      <c r="D20" s="35">
        <v>1.7058823529411764</v>
      </c>
      <c r="E20" s="31">
        <v>0.52941176470588236</v>
      </c>
      <c r="F20" s="31">
        <v>0.23529411764705882</v>
      </c>
      <c r="G20" s="31">
        <v>0.39416058394160586</v>
      </c>
      <c r="H20" s="31">
        <v>0.16058394160583941</v>
      </c>
      <c r="I20" s="32">
        <v>9170.3703703703704</v>
      </c>
      <c r="J20" s="32">
        <v>-8759.0909090909099</v>
      </c>
      <c r="K20" s="31">
        <v>5.8823529411764705E-2</v>
      </c>
      <c r="L20" s="31">
        <v>0.39416058394160586</v>
      </c>
      <c r="M20" s="31">
        <v>0.13868613138686131</v>
      </c>
      <c r="N20" s="31">
        <v>0.59259259259259256</v>
      </c>
      <c r="O20" s="31">
        <v>0.42105263157894735</v>
      </c>
      <c r="P20" s="31">
        <v>0.55555555555555558</v>
      </c>
    </row>
    <row r="21" spans="1:16" x14ac:dyDescent="0.4">
      <c r="A21" s="33">
        <v>18</v>
      </c>
      <c r="B21" s="30">
        <v>194.39999999999998</v>
      </c>
      <c r="C21" s="30">
        <v>10.799999999999999</v>
      </c>
      <c r="D21" s="35">
        <v>1.7222222222222223</v>
      </c>
      <c r="E21" s="31">
        <v>0.5</v>
      </c>
      <c r="F21" s="31">
        <v>0.22222222222222221</v>
      </c>
      <c r="G21" s="31">
        <v>0.3888888888888889</v>
      </c>
      <c r="H21" s="31">
        <v>0.16666666666666666</v>
      </c>
      <c r="I21" s="32">
        <v>9005.3571428571431</v>
      </c>
      <c r="J21" s="32">
        <v>-8858.3333333333339</v>
      </c>
      <c r="K21" s="31">
        <v>5.5555555555555552E-2</v>
      </c>
      <c r="L21" s="31">
        <v>0.40277777777777779</v>
      </c>
      <c r="M21" s="31">
        <v>0.13194444444444445</v>
      </c>
      <c r="N21" s="31">
        <v>0.58620689655172409</v>
      </c>
      <c r="O21" s="31">
        <v>0.42105263157894735</v>
      </c>
      <c r="P21" s="31">
        <v>0.5357142857142857</v>
      </c>
    </row>
    <row r="22" spans="1:16" x14ac:dyDescent="0.4">
      <c r="A22" s="33">
        <v>19</v>
      </c>
      <c r="B22" s="30">
        <v>216.79999999999998</v>
      </c>
      <c r="C22" s="30">
        <v>11.410526315789474</v>
      </c>
      <c r="D22" s="35">
        <v>1.6842105263157894</v>
      </c>
      <c r="E22" s="31">
        <v>0.52631578947368418</v>
      </c>
      <c r="F22" s="31">
        <v>0.21052631578947367</v>
      </c>
      <c r="G22" s="31">
        <v>0.37908496732026142</v>
      </c>
      <c r="H22" s="31">
        <v>0.16339869281045752</v>
      </c>
      <c r="I22" s="32">
        <v>9108.6206896551721</v>
      </c>
      <c r="J22" s="32">
        <v>-8608</v>
      </c>
      <c r="K22" s="31">
        <v>5.2631578947368418E-2</v>
      </c>
      <c r="L22" s="31">
        <v>0.39215686274509803</v>
      </c>
      <c r="M22" s="31">
        <v>0.13071895424836602</v>
      </c>
      <c r="N22" s="31">
        <v>0.56666666666666665</v>
      </c>
      <c r="O22" s="31">
        <v>0.45</v>
      </c>
      <c r="P22" s="31">
        <v>0.51724137931034486</v>
      </c>
    </row>
    <row r="23" spans="1:16" x14ac:dyDescent="0.4">
      <c r="A23" s="33">
        <v>20</v>
      </c>
      <c r="B23" s="30">
        <v>215.6</v>
      </c>
      <c r="C23" s="30">
        <v>10.78</v>
      </c>
      <c r="D23" s="35">
        <v>1.7</v>
      </c>
      <c r="E23" s="31">
        <v>0.5</v>
      </c>
      <c r="F23" s="31">
        <v>0.2</v>
      </c>
      <c r="G23" s="31">
        <v>0.37735849056603776</v>
      </c>
      <c r="H23" s="31">
        <v>0.16352201257861634</v>
      </c>
      <c r="I23" s="32">
        <v>9071.6666666666661</v>
      </c>
      <c r="J23" s="32">
        <v>-8400</v>
      </c>
      <c r="K23" s="31">
        <v>0.05</v>
      </c>
      <c r="L23" s="31">
        <v>0.38993710691823902</v>
      </c>
      <c r="M23" s="31">
        <v>0.13207547169811321</v>
      </c>
      <c r="N23" s="31">
        <v>0.56451612903225812</v>
      </c>
      <c r="O23" s="31">
        <v>0.47619047619047616</v>
      </c>
      <c r="P23" s="31">
        <v>0.5</v>
      </c>
    </row>
    <row r="24" spans="1:16" x14ac:dyDescent="0.4">
      <c r="A24" s="33">
        <v>21</v>
      </c>
      <c r="B24" s="30">
        <v>252.8</v>
      </c>
      <c r="C24" s="30">
        <v>12.038095238095238</v>
      </c>
      <c r="D24" s="35">
        <v>1.6666666666666667</v>
      </c>
      <c r="E24" s="31">
        <v>0.52380952380952384</v>
      </c>
      <c r="F24" s="31">
        <v>0.19047619047619047</v>
      </c>
      <c r="G24" s="31">
        <v>0.38323353293413176</v>
      </c>
      <c r="H24" s="31">
        <v>0.15568862275449102</v>
      </c>
      <c r="I24" s="32">
        <v>8998.4375</v>
      </c>
      <c r="J24" s="32">
        <v>-8400</v>
      </c>
      <c r="K24" s="31">
        <v>4.7619047619047616E-2</v>
      </c>
      <c r="L24" s="31">
        <v>0.38922155688622756</v>
      </c>
      <c r="M24" s="31">
        <v>0.1317365269461078</v>
      </c>
      <c r="N24" s="31">
        <v>0.56923076923076921</v>
      </c>
      <c r="O24" s="31">
        <v>0.5</v>
      </c>
      <c r="P24" s="31">
        <v>0.46875</v>
      </c>
    </row>
    <row r="25" spans="1:16" x14ac:dyDescent="0.4">
      <c r="A25" s="33">
        <v>22</v>
      </c>
      <c r="B25" s="30">
        <v>250.60000000000002</v>
      </c>
      <c r="C25" s="30">
        <v>11.390909090909092</v>
      </c>
      <c r="D25" s="35">
        <v>1.6818181818181819</v>
      </c>
      <c r="E25" s="31">
        <v>0.5</v>
      </c>
      <c r="F25" s="31">
        <v>0.18181818181818182</v>
      </c>
      <c r="G25" s="31">
        <v>0.37853107344632769</v>
      </c>
      <c r="H25" s="31">
        <v>0.15819209039548024</v>
      </c>
      <c r="I25" s="32">
        <v>9062.686567164179</v>
      </c>
      <c r="J25" s="32">
        <v>-8514.2857142857138</v>
      </c>
      <c r="K25" s="31">
        <v>4.5454545454545456E-2</v>
      </c>
      <c r="L25" s="31">
        <v>0.38983050847457629</v>
      </c>
      <c r="M25" s="31">
        <v>0.12994350282485875</v>
      </c>
      <c r="N25" s="31">
        <v>0.57971014492753625</v>
      </c>
      <c r="O25" s="31">
        <v>0.47826086956521741</v>
      </c>
      <c r="P25" s="31">
        <v>0.47761194029850745</v>
      </c>
    </row>
    <row r="26" spans="1:16" x14ac:dyDescent="0.4">
      <c r="A26" s="33">
        <v>23</v>
      </c>
      <c r="B26" s="30">
        <v>262.3</v>
      </c>
      <c r="C26" s="30">
        <v>11.404347826086957</v>
      </c>
      <c r="D26" s="35">
        <v>1.6956521739130435</v>
      </c>
      <c r="E26" s="31">
        <v>0.47826086956521741</v>
      </c>
      <c r="F26" s="31">
        <v>0.17391304347826086</v>
      </c>
      <c r="G26" s="31">
        <v>0.37297297297297299</v>
      </c>
      <c r="H26" s="31">
        <v>0.15675675675675677</v>
      </c>
      <c r="I26" s="32">
        <v>9240.579710144928</v>
      </c>
      <c r="J26" s="32">
        <v>-8634.4827586206902</v>
      </c>
      <c r="K26" s="31">
        <v>4.3478260869565216E-2</v>
      </c>
      <c r="L26" s="31">
        <v>0.38918918918918921</v>
      </c>
      <c r="M26" s="31">
        <v>0.12972972972972974</v>
      </c>
      <c r="N26" s="31">
        <v>0.58333333333333337</v>
      </c>
      <c r="O26" s="31">
        <v>0.45833333333333331</v>
      </c>
      <c r="P26" s="31">
        <v>0.47826086956521741</v>
      </c>
    </row>
    <row r="27" spans="1:16" x14ac:dyDescent="0.4">
      <c r="A27" s="33">
        <v>24</v>
      </c>
      <c r="B27" s="30">
        <v>261.60000000000002</v>
      </c>
      <c r="C27" s="30">
        <v>10.9</v>
      </c>
      <c r="D27" s="35">
        <v>1.7083333333333333</v>
      </c>
      <c r="E27" s="31">
        <v>0.45833333333333331</v>
      </c>
      <c r="F27" s="31">
        <v>0.16666666666666666</v>
      </c>
      <c r="G27" s="31">
        <v>0.36548223350253806</v>
      </c>
      <c r="H27" s="31">
        <v>0.15736040609137056</v>
      </c>
      <c r="I27" s="32">
        <v>9294.4444444444453</v>
      </c>
      <c r="J27" s="32">
        <v>-8461.2903225806458</v>
      </c>
      <c r="K27" s="31">
        <v>4.1666666666666664E-2</v>
      </c>
      <c r="L27" s="31">
        <v>0.39086294416243655</v>
      </c>
      <c r="M27" s="31">
        <v>0.12182741116751269</v>
      </c>
      <c r="N27" s="31">
        <v>0.55844155844155841</v>
      </c>
      <c r="O27" s="31">
        <v>0.45833333333333331</v>
      </c>
      <c r="P27" s="31">
        <v>0.47222222222222221</v>
      </c>
    </row>
    <row r="28" spans="1:16" x14ac:dyDescent="0.4">
      <c r="A28" s="33">
        <v>25</v>
      </c>
      <c r="B28" s="30">
        <v>261.60000000000002</v>
      </c>
      <c r="C28" s="30">
        <v>10.464</v>
      </c>
      <c r="D28" s="35">
        <v>1.68</v>
      </c>
      <c r="E28" s="31">
        <v>0.48</v>
      </c>
      <c r="F28" s="31">
        <v>0.16</v>
      </c>
      <c r="G28" s="31">
        <v>0.36548223350253806</v>
      </c>
      <c r="H28" s="31">
        <v>0.15736040609137056</v>
      </c>
      <c r="I28" s="32">
        <v>9294.4444444444453</v>
      </c>
      <c r="J28" s="32">
        <v>-8461.2903225806458</v>
      </c>
      <c r="K28" s="31">
        <v>0.04</v>
      </c>
      <c r="L28" s="31">
        <v>0.39086294416243655</v>
      </c>
      <c r="M28" s="31">
        <v>0.12182741116751269</v>
      </c>
      <c r="N28" s="31">
        <v>0.55844155844155841</v>
      </c>
      <c r="O28" s="31">
        <v>0.45833333333333331</v>
      </c>
      <c r="P28" s="31">
        <v>0.47222222222222221</v>
      </c>
    </row>
    <row r="29" spans="1:16" x14ac:dyDescent="0.4">
      <c r="A29" s="33">
        <v>26</v>
      </c>
      <c r="B29" s="30">
        <v>212.8</v>
      </c>
      <c r="C29" s="30">
        <v>8.1846153846153857</v>
      </c>
      <c r="D29" s="35">
        <v>1.7307692307692308</v>
      </c>
      <c r="E29" s="31">
        <v>0.46153846153846156</v>
      </c>
      <c r="F29" s="31">
        <v>0.19230769230769232</v>
      </c>
      <c r="G29" s="31">
        <v>0.35714285714285715</v>
      </c>
      <c r="H29" s="31">
        <v>0.15714285714285714</v>
      </c>
      <c r="I29" s="32">
        <v>9090.6666666666661</v>
      </c>
      <c r="J29" s="32">
        <v>-8357.575757575758</v>
      </c>
      <c r="K29" s="31">
        <v>3.8461538461538464E-2</v>
      </c>
      <c r="L29" s="31">
        <v>0.39047619047619048</v>
      </c>
      <c r="M29" s="31">
        <v>0.1380952380952381</v>
      </c>
      <c r="N29" s="31">
        <v>0.53658536585365857</v>
      </c>
      <c r="O29" s="31">
        <v>0.44827586206896552</v>
      </c>
      <c r="P29" s="31">
        <v>0.46666666666666667</v>
      </c>
    </row>
    <row r="30" spans="1:16" x14ac:dyDescent="0.4">
      <c r="A30" s="33">
        <v>27</v>
      </c>
      <c r="B30" s="30">
        <v>189.70000000000002</v>
      </c>
      <c r="C30" s="30">
        <v>7.0259259259259261</v>
      </c>
      <c r="D30" s="35">
        <v>1.7777777777777777</v>
      </c>
      <c r="E30" s="31">
        <v>0.44444444444444442</v>
      </c>
      <c r="F30" s="31">
        <v>0.22222222222222221</v>
      </c>
      <c r="G30" s="31">
        <v>0.35159817351598172</v>
      </c>
      <c r="H30" s="31">
        <v>0.15525114155251141</v>
      </c>
      <c r="I30" s="32">
        <v>9062.3376623376626</v>
      </c>
      <c r="J30" s="32">
        <v>-8464.7058823529405</v>
      </c>
      <c r="K30" s="31">
        <v>3.7037037037037035E-2</v>
      </c>
      <c r="L30" s="31">
        <v>0.39726027397260272</v>
      </c>
      <c r="M30" s="31">
        <v>0.13242009132420091</v>
      </c>
      <c r="N30" s="31">
        <v>0.52873563218390807</v>
      </c>
      <c r="O30" s="31">
        <v>0.44827586206896552</v>
      </c>
      <c r="P30" s="31">
        <v>0.46753246753246752</v>
      </c>
    </row>
    <row r="31" spans="1:16" x14ac:dyDescent="0.4">
      <c r="A31" s="33">
        <v>28</v>
      </c>
      <c r="B31" s="30">
        <v>219.4</v>
      </c>
      <c r="C31" s="30">
        <v>7.8357142857142863</v>
      </c>
      <c r="D31" s="35">
        <v>1.75</v>
      </c>
      <c r="E31" s="31">
        <v>0.4642857142857143</v>
      </c>
      <c r="F31" s="31">
        <v>0.21428571428571427</v>
      </c>
      <c r="G31" s="31">
        <v>0.3524229074889868</v>
      </c>
      <c r="H31" s="31">
        <v>0.15418502202643172</v>
      </c>
      <c r="I31" s="32">
        <v>9193.75</v>
      </c>
      <c r="J31" s="32">
        <v>-8565.7142857142862</v>
      </c>
      <c r="K31" s="31">
        <v>3.5714285714285712E-2</v>
      </c>
      <c r="L31" s="31">
        <v>0.40088105726872247</v>
      </c>
      <c r="M31" s="31">
        <v>0.1277533039647577</v>
      </c>
      <c r="N31" s="31">
        <v>0.52747252747252749</v>
      </c>
      <c r="O31" s="31">
        <v>0.44827586206896552</v>
      </c>
      <c r="P31" s="31">
        <v>0.48749999999999999</v>
      </c>
    </row>
    <row r="32" spans="1:16" x14ac:dyDescent="0.4">
      <c r="A32" s="33">
        <v>29</v>
      </c>
      <c r="B32" s="30">
        <v>252.3</v>
      </c>
      <c r="C32" s="30">
        <v>8.7000000000000011</v>
      </c>
      <c r="D32" s="35">
        <v>1.7241379310344827</v>
      </c>
      <c r="E32" s="31">
        <v>0.48275862068965519</v>
      </c>
      <c r="F32" s="31">
        <v>0.20689655172413793</v>
      </c>
      <c r="G32" s="31">
        <v>0.35897435897435898</v>
      </c>
      <c r="H32" s="31">
        <v>0.14957264957264957</v>
      </c>
      <c r="I32" s="32">
        <v>9063.0952380952385</v>
      </c>
      <c r="J32" s="32">
        <v>-8565.7142857142862</v>
      </c>
      <c r="K32" s="31">
        <v>3.4482758620689655E-2</v>
      </c>
      <c r="L32" s="31">
        <v>0.39316239316239315</v>
      </c>
      <c r="M32" s="31">
        <v>0.14102564102564102</v>
      </c>
      <c r="N32" s="31">
        <v>0.52173913043478259</v>
      </c>
      <c r="O32" s="31">
        <v>0.51515151515151514</v>
      </c>
      <c r="P32" s="31">
        <v>0.47619047619047616</v>
      </c>
    </row>
    <row r="33" spans="1:16" x14ac:dyDescent="0.4">
      <c r="A33" s="33">
        <v>30</v>
      </c>
      <c r="B33" s="30">
        <v>258.2</v>
      </c>
      <c r="C33" s="30">
        <v>8.6066666666666656</v>
      </c>
      <c r="D33" s="35">
        <v>1.7333333333333334</v>
      </c>
      <c r="E33" s="31">
        <v>0.46666666666666667</v>
      </c>
      <c r="F33" s="31">
        <v>0.2</v>
      </c>
      <c r="G33" s="31">
        <v>0.35390946502057613</v>
      </c>
      <c r="H33" s="31">
        <v>0.1440329218106996</v>
      </c>
      <c r="I33" s="32">
        <v>9084.8837209302328</v>
      </c>
      <c r="J33" s="32">
        <v>-8565.7142857142862</v>
      </c>
      <c r="K33" s="31">
        <v>3.3333333333333333E-2</v>
      </c>
      <c r="L33" s="31">
        <v>0.38683127572016462</v>
      </c>
      <c r="M33" s="31">
        <v>0.13991769547325103</v>
      </c>
      <c r="N33" s="31">
        <v>0.52127659574468088</v>
      </c>
      <c r="O33" s="31">
        <v>0.52941176470588236</v>
      </c>
      <c r="P33" s="31">
        <v>0.46511627906976744</v>
      </c>
    </row>
    <row r="34" spans="1:16" x14ac:dyDescent="0.4">
      <c r="A34" s="33">
        <v>31</v>
      </c>
      <c r="B34" s="30">
        <v>230.79999999999998</v>
      </c>
      <c r="C34" s="30">
        <v>7.4451612903225799</v>
      </c>
      <c r="D34" s="35">
        <v>1.7741935483870968</v>
      </c>
      <c r="E34" s="31">
        <v>0.45161290322580644</v>
      </c>
      <c r="F34" s="31">
        <v>0.22580645161290322</v>
      </c>
      <c r="G34" s="31">
        <v>0.3534136546184739</v>
      </c>
      <c r="H34" s="31">
        <v>0.14457831325301204</v>
      </c>
      <c r="I34" s="32">
        <v>8969.318181818182</v>
      </c>
      <c r="J34" s="32">
        <v>-8550</v>
      </c>
      <c r="K34" s="31">
        <v>3.2258064516129031E-2</v>
      </c>
      <c r="L34" s="31">
        <v>0.38554216867469882</v>
      </c>
      <c r="M34" s="31">
        <v>0.13654618473895583</v>
      </c>
      <c r="N34" s="31">
        <v>0.53125</v>
      </c>
      <c r="O34" s="31">
        <v>0.52941176470588236</v>
      </c>
      <c r="P34" s="31">
        <v>0.47727272727272729</v>
      </c>
    </row>
    <row r="35" spans="1:16" x14ac:dyDescent="0.4">
      <c r="A35" s="33">
        <v>32</v>
      </c>
      <c r="B35" s="30">
        <v>304.29999999999995</v>
      </c>
      <c r="C35" s="30">
        <v>9.5093749999999986</v>
      </c>
      <c r="D35" s="35">
        <v>1.75</v>
      </c>
      <c r="E35" s="31">
        <v>0.46875</v>
      </c>
      <c r="F35" s="31">
        <v>0.21875</v>
      </c>
      <c r="G35" s="31">
        <v>0.35632183908045978</v>
      </c>
      <c r="H35" s="31">
        <v>0.13793103448275862</v>
      </c>
      <c r="I35" s="32">
        <v>9150.5376344086017</v>
      </c>
      <c r="J35" s="32">
        <v>-8550</v>
      </c>
      <c r="K35" s="31">
        <v>3.125E-2</v>
      </c>
      <c r="L35" s="31">
        <v>0.37931034482758619</v>
      </c>
      <c r="M35" s="31">
        <v>0.13409961685823754</v>
      </c>
      <c r="N35" s="31">
        <v>0.54545454545454541</v>
      </c>
      <c r="O35" s="31">
        <v>0.51428571428571423</v>
      </c>
      <c r="P35" s="31">
        <v>0.46236559139784944</v>
      </c>
    </row>
    <row r="36" spans="1:16" x14ac:dyDescent="0.4">
      <c r="A36" s="33">
        <v>33</v>
      </c>
      <c r="B36" s="30">
        <v>304.49999999999994</v>
      </c>
      <c r="C36" s="30">
        <v>9.2272727272727249</v>
      </c>
      <c r="D36" s="35">
        <v>1.7575757575757576</v>
      </c>
      <c r="E36" s="31">
        <v>0.45454545454545453</v>
      </c>
      <c r="F36" s="31">
        <v>0.21212121212121213</v>
      </c>
      <c r="G36" s="31">
        <v>0.35849056603773582</v>
      </c>
      <c r="H36" s="31">
        <v>0.13584905660377358</v>
      </c>
      <c r="I36" s="32">
        <v>9054.7368421052633</v>
      </c>
      <c r="J36" s="32">
        <v>-8550</v>
      </c>
      <c r="K36" s="31">
        <v>3.0303030303030304E-2</v>
      </c>
      <c r="L36" s="31">
        <v>0.37735849056603776</v>
      </c>
      <c r="M36" s="31">
        <v>0.13207547169811321</v>
      </c>
      <c r="N36" s="31">
        <v>0.55000000000000004</v>
      </c>
      <c r="O36" s="31">
        <v>0.51428571428571423</v>
      </c>
      <c r="P36" s="31">
        <v>0.4631578947368421</v>
      </c>
    </row>
    <row r="37" spans="1:16" x14ac:dyDescent="0.4">
      <c r="A37" s="33">
        <v>34</v>
      </c>
      <c r="B37" s="30">
        <v>372.49999999999994</v>
      </c>
      <c r="C37" s="30">
        <v>10.955882352941174</v>
      </c>
      <c r="D37" s="35">
        <v>1.7352941176470589</v>
      </c>
      <c r="E37" s="31">
        <v>0.47058823529411764</v>
      </c>
      <c r="F37" s="31">
        <v>0.20588235294117646</v>
      </c>
      <c r="G37" s="31">
        <v>0.36090225563909772</v>
      </c>
      <c r="H37" s="31">
        <v>0.13533834586466165</v>
      </c>
      <c r="I37" s="32">
        <v>9460.4166666666661</v>
      </c>
      <c r="J37" s="32">
        <v>-8550</v>
      </c>
      <c r="K37" s="31">
        <v>2.9411764705882353E-2</v>
      </c>
      <c r="L37" s="31">
        <v>0.37593984962406013</v>
      </c>
      <c r="M37" s="31">
        <v>0.13157894736842105</v>
      </c>
      <c r="N37" s="31">
        <v>0.55000000000000004</v>
      </c>
      <c r="O37" s="31">
        <v>0.51428571428571423</v>
      </c>
      <c r="P37" s="31">
        <v>0.45833333333333331</v>
      </c>
    </row>
    <row r="38" spans="1:16" x14ac:dyDescent="0.4">
      <c r="A38" s="33">
        <v>35</v>
      </c>
      <c r="B38" s="30">
        <v>317.99999999999994</v>
      </c>
      <c r="C38" s="30">
        <v>9.0857142857142836</v>
      </c>
      <c r="D38" s="35">
        <v>1.7714285714285714</v>
      </c>
      <c r="E38" s="31">
        <v>0.45714285714285713</v>
      </c>
      <c r="F38" s="31">
        <v>0.22857142857142856</v>
      </c>
      <c r="G38" s="31">
        <v>0.35036496350364965</v>
      </c>
      <c r="H38" s="31">
        <v>0.13503649635036497</v>
      </c>
      <c r="I38" s="32">
        <v>9460.4166666666661</v>
      </c>
      <c r="J38" s="32">
        <v>-8527.0270270270266</v>
      </c>
      <c r="K38" s="31">
        <v>2.8571428571428571E-2</v>
      </c>
      <c r="L38" s="31">
        <v>0.37226277372262773</v>
      </c>
      <c r="M38" s="31">
        <v>0.13503649635036497</v>
      </c>
      <c r="N38" s="31">
        <v>0.53921568627450978</v>
      </c>
      <c r="O38" s="31">
        <v>0.48648648648648651</v>
      </c>
      <c r="P38" s="31">
        <v>0.45833333333333331</v>
      </c>
    </row>
    <row r="39" spans="1:16" x14ac:dyDescent="0.4">
      <c r="A39" s="33">
        <v>36</v>
      </c>
      <c r="B39" s="30">
        <v>358.59999999999997</v>
      </c>
      <c r="C39" s="30">
        <v>9.9611111111111104</v>
      </c>
      <c r="D39" s="35">
        <v>1.75</v>
      </c>
      <c r="E39" s="31">
        <v>0.47222222222222221</v>
      </c>
      <c r="F39" s="31">
        <v>0.22222222222222221</v>
      </c>
      <c r="G39" s="31">
        <v>0.34965034965034963</v>
      </c>
      <c r="H39" s="31">
        <v>0.14335664335664336</v>
      </c>
      <c r="I39" s="32">
        <v>9620</v>
      </c>
      <c r="J39" s="32">
        <v>-8512.1951219512193</v>
      </c>
      <c r="K39" s="31">
        <v>2.7777777777777776E-2</v>
      </c>
      <c r="L39" s="31">
        <v>0.37412587412587411</v>
      </c>
      <c r="M39" s="31">
        <v>0.13636363636363635</v>
      </c>
      <c r="N39" s="31">
        <v>0.54205607476635509</v>
      </c>
      <c r="O39" s="31">
        <v>0.48717948717948717</v>
      </c>
      <c r="P39" s="31">
        <v>0.46</v>
      </c>
    </row>
    <row r="40" spans="1:16" x14ac:dyDescent="0.4">
      <c r="A40" s="33">
        <v>37</v>
      </c>
      <c r="B40" s="30">
        <v>342.59999999999997</v>
      </c>
      <c r="C40" s="30">
        <v>9.2594594594594586</v>
      </c>
      <c r="D40" s="35">
        <v>1.7567567567567568</v>
      </c>
      <c r="E40" s="31">
        <v>0.45945945945945948</v>
      </c>
      <c r="F40" s="31">
        <v>0.21621621621621623</v>
      </c>
      <c r="G40" s="31">
        <v>0.34827586206896549</v>
      </c>
      <c r="H40" s="31">
        <v>0.14482758620689656</v>
      </c>
      <c r="I40" s="32">
        <v>9603.9603960396034</v>
      </c>
      <c r="J40" s="32">
        <v>-8738.0952380952385</v>
      </c>
      <c r="K40" s="31">
        <v>2.7027027027027029E-2</v>
      </c>
      <c r="L40" s="31">
        <v>0.37586206896551722</v>
      </c>
      <c r="M40" s="31">
        <v>0.13448275862068965</v>
      </c>
      <c r="N40" s="31">
        <v>0.54128440366972475</v>
      </c>
      <c r="O40" s="31">
        <v>0.48717948717948717</v>
      </c>
      <c r="P40" s="31">
        <v>0.45544554455445546</v>
      </c>
    </row>
    <row r="41" spans="1:16" x14ac:dyDescent="0.4">
      <c r="A41" s="33">
        <v>38</v>
      </c>
      <c r="B41" s="30">
        <v>310.7</v>
      </c>
      <c r="C41" s="30">
        <v>8.1763157894736835</v>
      </c>
      <c r="D41" s="35">
        <v>1.7894736842105263</v>
      </c>
      <c r="E41" s="31">
        <v>0.44736842105263158</v>
      </c>
      <c r="F41" s="31">
        <v>0.23684210526315788</v>
      </c>
      <c r="G41" s="31">
        <v>0.34797297297297297</v>
      </c>
      <c r="H41" s="31">
        <v>0.14527027027027026</v>
      </c>
      <c r="I41" s="32">
        <v>9515.5339805825242</v>
      </c>
      <c r="J41" s="32">
        <v>-8813.9534883720935</v>
      </c>
      <c r="K41" s="31">
        <v>2.6315789473684209E-2</v>
      </c>
      <c r="L41" s="31">
        <v>0.3716216216216216</v>
      </c>
      <c r="M41" s="31">
        <v>0.13851351351351351</v>
      </c>
      <c r="N41" s="31">
        <v>0.54545454545454541</v>
      </c>
      <c r="O41" s="31">
        <v>0.48780487804878048</v>
      </c>
      <c r="P41" s="31">
        <v>0.46601941747572817</v>
      </c>
    </row>
    <row r="42" spans="1:16" x14ac:dyDescent="0.4">
      <c r="A42" s="33">
        <v>39</v>
      </c>
      <c r="B42" s="30">
        <v>297.5</v>
      </c>
      <c r="C42" s="30">
        <v>7.6282051282051286</v>
      </c>
      <c r="D42" s="35">
        <v>1.7948717948717949</v>
      </c>
      <c r="E42" s="31">
        <v>0.4358974358974359</v>
      </c>
      <c r="F42" s="31">
        <v>0.23076923076923078</v>
      </c>
      <c r="G42" s="31">
        <v>0.34967320261437906</v>
      </c>
      <c r="H42" s="31">
        <v>0.15032679738562091</v>
      </c>
      <c r="I42" s="32">
        <v>9402.8037383177561</v>
      </c>
      <c r="J42" s="32">
        <v>-8752.173913043478</v>
      </c>
      <c r="K42" s="31">
        <v>2.564102564102564E-2</v>
      </c>
      <c r="L42" s="31">
        <v>0.37254901960784315</v>
      </c>
      <c r="M42" s="31">
        <v>0.14052287581699346</v>
      </c>
      <c r="N42" s="31">
        <v>0.55263157894736847</v>
      </c>
      <c r="O42" s="31">
        <v>0.48837209302325579</v>
      </c>
      <c r="P42" s="31">
        <v>0.45794392523364486</v>
      </c>
    </row>
    <row r="43" spans="1:16" x14ac:dyDescent="0.4">
      <c r="A43" s="33">
        <v>40</v>
      </c>
      <c r="B43" s="30">
        <v>349.3</v>
      </c>
      <c r="C43" s="30">
        <v>8.7324999999999999</v>
      </c>
      <c r="D43" s="35">
        <v>1.7749999999999999</v>
      </c>
      <c r="E43" s="31">
        <v>0.45</v>
      </c>
      <c r="F43" s="31">
        <v>0.22500000000000001</v>
      </c>
      <c r="G43" s="31">
        <v>0.35443037974683544</v>
      </c>
      <c r="H43" s="31">
        <v>0.14873417721518986</v>
      </c>
      <c r="I43" s="32">
        <v>9358.0357142857138</v>
      </c>
      <c r="J43" s="32">
        <v>-8676.5957446808516</v>
      </c>
      <c r="K43" s="31">
        <v>2.5000000000000001E-2</v>
      </c>
      <c r="L43" s="31">
        <v>0.370253164556962</v>
      </c>
      <c r="M43" s="31">
        <v>0.14873417721518986</v>
      </c>
      <c r="N43" s="31">
        <v>0.55555555555555558</v>
      </c>
      <c r="O43" s="31">
        <v>0.48936170212765956</v>
      </c>
      <c r="P43" s="31">
        <v>0.4642857142857143</v>
      </c>
    </row>
    <row r="44" spans="1:16" x14ac:dyDescent="0.4">
      <c r="A44" s="33">
        <v>41</v>
      </c>
      <c r="B44" s="30">
        <v>342.8</v>
      </c>
      <c r="C44" s="30">
        <v>8.3609756097560979</v>
      </c>
      <c r="D44" s="35">
        <v>1.7804878048780488</v>
      </c>
      <c r="E44" s="31">
        <v>0.43902439024390244</v>
      </c>
      <c r="F44" s="31">
        <v>0.21951219512195122</v>
      </c>
      <c r="G44" s="31">
        <v>0.34756097560975607</v>
      </c>
      <c r="H44" s="31">
        <v>0.1524390243902439</v>
      </c>
      <c r="I44" s="32">
        <v>9341.2280701754389</v>
      </c>
      <c r="J44" s="32">
        <v>-8446</v>
      </c>
      <c r="K44" s="31">
        <v>2.4390243902439025E-2</v>
      </c>
      <c r="L44" s="31">
        <v>0.36280487804878048</v>
      </c>
      <c r="M44" s="31">
        <v>0.14329268292682926</v>
      </c>
      <c r="N44" s="31">
        <v>0.55462184873949583</v>
      </c>
      <c r="O44" s="31">
        <v>0.48936170212765956</v>
      </c>
      <c r="P44" s="31">
        <v>0.46491228070175439</v>
      </c>
    </row>
    <row r="45" spans="1:16" x14ac:dyDescent="0.4">
      <c r="A45" s="33">
        <v>42</v>
      </c>
      <c r="B45" s="30">
        <v>341.5</v>
      </c>
      <c r="C45" s="30">
        <v>8.1309523809523814</v>
      </c>
      <c r="D45" s="35">
        <v>1.7857142857142858</v>
      </c>
      <c r="E45" s="31">
        <v>0.42857142857142855</v>
      </c>
      <c r="F45" s="31">
        <v>0.21428571428571427</v>
      </c>
      <c r="G45" s="31">
        <v>0.34615384615384615</v>
      </c>
      <c r="H45" s="31">
        <v>0.14792899408284024</v>
      </c>
      <c r="I45" s="32">
        <v>9223.0769230769238</v>
      </c>
      <c r="J45" s="32">
        <v>-8446</v>
      </c>
      <c r="K45" s="31">
        <v>2.3809523809523808E-2</v>
      </c>
      <c r="L45" s="31">
        <v>0.35502958579881655</v>
      </c>
      <c r="M45" s="31">
        <v>0.14497041420118342</v>
      </c>
      <c r="N45" s="31">
        <v>0.55833333333333335</v>
      </c>
      <c r="O45" s="31">
        <v>0.51020408163265307</v>
      </c>
      <c r="P45" s="31">
        <v>0.45299145299145299</v>
      </c>
    </row>
    <row r="46" spans="1:16" x14ac:dyDescent="0.4">
      <c r="A46" s="33">
        <v>43</v>
      </c>
      <c r="B46" s="30">
        <v>306.5</v>
      </c>
      <c r="C46" s="30">
        <v>7.1279069767441863</v>
      </c>
      <c r="D46" s="35">
        <v>1.8139534883720929</v>
      </c>
      <c r="E46" s="31">
        <v>0.41860465116279072</v>
      </c>
      <c r="F46" s="31">
        <v>0.23255813953488372</v>
      </c>
      <c r="G46" s="31">
        <v>0.34693877551020408</v>
      </c>
      <c r="H46" s="31">
        <v>0.14868804664723032</v>
      </c>
      <c r="I46" s="32">
        <v>9200</v>
      </c>
      <c r="J46" s="32">
        <v>-8431.3725490196084</v>
      </c>
      <c r="K46" s="31">
        <v>2.3255813953488372E-2</v>
      </c>
      <c r="L46" s="31">
        <v>0.35860058309037901</v>
      </c>
      <c r="M46" s="31">
        <v>0.1457725947521866</v>
      </c>
      <c r="N46" s="31">
        <v>0.56097560975609762</v>
      </c>
      <c r="O46" s="31">
        <v>0.5</v>
      </c>
      <c r="P46" s="31">
        <v>0.44537815126050423</v>
      </c>
    </row>
    <row r="47" spans="1:16" x14ac:dyDescent="0.4">
      <c r="A47" s="33">
        <v>44</v>
      </c>
      <c r="B47" s="30">
        <v>352.7</v>
      </c>
      <c r="C47" s="30">
        <v>8.0159090909090907</v>
      </c>
      <c r="D47" s="35">
        <v>1.7954545454545454</v>
      </c>
      <c r="E47" s="31">
        <v>0.43181818181818182</v>
      </c>
      <c r="F47" s="31">
        <v>0.22727272727272727</v>
      </c>
      <c r="G47" s="31">
        <v>0.35142857142857142</v>
      </c>
      <c r="H47" s="31">
        <v>0.14571428571428571</v>
      </c>
      <c r="I47" s="32">
        <v>9130.0813008130081</v>
      </c>
      <c r="J47" s="32">
        <v>-8431.3725490196084</v>
      </c>
      <c r="K47" s="31">
        <v>2.2727272727272728E-2</v>
      </c>
      <c r="L47" s="31">
        <v>0.35714285714285715</v>
      </c>
      <c r="M47" s="31">
        <v>0.14571428571428571</v>
      </c>
      <c r="N47" s="31">
        <v>0.56799999999999995</v>
      </c>
      <c r="O47" s="31">
        <v>0.50980392156862742</v>
      </c>
      <c r="P47" s="31">
        <v>0.44715447154471544</v>
      </c>
    </row>
    <row r="48" spans="1:16" x14ac:dyDescent="0.4">
      <c r="A48" s="33">
        <v>45</v>
      </c>
      <c r="B48" s="30">
        <v>333.09999999999997</v>
      </c>
      <c r="C48" s="30">
        <v>7.4022222222222211</v>
      </c>
      <c r="D48" s="35">
        <v>1.8</v>
      </c>
      <c r="E48" s="31">
        <v>0.42222222222222222</v>
      </c>
      <c r="F48" s="31">
        <v>0.22222222222222221</v>
      </c>
      <c r="G48" s="31">
        <v>0.34435261707988979</v>
      </c>
      <c r="H48" s="31">
        <v>0.14600550964187328</v>
      </c>
      <c r="I48" s="32">
        <v>9051.2000000000007</v>
      </c>
      <c r="J48" s="32">
        <v>-8477.3584905660373</v>
      </c>
      <c r="K48" s="31">
        <v>2.2222222222222223E-2</v>
      </c>
      <c r="L48" s="31">
        <v>0.34710743801652894</v>
      </c>
      <c r="M48" s="31">
        <v>0.15151515151515152</v>
      </c>
      <c r="N48" s="31">
        <v>0.56349206349206349</v>
      </c>
      <c r="O48" s="31">
        <v>0.49090909090909091</v>
      </c>
      <c r="P48" s="31">
        <v>0.44</v>
      </c>
    </row>
    <row r="49" spans="1:16" x14ac:dyDescent="0.4">
      <c r="A49" s="33">
        <v>46</v>
      </c>
      <c r="B49" s="30">
        <v>368.2</v>
      </c>
      <c r="C49" s="30">
        <v>8.0043478260869563</v>
      </c>
      <c r="D49" s="35">
        <v>1.7826086956521738</v>
      </c>
      <c r="E49" s="31">
        <v>0.43478260869565216</v>
      </c>
      <c r="F49" s="31">
        <v>0.21739130434782608</v>
      </c>
      <c r="G49" s="31">
        <v>0.34677419354838712</v>
      </c>
      <c r="H49" s="31">
        <v>0.1424731182795699</v>
      </c>
      <c r="I49" s="32">
        <v>8962.790697674418</v>
      </c>
      <c r="J49" s="32">
        <v>-8477.3584905660373</v>
      </c>
      <c r="K49" s="31">
        <v>2.1739130434782608E-2</v>
      </c>
      <c r="L49" s="31">
        <v>0.34677419354838712</v>
      </c>
      <c r="M49" s="31">
        <v>0.15591397849462366</v>
      </c>
      <c r="N49" s="31">
        <v>0.55813953488372092</v>
      </c>
      <c r="O49" s="31">
        <v>0.5</v>
      </c>
      <c r="P49" s="31">
        <v>0.4263565891472868</v>
      </c>
    </row>
    <row r="50" spans="1:16" x14ac:dyDescent="0.4">
      <c r="A50" s="33">
        <v>47</v>
      </c>
      <c r="B50" s="30">
        <v>289.2</v>
      </c>
      <c r="C50" s="30">
        <v>6.1531914893617019</v>
      </c>
      <c r="D50" s="35">
        <v>1.8085106382978724</v>
      </c>
      <c r="E50" s="31">
        <v>0.42553191489361702</v>
      </c>
      <c r="F50" s="31">
        <v>0.23404255319148937</v>
      </c>
      <c r="G50" s="31">
        <v>0.34203655352480417</v>
      </c>
      <c r="H50" s="31">
        <v>0.14360313315926893</v>
      </c>
      <c r="I50" s="32">
        <v>8948.0916030534354</v>
      </c>
      <c r="J50" s="32">
        <v>-8714.545454545454</v>
      </c>
      <c r="K50" s="31">
        <v>4.2553191489361701E-2</v>
      </c>
      <c r="L50" s="31">
        <v>0.3472584856396867</v>
      </c>
      <c r="M50" s="31">
        <v>0.15926892950391644</v>
      </c>
      <c r="N50" s="31">
        <v>0.54887218045112784</v>
      </c>
      <c r="O50" s="31">
        <v>0.47540983606557374</v>
      </c>
      <c r="P50" s="31">
        <v>0.4351145038167939</v>
      </c>
    </row>
    <row r="51" spans="1:16" x14ac:dyDescent="0.4">
      <c r="A51" s="33">
        <v>48</v>
      </c>
      <c r="B51" s="30">
        <v>333.5</v>
      </c>
      <c r="C51" s="30">
        <v>6.947916666666667</v>
      </c>
      <c r="D51" s="35">
        <v>1.7916666666666667</v>
      </c>
      <c r="E51" s="31">
        <v>0.4375</v>
      </c>
      <c r="F51" s="31">
        <v>0.22916666666666666</v>
      </c>
      <c r="G51" s="31">
        <v>0.34793814432989689</v>
      </c>
      <c r="H51" s="31">
        <v>0.14175257731958762</v>
      </c>
      <c r="I51" s="32">
        <v>9003.7037037037044</v>
      </c>
      <c r="J51" s="32">
        <v>-8714.545454545454</v>
      </c>
      <c r="K51" s="31">
        <v>4.1666666666666664E-2</v>
      </c>
      <c r="L51" s="31">
        <v>0.35051546391752575</v>
      </c>
      <c r="M51" s="31">
        <v>0.15721649484536082</v>
      </c>
      <c r="N51" s="31">
        <v>0.55882352941176472</v>
      </c>
      <c r="O51" s="31">
        <v>0.47540983606557374</v>
      </c>
      <c r="P51" s="31">
        <v>0.43703703703703706</v>
      </c>
    </row>
    <row r="52" spans="1:16" x14ac:dyDescent="0.4">
      <c r="A52" s="33">
        <v>49</v>
      </c>
      <c r="B52" s="30">
        <v>302.10000000000002</v>
      </c>
      <c r="C52" s="30">
        <v>6.16530612244898</v>
      </c>
      <c r="D52" s="35">
        <v>1.8163265306122449</v>
      </c>
      <c r="E52" s="31">
        <v>0.42857142857142855</v>
      </c>
      <c r="F52" s="31">
        <v>0.24489795918367346</v>
      </c>
      <c r="G52" s="31">
        <v>0.34343434343434343</v>
      </c>
      <c r="H52" s="31">
        <v>0.14141414141414141</v>
      </c>
      <c r="I52" s="32">
        <v>8966.176470588236</v>
      </c>
      <c r="J52" s="32">
        <v>-8701.7857142857138</v>
      </c>
      <c r="K52" s="31">
        <v>4.0816326530612242E-2</v>
      </c>
      <c r="L52" s="31">
        <v>0.34595959595959597</v>
      </c>
      <c r="M52" s="31">
        <v>0.15656565656565657</v>
      </c>
      <c r="N52" s="31">
        <v>0.56204379562043794</v>
      </c>
      <c r="O52" s="31">
        <v>0.46774193548387094</v>
      </c>
      <c r="P52" s="31">
        <v>0.43382352941176472</v>
      </c>
    </row>
    <row r="53" spans="1:16" x14ac:dyDescent="0.4">
      <c r="A53" s="33">
        <v>50</v>
      </c>
      <c r="B53" s="30">
        <v>358.5</v>
      </c>
      <c r="C53" s="30">
        <v>7.17</v>
      </c>
      <c r="D53" s="35">
        <v>1.8</v>
      </c>
      <c r="E53" s="31">
        <v>0.44</v>
      </c>
      <c r="F53" s="31">
        <v>0.24</v>
      </c>
      <c r="G53" s="31">
        <v>0.34739454094292804</v>
      </c>
      <c r="H53" s="31">
        <v>0.13895781637717122</v>
      </c>
      <c r="I53" s="32">
        <v>8912.8571428571431</v>
      </c>
      <c r="J53" s="32">
        <v>-8701.7857142857138</v>
      </c>
      <c r="K53" s="31">
        <v>0.04</v>
      </c>
      <c r="L53" s="31">
        <v>0.34739454094292804</v>
      </c>
      <c r="M53" s="31">
        <v>0.16129032258064516</v>
      </c>
      <c r="N53" s="31">
        <v>0.5714285714285714</v>
      </c>
      <c r="O53" s="31">
        <v>0.46153846153846156</v>
      </c>
      <c r="P53" s="31">
        <v>0.43571428571428572</v>
      </c>
    </row>
    <row r="54" spans="1:16" x14ac:dyDescent="0.4">
      <c r="A54" s="33">
        <v>51</v>
      </c>
      <c r="B54" s="30">
        <v>402.7</v>
      </c>
      <c r="C54" s="30">
        <v>7.8960784313725485</v>
      </c>
      <c r="D54" s="35">
        <v>1.7843137254901962</v>
      </c>
      <c r="E54" s="31">
        <v>0.45098039215686275</v>
      </c>
      <c r="F54" s="31">
        <v>0.23529411764705882</v>
      </c>
      <c r="G54" s="31">
        <v>0.34951456310679613</v>
      </c>
      <c r="H54" s="31">
        <v>0.14077669902912621</v>
      </c>
      <c r="I54" s="32">
        <v>8937.5</v>
      </c>
      <c r="J54" s="32">
        <v>-8677.5862068965525</v>
      </c>
      <c r="K54" s="31">
        <v>3.9215686274509803E-2</v>
      </c>
      <c r="L54" s="31">
        <v>0.35194174757281554</v>
      </c>
      <c r="M54" s="31">
        <v>0.15776699029126215</v>
      </c>
      <c r="N54" s="31">
        <v>0.57241379310344831</v>
      </c>
      <c r="O54" s="31">
        <v>0.46153846153846156</v>
      </c>
      <c r="P54" s="31">
        <v>0.4375</v>
      </c>
    </row>
    <row r="55" spans="1:16" x14ac:dyDescent="0.4">
      <c r="A55" s="33">
        <v>52</v>
      </c>
      <c r="B55" s="30">
        <v>411.8</v>
      </c>
      <c r="C55" s="30">
        <v>7.9192307692307695</v>
      </c>
      <c r="D55" s="35">
        <v>1.7884615384615385</v>
      </c>
      <c r="E55" s="31">
        <v>0.44230769230769229</v>
      </c>
      <c r="F55" s="31">
        <v>0.23076923076923078</v>
      </c>
      <c r="G55" s="31">
        <v>0.34834123222748814</v>
      </c>
      <c r="H55" s="31">
        <v>0.13981042654028436</v>
      </c>
      <c r="I55" s="32">
        <v>8946.2585034013609</v>
      </c>
      <c r="J55" s="32">
        <v>-8733.8983050847455</v>
      </c>
      <c r="K55" s="31">
        <v>3.8461538461538464E-2</v>
      </c>
      <c r="L55" s="31">
        <v>0.35308056872037913</v>
      </c>
      <c r="M55" s="31">
        <v>0.15639810426540285</v>
      </c>
      <c r="N55" s="31">
        <v>0.57046979865771807</v>
      </c>
      <c r="O55" s="31">
        <v>0.46969696969696972</v>
      </c>
      <c r="P55" s="31">
        <v>0.43537414965986393</v>
      </c>
    </row>
    <row r="56" spans="1:16" x14ac:dyDescent="0.4">
      <c r="A56" s="33">
        <v>53</v>
      </c>
      <c r="B56" s="30">
        <v>354.90000000000003</v>
      </c>
      <c r="C56" s="30">
        <v>6.6962264150943405</v>
      </c>
      <c r="D56" s="35">
        <v>1.8113207547169812</v>
      </c>
      <c r="E56" s="31">
        <v>0.43396226415094341</v>
      </c>
      <c r="F56" s="31">
        <v>0.24528301886792453</v>
      </c>
      <c r="G56" s="31">
        <v>0.34651162790697676</v>
      </c>
      <c r="H56" s="31">
        <v>0.14418604651162792</v>
      </c>
      <c r="I56" s="32">
        <v>8904.0268456375834</v>
      </c>
      <c r="J56" s="32">
        <v>-8762.9032258064508</v>
      </c>
      <c r="K56" s="31">
        <v>5.6603773584905662E-2</v>
      </c>
      <c r="L56" s="31">
        <v>0.36046511627906974</v>
      </c>
      <c r="M56" s="31">
        <v>0.1558139534883721</v>
      </c>
      <c r="N56" s="31">
        <v>0.56129032258064515</v>
      </c>
      <c r="O56" s="31">
        <v>0.46268656716417911</v>
      </c>
      <c r="P56" s="31">
        <v>0.42953020134228187</v>
      </c>
    </row>
    <row r="57" spans="1:16" x14ac:dyDescent="0.4">
      <c r="A57" s="33">
        <v>54</v>
      </c>
      <c r="B57" s="30">
        <v>366.90000000000003</v>
      </c>
      <c r="C57" s="30">
        <v>6.7944444444444452</v>
      </c>
      <c r="D57" s="35">
        <v>1.8148148148148149</v>
      </c>
      <c r="E57" s="31">
        <v>0.42592592592592593</v>
      </c>
      <c r="F57" s="31">
        <v>0.24074074074074073</v>
      </c>
      <c r="G57" s="31">
        <v>0.34851936218678814</v>
      </c>
      <c r="H57" s="31">
        <v>0.14123006833712984</v>
      </c>
      <c r="I57" s="32">
        <v>8888.2352941176468</v>
      </c>
      <c r="J57" s="32">
        <v>-8762.9032258064508</v>
      </c>
      <c r="K57" s="31">
        <v>5.5555555555555552E-2</v>
      </c>
      <c r="L57" s="31">
        <v>0.36902050113895218</v>
      </c>
      <c r="M57" s="31">
        <v>0.15489749430523919</v>
      </c>
      <c r="N57" s="31">
        <v>0.56172839506172845</v>
      </c>
      <c r="O57" s="31">
        <v>0.45588235294117646</v>
      </c>
      <c r="P57" s="31">
        <v>0.41830065359477125</v>
      </c>
    </row>
    <row r="58" spans="1:16" x14ac:dyDescent="0.4">
      <c r="A58" s="33">
        <v>55</v>
      </c>
      <c r="B58" s="30">
        <v>305.60000000000002</v>
      </c>
      <c r="C58" s="30">
        <v>5.5563636363636366</v>
      </c>
      <c r="D58" s="35">
        <v>1.8363636363636364</v>
      </c>
      <c r="E58" s="31">
        <v>0.41818181818181815</v>
      </c>
      <c r="F58" s="31">
        <v>0.25454545454545452</v>
      </c>
      <c r="G58" s="31">
        <v>0.34606741573033706</v>
      </c>
      <c r="H58" s="31">
        <v>0.14606741573033707</v>
      </c>
      <c r="I58" s="32">
        <v>8880.5194805194806</v>
      </c>
      <c r="J58" s="32">
        <v>-8912.3076923076915</v>
      </c>
      <c r="K58" s="31">
        <v>7.2727272727272724E-2</v>
      </c>
      <c r="L58" s="31">
        <v>0.37303370786516854</v>
      </c>
      <c r="M58" s="31">
        <v>0.15280898876404495</v>
      </c>
      <c r="N58" s="31">
        <v>0.55421686746987953</v>
      </c>
      <c r="O58" s="31">
        <v>0.45588235294117646</v>
      </c>
      <c r="P58" s="31">
        <v>0.41558441558441561</v>
      </c>
    </row>
    <row r="59" spans="1:16" x14ac:dyDescent="0.4">
      <c r="A59" s="33">
        <v>56</v>
      </c>
      <c r="B59" s="30">
        <v>242.10000000000002</v>
      </c>
      <c r="C59" s="30">
        <v>4.3232142857142861</v>
      </c>
      <c r="D59" s="35">
        <v>1.8571428571428572</v>
      </c>
      <c r="E59" s="31">
        <v>0.4107142857142857</v>
      </c>
      <c r="F59" s="31">
        <v>0.26785714285714285</v>
      </c>
      <c r="G59" s="31">
        <v>0.34451901565995524</v>
      </c>
      <c r="H59" s="31">
        <v>0.1476510067114094</v>
      </c>
      <c r="I59" s="32">
        <v>8880.5194805194806</v>
      </c>
      <c r="J59" s="32">
        <v>-9050</v>
      </c>
      <c r="K59" s="31">
        <v>8.9285714285714288E-2</v>
      </c>
      <c r="L59" s="31">
        <v>0.37360178970917224</v>
      </c>
      <c r="M59" s="31">
        <v>0.15212527964205816</v>
      </c>
      <c r="N59" s="31">
        <v>0.55089820359281438</v>
      </c>
      <c r="O59" s="31">
        <v>0.45588235294117646</v>
      </c>
      <c r="P59" s="31">
        <v>0.41558441558441561</v>
      </c>
    </row>
    <row r="60" spans="1:16" x14ac:dyDescent="0.4">
      <c r="A60" s="33">
        <v>57</v>
      </c>
      <c r="B60" s="30">
        <v>211.60000000000002</v>
      </c>
      <c r="C60" s="30">
        <v>3.7122807017543864</v>
      </c>
      <c r="D60" s="35">
        <v>1.8771929824561404</v>
      </c>
      <c r="E60" s="31">
        <v>0.40350877192982454</v>
      </c>
      <c r="F60" s="31">
        <v>0.2807017543859649</v>
      </c>
      <c r="G60" s="31">
        <v>0.33991228070175439</v>
      </c>
      <c r="H60" s="31">
        <v>0.14692982456140352</v>
      </c>
      <c r="I60" s="32">
        <v>8926.4516129032254</v>
      </c>
      <c r="J60" s="32">
        <v>-9034.3283582089553</v>
      </c>
      <c r="K60" s="31">
        <v>8.771929824561403E-2</v>
      </c>
      <c r="L60" s="31">
        <v>0.36842105263157893</v>
      </c>
      <c r="M60" s="31">
        <v>0.15350877192982457</v>
      </c>
      <c r="N60" s="31">
        <v>0.5535714285714286</v>
      </c>
      <c r="O60" s="31">
        <v>0.44285714285714284</v>
      </c>
      <c r="P60" s="31">
        <v>0.41935483870967744</v>
      </c>
    </row>
    <row r="61" spans="1:16" x14ac:dyDescent="0.4">
      <c r="A61" s="33">
        <v>58</v>
      </c>
      <c r="B61" s="30">
        <v>267.3</v>
      </c>
      <c r="C61" s="30">
        <v>4.6086206896551722</v>
      </c>
      <c r="D61" s="35">
        <v>1.8620689655172413</v>
      </c>
      <c r="E61" s="31">
        <v>0.41379310344827586</v>
      </c>
      <c r="F61" s="31">
        <v>0.27586206896551724</v>
      </c>
      <c r="G61" s="31">
        <v>0.34415584415584416</v>
      </c>
      <c r="H61" s="31">
        <v>0.14502164502164502</v>
      </c>
      <c r="I61" s="32">
        <v>8938.3647798742131</v>
      </c>
      <c r="J61" s="32">
        <v>-9034.3283582089553</v>
      </c>
      <c r="K61" s="31">
        <v>8.6206896551724144E-2</v>
      </c>
      <c r="L61" s="31">
        <v>0.36796536796536794</v>
      </c>
      <c r="M61" s="31">
        <v>0.15584415584415584</v>
      </c>
      <c r="N61" s="31">
        <v>0.55294117647058827</v>
      </c>
      <c r="O61" s="31">
        <v>0.45833333333333331</v>
      </c>
      <c r="P61" s="31">
        <v>0.42138364779874216</v>
      </c>
    </row>
    <row r="62" spans="1:16" x14ac:dyDescent="0.4">
      <c r="A62" s="33">
        <v>59</v>
      </c>
      <c r="B62" s="30">
        <v>271.3</v>
      </c>
      <c r="C62" s="30">
        <v>4.5983050847457632</v>
      </c>
      <c r="D62" s="35">
        <v>1.8644067796610169</v>
      </c>
      <c r="E62" s="31">
        <v>0.40677966101694918</v>
      </c>
      <c r="F62" s="31">
        <v>0.2711864406779661</v>
      </c>
      <c r="G62" s="31">
        <v>0.34468085106382979</v>
      </c>
      <c r="H62" s="31">
        <v>0.14468085106382977</v>
      </c>
      <c r="I62" s="32">
        <v>8986.4197530864203</v>
      </c>
      <c r="J62" s="32">
        <v>-9072.0588235294126</v>
      </c>
      <c r="K62" s="31">
        <v>8.4745762711864403E-2</v>
      </c>
      <c r="L62" s="31">
        <v>0.36382978723404258</v>
      </c>
      <c r="M62" s="31">
        <v>0.15531914893617021</v>
      </c>
      <c r="N62" s="31">
        <v>0.55555555555555558</v>
      </c>
      <c r="O62" s="31">
        <v>0.46575342465753422</v>
      </c>
      <c r="P62" s="31">
        <v>0.42592592592592593</v>
      </c>
    </row>
    <row r="63" spans="1:16" x14ac:dyDescent="0.4">
      <c r="A63" s="33">
        <v>60</v>
      </c>
      <c r="B63" s="30">
        <v>308.10000000000002</v>
      </c>
      <c r="C63" s="30">
        <v>5.1350000000000007</v>
      </c>
      <c r="D63" s="35">
        <v>1.85</v>
      </c>
      <c r="E63" s="31">
        <v>0.41666666666666669</v>
      </c>
      <c r="F63" s="31">
        <v>0.26666666666666666</v>
      </c>
      <c r="G63" s="31">
        <v>0.34381551362683438</v>
      </c>
      <c r="H63" s="31">
        <v>0.14465408805031446</v>
      </c>
      <c r="I63" s="32">
        <v>8984.1463414634145</v>
      </c>
      <c r="J63" s="32">
        <v>-8959.420289855072</v>
      </c>
      <c r="K63" s="31">
        <v>8.3333333333333329E-2</v>
      </c>
      <c r="L63" s="31">
        <v>0.36268343815513626</v>
      </c>
      <c r="M63" s="31">
        <v>0.15723270440251572</v>
      </c>
      <c r="N63" s="31">
        <v>0.55491329479768781</v>
      </c>
      <c r="O63" s="31">
        <v>0.45333333333333331</v>
      </c>
      <c r="P63" s="31">
        <v>0.42682926829268292</v>
      </c>
    </row>
    <row r="64" spans="1:16" x14ac:dyDescent="0.4">
      <c r="A64" s="33">
        <v>61</v>
      </c>
      <c r="B64" s="30">
        <v>364.1</v>
      </c>
      <c r="C64" s="30">
        <v>5.9688524590163938</v>
      </c>
      <c r="D64" s="35">
        <v>1.8360655737704918</v>
      </c>
      <c r="E64" s="31">
        <v>0.42622950819672129</v>
      </c>
      <c r="F64" s="31">
        <v>0.26229508196721313</v>
      </c>
      <c r="G64" s="31">
        <v>0.3450413223140496</v>
      </c>
      <c r="H64" s="31">
        <v>0.14256198347107438</v>
      </c>
      <c r="I64" s="32">
        <v>9062.2754491017968</v>
      </c>
      <c r="J64" s="32">
        <v>-8959.420289855072</v>
      </c>
      <c r="K64" s="31">
        <v>8.1967213114754092E-2</v>
      </c>
      <c r="L64" s="31">
        <v>0.36776859504132231</v>
      </c>
      <c r="M64" s="31">
        <v>0.15495867768595042</v>
      </c>
      <c r="N64" s="31">
        <v>0.5561797752808989</v>
      </c>
      <c r="O64" s="31">
        <v>0.45333333333333331</v>
      </c>
      <c r="P64" s="31">
        <v>0.43113772455089822</v>
      </c>
    </row>
    <row r="65" spans="1:16" x14ac:dyDescent="0.4">
      <c r="A65" s="33">
        <v>62</v>
      </c>
      <c r="B65" s="30">
        <v>363.20000000000005</v>
      </c>
      <c r="C65" s="30">
        <v>5.8580645161290326</v>
      </c>
      <c r="D65" s="35">
        <v>1.8387096774193548</v>
      </c>
      <c r="E65" s="31">
        <v>0.41935483870967744</v>
      </c>
      <c r="F65" s="31">
        <v>0.25806451612903225</v>
      </c>
      <c r="G65" s="31">
        <v>0.34615384615384615</v>
      </c>
      <c r="H65" s="31">
        <v>0.1437246963562753</v>
      </c>
      <c r="I65" s="32">
        <v>9084.7953216374262</v>
      </c>
      <c r="J65" s="32">
        <v>-9069.0140845070418</v>
      </c>
      <c r="K65" s="31">
        <v>8.0645161290322578E-2</v>
      </c>
      <c r="L65" s="31">
        <v>0.37044534412955465</v>
      </c>
      <c r="M65" s="31">
        <v>0.15384615384615385</v>
      </c>
      <c r="N65" s="31">
        <v>0.55191256830601088</v>
      </c>
      <c r="O65" s="31">
        <v>0.46052631578947367</v>
      </c>
      <c r="P65" s="31">
        <v>0.43859649122807015</v>
      </c>
    </row>
    <row r="66" spans="1:16" x14ac:dyDescent="0.4">
      <c r="A66" s="33">
        <v>63</v>
      </c>
      <c r="B66" s="30">
        <v>392.80000000000007</v>
      </c>
      <c r="C66" s="30">
        <v>6.2349206349206359</v>
      </c>
      <c r="D66" s="35">
        <v>1.8253968253968254</v>
      </c>
      <c r="E66" s="31">
        <v>0.42857142857142855</v>
      </c>
      <c r="F66" s="31">
        <v>0.25396825396825395</v>
      </c>
      <c r="G66" s="31">
        <v>0.34661354581673309</v>
      </c>
      <c r="H66" s="31">
        <v>0.14342629482071714</v>
      </c>
      <c r="I66" s="32">
        <v>9066.0919540229879</v>
      </c>
      <c r="J66" s="32">
        <v>-9054.1666666666661</v>
      </c>
      <c r="K66" s="31">
        <v>7.9365079365079361E-2</v>
      </c>
      <c r="L66" s="31">
        <v>0.37051792828685259</v>
      </c>
      <c r="M66" s="31">
        <v>0.15737051792828685</v>
      </c>
      <c r="N66" s="31">
        <v>0.54838709677419351</v>
      </c>
      <c r="O66" s="31">
        <v>0.46835443037974683</v>
      </c>
      <c r="P66" s="31">
        <v>0.44252873563218392</v>
      </c>
    </row>
    <row r="67" spans="1:16" x14ac:dyDescent="0.4">
      <c r="A67" s="33">
        <v>64</v>
      </c>
      <c r="B67" s="30">
        <v>385.50000000000006</v>
      </c>
      <c r="C67" s="30">
        <v>6.0234375000000009</v>
      </c>
      <c r="D67" s="35">
        <v>1.828125</v>
      </c>
      <c r="E67" s="31">
        <v>0.421875</v>
      </c>
      <c r="F67" s="31">
        <v>0.25</v>
      </c>
      <c r="G67" s="31">
        <v>0.34442270058708413</v>
      </c>
      <c r="H67" s="31">
        <v>0.14285714285714285</v>
      </c>
      <c r="I67" s="32">
        <v>9072.1590909090901</v>
      </c>
      <c r="J67" s="32">
        <v>-9176.7123287671238</v>
      </c>
      <c r="K67" s="31">
        <v>7.8125E-2</v>
      </c>
      <c r="L67" s="31">
        <v>0.36986301369863012</v>
      </c>
      <c r="M67" s="31">
        <v>0.15459882583170254</v>
      </c>
      <c r="N67" s="31">
        <v>0.55026455026455023</v>
      </c>
      <c r="O67" s="31">
        <v>0.46835443037974683</v>
      </c>
      <c r="P67" s="31">
        <v>0.4375</v>
      </c>
    </row>
    <row r="68" spans="1:16" x14ac:dyDescent="0.4">
      <c r="A68" s="33">
        <v>65</v>
      </c>
      <c r="B68" s="30">
        <v>428.40000000000003</v>
      </c>
      <c r="C68" s="30">
        <v>6.5907692307692312</v>
      </c>
      <c r="D68" s="35">
        <v>1.8153846153846154</v>
      </c>
      <c r="E68" s="31">
        <v>0.43076923076923079</v>
      </c>
      <c r="F68" s="31">
        <v>0.24615384615384617</v>
      </c>
      <c r="G68" s="31">
        <v>0.34362934362934361</v>
      </c>
      <c r="H68" s="31">
        <v>0.14285714285714285</v>
      </c>
      <c r="I68" s="32">
        <v>9161.7977528089887</v>
      </c>
      <c r="J68" s="32">
        <v>-9156.7567567567567</v>
      </c>
      <c r="K68" s="31">
        <v>7.6923076923076927E-2</v>
      </c>
      <c r="L68" s="31">
        <v>0.37065637065637064</v>
      </c>
      <c r="M68" s="31">
        <v>0.15250965250965251</v>
      </c>
      <c r="N68" s="31">
        <v>0.546875</v>
      </c>
      <c r="O68" s="31">
        <v>0.46835443037974683</v>
      </c>
      <c r="P68" s="31">
        <v>0.43820224719101125</v>
      </c>
    </row>
    <row r="69" spans="1:16" x14ac:dyDescent="0.4">
      <c r="A69" s="33">
        <v>66</v>
      </c>
      <c r="B69" s="30">
        <v>514</v>
      </c>
      <c r="C69" s="30">
        <v>7.7878787878787881</v>
      </c>
      <c r="D69" s="35">
        <v>1.803030303030303</v>
      </c>
      <c r="E69" s="31">
        <v>0.43939393939393939</v>
      </c>
      <c r="F69" s="31">
        <v>0.24242424242424243</v>
      </c>
      <c r="G69" s="31">
        <v>0.34848484848484851</v>
      </c>
      <c r="H69" s="31">
        <v>0.14204545454545456</v>
      </c>
      <c r="I69" s="32">
        <v>9292.391304347826</v>
      </c>
      <c r="J69" s="32">
        <v>-9141.3333333333339</v>
      </c>
      <c r="K69" s="31">
        <v>7.575757575757576E-2</v>
      </c>
      <c r="L69" s="31">
        <v>0.37689393939393939</v>
      </c>
      <c r="M69" s="31">
        <v>0.15151515151515152</v>
      </c>
      <c r="N69" s="31">
        <v>0.54773869346733672</v>
      </c>
      <c r="O69" s="31">
        <v>0.47499999999999998</v>
      </c>
      <c r="P69" s="31">
        <v>0.45108695652173914</v>
      </c>
    </row>
    <row r="70" spans="1:16" x14ac:dyDescent="0.4">
      <c r="A70" s="33">
        <v>67</v>
      </c>
      <c r="B70" s="30">
        <v>490.6</v>
      </c>
      <c r="C70" s="30">
        <v>7.3223880597014928</v>
      </c>
      <c r="D70" s="35">
        <v>1.8208955223880596</v>
      </c>
      <c r="E70" s="31">
        <v>0.43283582089552236</v>
      </c>
      <c r="F70" s="31">
        <v>0.2537313432835821</v>
      </c>
      <c r="G70" s="31">
        <v>0.34693877551020408</v>
      </c>
      <c r="H70" s="31">
        <v>0.14285714285714285</v>
      </c>
      <c r="I70" s="32">
        <v>9234.7593582887694</v>
      </c>
      <c r="J70" s="32">
        <v>-9129.8701298701308</v>
      </c>
      <c r="K70" s="31">
        <v>7.4626865671641784E-2</v>
      </c>
      <c r="L70" s="31">
        <v>0.36920222634508348</v>
      </c>
      <c r="M70" s="31">
        <v>0.15398886827458255</v>
      </c>
      <c r="N70" s="31">
        <v>0.54773869346733672</v>
      </c>
      <c r="O70" s="31">
        <v>0.46987951807228917</v>
      </c>
      <c r="P70" s="31">
        <v>0.44385026737967914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6C7EF-0452-4FEC-BA69-785D3E475901}">
  <sheetPr codeName="Sheet8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  <row r="13" spans="1:17" x14ac:dyDescent="0.4">
      <c r="A13" s="33">
        <v>10</v>
      </c>
      <c r="B13" s="30">
        <v>64.7</v>
      </c>
      <c r="C13" s="30">
        <v>6.4700000000000006</v>
      </c>
      <c r="D13" s="35">
        <v>1.8</v>
      </c>
      <c r="E13" s="31">
        <v>0.3</v>
      </c>
      <c r="F13" s="31">
        <v>0.1</v>
      </c>
      <c r="G13" s="31">
        <v>0.29166666666666669</v>
      </c>
      <c r="H13" s="31">
        <v>0.125</v>
      </c>
      <c r="I13" s="32">
        <v>8814.2857142857138</v>
      </c>
      <c r="J13" s="32">
        <v>-6144.4444444444443</v>
      </c>
      <c r="K13" s="31">
        <v>0</v>
      </c>
      <c r="L13" s="31">
        <v>0.2638888888888889</v>
      </c>
      <c r="M13" s="31">
        <v>0.20833333333333334</v>
      </c>
      <c r="N13" s="31">
        <v>0.63157894736842102</v>
      </c>
      <c r="O13" s="31">
        <v>0.26666666666666666</v>
      </c>
      <c r="P13" s="31">
        <v>0.47619047619047616</v>
      </c>
    </row>
    <row r="14" spans="1:17" x14ac:dyDescent="0.4">
      <c r="A14" s="33">
        <v>11</v>
      </c>
      <c r="B14" s="30">
        <v>24.300000000000004</v>
      </c>
      <c r="C14" s="30">
        <v>2.2090909090909094</v>
      </c>
      <c r="D14" s="35">
        <v>1.9090909090909092</v>
      </c>
      <c r="E14" s="31">
        <v>0.27272727272727271</v>
      </c>
      <c r="F14" s="31">
        <v>0.18181818181818182</v>
      </c>
      <c r="G14" s="31">
        <v>0.27500000000000002</v>
      </c>
      <c r="H14" s="31">
        <v>0.125</v>
      </c>
      <c r="I14" s="32">
        <v>8590.9090909090901</v>
      </c>
      <c r="J14" s="32">
        <v>-6730</v>
      </c>
      <c r="K14" s="31">
        <v>0</v>
      </c>
      <c r="L14" s="31">
        <v>0.25</v>
      </c>
      <c r="M14" s="31">
        <v>0.2</v>
      </c>
      <c r="N14" s="31">
        <v>0.65</v>
      </c>
      <c r="O14" s="31">
        <v>0.25</v>
      </c>
      <c r="P14" s="31">
        <v>0.45454545454545453</v>
      </c>
    </row>
    <row r="15" spans="1:17" x14ac:dyDescent="0.4">
      <c r="A15" s="33">
        <v>12</v>
      </c>
      <c r="B15" s="30">
        <v>76.099999999999994</v>
      </c>
      <c r="C15" s="30">
        <v>6.3416666666666659</v>
      </c>
      <c r="D15" s="35">
        <v>1.8333333333333333</v>
      </c>
      <c r="E15" s="31">
        <v>0.33333333333333331</v>
      </c>
      <c r="F15" s="31">
        <v>0.16666666666666666</v>
      </c>
      <c r="G15" s="31">
        <v>0.28888888888888886</v>
      </c>
      <c r="H15" s="31">
        <v>0.1111111111111111</v>
      </c>
      <c r="I15" s="32">
        <v>8961.538461538461</v>
      </c>
      <c r="J15" s="32">
        <v>-6730</v>
      </c>
      <c r="K15" s="31">
        <v>0</v>
      </c>
      <c r="L15" s="31">
        <v>0.27777777777777779</v>
      </c>
      <c r="M15" s="31">
        <v>0.18888888888888888</v>
      </c>
      <c r="N15" s="31">
        <v>0.68</v>
      </c>
      <c r="O15" s="31">
        <v>0.23529411764705882</v>
      </c>
      <c r="P15" s="31">
        <v>0.46153846153846156</v>
      </c>
    </row>
    <row r="16" spans="1:17" x14ac:dyDescent="0.4">
      <c r="A16" s="33">
        <v>13</v>
      </c>
      <c r="B16" s="30">
        <v>122.5</v>
      </c>
      <c r="C16" s="30">
        <v>9.4230769230769234</v>
      </c>
      <c r="D16" s="35">
        <v>1.7692307692307692</v>
      </c>
      <c r="E16" s="31">
        <v>0.38461538461538464</v>
      </c>
      <c r="F16" s="31">
        <v>0.15384615384615385</v>
      </c>
      <c r="G16" s="31">
        <v>0.32653061224489793</v>
      </c>
      <c r="H16" s="31">
        <v>0.11224489795918367</v>
      </c>
      <c r="I16" s="32">
        <v>8525</v>
      </c>
      <c r="J16" s="32">
        <v>-6700</v>
      </c>
      <c r="K16" s="31">
        <v>0</v>
      </c>
      <c r="L16" s="31">
        <v>0.2857142857142857</v>
      </c>
      <c r="M16" s="31">
        <v>0.19387755102040816</v>
      </c>
      <c r="N16" s="31">
        <v>0.7142857142857143</v>
      </c>
      <c r="O16" s="31">
        <v>0.31578947368421051</v>
      </c>
      <c r="P16" s="31">
        <v>0.46875</v>
      </c>
    </row>
    <row r="17" spans="1:16" x14ac:dyDescent="0.4">
      <c r="A17" s="33">
        <v>14</v>
      </c>
      <c r="B17" s="30">
        <v>154.19999999999999</v>
      </c>
      <c r="C17" s="30">
        <v>11.014285714285714</v>
      </c>
      <c r="D17" s="35">
        <v>1.7142857142857142</v>
      </c>
      <c r="E17" s="31">
        <v>0.42857142857142855</v>
      </c>
      <c r="F17" s="31">
        <v>0.14285714285714285</v>
      </c>
      <c r="G17" s="31">
        <v>0.33636363636363636</v>
      </c>
      <c r="H17" s="31">
        <v>0.13636363636363635</v>
      </c>
      <c r="I17" s="32">
        <v>8402.7027027027034</v>
      </c>
      <c r="J17" s="32">
        <v>-7186.666666666667</v>
      </c>
      <c r="K17" s="31">
        <v>0</v>
      </c>
      <c r="L17" s="31">
        <v>0.3</v>
      </c>
      <c r="M17" s="31">
        <v>0.19090909090909092</v>
      </c>
      <c r="N17" s="31">
        <v>0.72727272727272729</v>
      </c>
      <c r="O17" s="31">
        <v>0.2857142857142857</v>
      </c>
      <c r="P17" s="31">
        <v>0.48648648648648651</v>
      </c>
    </row>
    <row r="18" spans="1:16" x14ac:dyDescent="0.4">
      <c r="A18" s="33">
        <v>15</v>
      </c>
      <c r="B18" s="30">
        <v>154.19999999999999</v>
      </c>
      <c r="C18" s="30">
        <v>10.28</v>
      </c>
      <c r="D18" s="35">
        <v>1.6666666666666667</v>
      </c>
      <c r="E18" s="31">
        <v>0.46666666666666667</v>
      </c>
      <c r="F18" s="31">
        <v>0.13333333333333333</v>
      </c>
      <c r="G18" s="31">
        <v>0.33636363636363636</v>
      </c>
      <c r="H18" s="31">
        <v>0.13636363636363635</v>
      </c>
      <c r="I18" s="32">
        <v>8402.7027027027034</v>
      </c>
      <c r="J18" s="32">
        <v>-7186.666666666667</v>
      </c>
      <c r="K18" s="31">
        <v>0</v>
      </c>
      <c r="L18" s="31">
        <v>0.3</v>
      </c>
      <c r="M18" s="31">
        <v>0.19090909090909092</v>
      </c>
      <c r="N18" s="31">
        <v>0.72727272727272729</v>
      </c>
      <c r="O18" s="31">
        <v>0.2857142857142857</v>
      </c>
      <c r="P18" s="31">
        <v>0.48648648648648651</v>
      </c>
    </row>
    <row r="19" spans="1:16" x14ac:dyDescent="0.4">
      <c r="A19" s="33">
        <v>16</v>
      </c>
      <c r="B19" s="30">
        <v>225.2</v>
      </c>
      <c r="C19" s="30">
        <v>14.074999999999999</v>
      </c>
      <c r="D19" s="35">
        <v>1.625</v>
      </c>
      <c r="E19" s="31">
        <v>0.5</v>
      </c>
      <c r="F19" s="31">
        <v>0.125</v>
      </c>
      <c r="G19" s="31">
        <v>0.34146341463414637</v>
      </c>
      <c r="H19" s="31">
        <v>0.13008130081300814</v>
      </c>
      <c r="I19" s="32">
        <v>8814.2857142857138</v>
      </c>
      <c r="J19" s="32">
        <v>-6900</v>
      </c>
      <c r="K19" s="31">
        <v>0</v>
      </c>
      <c r="L19" s="31">
        <v>0.30081300813008133</v>
      </c>
      <c r="M19" s="31">
        <v>0.21138211382113822</v>
      </c>
      <c r="N19" s="31">
        <v>0.70270270270270274</v>
      </c>
      <c r="O19" s="31">
        <v>0.30769230769230771</v>
      </c>
      <c r="P19" s="31">
        <v>0.47619047619047616</v>
      </c>
    </row>
    <row r="20" spans="1:16" x14ac:dyDescent="0.4">
      <c r="A20" s="33">
        <v>17</v>
      </c>
      <c r="B20" s="30">
        <v>224</v>
      </c>
      <c r="C20" s="30">
        <v>13.176470588235293</v>
      </c>
      <c r="D20" s="35">
        <v>1.6470588235294117</v>
      </c>
      <c r="E20" s="31">
        <v>0.47058823529411764</v>
      </c>
      <c r="F20" s="31">
        <v>0.11764705882352941</v>
      </c>
      <c r="G20" s="31">
        <v>0.33333333333333331</v>
      </c>
      <c r="H20" s="31">
        <v>0.13636363636363635</v>
      </c>
      <c r="I20" s="32">
        <v>8822.7272727272721</v>
      </c>
      <c r="J20" s="32">
        <v>-6794.4444444444443</v>
      </c>
      <c r="K20" s="31">
        <v>0</v>
      </c>
      <c r="L20" s="31">
        <v>0.29545454545454547</v>
      </c>
      <c r="M20" s="31">
        <v>0.20454545454545456</v>
      </c>
      <c r="N20" s="31">
        <v>0.66666666666666663</v>
      </c>
      <c r="O20" s="31">
        <v>0.33333333333333331</v>
      </c>
      <c r="P20" s="31">
        <v>0.47727272727272729</v>
      </c>
    </row>
    <row r="21" spans="1:16" x14ac:dyDescent="0.4">
      <c r="A21" s="33">
        <v>18</v>
      </c>
      <c r="B21" s="30">
        <v>229.8</v>
      </c>
      <c r="C21" s="30">
        <v>12.766666666666667</v>
      </c>
      <c r="D21" s="35">
        <v>1.6666666666666667</v>
      </c>
      <c r="E21" s="31">
        <v>0.44444444444444442</v>
      </c>
      <c r="F21" s="31">
        <v>0.1111111111111111</v>
      </c>
      <c r="G21" s="31">
        <v>0.32857142857142857</v>
      </c>
      <c r="H21" s="31">
        <v>0.12857142857142856</v>
      </c>
      <c r="I21" s="32">
        <v>8873.9130434782601</v>
      </c>
      <c r="J21" s="32">
        <v>-6794.4444444444443</v>
      </c>
      <c r="K21" s="31">
        <v>0</v>
      </c>
      <c r="L21" s="31">
        <v>0.30714285714285716</v>
      </c>
      <c r="M21" s="31">
        <v>0.19285714285714287</v>
      </c>
      <c r="N21" s="31">
        <v>0.65116279069767447</v>
      </c>
      <c r="O21" s="31">
        <v>0.33333333333333331</v>
      </c>
      <c r="P21" s="31">
        <v>0.5</v>
      </c>
    </row>
    <row r="22" spans="1:16" x14ac:dyDescent="0.4">
      <c r="A22" s="33">
        <v>19</v>
      </c>
      <c r="B22" s="30">
        <v>239</v>
      </c>
      <c r="C22" s="30">
        <v>12.578947368421053</v>
      </c>
      <c r="D22" s="35">
        <v>1.6842105263157894</v>
      </c>
      <c r="E22" s="31">
        <v>0.42105263157894735</v>
      </c>
      <c r="F22" s="31">
        <v>0.10526315789473684</v>
      </c>
      <c r="G22" s="31">
        <v>0.32653061224489793</v>
      </c>
      <c r="H22" s="31">
        <v>0.12925170068027211</v>
      </c>
      <c r="I22" s="32">
        <v>8864.5833333333339</v>
      </c>
      <c r="J22" s="32">
        <v>-6505.2631578947367</v>
      </c>
      <c r="K22" s="31">
        <v>0</v>
      </c>
      <c r="L22" s="31">
        <v>0.31292517006802723</v>
      </c>
      <c r="M22" s="31">
        <v>0.19047619047619047</v>
      </c>
      <c r="N22" s="31">
        <v>0.63043478260869568</v>
      </c>
      <c r="O22" s="31">
        <v>0.35714285714285715</v>
      </c>
      <c r="P22" s="31">
        <v>0.52083333333333337</v>
      </c>
    </row>
    <row r="23" spans="1:16" x14ac:dyDescent="0.4">
      <c r="A23" s="33">
        <v>20</v>
      </c>
      <c r="B23" s="30">
        <v>187.8</v>
      </c>
      <c r="C23" s="30">
        <v>9.39</v>
      </c>
      <c r="D23" s="35">
        <v>1.75</v>
      </c>
      <c r="E23" s="31">
        <v>0.4</v>
      </c>
      <c r="F23" s="31">
        <v>0.15</v>
      </c>
      <c r="G23" s="31">
        <v>0.32051282051282054</v>
      </c>
      <c r="H23" s="31">
        <v>0.14743589743589744</v>
      </c>
      <c r="I23" s="32">
        <v>8982</v>
      </c>
      <c r="J23" s="32">
        <v>-6495.652173913043</v>
      </c>
      <c r="K23" s="31">
        <v>0</v>
      </c>
      <c r="L23" s="31">
        <v>0.32692307692307693</v>
      </c>
      <c r="M23" s="31">
        <v>0.1858974358974359</v>
      </c>
      <c r="N23" s="31">
        <v>0.60784313725490191</v>
      </c>
      <c r="O23" s="31">
        <v>0.34482758620689657</v>
      </c>
      <c r="P23" s="31">
        <v>0.52</v>
      </c>
    </row>
    <row r="24" spans="1:16" x14ac:dyDescent="0.4">
      <c r="A24" s="33">
        <v>21</v>
      </c>
      <c r="B24" s="30">
        <v>214.70000000000002</v>
      </c>
      <c r="C24" s="30">
        <v>10.223809523809525</v>
      </c>
      <c r="D24" s="35">
        <v>1.7142857142857142</v>
      </c>
      <c r="E24" s="31">
        <v>0.42857142857142855</v>
      </c>
      <c r="F24" s="31">
        <v>0.14285714285714285</v>
      </c>
      <c r="G24" s="31">
        <v>0.3271604938271605</v>
      </c>
      <c r="H24" s="31">
        <v>0.1419753086419753</v>
      </c>
      <c r="I24" s="32">
        <v>8792.4528301886785</v>
      </c>
      <c r="J24" s="32">
        <v>-6495.652173913043</v>
      </c>
      <c r="K24" s="31">
        <v>0</v>
      </c>
      <c r="L24" s="31">
        <v>0.33333333333333331</v>
      </c>
      <c r="M24" s="31">
        <v>0.17901234567901234</v>
      </c>
      <c r="N24" s="31">
        <v>0.59259259259259256</v>
      </c>
      <c r="O24" s="31">
        <v>0.34482758620689657</v>
      </c>
      <c r="P24" s="31">
        <v>0.52830188679245282</v>
      </c>
    </row>
    <row r="25" spans="1:16" x14ac:dyDescent="0.4">
      <c r="A25" s="33">
        <v>22</v>
      </c>
      <c r="B25" s="30">
        <v>161.5</v>
      </c>
      <c r="C25" s="30">
        <v>7.3409090909090908</v>
      </c>
      <c r="D25" s="35">
        <v>1.7727272727272727</v>
      </c>
      <c r="E25" s="31">
        <v>0.40909090909090912</v>
      </c>
      <c r="F25" s="31">
        <v>0.18181818181818182</v>
      </c>
      <c r="G25" s="31">
        <v>0.31034482758620691</v>
      </c>
      <c r="H25" s="31">
        <v>0.14367816091954022</v>
      </c>
      <c r="I25" s="32">
        <v>8740.7407407407409</v>
      </c>
      <c r="J25" s="32">
        <v>-7004</v>
      </c>
      <c r="K25" s="31">
        <v>0</v>
      </c>
      <c r="L25" s="31">
        <v>0.32758620689655171</v>
      </c>
      <c r="M25" s="31">
        <v>0.17816091954022989</v>
      </c>
      <c r="N25" s="31">
        <v>0.56140350877192979</v>
      </c>
      <c r="O25" s="31">
        <v>0.35483870967741937</v>
      </c>
      <c r="P25" s="31">
        <v>0.53703703703703709</v>
      </c>
    </row>
    <row r="26" spans="1:16" x14ac:dyDescent="0.4">
      <c r="A26" s="33">
        <v>23</v>
      </c>
      <c r="B26" s="30">
        <v>221.8</v>
      </c>
      <c r="C26" s="30">
        <v>9.6434782608695659</v>
      </c>
      <c r="D26" s="35">
        <v>1.7391304347826086</v>
      </c>
      <c r="E26" s="31">
        <v>0.43478260869565216</v>
      </c>
      <c r="F26" s="31">
        <v>0.17391304347826086</v>
      </c>
      <c r="G26" s="31">
        <v>0.3146067415730337</v>
      </c>
      <c r="H26" s="31">
        <v>0.14606741573033707</v>
      </c>
      <c r="I26" s="32">
        <v>9285.7142857142862</v>
      </c>
      <c r="J26" s="32">
        <v>-6934.6153846153848</v>
      </c>
      <c r="K26" s="31">
        <v>0</v>
      </c>
      <c r="L26" s="31">
        <v>0.33146067415730335</v>
      </c>
      <c r="M26" s="31">
        <v>0.17415730337078653</v>
      </c>
      <c r="N26" s="31">
        <v>0.55932203389830504</v>
      </c>
      <c r="O26" s="31">
        <v>0.35483870967741937</v>
      </c>
      <c r="P26" s="31">
        <v>0.5357142857142857</v>
      </c>
    </row>
    <row r="27" spans="1:16" x14ac:dyDescent="0.4">
      <c r="A27" s="33">
        <v>24</v>
      </c>
      <c r="B27" s="30">
        <v>221.8</v>
      </c>
      <c r="C27" s="30">
        <v>9.2416666666666671</v>
      </c>
      <c r="D27" s="35">
        <v>1.75</v>
      </c>
      <c r="E27" s="31">
        <v>0.41666666666666669</v>
      </c>
      <c r="F27" s="31">
        <v>0.16666666666666666</v>
      </c>
      <c r="G27" s="31">
        <v>0.31284916201117319</v>
      </c>
      <c r="H27" s="31">
        <v>0.14525139664804471</v>
      </c>
      <c r="I27" s="32">
        <v>9285.7142857142862</v>
      </c>
      <c r="J27" s="32">
        <v>-6934.6153846153848</v>
      </c>
      <c r="K27" s="31">
        <v>0</v>
      </c>
      <c r="L27" s="31">
        <v>0.32960893854748602</v>
      </c>
      <c r="M27" s="31">
        <v>0.17318435754189945</v>
      </c>
      <c r="N27" s="31">
        <v>0.55932203389830504</v>
      </c>
      <c r="O27" s="31">
        <v>0.35483870967741937</v>
      </c>
      <c r="P27" s="31">
        <v>0.5357142857142857</v>
      </c>
    </row>
    <row r="28" spans="1:16" x14ac:dyDescent="0.4">
      <c r="A28" s="33">
        <v>25</v>
      </c>
      <c r="B28" s="30">
        <v>234.10000000000002</v>
      </c>
      <c r="C28" s="30">
        <v>9.3640000000000008</v>
      </c>
      <c r="D28" s="35">
        <v>1.76</v>
      </c>
      <c r="E28" s="31">
        <v>0.4</v>
      </c>
      <c r="F28" s="31">
        <v>0.16</v>
      </c>
      <c r="G28" s="31">
        <v>0.32085561497326204</v>
      </c>
      <c r="H28" s="31">
        <v>0.13903743315508021</v>
      </c>
      <c r="I28" s="32">
        <v>9163.3333333333339</v>
      </c>
      <c r="J28" s="32">
        <v>-6934.6153846153848</v>
      </c>
      <c r="K28" s="31">
        <v>0</v>
      </c>
      <c r="L28" s="31">
        <v>0.32085561497326204</v>
      </c>
      <c r="M28" s="31">
        <v>0.17647058823529413</v>
      </c>
      <c r="N28" s="31">
        <v>0.56666666666666665</v>
      </c>
      <c r="O28" s="31">
        <v>0.36363636363636365</v>
      </c>
      <c r="P28" s="31">
        <v>0.53333333333333333</v>
      </c>
    </row>
    <row r="29" spans="1:16" x14ac:dyDescent="0.4">
      <c r="A29" s="33">
        <v>26</v>
      </c>
      <c r="B29" s="30">
        <v>177.3</v>
      </c>
      <c r="C29" s="30">
        <v>6.8192307692307699</v>
      </c>
      <c r="D29" s="35">
        <v>1.8076923076923077</v>
      </c>
      <c r="E29" s="31">
        <v>0.38461538461538464</v>
      </c>
      <c r="F29" s="31">
        <v>0.19230769230769232</v>
      </c>
      <c r="G29" s="31">
        <v>0.31155778894472363</v>
      </c>
      <c r="H29" s="31">
        <v>0.1407035175879397</v>
      </c>
      <c r="I29" s="32">
        <v>9109.677419354839</v>
      </c>
      <c r="J29" s="32">
        <v>-7075</v>
      </c>
      <c r="K29" s="31">
        <v>3.8461538461538464E-2</v>
      </c>
      <c r="L29" s="31">
        <v>0.32663316582914576</v>
      </c>
      <c r="M29" s="31">
        <v>0.17587939698492464</v>
      </c>
      <c r="N29" s="31">
        <v>0.53846153846153844</v>
      </c>
      <c r="O29" s="31">
        <v>0.37142857142857144</v>
      </c>
      <c r="P29" s="31">
        <v>0.532258064516129</v>
      </c>
    </row>
    <row r="30" spans="1:16" x14ac:dyDescent="0.4">
      <c r="A30" s="33">
        <v>27</v>
      </c>
      <c r="B30" s="30">
        <v>257.3</v>
      </c>
      <c r="C30" s="30">
        <v>9.5296296296296301</v>
      </c>
      <c r="D30" s="35">
        <v>1.7777777777777777</v>
      </c>
      <c r="E30" s="31">
        <v>0.40740740740740738</v>
      </c>
      <c r="F30" s="31">
        <v>0.18518518518518517</v>
      </c>
      <c r="G30" s="31">
        <v>0.32019704433497537</v>
      </c>
      <c r="H30" s="31">
        <v>0.13793103448275862</v>
      </c>
      <c r="I30" s="32">
        <v>9520</v>
      </c>
      <c r="J30" s="32">
        <v>-7075</v>
      </c>
      <c r="K30" s="31">
        <v>3.7037037037037035E-2</v>
      </c>
      <c r="L30" s="31">
        <v>0.33497536945812806</v>
      </c>
      <c r="M30" s="31">
        <v>0.17733990147783252</v>
      </c>
      <c r="N30" s="31">
        <v>0.55882352941176472</v>
      </c>
      <c r="O30" s="31">
        <v>0.3611111111111111</v>
      </c>
      <c r="P30" s="31">
        <v>0.52307692307692311</v>
      </c>
    </row>
    <row r="31" spans="1:16" x14ac:dyDescent="0.4">
      <c r="A31" s="33">
        <v>28</v>
      </c>
      <c r="B31" s="30">
        <v>256.5</v>
      </c>
      <c r="C31" s="30">
        <v>9.1607142857142865</v>
      </c>
      <c r="D31" s="35">
        <v>1.7857142857142858</v>
      </c>
      <c r="E31" s="31">
        <v>0.39285714285714285</v>
      </c>
      <c r="F31" s="31">
        <v>0.17857142857142858</v>
      </c>
      <c r="G31" s="31">
        <v>0.31578947368421051</v>
      </c>
      <c r="H31" s="31">
        <v>0.13397129186602871</v>
      </c>
      <c r="I31" s="32">
        <v>9557.575757575758</v>
      </c>
      <c r="J31" s="32">
        <v>-7075</v>
      </c>
      <c r="K31" s="31">
        <v>3.5714285714285712E-2</v>
      </c>
      <c r="L31" s="31">
        <v>0.33014354066985646</v>
      </c>
      <c r="M31" s="31">
        <v>0.18181818181818182</v>
      </c>
      <c r="N31" s="31">
        <v>0.55072463768115942</v>
      </c>
      <c r="O31" s="31">
        <v>0.34210526315789475</v>
      </c>
      <c r="P31" s="31">
        <v>0.51515151515151514</v>
      </c>
    </row>
    <row r="32" spans="1:16" x14ac:dyDescent="0.4">
      <c r="A32" s="33">
        <v>29</v>
      </c>
      <c r="B32" s="30">
        <v>206.6</v>
      </c>
      <c r="C32" s="30">
        <v>7.1241379310344826</v>
      </c>
      <c r="D32" s="35">
        <v>1.8275862068965518</v>
      </c>
      <c r="E32" s="31">
        <v>0.37931034482758619</v>
      </c>
      <c r="F32" s="31">
        <v>0.20689655172413793</v>
      </c>
      <c r="G32" s="31">
        <v>0.31050228310502281</v>
      </c>
      <c r="H32" s="31">
        <v>0.13698630136986301</v>
      </c>
      <c r="I32" s="32">
        <v>9447.0588235294126</v>
      </c>
      <c r="J32" s="32">
        <v>-7163.333333333333</v>
      </c>
      <c r="K32" s="31">
        <v>3.4482758620689655E-2</v>
      </c>
      <c r="L32" s="31">
        <v>0.33333333333333331</v>
      </c>
      <c r="M32" s="31">
        <v>0.18264840182648401</v>
      </c>
      <c r="N32" s="31">
        <v>0.53424657534246578</v>
      </c>
      <c r="O32" s="31">
        <v>0.35</v>
      </c>
      <c r="P32" s="31">
        <v>0.5</v>
      </c>
    </row>
    <row r="33" spans="1:16" x14ac:dyDescent="0.4">
      <c r="A33" s="33">
        <v>30</v>
      </c>
      <c r="B33" s="30">
        <v>151.19999999999999</v>
      </c>
      <c r="C33" s="30">
        <v>5.04</v>
      </c>
      <c r="D33" s="35">
        <v>1.8666666666666667</v>
      </c>
      <c r="E33" s="31">
        <v>0.36666666666666664</v>
      </c>
      <c r="F33" s="31">
        <v>0.23333333333333334</v>
      </c>
      <c r="G33" s="31">
        <v>0.3056768558951965</v>
      </c>
      <c r="H33" s="31">
        <v>0.14410480349344978</v>
      </c>
      <c r="I33" s="32">
        <v>9405.7142857142862</v>
      </c>
      <c r="J33" s="32">
        <v>-7596.969696969697</v>
      </c>
      <c r="K33" s="31">
        <v>6.6666666666666666E-2</v>
      </c>
      <c r="L33" s="31">
        <v>0.33624454148471616</v>
      </c>
      <c r="M33" s="31">
        <v>0.18340611353711792</v>
      </c>
      <c r="N33" s="31">
        <v>0.51948051948051943</v>
      </c>
      <c r="O33" s="31">
        <v>0.35714285714285715</v>
      </c>
      <c r="P33" s="31">
        <v>0.5</v>
      </c>
    </row>
    <row r="34" spans="1:16" x14ac:dyDescent="0.4">
      <c r="A34" s="33">
        <v>31</v>
      </c>
      <c r="B34" s="30">
        <v>185.29999999999998</v>
      </c>
      <c r="C34" s="30">
        <v>5.9774193548387089</v>
      </c>
      <c r="D34" s="35">
        <v>1.8387096774193548</v>
      </c>
      <c r="E34" s="31">
        <v>0.38709677419354838</v>
      </c>
      <c r="F34" s="31">
        <v>0.22580645161290322</v>
      </c>
      <c r="G34" s="31">
        <v>0.31120331950207469</v>
      </c>
      <c r="H34" s="31">
        <v>0.14107883817427386</v>
      </c>
      <c r="I34" s="32">
        <v>9112</v>
      </c>
      <c r="J34" s="32">
        <v>-7488.2352941176468</v>
      </c>
      <c r="K34" s="31">
        <v>6.4516129032258063E-2</v>
      </c>
      <c r="L34" s="31">
        <v>0.33609958506224069</v>
      </c>
      <c r="M34" s="31">
        <v>0.1908713692946058</v>
      </c>
      <c r="N34" s="31">
        <v>0.50617283950617287</v>
      </c>
      <c r="O34" s="31">
        <v>0.39130434782608697</v>
      </c>
      <c r="P34" s="31">
        <v>0.48</v>
      </c>
    </row>
    <row r="35" spans="1:16" x14ac:dyDescent="0.4">
      <c r="A35" s="33">
        <v>32</v>
      </c>
      <c r="B35" s="30">
        <v>129.09999999999997</v>
      </c>
      <c r="C35" s="30">
        <v>4.0343749999999989</v>
      </c>
      <c r="D35" s="35">
        <v>1.875</v>
      </c>
      <c r="E35" s="31">
        <v>0.375</v>
      </c>
      <c r="F35" s="31">
        <v>0.25</v>
      </c>
      <c r="G35" s="31">
        <v>0.30612244897959184</v>
      </c>
      <c r="H35" s="31">
        <v>0.14693877551020409</v>
      </c>
      <c r="I35" s="32">
        <v>9112</v>
      </c>
      <c r="J35" s="32">
        <v>-7258.333333333333</v>
      </c>
      <c r="K35" s="31">
        <v>9.375E-2</v>
      </c>
      <c r="L35" s="31">
        <v>0.33061224489795921</v>
      </c>
      <c r="M35" s="31">
        <v>0.18775510204081633</v>
      </c>
      <c r="N35" s="31">
        <v>0.50617283950617287</v>
      </c>
      <c r="O35" s="31">
        <v>0.39130434782608697</v>
      </c>
      <c r="P35" s="31">
        <v>0.48</v>
      </c>
    </row>
    <row r="36" spans="1:16" x14ac:dyDescent="0.4">
      <c r="A36" s="33">
        <v>33</v>
      </c>
      <c r="B36" s="30">
        <v>172.69999999999996</v>
      </c>
      <c r="C36" s="30">
        <v>5.2333333333333325</v>
      </c>
      <c r="D36" s="35">
        <v>1.8484848484848484</v>
      </c>
      <c r="E36" s="31">
        <v>0.39393939393939392</v>
      </c>
      <c r="F36" s="31">
        <v>0.24242424242424243</v>
      </c>
      <c r="G36" s="31">
        <v>0.31372549019607843</v>
      </c>
      <c r="H36" s="31">
        <v>0.14117647058823529</v>
      </c>
      <c r="I36" s="32">
        <v>9008.75</v>
      </c>
      <c r="J36" s="32">
        <v>-7258.333333333333</v>
      </c>
      <c r="K36" s="31">
        <v>9.0909090909090912E-2</v>
      </c>
      <c r="L36" s="31">
        <v>0.32549019607843138</v>
      </c>
      <c r="M36" s="31">
        <v>0.19607843137254902</v>
      </c>
      <c r="N36" s="31">
        <v>0.50602409638554213</v>
      </c>
      <c r="O36" s="31">
        <v>0.42</v>
      </c>
      <c r="P36" s="31">
        <v>0.48749999999999999</v>
      </c>
    </row>
    <row r="37" spans="1:16" x14ac:dyDescent="0.4">
      <c r="A37" s="33">
        <v>34</v>
      </c>
      <c r="B37" s="30">
        <v>171.69999999999996</v>
      </c>
      <c r="C37" s="30">
        <v>5.0499999999999989</v>
      </c>
      <c r="D37" s="35">
        <v>1.8529411764705883</v>
      </c>
      <c r="E37" s="31">
        <v>0.38235294117647056</v>
      </c>
      <c r="F37" s="31">
        <v>0.23529411764705882</v>
      </c>
      <c r="G37" s="31">
        <v>0.31297709923664124</v>
      </c>
      <c r="H37" s="31">
        <v>0.14503816793893129</v>
      </c>
      <c r="I37" s="32">
        <v>8976.8292682926822</v>
      </c>
      <c r="J37" s="32">
        <v>-7255.2631578947367</v>
      </c>
      <c r="K37" s="31">
        <v>8.8235294117647065E-2</v>
      </c>
      <c r="L37" s="31">
        <v>0.31679389312977096</v>
      </c>
      <c r="M37" s="31">
        <v>0.20229007633587787</v>
      </c>
      <c r="N37" s="31">
        <v>0.50602409638554213</v>
      </c>
      <c r="O37" s="31">
        <v>0.43396226415094341</v>
      </c>
      <c r="P37" s="31">
        <v>0.48780487804878048</v>
      </c>
    </row>
    <row r="38" spans="1:16" x14ac:dyDescent="0.4">
      <c r="A38" s="33">
        <v>35</v>
      </c>
      <c r="B38" s="30">
        <v>208.79999999999995</v>
      </c>
      <c r="C38" s="30">
        <v>5.9657142857142844</v>
      </c>
      <c r="D38" s="35">
        <v>1.8285714285714285</v>
      </c>
      <c r="E38" s="31">
        <v>0.4</v>
      </c>
      <c r="F38" s="31">
        <v>0.22857142857142856</v>
      </c>
      <c r="G38" s="31">
        <v>0.30882352941176472</v>
      </c>
      <c r="H38" s="31">
        <v>0.14338235294117646</v>
      </c>
      <c r="I38" s="32">
        <v>8950</v>
      </c>
      <c r="J38" s="32">
        <v>-7192.3076923076924</v>
      </c>
      <c r="K38" s="31">
        <v>8.5714285714285715E-2</v>
      </c>
      <c r="L38" s="31">
        <v>0.3235294117647059</v>
      </c>
      <c r="M38" s="31">
        <v>0.19485294117647059</v>
      </c>
      <c r="N38" s="31">
        <v>0.5</v>
      </c>
      <c r="O38" s="31">
        <v>0.43396226415094341</v>
      </c>
      <c r="P38" s="31">
        <v>0.48809523809523808</v>
      </c>
    </row>
    <row r="39" spans="1:16" x14ac:dyDescent="0.4">
      <c r="A39" s="33">
        <v>36</v>
      </c>
      <c r="B39" s="30">
        <v>259.89999999999998</v>
      </c>
      <c r="C39" s="30">
        <v>7.2194444444444441</v>
      </c>
      <c r="D39" s="35">
        <v>1.8055555555555556</v>
      </c>
      <c r="E39" s="31">
        <v>0.41666666666666669</v>
      </c>
      <c r="F39" s="31">
        <v>0.22222222222222221</v>
      </c>
      <c r="G39" s="31">
        <v>0.31428571428571428</v>
      </c>
      <c r="H39" s="31">
        <v>0.14642857142857144</v>
      </c>
      <c r="I39" s="32">
        <v>9065.9090909090901</v>
      </c>
      <c r="J39" s="32">
        <v>-7124.3902439024387</v>
      </c>
      <c r="K39" s="31">
        <v>8.3333333333333329E-2</v>
      </c>
      <c r="L39" s="31">
        <v>0.32857142857142857</v>
      </c>
      <c r="M39" s="31">
        <v>0.18928571428571428</v>
      </c>
      <c r="N39" s="31">
        <v>0.51086956521739135</v>
      </c>
      <c r="O39" s="31">
        <v>0.43396226415094341</v>
      </c>
      <c r="P39" s="31">
        <v>0.47727272727272729</v>
      </c>
    </row>
    <row r="40" spans="1:16" x14ac:dyDescent="0.4">
      <c r="A40" s="33">
        <v>37</v>
      </c>
      <c r="B40" s="30">
        <v>197.7</v>
      </c>
      <c r="C40" s="30">
        <v>5.3432432432432426</v>
      </c>
      <c r="D40" s="35">
        <v>1.8378378378378379</v>
      </c>
      <c r="E40" s="31">
        <v>0.40540540540540543</v>
      </c>
      <c r="F40" s="31">
        <v>0.24324324324324326</v>
      </c>
      <c r="G40" s="31">
        <v>0.30795847750865052</v>
      </c>
      <c r="H40" s="31">
        <v>0.14878892733564014</v>
      </c>
      <c r="I40" s="32">
        <v>9071.9101123595501</v>
      </c>
      <c r="J40" s="32">
        <v>-6886.0465116279074</v>
      </c>
      <c r="K40" s="31">
        <v>0.10810810810810811</v>
      </c>
      <c r="L40" s="31">
        <v>0.32525951557093424</v>
      </c>
      <c r="M40" s="31">
        <v>0.19031141868512111</v>
      </c>
      <c r="N40" s="31">
        <v>0.51063829787234039</v>
      </c>
      <c r="O40" s="31">
        <v>0.41818181818181815</v>
      </c>
      <c r="P40" s="31">
        <v>0.47191011235955055</v>
      </c>
    </row>
    <row r="41" spans="1:16" x14ac:dyDescent="0.4">
      <c r="A41" s="33">
        <v>38</v>
      </c>
      <c r="B41" s="30">
        <v>150.89999999999998</v>
      </c>
      <c r="C41" s="30">
        <v>3.9710526315789467</v>
      </c>
      <c r="D41" s="35">
        <v>1.868421052631579</v>
      </c>
      <c r="E41" s="31">
        <v>0.39473684210526316</v>
      </c>
      <c r="F41" s="31">
        <v>0.26315789473684209</v>
      </c>
      <c r="G41" s="31">
        <v>0.30201342281879195</v>
      </c>
      <c r="H41" s="31">
        <v>0.15100671140939598</v>
      </c>
      <c r="I41" s="32">
        <v>9056.6666666666661</v>
      </c>
      <c r="J41" s="32">
        <v>-7024.4444444444443</v>
      </c>
      <c r="K41" s="31">
        <v>0.10526315789473684</v>
      </c>
      <c r="L41" s="31">
        <v>0.32214765100671139</v>
      </c>
      <c r="M41" s="31">
        <v>0.1912751677852349</v>
      </c>
      <c r="N41" s="31">
        <v>0.51041666666666663</v>
      </c>
      <c r="O41" s="31">
        <v>0.40350877192982454</v>
      </c>
      <c r="P41" s="31">
        <v>0.4777777777777778</v>
      </c>
    </row>
    <row r="42" spans="1:16" x14ac:dyDescent="0.4">
      <c r="A42" s="33">
        <v>39</v>
      </c>
      <c r="B42" s="30">
        <v>144.69999999999999</v>
      </c>
      <c r="C42" s="30">
        <v>3.71025641025641</v>
      </c>
      <c r="D42" s="35">
        <v>1.8717948717948718</v>
      </c>
      <c r="E42" s="31">
        <v>0.38461538461538464</v>
      </c>
      <c r="F42" s="31">
        <v>0.25641025641025639</v>
      </c>
      <c r="G42" s="31">
        <v>0.29934210526315791</v>
      </c>
      <c r="H42" s="31">
        <v>0.15131578947368421</v>
      </c>
      <c r="I42" s="32">
        <v>9089.0109890109889</v>
      </c>
      <c r="J42" s="32">
        <v>-7039.130434782609</v>
      </c>
      <c r="K42" s="31">
        <v>0.10256410256410256</v>
      </c>
      <c r="L42" s="31">
        <v>0.32565789473684209</v>
      </c>
      <c r="M42" s="31">
        <v>0.19078947368421054</v>
      </c>
      <c r="N42" s="31">
        <v>0.50505050505050508</v>
      </c>
      <c r="O42" s="31">
        <v>0.39655172413793105</v>
      </c>
      <c r="P42" s="31">
        <v>0.48351648351648352</v>
      </c>
    </row>
    <row r="43" spans="1:16" x14ac:dyDescent="0.4">
      <c r="A43" s="33">
        <v>40</v>
      </c>
      <c r="B43" s="30">
        <v>232.7</v>
      </c>
      <c r="C43" s="30">
        <v>5.8174999999999999</v>
      </c>
      <c r="D43" s="35">
        <v>1.85</v>
      </c>
      <c r="E43" s="31">
        <v>0.4</v>
      </c>
      <c r="F43" s="31">
        <v>0.25</v>
      </c>
      <c r="G43" s="31">
        <v>0.30392156862745096</v>
      </c>
      <c r="H43" s="31">
        <v>0.15032679738562091</v>
      </c>
      <c r="I43" s="32">
        <v>9603.2258064516136</v>
      </c>
      <c r="J43" s="32">
        <v>-7039.130434782609</v>
      </c>
      <c r="K43" s="31">
        <v>0.1</v>
      </c>
      <c r="L43" s="31">
        <v>0.33006535947712418</v>
      </c>
      <c r="M43" s="31">
        <v>0.18954248366013071</v>
      </c>
      <c r="N43" s="31">
        <v>0.51485148514851486</v>
      </c>
      <c r="O43" s="31">
        <v>0.39655172413793105</v>
      </c>
      <c r="P43" s="31">
        <v>0.4838709677419355</v>
      </c>
    </row>
    <row r="44" spans="1:16" x14ac:dyDescent="0.4">
      <c r="A44" s="33">
        <v>41</v>
      </c>
      <c r="B44" s="30">
        <v>263.3</v>
      </c>
      <c r="C44" s="30">
        <v>6.4219512195121951</v>
      </c>
      <c r="D44" s="35">
        <v>1.8292682926829269</v>
      </c>
      <c r="E44" s="31">
        <v>0.41463414634146339</v>
      </c>
      <c r="F44" s="31">
        <v>0.24390243902439024</v>
      </c>
      <c r="G44" s="31">
        <v>0.30476190476190479</v>
      </c>
      <c r="H44" s="31">
        <v>0.1492063492063492</v>
      </c>
      <c r="I44" s="32">
        <v>9594.7916666666661</v>
      </c>
      <c r="J44" s="32">
        <v>-6951.0638297872338</v>
      </c>
      <c r="K44" s="31">
        <v>9.7560975609756101E-2</v>
      </c>
      <c r="L44" s="31">
        <v>0.33333333333333331</v>
      </c>
      <c r="M44" s="31">
        <v>0.19047619047619047</v>
      </c>
      <c r="N44" s="31">
        <v>0.51428571428571423</v>
      </c>
      <c r="O44" s="31">
        <v>0.4</v>
      </c>
      <c r="P44" s="31">
        <v>0.48958333333333331</v>
      </c>
    </row>
    <row r="45" spans="1:16" x14ac:dyDescent="0.4">
      <c r="A45" s="33">
        <v>42</v>
      </c>
      <c r="B45" s="30">
        <v>253.10000000000002</v>
      </c>
      <c r="C45" s="30">
        <v>6.026190476190477</v>
      </c>
      <c r="D45" s="35">
        <v>1.8333333333333333</v>
      </c>
      <c r="E45" s="31">
        <v>0.40476190476190477</v>
      </c>
      <c r="F45" s="31">
        <v>0.23809523809523808</v>
      </c>
      <c r="G45" s="31">
        <v>0.30529595015576322</v>
      </c>
      <c r="H45" s="31">
        <v>0.14953271028037382</v>
      </c>
      <c r="I45" s="32">
        <v>9559.1836734693879</v>
      </c>
      <c r="J45" s="32">
        <v>-7181.25</v>
      </c>
      <c r="K45" s="31">
        <v>9.5238095238095233E-2</v>
      </c>
      <c r="L45" s="31">
        <v>0.3364485981308411</v>
      </c>
      <c r="M45" s="31">
        <v>0.19003115264797507</v>
      </c>
      <c r="N45" s="31">
        <v>0.5092592592592593</v>
      </c>
      <c r="O45" s="31">
        <v>0.4098360655737705</v>
      </c>
      <c r="P45" s="31">
        <v>0.48979591836734693</v>
      </c>
    </row>
    <row r="46" spans="1:16" x14ac:dyDescent="0.4">
      <c r="A46" s="33">
        <v>43</v>
      </c>
      <c r="B46" s="30">
        <v>281.90000000000003</v>
      </c>
      <c r="C46" s="30">
        <v>6.5558139534883733</v>
      </c>
      <c r="D46" s="35">
        <v>1.8139534883720929</v>
      </c>
      <c r="E46" s="31">
        <v>0.41860465116279072</v>
      </c>
      <c r="F46" s="31">
        <v>0.23255813953488372</v>
      </c>
      <c r="G46" s="31">
        <v>0.30699088145896658</v>
      </c>
      <c r="H46" s="31">
        <v>0.1519756838905775</v>
      </c>
      <c r="I46" s="32">
        <v>9667.3267326732675</v>
      </c>
      <c r="J46" s="32">
        <v>-7050</v>
      </c>
      <c r="K46" s="31">
        <v>9.3023255813953487E-2</v>
      </c>
      <c r="L46" s="31">
        <v>0.34042553191489361</v>
      </c>
      <c r="M46" s="31">
        <v>0.18541033434650456</v>
      </c>
      <c r="N46" s="31">
        <v>0.5089285714285714</v>
      </c>
      <c r="O46" s="31">
        <v>0.4098360655737705</v>
      </c>
      <c r="P46" s="31">
        <v>0.49504950495049505</v>
      </c>
    </row>
    <row r="47" spans="1:16" x14ac:dyDescent="0.4">
      <c r="A47" s="33">
        <v>44</v>
      </c>
      <c r="B47" s="30">
        <v>275.70000000000005</v>
      </c>
      <c r="C47" s="30">
        <v>6.2659090909090915</v>
      </c>
      <c r="D47" s="35">
        <v>1.8181818181818181</v>
      </c>
      <c r="E47" s="31">
        <v>0.40909090909090912</v>
      </c>
      <c r="F47" s="31">
        <v>0.22727272727272727</v>
      </c>
      <c r="G47" s="31">
        <v>0.30654761904761907</v>
      </c>
      <c r="H47" s="31">
        <v>0.15476190476190477</v>
      </c>
      <c r="I47" s="32">
        <v>9647.5728155339802</v>
      </c>
      <c r="J47" s="32">
        <v>-7163.4615384615381</v>
      </c>
      <c r="K47" s="31">
        <v>9.0909090909090912E-2</v>
      </c>
      <c r="L47" s="31">
        <v>0.34523809523809523</v>
      </c>
      <c r="M47" s="31">
        <v>0.18154761904761904</v>
      </c>
      <c r="N47" s="31">
        <v>0.50862068965517238</v>
      </c>
      <c r="O47" s="31">
        <v>0.4098360655737705</v>
      </c>
      <c r="P47" s="31">
        <v>0.4854368932038835</v>
      </c>
    </row>
    <row r="48" spans="1:16" x14ac:dyDescent="0.4">
      <c r="A48" s="33">
        <v>45</v>
      </c>
      <c r="B48" s="30">
        <v>224.80000000000004</v>
      </c>
      <c r="C48" s="30">
        <v>4.9955555555555566</v>
      </c>
      <c r="D48" s="35">
        <v>1.8444444444444446</v>
      </c>
      <c r="E48" s="31">
        <v>0.4</v>
      </c>
      <c r="F48" s="31">
        <v>0.24444444444444444</v>
      </c>
      <c r="G48" s="31">
        <v>0.30029154518950435</v>
      </c>
      <c r="H48" s="31">
        <v>0.16034985422740525</v>
      </c>
      <c r="I48" s="32">
        <v>9647.5728155339802</v>
      </c>
      <c r="J48" s="32">
        <v>-6983.636363636364</v>
      </c>
      <c r="K48" s="31">
        <v>8.8888888888888892E-2</v>
      </c>
      <c r="L48" s="31">
        <v>0.33819241982507287</v>
      </c>
      <c r="M48" s="31">
        <v>0.18367346938775511</v>
      </c>
      <c r="N48" s="31">
        <v>0.50862068965517238</v>
      </c>
      <c r="O48" s="31">
        <v>0.3968253968253968</v>
      </c>
      <c r="P48" s="31">
        <v>0.4854368932038835</v>
      </c>
    </row>
    <row r="49" spans="1:16" x14ac:dyDescent="0.4">
      <c r="A49" s="33">
        <v>46</v>
      </c>
      <c r="B49" s="30">
        <v>260.00000000000006</v>
      </c>
      <c r="C49" s="30">
        <v>5.6521739130434794</v>
      </c>
      <c r="D49" s="35">
        <v>1.826086956521739</v>
      </c>
      <c r="E49" s="31">
        <v>0.41304347826086957</v>
      </c>
      <c r="F49" s="31">
        <v>0.2391304347826087</v>
      </c>
      <c r="G49" s="31">
        <v>0.3002832861189802</v>
      </c>
      <c r="H49" s="31">
        <v>0.15580736543909349</v>
      </c>
      <c r="I49" s="32">
        <v>9666.9811320754725</v>
      </c>
      <c r="J49" s="32">
        <v>-6983.636363636364</v>
      </c>
      <c r="K49" s="31">
        <v>8.6956521739130432E-2</v>
      </c>
      <c r="L49" s="31">
        <v>0.33711048158640228</v>
      </c>
      <c r="M49" s="31">
        <v>0.18413597733711048</v>
      </c>
      <c r="N49" s="31">
        <v>0.51260504201680668</v>
      </c>
      <c r="O49" s="31">
        <v>0.4</v>
      </c>
      <c r="P49" s="31">
        <v>0.48113207547169812</v>
      </c>
    </row>
    <row r="50" spans="1:16" x14ac:dyDescent="0.4">
      <c r="A50" s="33">
        <v>47</v>
      </c>
      <c r="B50" s="30">
        <v>233.20000000000005</v>
      </c>
      <c r="C50" s="30">
        <v>4.9617021276595752</v>
      </c>
      <c r="D50" s="35">
        <v>1.8510638297872339</v>
      </c>
      <c r="E50" s="31">
        <v>0.40425531914893614</v>
      </c>
      <c r="F50" s="31">
        <v>0.25531914893617019</v>
      </c>
      <c r="G50" s="31">
        <v>0.29916897506925205</v>
      </c>
      <c r="H50" s="31">
        <v>0.15512465373961218</v>
      </c>
      <c r="I50" s="32">
        <v>9636.1111111111113</v>
      </c>
      <c r="J50" s="32">
        <v>-7001.7857142857147</v>
      </c>
      <c r="K50" s="31">
        <v>8.5106382978723402E-2</v>
      </c>
      <c r="L50" s="31">
        <v>0.33795013850415512</v>
      </c>
      <c r="M50" s="31">
        <v>0.18282548476454294</v>
      </c>
      <c r="N50" s="31">
        <v>0.51639344262295084</v>
      </c>
      <c r="O50" s="31">
        <v>0.39393939393939392</v>
      </c>
      <c r="P50" s="31">
        <v>0.48148148148148145</v>
      </c>
    </row>
    <row r="51" spans="1:16" x14ac:dyDescent="0.4">
      <c r="A51" s="33">
        <v>48</v>
      </c>
      <c r="B51" s="30">
        <v>174.40000000000003</v>
      </c>
      <c r="C51" s="30">
        <v>3.6333333333333342</v>
      </c>
      <c r="D51" s="35">
        <v>1.875</v>
      </c>
      <c r="E51" s="31">
        <v>0.39583333333333331</v>
      </c>
      <c r="F51" s="31">
        <v>0.27083333333333331</v>
      </c>
      <c r="G51" s="31">
        <v>0.29459459459459458</v>
      </c>
      <c r="H51" s="31">
        <v>0.15945945945945947</v>
      </c>
      <c r="I51" s="32">
        <v>9574.3119266055037</v>
      </c>
      <c r="J51" s="32">
        <v>-7115.2542372881353</v>
      </c>
      <c r="K51" s="31">
        <v>0.10416666666666667</v>
      </c>
      <c r="L51" s="31">
        <v>0.34054054054054056</v>
      </c>
      <c r="M51" s="31">
        <v>0.18378378378378379</v>
      </c>
      <c r="N51" s="31">
        <v>0.5</v>
      </c>
      <c r="O51" s="31">
        <v>0.39705882352941174</v>
      </c>
      <c r="P51" s="31">
        <v>0.47706422018348627</v>
      </c>
    </row>
    <row r="52" spans="1:16" x14ac:dyDescent="0.4">
      <c r="A52" s="33">
        <v>49</v>
      </c>
      <c r="B52" s="30">
        <v>116.60000000000004</v>
      </c>
      <c r="C52" s="30">
        <v>2.3795918367346944</v>
      </c>
      <c r="D52" s="35">
        <v>1.8979591836734695</v>
      </c>
      <c r="E52" s="31">
        <v>0.38775510204081631</v>
      </c>
      <c r="F52" s="31">
        <v>0.2857142857142857</v>
      </c>
      <c r="G52" s="31">
        <v>0.29177718832891247</v>
      </c>
      <c r="H52" s="31">
        <v>0.15915119363395225</v>
      </c>
      <c r="I52" s="32">
        <v>9505.454545454546</v>
      </c>
      <c r="J52" s="32">
        <v>-7530</v>
      </c>
      <c r="K52" s="31">
        <v>0.12244897959183673</v>
      </c>
      <c r="L52" s="31">
        <v>0.33421750663129973</v>
      </c>
      <c r="M52" s="31">
        <v>0.19363395225464192</v>
      </c>
      <c r="N52" s="31">
        <v>0.5</v>
      </c>
      <c r="O52" s="31">
        <v>0.38356164383561642</v>
      </c>
      <c r="P52" s="31">
        <v>0.47272727272727272</v>
      </c>
    </row>
    <row r="53" spans="1:16" x14ac:dyDescent="0.4">
      <c r="A53" s="33">
        <v>50</v>
      </c>
      <c r="B53" s="30">
        <v>55.900000000000034</v>
      </c>
      <c r="C53" s="30">
        <v>1.1180000000000008</v>
      </c>
      <c r="D53" s="35">
        <v>1.92</v>
      </c>
      <c r="E53" s="31">
        <v>0.38</v>
      </c>
      <c r="F53" s="31">
        <v>0.3</v>
      </c>
      <c r="G53" s="31">
        <v>0.2868217054263566</v>
      </c>
      <c r="H53" s="31">
        <v>0.15762273901808785</v>
      </c>
      <c r="I53" s="32">
        <v>9489.1891891891901</v>
      </c>
      <c r="J53" s="32">
        <v>-7532.7868852459014</v>
      </c>
      <c r="K53" s="31">
        <v>0.14000000000000001</v>
      </c>
      <c r="L53" s="31">
        <v>0.32558139534883723</v>
      </c>
      <c r="M53" s="31">
        <v>0.19896640826873385</v>
      </c>
      <c r="N53" s="31">
        <v>0.5</v>
      </c>
      <c r="O53" s="31">
        <v>0.37662337662337664</v>
      </c>
      <c r="P53" s="31">
        <v>0.47747747747747749</v>
      </c>
    </row>
    <row r="54" spans="1:16" x14ac:dyDescent="0.4">
      <c r="A54" s="33">
        <v>51</v>
      </c>
      <c r="B54" s="30">
        <v>55.900000000000034</v>
      </c>
      <c r="C54" s="30">
        <v>1.0960784313725498</v>
      </c>
      <c r="D54" s="35">
        <v>1.9215686274509804</v>
      </c>
      <c r="E54" s="31">
        <v>0.37254901960784315</v>
      </c>
      <c r="F54" s="31">
        <v>0.29411764705882354</v>
      </c>
      <c r="G54" s="31">
        <v>0.28643216080402012</v>
      </c>
      <c r="H54" s="31">
        <v>0.15829145728643215</v>
      </c>
      <c r="I54" s="32">
        <v>9395.6140350877195</v>
      </c>
      <c r="J54" s="32">
        <v>-7546.0317460317465</v>
      </c>
      <c r="K54" s="31">
        <v>0.13725490196078433</v>
      </c>
      <c r="L54" s="31">
        <v>0.31909547738693467</v>
      </c>
      <c r="M54" s="31">
        <v>0.20100502512562815</v>
      </c>
      <c r="N54" s="31">
        <v>0.49606299212598426</v>
      </c>
      <c r="O54" s="31">
        <v>0.38750000000000001</v>
      </c>
      <c r="P54" s="31">
        <v>0.47368421052631576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908F-A99B-4C97-8BB2-D457967C2B48}">
  <sheetPr codeName="Sheet6"/>
  <dimension ref="A1:Q7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  <row r="13" spans="1:17" x14ac:dyDescent="0.4">
      <c r="A13" s="33">
        <v>10</v>
      </c>
      <c r="B13" s="30">
        <v>1.7763568394002505E-15</v>
      </c>
      <c r="C13" s="30">
        <v>5.9211894646675015E-17</v>
      </c>
      <c r="D13" s="35">
        <v>2</v>
      </c>
      <c r="E13" s="31">
        <v>0.33333333333333331</v>
      </c>
      <c r="F13" s="31">
        <v>0.33333333333333331</v>
      </c>
      <c r="G13" s="31">
        <v>0.31140350877192985</v>
      </c>
      <c r="H13" s="31">
        <v>0.16228070175438597</v>
      </c>
      <c r="I13" s="32">
        <v>8725.352112676057</v>
      </c>
      <c r="J13" s="32">
        <v>-7532.4324324324325</v>
      </c>
      <c r="K13" s="31">
        <v>0.13333333333333333</v>
      </c>
      <c r="L13" s="31">
        <v>0.25</v>
      </c>
      <c r="M13" s="31">
        <v>0.20614035087719298</v>
      </c>
      <c r="N13" s="31">
        <v>0.61403508771929827</v>
      </c>
      <c r="O13" s="31">
        <v>0.31914893617021278</v>
      </c>
      <c r="P13" s="31">
        <v>0.46478873239436619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0.30522088353413657</v>
      </c>
      <c r="H14" s="31">
        <v>0.1646586345381526</v>
      </c>
      <c r="I14" s="32">
        <v>8760.5263157894733</v>
      </c>
      <c r="J14" s="32">
        <v>-7797.5609756097565</v>
      </c>
      <c r="K14" s="31">
        <v>0.12121212121212122</v>
      </c>
      <c r="L14" s="31">
        <v>0.25301204819277107</v>
      </c>
      <c r="M14" s="31">
        <v>0.20481927710843373</v>
      </c>
      <c r="N14" s="31">
        <v>0.58730158730158732</v>
      </c>
      <c r="O14" s="31">
        <v>0.35294117647058826</v>
      </c>
      <c r="P14" s="31">
        <v>0.44736842105263158</v>
      </c>
    </row>
    <row r="15" spans="1:17" x14ac:dyDescent="0.4">
      <c r="A15" s="33">
        <v>12</v>
      </c>
      <c r="B15" s="30">
        <v>-7.1054273576010019E-15</v>
      </c>
      <c r="C15" s="30">
        <v>-1.9737298215558337E-16</v>
      </c>
      <c r="D15" s="35">
        <v>2</v>
      </c>
      <c r="E15" s="31">
        <v>0.33333333333333331</v>
      </c>
      <c r="F15" s="31">
        <v>0.33333333333333331</v>
      </c>
      <c r="G15" s="31">
        <v>0.30851063829787234</v>
      </c>
      <c r="H15" s="31">
        <v>0.1702127659574468</v>
      </c>
      <c r="I15" s="32">
        <v>8350.5747126436781</v>
      </c>
      <c r="J15" s="32">
        <v>-7429.166666666667</v>
      </c>
      <c r="K15" s="31">
        <v>0.1111111111111111</v>
      </c>
      <c r="L15" s="31">
        <v>0.26241134751773049</v>
      </c>
      <c r="M15" s="31">
        <v>0.20567375886524822</v>
      </c>
      <c r="N15" s="31">
        <v>0.58108108108108103</v>
      </c>
      <c r="O15" s="31">
        <v>0.36206896551724138</v>
      </c>
      <c r="P15" s="31">
        <v>0.42528735632183906</v>
      </c>
    </row>
    <row r="16" spans="1:17" x14ac:dyDescent="0.4">
      <c r="A16" s="33">
        <v>13</v>
      </c>
      <c r="B16" s="30">
        <v>-1.0658141036401503E-14</v>
      </c>
      <c r="C16" s="30">
        <v>-2.7328566760003855E-16</v>
      </c>
      <c r="D16" s="35">
        <v>2</v>
      </c>
      <c r="E16" s="31">
        <v>0.33333333333333331</v>
      </c>
      <c r="F16" s="31">
        <v>0.33333333333333331</v>
      </c>
      <c r="G16" s="31">
        <v>0.30392156862745096</v>
      </c>
      <c r="H16" s="31">
        <v>0.16666666666666666</v>
      </c>
      <c r="I16" s="32">
        <v>8360.2150537634407</v>
      </c>
      <c r="J16" s="32">
        <v>-7370.588235294118</v>
      </c>
      <c r="K16" s="31">
        <v>0.10256410256410256</v>
      </c>
      <c r="L16" s="31">
        <v>0.27777777777777779</v>
      </c>
      <c r="M16" s="31">
        <v>0.20588235294117646</v>
      </c>
      <c r="N16" s="31">
        <v>0.57647058823529407</v>
      </c>
      <c r="O16" s="31">
        <v>0.33333333333333331</v>
      </c>
      <c r="P16" s="31">
        <v>0.43010752688172044</v>
      </c>
    </row>
    <row r="17" spans="1:16" x14ac:dyDescent="0.4">
      <c r="A17" s="33">
        <v>14</v>
      </c>
      <c r="B17" s="30">
        <v>-1.4210854715202004E-14</v>
      </c>
      <c r="C17" s="30">
        <v>-3.3835368369528578E-16</v>
      </c>
      <c r="D17" s="35">
        <v>2</v>
      </c>
      <c r="E17" s="31">
        <v>0.33333333333333331</v>
      </c>
      <c r="F17" s="31">
        <v>0.33333333333333331</v>
      </c>
      <c r="G17" s="31">
        <v>0.30357142857142855</v>
      </c>
      <c r="H17" s="31">
        <v>0.16369047619047619</v>
      </c>
      <c r="I17" s="32">
        <v>8680.3921568627447</v>
      </c>
      <c r="J17" s="32">
        <v>-7463.636363636364</v>
      </c>
      <c r="K17" s="31">
        <v>9.5238095238095233E-2</v>
      </c>
      <c r="L17" s="31">
        <v>0.29166666666666669</v>
      </c>
      <c r="M17" s="31">
        <v>0.20238095238095238</v>
      </c>
      <c r="N17" s="31">
        <v>0.56122448979591832</v>
      </c>
      <c r="O17" s="31">
        <v>0.3235294117647059</v>
      </c>
      <c r="P17" s="31">
        <v>0.44117647058823528</v>
      </c>
    </row>
    <row r="18" spans="1:16" x14ac:dyDescent="0.4">
      <c r="A18" s="33">
        <v>15</v>
      </c>
      <c r="B18" s="30">
        <v>-1.4210854715202004E-14</v>
      </c>
      <c r="C18" s="30">
        <v>-3.1579677144893343E-16</v>
      </c>
      <c r="D18" s="35">
        <v>2</v>
      </c>
      <c r="E18" s="31">
        <v>0.33333333333333331</v>
      </c>
      <c r="F18" s="31">
        <v>0.33333333333333331</v>
      </c>
      <c r="G18" s="31">
        <v>0.29971988795518206</v>
      </c>
      <c r="H18" s="31">
        <v>0.15406162464985995</v>
      </c>
      <c r="I18" s="32">
        <v>8846.7289719626169</v>
      </c>
      <c r="J18" s="32">
        <v>-7463.636363636364</v>
      </c>
      <c r="K18" s="31">
        <v>0.1111111111111111</v>
      </c>
      <c r="L18" s="31">
        <v>0.28291316526610644</v>
      </c>
      <c r="M18" s="31">
        <v>0.20448179271708683</v>
      </c>
      <c r="N18" s="31">
        <v>0.5643564356435643</v>
      </c>
      <c r="O18" s="31">
        <v>0.32876712328767121</v>
      </c>
      <c r="P18" s="31">
        <v>0.46728971962616822</v>
      </c>
    </row>
    <row r="19" spans="1:16" x14ac:dyDescent="0.4">
      <c r="A19" s="33">
        <v>16</v>
      </c>
      <c r="B19" s="30">
        <v>-1.2434497875801753E-14</v>
      </c>
      <c r="C19" s="30">
        <v>-2.5905203907920321E-16</v>
      </c>
      <c r="D19" s="35">
        <v>2</v>
      </c>
      <c r="E19" s="31">
        <v>0.33333333333333331</v>
      </c>
      <c r="F19" s="31">
        <v>0.33333333333333331</v>
      </c>
      <c r="G19" s="31">
        <v>0.29921259842519687</v>
      </c>
      <c r="H19" s="31">
        <v>0.15223097112860892</v>
      </c>
      <c r="I19" s="32">
        <v>8937.7192982456145</v>
      </c>
      <c r="J19" s="32">
        <v>-7565.5172413793107</v>
      </c>
      <c r="K19" s="31">
        <v>0.125</v>
      </c>
      <c r="L19" s="31">
        <v>0.29921259842519687</v>
      </c>
      <c r="M19" s="31">
        <v>0.1942257217847769</v>
      </c>
      <c r="N19" s="31">
        <v>0.54385964912280704</v>
      </c>
      <c r="O19" s="31">
        <v>0.32432432432432434</v>
      </c>
      <c r="P19" s="31">
        <v>0.47368421052631576</v>
      </c>
    </row>
    <row r="20" spans="1:16" x14ac:dyDescent="0.4">
      <c r="A20" s="33">
        <v>17</v>
      </c>
      <c r="B20" s="30">
        <v>-1.5543122344752192E-14</v>
      </c>
      <c r="C20" s="30">
        <v>-3.0476710479906258E-16</v>
      </c>
      <c r="D20" s="35">
        <v>2</v>
      </c>
      <c r="E20" s="31">
        <v>0.33333333333333331</v>
      </c>
      <c r="F20" s="31">
        <v>0.33333333333333331</v>
      </c>
      <c r="G20" s="31">
        <v>0.29197080291970801</v>
      </c>
      <c r="H20" s="31">
        <v>0.14355231143552311</v>
      </c>
      <c r="I20" s="32">
        <v>9056.6666666666661</v>
      </c>
      <c r="J20" s="32">
        <v>-7503.3898305084749</v>
      </c>
      <c r="K20" s="31">
        <v>0.11764705882352941</v>
      </c>
      <c r="L20" s="31">
        <v>0.31630170316301703</v>
      </c>
      <c r="M20" s="31">
        <v>0.18734793187347931</v>
      </c>
      <c r="N20" s="31">
        <v>0.52307692307692311</v>
      </c>
      <c r="O20" s="31">
        <v>0.31168831168831168</v>
      </c>
      <c r="P20" s="31">
        <v>0.49166666666666664</v>
      </c>
    </row>
    <row r="21" spans="1:16" x14ac:dyDescent="0.4">
      <c r="A21" s="33">
        <v>18</v>
      </c>
      <c r="B21" s="30">
        <v>-1.7763568394002505E-14</v>
      </c>
      <c r="C21" s="30">
        <v>-3.2895497025930562E-16</v>
      </c>
      <c r="D21" s="35">
        <v>2</v>
      </c>
      <c r="E21" s="31">
        <v>0.33333333333333331</v>
      </c>
      <c r="F21" s="31">
        <v>0.33333333333333331</v>
      </c>
      <c r="G21" s="31">
        <v>0.28935185185185186</v>
      </c>
      <c r="H21" s="31">
        <v>0.14814814814814814</v>
      </c>
      <c r="I21" s="32">
        <v>8990.4</v>
      </c>
      <c r="J21" s="32">
        <v>-7495.3125</v>
      </c>
      <c r="K21" s="31">
        <v>0.1111111111111111</v>
      </c>
      <c r="L21" s="31">
        <v>0.31481481481481483</v>
      </c>
      <c r="M21" s="31">
        <v>0.1875</v>
      </c>
      <c r="N21" s="31">
        <v>0.51470588235294112</v>
      </c>
      <c r="O21" s="31">
        <v>0.32098765432098764</v>
      </c>
      <c r="P21" s="31">
        <v>0.47199999999999998</v>
      </c>
    </row>
    <row r="22" spans="1:16" x14ac:dyDescent="0.4">
      <c r="A22" s="33">
        <v>19</v>
      </c>
      <c r="B22" s="30">
        <v>-2.1316282072803006E-14</v>
      </c>
      <c r="C22" s="30">
        <v>-3.739698609263685E-16</v>
      </c>
      <c r="D22" s="35">
        <v>2</v>
      </c>
      <c r="E22" s="31">
        <v>0.33333333333333331</v>
      </c>
      <c r="F22" s="31">
        <v>0.33333333333333331</v>
      </c>
      <c r="G22" s="31">
        <v>0.29193899782135074</v>
      </c>
      <c r="H22" s="31">
        <v>0.14814814814814814</v>
      </c>
      <c r="I22" s="32">
        <v>8952.9850746268658</v>
      </c>
      <c r="J22" s="32">
        <v>-7739.7058823529414</v>
      </c>
      <c r="K22" s="31">
        <v>0.10526315789473684</v>
      </c>
      <c r="L22" s="31">
        <v>0.31808278867102396</v>
      </c>
      <c r="M22" s="31">
        <v>0.18736383442265794</v>
      </c>
      <c r="N22" s="31">
        <v>0.51369863013698636</v>
      </c>
      <c r="O22" s="31">
        <v>0.33720930232558138</v>
      </c>
      <c r="P22" s="31">
        <v>0.47014925373134331</v>
      </c>
    </row>
    <row r="23" spans="1:16" x14ac:dyDescent="0.4">
      <c r="A23" s="33">
        <v>20</v>
      </c>
      <c r="B23" s="30">
        <v>-2.1316282072803006E-14</v>
      </c>
      <c r="C23" s="30">
        <v>-3.5527136788005011E-16</v>
      </c>
      <c r="D23" s="35">
        <v>2</v>
      </c>
      <c r="E23" s="31">
        <v>0.33333333333333331</v>
      </c>
      <c r="F23" s="31">
        <v>0.33333333333333331</v>
      </c>
      <c r="G23" s="31">
        <v>0.29140461215932911</v>
      </c>
      <c r="H23" s="31">
        <v>0.1488469601677149</v>
      </c>
      <c r="I23" s="32">
        <v>8884.1726618705034</v>
      </c>
      <c r="J23" s="32">
        <v>-7683.0985915492956</v>
      </c>
      <c r="K23" s="31">
        <v>0.1</v>
      </c>
      <c r="L23" s="31">
        <v>0.31865828092243187</v>
      </c>
      <c r="M23" s="31">
        <v>0.18448637316561844</v>
      </c>
      <c r="N23" s="31">
        <v>0.51973684210526316</v>
      </c>
      <c r="O23" s="31">
        <v>0.34090909090909088</v>
      </c>
      <c r="P23" s="31">
        <v>0.46762589928057552</v>
      </c>
    </row>
    <row r="24" spans="1:16" x14ac:dyDescent="0.4">
      <c r="A24" s="33">
        <v>21</v>
      </c>
      <c r="B24" s="30">
        <v>-1.6875389974302379E-14</v>
      </c>
      <c r="C24" s="30">
        <v>-2.6786333292543458E-16</v>
      </c>
      <c r="D24" s="35">
        <v>2</v>
      </c>
      <c r="E24" s="31">
        <v>0.33333333333333331</v>
      </c>
      <c r="F24" s="31">
        <v>0.33333333333333331</v>
      </c>
      <c r="G24" s="31">
        <v>0.29341317365269459</v>
      </c>
      <c r="H24" s="31">
        <v>0.15369261477045909</v>
      </c>
      <c r="I24" s="32">
        <v>8885.0340136054419</v>
      </c>
      <c r="J24" s="32">
        <v>-7701.2987012987014</v>
      </c>
      <c r="K24" s="31">
        <v>9.5238095238095233E-2</v>
      </c>
      <c r="L24" s="31">
        <v>0.31536926147704591</v>
      </c>
      <c r="M24" s="31">
        <v>0.17964071856287425</v>
      </c>
      <c r="N24" s="31">
        <v>0.53164556962025311</v>
      </c>
      <c r="O24" s="31">
        <v>0.34444444444444444</v>
      </c>
      <c r="P24" s="31">
        <v>0.45578231292517007</v>
      </c>
    </row>
    <row r="25" spans="1:16" x14ac:dyDescent="0.4">
      <c r="A25" s="33">
        <v>22</v>
      </c>
      <c r="B25" s="30">
        <v>-2.1316282072803006E-14</v>
      </c>
      <c r="C25" s="30">
        <v>-3.2297397080004555E-16</v>
      </c>
      <c r="D25" s="35">
        <v>2</v>
      </c>
      <c r="E25" s="31">
        <v>0.33333333333333331</v>
      </c>
      <c r="F25" s="31">
        <v>0.33333333333333331</v>
      </c>
      <c r="G25" s="31">
        <v>0.29378531073446329</v>
      </c>
      <c r="H25" s="31">
        <v>0.15254237288135594</v>
      </c>
      <c r="I25" s="32">
        <v>8957.6923076923085</v>
      </c>
      <c r="J25" s="32">
        <v>-7864.1975308641977</v>
      </c>
      <c r="K25" s="31">
        <v>9.0909090909090912E-2</v>
      </c>
      <c r="L25" s="31">
        <v>0.31638418079096048</v>
      </c>
      <c r="M25" s="31">
        <v>0.1807909604519774</v>
      </c>
      <c r="N25" s="31">
        <v>0.54166666666666663</v>
      </c>
      <c r="O25" s="31">
        <v>0.34375</v>
      </c>
      <c r="P25" s="31">
        <v>0.46153846153846156</v>
      </c>
    </row>
    <row r="26" spans="1:16" x14ac:dyDescent="0.4">
      <c r="A26" s="33">
        <v>23</v>
      </c>
      <c r="B26" s="30">
        <v>-2.1316282072803006E-14</v>
      </c>
      <c r="C26" s="30">
        <v>-3.0893162424352181E-16</v>
      </c>
      <c r="D26" s="35">
        <v>2</v>
      </c>
      <c r="E26" s="31">
        <v>0.33333333333333331</v>
      </c>
      <c r="F26" s="31">
        <v>0.33333333333333331</v>
      </c>
      <c r="G26" s="31">
        <v>0.29549549549549547</v>
      </c>
      <c r="H26" s="31">
        <v>0.15315315315315314</v>
      </c>
      <c r="I26" s="32">
        <v>8948.7804878048773</v>
      </c>
      <c r="J26" s="32">
        <v>-7850.588235294118</v>
      </c>
      <c r="K26" s="31">
        <v>0.10144927536231885</v>
      </c>
      <c r="L26" s="31">
        <v>0.3171171171171171</v>
      </c>
      <c r="M26" s="31">
        <v>0.18018018018018017</v>
      </c>
      <c r="N26" s="31">
        <v>0.54545454545454541</v>
      </c>
      <c r="O26" s="31">
        <v>0.35</v>
      </c>
      <c r="P26" s="31">
        <v>0.46341463414634149</v>
      </c>
    </row>
    <row r="27" spans="1:16" x14ac:dyDescent="0.4">
      <c r="A27" s="33">
        <v>24</v>
      </c>
      <c r="B27" s="30">
        <v>-2.1316282072803006E-14</v>
      </c>
      <c r="C27" s="30">
        <v>-2.9605947323337506E-16</v>
      </c>
      <c r="D27" s="35">
        <v>2</v>
      </c>
      <c r="E27" s="31">
        <v>0.33333333333333331</v>
      </c>
      <c r="F27" s="31">
        <v>0.33333333333333331</v>
      </c>
      <c r="G27" s="31">
        <v>0.29441624365482233</v>
      </c>
      <c r="H27" s="31">
        <v>0.15397631133671744</v>
      </c>
      <c r="I27" s="32">
        <v>8858.6206896551721</v>
      </c>
      <c r="J27" s="32">
        <v>-7838.4615384615381</v>
      </c>
      <c r="K27" s="31">
        <v>9.7222222222222224E-2</v>
      </c>
      <c r="L27" s="31">
        <v>0.31641285956006771</v>
      </c>
      <c r="M27" s="31">
        <v>0.17597292724196278</v>
      </c>
      <c r="N27" s="31">
        <v>0.54545454545454541</v>
      </c>
      <c r="O27" s="31">
        <v>0.34615384615384615</v>
      </c>
      <c r="P27" s="31">
        <v>0.45977011494252873</v>
      </c>
    </row>
    <row r="28" spans="1:16" x14ac:dyDescent="0.4">
      <c r="A28" s="33">
        <v>25</v>
      </c>
      <c r="B28" s="30">
        <v>-2.1316282072803006E-14</v>
      </c>
      <c r="C28" s="30">
        <v>-2.8421709430404008E-16</v>
      </c>
      <c r="D28" s="35">
        <v>1.96</v>
      </c>
      <c r="E28" s="31">
        <v>0.36</v>
      </c>
      <c r="F28" s="31">
        <v>0.32</v>
      </c>
      <c r="G28" s="31">
        <v>0.29441624365482233</v>
      </c>
      <c r="H28" s="31">
        <v>0.15397631133671744</v>
      </c>
      <c r="I28" s="32">
        <v>8858.6206896551721</v>
      </c>
      <c r="J28" s="32">
        <v>-7838.4615384615381</v>
      </c>
      <c r="K28" s="31">
        <v>9.3333333333333338E-2</v>
      </c>
      <c r="L28" s="31">
        <v>0.31641285956006771</v>
      </c>
      <c r="M28" s="31">
        <v>0.17597292724196278</v>
      </c>
      <c r="N28" s="31">
        <v>0.54545454545454541</v>
      </c>
      <c r="O28" s="31">
        <v>0.34615384615384615</v>
      </c>
      <c r="P28" s="31">
        <v>0.45977011494252873</v>
      </c>
    </row>
    <row r="29" spans="1:16" x14ac:dyDescent="0.4">
      <c r="A29" s="33">
        <v>26</v>
      </c>
      <c r="B29" s="30">
        <v>-1.4210854715202004E-14</v>
      </c>
      <c r="C29" s="30">
        <v>-1.8219044506669235E-16</v>
      </c>
      <c r="D29" s="35">
        <v>1.9615384615384615</v>
      </c>
      <c r="E29" s="31">
        <v>0.35897435897435898</v>
      </c>
      <c r="F29" s="31">
        <v>0.32051282051282054</v>
      </c>
      <c r="G29" s="31">
        <v>0.29523809523809524</v>
      </c>
      <c r="H29" s="31">
        <v>0.15555555555555556</v>
      </c>
      <c r="I29" s="32">
        <v>8826.3440860215051</v>
      </c>
      <c r="J29" s="32">
        <v>-7633.6734693877552</v>
      </c>
      <c r="K29" s="31">
        <v>8.9743589743589744E-2</v>
      </c>
      <c r="L29" s="31">
        <v>0.31428571428571428</v>
      </c>
      <c r="M29" s="31">
        <v>0.18412698412698414</v>
      </c>
      <c r="N29" s="31">
        <v>0.54040404040404044</v>
      </c>
      <c r="O29" s="31">
        <v>0.35344827586206895</v>
      </c>
      <c r="P29" s="31">
        <v>0.45698924731182794</v>
      </c>
    </row>
    <row r="30" spans="1:16" x14ac:dyDescent="0.4">
      <c r="A30" s="33">
        <v>27</v>
      </c>
      <c r="B30" s="30">
        <v>-1.4210854715202004E-14</v>
      </c>
      <c r="C30" s="30">
        <v>-1.75442650804963E-16</v>
      </c>
      <c r="D30" s="35">
        <v>1.962962962962963</v>
      </c>
      <c r="E30" s="31">
        <v>0.35802469135802467</v>
      </c>
      <c r="F30" s="31">
        <v>0.32098765432098764</v>
      </c>
      <c r="G30" s="31">
        <v>0.29528158295281581</v>
      </c>
      <c r="H30" s="31">
        <v>0.15525114155251141</v>
      </c>
      <c r="I30" s="32">
        <v>8757.7319587628863</v>
      </c>
      <c r="J30" s="32">
        <v>-7686.2745098039213</v>
      </c>
      <c r="K30" s="31">
        <v>8.6419753086419748E-2</v>
      </c>
      <c r="L30" s="31">
        <v>0.31506849315068491</v>
      </c>
      <c r="M30" s="31">
        <v>0.17808219178082191</v>
      </c>
      <c r="N30" s="31">
        <v>0.53623188405797106</v>
      </c>
      <c r="O30" s="31">
        <v>0.35897435897435898</v>
      </c>
      <c r="P30" s="31">
        <v>0.45876288659793812</v>
      </c>
    </row>
    <row r="31" spans="1:16" x14ac:dyDescent="0.4">
      <c r="A31" s="33">
        <v>28</v>
      </c>
      <c r="B31" s="30">
        <v>-1.4210854715202004E-14</v>
      </c>
      <c r="C31" s="30">
        <v>-1.6917684184764289E-16</v>
      </c>
      <c r="D31" s="35">
        <v>1.9642857142857142</v>
      </c>
      <c r="E31" s="31">
        <v>0.35714285714285715</v>
      </c>
      <c r="F31" s="31">
        <v>0.32142857142857145</v>
      </c>
      <c r="G31" s="31">
        <v>0.29515418502202645</v>
      </c>
      <c r="H31" s="31">
        <v>0.1512481644640235</v>
      </c>
      <c r="I31" s="32">
        <v>8825.8706467661686</v>
      </c>
      <c r="J31" s="32">
        <v>-7728.155339805825</v>
      </c>
      <c r="K31" s="31">
        <v>8.3333333333333329E-2</v>
      </c>
      <c r="L31" s="31">
        <v>0.32305433186490456</v>
      </c>
      <c r="M31" s="31">
        <v>0.17180616740088106</v>
      </c>
      <c r="N31" s="31">
        <v>0.53181818181818186</v>
      </c>
      <c r="O31" s="31">
        <v>0.35897435897435898</v>
      </c>
      <c r="P31" s="31">
        <v>0.47263681592039802</v>
      </c>
    </row>
    <row r="32" spans="1:16" x14ac:dyDescent="0.4">
      <c r="A32" s="33">
        <v>29</v>
      </c>
      <c r="B32" s="30">
        <v>-1.7763568394002505E-14</v>
      </c>
      <c r="C32" s="30">
        <v>-2.0417894705750005E-16</v>
      </c>
      <c r="D32" s="35">
        <v>1.9655172413793103</v>
      </c>
      <c r="E32" s="31">
        <v>0.35632183908045978</v>
      </c>
      <c r="F32" s="31">
        <v>0.32183908045977011</v>
      </c>
      <c r="G32" s="31">
        <v>0.29629629629629628</v>
      </c>
      <c r="H32" s="31">
        <v>0.150997150997151</v>
      </c>
      <c r="I32" s="32">
        <v>8773.5576923076915</v>
      </c>
      <c r="J32" s="32">
        <v>-7680.1886792452833</v>
      </c>
      <c r="K32" s="31">
        <v>8.0459770114942528E-2</v>
      </c>
      <c r="L32" s="31">
        <v>0.32193732193732194</v>
      </c>
      <c r="M32" s="31">
        <v>0.1752136752136752</v>
      </c>
      <c r="N32" s="31">
        <v>0.52654867256637172</v>
      </c>
      <c r="O32" s="31">
        <v>0.38211382113821141</v>
      </c>
      <c r="P32" s="31">
        <v>0.47596153846153844</v>
      </c>
    </row>
    <row r="33" spans="1:16" x14ac:dyDescent="0.4">
      <c r="A33" s="33">
        <v>30</v>
      </c>
      <c r="B33" s="30">
        <v>-2.1316282072803006E-14</v>
      </c>
      <c r="C33" s="30">
        <v>-2.3684757858670006E-16</v>
      </c>
      <c r="D33" s="35">
        <v>1.9666666666666666</v>
      </c>
      <c r="E33" s="31">
        <v>0.35555555555555557</v>
      </c>
      <c r="F33" s="31">
        <v>0.32222222222222224</v>
      </c>
      <c r="G33" s="31">
        <v>0.29766803840877915</v>
      </c>
      <c r="H33" s="31">
        <v>0.15226337448559671</v>
      </c>
      <c r="I33" s="32">
        <v>8763.1336405529946</v>
      </c>
      <c r="J33" s="32">
        <v>-7674.7747747747744</v>
      </c>
      <c r="K33" s="31">
        <v>7.7777777777777779E-2</v>
      </c>
      <c r="L33" s="31">
        <v>0.32510288065843623</v>
      </c>
      <c r="M33" s="31">
        <v>0.17146776406035666</v>
      </c>
      <c r="N33" s="31">
        <v>0.53164556962025311</v>
      </c>
      <c r="O33" s="31">
        <v>0.38400000000000001</v>
      </c>
      <c r="P33" s="31">
        <v>0.47465437788018433</v>
      </c>
    </row>
    <row r="34" spans="1:16" x14ac:dyDescent="0.4">
      <c r="A34" s="33">
        <v>31</v>
      </c>
      <c r="B34" s="30">
        <v>-2.1316282072803006E-14</v>
      </c>
      <c r="C34" s="30">
        <v>-2.2920733411616134E-16</v>
      </c>
      <c r="D34" s="35">
        <v>1.967741935483871</v>
      </c>
      <c r="E34" s="31">
        <v>0.35483870967741937</v>
      </c>
      <c r="F34" s="31">
        <v>0.32258064516129031</v>
      </c>
      <c r="G34" s="31">
        <v>0.29852744310575635</v>
      </c>
      <c r="H34" s="31">
        <v>0.1499330655957162</v>
      </c>
      <c r="I34" s="32">
        <v>8674.8878923766824</v>
      </c>
      <c r="J34" s="32">
        <v>-7677.6785714285716</v>
      </c>
      <c r="K34" s="31">
        <v>7.5268817204301078E-2</v>
      </c>
      <c r="L34" s="31">
        <v>0.32396251673360105</v>
      </c>
      <c r="M34" s="31">
        <v>0.16867469879518071</v>
      </c>
      <c r="N34" s="31">
        <v>0.53305785123966942</v>
      </c>
      <c r="O34" s="31">
        <v>0.38095238095238093</v>
      </c>
      <c r="P34" s="31">
        <v>0.48430493273542602</v>
      </c>
    </row>
    <row r="35" spans="1:16" x14ac:dyDescent="0.4">
      <c r="A35" s="33">
        <v>32</v>
      </c>
      <c r="B35" s="30">
        <v>-2.8421709430404007E-14</v>
      </c>
      <c r="C35" s="30">
        <v>-2.9605947323337506E-16</v>
      </c>
      <c r="D35" s="35">
        <v>1.96875</v>
      </c>
      <c r="E35" s="31">
        <v>0.35416666666666669</v>
      </c>
      <c r="F35" s="31">
        <v>0.32291666666666669</v>
      </c>
      <c r="G35" s="31">
        <v>0.29629629629629628</v>
      </c>
      <c r="H35" s="31">
        <v>0.14942528735632185</v>
      </c>
      <c r="I35" s="32">
        <v>8747.4137931034475</v>
      </c>
      <c r="J35" s="32">
        <v>-7928.2051282051279</v>
      </c>
      <c r="K35" s="31">
        <v>7.2916666666666671E-2</v>
      </c>
      <c r="L35" s="31">
        <v>0.31928480204342274</v>
      </c>
      <c r="M35" s="31">
        <v>0.16475095785440613</v>
      </c>
      <c r="N35" s="31">
        <v>0.53600000000000003</v>
      </c>
      <c r="O35" s="31">
        <v>0.37984496124031009</v>
      </c>
      <c r="P35" s="31">
        <v>0.48275862068965519</v>
      </c>
    </row>
    <row r="36" spans="1:16" x14ac:dyDescent="0.4">
      <c r="A36" s="33">
        <v>33</v>
      </c>
      <c r="B36" s="30">
        <v>-2.8421709430404007E-14</v>
      </c>
      <c r="C36" s="30">
        <v>-2.8708797404448495E-16</v>
      </c>
      <c r="D36" s="35">
        <v>1.9696969696969697</v>
      </c>
      <c r="E36" s="31">
        <v>0.35353535353535354</v>
      </c>
      <c r="F36" s="31">
        <v>0.32323232323232326</v>
      </c>
      <c r="G36" s="31">
        <v>0.29685534591194968</v>
      </c>
      <c r="H36" s="31">
        <v>0.14968553459119496</v>
      </c>
      <c r="I36" s="32">
        <v>8841.5254237288136</v>
      </c>
      <c r="J36" s="32">
        <v>-8107.5630252100837</v>
      </c>
      <c r="K36" s="31">
        <v>8.0808080808080815E-2</v>
      </c>
      <c r="L36" s="31">
        <v>0.31823899371069181</v>
      </c>
      <c r="M36" s="31">
        <v>0.16477987421383647</v>
      </c>
      <c r="N36" s="31">
        <v>0.53754940711462451</v>
      </c>
      <c r="O36" s="31">
        <v>0.37404580152671757</v>
      </c>
      <c r="P36" s="31">
        <v>0.48305084745762711</v>
      </c>
    </row>
    <row r="37" spans="1:16" x14ac:dyDescent="0.4">
      <c r="A37" s="33">
        <v>34</v>
      </c>
      <c r="B37" s="30">
        <v>-2.8421709430404007E-14</v>
      </c>
      <c r="C37" s="30">
        <v>-2.7864421010200007E-16</v>
      </c>
      <c r="D37" s="35">
        <v>1.9705882352941178</v>
      </c>
      <c r="E37" s="31">
        <v>0.35294117647058826</v>
      </c>
      <c r="F37" s="31">
        <v>0.3235294117647059</v>
      </c>
      <c r="G37" s="31">
        <v>0.29699248120300753</v>
      </c>
      <c r="H37" s="31">
        <v>0.15037593984962405</v>
      </c>
      <c r="I37" s="32">
        <v>9006.7510548523205</v>
      </c>
      <c r="J37" s="32">
        <v>-8440</v>
      </c>
      <c r="K37" s="31">
        <v>8.8235294117647065E-2</v>
      </c>
      <c r="L37" s="31">
        <v>0.31704260651629074</v>
      </c>
      <c r="M37" s="31">
        <v>0.16416040100250626</v>
      </c>
      <c r="N37" s="31">
        <v>0.53754940711462451</v>
      </c>
      <c r="O37" s="31">
        <v>0.37404580152671757</v>
      </c>
      <c r="P37" s="31">
        <v>0.48101265822784811</v>
      </c>
    </row>
    <row r="38" spans="1:16" x14ac:dyDescent="0.4">
      <c r="A38" s="33">
        <v>35</v>
      </c>
      <c r="B38" s="30">
        <v>-2.4868995751603507E-14</v>
      </c>
      <c r="C38" s="30">
        <v>-2.3684757858670006E-16</v>
      </c>
      <c r="D38" s="35">
        <v>1.9714285714285715</v>
      </c>
      <c r="E38" s="31">
        <v>0.35238095238095241</v>
      </c>
      <c r="F38" s="31">
        <v>0.32380952380952382</v>
      </c>
      <c r="G38" s="31">
        <v>0.2980535279805353</v>
      </c>
      <c r="H38" s="31">
        <v>0.14841849148418493</v>
      </c>
      <c r="I38" s="32">
        <v>8977.1428571428569</v>
      </c>
      <c r="J38" s="32">
        <v>-8430.3278688524588</v>
      </c>
      <c r="K38" s="31">
        <v>8.5714285714285715E-2</v>
      </c>
      <c r="L38" s="31">
        <v>0.31386861313868614</v>
      </c>
      <c r="M38" s="31">
        <v>0.16666666666666666</v>
      </c>
      <c r="N38" s="31">
        <v>0.53875968992248058</v>
      </c>
      <c r="O38" s="31">
        <v>0.37956204379562042</v>
      </c>
      <c r="P38" s="31">
        <v>0.48979591836734693</v>
      </c>
    </row>
    <row r="39" spans="1:16" x14ac:dyDescent="0.4">
      <c r="A39" s="33">
        <v>36</v>
      </c>
      <c r="B39" s="30">
        <v>-2.1316282072803006E-14</v>
      </c>
      <c r="C39" s="30">
        <v>-1.9737298215558337E-16</v>
      </c>
      <c r="D39" s="35">
        <v>1.9722222222222223</v>
      </c>
      <c r="E39" s="31">
        <v>0.35185185185185186</v>
      </c>
      <c r="F39" s="31">
        <v>0.32407407407407407</v>
      </c>
      <c r="G39" s="31">
        <v>0.29836829836829837</v>
      </c>
      <c r="H39" s="31">
        <v>0.14918414918414918</v>
      </c>
      <c r="I39" s="32">
        <v>8980.078125</v>
      </c>
      <c r="J39" s="32">
        <v>-8435.9375</v>
      </c>
      <c r="K39" s="31">
        <v>9.2592592592592587E-2</v>
      </c>
      <c r="L39" s="31">
        <v>0.317016317016317</v>
      </c>
      <c r="M39" s="31">
        <v>0.1655011655011655</v>
      </c>
      <c r="N39" s="31">
        <v>0.53676470588235292</v>
      </c>
      <c r="O39" s="31">
        <v>0.38732394366197181</v>
      </c>
      <c r="P39" s="31">
        <v>0.48828125</v>
      </c>
    </row>
    <row r="40" spans="1:16" x14ac:dyDescent="0.4">
      <c r="A40" s="33">
        <v>37</v>
      </c>
      <c r="B40" s="30">
        <v>-2.8421709430404007E-14</v>
      </c>
      <c r="C40" s="30">
        <v>-2.5605143630994601E-16</v>
      </c>
      <c r="D40" s="35">
        <v>1.972972972972973</v>
      </c>
      <c r="E40" s="31">
        <v>0.35135135135135137</v>
      </c>
      <c r="F40" s="31">
        <v>0.32432432432432434</v>
      </c>
      <c r="G40" s="31">
        <v>0.2988505747126437</v>
      </c>
      <c r="H40" s="31">
        <v>0.15057471264367817</v>
      </c>
      <c r="I40" s="32">
        <v>9080.3846153846152</v>
      </c>
      <c r="J40" s="32">
        <v>-8624.4274809160306</v>
      </c>
      <c r="K40" s="31">
        <v>9.90990990990991E-2</v>
      </c>
      <c r="L40" s="31">
        <v>0.31954022988505748</v>
      </c>
      <c r="M40" s="31">
        <v>0.16436781609195403</v>
      </c>
      <c r="N40" s="31">
        <v>0.53956834532374098</v>
      </c>
      <c r="O40" s="31">
        <v>0.38461538461538464</v>
      </c>
      <c r="P40" s="31">
        <v>0.48461538461538461</v>
      </c>
    </row>
    <row r="41" spans="1:16" x14ac:dyDescent="0.4">
      <c r="A41" s="33">
        <v>38</v>
      </c>
      <c r="B41" s="30">
        <v>-2.4202861936828413E-14</v>
      </c>
      <c r="C41" s="30">
        <v>-2.1230580646340712E-16</v>
      </c>
      <c r="D41" s="35">
        <v>1.9736842105263157</v>
      </c>
      <c r="E41" s="31">
        <v>0.35087719298245612</v>
      </c>
      <c r="F41" s="31">
        <v>0.32456140350877194</v>
      </c>
      <c r="G41" s="31">
        <v>0.29842342342342343</v>
      </c>
      <c r="H41" s="31">
        <v>0.14864864864864866</v>
      </c>
      <c r="I41" s="32">
        <v>9067.9245283018863</v>
      </c>
      <c r="J41" s="32">
        <v>-8650</v>
      </c>
      <c r="K41" s="31">
        <v>9.6491228070175433E-2</v>
      </c>
      <c r="L41" s="31">
        <v>0.31869369369369371</v>
      </c>
      <c r="M41" s="31">
        <v>0.16666666666666666</v>
      </c>
      <c r="N41" s="31">
        <v>0.54063604240282681</v>
      </c>
      <c r="O41" s="31">
        <v>0.3783783783783784</v>
      </c>
      <c r="P41" s="31">
        <v>0.49056603773584906</v>
      </c>
    </row>
    <row r="42" spans="1:16" x14ac:dyDescent="0.4">
      <c r="A42" s="33">
        <v>39</v>
      </c>
      <c r="B42" s="30">
        <v>-2.1316282072803006E-14</v>
      </c>
      <c r="C42" s="30">
        <v>-1.8219044506669235E-16</v>
      </c>
      <c r="D42" s="35">
        <v>1.9743589743589745</v>
      </c>
      <c r="E42" s="31">
        <v>0.3504273504273504</v>
      </c>
      <c r="F42" s="31">
        <v>0.3247863247863248</v>
      </c>
      <c r="G42" s="31">
        <v>0.29956427015250547</v>
      </c>
      <c r="H42" s="31">
        <v>0.15032679738562091</v>
      </c>
      <c r="I42" s="32">
        <v>9054.181818181818</v>
      </c>
      <c r="J42" s="32">
        <v>-8594.927536231884</v>
      </c>
      <c r="K42" s="31">
        <v>9.4017094017094016E-2</v>
      </c>
      <c r="L42" s="31">
        <v>0.3202614379084967</v>
      </c>
      <c r="M42" s="31">
        <v>0.16557734204793029</v>
      </c>
      <c r="N42" s="31">
        <v>0.54081632653061229</v>
      </c>
      <c r="O42" s="31">
        <v>0.38157894736842107</v>
      </c>
      <c r="P42" s="31">
        <v>0.48727272727272725</v>
      </c>
    </row>
    <row r="43" spans="1:16" x14ac:dyDescent="0.4">
      <c r="A43" s="33">
        <v>40</v>
      </c>
      <c r="B43" s="30">
        <v>-2.1316282072803006E-14</v>
      </c>
      <c r="C43" s="30">
        <v>-1.7763568394002506E-16</v>
      </c>
      <c r="D43" s="35">
        <v>1.9750000000000001</v>
      </c>
      <c r="E43" s="31">
        <v>0.35</v>
      </c>
      <c r="F43" s="31">
        <v>0.32500000000000001</v>
      </c>
      <c r="G43" s="31">
        <v>0.30063291139240506</v>
      </c>
      <c r="H43" s="31">
        <v>0.15084388185654007</v>
      </c>
      <c r="I43" s="32">
        <v>9028.4210526315783</v>
      </c>
      <c r="J43" s="32">
        <v>-8665.0349650349654</v>
      </c>
      <c r="K43" s="31">
        <v>0.1</v>
      </c>
      <c r="L43" s="31">
        <v>0.32172995780590719</v>
      </c>
      <c r="M43" s="31">
        <v>0.17088607594936708</v>
      </c>
      <c r="N43" s="31">
        <v>0.54098360655737709</v>
      </c>
      <c r="O43" s="31">
        <v>0.37654320987654322</v>
      </c>
      <c r="P43" s="31">
        <v>0.48771929824561405</v>
      </c>
    </row>
    <row r="44" spans="1:16" x14ac:dyDescent="0.4">
      <c r="A44" s="33">
        <v>41</v>
      </c>
      <c r="B44" s="30">
        <v>-2.1316282072803006E-14</v>
      </c>
      <c r="C44" s="30">
        <v>-1.7330310628295127E-16</v>
      </c>
      <c r="D44" s="35">
        <v>1.975609756097561</v>
      </c>
      <c r="E44" s="31">
        <v>0.34959349593495936</v>
      </c>
      <c r="F44" s="31">
        <v>0.32520325203252032</v>
      </c>
      <c r="G44" s="31">
        <v>0.29979674796747968</v>
      </c>
      <c r="H44" s="31">
        <v>0.1524390243902439</v>
      </c>
      <c r="I44" s="32">
        <v>8910.5084745762706</v>
      </c>
      <c r="J44" s="32">
        <v>-8460</v>
      </c>
      <c r="K44" s="31">
        <v>9.7560975609756101E-2</v>
      </c>
      <c r="L44" s="31">
        <v>0.32113821138211385</v>
      </c>
      <c r="M44" s="31">
        <v>0.16971544715447154</v>
      </c>
      <c r="N44" s="31">
        <v>0.53797468354430378</v>
      </c>
      <c r="O44" s="31">
        <v>0.38323353293413176</v>
      </c>
      <c r="P44" s="31">
        <v>0.48135593220338985</v>
      </c>
    </row>
    <row r="45" spans="1:16" x14ac:dyDescent="0.4">
      <c r="A45" s="33">
        <v>42</v>
      </c>
      <c r="B45" s="30">
        <v>-2.1316282072803006E-14</v>
      </c>
      <c r="C45" s="30">
        <v>-1.6917684184764289E-16</v>
      </c>
      <c r="D45" s="35">
        <v>1.9761904761904763</v>
      </c>
      <c r="E45" s="31">
        <v>0.34920634920634919</v>
      </c>
      <c r="F45" s="31">
        <v>0.32539682539682541</v>
      </c>
      <c r="G45" s="31">
        <v>0.29980276134122286</v>
      </c>
      <c r="H45" s="31">
        <v>0.15581854043392504</v>
      </c>
      <c r="I45" s="32">
        <v>8928.28947368421</v>
      </c>
      <c r="J45" s="32">
        <v>-8345.5696202531653</v>
      </c>
      <c r="K45" s="31">
        <v>9.5238095238095233E-2</v>
      </c>
      <c r="L45" s="31">
        <v>0.31656804733727811</v>
      </c>
      <c r="M45" s="31">
        <v>0.17061143984220908</v>
      </c>
      <c r="N45" s="31">
        <v>0.54205607476635509</v>
      </c>
      <c r="O45" s="31">
        <v>0.38728323699421963</v>
      </c>
      <c r="P45" s="31">
        <v>0.47039473684210525</v>
      </c>
    </row>
    <row r="46" spans="1:16" x14ac:dyDescent="0.4">
      <c r="A46" s="33">
        <v>43</v>
      </c>
      <c r="B46" s="30">
        <v>-2.1316282072803006E-14</v>
      </c>
      <c r="C46" s="30">
        <v>-1.6524249668839539E-16</v>
      </c>
      <c r="D46" s="35">
        <v>1.9767441860465116</v>
      </c>
      <c r="E46" s="31">
        <v>0.34883720930232559</v>
      </c>
      <c r="F46" s="31">
        <v>0.32558139534883723</v>
      </c>
      <c r="G46" s="31">
        <v>0.30029154518950435</v>
      </c>
      <c r="H46" s="31">
        <v>0.15646258503401361</v>
      </c>
      <c r="I46" s="32">
        <v>8976.0517799352747</v>
      </c>
      <c r="J46" s="32">
        <v>-8335.4037267080748</v>
      </c>
      <c r="K46" s="31">
        <v>9.3023255813953487E-2</v>
      </c>
      <c r="L46" s="31">
        <v>0.31875607385811466</v>
      </c>
      <c r="M46" s="31">
        <v>0.16909620991253643</v>
      </c>
      <c r="N46" s="31">
        <v>0.54573170731707321</v>
      </c>
      <c r="O46" s="31">
        <v>0.38505747126436779</v>
      </c>
      <c r="P46" s="31">
        <v>0.46925566343042069</v>
      </c>
    </row>
    <row r="47" spans="1:16" x14ac:dyDescent="0.4">
      <c r="A47" s="33">
        <v>44</v>
      </c>
      <c r="B47" s="30">
        <v>-1.7763568394002505E-14</v>
      </c>
      <c r="C47" s="30">
        <v>-1.3457248783335231E-16</v>
      </c>
      <c r="D47" s="35">
        <v>1.9772727272727273</v>
      </c>
      <c r="E47" s="31">
        <v>0.34848484848484851</v>
      </c>
      <c r="F47" s="31">
        <v>0.32575757575757575</v>
      </c>
      <c r="G47" s="31">
        <v>0.30095238095238097</v>
      </c>
      <c r="H47" s="31">
        <v>0.15714285714285714</v>
      </c>
      <c r="I47" s="32">
        <v>8926.2658227848096</v>
      </c>
      <c r="J47" s="32">
        <v>-8344.8484848484841</v>
      </c>
      <c r="K47" s="31">
        <v>9.0909090909090912E-2</v>
      </c>
      <c r="L47" s="31">
        <v>0.3180952380952381</v>
      </c>
      <c r="M47" s="31">
        <v>0.16952380952380952</v>
      </c>
      <c r="N47" s="31">
        <v>0.54790419161676651</v>
      </c>
      <c r="O47" s="31">
        <v>0.38764044943820225</v>
      </c>
      <c r="P47" s="31">
        <v>0.46835443037974683</v>
      </c>
    </row>
    <row r="48" spans="1:16" x14ac:dyDescent="0.4">
      <c r="A48" s="33">
        <v>45</v>
      </c>
      <c r="B48" s="30">
        <v>-2.1316282072803006E-14</v>
      </c>
      <c r="C48" s="30">
        <v>-1.5789838572446671E-16</v>
      </c>
      <c r="D48" s="35">
        <v>1.9777777777777779</v>
      </c>
      <c r="E48" s="31">
        <v>0.34814814814814815</v>
      </c>
      <c r="F48" s="31">
        <v>0.32592592592592595</v>
      </c>
      <c r="G48" s="31">
        <v>0.29935720844811753</v>
      </c>
      <c r="H48" s="31">
        <v>0.15886134067952251</v>
      </c>
      <c r="I48" s="32">
        <v>8878.5276073619625</v>
      </c>
      <c r="J48" s="32">
        <v>-8273.9884393063585</v>
      </c>
      <c r="K48" s="31">
        <v>9.6296296296296297E-2</v>
      </c>
      <c r="L48" s="31">
        <v>0.30945821854912764</v>
      </c>
      <c r="M48" s="31">
        <v>0.17447199265381083</v>
      </c>
      <c r="N48" s="31">
        <v>0.54599406528189909</v>
      </c>
      <c r="O48" s="31">
        <v>0.38947368421052631</v>
      </c>
      <c r="P48" s="31">
        <v>0.46012269938650308</v>
      </c>
    </row>
    <row r="49" spans="1:16" x14ac:dyDescent="0.4">
      <c r="A49" s="33">
        <v>46</v>
      </c>
      <c r="B49" s="30">
        <v>-2.1316282072803006E-14</v>
      </c>
      <c r="C49" s="30">
        <v>-1.5446581212176091E-16</v>
      </c>
      <c r="D49" s="35">
        <v>1.9782608695652173</v>
      </c>
      <c r="E49" s="31">
        <v>0.34782608695652173</v>
      </c>
      <c r="F49" s="31">
        <v>0.32608695652173914</v>
      </c>
      <c r="G49" s="31">
        <v>0.29838709677419356</v>
      </c>
      <c r="H49" s="31">
        <v>0.15860215053763441</v>
      </c>
      <c r="I49" s="32">
        <v>8807.807807807807</v>
      </c>
      <c r="J49" s="32">
        <v>-8227.1186440677975</v>
      </c>
      <c r="K49" s="31">
        <v>9.420289855072464E-2</v>
      </c>
      <c r="L49" s="31">
        <v>0.30734767025089604</v>
      </c>
      <c r="M49" s="31">
        <v>0.17652329749103943</v>
      </c>
      <c r="N49" s="31">
        <v>0.54227405247813409</v>
      </c>
      <c r="O49" s="31">
        <v>0.39086294416243655</v>
      </c>
      <c r="P49" s="31">
        <v>0.45945945945945948</v>
      </c>
    </row>
    <row r="50" spans="1:16" x14ac:dyDescent="0.4">
      <c r="A50" s="33">
        <v>47</v>
      </c>
      <c r="B50" s="30">
        <v>-2.8421709430404007E-14</v>
      </c>
      <c r="C50" s="30">
        <v>-2.0157240730782984E-16</v>
      </c>
      <c r="D50" s="35">
        <v>1.9787234042553192</v>
      </c>
      <c r="E50" s="31">
        <v>0.3475177304964539</v>
      </c>
      <c r="F50" s="31">
        <v>0.32624113475177308</v>
      </c>
      <c r="G50" s="31">
        <v>0.29852045256744997</v>
      </c>
      <c r="H50" s="31">
        <v>0.15752828546562228</v>
      </c>
      <c r="I50" s="32">
        <v>8981.6326530612241</v>
      </c>
      <c r="J50" s="32">
        <v>-8319.8895027624312</v>
      </c>
      <c r="K50" s="31">
        <v>0.10638297872340426</v>
      </c>
      <c r="L50" s="31">
        <v>0.30983463881636203</v>
      </c>
      <c r="M50" s="31">
        <v>0.17580504786771106</v>
      </c>
      <c r="N50" s="31">
        <v>0.5449438202247191</v>
      </c>
      <c r="O50" s="31">
        <v>0.38118811881188119</v>
      </c>
      <c r="P50" s="31">
        <v>0.46355685131195334</v>
      </c>
    </row>
    <row r="51" spans="1:16" x14ac:dyDescent="0.4">
      <c r="A51" s="33">
        <v>48</v>
      </c>
      <c r="B51" s="30">
        <v>-3.1974423109204508E-14</v>
      </c>
      <c r="C51" s="30">
        <v>-2.2204460492503131E-16</v>
      </c>
      <c r="D51" s="35">
        <v>1.9791666666666667</v>
      </c>
      <c r="E51" s="31">
        <v>0.34722222222222221</v>
      </c>
      <c r="F51" s="31">
        <v>0.3263888888888889</v>
      </c>
      <c r="G51" s="31">
        <v>0.29896907216494845</v>
      </c>
      <c r="H51" s="31">
        <v>0.15721649484536082</v>
      </c>
      <c r="I51" s="32">
        <v>9068.9655172413786</v>
      </c>
      <c r="J51" s="32">
        <v>-8360.1092896174869</v>
      </c>
      <c r="K51" s="31">
        <v>0.1111111111111111</v>
      </c>
      <c r="L51" s="31">
        <v>0.31013745704467355</v>
      </c>
      <c r="M51" s="31">
        <v>0.17439862542955326</v>
      </c>
      <c r="N51" s="31">
        <v>0.54847645429362879</v>
      </c>
      <c r="O51" s="31">
        <v>0.37931034482758619</v>
      </c>
      <c r="P51" s="31">
        <v>0.46551724137931033</v>
      </c>
    </row>
    <row r="52" spans="1:16" x14ac:dyDescent="0.4">
      <c r="A52" s="33">
        <v>49</v>
      </c>
      <c r="B52" s="30">
        <v>-2.9753977059954195E-14</v>
      </c>
      <c r="C52" s="30">
        <v>-2.0240800721057276E-16</v>
      </c>
      <c r="D52" s="35">
        <v>1.9795918367346939</v>
      </c>
      <c r="E52" s="31">
        <v>0.34693877551020408</v>
      </c>
      <c r="F52" s="31">
        <v>0.32653061224489793</v>
      </c>
      <c r="G52" s="31">
        <v>0.29882154882154882</v>
      </c>
      <c r="H52" s="31">
        <v>0.15824915824915825</v>
      </c>
      <c r="I52" s="32">
        <v>9003.3802816901407</v>
      </c>
      <c r="J52" s="32">
        <v>-8283.510638297872</v>
      </c>
      <c r="K52" s="31">
        <v>0.10884353741496598</v>
      </c>
      <c r="L52" s="31">
        <v>0.30892255892255893</v>
      </c>
      <c r="M52" s="31">
        <v>0.17255892255892255</v>
      </c>
      <c r="N52" s="31">
        <v>0.55313351498637597</v>
      </c>
      <c r="O52" s="31">
        <v>0.37560975609756098</v>
      </c>
      <c r="P52" s="31">
        <v>0.46197183098591549</v>
      </c>
    </row>
    <row r="53" spans="1:16" x14ac:dyDescent="0.4">
      <c r="A53" s="33">
        <v>50</v>
      </c>
      <c r="B53" s="30">
        <v>-2.8421709430404007E-14</v>
      </c>
      <c r="C53" s="30">
        <v>-1.8947806286936006E-16</v>
      </c>
      <c r="D53" s="35">
        <v>1.98</v>
      </c>
      <c r="E53" s="31">
        <v>0.34666666666666668</v>
      </c>
      <c r="F53" s="31">
        <v>0.32666666666666666</v>
      </c>
      <c r="G53" s="31">
        <v>0.29693961952026471</v>
      </c>
      <c r="H53" s="31">
        <v>0.15715467328370555</v>
      </c>
      <c r="I53" s="32">
        <v>8982.1727019498612</v>
      </c>
      <c r="J53" s="32">
        <v>-8240.5263157894733</v>
      </c>
      <c r="K53" s="31">
        <v>0.10666666666666667</v>
      </c>
      <c r="L53" s="31">
        <v>0.30686517783291978</v>
      </c>
      <c r="M53" s="31">
        <v>0.17369727047146402</v>
      </c>
      <c r="N53" s="31">
        <v>0.55525606469002697</v>
      </c>
      <c r="O53" s="31">
        <v>0.37142857142857144</v>
      </c>
      <c r="P53" s="31">
        <v>0.46239554317548748</v>
      </c>
    </row>
    <row r="54" spans="1:16" x14ac:dyDescent="0.4">
      <c r="A54" s="33">
        <v>51</v>
      </c>
      <c r="B54" s="30">
        <v>-2.6645352591003757E-14</v>
      </c>
      <c r="C54" s="30">
        <v>-1.7415263131375004E-16</v>
      </c>
      <c r="D54" s="35">
        <v>1.9803921568627452</v>
      </c>
      <c r="E54" s="31">
        <v>0.34640522875816993</v>
      </c>
      <c r="F54" s="31">
        <v>0.32679738562091504</v>
      </c>
      <c r="G54" s="31">
        <v>0.29773462783171523</v>
      </c>
      <c r="H54" s="31">
        <v>0.15938511326860841</v>
      </c>
      <c r="I54" s="32">
        <v>9017.391304347826</v>
      </c>
      <c r="J54" s="32">
        <v>-8346.7005076142141</v>
      </c>
      <c r="K54" s="31">
        <v>0.10457516339869281</v>
      </c>
      <c r="L54" s="31">
        <v>0.30744336569579289</v>
      </c>
      <c r="M54" s="31">
        <v>0.17152103559870549</v>
      </c>
      <c r="N54" s="31">
        <v>0.55526315789473679</v>
      </c>
      <c r="O54" s="31">
        <v>0.37264150943396224</v>
      </c>
      <c r="P54" s="31">
        <v>0.45652173913043476</v>
      </c>
    </row>
    <row r="55" spans="1:16" x14ac:dyDescent="0.4">
      <c r="A55" s="33">
        <v>52</v>
      </c>
      <c r="B55" s="30">
        <v>-2.8421709430404007E-14</v>
      </c>
      <c r="C55" s="30">
        <v>-1.8219044506669235E-16</v>
      </c>
      <c r="D55" s="35">
        <v>1.9807692307692308</v>
      </c>
      <c r="E55" s="31">
        <v>0.34615384615384615</v>
      </c>
      <c r="F55" s="31">
        <v>0.32692307692307693</v>
      </c>
      <c r="G55" s="31">
        <v>0.29727564102564102</v>
      </c>
      <c r="H55" s="31">
        <v>0.15945512820512819</v>
      </c>
      <c r="I55" s="32">
        <v>9091.9137466307275</v>
      </c>
      <c r="J55" s="32">
        <v>-8296.4824120603007</v>
      </c>
      <c r="K55" s="31">
        <v>0.10897435897435898</v>
      </c>
      <c r="L55" s="31">
        <v>0.30769230769230771</v>
      </c>
      <c r="M55" s="31">
        <v>0.17067307692307693</v>
      </c>
      <c r="N55" s="31">
        <v>0.5546875</v>
      </c>
      <c r="O55" s="31">
        <v>0.37558685446009388</v>
      </c>
      <c r="P55" s="31">
        <v>0.4555256064690027</v>
      </c>
    </row>
    <row r="56" spans="1:16" x14ac:dyDescent="0.4">
      <c r="A56" s="33">
        <v>53</v>
      </c>
      <c r="B56" s="30">
        <v>-2.8421709430404007E-14</v>
      </c>
      <c r="C56" s="30">
        <v>-1.7875288949939628E-16</v>
      </c>
      <c r="D56" s="35">
        <v>1.9811320754716981</v>
      </c>
      <c r="E56" s="31">
        <v>0.34591194968553457</v>
      </c>
      <c r="F56" s="31">
        <v>0.32704402515723269</v>
      </c>
      <c r="G56" s="31">
        <v>0.29733959311424102</v>
      </c>
      <c r="H56" s="31">
        <v>0.15805946791862285</v>
      </c>
      <c r="I56" s="32">
        <v>9060</v>
      </c>
      <c r="J56" s="32">
        <v>-8351.485148514852</v>
      </c>
      <c r="K56" s="31">
        <v>0.1069182389937107</v>
      </c>
      <c r="L56" s="31">
        <v>0.30672926447574334</v>
      </c>
      <c r="M56" s="31">
        <v>0.1729264475743349</v>
      </c>
      <c r="N56" s="31">
        <v>0.55102040816326525</v>
      </c>
      <c r="O56" s="31">
        <v>0.38009049773755654</v>
      </c>
      <c r="P56" s="31">
        <v>0.46052631578947367</v>
      </c>
    </row>
    <row r="57" spans="1:16" x14ac:dyDescent="0.4">
      <c r="A57" s="33">
        <v>54</v>
      </c>
      <c r="B57" s="30">
        <v>-2.8421709430404007E-14</v>
      </c>
      <c r="C57" s="30">
        <v>-1.75442650804963E-16</v>
      </c>
      <c r="D57" s="35">
        <v>1.9814814814814814</v>
      </c>
      <c r="E57" s="31">
        <v>0.34567901234567899</v>
      </c>
      <c r="F57" s="31">
        <v>0.3271604938271605</v>
      </c>
      <c r="G57" s="31">
        <v>0.29792147806004621</v>
      </c>
      <c r="H57" s="31">
        <v>0.15935334872979215</v>
      </c>
      <c r="I57" s="32">
        <v>9062.5322997416024</v>
      </c>
      <c r="J57" s="32">
        <v>-8385.0241545893714</v>
      </c>
      <c r="K57" s="31">
        <v>0.10493827160493827</v>
      </c>
      <c r="L57" s="31">
        <v>0.30561970746728251</v>
      </c>
      <c r="M57" s="31">
        <v>0.17244033872209391</v>
      </c>
      <c r="N57" s="31">
        <v>0.55163727959697728</v>
      </c>
      <c r="O57" s="31">
        <v>0.38392857142857145</v>
      </c>
      <c r="P57" s="31">
        <v>0.4573643410852713</v>
      </c>
    </row>
    <row r="58" spans="1:16" x14ac:dyDescent="0.4">
      <c r="A58" s="33">
        <v>55</v>
      </c>
      <c r="B58" s="30">
        <v>-2.8421709430404007E-14</v>
      </c>
      <c r="C58" s="30">
        <v>-1.7225278442669095E-16</v>
      </c>
      <c r="D58" s="35">
        <v>1.9818181818181819</v>
      </c>
      <c r="E58" s="31">
        <v>0.34545454545454546</v>
      </c>
      <c r="F58" s="31">
        <v>0.32727272727272727</v>
      </c>
      <c r="G58" s="31">
        <v>0.29571106094808125</v>
      </c>
      <c r="H58" s="31">
        <v>0.15876598946576373</v>
      </c>
      <c r="I58" s="32">
        <v>9066.1577608142488</v>
      </c>
      <c r="J58" s="32">
        <v>-8427.4881516587684</v>
      </c>
      <c r="K58" s="31">
        <v>0.10303030303030303</v>
      </c>
      <c r="L58" s="31">
        <v>0.30624529721595184</v>
      </c>
      <c r="M58" s="31">
        <v>0.17005267118133935</v>
      </c>
      <c r="N58" s="31">
        <v>0.54791154791154795</v>
      </c>
      <c r="O58" s="31">
        <v>0.38495575221238937</v>
      </c>
      <c r="P58" s="31">
        <v>0.45547073791348602</v>
      </c>
    </row>
    <row r="59" spans="1:16" x14ac:dyDescent="0.4">
      <c r="A59" s="33">
        <v>56</v>
      </c>
      <c r="B59" s="30">
        <v>-2.8421709430404007E-14</v>
      </c>
      <c r="C59" s="30">
        <v>-1.6917684184764289E-16</v>
      </c>
      <c r="D59" s="35">
        <v>1.9821428571428572</v>
      </c>
      <c r="E59" s="31">
        <v>0.34523809523809523</v>
      </c>
      <c r="F59" s="31">
        <v>0.32738095238095238</v>
      </c>
      <c r="G59" s="31">
        <v>0.29637841832963785</v>
      </c>
      <c r="H59" s="31">
        <v>0.15964523281596452</v>
      </c>
      <c r="I59" s="32">
        <v>9062.0947630922692</v>
      </c>
      <c r="J59" s="32">
        <v>-8415.7407407407409</v>
      </c>
      <c r="K59" s="31">
        <v>0.10714285714285714</v>
      </c>
      <c r="L59" s="31">
        <v>0.30968218773096823</v>
      </c>
      <c r="M59" s="31">
        <v>0.16777531411677754</v>
      </c>
      <c r="N59" s="31">
        <v>0.54653937947494036</v>
      </c>
      <c r="O59" s="31">
        <v>0.38325991189427311</v>
      </c>
      <c r="P59" s="31">
        <v>0.4538653366583541</v>
      </c>
    </row>
    <row r="60" spans="1:16" x14ac:dyDescent="0.4">
      <c r="A60" s="33">
        <v>57</v>
      </c>
      <c r="B60" s="30">
        <v>-2.8421709430404007E-14</v>
      </c>
      <c r="C60" s="30">
        <v>-1.66208827078386E-16</v>
      </c>
      <c r="D60" s="35">
        <v>1.9824561403508771</v>
      </c>
      <c r="E60" s="31">
        <v>0.34502923976608185</v>
      </c>
      <c r="F60" s="31">
        <v>0.32748538011695905</v>
      </c>
      <c r="G60" s="31">
        <v>0.29637681159420287</v>
      </c>
      <c r="H60" s="31">
        <v>0.15942028985507245</v>
      </c>
      <c r="I60" s="32">
        <v>9136.6748166259167</v>
      </c>
      <c r="J60" s="32">
        <v>-8350.9090909090901</v>
      </c>
      <c r="K60" s="31">
        <v>0.1111111111111111</v>
      </c>
      <c r="L60" s="31">
        <v>0.30942028985507247</v>
      </c>
      <c r="M60" s="31">
        <v>0.1681159420289855</v>
      </c>
      <c r="N60" s="31">
        <v>0.55035128805620603</v>
      </c>
      <c r="O60" s="31">
        <v>0.37931034482758619</v>
      </c>
      <c r="P60" s="31">
        <v>0.45476772616136918</v>
      </c>
    </row>
    <row r="61" spans="1:16" x14ac:dyDescent="0.4">
      <c r="A61" s="33">
        <v>58</v>
      </c>
      <c r="B61" s="30">
        <v>-2.8421709430404007E-14</v>
      </c>
      <c r="C61" s="30">
        <v>-1.6334315764600004E-16</v>
      </c>
      <c r="D61" s="35">
        <v>1.9827586206896552</v>
      </c>
      <c r="E61" s="31">
        <v>0.34482758620689657</v>
      </c>
      <c r="F61" s="31">
        <v>0.32758620689655171</v>
      </c>
      <c r="G61" s="31">
        <v>0.29637526652452023</v>
      </c>
      <c r="H61" s="31">
        <v>0.15920398009950248</v>
      </c>
      <c r="I61" s="32">
        <v>9117.9856115107905</v>
      </c>
      <c r="J61" s="32">
        <v>-8350</v>
      </c>
      <c r="K61" s="31">
        <v>0.10919540229885058</v>
      </c>
      <c r="L61" s="31">
        <v>0.31130063965884863</v>
      </c>
      <c r="M61" s="31">
        <v>0.16702203269367449</v>
      </c>
      <c r="N61" s="31">
        <v>0.55022831050228316</v>
      </c>
      <c r="O61" s="31">
        <v>0.37446808510638296</v>
      </c>
      <c r="P61" s="31">
        <v>0.45563549160671463</v>
      </c>
    </row>
    <row r="62" spans="1:16" x14ac:dyDescent="0.4">
      <c r="A62" s="33">
        <v>59</v>
      </c>
      <c r="B62" s="30">
        <v>-2.5757174171303632E-14</v>
      </c>
      <c r="C62" s="30">
        <v>-1.4552075802996401E-16</v>
      </c>
      <c r="D62" s="35">
        <v>1.9830508474576272</v>
      </c>
      <c r="E62" s="31">
        <v>0.34463276836158191</v>
      </c>
      <c r="F62" s="31">
        <v>0.32768361581920902</v>
      </c>
      <c r="G62" s="31">
        <v>0.29684210526315791</v>
      </c>
      <c r="H62" s="31">
        <v>0.16</v>
      </c>
      <c r="I62" s="32">
        <v>9148.6997635933803</v>
      </c>
      <c r="J62" s="32">
        <v>-8395.1754385964905</v>
      </c>
      <c r="K62" s="31">
        <v>0.11299435028248588</v>
      </c>
      <c r="L62" s="31">
        <v>0.31508771929824564</v>
      </c>
      <c r="M62" s="31">
        <v>0.1656140350877193</v>
      </c>
      <c r="N62" s="31">
        <v>0.55011135857461024</v>
      </c>
      <c r="O62" s="31">
        <v>0.3728813559322034</v>
      </c>
      <c r="P62" s="31">
        <v>0.45390070921985815</v>
      </c>
    </row>
    <row r="63" spans="1:16" x14ac:dyDescent="0.4">
      <c r="A63" s="33">
        <v>60</v>
      </c>
      <c r="B63" s="30">
        <v>-2.8421709430404007E-14</v>
      </c>
      <c r="C63" s="30">
        <v>-1.5789838572446671E-16</v>
      </c>
      <c r="D63" s="35">
        <v>1.9833333333333334</v>
      </c>
      <c r="E63" s="31">
        <v>0.34444444444444444</v>
      </c>
      <c r="F63" s="31">
        <v>0.32777777777777778</v>
      </c>
      <c r="G63" s="31">
        <v>0.29699510831586301</v>
      </c>
      <c r="H63" s="31">
        <v>0.16002795248078266</v>
      </c>
      <c r="I63" s="32">
        <v>9260.9411764705874</v>
      </c>
      <c r="J63" s="32">
        <v>-8437.1179039301314</v>
      </c>
      <c r="K63" s="31">
        <v>0.11666666666666667</v>
      </c>
      <c r="L63" s="31">
        <v>0.31586303284416489</v>
      </c>
      <c r="M63" s="31">
        <v>0.16491963661774983</v>
      </c>
      <c r="N63" s="31">
        <v>0.55088495575221241</v>
      </c>
      <c r="O63" s="31">
        <v>0.3728813559322034</v>
      </c>
      <c r="P63" s="31">
        <v>0.45411764705882351</v>
      </c>
    </row>
    <row r="64" spans="1:16" x14ac:dyDescent="0.4">
      <c r="A64" s="33">
        <v>61</v>
      </c>
      <c r="B64" s="30">
        <v>-2.8421709430404007E-14</v>
      </c>
      <c r="C64" s="30">
        <v>-1.5530988759783611E-16</v>
      </c>
      <c r="D64" s="35">
        <v>1.9836065573770492</v>
      </c>
      <c r="E64" s="31">
        <v>0.34426229508196721</v>
      </c>
      <c r="F64" s="31">
        <v>0.32786885245901637</v>
      </c>
      <c r="G64" s="31">
        <v>0.29698216735253774</v>
      </c>
      <c r="H64" s="31">
        <v>0.15912208504801098</v>
      </c>
      <c r="I64" s="32">
        <v>9258.1986143187059</v>
      </c>
      <c r="J64" s="32">
        <v>-8409.4827586206902</v>
      </c>
      <c r="K64" s="31">
        <v>0.11475409836065574</v>
      </c>
      <c r="L64" s="31">
        <v>0.3168724279835391</v>
      </c>
      <c r="M64" s="31">
        <v>0.16460905349794239</v>
      </c>
      <c r="N64" s="31">
        <v>0.55411255411255411</v>
      </c>
      <c r="O64" s="31">
        <v>0.37083333333333335</v>
      </c>
      <c r="P64" s="31">
        <v>0.45727482678983833</v>
      </c>
    </row>
    <row r="65" spans="1:16" x14ac:dyDescent="0.4">
      <c r="A65" s="33">
        <v>62</v>
      </c>
      <c r="B65" s="30">
        <v>-2.4868995751603507E-14</v>
      </c>
      <c r="C65" s="30">
        <v>-1.3370427823442746E-16</v>
      </c>
      <c r="D65" s="35">
        <v>1.9838709677419355</v>
      </c>
      <c r="E65" s="31">
        <v>0.34408602150537637</v>
      </c>
      <c r="F65" s="31">
        <v>0.32795698924731181</v>
      </c>
      <c r="G65" s="31">
        <v>0.29742547425474253</v>
      </c>
      <c r="H65" s="31">
        <v>0.15921409214092141</v>
      </c>
      <c r="I65" s="32">
        <v>9253.0751708428252</v>
      </c>
      <c r="J65" s="32">
        <v>-8429.3617021276605</v>
      </c>
      <c r="K65" s="31">
        <v>0.11290322580645161</v>
      </c>
      <c r="L65" s="31">
        <v>0.31707317073170732</v>
      </c>
      <c r="M65" s="31">
        <v>0.16463414634146342</v>
      </c>
      <c r="N65" s="31">
        <v>0.55128205128205132</v>
      </c>
      <c r="O65" s="31">
        <v>0.37860082304526749</v>
      </c>
      <c r="P65" s="31">
        <v>0.45785876993166286</v>
      </c>
    </row>
    <row r="66" spans="1:16" x14ac:dyDescent="0.4">
      <c r="A66" s="33">
        <v>63</v>
      </c>
      <c r="B66" s="30">
        <v>-2.1316282072803006E-14</v>
      </c>
      <c r="C66" s="30">
        <v>-1.1278456123176193E-16</v>
      </c>
      <c r="D66" s="35">
        <v>1.9841269841269842</v>
      </c>
      <c r="E66" s="31">
        <v>0.3439153439153439</v>
      </c>
      <c r="F66" s="31">
        <v>0.32804232804232802</v>
      </c>
      <c r="G66" s="31">
        <v>0.29799999999999999</v>
      </c>
      <c r="H66" s="31">
        <v>0.15866666666666668</v>
      </c>
      <c r="I66" s="32">
        <v>9291.9463087248314</v>
      </c>
      <c r="J66" s="32">
        <v>-8404.6218487394963</v>
      </c>
      <c r="K66" s="31">
        <v>0.1111111111111111</v>
      </c>
      <c r="L66" s="31">
        <v>0.316</v>
      </c>
      <c r="M66" s="31">
        <v>0.16400000000000001</v>
      </c>
      <c r="N66" s="31">
        <v>0.5527426160337553</v>
      </c>
      <c r="O66" s="31">
        <v>0.37804878048780488</v>
      </c>
      <c r="P66" s="31">
        <v>0.46085011185682329</v>
      </c>
    </row>
    <row r="67" spans="1:16" x14ac:dyDescent="0.4">
      <c r="A67" s="33">
        <v>64</v>
      </c>
      <c r="B67" s="30">
        <v>-2.5757174171303632E-14</v>
      </c>
      <c r="C67" s="30">
        <v>-1.3415194880887307E-16</v>
      </c>
      <c r="D67" s="35">
        <v>1.984375</v>
      </c>
      <c r="E67" s="31">
        <v>0.34375</v>
      </c>
      <c r="F67" s="31">
        <v>0.328125</v>
      </c>
      <c r="G67" s="31">
        <v>0.2978303747534517</v>
      </c>
      <c r="H67" s="31">
        <v>0.15976331360946747</v>
      </c>
      <c r="I67" s="32">
        <v>9290.0662251655631</v>
      </c>
      <c r="J67" s="32">
        <v>-8391.7695473251024</v>
      </c>
      <c r="K67" s="31">
        <v>0.109375</v>
      </c>
      <c r="L67" s="31">
        <v>0.31689677843524</v>
      </c>
      <c r="M67" s="31">
        <v>0.16370808678500987</v>
      </c>
      <c r="N67" s="31">
        <v>0.55394190871369298</v>
      </c>
      <c r="O67" s="31">
        <v>0.37349397590361444</v>
      </c>
      <c r="P67" s="31">
        <v>0.45695364238410596</v>
      </c>
    </row>
    <row r="68" spans="1:16" x14ac:dyDescent="0.4">
      <c r="A68" s="33">
        <v>65</v>
      </c>
      <c r="B68" s="30">
        <v>-2.8421709430404007E-14</v>
      </c>
      <c r="C68" s="30">
        <v>-1.4575235605335388E-16</v>
      </c>
      <c r="D68" s="35">
        <v>1.9846153846153847</v>
      </c>
      <c r="E68" s="31">
        <v>0.34358974358974359</v>
      </c>
      <c r="F68" s="31">
        <v>0.3282051282051282</v>
      </c>
      <c r="G68" s="31">
        <v>0.29831387808041504</v>
      </c>
      <c r="H68" s="31">
        <v>0.1601815823605707</v>
      </c>
      <c r="I68" s="32">
        <v>9272.391304347826</v>
      </c>
      <c r="J68" s="32">
        <v>-8335.2226720647777</v>
      </c>
      <c r="K68" s="31">
        <v>0.1076923076923077</v>
      </c>
      <c r="L68" s="31">
        <v>0.31776913099870296</v>
      </c>
      <c r="M68" s="31">
        <v>0.16277561608300908</v>
      </c>
      <c r="N68" s="31">
        <v>0.55714285714285716</v>
      </c>
      <c r="O68" s="31">
        <v>0.37051792828685259</v>
      </c>
      <c r="P68" s="31">
        <v>0.45652173913043476</v>
      </c>
    </row>
    <row r="69" spans="1:16" x14ac:dyDescent="0.4">
      <c r="A69" s="33">
        <v>66</v>
      </c>
      <c r="B69" s="30">
        <v>-2.1316282072803006E-14</v>
      </c>
      <c r="C69" s="30">
        <v>-1.0765799026668185E-16</v>
      </c>
      <c r="D69" s="35">
        <v>1.9848484848484849</v>
      </c>
      <c r="E69" s="31">
        <v>0.34343434343434343</v>
      </c>
      <c r="F69" s="31">
        <v>0.32828282828282829</v>
      </c>
      <c r="G69" s="31">
        <v>0.29770992366412213</v>
      </c>
      <c r="H69" s="31">
        <v>0.15903307888040713</v>
      </c>
      <c r="I69" s="32">
        <v>9304.2735042735039</v>
      </c>
      <c r="J69" s="32">
        <v>-8386</v>
      </c>
      <c r="K69" s="31">
        <v>0.10606060606060606</v>
      </c>
      <c r="L69" s="31">
        <v>0.32061068702290074</v>
      </c>
      <c r="M69" s="31">
        <v>0.16157760814249364</v>
      </c>
      <c r="N69" s="31">
        <v>0.55158730158730163</v>
      </c>
      <c r="O69" s="31">
        <v>0.37401574803149606</v>
      </c>
      <c r="P69" s="31">
        <v>0.45940170940170938</v>
      </c>
    </row>
    <row r="70" spans="1:16" x14ac:dyDescent="0.4">
      <c r="A70" s="33">
        <v>67</v>
      </c>
      <c r="B70" s="30">
        <v>-2.1316282072803006E-14</v>
      </c>
      <c r="C70" s="30">
        <v>-1.0605115459105973E-16</v>
      </c>
      <c r="D70" s="35">
        <v>1.9850746268656716</v>
      </c>
      <c r="E70" s="31">
        <v>0.34328358208955223</v>
      </c>
      <c r="F70" s="31">
        <v>0.32835820895522388</v>
      </c>
      <c r="G70" s="31">
        <v>0.29761904761904762</v>
      </c>
      <c r="H70" s="31">
        <v>0.15789473684210525</v>
      </c>
      <c r="I70" s="32">
        <v>9276</v>
      </c>
      <c r="J70" s="32">
        <v>-8382.936507936507</v>
      </c>
      <c r="K70" s="31">
        <v>0.1044776119402985</v>
      </c>
      <c r="L70" s="31">
        <v>0.32142857142857145</v>
      </c>
      <c r="M70" s="31">
        <v>0.16290726817042606</v>
      </c>
      <c r="N70" s="31">
        <v>0.54970760233918126</v>
      </c>
      <c r="O70" s="31">
        <v>0.37307692307692308</v>
      </c>
      <c r="P70" s="31">
        <v>0.4631578947368421</v>
      </c>
    </row>
    <row r="71" spans="1:16" x14ac:dyDescent="0.4">
      <c r="A71" s="33">
        <v>68</v>
      </c>
      <c r="B71" s="30">
        <v>-2.1316282072803006E-14</v>
      </c>
      <c r="C71" s="30">
        <v>-1.0449157878825003E-16</v>
      </c>
      <c r="D71" s="35">
        <v>1.9852941176470589</v>
      </c>
      <c r="E71" s="31">
        <v>0.34313725490196079</v>
      </c>
      <c r="F71" s="31">
        <v>0.32843137254901961</v>
      </c>
      <c r="G71" s="31">
        <v>0.29759704251386321</v>
      </c>
      <c r="H71" s="31">
        <v>0.15958102279728897</v>
      </c>
      <c r="I71" s="32">
        <v>9300</v>
      </c>
      <c r="J71" s="32">
        <v>-8418.1467181467178</v>
      </c>
      <c r="K71" s="31">
        <v>0.10784313725490197</v>
      </c>
      <c r="L71" s="31">
        <v>0.32285890326555761</v>
      </c>
      <c r="M71" s="31">
        <v>0.1614294516327788</v>
      </c>
      <c r="N71" s="31">
        <v>0.54770992366412219</v>
      </c>
      <c r="O71" s="31">
        <v>0.37404580152671757</v>
      </c>
      <c r="P71" s="31">
        <v>0.45755693581780538</v>
      </c>
    </row>
    <row r="72" spans="1:16" x14ac:dyDescent="0.4">
      <c r="A72" s="33">
        <v>69</v>
      </c>
      <c r="B72" s="30">
        <v>-2.1316282072803006E-14</v>
      </c>
      <c r="C72" s="30">
        <v>-1.0297720808117394E-16</v>
      </c>
      <c r="D72" s="35">
        <v>1.9855072463768115</v>
      </c>
      <c r="E72" s="31">
        <v>0.34299516908212563</v>
      </c>
      <c r="F72" s="31">
        <v>0.32850241545893721</v>
      </c>
      <c r="G72" s="31">
        <v>0.29683698296836986</v>
      </c>
      <c r="H72" s="31">
        <v>0.15936739659367397</v>
      </c>
      <c r="I72" s="32">
        <v>9319.057377049181</v>
      </c>
      <c r="J72" s="32">
        <v>-8480.9160305343503</v>
      </c>
      <c r="K72" s="31">
        <v>0.1111111111111111</v>
      </c>
      <c r="L72" s="31">
        <v>0.32238442822384428</v>
      </c>
      <c r="M72" s="31">
        <v>0.16301703163017031</v>
      </c>
      <c r="N72" s="31">
        <v>0.54528301886792452</v>
      </c>
      <c r="O72" s="31">
        <v>0.36940298507462688</v>
      </c>
      <c r="P72" s="31">
        <v>0.45696721311475408</v>
      </c>
    </row>
    <row r="73" spans="1:16" x14ac:dyDescent="0.4">
      <c r="A73" s="33">
        <v>70</v>
      </c>
      <c r="B73" s="30">
        <v>-3.5527136788005009E-14</v>
      </c>
      <c r="C73" s="30">
        <v>-1.6917684184764289E-16</v>
      </c>
      <c r="D73" s="35">
        <v>1.9857142857142858</v>
      </c>
      <c r="E73" s="31">
        <v>0.34285714285714286</v>
      </c>
      <c r="F73" s="31">
        <v>0.32857142857142857</v>
      </c>
      <c r="G73" s="31">
        <v>0.2968936678614098</v>
      </c>
      <c r="H73" s="31">
        <v>0.15770609318996415</v>
      </c>
      <c r="I73" s="32">
        <v>9347.283702213279</v>
      </c>
      <c r="J73" s="32">
        <v>-8476.136363636364</v>
      </c>
      <c r="K73" s="31">
        <v>0.11428571428571428</v>
      </c>
      <c r="L73" s="31">
        <v>0.32198327359617684</v>
      </c>
      <c r="M73" s="31">
        <v>0.16367980884109917</v>
      </c>
      <c r="N73" s="31">
        <v>0.54359925788497221</v>
      </c>
      <c r="O73" s="31">
        <v>0.36861313868613138</v>
      </c>
      <c r="P73" s="31">
        <v>0.46277665995975853</v>
      </c>
    </row>
    <row r="74" spans="1:16" x14ac:dyDescent="0.4">
      <c r="A74" s="33">
        <v>71</v>
      </c>
      <c r="B74" s="30">
        <v>-3.5527136788005009E-14</v>
      </c>
      <c r="C74" s="30">
        <v>-1.6679406942725356E-16</v>
      </c>
      <c r="D74" s="35">
        <v>1.9859154929577465</v>
      </c>
      <c r="E74" s="31">
        <v>0.34272300469483569</v>
      </c>
      <c r="F74" s="31">
        <v>0.32863849765258218</v>
      </c>
      <c r="G74" s="31">
        <v>0.29701230228471004</v>
      </c>
      <c r="H74" s="31">
        <v>0.15817223198594024</v>
      </c>
      <c r="I74" s="32">
        <v>9267.8500986193285</v>
      </c>
      <c r="J74" s="32">
        <v>-8460</v>
      </c>
      <c r="K74" s="31">
        <v>0.11267605633802817</v>
      </c>
      <c r="L74" s="31">
        <v>0.31751611013473929</v>
      </c>
      <c r="M74" s="31">
        <v>0.16637375512595196</v>
      </c>
      <c r="N74" s="31">
        <v>0.54243542435424352</v>
      </c>
      <c r="O74" s="31">
        <v>0.37323943661971831</v>
      </c>
      <c r="P74" s="31">
        <v>0.45956607495069035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りくと</vt:lpstr>
      <vt:lpstr>ぱぱ</vt:lpstr>
      <vt:lpstr>ぱぱ2</vt:lpstr>
      <vt:lpstr>りくと2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ぱぱ!アガリ数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ぱぱ!アガリ率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ぱぱ!ダマアガリ数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ぱぱ!ダマアガリ率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ぱぱ!チョンボ数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ぱぱ!チョンボ率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ぱぱ!ツモ数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ぱぱ!ツモ率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ぱぱ!トップ数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ぱぱ!トップ率</vt:lpstr>
      <vt:lpstr>りくと!トップ率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ぱぱ!バランス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ぱぱ!ふっとび数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ぱぱ!ふっとび率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ぱぱ!ラス数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ぱぱ!ラス率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ぱぱ!リーチアガリ数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ぱぱ!リーチアガリ率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ぱぱ!リーチ数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ぱぱ!リーチ成功数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ぱぱ!リーチ成功率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ぱぱ!リーチ率</vt:lpstr>
      <vt:lpstr>りくと!リーチ率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ぱぱ!レーティング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ぱぱ!ロン数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ぱぱ!ロン率</vt:lpstr>
      <vt:lpstr>りくと!ロン率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ぱぱ!一位スコア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ぱぱ!一位通算スコア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ぱぱ!一翻数</vt:lpstr>
      <vt:lpstr>りくと!一翻数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ぱぱ!一翻率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ぱぱ!現行連続アガリ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ぱぱ!現行連続無放銃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ぱぱ!最高点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ぱぱ!最大ドラ数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ぱぱ!最大点数</vt:lpstr>
      <vt:lpstr>りくと!最大点数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ぱぱ!三位スコア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ぱぱ!三位通算スコア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ぱぱ!総局数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ぱぱ!対戦数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ぱぱ!通算アガリ点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ぱぱ!通算スコア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ぱぱ!通算副露アガリ点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ぱぱ!通算放銃点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ぱぱ!通算門前アガリ点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ぱぱ!二位スコア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ぱぱ!二位数</vt:lpstr>
      <vt:lpstr>りくと!二位数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ぱぱ!二位通算スコア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ぱぱ!二位率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ぱぱ!副露アガリ数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ぱぱ!副露アガリ点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ぱぱ!副露アガリ率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ぱぱ!副露数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ぱぱ!副露成功数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ぱぱ!副露成功率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ぱぱ!副露率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ぱぱ!平均アガリ点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ぱぱ!平均スコア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ぱぱ!平均順位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ぱぱ!平均放銃点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ぱぱ!放銃数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ぱぱ!放銃率</vt:lpstr>
      <vt:lpstr>りくと!放銃率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ぱぱ!名前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ぱぱ!門前アガリ点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ぱぱ!連続アガリ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ぱぱ!連続無放銃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2022-07-24T08:00:59Z</dcterms:modified>
</cp:coreProperties>
</file>