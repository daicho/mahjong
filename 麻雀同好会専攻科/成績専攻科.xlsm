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"/>
    </mc:Choice>
  </mc:AlternateContent>
  <xr:revisionPtr revIDLastSave="0" documentId="13_ncr:1_{4ACFDF74-A76D-4B29-9765-47D55FACAEFA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022" r:id="rId6"/>
    <sheet name="れんたろう" sheetId="7024" r:id="rId7"/>
    <sheet name="だいち" sheetId="7026" r:id="rId8"/>
    <sheet name="ともき" sheetId="7028" r:id="rId9"/>
    <sheet name="ともき2" sheetId="7029" state="hidden" r:id="rId10"/>
    <sheet name="だいち2" sheetId="7027" state="hidden" r:id="rId11"/>
    <sheet name="れんたろう2" sheetId="7025" state="hidden" r:id="rId12"/>
    <sheet name="全体2" sheetId="7023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リーチ率" sheetId="3524" state="hidden" r:id="rId24"/>
    <sheet name="副露率" sheetId="3525" state="hidden" r:id="rId25"/>
    <sheet name="リーチ成功率" sheetId="4841" state="hidden" r:id="rId26"/>
    <sheet name="副露成功率" sheetId="3527" state="hidden" r:id="rId27"/>
    <sheet name="ツモ率" sheetId="3528" state="hidden" r:id="rId28"/>
  </sheets>
  <definedNames>
    <definedName name="アガリ数" localSheetId="3">Template1!$B$20</definedName>
    <definedName name="アガリ数" localSheetId="7">だいち!$B$20</definedName>
    <definedName name="アガリ数" localSheetId="8">ともき!$B$20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8">ともき!$C$20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8">ともき!$B$26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8">ともき!$C$26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8">ともき!$B$35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8">ともき!$C$35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8">ともき!$B$22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8">ともき!$C$22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8">ともき!$B$8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8">ともき!$C$8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8">ともき!$B$14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8">ともき!$B$15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8">ともき!$C$15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8">ともき!$B$10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8">ともき!$C$10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8">ともき!$B$24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8">ともき!$C$24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8">ともき!$B$16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8">ともき!$B$18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8">ともき!$C$18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8">ともき!$C$16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8">ともき!$B$6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8">ともき!$B$23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8">ともき!$C$23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8">ともき!$B$11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8">ともき!$C$11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8">ともき!$B$37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8">ともき!$C$37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8">ともき!$C$31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8">ともき!$C$32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8">ともき!$B$34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8">ともき!$B$33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8">ともき!$B$34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8">ともき!$B$13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8">ともき!$C$13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8">ともき!$B$3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8">ともき!$B$2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8">ともき!$C$27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8">ともき!$B$4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8">ともき!$C$29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8">ともき!$C$30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8">ともき!$C$28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8">ともき!$B$12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8">ともき!$B$9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8">ともき!$C$12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8">ともき!$C$9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8">ともき!$B$25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8">ともき!$B$29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8">ともき!$C$25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8">ともき!$B$17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8">ともき!$B$19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8">ともき!$C$19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8">ともき!$C$17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8">ともき!$B$27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8">ともき!$B$5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8">ともき!$B$7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8">ともき!$B$30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8">ともき!$B$21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8">ともき!$C$21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8">ともき!$B$1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8">ともき!$B$28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8">ともき!$B$31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8">ともき!$B$32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7028" l="1"/>
  <c r="P15" i="7028"/>
  <c r="H3" i="7028"/>
  <c r="C49" i="7028"/>
  <c r="H49" i="7028"/>
  <c r="H48" i="7028"/>
  <c r="C47" i="7028"/>
  <c r="H45" i="7028"/>
  <c r="C43" i="7028"/>
  <c r="H43" i="7028"/>
  <c r="C40" i="7028"/>
  <c r="H40" i="7028"/>
  <c r="C39" i="7028"/>
  <c r="H39" i="7028"/>
  <c r="C35" i="7028"/>
  <c r="H35" i="7028"/>
  <c r="H34" i="7028"/>
  <c r="H32" i="7028"/>
  <c r="H31" i="7028"/>
  <c r="B30" i="7028"/>
  <c r="C26" i="7028"/>
  <c r="H26" i="7028"/>
  <c r="C23" i="7028"/>
  <c r="H23" i="7028"/>
  <c r="C22" i="7028"/>
  <c r="H22" i="7028"/>
  <c r="C21" i="7028"/>
  <c r="B20" i="7028"/>
  <c r="H51" i="7028" s="1"/>
  <c r="H20" i="7028"/>
  <c r="B19" i="7028"/>
  <c r="B29" i="7028" s="1"/>
  <c r="H19" i="7028"/>
  <c r="C18" i="7028"/>
  <c r="B18" i="7028"/>
  <c r="C17" i="7028"/>
  <c r="C16" i="7028"/>
  <c r="H16" i="7028"/>
  <c r="C15" i="7028"/>
  <c r="H15" i="7028"/>
  <c r="B13" i="7028"/>
  <c r="P12" i="7028"/>
  <c r="H13" i="7028"/>
  <c r="B12" i="7028"/>
  <c r="P11" i="7028"/>
  <c r="H12" i="7028"/>
  <c r="B11" i="7028"/>
  <c r="P10" i="7028"/>
  <c r="C10" i="7028"/>
  <c r="H11" i="7028"/>
  <c r="C9" i="7028"/>
  <c r="C8" i="7028"/>
  <c r="P7" i="7028"/>
  <c r="H9" i="7028"/>
  <c r="B7" i="7028"/>
  <c r="P6" i="7028"/>
  <c r="H8" i="7028"/>
  <c r="P5" i="7028"/>
  <c r="B5" i="7028"/>
  <c r="P4" i="7028"/>
  <c r="H6" i="7028"/>
  <c r="P3" i="7028"/>
  <c r="H5" i="7028"/>
  <c r="P2" i="7028"/>
  <c r="H4" i="7028"/>
  <c r="P16" i="7026"/>
  <c r="P15" i="7026"/>
  <c r="C35" i="7026"/>
  <c r="B30" i="7026"/>
  <c r="C21" i="7026"/>
  <c r="B20" i="7026"/>
  <c r="H50" i="7026" s="1"/>
  <c r="B19" i="7026"/>
  <c r="B29" i="7026" s="1"/>
  <c r="B18" i="7026"/>
  <c r="C18" i="7026" s="1"/>
  <c r="C17" i="7026"/>
  <c r="C16" i="7026"/>
  <c r="C15" i="7026"/>
  <c r="B13" i="7026"/>
  <c r="P12" i="7026"/>
  <c r="B12" i="7026"/>
  <c r="P11" i="7026"/>
  <c r="B11" i="7026"/>
  <c r="B14" i="7026" s="1"/>
  <c r="P10" i="7026"/>
  <c r="C10" i="7026"/>
  <c r="C9" i="7026"/>
  <c r="C8" i="7026"/>
  <c r="P7" i="7026"/>
  <c r="B7" i="7026"/>
  <c r="P6" i="7026"/>
  <c r="P5" i="7026"/>
  <c r="B5" i="7026"/>
  <c r="P4" i="7026"/>
  <c r="P3" i="7026"/>
  <c r="P2" i="7026"/>
  <c r="P16" i="7022"/>
  <c r="P15" i="7024"/>
  <c r="P16" i="7024"/>
  <c r="C35" i="7024"/>
  <c r="B30" i="7024"/>
  <c r="B29" i="7024"/>
  <c r="C21" i="7024"/>
  <c r="B20" i="7024"/>
  <c r="H50" i="7024" s="1"/>
  <c r="B19" i="7024"/>
  <c r="C19" i="7024" s="1"/>
  <c r="B18" i="7024"/>
  <c r="C18" i="7024" s="1"/>
  <c r="C17" i="7024"/>
  <c r="C16" i="7024"/>
  <c r="C15" i="7024"/>
  <c r="B13" i="7024"/>
  <c r="P12" i="7024"/>
  <c r="B12" i="7024"/>
  <c r="P11" i="7024"/>
  <c r="B11" i="7024"/>
  <c r="P10" i="7024"/>
  <c r="C10" i="7024"/>
  <c r="C9" i="7024"/>
  <c r="C8" i="7024"/>
  <c r="P7" i="7024"/>
  <c r="B7" i="7024"/>
  <c r="P6" i="7024"/>
  <c r="P5" i="7024"/>
  <c r="B5" i="7024"/>
  <c r="P4" i="7024"/>
  <c r="P3" i="7024"/>
  <c r="P2" i="7024"/>
  <c r="P15" i="7022"/>
  <c r="P17" i="7022"/>
  <c r="C35" i="7022"/>
  <c r="B30" i="7022"/>
  <c r="C21" i="7022"/>
  <c r="B20" i="7022"/>
  <c r="H49" i="7022" s="1"/>
  <c r="B19" i="7022"/>
  <c r="B29" i="7022" s="1"/>
  <c r="B18" i="7022"/>
  <c r="C18" i="7022" s="1"/>
  <c r="C17" i="7022"/>
  <c r="C16" i="7022"/>
  <c r="C15" i="7022"/>
  <c r="B13" i="7022"/>
  <c r="P12" i="7022"/>
  <c r="B12" i="7022"/>
  <c r="P11" i="7022"/>
  <c r="B11" i="7022"/>
  <c r="P10" i="7022"/>
  <c r="C10" i="7022"/>
  <c r="C9" i="7022"/>
  <c r="C8" i="7022"/>
  <c r="P7" i="7022"/>
  <c r="B7" i="7022"/>
  <c r="P6" i="7022"/>
  <c r="P5" i="7022"/>
  <c r="B5" i="7022"/>
  <c r="P4" i="7022"/>
  <c r="P3" i="7022"/>
  <c r="P2" i="7022"/>
  <c r="B28" i="7028" l="1"/>
  <c r="H44" i="7028"/>
  <c r="H27" i="7028"/>
  <c r="H7" i="7028"/>
  <c r="H10" i="7028"/>
  <c r="H17" i="7028"/>
  <c r="B27" i="7028"/>
  <c r="H38" i="7028"/>
  <c r="C44" i="7028"/>
  <c r="C19" i="7028"/>
  <c r="C24" i="7028"/>
  <c r="H29" i="7028"/>
  <c r="H36" i="7028"/>
  <c r="H41" i="7028"/>
  <c r="C45" i="7028"/>
  <c r="H52" i="7028"/>
  <c r="H2" i="7028"/>
  <c r="H18" i="7028"/>
  <c r="C20" i="7028"/>
  <c r="H25" i="7028"/>
  <c r="H30" i="7028"/>
  <c r="H37" i="7028"/>
  <c r="C41" i="7028"/>
  <c r="H46" i="7028"/>
  <c r="H14" i="7028"/>
  <c r="H21" i="7028"/>
  <c r="C25" i="7028"/>
  <c r="C37" i="7028"/>
  <c r="H42" i="7028"/>
  <c r="H47" i="7028"/>
  <c r="B14" i="7024"/>
  <c r="H23" i="7022"/>
  <c r="B14" i="7028"/>
  <c r="C48" i="7028"/>
  <c r="H50" i="7028"/>
  <c r="H24" i="7028"/>
  <c r="H28" i="7028"/>
  <c r="H33" i="7028"/>
  <c r="C38" i="7028"/>
  <c r="C42" i="7028"/>
  <c r="C46" i="7028"/>
  <c r="C19" i="7026"/>
  <c r="C20" i="7026"/>
  <c r="H7" i="7026"/>
  <c r="H27" i="7026"/>
  <c r="H33" i="7026"/>
  <c r="C38" i="7026"/>
  <c r="C46" i="7026"/>
  <c r="H51" i="7026"/>
  <c r="H2" i="7026"/>
  <c r="H6" i="7026"/>
  <c r="H17" i="7026"/>
  <c r="H21" i="7026"/>
  <c r="C24" i="7026"/>
  <c r="B28" i="7026"/>
  <c r="H34" i="7026"/>
  <c r="H39" i="7026"/>
  <c r="H43" i="7026"/>
  <c r="H47" i="7026"/>
  <c r="H4" i="7026"/>
  <c r="H24" i="7026"/>
  <c r="H9" i="7026"/>
  <c r="H29" i="7026"/>
  <c r="H35" i="7026"/>
  <c r="C39" i="7026"/>
  <c r="C43" i="7026"/>
  <c r="C47" i="7026"/>
  <c r="H52" i="7026"/>
  <c r="H15" i="7026"/>
  <c r="H18" i="7026"/>
  <c r="C25" i="7026"/>
  <c r="H40" i="7026"/>
  <c r="H44" i="7026"/>
  <c r="H48" i="7026"/>
  <c r="H13" i="7026"/>
  <c r="C42" i="7026"/>
  <c r="H5" i="7026"/>
  <c r="H11" i="7026"/>
  <c r="H22" i="7026"/>
  <c r="H25" i="7026"/>
  <c r="H28" i="7026"/>
  <c r="H30" i="7026"/>
  <c r="H36" i="7026"/>
  <c r="C40" i="7026"/>
  <c r="C44" i="7026"/>
  <c r="C48" i="7026"/>
  <c r="H3" i="7026"/>
  <c r="H19" i="7026"/>
  <c r="C22" i="7026"/>
  <c r="C26" i="7026"/>
  <c r="H37" i="7026"/>
  <c r="H41" i="7026"/>
  <c r="H45" i="7026"/>
  <c r="H49" i="7026"/>
  <c r="H8" i="7026"/>
  <c r="H14" i="7026"/>
  <c r="H16" i="7026"/>
  <c r="H26" i="7026"/>
  <c r="H12" i="7026"/>
  <c r="H31" i="7026"/>
  <c r="C37" i="7026"/>
  <c r="C41" i="7026"/>
  <c r="C45" i="7026"/>
  <c r="C49" i="7026"/>
  <c r="H10" i="7026"/>
  <c r="H20" i="7026"/>
  <c r="H23" i="7026"/>
  <c r="C23" i="7026"/>
  <c r="B27" i="7026"/>
  <c r="H32" i="7026"/>
  <c r="H38" i="7026"/>
  <c r="H42" i="7026"/>
  <c r="H46" i="7026"/>
  <c r="B14" i="7022"/>
  <c r="H14" i="7022"/>
  <c r="C19" i="7022"/>
  <c r="C20" i="7024"/>
  <c r="H3" i="7024"/>
  <c r="H6" i="7024"/>
  <c r="C38" i="7024"/>
  <c r="H51" i="7024"/>
  <c r="H2" i="7024"/>
  <c r="H16" i="7024"/>
  <c r="H20" i="7024"/>
  <c r="C24" i="7024"/>
  <c r="B28" i="7024"/>
  <c r="H34" i="7024"/>
  <c r="H39" i="7024"/>
  <c r="H43" i="7024"/>
  <c r="H47" i="7024"/>
  <c r="H8" i="7024"/>
  <c r="H35" i="7024"/>
  <c r="C43" i="7024"/>
  <c r="C47" i="7024"/>
  <c r="H14" i="7024"/>
  <c r="H17" i="7024"/>
  <c r="C25" i="7024"/>
  <c r="H48" i="7024"/>
  <c r="H10" i="7024"/>
  <c r="H12" i="7024"/>
  <c r="H21" i="7024"/>
  <c r="H24" i="7024"/>
  <c r="H27" i="7024"/>
  <c r="H30" i="7024"/>
  <c r="H36" i="7024"/>
  <c r="C40" i="7024"/>
  <c r="C44" i="7024"/>
  <c r="C48" i="7024"/>
  <c r="H23" i="7024"/>
  <c r="H29" i="7024"/>
  <c r="C39" i="7024"/>
  <c r="H52" i="7024"/>
  <c r="H40" i="7024"/>
  <c r="H44" i="7024"/>
  <c r="H5" i="7024"/>
  <c r="H18" i="7024"/>
  <c r="C22" i="7024"/>
  <c r="C26" i="7024"/>
  <c r="H37" i="7024"/>
  <c r="H41" i="7024"/>
  <c r="H45" i="7024"/>
  <c r="H49" i="7024"/>
  <c r="H26" i="7024"/>
  <c r="H33" i="7024"/>
  <c r="C42" i="7024"/>
  <c r="C46" i="7024"/>
  <c r="H11" i="7024"/>
  <c r="H4" i="7024"/>
  <c r="H7" i="7024"/>
  <c r="H13" i="7024"/>
  <c r="H15" i="7024"/>
  <c r="H25" i="7024"/>
  <c r="H28" i="7024"/>
  <c r="H31" i="7024"/>
  <c r="C37" i="7024"/>
  <c r="C41" i="7024"/>
  <c r="C45" i="7024"/>
  <c r="C49" i="7024"/>
  <c r="H9" i="7024"/>
  <c r="H19" i="7024"/>
  <c r="H22" i="7024"/>
  <c r="C23" i="7024"/>
  <c r="B27" i="7024"/>
  <c r="H32" i="7024"/>
  <c r="H38" i="7024"/>
  <c r="H42" i="7024"/>
  <c r="H46" i="7024"/>
  <c r="H5" i="7022"/>
  <c r="H7" i="7022"/>
  <c r="B27" i="7022"/>
  <c r="C37" i="7022"/>
  <c r="C41" i="7022"/>
  <c r="C20" i="7022"/>
  <c r="H42" i="7022"/>
  <c r="H38" i="7022"/>
  <c r="H26" i="7022"/>
  <c r="C23" i="7022"/>
  <c r="H16" i="7022"/>
  <c r="H13" i="7022"/>
  <c r="C45" i="7022"/>
  <c r="H31" i="7022"/>
  <c r="H46" i="7022"/>
  <c r="H20" i="7022"/>
  <c r="H32" i="7022"/>
  <c r="C49" i="7022"/>
  <c r="H11" i="7022"/>
  <c r="H50" i="7022"/>
  <c r="H10" i="7022"/>
  <c r="C38" i="7022"/>
  <c r="H51" i="7022"/>
  <c r="H17" i="7022"/>
  <c r="H21" i="7022"/>
  <c r="C24" i="7022"/>
  <c r="H34" i="7022"/>
  <c r="H43" i="7022"/>
  <c r="H3" i="7022"/>
  <c r="H24" i="7022"/>
  <c r="H9" i="7022"/>
  <c r="H29" i="7022"/>
  <c r="H35" i="7022"/>
  <c r="C39" i="7022"/>
  <c r="C43" i="7022"/>
  <c r="C47" i="7022"/>
  <c r="H52" i="7022"/>
  <c r="H15" i="7022"/>
  <c r="H18" i="7022"/>
  <c r="C25" i="7022"/>
  <c r="H40" i="7022"/>
  <c r="H44" i="7022"/>
  <c r="H48" i="7022"/>
  <c r="H27" i="7022"/>
  <c r="H33" i="7022"/>
  <c r="C42" i="7022"/>
  <c r="C46" i="7022"/>
  <c r="H2" i="7022"/>
  <c r="H8" i="7022"/>
  <c r="B28" i="7022"/>
  <c r="H39" i="7022"/>
  <c r="H47" i="7022"/>
  <c r="H6" i="7022"/>
  <c r="H12" i="7022"/>
  <c r="H22" i="7022"/>
  <c r="H25" i="7022"/>
  <c r="H28" i="7022"/>
  <c r="H30" i="7022"/>
  <c r="H36" i="7022"/>
  <c r="C40" i="7022"/>
  <c r="C44" i="7022"/>
  <c r="C48" i="7022"/>
  <c r="H4" i="7022"/>
  <c r="H19" i="7022"/>
  <c r="C22" i="7022"/>
  <c r="C26" i="7022"/>
  <c r="H37" i="7022"/>
  <c r="H41" i="7022"/>
  <c r="H45" i="702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<sst xmlns="http://schemas.openxmlformats.org/spreadsheetml/2006/main" count="1193" uniqueCount="217">
  <si>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</si>
  <si>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</si>
  <si>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</si>
  <si>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</si>
  <si>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</si>
  <si>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</si>
  <si>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</si>
  <si>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</si>
  <si>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</si>
  <si>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</si>
  <si>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</si>
  <si>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</si>
  <si>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</si>
  <si>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</si>
  <si>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</si>
  <si>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</si>
  <si>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</si>
  <si>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</si>
  <si>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</si>
  <si>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</si>
  <si>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</si>
  <si>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</si>
  <si>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</si>
  <si>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</si>
  <si>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</si>
  <si>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</si>
  <si>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</si>
  <si>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</si>
  <si>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</si>
  <si>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</si>
  <si>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</si>
  <si>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</si>
  <si>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</si>
  <si>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</si>
  <si>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</si>
  <si>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</si>
  <si>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</si>
  <si>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</si>
  <si>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</si>
  <si>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</si>
  <si>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</si>
  <si>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</si>
  <si>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</si>
  <si>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</si>
  <si>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</si>
  <si>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</si>
  <si>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</si>
  <si>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</si>
  <si>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</si>
  <si>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</si>
  <si>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</si>
  <si>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</si>
  <si>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</si>
  <si>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</si>
  <si>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</si>
  <si>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</si>
  <si>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</si>
  <si>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</si>
  <si>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</si>
  <si>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</si>
  <si>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</si>
  <si>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</si>
  <si>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</si>
  <si>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</si>
  <si>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</si>
  <si>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</si>
  <si>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</si>
  <si>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</si>
  <si>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</si>
  <si>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</si>
  <si>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</si>
  <si>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</si>
  <si>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</si>
  <si>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</si>
  <si>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</si>
  <si>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</si>
  <si>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</si>
  <si>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</si>
  <si>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</si>
  <si>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</si>
  <si>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</si>
  <si>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</si>
  <si>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</si>
  <si>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</si>
  <si>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</si>
  <si>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</si>
  <si>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</si>
  <si>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</si>
  <si>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</si>
  <si>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</si>
  <si>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</si>
  <si>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</si>
  <si>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</si>
  <si>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</si>
  <si>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</si>
  <si>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</si>
  <si>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</si>
  <si>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</si>
  <si>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</si>
  <si>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</si>
  <si>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</si>
  <si>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</si>
  <si>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</si>
  <si>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</si>
  <si>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</si>
  <si>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</si>
  <si>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</si>
  <si>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</si>
  <si>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</si>
  <si>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</si>
  <si>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</si>
  <si>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</si>
  <si>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</si>
  <si>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</si>
  <si>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</si>
  <si>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</si>
  <si>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</si>
  <si>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</si>
  <si>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</si>
  <si>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</si>
  <si>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</si>
  <si>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</si>
  <si>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</si>
  <si>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</si>
  <si>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</si>
  <si>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</si>
  <si>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</si>
  <si>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</si>
  <si>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</si>
  <si>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</si>
  <si>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</si>
  <si>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</si>
  <si>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</si>
  <si>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</si>
  <si>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</si>
  <si>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</si>
  <si>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</si>
  <si>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</si>
  <si>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</si>
  <si>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</si>
  <si>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</si>
  <si>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</si>
  <si>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</si>
  <si>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</si>
  <si>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</si>
  <si>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</si>
  <si>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</si>
  <si>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</si>
  <si>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</si>
  <si>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</si>
  <si>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</si>
  <si>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</si>
  <si>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</si>
  <si>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</si>
  <si>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</si>
  <si>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</si>
  <si>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</si>
  <si>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</si>
  <si>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</si>
  <si>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</si>
  <si>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</si>
  <si>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</si>
  <si>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</si>
  <si>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</si>
  <si>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</si>
  <si>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</si>
  <si>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</si>
  <si>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</si>
  <si>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</si>
  <si>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</si>
  <si>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</si>
  <si>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</si>
  <si>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</si>
  <si>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</si>
  <si>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</si>
  <si>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</si>
  <si>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</si>
  <si>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</si>
  <si>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</si>
  <si>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</si>
  <si>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</si>
  <si>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</si>
  <si>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</si>
  <si>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</si>
  <si>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</si>
  <si>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</si>
  <si>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</si>
  <si>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</si>
  <si>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</si>
  <si>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</si>
  <si>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</si>
  <si>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</si>
  <si>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</si>
  <si>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</si>
  <si>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</si>
  <si>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</si>
  <si>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</si>
  <si>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</si>
  <si>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</si>
  <si>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</si>
  <si>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</si>
  <si>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</si>
  <si>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</si>
  <si>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</si>
  <si>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</si>
  <si>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</si>
  <si>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</si>
  <si>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</si>
  <si>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</si>
  <si>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</si>
  <si>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</si>
  <si>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</si>
  <si>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</si>
  <si>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</si>
  <si>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2021-02-13@Ina.xlsm</t>
  </si>
  <si>
    <t>―</t>
  </si>
  <si>
    <t>ともき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</si>
</sst>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全体!$L$2:$L$11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2C-48A4-ACCE-EC864D96E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0B-483B-A94E-EDEDED967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B-4FEC-B172-45EB0703E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全体!$M$2:$M$11</c:f>
              <c:numCache>
                <c:formatCode>0</c:formatCode>
                <c:ptCount val="10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CB-402D-8E71-B28CC753E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れんたろう!$L$2:$L$5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3-46DE-AB4D-F146EBF3F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10200</c:v>
                </c:pt>
                <c:pt idx="1">
                  <c:v>4733.333333333333</c:v>
                </c:pt>
                <c:pt idx="2">
                  <c:v>2100</c:v>
                </c:pt>
                <c:pt idx="3">
                  <c:v>-2350</c:v>
                </c:pt>
                <c:pt idx="4">
                  <c:v>3350</c:v>
                </c:pt>
                <c:pt idx="5">
                  <c:v>-12000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A-4E8F-B6B5-2675EEBD3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B-4635-97B8-A4FEA334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れんたろう!$M$2:$M$5</c:f>
              <c:numCache>
                <c:formatCode>0</c:formatCode>
                <c:ptCount val="4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CA-448D-A74D-8CA3F4F43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だいち!$L$2:$L$5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D8-4A65-BC1C-E3DF43A83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-2533.3333333333335</c:v>
                </c:pt>
                <c:pt idx="1">
                  <c:v>8000</c:v>
                </c:pt>
                <c:pt idx="2">
                  <c:v>3100</c:v>
                </c:pt>
                <c:pt idx="3">
                  <c:v>4250</c:v>
                </c:pt>
                <c:pt idx="4">
                  <c:v>650</c:v>
                </c:pt>
                <c:pt idx="5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2-4594-85CB-9A725D90B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7-4127-8D48-B89612230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だいち!$M$2:$M$5</c:f>
              <c:numCache>
                <c:formatCode>0</c:formatCode>
                <c:ptCount val="4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B-4CF2-92C2-40C5B0CC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0C-4995-AECA-B743468D7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86-46E4-B733-F6166A1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A-450D-B92B-D46D3B480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67-4F70-9DEB-C5FB042BF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ともき2!$C$3:$C$6</c:f>
              <c:numCache>
                <c:formatCode>\+0.0;\-0.0;\±0</c:formatCode>
                <c:ptCount val="4"/>
                <c:pt idx="1">
                  <c:v>-46</c:v>
                </c:pt>
                <c:pt idx="2">
                  <c:v>-48.45</c:v>
                </c:pt>
                <c:pt idx="3">
                  <c:v>-37.800000000000004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89491928622333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ともき2!$F$3:$F$6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ともき2!$G$3:$G$6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372549019607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ともき2!$H$3:$H$6</c:f>
              <c:numCache>
                <c:formatCode>0.0%</c:formatCode>
                <c:ptCount val="4"/>
                <c:pt idx="1">
                  <c:v>0.5</c:v>
                </c:pt>
                <c:pt idx="2">
                  <c:v>0.54545454545454541</c:v>
                </c:pt>
                <c:pt idx="3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686274509803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ともき2!$I$3:$I$6</c:f>
              <c:numCache>
                <c:formatCode>0</c:formatCode>
                <c:ptCount val="4"/>
                <c:pt idx="1">
                  <c:v>0</c:v>
                </c:pt>
                <c:pt idx="2">
                  <c:v>0</c:v>
                </c:pt>
                <c:pt idx="3">
                  <c:v>1600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ともき2!$J$3:$J$6</c:f>
              <c:numCache>
                <c:formatCode>0</c:formatCode>
                <c:ptCount val="4"/>
                <c:pt idx="1">
                  <c:v>-7000</c:v>
                </c:pt>
                <c:pt idx="2">
                  <c:v>-8833.3333333333339</c:v>
                </c:pt>
                <c:pt idx="3">
                  <c:v>-8314.2857142857138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36.363636363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ともき2!$K$3:$K$6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2222222222222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ともき2!$L$3:$L$6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5.8823529411764705E-2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ともき2!$M$3:$M$6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901960784313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ともき2!$N$3:$N$6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9411764705882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ともき2!$O$3:$O$6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153846153846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ともき2!$P$3:$P$6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02FC69-36C9-4116-B0E2-4A51AFF06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04496-AA61-408F-AA21-815051D64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E301E5B-C5B6-4A27-ACA9-173BCC1CD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0A04782-5EAE-4EA5-9D05-0A2551788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3A2596-04CA-4BEC-BEA7-209D724DB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E4CCC9-DDD0-4627-99A2-916ACADBA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250FF0-23B7-4E85-A21B-9F0B9771A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A4D5ACE-8B28-43CD-AB1B-B77EB3A527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3D33F8-39A8-4E28-9078-E321EDE50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D9AA7C-8640-4E8D-A2FF-FD89578B5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864AC5-D94C-41B5-80F4-C8B6F1ECA9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AE042F4-F6E2-413E-A1BC-CE2C2180C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484EDC-56CC-4E17-BC21-89B8E0F62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A9E112-F0AA-43D6-A44E-8B687A30B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6A619A-6930-42FC-B034-9377EF8DAE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AA889A9-325A-46FC-A46F-53FD4D931A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5" x14ac:dyDescent="0.4">
      <c r="A1" s="1">
        <v>32874</v>
      </c>
      <c r="B1" s="1">
        <v>2958465</v>
      </c>
    </row>
    <row r="2" spans="1:5" x14ac:dyDescent="0.4">
      <c r="A2" s="2" t="s">
        <v>214</v>
      </c>
      <c r="B2" s="3">
        <v>44240.69635416667</v>
      </c>
      <c r="C2" s="2" t="s">
        <v>127</v>
      </c>
      <c r="D2" s="2" t="s">
        <v>188</v>
      </c>
      <c r="E2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216</v>
      </c>
    </row>
    <row r="2" spans="1:3" x14ac:dyDescent="0.4">
      <c r="A2" t="s">
        <v>126</v>
      </c>
      <c r="B2" s="120">
        <v>3</v>
      </c>
      <c r="C2" s="120">
        <v>1758.0662353696366</v>
      </c>
    </row>
    <row r="3" spans="1:3" x14ac:dyDescent="0.4">
      <c r="A3" t="s">
        <v>192</v>
      </c>
      <c r="C3" s="120">
        <v>1606.4452616651972</v>
      </c>
    </row>
    <row r="4" spans="1:3" x14ac:dyDescent="0.4">
      <c r="A4" t="s">
        <v>163</v>
      </c>
      <c r="B4" s="120">
        <v>3</v>
      </c>
      <c r="C4" s="120">
        <v>1605.0170841089816</v>
      </c>
    </row>
    <row r="5" spans="1:3" x14ac:dyDescent="0.4">
      <c r="A5" t="s">
        <v>139</v>
      </c>
      <c r="B5" s="120">
        <v>9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195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207</v>
      </c>
      <c r="B2" s="143" t="s">
        <v>215</v>
      </c>
      <c r="C2" s="144"/>
      <c r="D2" s="143" t="s">
        <v>215</v>
      </c>
      <c r="E2" s="144"/>
      <c r="F2" s="143" t="s">
        <v>215</v>
      </c>
      <c r="G2" s="144"/>
      <c r="H2" s="145"/>
      <c r="I2" s="146"/>
      <c r="J2" s="143" t="s">
        <v>215</v>
      </c>
      <c r="K2" s="144"/>
      <c r="L2" s="143" t="s">
        <v>215</v>
      </c>
      <c r="M2" s="144"/>
      <c r="N2" s="143" t="s">
        <v>215</v>
      </c>
      <c r="O2" s="144"/>
      <c r="P2" s="143" t="s">
        <v>215</v>
      </c>
      <c r="Q2" s="144"/>
      <c r="R2" s="143" t="s">
        <v>215</v>
      </c>
      <c r="S2" s="144"/>
      <c r="T2" s="143" t="s">
        <v>215</v>
      </c>
      <c r="U2" s="144"/>
      <c r="V2" s="143" t="s">
        <v>215</v>
      </c>
      <c r="W2" s="144"/>
      <c r="X2" s="143" t="s">
        <v>215</v>
      </c>
      <c r="Y2" s="144"/>
      <c r="Z2" s="143" t="s">
        <v>215</v>
      </c>
      <c r="AA2" s="144"/>
      <c r="AB2" s="143" t="s">
        <v>215</v>
      </c>
      <c r="AC2" s="144"/>
      <c r="AD2" s="143" t="s">
        <v>215</v>
      </c>
      <c r="AE2" s="144"/>
      <c r="AF2" s="143" t="s">
        <v>215</v>
      </c>
      <c r="AG2" s="144"/>
      <c r="AH2" s="143" t="s">
        <v>215</v>
      </c>
      <c r="AI2" s="144"/>
      <c r="AJ2" s="143" t="s">
        <v>215</v>
      </c>
      <c r="AK2" s="144"/>
    </row>
    <row r="3" spans="1:37" x14ac:dyDescent="0.4">
      <c r="A3" s="38">
        <v>1</v>
      </c>
      <c r="B3" s="41" t="s">
        <v>126</v>
      </c>
      <c r="C3" s="113">
        <v>3</v>
      </c>
      <c r="D3" s="39" t="s">
        <v>126</v>
      </c>
      <c r="E3" s="40">
        <v>64.400000000000006</v>
      </c>
      <c r="F3" s="41" t="s">
        <v>126</v>
      </c>
      <c r="G3" s="60">
        <v>21.466666666666669</v>
      </c>
      <c r="H3" s="41" t="s">
        <v>126</v>
      </c>
      <c r="I3" s="45">
        <v>1766.2919007360963</v>
      </c>
      <c r="J3" s="41" t="s">
        <v>126</v>
      </c>
      <c r="K3" s="42">
        <v>1.3333333333333333</v>
      </c>
      <c r="L3" s="41" t="s">
        <v>126</v>
      </c>
      <c r="M3" s="43">
        <v>0.66666666666666663</v>
      </c>
      <c r="N3" s="41" t="s">
        <v>126</v>
      </c>
      <c r="O3" s="43">
        <v>0</v>
      </c>
      <c r="P3" s="41" t="s">
        <v>126</v>
      </c>
      <c r="Q3" s="44">
        <v>0.47058823529411764</v>
      </c>
      <c r="R3" s="41" t="s">
        <v>163</v>
      </c>
      <c r="S3" s="44">
        <v>5.8823529411764705E-2</v>
      </c>
      <c r="T3" s="41" t="s">
        <v>126</v>
      </c>
      <c r="U3" s="45">
        <v>9625</v>
      </c>
      <c r="V3" s="41" t="s">
        <v>126</v>
      </c>
      <c r="W3" s="45">
        <v>-6433.333333333333</v>
      </c>
      <c r="X3" s="41" t="s">
        <v>126</v>
      </c>
      <c r="Y3" s="43">
        <v>0</v>
      </c>
      <c r="Z3" s="41" t="s">
        <v>126</v>
      </c>
      <c r="AA3" s="44">
        <v>0.52941176470588236</v>
      </c>
      <c r="AB3" s="41" t="s">
        <v>163</v>
      </c>
      <c r="AC3" s="44">
        <v>0.29411764705882354</v>
      </c>
      <c r="AD3" s="41" t="s">
        <v>126</v>
      </c>
      <c r="AE3" s="44">
        <v>0.66666666666666663</v>
      </c>
      <c r="AF3" s="41" t="s">
        <v>126</v>
      </c>
      <c r="AG3" s="44">
        <v>0.5</v>
      </c>
      <c r="AH3" s="41" t="s">
        <v>197</v>
      </c>
      <c r="AI3" s="44">
        <v>0.5</v>
      </c>
      <c r="AJ3" s="41" t="s">
        <v>163</v>
      </c>
      <c r="AK3" s="55">
        <v>75600</v>
      </c>
    </row>
    <row r="4" spans="1:37" x14ac:dyDescent="0.4">
      <c r="A4" s="46">
        <v>2</v>
      </c>
      <c r="B4" s="49" t="s">
        <v>163</v>
      </c>
      <c r="C4" s="114">
        <v>3</v>
      </c>
      <c r="D4" s="47" t="s">
        <v>163</v>
      </c>
      <c r="E4" s="48">
        <v>49.000000000000007</v>
      </c>
      <c r="F4" s="49" t="s">
        <v>163</v>
      </c>
      <c r="G4" s="61">
        <v>16.333333333333336</v>
      </c>
      <c r="H4" s="49" t="s">
        <v>163</v>
      </c>
      <c r="I4" s="53">
        <v>1613.1372436444135</v>
      </c>
      <c r="J4" s="49" t="s">
        <v>163</v>
      </c>
      <c r="K4" s="50">
        <v>1.6666666666666667</v>
      </c>
      <c r="L4" s="49" t="s">
        <v>163</v>
      </c>
      <c r="M4" s="51">
        <v>0.33333333333333331</v>
      </c>
      <c r="N4" s="49" t="s">
        <v>163</v>
      </c>
      <c r="O4" s="51">
        <v>0</v>
      </c>
      <c r="P4" s="49" t="s">
        <v>163</v>
      </c>
      <c r="Q4" s="52">
        <v>0.35294117647058826</v>
      </c>
      <c r="R4" s="49" t="s">
        <v>126</v>
      </c>
      <c r="S4" s="52">
        <v>0.17647058823529413</v>
      </c>
      <c r="T4" s="49" t="s">
        <v>163</v>
      </c>
      <c r="U4" s="53">
        <v>9366.6666666666661</v>
      </c>
      <c r="V4" s="49" t="s">
        <v>139</v>
      </c>
      <c r="W4" s="53">
        <v>-8136.363636363636</v>
      </c>
      <c r="X4" s="49" t="s">
        <v>163</v>
      </c>
      <c r="Y4" s="51">
        <v>0</v>
      </c>
      <c r="Z4" s="49" t="s">
        <v>163</v>
      </c>
      <c r="AA4" s="52">
        <v>0.41176470588235292</v>
      </c>
      <c r="AB4" s="49" t="s">
        <v>139</v>
      </c>
      <c r="AC4" s="52">
        <v>0.25490196078431371</v>
      </c>
      <c r="AD4" s="49" t="s">
        <v>139</v>
      </c>
      <c r="AE4" s="52">
        <v>0.52941176470588236</v>
      </c>
      <c r="AF4" s="49" t="s">
        <v>197</v>
      </c>
      <c r="AG4" s="52">
        <v>0.5</v>
      </c>
      <c r="AH4" s="49" t="s">
        <v>163</v>
      </c>
      <c r="AI4" s="52">
        <v>0.33333333333333331</v>
      </c>
      <c r="AJ4" s="49" t="s">
        <v>139</v>
      </c>
      <c r="AK4" s="56">
        <v>75600</v>
      </c>
    </row>
    <row r="5" spans="1:37" x14ac:dyDescent="0.4">
      <c r="A5" s="46">
        <v>3</v>
      </c>
      <c r="B5" s="49" t="s">
        <v>139</v>
      </c>
      <c r="C5" s="114">
        <v>3</v>
      </c>
      <c r="D5" s="47" t="s">
        <v>139</v>
      </c>
      <c r="E5" s="48">
        <v>7.1054273576010019E-15</v>
      </c>
      <c r="F5" s="49" t="s">
        <v>139</v>
      </c>
      <c r="G5" s="61">
        <v>7.894919286223335E-16</v>
      </c>
      <c r="H5" s="49" t="s">
        <v>139</v>
      </c>
      <c r="I5" s="53">
        <v>1603.0753127885366</v>
      </c>
      <c r="J5" s="49" t="s">
        <v>139</v>
      </c>
      <c r="K5" s="50">
        <v>2</v>
      </c>
      <c r="L5" s="49" t="s">
        <v>139</v>
      </c>
      <c r="M5" s="51">
        <v>0.33333333333333331</v>
      </c>
      <c r="N5" s="49" t="s">
        <v>139</v>
      </c>
      <c r="O5" s="51">
        <v>0.33333333333333331</v>
      </c>
      <c r="P5" s="49" t="s">
        <v>139</v>
      </c>
      <c r="Q5" s="52">
        <v>0.31372549019607843</v>
      </c>
      <c r="R5" s="49" t="s">
        <v>139</v>
      </c>
      <c r="S5" s="52">
        <v>0.21568627450980393</v>
      </c>
      <c r="T5" s="49" t="s">
        <v>139</v>
      </c>
      <c r="U5" s="53">
        <v>8525</v>
      </c>
      <c r="V5" s="49" t="s">
        <v>197</v>
      </c>
      <c r="W5" s="53">
        <v>-8314.2857142857138</v>
      </c>
      <c r="X5" s="49" t="s">
        <v>139</v>
      </c>
      <c r="Y5" s="51">
        <v>0.22222222222222221</v>
      </c>
      <c r="Z5" s="49" t="s">
        <v>139</v>
      </c>
      <c r="AA5" s="52">
        <v>0.33333333333333331</v>
      </c>
      <c r="AB5" s="49" t="s">
        <v>126</v>
      </c>
      <c r="AC5" s="52">
        <v>0.23529411764705882</v>
      </c>
      <c r="AD5" s="49" t="s">
        <v>163</v>
      </c>
      <c r="AE5" s="52">
        <v>0.42857142857142855</v>
      </c>
      <c r="AF5" s="49" t="s">
        <v>139</v>
      </c>
      <c r="AG5" s="52">
        <v>0.46153846153846156</v>
      </c>
      <c r="AH5" s="49" t="s">
        <v>139</v>
      </c>
      <c r="AI5" s="52">
        <v>0.3125</v>
      </c>
      <c r="AJ5" s="49" t="s">
        <v>126</v>
      </c>
      <c r="AK5" s="56">
        <v>72200</v>
      </c>
    </row>
    <row r="6" spans="1:37" x14ac:dyDescent="0.4">
      <c r="A6" s="46">
        <v>4</v>
      </c>
      <c r="B6" s="49" t="s">
        <v>197</v>
      </c>
      <c r="C6" s="114">
        <v>3</v>
      </c>
      <c r="D6" s="47" t="s">
        <v>197</v>
      </c>
      <c r="E6" s="48">
        <v>-113.4</v>
      </c>
      <c r="F6" s="49" t="s">
        <v>197</v>
      </c>
      <c r="G6" s="61">
        <v>-37.800000000000004</v>
      </c>
      <c r="H6" s="49" t="s">
        <v>197</v>
      </c>
      <c r="I6" s="53">
        <v>1445.1125193047092</v>
      </c>
      <c r="J6" s="49" t="s">
        <v>197</v>
      </c>
      <c r="K6" s="50">
        <v>3</v>
      </c>
      <c r="L6" s="49" t="s">
        <v>197</v>
      </c>
      <c r="M6" s="51">
        <v>0</v>
      </c>
      <c r="N6" s="49" t="s">
        <v>197</v>
      </c>
      <c r="O6" s="51">
        <v>1</v>
      </c>
      <c r="P6" s="49" t="s">
        <v>197</v>
      </c>
      <c r="Q6" s="52">
        <v>0.11764705882352941</v>
      </c>
      <c r="R6" s="49" t="s">
        <v>197</v>
      </c>
      <c r="S6" s="52">
        <v>0.41176470588235292</v>
      </c>
      <c r="T6" s="49" t="s">
        <v>197</v>
      </c>
      <c r="U6" s="53">
        <v>1600</v>
      </c>
      <c r="V6" s="49" t="s">
        <v>163</v>
      </c>
      <c r="W6" s="53">
        <v>-12000</v>
      </c>
      <c r="X6" s="49" t="s">
        <v>197</v>
      </c>
      <c r="Y6" s="51">
        <v>0.66666666666666663</v>
      </c>
      <c r="Z6" s="49" t="s">
        <v>197</v>
      </c>
      <c r="AA6" s="52">
        <v>5.8823529411764705E-2</v>
      </c>
      <c r="AB6" s="49" t="s">
        <v>197</v>
      </c>
      <c r="AC6" s="52">
        <v>0.23529411764705882</v>
      </c>
      <c r="AD6" s="49" t="s">
        <v>197</v>
      </c>
      <c r="AE6" s="52">
        <v>0</v>
      </c>
      <c r="AF6" s="49" t="s">
        <v>163</v>
      </c>
      <c r="AG6" s="52">
        <v>0.4</v>
      </c>
      <c r="AH6" s="49" t="s">
        <v>126</v>
      </c>
      <c r="AI6" s="52">
        <v>0.25</v>
      </c>
      <c r="AJ6" s="49" t="s">
        <v>197</v>
      </c>
      <c r="AK6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5CBE-31B5-404E-B52A-3CB51F9A1AB1}">
  <sheetPr codeName="Sheet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0.9375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0</v>
      </c>
      <c r="Q2" s="76">
        <v>9</v>
      </c>
      <c r="R2" s="63">
        <v>0</v>
      </c>
    </row>
    <row r="3" spans="1:18" x14ac:dyDescent="0.4">
      <c r="A3" s="19" t="s">
        <v>8</v>
      </c>
      <c r="B3" s="135">
        <v>51</v>
      </c>
      <c r="C3" s="136"/>
      <c r="E3" s="27" t="s">
        <v>159</v>
      </c>
      <c r="F3" s="24" t="s">
        <v>160</v>
      </c>
      <c r="G3" s="12">
        <v>10</v>
      </c>
      <c r="H3" s="88">
        <f>IF(B$20=0,0,G3/B$20)</f>
        <v>0.625</v>
      </c>
      <c r="I3" s="58">
        <v>2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0</v>
      </c>
      <c r="Q3" s="77">
        <v>9</v>
      </c>
      <c r="R3" s="64">
        <v>0</v>
      </c>
    </row>
    <row r="4" spans="1:18" x14ac:dyDescent="0.4">
      <c r="A4" s="19" t="s">
        <v>6</v>
      </c>
      <c r="B4" s="137">
        <v>7.1054273576010019E-15</v>
      </c>
      <c r="C4" s="138"/>
      <c r="E4" s="27" t="s">
        <v>64</v>
      </c>
      <c r="F4" s="24" t="s">
        <v>20</v>
      </c>
      <c r="G4" s="12">
        <v>9</v>
      </c>
      <c r="H4" s="88">
        <f>IF(B$20=0,0,G4/B$20)</f>
        <v>0.5625</v>
      </c>
      <c r="I4" s="58">
        <v>2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0</v>
      </c>
      <c r="Q4" s="77">
        <v>6</v>
      </c>
      <c r="R4" s="64">
        <v>0</v>
      </c>
    </row>
    <row r="5" spans="1:18" x14ac:dyDescent="0.4">
      <c r="A5" s="19" t="s">
        <v>7</v>
      </c>
      <c r="B5" s="125">
        <f>IF(B$2=0,0,B$4/B$2)</f>
        <v>7.894919286223335E-16</v>
      </c>
      <c r="C5" s="126"/>
      <c r="E5" s="27" t="s">
        <v>72</v>
      </c>
      <c r="F5" s="24" t="s">
        <v>27</v>
      </c>
      <c r="G5" s="12">
        <v>9</v>
      </c>
      <c r="H5" s="88">
        <f>IF(B$20=0,0,G5/B$20)</f>
        <v>0.5625</v>
      </c>
      <c r="I5" s="58">
        <v>3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0</v>
      </c>
      <c r="Q5" s="77">
        <v>6</v>
      </c>
      <c r="R5" s="64">
        <v>0</v>
      </c>
    </row>
    <row r="6" spans="1:18" x14ac:dyDescent="0.4">
      <c r="A6" s="19" t="s">
        <v>195</v>
      </c>
      <c r="B6" s="129">
        <v>1603.0753127885366</v>
      </c>
      <c r="C6" s="130"/>
      <c r="E6" s="27" t="s">
        <v>67</v>
      </c>
      <c r="F6" s="24" t="s">
        <v>23</v>
      </c>
      <c r="G6" s="12">
        <v>3</v>
      </c>
      <c r="H6" s="88">
        <f>IF(B$20=0,0,G6/B$20)</f>
        <v>0.1875</v>
      </c>
      <c r="I6" s="58">
        <v>2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0</v>
      </c>
      <c r="Q6" s="77">
        <v>6</v>
      </c>
      <c r="R6" s="64">
        <v>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3</v>
      </c>
      <c r="H7" s="88">
        <f>IF(B$20=0,0,G7/B$20)</f>
        <v>0.1875</v>
      </c>
      <c r="I7" s="58">
        <v>2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0</v>
      </c>
      <c r="Q7" s="78">
        <v>3</v>
      </c>
      <c r="R7" s="65">
        <v>0</v>
      </c>
    </row>
    <row r="8" spans="1:18" x14ac:dyDescent="0.4">
      <c r="A8" s="19" t="s">
        <v>2</v>
      </c>
      <c r="B8" s="12">
        <v>3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</v>
      </c>
      <c r="H8" s="88">
        <f>IF(B$20=0,0,G8/B$20)</f>
        <v>0.1875</v>
      </c>
      <c r="I8" s="58">
        <v>2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0.33333333333333331</v>
      </c>
      <c r="E9" s="27" t="s">
        <v>86</v>
      </c>
      <c r="F9" s="24" t="s">
        <v>41</v>
      </c>
      <c r="G9" s="12">
        <v>3</v>
      </c>
      <c r="H9" s="88">
        <f>IF(B$20=0,0,G9/B$20)</f>
        <v>0.1875</v>
      </c>
      <c r="I9" s="58">
        <v>2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0.33333333333333331</v>
      </c>
      <c r="E10" s="27" t="s">
        <v>89</v>
      </c>
      <c r="F10" s="24" t="s">
        <v>44</v>
      </c>
      <c r="G10" s="12">
        <v>3</v>
      </c>
      <c r="H10" s="88">
        <f>IF(B$20=0,0,G10/B$20)</f>
        <v>0.1875</v>
      </c>
      <c r="I10" s="58">
        <v>2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-1.8666666666666656</v>
      </c>
      <c r="Q10" s="76">
        <v>3</v>
      </c>
      <c r="R10" s="67">
        <v>-5.599999999999997</v>
      </c>
    </row>
    <row r="11" spans="1:18" x14ac:dyDescent="0.4">
      <c r="A11" s="20" t="s">
        <v>184</v>
      </c>
      <c r="B11" s="109">
        <f>IF(B8=0,0,C11/B8)</f>
        <v>39.866666666666667</v>
      </c>
      <c r="C11" s="110">
        <v>119.60000000000001</v>
      </c>
      <c r="E11" s="27" t="s">
        <v>65</v>
      </c>
      <c r="F11" s="24" t="s">
        <v>21</v>
      </c>
      <c r="G11" s="12">
        <v>1</v>
      </c>
      <c r="H11" s="88">
        <f>IF(B$20=0,0,G11/B$20)</f>
        <v>6.25E-2</v>
      </c>
      <c r="I11" s="58">
        <v>2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6.9666666666666677</v>
      </c>
      <c r="Q11" s="77">
        <v>3</v>
      </c>
      <c r="R11" s="68">
        <v>20.900000000000002</v>
      </c>
    </row>
    <row r="12" spans="1:18" x14ac:dyDescent="0.4">
      <c r="A12" s="20" t="s">
        <v>185</v>
      </c>
      <c r="B12" s="109">
        <f>IF(B9=0,0,C12/B9)</f>
        <v>-2.0666666666666664</v>
      </c>
      <c r="C12" s="110">
        <v>-6.1999999999999993</v>
      </c>
      <c r="E12" s="27" t="s">
        <v>70</v>
      </c>
      <c r="F12" s="24" t="s">
        <v>25</v>
      </c>
      <c r="G12" s="12">
        <v>1</v>
      </c>
      <c r="H12" s="88">
        <f>IF(B$20=0,0,G12/B$20)</f>
        <v>6.25E-2</v>
      </c>
      <c r="I12" s="58">
        <v>2</v>
      </c>
      <c r="O12" s="75" t="s">
        <v>153</v>
      </c>
      <c r="P12" s="84">
        <f>IF(Q12=0,0,R12/Q12)</f>
        <v>-5.0999999999999988</v>
      </c>
      <c r="Q12" s="78">
        <v>3</v>
      </c>
      <c r="R12" s="69">
        <v>-15.299999999999997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88</v>
      </c>
      <c r="F13" s="24" t="s">
        <v>43</v>
      </c>
      <c r="G13" s="12">
        <v>1</v>
      </c>
      <c r="H13" s="88">
        <f>IF(B$20=0,0,G13/B$20)</f>
        <v>6.25E-2</v>
      </c>
      <c r="I13" s="58">
        <v>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0.22222222222222221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1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17</v>
      </c>
      <c r="C16" s="10">
        <f>IF(B$3=0,0,B16/B$3)</f>
        <v>0.33333333333333331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-24.499999999999996</v>
      </c>
      <c r="Q16" s="77">
        <v>6</v>
      </c>
      <c r="R16" s="68">
        <v>-146.99999999999997</v>
      </c>
    </row>
    <row r="17" spans="1:18" x14ac:dyDescent="0.4">
      <c r="A17" s="19" t="s">
        <v>118</v>
      </c>
      <c r="B17" s="12">
        <v>13</v>
      </c>
      <c r="C17" s="6">
        <f>IF(B$3=0,0,B17/B$3)</f>
        <v>0.25490196078431371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-32.200000000000003</v>
      </c>
      <c r="Q17" s="77">
        <v>6</v>
      </c>
      <c r="R17" s="68">
        <v>-193.20000000000002</v>
      </c>
    </row>
    <row r="18" spans="1:18" x14ac:dyDescent="0.4">
      <c r="A18" s="18" t="s">
        <v>123</v>
      </c>
      <c r="B18" s="11">
        <f>B24</f>
        <v>9</v>
      </c>
      <c r="C18" s="5">
        <f>IF(B$16=0,0,B18/B$16)</f>
        <v>0.52941176470588236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0.46153846153846156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16</v>
      </c>
      <c r="C20" s="5">
        <f>IF(B$3=0,0,B20/B$3)</f>
        <v>0.31372549019607843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11</v>
      </c>
      <c r="C21" s="6">
        <f>IF(B$3=0,0,B21/B$3)</f>
        <v>0.21568627450980393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5</v>
      </c>
      <c r="C22" s="6">
        <f>IF(B$20=0,0,B22/B$20)</f>
        <v>0.3125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11</v>
      </c>
      <c r="C23" s="6">
        <f>IF(B$20=0,0,B23/B$20)</f>
        <v>0.6875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9</v>
      </c>
      <c r="C24" s="6">
        <f>IF(B$20=0,0,B24/B$20)</f>
        <v>0.5625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6</v>
      </c>
      <c r="C25" s="6">
        <f>IF(B$20=0,0,B25/B$20)</f>
        <v>0.375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1</v>
      </c>
      <c r="C26" s="6">
        <f>IF(B$20=0,0,B26/B$20)</f>
        <v>6.25E-2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8525</v>
      </c>
      <c r="C27" s="8">
        <v>136400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10480</v>
      </c>
      <c r="C28" s="96">
        <v>104800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5266.666666666667</v>
      </c>
      <c r="C29" s="96">
        <v>31600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-8136.363636363636</v>
      </c>
      <c r="C30" s="96">
        <v>-89500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10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75600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6.25E-2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6.25E-2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2"/>
        <v>0.1875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4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6.25E-2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45DDC-2D92-48CD-96A5-0244908B927D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1.1666666666666667</v>
      </c>
      <c r="I2" s="57">
        <v>1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10200</v>
      </c>
      <c r="Q2" s="76">
        <v>3</v>
      </c>
      <c r="R2" s="63">
        <v>30600</v>
      </c>
    </row>
    <row r="3" spans="1:18" x14ac:dyDescent="0.4">
      <c r="A3" s="19" t="s">
        <v>8</v>
      </c>
      <c r="B3" s="135">
        <v>17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0.66666666666666663</v>
      </c>
      <c r="I3" s="58">
        <v>2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4733.333333333333</v>
      </c>
      <c r="Q3" s="77">
        <v>3</v>
      </c>
      <c r="R3" s="64">
        <v>14200</v>
      </c>
    </row>
    <row r="4" spans="1:18" x14ac:dyDescent="0.4">
      <c r="A4" s="19" t="s">
        <v>6</v>
      </c>
      <c r="B4" s="137">
        <v>49.000000000000007</v>
      </c>
      <c r="C4" s="138"/>
      <c r="E4" s="27" t="s">
        <v>159</v>
      </c>
      <c r="F4" s="24" t="s">
        <v>160</v>
      </c>
      <c r="G4" s="12">
        <v>4</v>
      </c>
      <c r="H4" s="88">
        <f>IF(B$20=0,0,G4/B$20)</f>
        <v>0.66666666666666663</v>
      </c>
      <c r="I4" s="58">
        <v>1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2100</v>
      </c>
      <c r="Q4" s="77">
        <v>2</v>
      </c>
      <c r="R4" s="64">
        <v>4200</v>
      </c>
    </row>
    <row r="5" spans="1:18" x14ac:dyDescent="0.4">
      <c r="A5" s="19" t="s">
        <v>7</v>
      </c>
      <c r="B5" s="125">
        <f>IF(B$2=0,0,B$4/B$2)</f>
        <v>16.333333333333336</v>
      </c>
      <c r="C5" s="126"/>
      <c r="E5" s="27" t="s">
        <v>64</v>
      </c>
      <c r="F5" s="24" t="s">
        <v>20</v>
      </c>
      <c r="G5" s="12">
        <v>3</v>
      </c>
      <c r="H5" s="88">
        <f>IF(B$20=0,0,G5/B$20)</f>
        <v>0.5</v>
      </c>
      <c r="I5" s="58">
        <v>3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-2350</v>
      </c>
      <c r="Q5" s="77">
        <v>2</v>
      </c>
      <c r="R5" s="64">
        <v>-4700</v>
      </c>
    </row>
    <row r="6" spans="1:18" x14ac:dyDescent="0.4">
      <c r="A6" s="19" t="s">
        <v>195</v>
      </c>
      <c r="B6" s="129">
        <v>1613.1372436444135</v>
      </c>
      <c r="C6" s="130"/>
      <c r="E6" s="27" t="s">
        <v>89</v>
      </c>
      <c r="F6" s="24" t="s">
        <v>44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3350</v>
      </c>
      <c r="Q6" s="77">
        <v>2</v>
      </c>
      <c r="R6" s="64">
        <v>6700</v>
      </c>
    </row>
    <row r="7" spans="1:18" x14ac:dyDescent="0.4">
      <c r="A7" s="19" t="s">
        <v>1</v>
      </c>
      <c r="B7" s="139">
        <f>IF(B$2=0,0,(B$8*1+B$9*2+B$10*3)/B$2)</f>
        <v>1.6666666666666667</v>
      </c>
      <c r="C7" s="140"/>
      <c r="E7" s="27" t="s">
        <v>68</v>
      </c>
      <c r="F7" s="24" t="s">
        <v>12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-12000</v>
      </c>
      <c r="Q7" s="78">
        <v>1</v>
      </c>
      <c r="R7" s="65">
        <v>-12000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0.33333333333333331</v>
      </c>
      <c r="E8" s="27" t="s">
        <v>86</v>
      </c>
      <c r="F8" s="24" t="s">
        <v>41</v>
      </c>
      <c r="G8" s="12">
        <v>1</v>
      </c>
      <c r="H8" s="88">
        <f>IF(B$20=0,0,G8/B$20)</f>
        <v>0.16666666666666666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0.66666666666666663</v>
      </c>
      <c r="E9" s="27" t="s">
        <v>65</v>
      </c>
      <c r="F9" s="24" t="s">
        <v>21</v>
      </c>
      <c r="G9" s="12">
        <v>0</v>
      </c>
      <c r="H9" s="88">
        <f>IF(B$20=0,0,G9/B$20)</f>
        <v>0</v>
      </c>
      <c r="I9" s="58">
        <v>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1"/>
        <v>0</v>
      </c>
      <c r="E10" s="27" t="s">
        <v>67</v>
      </c>
      <c r="F10" s="24" t="s">
        <v>23</v>
      </c>
      <c r="G10" s="12">
        <v>0</v>
      </c>
      <c r="H10" s="88">
        <f>IF(B$20=0,0,G10/B$20)</f>
        <v>0</v>
      </c>
      <c r="I10" s="58">
        <v>3</v>
      </c>
      <c r="O10" s="73" t="s">
        <v>151</v>
      </c>
      <c r="P10" s="82">
        <f>IF(Q10=0,0,R10/Q10)</f>
        <v>22.650000000000002</v>
      </c>
      <c r="Q10" s="76">
        <v>2</v>
      </c>
      <c r="R10" s="67">
        <v>45.300000000000004</v>
      </c>
    </row>
    <row r="11" spans="1:18" x14ac:dyDescent="0.4">
      <c r="A11" s="20" t="s">
        <v>184</v>
      </c>
      <c r="B11" s="109">
        <f>IF(B8=0,0,C11/B8)</f>
        <v>50.6</v>
      </c>
      <c r="C11" s="110">
        <v>50.6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3</v>
      </c>
      <c r="O11" s="74" t="s">
        <v>152</v>
      </c>
      <c r="P11" s="83">
        <f>IF(Q11=0,0,R11/Q11)</f>
        <v>3.7</v>
      </c>
      <c r="Q11" s="77">
        <v>1</v>
      </c>
      <c r="R11" s="68">
        <v>3.7</v>
      </c>
    </row>
    <row r="12" spans="1:18" x14ac:dyDescent="0.4">
      <c r="A12" s="20" t="s">
        <v>185</v>
      </c>
      <c r="B12" s="109">
        <f>IF(B9=0,0,C12/B9)</f>
        <v>-0.79999999999999982</v>
      </c>
      <c r="C12" s="110">
        <v>-1.5999999999999996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3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16.600000000000001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7</v>
      </c>
      <c r="C16" s="10">
        <f>IF(B$3=0,0,B16/B$3)</f>
        <v>0.41176470588235292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-5.1333333333333329</v>
      </c>
      <c r="Q16" s="77">
        <v>3</v>
      </c>
      <c r="R16" s="68">
        <v>-15.399999999999999</v>
      </c>
    </row>
    <row r="17" spans="1:9" x14ac:dyDescent="0.4">
      <c r="A17" s="19" t="s">
        <v>118</v>
      </c>
      <c r="B17" s="12">
        <v>5</v>
      </c>
      <c r="C17" s="6">
        <f>IF(B$3=0,0,B17/B$3)</f>
        <v>0.29411764705882354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3</v>
      </c>
      <c r="C18" s="5">
        <f>IF(B$16=0,0,B18/B$16)</f>
        <v>0.42857142857142855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6</v>
      </c>
      <c r="C20" s="5">
        <f>IF(B$3=0,0,B20/B$3)</f>
        <v>0.35294117647058826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</v>
      </c>
      <c r="C21" s="6">
        <f>IF(B$3=0,0,B21/B$3)</f>
        <v>5.8823529411764705E-2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2</v>
      </c>
      <c r="C22" s="6">
        <f>IF(B$20=0,0,B22/B$20)</f>
        <v>0.33333333333333331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0.66666666666666663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3</v>
      </c>
      <c r="C24" s="6">
        <f>IF(B$20=0,0,B24/B$20)</f>
        <v>0.5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0.33333333333333331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9366.6666666666661</v>
      </c>
      <c r="C27" s="8">
        <v>56200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165</v>
      </c>
      <c r="B28" s="95">
        <f>IF($B$20-B$19=0,0,C28/($B$20-B$19))</f>
        <v>10200</v>
      </c>
      <c r="C28" s="96">
        <v>40800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166</v>
      </c>
      <c r="B29" s="95">
        <f>IF(B$19=0,0,C29/B$19)</f>
        <v>7700</v>
      </c>
      <c r="C29" s="96">
        <v>15400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-12000</v>
      </c>
      <c r="C30" s="96">
        <v>-12000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16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75600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0.66666666666666663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6882A-26B4-4F81-B1BA-11E172672DE0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66</v>
      </c>
      <c r="F2" s="23" t="s">
        <v>22</v>
      </c>
      <c r="G2" s="11">
        <v>8</v>
      </c>
      <c r="H2" s="87">
        <f>IF(B$20=0,0,G2/B$20)</f>
        <v>1</v>
      </c>
      <c r="I2" s="57">
        <v>2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-2533.3333333333335</v>
      </c>
      <c r="Q2" s="76">
        <v>3</v>
      </c>
      <c r="R2" s="63">
        <v>-7600</v>
      </c>
    </row>
    <row r="3" spans="1:18" x14ac:dyDescent="0.4">
      <c r="A3" s="19" t="s">
        <v>8</v>
      </c>
      <c r="B3" s="135">
        <v>17</v>
      </c>
      <c r="C3" s="136"/>
      <c r="E3" s="27" t="s">
        <v>64</v>
      </c>
      <c r="F3" s="24" t="s">
        <v>20</v>
      </c>
      <c r="G3" s="12">
        <v>6</v>
      </c>
      <c r="H3" s="88">
        <f>IF(B$20=0,0,G3/B$20)</f>
        <v>0.75</v>
      </c>
      <c r="I3" s="58">
        <v>1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8000</v>
      </c>
      <c r="Q3" s="77">
        <v>3</v>
      </c>
      <c r="R3" s="64">
        <v>24000</v>
      </c>
    </row>
    <row r="4" spans="1:18" x14ac:dyDescent="0.4">
      <c r="A4" s="19" t="s">
        <v>6</v>
      </c>
      <c r="B4" s="137">
        <v>64.400000000000006</v>
      </c>
      <c r="C4" s="138"/>
      <c r="E4" s="27" t="s">
        <v>159</v>
      </c>
      <c r="F4" s="24" t="s">
        <v>160</v>
      </c>
      <c r="G4" s="12">
        <v>5</v>
      </c>
      <c r="H4" s="88">
        <f>IF(B$20=0,0,G4/B$20)</f>
        <v>0.625</v>
      </c>
      <c r="I4" s="58">
        <v>2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3100</v>
      </c>
      <c r="Q4" s="77">
        <v>2</v>
      </c>
      <c r="R4" s="64">
        <v>6200</v>
      </c>
    </row>
    <row r="5" spans="1:18" x14ac:dyDescent="0.4">
      <c r="A5" s="19" t="s">
        <v>7</v>
      </c>
      <c r="B5" s="125">
        <f>IF(B$2=0,0,B$4/B$2)</f>
        <v>21.466666666666669</v>
      </c>
      <c r="C5" s="126"/>
      <c r="E5" s="27" t="s">
        <v>67</v>
      </c>
      <c r="F5" s="24" t="s">
        <v>23</v>
      </c>
      <c r="G5" s="12">
        <v>3</v>
      </c>
      <c r="H5" s="88">
        <f>IF(B$20=0,0,G5/B$20)</f>
        <v>0.375</v>
      </c>
      <c r="I5" s="58">
        <v>1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4250</v>
      </c>
      <c r="Q5" s="77">
        <v>2</v>
      </c>
      <c r="R5" s="64">
        <v>8500</v>
      </c>
    </row>
    <row r="6" spans="1:18" x14ac:dyDescent="0.4">
      <c r="A6" s="19" t="s">
        <v>195</v>
      </c>
      <c r="B6" s="129">
        <v>1766.2919007360963</v>
      </c>
      <c r="C6" s="130"/>
      <c r="E6" s="27" t="s">
        <v>69</v>
      </c>
      <c r="F6" s="24" t="s">
        <v>24</v>
      </c>
      <c r="G6" s="12">
        <v>3</v>
      </c>
      <c r="H6" s="88">
        <f>IF(B$20=0,0,G6/B$20)</f>
        <v>0.375</v>
      </c>
      <c r="I6" s="58">
        <v>1</v>
      </c>
      <c r="O6" s="74" t="s">
        <v>132</v>
      </c>
      <c r="P6" s="80">
        <f t="shared" si="0"/>
        <v>650</v>
      </c>
      <c r="Q6" s="77">
        <v>2</v>
      </c>
      <c r="R6" s="64">
        <v>1300</v>
      </c>
    </row>
    <row r="7" spans="1:18" x14ac:dyDescent="0.4">
      <c r="A7" s="19" t="s">
        <v>1</v>
      </c>
      <c r="B7" s="139">
        <f>IF(B$2=0,0,(B$8*1+B$9*2+B$10*3)/B$2)</f>
        <v>1.3333333333333333</v>
      </c>
      <c r="C7" s="140"/>
      <c r="E7" s="27" t="s">
        <v>72</v>
      </c>
      <c r="F7" s="24" t="s">
        <v>27</v>
      </c>
      <c r="G7" s="12">
        <v>3</v>
      </c>
      <c r="H7" s="88">
        <f>IF(B$20=0,0,G7/B$20)</f>
        <v>0.375</v>
      </c>
      <c r="I7" s="58">
        <v>4</v>
      </c>
      <c r="O7" s="75" t="s">
        <v>133</v>
      </c>
      <c r="P7" s="81">
        <f t="shared" si="0"/>
        <v>12000</v>
      </c>
      <c r="Q7" s="78">
        <v>1</v>
      </c>
      <c r="R7" s="65">
        <v>12000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0.66666666666666663</v>
      </c>
      <c r="E8" s="27" t="s">
        <v>68</v>
      </c>
      <c r="F8" s="24" t="s">
        <v>12</v>
      </c>
      <c r="G8" s="12">
        <v>2</v>
      </c>
      <c r="H8" s="88">
        <f>IF(B$20=0,0,G8/B$20)</f>
        <v>0.25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86</v>
      </c>
      <c r="F9" s="24" t="s">
        <v>41</v>
      </c>
      <c r="G9" s="12">
        <v>2</v>
      </c>
      <c r="H9" s="88">
        <f>IF(B$20=0,0,G9/B$20)</f>
        <v>0.25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1"/>
        <v>0</v>
      </c>
      <c r="E10" s="27" t="s">
        <v>65</v>
      </c>
      <c r="F10" s="24" t="s">
        <v>21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34.5</v>
      </c>
      <c r="C11" s="110">
        <v>69</v>
      </c>
      <c r="E11" s="27" t="s">
        <v>70</v>
      </c>
      <c r="F11" s="24" t="s">
        <v>25</v>
      </c>
      <c r="G11" s="12">
        <v>1</v>
      </c>
      <c r="H11" s="88">
        <f>IF(B$20=0,0,G11/B$20)</f>
        <v>0.125</v>
      </c>
      <c r="I11" s="58">
        <v>1</v>
      </c>
      <c r="O11" s="74" t="s">
        <v>152</v>
      </c>
      <c r="P11" s="83">
        <f>IF(Q11=0,0,R11/Q11)</f>
        <v>8.6000000000000014</v>
      </c>
      <c r="Q11" s="77">
        <v>2</v>
      </c>
      <c r="R11" s="68">
        <v>17.200000000000003</v>
      </c>
    </row>
    <row r="12" spans="1:18" x14ac:dyDescent="0.4">
      <c r="A12" s="20" t="s">
        <v>185</v>
      </c>
      <c r="B12" s="109">
        <f>IF(B9=0,0,C12/B9)</f>
        <v>-4.5999999999999996</v>
      </c>
      <c r="C12" s="110">
        <v>-4.5999999999999996</v>
      </c>
      <c r="E12" s="27" t="s">
        <v>88</v>
      </c>
      <c r="F12" s="24" t="s">
        <v>43</v>
      </c>
      <c r="G12" s="12">
        <v>1</v>
      </c>
      <c r="H12" s="88">
        <f>IF(B$20=0,0,G12/B$20)</f>
        <v>0.125</v>
      </c>
      <c r="I12" s="58">
        <v>1</v>
      </c>
      <c r="O12" s="75" t="s">
        <v>153</v>
      </c>
      <c r="P12" s="84">
        <f>IF(Q12=0,0,R12/Q12)</f>
        <v>47.2</v>
      </c>
      <c r="Q12" s="78">
        <v>1</v>
      </c>
      <c r="R12" s="69">
        <v>47.2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89</v>
      </c>
      <c r="F13" s="24" t="s">
        <v>44</v>
      </c>
      <c r="G13" s="12">
        <v>1</v>
      </c>
      <c r="H13" s="88">
        <f>IF(B$20=0,0,G13/B$20)</f>
        <v>0.125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9.9666666666666668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1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9</v>
      </c>
      <c r="C16" s="10">
        <f>IF(B$3=0,0,B16/B$3)</f>
        <v>0.52941176470588236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5.1333333333333337</v>
      </c>
      <c r="Q16" s="77">
        <v>3</v>
      </c>
      <c r="R16" s="68">
        <v>15.400000000000002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6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8</v>
      </c>
      <c r="C20" s="5">
        <f>IF(B$3=0,0,B20/B$3)</f>
        <v>0.47058823529411764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3</v>
      </c>
      <c r="C21" s="6">
        <f>IF(B$3=0,0,B21/B$3)</f>
        <v>0.17647058823529413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6</v>
      </c>
      <c r="C23" s="6">
        <f>IF(B$20=0,0,B23/B$20)</f>
        <v>0.75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6</v>
      </c>
      <c r="C24" s="6">
        <f>IF(B$20=0,0,B24/B$20)</f>
        <v>0.75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0.25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9625</v>
      </c>
      <c r="C27" s="8">
        <v>77000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165</v>
      </c>
      <c r="B28" s="95">
        <f>IF($B$20-B$19=0,0,C28/($B$20-B$19))</f>
        <v>10666.666666666666</v>
      </c>
      <c r="C28" s="96">
        <v>64000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166</v>
      </c>
      <c r="B29" s="95">
        <f>IF(B$19=0,0,C29/B$19)</f>
        <v>6500</v>
      </c>
      <c r="C29" s="96">
        <v>13000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-6433.333333333333</v>
      </c>
      <c r="C30" s="96">
        <v>-19300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10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72200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2"/>
        <v>0.375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3</v>
      </c>
      <c r="C42" s="6">
        <f t="shared" si="2"/>
        <v>0.375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0.125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F0130-7922-4F46-80B6-3162C525071B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4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4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3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4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3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4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3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1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1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4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4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DEEB-BE2E-4B40-9B12-EE1C753DAB44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873EB-0CE3-471E-A322-A632B0548C2D}">
  <sheetPr codeName="Sheet10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6C0DA-5908-4A79-B79A-5F091FF6FD8D}">
  <sheetPr codeName="Sheet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C0520-5006-479A-9853-6220F983C453}">
  <sheetPr codeName="Sheet6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315</vt:i4>
      </vt:variant>
    </vt:vector>
  </HeadingPairs>
  <TitlesOfParts>
    <vt:vector size="34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ともき!アガリ数</vt:lpstr>
      <vt:lpstr>れんたろう!アガリ数</vt:lpstr>
      <vt:lpstr>全体!アガリ数</vt:lpstr>
      <vt:lpstr>Template1!アガリ率</vt:lpstr>
      <vt:lpstr>だいち!アガリ率</vt:lpstr>
      <vt:lpstr>ともき!アガリ率</vt:lpstr>
      <vt:lpstr>れんたろう!アガリ率</vt:lpstr>
      <vt:lpstr>全体!アガリ率</vt:lpstr>
      <vt:lpstr>Template1!ダマアガリ数</vt:lpstr>
      <vt:lpstr>だいち!ダマアガリ数</vt:lpstr>
      <vt:lpstr>ともき!ダマアガリ数</vt:lpstr>
      <vt:lpstr>れんたろう!ダマアガリ数</vt:lpstr>
      <vt:lpstr>全体!ダマアガリ数</vt:lpstr>
      <vt:lpstr>Template1!ダマアガリ率</vt:lpstr>
      <vt:lpstr>だいち!ダマアガリ率</vt:lpstr>
      <vt:lpstr>ともき!ダマアガリ率</vt:lpstr>
      <vt:lpstr>れんたろう!ダマアガリ率</vt:lpstr>
      <vt:lpstr>全体!ダマアガリ率</vt:lpstr>
      <vt:lpstr>Template1!チョンボ数</vt:lpstr>
      <vt:lpstr>だいち!チョンボ数</vt:lpstr>
      <vt:lpstr>ともき!チョンボ数</vt:lpstr>
      <vt:lpstr>れんたろう!チョンボ数</vt:lpstr>
      <vt:lpstr>全体!チョンボ数</vt:lpstr>
      <vt:lpstr>Template1!チョンボ率</vt:lpstr>
      <vt:lpstr>だいち!チョンボ率</vt:lpstr>
      <vt:lpstr>ともき!チョンボ率</vt:lpstr>
      <vt:lpstr>れんたろう!チョンボ率</vt:lpstr>
      <vt:lpstr>全体!チョンボ率</vt:lpstr>
      <vt:lpstr>Template1!ツモ数</vt:lpstr>
      <vt:lpstr>だいち!ツモ数</vt:lpstr>
      <vt:lpstr>ともき!ツモ数</vt:lpstr>
      <vt:lpstr>れんたろう!ツモ数</vt:lpstr>
      <vt:lpstr>全体!ツモ数</vt:lpstr>
      <vt:lpstr>Template1!ツモ率</vt:lpstr>
      <vt:lpstr>だいち!ツモ率</vt:lpstr>
      <vt:lpstr>ともき!ツモ率</vt:lpstr>
      <vt:lpstr>れんたろう!ツモ率</vt:lpstr>
      <vt:lpstr>全体!ツモ率</vt:lpstr>
      <vt:lpstr>Template1!トップ数</vt:lpstr>
      <vt:lpstr>だいち!トップ数</vt:lpstr>
      <vt:lpstr>ともき!トップ数</vt:lpstr>
      <vt:lpstr>れんたろう!トップ数</vt:lpstr>
      <vt:lpstr>全体!トップ数</vt:lpstr>
      <vt:lpstr>Template1!トップ率</vt:lpstr>
      <vt:lpstr>だいち!トップ率</vt:lpstr>
      <vt:lpstr>ともき!トップ率</vt:lpstr>
      <vt:lpstr>れんたろう!トップ率</vt:lpstr>
      <vt:lpstr>全体!トップ率</vt:lpstr>
      <vt:lpstr>だいち!バランス</vt:lpstr>
      <vt:lpstr>ともき!バランス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ともき!ふっとび数</vt:lpstr>
      <vt:lpstr>れんたろう!ふっとび数</vt:lpstr>
      <vt:lpstr>全体!ふっとび数</vt:lpstr>
      <vt:lpstr>Template1!ふっとび率</vt:lpstr>
      <vt:lpstr>だいち!ふっとび率</vt:lpstr>
      <vt:lpstr>ともき!ふっとび率</vt:lpstr>
      <vt:lpstr>れんたろう!ふっとび率</vt:lpstr>
      <vt:lpstr>全体!ふっとび率</vt:lpstr>
      <vt:lpstr>Template1!ラス数</vt:lpstr>
      <vt:lpstr>だいち!ラス数</vt:lpstr>
      <vt:lpstr>ともき!ラス数</vt:lpstr>
      <vt:lpstr>れんたろう!ラス数</vt:lpstr>
      <vt:lpstr>全体!ラス数</vt:lpstr>
      <vt:lpstr>Template1!ラス率</vt:lpstr>
      <vt:lpstr>だいち!ラス率</vt:lpstr>
      <vt:lpstr>ともき!ラス率</vt:lpstr>
      <vt:lpstr>れんたろう!ラス率</vt:lpstr>
      <vt:lpstr>全体!ラス率</vt:lpstr>
      <vt:lpstr>Template1!リーチアガリ数</vt:lpstr>
      <vt:lpstr>だいち!リーチアガリ数</vt:lpstr>
      <vt:lpstr>ともき!リーチアガリ数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ともき!リーチアガリ率</vt:lpstr>
      <vt:lpstr>れんたろう!リーチアガリ率</vt:lpstr>
      <vt:lpstr>全体!リーチアガリ率</vt:lpstr>
      <vt:lpstr>Template1!リーチ数</vt:lpstr>
      <vt:lpstr>だいち!リーチ数</vt:lpstr>
      <vt:lpstr>ともき!リーチ数</vt:lpstr>
      <vt:lpstr>れんたろう!リーチ数</vt:lpstr>
      <vt:lpstr>全体!リーチ数</vt:lpstr>
      <vt:lpstr>Template1!リーチ成功数</vt:lpstr>
      <vt:lpstr>だいち!リーチ成功数</vt:lpstr>
      <vt:lpstr>ともき!リーチ成功数</vt:lpstr>
      <vt:lpstr>れんたろう!リーチ成功数</vt:lpstr>
      <vt:lpstr>全体!リーチ成功数</vt:lpstr>
      <vt:lpstr>Template1!リーチ成功率</vt:lpstr>
      <vt:lpstr>だいち!リーチ成功率</vt:lpstr>
      <vt:lpstr>ともき!リーチ成功率</vt:lpstr>
      <vt:lpstr>れんたろう!リーチ成功率</vt:lpstr>
      <vt:lpstr>全体!リーチ成功率</vt:lpstr>
      <vt:lpstr>Template1!リーチ率</vt:lpstr>
      <vt:lpstr>だいち!リーチ率</vt:lpstr>
      <vt:lpstr>ともき!リーチ率</vt:lpstr>
      <vt:lpstr>れんたろう!リーチ率</vt:lpstr>
      <vt:lpstr>全体!リーチ率</vt:lpstr>
      <vt:lpstr>だいち!レーティング</vt:lpstr>
      <vt:lpstr>ともき!レーティング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ともき!ロン数</vt:lpstr>
      <vt:lpstr>れんたろう!ロン数</vt:lpstr>
      <vt:lpstr>全体!ロン数</vt:lpstr>
      <vt:lpstr>Template1!ロン率</vt:lpstr>
      <vt:lpstr>だいち!ロン率</vt:lpstr>
      <vt:lpstr>ともき!ロン率</vt:lpstr>
      <vt:lpstr>れんたろう!ロン率</vt:lpstr>
      <vt:lpstr>全体!ロン率</vt:lpstr>
      <vt:lpstr>だいち!一位スコア</vt:lpstr>
      <vt:lpstr>ともき!一位スコア</vt:lpstr>
      <vt:lpstr>れんたろう!一位スコア</vt:lpstr>
      <vt:lpstr>全体!一位スコア</vt:lpstr>
      <vt:lpstr>一位スコア</vt:lpstr>
      <vt:lpstr>だいち!一位通算スコア</vt:lpstr>
      <vt:lpstr>ともき!一位通算スコア</vt:lpstr>
      <vt:lpstr>れんたろう!一位通算スコア</vt:lpstr>
      <vt:lpstr>全体!一位通算スコア</vt:lpstr>
      <vt:lpstr>一位通算スコア</vt:lpstr>
      <vt:lpstr>だいち!一翻数</vt:lpstr>
      <vt:lpstr>ともき!一翻数</vt:lpstr>
      <vt:lpstr>れんたろう!一翻数</vt:lpstr>
      <vt:lpstr>全体!一翻数</vt:lpstr>
      <vt:lpstr>一翻数</vt:lpstr>
      <vt:lpstr>だいち!一翻率</vt:lpstr>
      <vt:lpstr>ともき!一翻率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ともき!現行連続アガリ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ともき!現行連続無放銃</vt:lpstr>
      <vt:lpstr>れんたろう!現行連続無放銃</vt:lpstr>
      <vt:lpstr>全体!現行連続無放銃</vt:lpstr>
      <vt:lpstr>Template1!最高点</vt:lpstr>
      <vt:lpstr>だいち!最高点</vt:lpstr>
      <vt:lpstr>ともき!最高点</vt:lpstr>
      <vt:lpstr>れんたろう!最高点</vt:lpstr>
      <vt:lpstr>全体!最高点</vt:lpstr>
      <vt:lpstr>Template1!最大ドラ数</vt:lpstr>
      <vt:lpstr>だいち!最大ドラ数</vt:lpstr>
      <vt:lpstr>ともき!最大ドラ数</vt:lpstr>
      <vt:lpstr>れんたろう!最大ドラ数</vt:lpstr>
      <vt:lpstr>全体!最大ドラ数</vt:lpstr>
      <vt:lpstr>Template1!最大点数</vt:lpstr>
      <vt:lpstr>だいち!最大点数</vt:lpstr>
      <vt:lpstr>ともき!最大点数</vt:lpstr>
      <vt:lpstr>れんたろう!最大点数</vt:lpstr>
      <vt:lpstr>全体!最大点数</vt:lpstr>
      <vt:lpstr>だいち!三位スコア</vt:lpstr>
      <vt:lpstr>ともき!三位スコア</vt:lpstr>
      <vt:lpstr>れんたろう!三位スコア</vt:lpstr>
      <vt:lpstr>全体!三位スコア</vt:lpstr>
      <vt:lpstr>三位スコア</vt:lpstr>
      <vt:lpstr>だいち!三位通算スコア</vt:lpstr>
      <vt:lpstr>ともき!三位通算スコア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ともき!総局数</vt:lpstr>
      <vt:lpstr>れんたろう!総局数</vt:lpstr>
      <vt:lpstr>全体!総局数</vt:lpstr>
      <vt:lpstr>Template1!対戦数</vt:lpstr>
      <vt:lpstr>だいち!対戦数</vt:lpstr>
      <vt:lpstr>ともき!対戦数</vt:lpstr>
      <vt:lpstr>れんたろう!対戦数</vt:lpstr>
      <vt:lpstr>全体!対戦数</vt:lpstr>
      <vt:lpstr>Template1!通算アガリ点</vt:lpstr>
      <vt:lpstr>だいち!通算アガリ点</vt:lpstr>
      <vt:lpstr>ともき!通算アガリ点</vt:lpstr>
      <vt:lpstr>れんたろう!通算アガリ点</vt:lpstr>
      <vt:lpstr>全体!通算アガリ点</vt:lpstr>
      <vt:lpstr>Template1!通算スコア</vt:lpstr>
      <vt:lpstr>だいち!通算スコア</vt:lpstr>
      <vt:lpstr>ともき!通算スコア</vt:lpstr>
      <vt:lpstr>れんたろう!通算スコア</vt:lpstr>
      <vt:lpstr>全体!通算スコア</vt:lpstr>
      <vt:lpstr>Template1!通算副露アガリ点</vt:lpstr>
      <vt:lpstr>だいち!通算副露アガリ点</vt:lpstr>
      <vt:lpstr>ともき!通算副露アガリ点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ともき!通算放銃点</vt:lpstr>
      <vt:lpstr>れんたろう!通算放銃点</vt:lpstr>
      <vt:lpstr>全体!通算放銃点</vt:lpstr>
      <vt:lpstr>Template1!通算門前アガリ点</vt:lpstr>
      <vt:lpstr>だいち!通算門前アガリ点</vt:lpstr>
      <vt:lpstr>ともき!通算門前アガリ点</vt:lpstr>
      <vt:lpstr>れんたろう!通算門前アガリ点</vt:lpstr>
      <vt:lpstr>全体!通算門前アガリ点</vt:lpstr>
      <vt:lpstr>だいち!二位スコア</vt:lpstr>
      <vt:lpstr>ともき!二位スコア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ともき!二位数</vt:lpstr>
      <vt:lpstr>れんたろう!二位数</vt:lpstr>
      <vt:lpstr>全体!二位数</vt:lpstr>
      <vt:lpstr>だいち!二位通算スコア</vt:lpstr>
      <vt:lpstr>ともき!二位通算スコア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ともき!二位率</vt:lpstr>
      <vt:lpstr>れんたろう!二位率</vt:lpstr>
      <vt:lpstr>全体!二位率</vt:lpstr>
      <vt:lpstr>Template1!副露アガリ数</vt:lpstr>
      <vt:lpstr>だいち!副露アガリ数</vt:lpstr>
      <vt:lpstr>ともき!副露アガリ数</vt:lpstr>
      <vt:lpstr>れんたろう!副露アガリ数</vt:lpstr>
      <vt:lpstr>全体!副露アガリ数</vt:lpstr>
      <vt:lpstr>Template1!副露アガリ点</vt:lpstr>
      <vt:lpstr>だいち!副露アガリ点</vt:lpstr>
      <vt:lpstr>ともき!副露アガリ点</vt:lpstr>
      <vt:lpstr>れんたろう!副露アガリ点</vt:lpstr>
      <vt:lpstr>全体!副露アガリ点</vt:lpstr>
      <vt:lpstr>Template1!副露アガリ率</vt:lpstr>
      <vt:lpstr>だいち!副露アガリ率</vt:lpstr>
      <vt:lpstr>ともき!副露アガリ率</vt:lpstr>
      <vt:lpstr>れんたろう!副露アガリ率</vt:lpstr>
      <vt:lpstr>全体!副露アガリ率</vt:lpstr>
      <vt:lpstr>Template1!副露数</vt:lpstr>
      <vt:lpstr>だいち!副露数</vt:lpstr>
      <vt:lpstr>ともき!副露数</vt:lpstr>
      <vt:lpstr>れんたろう!副露数</vt:lpstr>
      <vt:lpstr>全体!副露数</vt:lpstr>
      <vt:lpstr>Template1!副露成功数</vt:lpstr>
      <vt:lpstr>だいち!副露成功数</vt:lpstr>
      <vt:lpstr>ともき!副露成功数</vt:lpstr>
      <vt:lpstr>れんたろう!副露成功数</vt:lpstr>
      <vt:lpstr>全体!副露成功数</vt:lpstr>
      <vt:lpstr>Template1!副露成功率</vt:lpstr>
      <vt:lpstr>だいち!副露成功率</vt:lpstr>
      <vt:lpstr>ともき!副露成功率</vt:lpstr>
      <vt:lpstr>れんたろう!副露成功率</vt:lpstr>
      <vt:lpstr>全体!副露成功率</vt:lpstr>
      <vt:lpstr>Template1!副露率</vt:lpstr>
      <vt:lpstr>だいち!副露率</vt:lpstr>
      <vt:lpstr>ともき!副露率</vt:lpstr>
      <vt:lpstr>れんたろう!副露率</vt:lpstr>
      <vt:lpstr>全体!副露率</vt:lpstr>
      <vt:lpstr>Template1!平均アガリ点</vt:lpstr>
      <vt:lpstr>だいち!平均アガリ点</vt:lpstr>
      <vt:lpstr>ともき!平均アガリ点</vt:lpstr>
      <vt:lpstr>れんたろう!平均アガリ点</vt:lpstr>
      <vt:lpstr>全体!平均アガリ点</vt:lpstr>
      <vt:lpstr>Template1!平均スコア</vt:lpstr>
      <vt:lpstr>だいち!平均スコア</vt:lpstr>
      <vt:lpstr>ともき!平均スコア</vt:lpstr>
      <vt:lpstr>れんたろう!平均スコア</vt:lpstr>
      <vt:lpstr>全体!平均スコア</vt:lpstr>
      <vt:lpstr>Template1!平均順位</vt:lpstr>
      <vt:lpstr>だいち!平均順位</vt:lpstr>
      <vt:lpstr>ともき!平均順位</vt:lpstr>
      <vt:lpstr>れんたろう!平均順位</vt:lpstr>
      <vt:lpstr>全体!平均順位</vt:lpstr>
      <vt:lpstr>Template1!平均放銃点</vt:lpstr>
      <vt:lpstr>だいち!平均放銃点</vt:lpstr>
      <vt:lpstr>ともき!平均放銃点</vt:lpstr>
      <vt:lpstr>れんたろう!平均放銃点</vt:lpstr>
      <vt:lpstr>全体!平均放銃点</vt:lpstr>
      <vt:lpstr>Template1!放銃数</vt:lpstr>
      <vt:lpstr>だいち!放銃数</vt:lpstr>
      <vt:lpstr>ともき!放銃数</vt:lpstr>
      <vt:lpstr>れんたろう!放銃数</vt:lpstr>
      <vt:lpstr>全体!放銃数</vt:lpstr>
      <vt:lpstr>Template1!放銃率</vt:lpstr>
      <vt:lpstr>だいち!放銃率</vt:lpstr>
      <vt:lpstr>ともき!放銃率</vt:lpstr>
      <vt:lpstr>れんたろう!放銃率</vt:lpstr>
      <vt:lpstr>全体!放銃率</vt:lpstr>
      <vt:lpstr>Template1!名前</vt:lpstr>
      <vt:lpstr>だいち!名前</vt:lpstr>
      <vt:lpstr>ともき!名前</vt:lpstr>
      <vt:lpstr>れんたろう!名前</vt:lpstr>
      <vt:lpstr>全体!名前</vt:lpstr>
      <vt:lpstr>Template1!門前アガリ点</vt:lpstr>
      <vt:lpstr>だいち!門前アガリ点</vt:lpstr>
      <vt:lpstr>ともき!門前アガリ点</vt:lpstr>
      <vt:lpstr>れんたろう!門前アガリ点</vt:lpstr>
      <vt:lpstr>全体!門前アガリ点</vt:lpstr>
      <vt:lpstr>Template1!連続アガリ</vt:lpstr>
      <vt:lpstr>だいち!連続アガリ</vt:lpstr>
      <vt:lpstr>ともき!連続アガリ</vt:lpstr>
      <vt:lpstr>れんたろう!連続アガリ</vt:lpstr>
      <vt:lpstr>全体!連続アガリ</vt:lpstr>
      <vt:lpstr>Template1!連続無放銃</vt:lpstr>
      <vt:lpstr>だいち!連続無放銃</vt:lpstr>
      <vt:lpstr>ともき!連続無放銃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2021-02-21T14:02:39Z</dcterms:modified>
</cp:coreProperties>
</file>