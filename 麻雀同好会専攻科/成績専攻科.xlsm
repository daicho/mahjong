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9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0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31596EB8-9C9B-464F-A85C-B4796842C7A5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074" r:id="rId6"/>
    <sheet name="れんたろう" sheetId="7076" r:id="rId7"/>
    <sheet name="だいち" sheetId="7078" r:id="rId8"/>
    <sheet name="ともき" sheetId="7080" r:id="rId9"/>
    <sheet name="ただ" sheetId="7082" r:id="rId10"/>
    <sheet name="りくと" sheetId="7084" r:id="rId11"/>
    <sheet name="りくと2" sheetId="7085" state="hidden" r:id="rId12"/>
    <sheet name="ただ2" sheetId="7083" state="hidden" r:id="rId13"/>
    <sheet name="ともき2" sheetId="7081" state="hidden" r:id="rId14"/>
    <sheet name="だいち2" sheetId="7079" state="hidden" r:id="rId15"/>
    <sheet name="れんたろう2" sheetId="7077" state="hidden" r:id="rId16"/>
    <sheet name="全体2" sheetId="7075" state="hidden" r:id="rId17"/>
    <sheet name="通算スコア" sheetId="3331" state="hidden" r:id="rId18"/>
    <sheet name="平均スコア" sheetId="3493" state="hidden" r:id="rId19"/>
    <sheet name="平均順位" sheetId="3183" state="hidden" r:id="rId20"/>
    <sheet name="トップ率" sheetId="3185" state="hidden" r:id="rId21"/>
    <sheet name="ラス率" sheetId="4886" state="hidden" r:id="rId22"/>
    <sheet name="アガリ率" sheetId="3189" state="hidden" r:id="rId23"/>
    <sheet name="放銃率" sheetId="3190" state="hidden" r:id="rId24"/>
    <sheet name="平均アガリ点" sheetId="3520" state="hidden" r:id="rId25"/>
    <sheet name="平均放銃点" sheetId="3521" state="hidden" r:id="rId26"/>
    <sheet name="ふっとび率" sheetId="3522" state="hidden" r:id="rId27"/>
    <sheet name="リーチ率" sheetId="3524" state="hidden" r:id="rId28"/>
    <sheet name="副露率" sheetId="3525" state="hidden" r:id="rId29"/>
    <sheet name="リーチ成功率" sheetId="4841" state="hidden" r:id="rId30"/>
    <sheet name="副露成功率" sheetId="3527" state="hidden" r:id="rId31"/>
    <sheet name="ツモ率" sheetId="3528" state="hidden" r:id="rId32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7078" l="1"/>
  <c r="P15" i="7082"/>
  <c r="P16" i="7074"/>
  <c r="P16" i="7084"/>
  <c r="P15" i="7084"/>
  <c r="H49" i="7084"/>
  <c r="C45" i="7084"/>
  <c r="C35" i="7084"/>
  <c r="B30" i="7084"/>
  <c r="C21" i="7084"/>
  <c r="B20" i="7084"/>
  <c r="H15" i="7084" s="1"/>
  <c r="B19" i="7084"/>
  <c r="C19" i="7084" s="1"/>
  <c r="B18" i="7084"/>
  <c r="C18" i="7084" s="1"/>
  <c r="C17" i="7084"/>
  <c r="C16" i="7084"/>
  <c r="C15" i="7084"/>
  <c r="B13" i="7084"/>
  <c r="P12" i="7084"/>
  <c r="B12" i="7084"/>
  <c r="P11" i="7084"/>
  <c r="B11" i="7084"/>
  <c r="P10" i="7084"/>
  <c r="C10" i="7084"/>
  <c r="C9" i="7084"/>
  <c r="C8" i="7084"/>
  <c r="P7" i="7084"/>
  <c r="B7" i="7084"/>
  <c r="P6" i="7084"/>
  <c r="P5" i="7084"/>
  <c r="B5" i="7084"/>
  <c r="P4" i="7084"/>
  <c r="P3" i="7084"/>
  <c r="P2" i="7084"/>
  <c r="B14" i="7084" l="1"/>
  <c r="H21" i="7084"/>
  <c r="H13" i="7084"/>
  <c r="H17" i="7084"/>
  <c r="H33" i="7084"/>
  <c r="H51" i="7084"/>
  <c r="H7" i="7084"/>
  <c r="H12" i="7084"/>
  <c r="H37" i="7084"/>
  <c r="H23" i="7084"/>
  <c r="H40" i="7084"/>
  <c r="H6" i="7084"/>
  <c r="C23" i="7084"/>
  <c r="H42" i="7084"/>
  <c r="H19" i="7084"/>
  <c r="H30" i="7084"/>
  <c r="C43" i="7084"/>
  <c r="C24" i="7084"/>
  <c r="H14" i="7084"/>
  <c r="H38" i="7084"/>
  <c r="C41" i="7084"/>
  <c r="H47" i="7084"/>
  <c r="H4" i="7084"/>
  <c r="H3" i="7084"/>
  <c r="H24" i="7084"/>
  <c r="C20" i="7084"/>
  <c r="H11" i="7084"/>
  <c r="C37" i="7084"/>
  <c r="H43" i="7084"/>
  <c r="H48" i="7084"/>
  <c r="H52" i="7084"/>
  <c r="H5" i="7084"/>
  <c r="H8" i="7084"/>
  <c r="H20" i="7084"/>
  <c r="H26" i="7084"/>
  <c r="C25" i="7084"/>
  <c r="H32" i="7084"/>
  <c r="H39" i="7084"/>
  <c r="H44" i="7084"/>
  <c r="C47" i="7084"/>
  <c r="H18" i="7084"/>
  <c r="H25" i="7084"/>
  <c r="H27" i="7084"/>
  <c r="C26" i="7084"/>
  <c r="H35" i="7084"/>
  <c r="C39" i="7084"/>
  <c r="H45" i="7084"/>
  <c r="C48" i="7084"/>
  <c r="H16" i="7084"/>
  <c r="H10" i="7084"/>
  <c r="H22" i="7084"/>
  <c r="B28" i="7084"/>
  <c r="C22" i="7084"/>
  <c r="H31" i="7084"/>
  <c r="H36" i="7084"/>
  <c r="H41" i="7084"/>
  <c r="C44" i="7084"/>
  <c r="H50" i="7084"/>
  <c r="H2" i="7084"/>
  <c r="H28" i="7084"/>
  <c r="B27" i="7084"/>
  <c r="C40" i="7084"/>
  <c r="H46" i="7084"/>
  <c r="C49" i="7084"/>
  <c r="B29" i="7084"/>
  <c r="H29" i="7084"/>
  <c r="H9" i="7084"/>
  <c r="H34" i="7084"/>
  <c r="C38" i="7084"/>
  <c r="C42" i="7084"/>
  <c r="C46" i="7084"/>
  <c r="P16" i="7076" l="1"/>
  <c r="P16" i="7082"/>
  <c r="P17" i="7082"/>
  <c r="C35" i="7082"/>
  <c r="B30" i="7082"/>
  <c r="C21" i="7082"/>
  <c r="B20" i="7082"/>
  <c r="H48" i="7082" s="1"/>
  <c r="B19" i="7082"/>
  <c r="B29" i="7082" s="1"/>
  <c r="B18" i="7082"/>
  <c r="C18" i="7082" s="1"/>
  <c r="C17" i="7082"/>
  <c r="C16" i="7082"/>
  <c r="C15" i="7082"/>
  <c r="B13" i="7082"/>
  <c r="P12" i="7082"/>
  <c r="B12" i="7082"/>
  <c r="P11" i="7082"/>
  <c r="B11" i="7082"/>
  <c r="P10" i="7082"/>
  <c r="C10" i="7082"/>
  <c r="C9" i="7082"/>
  <c r="C8" i="7082"/>
  <c r="P7" i="7082"/>
  <c r="B7" i="7082"/>
  <c r="P6" i="7082"/>
  <c r="P5" i="7082"/>
  <c r="B5" i="7082"/>
  <c r="P4" i="7082"/>
  <c r="P3" i="7082"/>
  <c r="P2" i="7082"/>
  <c r="P17" i="7078"/>
  <c r="P17" i="7074"/>
  <c r="C19" i="7082" l="1"/>
  <c r="B14" i="7082"/>
  <c r="C20" i="7082"/>
  <c r="H3" i="7082"/>
  <c r="H27" i="7082"/>
  <c r="H34" i="7082"/>
  <c r="C42" i="7082"/>
  <c r="H19" i="7082"/>
  <c r="H2" i="7082"/>
  <c r="H21" i="7082"/>
  <c r="H17" i="7082"/>
  <c r="C24" i="7082"/>
  <c r="B28" i="7082"/>
  <c r="H35" i="7082"/>
  <c r="H40" i="7082"/>
  <c r="H44" i="7082"/>
  <c r="H5" i="7082"/>
  <c r="H25" i="7082"/>
  <c r="H18" i="7082"/>
  <c r="H30" i="7082"/>
  <c r="H36" i="7082"/>
  <c r="C39" i="7082"/>
  <c r="C43" i="7082"/>
  <c r="C47" i="7082"/>
  <c r="H52" i="7082"/>
  <c r="H20" i="7082"/>
  <c r="H22" i="7082"/>
  <c r="C25" i="7082"/>
  <c r="H41" i="7082"/>
  <c r="H45" i="7082"/>
  <c r="H49" i="7082"/>
  <c r="H24" i="7082"/>
  <c r="H31" i="7082"/>
  <c r="C48" i="7082"/>
  <c r="H11" i="7082"/>
  <c r="H9" i="7082"/>
  <c r="H15" i="7082"/>
  <c r="H28" i="7082"/>
  <c r="H37" i="7082"/>
  <c r="C40" i="7082"/>
  <c r="C44" i="7082"/>
  <c r="H4" i="7082"/>
  <c r="H23" i="7082"/>
  <c r="C22" i="7082"/>
  <c r="C26" i="7082"/>
  <c r="H38" i="7082"/>
  <c r="H42" i="7082"/>
  <c r="H46" i="7082"/>
  <c r="H50" i="7082"/>
  <c r="H6" i="7082"/>
  <c r="H12" i="7082"/>
  <c r="H16" i="7082"/>
  <c r="H26" i="7082"/>
  <c r="H29" i="7082"/>
  <c r="H32" i="7082"/>
  <c r="C37" i="7082"/>
  <c r="C41" i="7082"/>
  <c r="C45" i="7082"/>
  <c r="C49" i="7082"/>
  <c r="H8" i="7082"/>
  <c r="H13" i="7082"/>
  <c r="H14" i="7082"/>
  <c r="C23" i="7082"/>
  <c r="B27" i="7082"/>
  <c r="H33" i="7082"/>
  <c r="H39" i="7082"/>
  <c r="H43" i="7082"/>
  <c r="H47" i="7082"/>
  <c r="H51" i="7082"/>
  <c r="H7" i="7082"/>
  <c r="C38" i="7082"/>
  <c r="C46" i="7082"/>
  <c r="H10" i="7082"/>
  <c r="P16" i="7080" l="1"/>
  <c r="P15" i="7080"/>
  <c r="C35" i="7080"/>
  <c r="B30" i="7080"/>
  <c r="C21" i="7080"/>
  <c r="B20" i="7080"/>
  <c r="H50" i="7080" s="1"/>
  <c r="B19" i="7080"/>
  <c r="B29" i="7080" s="1"/>
  <c r="C18" i="7080"/>
  <c r="B18" i="7080"/>
  <c r="C17" i="7080"/>
  <c r="C16" i="7080"/>
  <c r="C15" i="7080"/>
  <c r="B13" i="7080"/>
  <c r="P12" i="7080"/>
  <c r="B12" i="7080"/>
  <c r="P11" i="7080"/>
  <c r="B11" i="7080"/>
  <c r="P10" i="7080"/>
  <c r="C10" i="7080"/>
  <c r="C9" i="7080"/>
  <c r="C8" i="7080"/>
  <c r="P7" i="7080"/>
  <c r="B7" i="7080"/>
  <c r="P6" i="7080"/>
  <c r="P5" i="7080"/>
  <c r="B5" i="7080"/>
  <c r="P4" i="7080"/>
  <c r="P3" i="7080"/>
  <c r="P2" i="7080"/>
  <c r="P18" i="7078"/>
  <c r="P15" i="7078"/>
  <c r="C35" i="7078"/>
  <c r="B30" i="7078"/>
  <c r="C21" i="7078"/>
  <c r="B20" i="7078"/>
  <c r="H21" i="7078" s="1"/>
  <c r="B19" i="7078"/>
  <c r="B29" i="7078" s="1"/>
  <c r="B18" i="7078"/>
  <c r="C18" i="7078" s="1"/>
  <c r="C17" i="7078"/>
  <c r="C16" i="7078"/>
  <c r="C15" i="7078"/>
  <c r="B13" i="7078"/>
  <c r="P12" i="7078"/>
  <c r="B12" i="7078"/>
  <c r="P11" i="7078"/>
  <c r="B11" i="7078"/>
  <c r="P10" i="7078"/>
  <c r="C10" i="7078"/>
  <c r="C9" i="7078"/>
  <c r="C8" i="7078"/>
  <c r="P7" i="7078"/>
  <c r="B7" i="7078"/>
  <c r="P6" i="7078"/>
  <c r="P5" i="7078"/>
  <c r="B5" i="7078"/>
  <c r="P4" i="7078"/>
  <c r="P3" i="7078"/>
  <c r="P2" i="7078"/>
  <c r="P19" i="7074"/>
  <c r="P15" i="7076"/>
  <c r="P17" i="7076"/>
  <c r="C35" i="7076"/>
  <c r="B30" i="7076"/>
  <c r="C21" i="7076"/>
  <c r="B20" i="7076"/>
  <c r="H14" i="7076" s="1"/>
  <c r="B19" i="7076"/>
  <c r="B29" i="7076" s="1"/>
  <c r="B18" i="7076"/>
  <c r="C18" i="7076" s="1"/>
  <c r="C17" i="7076"/>
  <c r="C16" i="7076"/>
  <c r="C15" i="7076"/>
  <c r="B13" i="7076"/>
  <c r="P12" i="7076"/>
  <c r="B12" i="7076"/>
  <c r="P11" i="7076"/>
  <c r="B11" i="7076"/>
  <c r="P10" i="7076"/>
  <c r="C10" i="7076"/>
  <c r="C9" i="7076"/>
  <c r="C8" i="7076"/>
  <c r="P7" i="7076"/>
  <c r="B7" i="7076"/>
  <c r="P6" i="7076"/>
  <c r="P5" i="7076"/>
  <c r="B5" i="7076"/>
  <c r="P4" i="7076"/>
  <c r="P3" i="7076"/>
  <c r="P2" i="7076"/>
  <c r="P15" i="7074"/>
  <c r="P18" i="7074"/>
  <c r="C35" i="7074"/>
  <c r="B30" i="7074"/>
  <c r="C21" i="7074"/>
  <c r="B20" i="7074"/>
  <c r="H17" i="7074" s="1"/>
  <c r="B19" i="7074"/>
  <c r="B29" i="7074" s="1"/>
  <c r="B18" i="7074"/>
  <c r="C18" i="7074" s="1"/>
  <c r="C17" i="7074"/>
  <c r="C16" i="7074"/>
  <c r="C15" i="7074"/>
  <c r="B13" i="7074"/>
  <c r="P12" i="7074"/>
  <c r="B12" i="7074"/>
  <c r="P11" i="7074"/>
  <c r="B11" i="7074"/>
  <c r="P10" i="7074"/>
  <c r="C10" i="7074"/>
  <c r="C9" i="7074"/>
  <c r="C8" i="7074"/>
  <c r="P7" i="7074"/>
  <c r="B7" i="7074"/>
  <c r="P6" i="7074"/>
  <c r="P5" i="7074"/>
  <c r="B5" i="7074"/>
  <c r="P4" i="7074"/>
  <c r="P3" i="7074"/>
  <c r="P2" i="7074"/>
  <c r="B14" i="7078" l="1"/>
  <c r="B14" i="7076"/>
  <c r="C19" i="7080"/>
  <c r="C20" i="7080"/>
  <c r="H2" i="7080"/>
  <c r="H26" i="7078"/>
  <c r="C19" i="7076"/>
  <c r="H12" i="7076"/>
  <c r="H11" i="7076"/>
  <c r="H10" i="7076"/>
  <c r="B27" i="7076"/>
  <c r="H36" i="7076"/>
  <c r="B14" i="7080"/>
  <c r="H24" i="7080"/>
  <c r="H28" i="7080"/>
  <c r="H33" i="7080"/>
  <c r="C38" i="7080"/>
  <c r="C42" i="7080"/>
  <c r="C46" i="7080"/>
  <c r="H51" i="7080"/>
  <c r="H6" i="7080"/>
  <c r="H9" i="7080"/>
  <c r="H14" i="7080"/>
  <c r="H18" i="7080"/>
  <c r="C24" i="7080"/>
  <c r="B28" i="7080"/>
  <c r="H34" i="7080"/>
  <c r="H39" i="7080"/>
  <c r="H43" i="7080"/>
  <c r="H47" i="7080"/>
  <c r="H3" i="7080"/>
  <c r="H21" i="7080"/>
  <c r="H25" i="7080"/>
  <c r="H29" i="7080"/>
  <c r="H35" i="7080"/>
  <c r="C39" i="7080"/>
  <c r="C43" i="7080"/>
  <c r="C47" i="7080"/>
  <c r="H52" i="7080"/>
  <c r="H12" i="7080"/>
  <c r="H15" i="7080"/>
  <c r="C25" i="7080"/>
  <c r="H40" i="7080"/>
  <c r="H44" i="7080"/>
  <c r="H48" i="7080"/>
  <c r="H7" i="7080"/>
  <c r="H10" i="7080"/>
  <c r="H19" i="7080"/>
  <c r="H22" i="7080"/>
  <c r="H26" i="7080"/>
  <c r="H30" i="7080"/>
  <c r="H36" i="7080"/>
  <c r="C40" i="7080"/>
  <c r="C44" i="7080"/>
  <c r="C48" i="7080"/>
  <c r="H4" i="7080"/>
  <c r="H16" i="7080"/>
  <c r="C22" i="7080"/>
  <c r="C26" i="7080"/>
  <c r="H37" i="7080"/>
  <c r="H41" i="7080"/>
  <c r="H45" i="7080"/>
  <c r="H49" i="7080"/>
  <c r="H8" i="7080"/>
  <c r="H11" i="7080"/>
  <c r="H13" i="7080"/>
  <c r="H23" i="7080"/>
  <c r="H27" i="7080"/>
  <c r="H31" i="7080"/>
  <c r="C37" i="7080"/>
  <c r="C41" i="7080"/>
  <c r="C45" i="7080"/>
  <c r="C49" i="7080"/>
  <c r="H5" i="7080"/>
  <c r="H17" i="7080"/>
  <c r="H20" i="7080"/>
  <c r="C23" i="7080"/>
  <c r="B27" i="7080"/>
  <c r="H32" i="7080"/>
  <c r="H38" i="7080"/>
  <c r="H42" i="7080"/>
  <c r="H46" i="7080"/>
  <c r="H9" i="7078"/>
  <c r="H14" i="7078"/>
  <c r="H36" i="7078"/>
  <c r="H2" i="7078"/>
  <c r="C39" i="7078"/>
  <c r="H16" i="7078"/>
  <c r="C23" i="7078"/>
  <c r="H41" i="7078"/>
  <c r="H11" i="7078"/>
  <c r="H42" i="7078"/>
  <c r="H7" i="7078"/>
  <c r="H12" i="7078"/>
  <c r="H47" i="7078"/>
  <c r="H23" i="7078"/>
  <c r="H3" i="7078"/>
  <c r="H13" i="7078"/>
  <c r="H48" i="7078"/>
  <c r="C24" i="7078"/>
  <c r="H5" i="7078"/>
  <c r="H19" i="7078"/>
  <c r="C47" i="7078"/>
  <c r="C19" i="7078"/>
  <c r="C25" i="7078"/>
  <c r="H37" i="7078"/>
  <c r="H43" i="7078"/>
  <c r="H49" i="7078"/>
  <c r="H6" i="7078"/>
  <c r="C20" i="7078"/>
  <c r="C26" i="7078"/>
  <c r="H44" i="7078"/>
  <c r="H50" i="7078"/>
  <c r="H8" i="7078"/>
  <c r="H24" i="7078"/>
  <c r="H27" i="7078"/>
  <c r="H29" i="7078"/>
  <c r="B27" i="7078"/>
  <c r="H20" i="7078"/>
  <c r="C43" i="7078"/>
  <c r="H51" i="7078"/>
  <c r="B28" i="7078"/>
  <c r="H39" i="7078"/>
  <c r="H45" i="7078"/>
  <c r="H4" i="7078"/>
  <c r="H22" i="7078"/>
  <c r="H25" i="7078"/>
  <c r="C22" i="7078"/>
  <c r="H33" i="7078"/>
  <c r="H40" i="7078"/>
  <c r="H46" i="7078"/>
  <c r="H52" i="7078"/>
  <c r="H28" i="7078"/>
  <c r="H15" i="7078"/>
  <c r="H32" i="7078"/>
  <c r="H18" i="7078"/>
  <c r="H38" i="7078"/>
  <c r="C40" i="7078"/>
  <c r="C44" i="7078"/>
  <c r="C48" i="7078"/>
  <c r="H30" i="7078"/>
  <c r="H17" i="7078"/>
  <c r="H34" i="7078"/>
  <c r="C37" i="7078"/>
  <c r="C41" i="7078"/>
  <c r="C45" i="7078"/>
  <c r="C49" i="7078"/>
  <c r="H31" i="7078"/>
  <c r="H10" i="7078"/>
  <c r="H35" i="7078"/>
  <c r="C38" i="7078"/>
  <c r="C42" i="7078"/>
  <c r="C46" i="7078"/>
  <c r="B14" i="7074"/>
  <c r="C19" i="7074"/>
  <c r="H10" i="7074"/>
  <c r="H6" i="7076"/>
  <c r="H21" i="7076"/>
  <c r="H39" i="7076"/>
  <c r="H22" i="7076"/>
  <c r="H25" i="7076"/>
  <c r="H44" i="7076"/>
  <c r="H48" i="7076"/>
  <c r="H23" i="7076"/>
  <c r="C23" i="7076"/>
  <c r="H52" i="7076"/>
  <c r="H15" i="7076"/>
  <c r="H13" i="7076"/>
  <c r="C43" i="7076"/>
  <c r="C25" i="7076"/>
  <c r="H37" i="7076"/>
  <c r="H46" i="7076"/>
  <c r="H3" i="7076"/>
  <c r="H18" i="7076"/>
  <c r="C20" i="7076"/>
  <c r="H30" i="7076"/>
  <c r="C37" i="7076"/>
  <c r="C45" i="7076"/>
  <c r="H9" i="7076"/>
  <c r="H31" i="7076"/>
  <c r="H41" i="7076"/>
  <c r="H49" i="7076"/>
  <c r="H4" i="7076"/>
  <c r="H19" i="7076"/>
  <c r="C22" i="7076"/>
  <c r="C40" i="7076"/>
  <c r="C48" i="7076"/>
  <c r="H2" i="7076"/>
  <c r="H7" i="7076"/>
  <c r="H27" i="7076"/>
  <c r="H33" i="7076"/>
  <c r="H42" i="7076"/>
  <c r="H5" i="7076"/>
  <c r="C24" i="7076"/>
  <c r="H32" i="7076"/>
  <c r="H38" i="7076"/>
  <c r="C41" i="7076"/>
  <c r="C47" i="7076"/>
  <c r="H20" i="7076"/>
  <c r="H29" i="7076"/>
  <c r="H34" i="7076"/>
  <c r="H40" i="7076"/>
  <c r="H45" i="7076"/>
  <c r="H50" i="7076"/>
  <c r="H17" i="7076"/>
  <c r="H24" i="7076"/>
  <c r="H26" i="7076"/>
  <c r="C26" i="7076"/>
  <c r="H35" i="7076"/>
  <c r="C39" i="7076"/>
  <c r="C44" i="7076"/>
  <c r="C49" i="7076"/>
  <c r="B28" i="7076"/>
  <c r="H43" i="7076"/>
  <c r="H47" i="7076"/>
  <c r="H51" i="7076"/>
  <c r="H28" i="7076"/>
  <c r="H8" i="7076"/>
  <c r="H16" i="7076"/>
  <c r="C38" i="7076"/>
  <c r="C42" i="7076"/>
  <c r="C46" i="7076"/>
  <c r="H22" i="7074"/>
  <c r="H21" i="7074"/>
  <c r="H37" i="7074"/>
  <c r="H4" i="7074"/>
  <c r="H11" i="7074"/>
  <c r="H40" i="7074"/>
  <c r="H44" i="7074"/>
  <c r="H48" i="7074"/>
  <c r="H13" i="7074"/>
  <c r="H5" i="7074"/>
  <c r="C43" i="7074"/>
  <c r="H6" i="7074"/>
  <c r="H12" i="7074"/>
  <c r="H20" i="7074"/>
  <c r="C20" i="7074"/>
  <c r="C26" i="7074"/>
  <c r="H25" i="7074"/>
  <c r="H46" i="7074"/>
  <c r="H3" i="7074"/>
  <c r="H29" i="7074"/>
  <c r="C25" i="7074"/>
  <c r="H52" i="7074"/>
  <c r="H8" i="7074"/>
  <c r="H31" i="7074"/>
  <c r="H18" i="7074"/>
  <c r="C37" i="7074"/>
  <c r="C45" i="7074"/>
  <c r="H2" i="7074"/>
  <c r="C39" i="7074"/>
  <c r="H32" i="7074"/>
  <c r="H35" i="7074"/>
  <c r="H42" i="7074"/>
  <c r="H50" i="7074"/>
  <c r="H7" i="7074"/>
  <c r="H27" i="7074"/>
  <c r="C22" i="7074"/>
  <c r="C47" i="7074"/>
  <c r="H26" i="7074"/>
  <c r="H28" i="7074"/>
  <c r="C24" i="7074"/>
  <c r="H36" i="7074"/>
  <c r="C41" i="7074"/>
  <c r="C49" i="7074"/>
  <c r="B28" i="7074"/>
  <c r="H41" i="7074"/>
  <c r="H45" i="7074"/>
  <c r="H49" i="7074"/>
  <c r="H30" i="7074"/>
  <c r="H16" i="7074"/>
  <c r="H34" i="7074"/>
  <c r="H19" i="7074"/>
  <c r="H38" i="7074"/>
  <c r="C40" i="7074"/>
  <c r="C44" i="7074"/>
  <c r="C48" i="7074"/>
  <c r="H15" i="7074"/>
  <c r="H14" i="7074"/>
  <c r="C23" i="7074"/>
  <c r="B27" i="7074"/>
  <c r="H23" i="7074"/>
  <c r="H39" i="7074"/>
  <c r="H43" i="7074"/>
  <c r="H47" i="7074"/>
  <c r="H51" i="7074"/>
  <c r="H33" i="7074"/>
  <c r="H9" i="7074"/>
  <c r="H24" i="7074"/>
  <c r="C38" i="7074"/>
  <c r="C42" i="7074"/>
  <c r="C46" i="707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<sst xmlns="http://schemas.openxmlformats.org/spreadsheetml/2006/main" count="1674" uniqueCount="226">
  <si>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</si>
  <si>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</si>
  <si>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</si>
  <si>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</si>
  <si>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</si>
  <si>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</si>
  <si>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</si>
  <si>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</si>
  <si>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</si>
  <si>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</si>
  <si>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</si>
  <si>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</si>
  <si>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</si>
  <si>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</si>
  <si>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</si>
  <si>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</si>
  <si>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</si>
  <si>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</si>
  <si>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</si>
  <si>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</si>
  <si>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</si>
  <si>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</si>
  <si>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</si>
  <si>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</si>
  <si>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</si>
  <si>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</si>
  <si>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</si>
  <si>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</si>
  <si>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</si>
  <si>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</si>
  <si>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</si>
  <si>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</si>
  <si>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</si>
  <si>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</si>
  <si>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</si>
  <si>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</si>
  <si>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</si>
  <si>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</si>
  <si>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</si>
  <si>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</si>
  <si>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</si>
  <si>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</si>
  <si>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</si>
  <si>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</si>
  <si>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</si>
  <si>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</si>
  <si>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</si>
  <si>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</si>
  <si>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</si>
  <si>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</si>
  <si>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</si>
  <si>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</si>
  <si>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</si>
  <si>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</si>
  <si>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</si>
  <si>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</si>
  <si>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</si>
  <si>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</si>
  <si>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</si>
  <si>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</si>
  <si>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</si>
  <si>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</si>
  <si>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</si>
  <si>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</si>
  <si>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</si>
  <si>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</si>
  <si>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</si>
  <si>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</si>
  <si>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</si>
  <si>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</si>
  <si>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</si>
  <si>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</si>
  <si>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</si>
  <si>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</si>
  <si>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</si>
  <si>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</si>
  <si>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</si>
  <si>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</si>
  <si>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</si>
  <si>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</si>
  <si>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</si>
  <si>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</si>
  <si>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</si>
  <si>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</si>
  <si>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</si>
  <si>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</si>
  <si>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</si>
  <si>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</si>
  <si>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</si>
  <si>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</si>
  <si>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</si>
  <si>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</si>
  <si>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</si>
  <si>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</si>
  <si>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</si>
  <si>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</si>
  <si>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</si>
  <si>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</si>
  <si>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</si>
  <si>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</si>
  <si>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</si>
  <si>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</si>
  <si>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</si>
  <si>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</si>
  <si>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</si>
  <si>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</si>
  <si>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</si>
  <si>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</si>
  <si>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</si>
  <si>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</si>
  <si>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</si>
  <si>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</si>
  <si>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</si>
  <si>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</si>
  <si>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</si>
  <si>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</si>
  <si>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</si>
  <si>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</si>
  <si>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</si>
  <si>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</si>
  <si>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</si>
  <si>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</si>
  <si>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</si>
  <si>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</si>
  <si>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</si>
  <si>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</si>
  <si>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</si>
  <si>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</si>
  <si>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</si>
  <si>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</si>
  <si>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</si>
  <si>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</si>
  <si>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</si>
  <si>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</si>
  <si>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</si>
  <si>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</si>
  <si>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</si>
  <si>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</si>
  <si>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</si>
  <si>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</si>
  <si>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</si>
  <si>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</si>
  <si>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</si>
  <si>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</si>
  <si>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</si>
  <si>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</si>
  <si>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</si>
  <si>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</si>
  <si>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</si>
  <si>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</si>
  <si>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</si>
  <si>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</si>
  <si>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</si>
  <si>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</si>
  <si>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</si>
  <si>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</si>
  <si>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</si>
  <si>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</si>
  <si>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</si>
  <si>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</si>
  <si>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</si>
  <si>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</si>
  <si>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</si>
  <si>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</si>
  <si>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</si>
  <si>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</si>
  <si>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</si>
  <si>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</si>
  <si>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</si>
  <si>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</si>
  <si>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</si>
  <si>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</si>
  <si>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</si>
  <si>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</si>
  <si>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</si>
  <si>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</si>
  <si>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</si>
  <si>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</si>
  <si>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</si>
  <si>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</si>
  <si>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</si>
  <si>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</si>
  <si>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</si>
  <si>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</si>
  <si>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</si>
  <si>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</si>
  <si>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</si>
  <si>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</si>
  <si>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</si>
  <si>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</si>
  <si>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</si>
  <si>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</si>
  <si>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</si>
  <si>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</si>
  <si>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</si>
  <si>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</si>
  <si>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</si>
  <si>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</si>
  <si>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</si>
  <si>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</si>
  <si>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</si>
  <si>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</si>
  <si>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</si>
  <si>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</si>
  <si>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</si>
  <si>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</si>
  <si>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</si>
  <si>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</si>
  <si>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</si>
  <si>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</si>
  <si>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</si>
  <si>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</si>
  <si>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</si>
  <si>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</si>
  <si>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2021-02-13@Ina.xlsm</t>
  </si>
  <si>
    <t>Sheet4</t>
  </si>
  <si>
    <t>Sheet5</t>
  </si>
  <si>
    <t>Sheet6</t>
  </si>
  <si>
    <t>2021-05-01@Ina.xlsm</t>
  </si>
  <si>
    <t>2022-03-13@Kohama.xlsm</t>
  </si>
  <si>
    <t>りくと</t>
    <phoneticPr fontId="1"/>
  </si>
  <si>
    <t>Sheet7</t>
  </si>
  <si>
    <t>Sheet8</t>
  </si>
  <si>
    <t>Sheet9</t>
  </si>
  <si>
    <t>Sheet10</t>
  </si>
  <si>
    <t>2022-03-21@Ina.xlsm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</si>
</sst>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1.xml"/><Relationship Id="rId26" Type="http://schemas.openxmlformats.org/officeDocument/2006/relationships/chartsheet" Target="chartsheets/sheet9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4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8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3.xml"/><Relationship Id="rId29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7.xml"/><Relationship Id="rId32" Type="http://schemas.openxmlformats.org/officeDocument/2006/relationships/chartsheet" Target="chartsheets/sheet15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6.xml"/><Relationship Id="rId28" Type="http://schemas.openxmlformats.org/officeDocument/2006/relationships/chartsheet" Target="chartsheets/sheet1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2.xml"/><Relationship Id="rId31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5.xml"/><Relationship Id="rId27" Type="http://schemas.openxmlformats.org/officeDocument/2006/relationships/chartsheet" Target="chartsheets/sheet10.xml"/><Relationship Id="rId30" Type="http://schemas.openxmlformats.org/officeDocument/2006/relationships/chartsheet" Target="chartsheets/sheet13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全体!$L$2:$L$80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  <c:pt idx="58">
                  <c:v>-1.2000000000000213</c:v>
                </c:pt>
                <c:pt idx="59">
                  <c:v>22.799999999999979</c:v>
                </c:pt>
                <c:pt idx="60">
                  <c:v>-2.1316282072803006E-14</c:v>
                </c:pt>
                <c:pt idx="61">
                  <c:v>37.199999999999982</c:v>
                </c:pt>
                <c:pt idx="62">
                  <c:v>-3.2000000000000171</c:v>
                </c:pt>
                <c:pt idx="63">
                  <c:v>-1.6875389974302379E-14</c:v>
                </c:pt>
                <c:pt idx="64">
                  <c:v>-2.2000000000000171</c:v>
                </c:pt>
                <c:pt idx="65">
                  <c:v>-51.800000000000018</c:v>
                </c:pt>
                <c:pt idx="66">
                  <c:v>-2.1316282072803006E-14</c:v>
                </c:pt>
                <c:pt idx="67">
                  <c:v>11.699999999999978</c:v>
                </c:pt>
                <c:pt idx="68">
                  <c:v>-46.40000000000002</c:v>
                </c:pt>
                <c:pt idx="69">
                  <c:v>-2.1316282072803006E-14</c:v>
                </c:pt>
                <c:pt idx="70">
                  <c:v>-0.70000000000002127</c:v>
                </c:pt>
                <c:pt idx="71">
                  <c:v>-31.700000000000021</c:v>
                </c:pt>
                <c:pt idx="72">
                  <c:v>-2.1316282072803006E-14</c:v>
                </c:pt>
                <c:pt idx="73">
                  <c:v>-2.1316282072803006E-14</c:v>
                </c:pt>
                <c:pt idx="74">
                  <c:v>-2.1316282072803006E-14</c:v>
                </c:pt>
                <c:pt idx="75">
                  <c:v>-2.1316282072803006E-14</c:v>
                </c:pt>
                <c:pt idx="76">
                  <c:v>-48.800000000000018</c:v>
                </c:pt>
                <c:pt idx="77">
                  <c:v>-71.000000000000014</c:v>
                </c:pt>
                <c:pt idx="78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F-48EC-A3A4-D6CB03B38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-28.985507246376812</c:v>
                </c:pt>
                <c:pt idx="3">
                  <c:v>0</c:v>
                </c:pt>
                <c:pt idx="4">
                  <c:v>-15.873015873015873</c:v>
                </c:pt>
                <c:pt idx="5">
                  <c:v>39.215686274509807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A1-4C68-B5EA-05CA8BDA7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29</c:v>
                </c:pt>
                <c:pt idx="2">
                  <c:v>27</c:v>
                </c:pt>
                <c:pt idx="3">
                  <c:v>41</c:v>
                </c:pt>
                <c:pt idx="4">
                  <c:v>29</c:v>
                </c:pt>
                <c:pt idx="5">
                  <c:v>19</c:v>
                </c:pt>
                <c:pt idx="6">
                  <c:v>9</c:v>
                </c:pt>
                <c:pt idx="7">
                  <c:v>5</c:v>
                </c:pt>
                <c:pt idx="8">
                  <c:v>8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F-45B7-817F-F22AF9F6D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全体!$M$2:$M$80</c:f>
              <c:numCache>
                <c:formatCode>0</c:formatCode>
                <c:ptCount val="79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  <c:pt idx="58">
                  <c:v>1605.2444983794064</c:v>
                </c:pt>
                <c:pt idx="59">
                  <c:v>1609.9230313891301</c:v>
                </c:pt>
                <c:pt idx="60">
                  <c:v>1606.1494932007954</c:v>
                </c:pt>
                <c:pt idx="61">
                  <c:v>1613.1985962415906</c:v>
                </c:pt>
                <c:pt idx="62">
                  <c:v>1606.237404664141</c:v>
                </c:pt>
                <c:pt idx="63">
                  <c:v>1607.1659802361562</c:v>
                </c:pt>
                <c:pt idx="64">
                  <c:v>1607.1169843547393</c:v>
                </c:pt>
                <c:pt idx="65">
                  <c:v>1598.5362824486108</c:v>
                </c:pt>
                <c:pt idx="66">
                  <c:v>1608.2590647539191</c:v>
                </c:pt>
                <c:pt idx="67">
                  <c:v>1610.7055103653956</c:v>
                </c:pt>
                <c:pt idx="68">
                  <c:v>1600.5732773032032</c:v>
                </c:pt>
                <c:pt idx="69">
                  <c:v>1609.3118376393841</c:v>
                </c:pt>
                <c:pt idx="70">
                  <c:v>1609.5199666135477</c:v>
                </c:pt>
                <c:pt idx="71">
                  <c:v>1604.2728468138664</c:v>
                </c:pt>
                <c:pt idx="72">
                  <c:v>1610.3432097329833</c:v>
                </c:pt>
                <c:pt idx="73">
                  <c:v>1610.6711504745854</c:v>
                </c:pt>
                <c:pt idx="74">
                  <c:v>1610.9971235717378</c:v>
                </c:pt>
                <c:pt idx="75">
                  <c:v>1611.3211408303073</c:v>
                </c:pt>
                <c:pt idx="76">
                  <c:v>1602.8592139853254</c:v>
                </c:pt>
                <c:pt idx="77">
                  <c:v>1599.2360587014134</c:v>
                </c:pt>
                <c:pt idx="78">
                  <c:v>1612.4106423492049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73-44A6-B58D-2A1524415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れんたろう!$L$2:$L$18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6-46D8-94BF-8AACBD12A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2093.3333333333335</c:v>
                </c:pt>
                <c:pt idx="1">
                  <c:v>840</c:v>
                </c:pt>
                <c:pt idx="2">
                  <c:v>2784.6153846153848</c:v>
                </c:pt>
                <c:pt idx="3">
                  <c:v>4192.3076923076924</c:v>
                </c:pt>
                <c:pt idx="4">
                  <c:v>-683.33333333333337</c:v>
                </c:pt>
                <c:pt idx="5">
                  <c:v>2511.1111111111113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F-4E08-9290-51A98FAF8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13</c:v>
                </c:pt>
                <c:pt idx="4">
                  <c:v>7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E-4461-9B80-800752DF3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れんたろう!$M$2:$M$18</c:f>
              <c:numCache>
                <c:formatCode>0</c:formatCode>
                <c:ptCount val="17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  <c:pt idx="10">
                  <c:v>1617.9527600087345</c:v>
                </c:pt>
                <c:pt idx="11">
                  <c:v>1610.9630434486821</c:v>
                </c:pt>
                <c:pt idx="12">
                  <c:v>1620.6112651879901</c:v>
                </c:pt>
                <c:pt idx="13">
                  <c:v>1629.229597596862</c:v>
                </c:pt>
                <c:pt idx="14">
                  <c:v>1635.1502200112809</c:v>
                </c:pt>
                <c:pt idx="15">
                  <c:v>1635.3293186912133</c:v>
                </c:pt>
                <c:pt idx="16">
                  <c:v>1648.287342779066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CC-4049-9BA9-CFF2C19C8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だいち!$L$2:$L$28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  <c:pt idx="20">
                  <c:v>215.6</c:v>
                </c:pt>
                <c:pt idx="21">
                  <c:v>252.8</c:v>
                </c:pt>
                <c:pt idx="22">
                  <c:v>250.60000000000002</c:v>
                </c:pt>
                <c:pt idx="23">
                  <c:v>262.3</c:v>
                </c:pt>
                <c:pt idx="24">
                  <c:v>261.60000000000002</c:v>
                </c:pt>
                <c:pt idx="25">
                  <c:v>261.60000000000002</c:v>
                </c:pt>
                <c:pt idx="26">
                  <c:v>212.8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D-40EB-8027-D9522B0D3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1864</c:v>
                </c:pt>
                <c:pt idx="1">
                  <c:v>4652</c:v>
                </c:pt>
                <c:pt idx="2">
                  <c:v>-926.08695652173913</c:v>
                </c:pt>
                <c:pt idx="3">
                  <c:v>-995.6521739130435</c:v>
                </c:pt>
                <c:pt idx="4">
                  <c:v>1690.4761904761904</c:v>
                </c:pt>
                <c:pt idx="5">
                  <c:v>-82.352941176470594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64-41DF-9A35-459CC7366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15</c:v>
                </c:pt>
                <c:pt idx="4">
                  <c:v>14</c:v>
                </c:pt>
                <c:pt idx="5">
                  <c:v>8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3-42C0-ACB2-F32CE46D5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だいち!$M$2:$M$28</c:f>
              <c:numCache>
                <c:formatCode>0</c:formatCode>
                <c:ptCount val="27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  <c:pt idx="20">
                  <c:v>1777.6446408280763</c:v>
                </c:pt>
                <c:pt idx="21">
                  <c:v>1783.6647729831077</c:v>
                </c:pt>
                <c:pt idx="22">
                  <c:v>1782.5567843452091</c:v>
                </c:pt>
                <c:pt idx="23">
                  <c:v>1783.9574436391379</c:v>
                </c:pt>
                <c:pt idx="24">
                  <c:v>1783.117698977303</c:v>
                </c:pt>
                <c:pt idx="25">
                  <c:v>1782.4089927834391</c:v>
                </c:pt>
                <c:pt idx="26">
                  <c:v>1772.9205388267385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9-4E97-98CA-6C9BBD10D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C5-4CE7-9BD3-91C8DD263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90-4DD8-95D5-DEF1EBBB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9-4DED-9F1C-36C6CA2A3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D-40DC-925C-E960DC7C9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  <c:pt idx="17">
                  <c:v>-44.800000000000011</c:v>
                </c:pt>
                <c:pt idx="18">
                  <c:v>-41.600000000000009</c:v>
                </c:pt>
                <c:pt idx="19">
                  <c:v>-91.200000000000017</c:v>
                </c:pt>
                <c:pt idx="20">
                  <c:v>-149.30000000000001</c:v>
                </c:pt>
                <c:pt idx="21">
                  <c:v>-180.3</c:v>
                </c:pt>
                <c:pt idx="22">
                  <c:v>-180.3</c:v>
                </c:pt>
                <c:pt idx="23">
                  <c:v>-202.5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FA-4D2E-9D2B-E43619F45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-1277.2727272727273</c:v>
                </c:pt>
                <c:pt idx="1">
                  <c:v>-1472.7272727272727</c:v>
                </c:pt>
                <c:pt idx="2">
                  <c:v>-223.8095238095238</c:v>
                </c:pt>
                <c:pt idx="3">
                  <c:v>-2647.6190476190477</c:v>
                </c:pt>
                <c:pt idx="4">
                  <c:v>1489.4736842105262</c:v>
                </c:pt>
                <c:pt idx="5">
                  <c:v>-2806.25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2-4755-A7AC-6A6C319EE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3</c:v>
                </c:pt>
                <c:pt idx="1">
                  <c:v>12</c:v>
                </c:pt>
                <c:pt idx="2">
                  <c:v>10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E-4152-B89A-AE4DD60D3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ただ!$M$2:$M$25</c:f>
              <c:numCache>
                <c:formatCode>0</c:formatCode>
                <c:ptCount val="24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  <c:pt idx="17">
                  <c:v>1599.3997816606729</c:v>
                </c:pt>
                <c:pt idx="18">
                  <c:v>1600.369382970709</c:v>
                </c:pt>
                <c:pt idx="19">
                  <c:v>1591.8291666728849</c:v>
                </c:pt>
                <c:pt idx="20">
                  <c:v>1581.8101916728476</c:v>
                </c:pt>
                <c:pt idx="21">
                  <c:v>1576.7293305228106</c:v>
                </c:pt>
                <c:pt idx="22">
                  <c:v>1577.2589545396738</c:v>
                </c:pt>
                <c:pt idx="23">
                  <c:v>1573.7894008124358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BA-4293-9D8B-4F3A87172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りくと!$L$2:$L$12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AE-4580-A096-88662429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-2690</c:v>
                </c:pt>
                <c:pt idx="1">
                  <c:v>-5830</c:v>
                </c:pt>
                <c:pt idx="2">
                  <c:v>-180</c:v>
                </c:pt>
                <c:pt idx="3">
                  <c:v>2780</c:v>
                </c:pt>
                <c:pt idx="4">
                  <c:v>-5400</c:v>
                </c:pt>
                <c:pt idx="5">
                  <c:v>3212.5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8-4C24-BE66-5653F8E75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D8-4872-B113-165BAF37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りくと!$M$2:$M$12</c:f>
              <c:numCache>
                <c:formatCode>0</c:formatCode>
                <c:ptCount val="11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F-4B80-86FD-BA21F76B4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ともき2!$C$3:$C$6</c:f>
              <c:numCache>
                <c:formatCode>\+0.0;\-0.0;\±0</c:formatCode>
                <c:ptCount val="4"/>
                <c:pt idx="1">
                  <c:v>-46</c:v>
                </c:pt>
                <c:pt idx="2">
                  <c:v>-48.45</c:v>
                </c:pt>
                <c:pt idx="3">
                  <c:v>-37.800000000000004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821904450666923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61538461538461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897435897435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ともき2!$F$3:$F$6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0512820512820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ともき2!$G$3:$G$6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238095238095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ともき2!$H$3:$H$6</c:f>
              <c:numCache>
                <c:formatCode>0.0%</c:formatCode>
                <c:ptCount val="4"/>
                <c:pt idx="1">
                  <c:v>0.5</c:v>
                </c:pt>
                <c:pt idx="2">
                  <c:v>0.54545454545454541</c:v>
                </c:pt>
                <c:pt idx="3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555555555555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ともき2!$I$3:$I$6</c:f>
              <c:numCache>
                <c:formatCode>0</c:formatCode>
                <c:ptCount val="4"/>
                <c:pt idx="1">
                  <c:v>0</c:v>
                </c:pt>
                <c:pt idx="2">
                  <c:v>0</c:v>
                </c:pt>
                <c:pt idx="3">
                  <c:v>1600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26.34408602150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ともき2!$J$3:$J$6</c:f>
              <c:numCache>
                <c:formatCode>0</c:formatCode>
                <c:ptCount val="4"/>
                <c:pt idx="1">
                  <c:v>-7000</c:v>
                </c:pt>
                <c:pt idx="2">
                  <c:v>-8833.3333333333339</c:v>
                </c:pt>
                <c:pt idx="3">
                  <c:v>-8314.2857142857138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33.67346938775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ともき2!$K$3:$K$6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974358974358974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ともき2!$L$3:$L$6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5.8823529411764705E-2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4285714285714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ともき2!$M$3:$M$6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8412698412698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ともき2!$N$3:$N$6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0404040404040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ともき2!$O$3:$O$6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3448275862068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ともき2!$P$3:$P$6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6989247311827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1A6D3B-813B-4A44-9767-4F1A5DF5D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98B9F4-7F3F-4CA2-B16F-B3536F87A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24FCBC-AA14-46B7-BCB5-6C89A3186E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E81DEDE-F5E7-429E-8F1C-6845C0C4E5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1175F3-96BD-4FCA-99B1-C7EB74450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B0C47A-1359-4A4A-85EB-FA417F9B0E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3FFDECC-A84B-4AA8-8F7A-CE7DA05126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D5D74D0-619D-434A-B864-71574B034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5A9A05-64A3-4C52-94F2-17E91DE96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5B801F-AD74-4C8C-999F-A7E64AC34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1E5B09B-4426-4D5B-8D92-4B3B3EA68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0507563-26BF-46DE-AC30-8D568B07F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C0447B-A7FA-4EEE-9490-AAE427004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950BB6-1FD2-41BE-A27E-8BA136137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B5EBEF0-6C4F-4A26-977B-783054106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912B806-2F27-4524-BC3E-88249FB377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9AFD68-EEA9-4C74-8869-A098FF249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F8433D-6F5B-4747-A45A-791656D48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3939D90-2ACE-44F3-9DB9-743E51B5B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09CDA08-6DD6-4F5D-9DC9-6944E37A7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42A967-A81B-448A-93B0-474A79023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EBA938-61A1-4ADF-A1A6-FA5E2E606E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21035F7-7E26-4C88-8CB7-81A21BB07A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EBDF7AA-19DA-4628-9B6F-C54269188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214</v>
      </c>
      <c r="B2" s="3">
        <v>44633.964791666665</v>
      </c>
      <c r="C2" s="2" t="s">
        <v>127</v>
      </c>
      <c r="D2" s="2" t="s">
        <v>188</v>
      </c>
      <c r="E2" s="2" t="s">
        <v>191</v>
      </c>
    </row>
    <row r="3" spans="1:12" x14ac:dyDescent="0.4">
      <c r="A3" s="2" t="s">
        <v>218</v>
      </c>
      <c r="B3" s="3">
        <v>44633.964791666665</v>
      </c>
      <c r="C3" s="2" t="s">
        <v>127</v>
      </c>
      <c r="D3" s="2" t="s">
        <v>188</v>
      </c>
      <c r="E3" s="2" t="s">
        <v>191</v>
      </c>
      <c r="F3" s="2" t="s">
        <v>215</v>
      </c>
      <c r="G3" s="2" t="s">
        <v>216</v>
      </c>
      <c r="H3" s="2" t="s">
        <v>217</v>
      </c>
    </row>
    <row r="4" spans="1:12" x14ac:dyDescent="0.4">
      <c r="A4" s="2" t="s">
        <v>219</v>
      </c>
      <c r="B4" s="3">
        <v>44633.736203703702</v>
      </c>
      <c r="C4" s="2" t="s">
        <v>127</v>
      </c>
      <c r="D4" s="2" t="s">
        <v>188</v>
      </c>
      <c r="E4" s="2" t="s">
        <v>191</v>
      </c>
      <c r="F4" s="2" t="s">
        <v>215</v>
      </c>
      <c r="G4" s="2" t="s">
        <v>216</v>
      </c>
      <c r="H4" s="2" t="s">
        <v>217</v>
      </c>
      <c r="I4" s="2" t="s">
        <v>221</v>
      </c>
      <c r="J4" s="2" t="s">
        <v>222</v>
      </c>
      <c r="K4" s="2" t="s">
        <v>223</v>
      </c>
      <c r="L4" s="2" t="s">
        <v>224</v>
      </c>
    </row>
    <row r="5" spans="1:12" x14ac:dyDescent="0.4">
      <c r="A5" s="2" t="s">
        <v>225</v>
      </c>
      <c r="B5" s="3">
        <v>44641.842581018522</v>
      </c>
      <c r="C5" s="2" t="s">
        <v>127</v>
      </c>
      <c r="D5" s="2" t="s">
        <v>188</v>
      </c>
      <c r="E5" s="2" t="s">
        <v>191</v>
      </c>
      <c r="F5" s="2" t="s">
        <v>215</v>
      </c>
      <c r="G5" s="2" t="s">
        <v>216</v>
      </c>
      <c r="H5" s="2" t="s">
        <v>217</v>
      </c>
      <c r="I5" s="2" t="s">
        <v>221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220</v>
      </c>
    </row>
    <row r="2" spans="1:3" x14ac:dyDescent="0.4">
      <c r="A2" t="s">
        <v>126</v>
      </c>
      <c r="B2" s="120">
        <v>26</v>
      </c>
      <c r="C2" s="120">
        <v>1758.0662353696366</v>
      </c>
    </row>
    <row r="3" spans="1:3" x14ac:dyDescent="0.4">
      <c r="A3" t="s">
        <v>192</v>
      </c>
      <c r="B3" s="120">
        <v>23</v>
      </c>
      <c r="C3" s="120">
        <v>1606.4452616651972</v>
      </c>
    </row>
    <row r="4" spans="1:3" x14ac:dyDescent="0.4">
      <c r="A4" t="s">
        <v>163</v>
      </c>
      <c r="B4" s="120">
        <v>16</v>
      </c>
      <c r="C4" s="120">
        <v>1605.0170841089816</v>
      </c>
    </row>
    <row r="5" spans="1:3" x14ac:dyDescent="0.4">
      <c r="A5" t="s">
        <v>139</v>
      </c>
      <c r="B5" s="120">
        <v>78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10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8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195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207</v>
      </c>
      <c r="B2" s="141">
        <v>0.83121069473679476</v>
      </c>
      <c r="C2" s="142"/>
      <c r="D2" s="141">
        <v>0.7266238002134433</v>
      </c>
      <c r="E2" s="142"/>
      <c r="F2" s="141">
        <v>0.79351304392535049</v>
      </c>
      <c r="G2" s="142"/>
      <c r="H2" s="147"/>
      <c r="I2" s="148"/>
      <c r="J2" s="141">
        <v>0.88569482162584345</v>
      </c>
      <c r="K2" s="142"/>
      <c r="L2" s="141">
        <v>0.85063917417055668</v>
      </c>
      <c r="M2" s="142"/>
      <c r="N2" s="141">
        <v>0.89929226660659434</v>
      </c>
      <c r="O2" s="142"/>
      <c r="P2" s="141">
        <v>0.95849798715385026</v>
      </c>
      <c r="Q2" s="142"/>
      <c r="R2" s="141">
        <v>0.60800509459227481</v>
      </c>
      <c r="S2" s="142"/>
      <c r="T2" s="141">
        <v>-0.62922779963427888</v>
      </c>
      <c r="U2" s="142"/>
      <c r="V2" s="141">
        <v>-0.78000460317538989</v>
      </c>
      <c r="W2" s="142"/>
      <c r="X2" s="141">
        <v>0.58272916231603167</v>
      </c>
      <c r="Y2" s="142"/>
      <c r="Z2" s="141">
        <v>0.33843436024568058</v>
      </c>
      <c r="AA2" s="142"/>
      <c r="AB2" s="141">
        <v>-0.11218020831816121</v>
      </c>
      <c r="AC2" s="142"/>
      <c r="AD2" s="141">
        <v>0.4155360456773971</v>
      </c>
      <c r="AE2" s="142"/>
      <c r="AF2" s="141">
        <v>0.92536500480375516</v>
      </c>
      <c r="AG2" s="142"/>
      <c r="AH2" s="141">
        <v>0.89683490099658203</v>
      </c>
      <c r="AI2" s="142"/>
      <c r="AJ2" s="141">
        <v>0.70938972899393793</v>
      </c>
      <c r="AK2" s="142"/>
    </row>
    <row r="3" spans="1:37" x14ac:dyDescent="0.4">
      <c r="A3" s="38">
        <v>1</v>
      </c>
      <c r="B3" s="41" t="s">
        <v>126</v>
      </c>
      <c r="C3" s="113">
        <v>26</v>
      </c>
      <c r="D3" s="39" t="s">
        <v>163</v>
      </c>
      <c r="E3" s="40">
        <v>225.2</v>
      </c>
      <c r="F3" s="41" t="s">
        <v>163</v>
      </c>
      <c r="G3" s="60">
        <v>14.074999999999999</v>
      </c>
      <c r="H3" s="41" t="s">
        <v>126</v>
      </c>
      <c r="I3" s="45">
        <v>1772.9205388267385</v>
      </c>
      <c r="J3" s="41" t="s">
        <v>163</v>
      </c>
      <c r="K3" s="42">
        <v>1.625</v>
      </c>
      <c r="L3" s="41" t="s">
        <v>163</v>
      </c>
      <c r="M3" s="43">
        <v>0.5</v>
      </c>
      <c r="N3" s="41" t="s">
        <v>163</v>
      </c>
      <c r="O3" s="43">
        <v>0.125</v>
      </c>
      <c r="P3" s="41" t="s">
        <v>126</v>
      </c>
      <c r="Q3" s="44">
        <v>0.35714285714285715</v>
      </c>
      <c r="R3" s="41" t="s">
        <v>192</v>
      </c>
      <c r="S3" s="44">
        <v>0.12953367875647667</v>
      </c>
      <c r="T3" s="41" t="s">
        <v>194</v>
      </c>
      <c r="U3" s="45">
        <v>10558.823529411764</v>
      </c>
      <c r="V3" s="41" t="s">
        <v>194</v>
      </c>
      <c r="W3" s="45">
        <v>-5435.2941176470586</v>
      </c>
      <c r="X3" s="41" t="s">
        <v>163</v>
      </c>
      <c r="Y3" s="43">
        <v>0</v>
      </c>
      <c r="Z3" s="41" t="s">
        <v>126</v>
      </c>
      <c r="AA3" s="44">
        <v>0.39047619047619048</v>
      </c>
      <c r="AB3" s="41" t="s">
        <v>197</v>
      </c>
      <c r="AC3" s="44">
        <v>0.23529411764705882</v>
      </c>
      <c r="AD3" s="41" t="s">
        <v>163</v>
      </c>
      <c r="AE3" s="44">
        <v>0.70270270270270274</v>
      </c>
      <c r="AF3" s="41" t="s">
        <v>197</v>
      </c>
      <c r="AG3" s="44">
        <v>0.5</v>
      </c>
      <c r="AH3" s="41" t="s">
        <v>197</v>
      </c>
      <c r="AI3" s="44">
        <v>0.5</v>
      </c>
      <c r="AJ3" s="41" t="s">
        <v>126</v>
      </c>
      <c r="AK3" s="55">
        <v>101500</v>
      </c>
    </row>
    <row r="4" spans="1:37" x14ac:dyDescent="0.4">
      <c r="A4" s="46">
        <v>2</v>
      </c>
      <c r="B4" s="49" t="s">
        <v>139</v>
      </c>
      <c r="C4" s="114">
        <v>26</v>
      </c>
      <c r="D4" s="47" t="s">
        <v>126</v>
      </c>
      <c r="E4" s="48">
        <v>212.8</v>
      </c>
      <c r="F4" s="49" t="s">
        <v>126</v>
      </c>
      <c r="G4" s="61">
        <v>8.1846153846153857</v>
      </c>
      <c r="H4" s="49" t="s">
        <v>163</v>
      </c>
      <c r="I4" s="53">
        <v>1648.287342779066</v>
      </c>
      <c r="J4" s="49" t="s">
        <v>126</v>
      </c>
      <c r="K4" s="50">
        <v>1.7307692307692308</v>
      </c>
      <c r="L4" s="49" t="s">
        <v>126</v>
      </c>
      <c r="M4" s="51">
        <v>0.46153846153846156</v>
      </c>
      <c r="N4" s="49" t="s">
        <v>126</v>
      </c>
      <c r="O4" s="51">
        <v>0.19230769230769232</v>
      </c>
      <c r="P4" s="49" t="s">
        <v>163</v>
      </c>
      <c r="Q4" s="52">
        <v>0.34146341463414637</v>
      </c>
      <c r="R4" s="49" t="s">
        <v>163</v>
      </c>
      <c r="S4" s="52">
        <v>0.13008130081300814</v>
      </c>
      <c r="T4" s="49" t="s">
        <v>126</v>
      </c>
      <c r="U4" s="53">
        <v>9090.6666666666661</v>
      </c>
      <c r="V4" s="49" t="s">
        <v>163</v>
      </c>
      <c r="W4" s="53">
        <v>-6900</v>
      </c>
      <c r="X4" s="49" t="s">
        <v>126</v>
      </c>
      <c r="Y4" s="51">
        <v>3.8461538461538464E-2</v>
      </c>
      <c r="Z4" s="49" t="s">
        <v>194</v>
      </c>
      <c r="AA4" s="52">
        <v>0.33333333333333331</v>
      </c>
      <c r="AB4" s="49" t="s">
        <v>192</v>
      </c>
      <c r="AC4" s="52">
        <v>0.22279792746113988</v>
      </c>
      <c r="AD4" s="49" t="s">
        <v>139</v>
      </c>
      <c r="AE4" s="52">
        <v>0.54040404040404044</v>
      </c>
      <c r="AF4" s="49" t="s">
        <v>126</v>
      </c>
      <c r="AG4" s="52">
        <v>0.44827586206896552</v>
      </c>
      <c r="AH4" s="49" t="s">
        <v>163</v>
      </c>
      <c r="AI4" s="52">
        <v>0.47619047619047616</v>
      </c>
      <c r="AJ4" s="49" t="s">
        <v>139</v>
      </c>
      <c r="AK4" s="56">
        <v>101500</v>
      </c>
    </row>
    <row r="5" spans="1:37" x14ac:dyDescent="0.4">
      <c r="A5" s="46">
        <v>3</v>
      </c>
      <c r="B5" s="49" t="s">
        <v>192</v>
      </c>
      <c r="C5" s="114">
        <v>23</v>
      </c>
      <c r="D5" s="47" t="s">
        <v>139</v>
      </c>
      <c r="E5" s="48">
        <v>-1.4210854715202004E-14</v>
      </c>
      <c r="F5" s="49" t="s">
        <v>139</v>
      </c>
      <c r="G5" s="61">
        <v>-1.8219044506669235E-16</v>
      </c>
      <c r="H5" s="49" t="s">
        <v>139</v>
      </c>
      <c r="I5" s="53">
        <v>1612.4106423492049</v>
      </c>
      <c r="J5" s="49" t="s">
        <v>139</v>
      </c>
      <c r="K5" s="50">
        <v>1.9615384615384615</v>
      </c>
      <c r="L5" s="49" t="s">
        <v>139</v>
      </c>
      <c r="M5" s="51">
        <v>0.35897435897435898</v>
      </c>
      <c r="N5" s="49" t="s">
        <v>139</v>
      </c>
      <c r="O5" s="51">
        <v>0.32051282051282054</v>
      </c>
      <c r="P5" s="49" t="s">
        <v>139</v>
      </c>
      <c r="Q5" s="52">
        <v>0.29523809523809524</v>
      </c>
      <c r="R5" s="49" t="s">
        <v>139</v>
      </c>
      <c r="S5" s="52">
        <v>0.15555555555555556</v>
      </c>
      <c r="T5" s="49" t="s">
        <v>139</v>
      </c>
      <c r="U5" s="53">
        <v>8826.3440860215051</v>
      </c>
      <c r="V5" s="49" t="s">
        <v>139</v>
      </c>
      <c r="W5" s="53">
        <v>-7633.6734693877552</v>
      </c>
      <c r="X5" s="49" t="s">
        <v>139</v>
      </c>
      <c r="Y5" s="51">
        <v>8.9743589743589744E-2</v>
      </c>
      <c r="Z5" s="49" t="s">
        <v>139</v>
      </c>
      <c r="AA5" s="52">
        <v>0.31428571428571428</v>
      </c>
      <c r="AB5" s="49" t="s">
        <v>163</v>
      </c>
      <c r="AC5" s="52">
        <v>0.21138211382113822</v>
      </c>
      <c r="AD5" s="49" t="s">
        <v>126</v>
      </c>
      <c r="AE5" s="52">
        <v>0.53658536585365857</v>
      </c>
      <c r="AF5" s="49" t="s">
        <v>192</v>
      </c>
      <c r="AG5" s="52">
        <v>0.37209302325581395</v>
      </c>
      <c r="AH5" s="49" t="s">
        <v>126</v>
      </c>
      <c r="AI5" s="52">
        <v>0.46666666666666667</v>
      </c>
      <c r="AJ5" s="49" t="s">
        <v>163</v>
      </c>
      <c r="AK5" s="56">
        <v>86000</v>
      </c>
    </row>
    <row r="6" spans="1:37" x14ac:dyDescent="0.4">
      <c r="A6" s="46">
        <v>4</v>
      </c>
      <c r="B6" s="49" t="s">
        <v>163</v>
      </c>
      <c r="C6" s="114">
        <v>16</v>
      </c>
      <c r="D6" s="47" t="s">
        <v>197</v>
      </c>
      <c r="E6" s="48">
        <v>-113.4</v>
      </c>
      <c r="F6" s="49" t="s">
        <v>192</v>
      </c>
      <c r="G6" s="61">
        <v>-8.804347826086957</v>
      </c>
      <c r="H6" s="49" t="s">
        <v>192</v>
      </c>
      <c r="I6" s="53">
        <v>1573.7894008124358</v>
      </c>
      <c r="J6" s="49" t="s">
        <v>192</v>
      </c>
      <c r="K6" s="50">
        <v>2.1304347826086958</v>
      </c>
      <c r="L6" s="49" t="s">
        <v>192</v>
      </c>
      <c r="M6" s="51">
        <v>0.2608695652173913</v>
      </c>
      <c r="N6" s="49" t="s">
        <v>192</v>
      </c>
      <c r="O6" s="51">
        <v>0.39130434782608697</v>
      </c>
      <c r="P6" s="49" t="s">
        <v>192</v>
      </c>
      <c r="Q6" s="52">
        <v>0.25906735751295334</v>
      </c>
      <c r="R6" s="49" t="s">
        <v>126</v>
      </c>
      <c r="S6" s="52">
        <v>0.15714285714285714</v>
      </c>
      <c r="T6" s="49" t="s">
        <v>163</v>
      </c>
      <c r="U6" s="53">
        <v>8814.2857142857138</v>
      </c>
      <c r="V6" s="49" t="s">
        <v>197</v>
      </c>
      <c r="W6" s="53">
        <v>-8314.2857142857138</v>
      </c>
      <c r="X6" s="49" t="s">
        <v>194</v>
      </c>
      <c r="Y6" s="51">
        <v>0.1</v>
      </c>
      <c r="Z6" s="49" t="s">
        <v>163</v>
      </c>
      <c r="AA6" s="52">
        <v>0.30081300813008133</v>
      </c>
      <c r="AB6" s="49" t="s">
        <v>139</v>
      </c>
      <c r="AC6" s="52">
        <v>0.18412698412698414</v>
      </c>
      <c r="AD6" s="49" t="s">
        <v>194</v>
      </c>
      <c r="AE6" s="52">
        <v>0.48275862068965519</v>
      </c>
      <c r="AF6" s="49" t="s">
        <v>139</v>
      </c>
      <c r="AG6" s="52">
        <v>0.35344827586206895</v>
      </c>
      <c r="AH6" s="49" t="s">
        <v>139</v>
      </c>
      <c r="AI6" s="52">
        <v>0.45698924731182794</v>
      </c>
      <c r="AJ6" s="49" t="s">
        <v>194</v>
      </c>
      <c r="AK6" s="56">
        <v>82600</v>
      </c>
    </row>
    <row r="7" spans="1:37" x14ac:dyDescent="0.4">
      <c r="A7" s="46">
        <v>5</v>
      </c>
      <c r="B7" s="49" t="s">
        <v>194</v>
      </c>
      <c r="C7" s="114">
        <v>10</v>
      </c>
      <c r="D7" s="47" t="s">
        <v>194</v>
      </c>
      <c r="E7" s="48">
        <v>-122.10000000000001</v>
      </c>
      <c r="F7" s="49" t="s">
        <v>194</v>
      </c>
      <c r="G7" s="61">
        <v>-12.21</v>
      </c>
      <c r="H7" s="49" t="s">
        <v>197</v>
      </c>
      <c r="I7" s="53">
        <v>1445.1125193047092</v>
      </c>
      <c r="J7" s="49" t="s">
        <v>194</v>
      </c>
      <c r="K7" s="50">
        <v>2.4</v>
      </c>
      <c r="L7" s="49" t="s">
        <v>194</v>
      </c>
      <c r="M7" s="51">
        <v>0.2</v>
      </c>
      <c r="N7" s="49" t="s">
        <v>194</v>
      </c>
      <c r="O7" s="51">
        <v>0.6</v>
      </c>
      <c r="P7" s="49" t="s">
        <v>194</v>
      </c>
      <c r="Q7" s="52">
        <v>0.19540229885057472</v>
      </c>
      <c r="R7" s="49" t="s">
        <v>194</v>
      </c>
      <c r="S7" s="52">
        <v>0.19540229885057472</v>
      </c>
      <c r="T7" s="49" t="s">
        <v>192</v>
      </c>
      <c r="U7" s="53">
        <v>8140</v>
      </c>
      <c r="V7" s="49" t="s">
        <v>126</v>
      </c>
      <c r="W7" s="53">
        <v>-8357.575757575758</v>
      </c>
      <c r="X7" s="49" t="s">
        <v>192</v>
      </c>
      <c r="Y7" s="51">
        <v>0.13043478260869565</v>
      </c>
      <c r="Z7" s="49" t="s">
        <v>192</v>
      </c>
      <c r="AA7" s="52">
        <v>0.25388601036269431</v>
      </c>
      <c r="AB7" s="49" t="s">
        <v>194</v>
      </c>
      <c r="AC7" s="52">
        <v>0.16091954022988506</v>
      </c>
      <c r="AD7" s="49" t="s">
        <v>192</v>
      </c>
      <c r="AE7" s="52">
        <v>0.46938775510204084</v>
      </c>
      <c r="AF7" s="49" t="s">
        <v>163</v>
      </c>
      <c r="AG7" s="52">
        <v>0.30769230769230771</v>
      </c>
      <c r="AH7" s="49" t="s">
        <v>192</v>
      </c>
      <c r="AI7" s="52">
        <v>0.44</v>
      </c>
      <c r="AJ7" s="49" t="s">
        <v>192</v>
      </c>
      <c r="AK7" s="56">
        <v>77600</v>
      </c>
    </row>
    <row r="8" spans="1:37" x14ac:dyDescent="0.4">
      <c r="A8" s="46">
        <v>6</v>
      </c>
      <c r="B8" s="49" t="s">
        <v>197</v>
      </c>
      <c r="C8" s="114">
        <v>3</v>
      </c>
      <c r="D8" s="47" t="s">
        <v>192</v>
      </c>
      <c r="E8" s="48">
        <v>-202.5</v>
      </c>
      <c r="F8" s="49" t="s">
        <v>197</v>
      </c>
      <c r="G8" s="61">
        <v>-37.800000000000004</v>
      </c>
      <c r="H8" s="49" t="s">
        <v>194</v>
      </c>
      <c r="I8" s="53">
        <v>1368.0956002333121</v>
      </c>
      <c r="J8" s="49" t="s">
        <v>197</v>
      </c>
      <c r="K8" s="50">
        <v>3</v>
      </c>
      <c r="L8" s="49" t="s">
        <v>197</v>
      </c>
      <c r="M8" s="51">
        <v>0</v>
      </c>
      <c r="N8" s="49" t="s">
        <v>197</v>
      </c>
      <c r="O8" s="51">
        <v>1</v>
      </c>
      <c r="P8" s="49" t="s">
        <v>197</v>
      </c>
      <c r="Q8" s="52">
        <v>0.11764705882352941</v>
      </c>
      <c r="R8" s="49" t="s">
        <v>197</v>
      </c>
      <c r="S8" s="52">
        <v>0.41176470588235292</v>
      </c>
      <c r="T8" s="49" t="s">
        <v>197</v>
      </c>
      <c r="U8" s="53">
        <v>1600</v>
      </c>
      <c r="V8" s="49" t="s">
        <v>192</v>
      </c>
      <c r="W8" s="53">
        <v>-8452</v>
      </c>
      <c r="X8" s="49" t="s">
        <v>197</v>
      </c>
      <c r="Y8" s="51">
        <v>0.66666666666666663</v>
      </c>
      <c r="Z8" s="49" t="s">
        <v>197</v>
      </c>
      <c r="AA8" s="52">
        <v>5.8823529411764705E-2</v>
      </c>
      <c r="AB8" s="49" t="s">
        <v>126</v>
      </c>
      <c r="AC8" s="52">
        <v>0.1380952380952381</v>
      </c>
      <c r="AD8" s="49" t="s">
        <v>197</v>
      </c>
      <c r="AE8" s="52">
        <v>0</v>
      </c>
      <c r="AF8" s="49" t="s">
        <v>194</v>
      </c>
      <c r="AG8" s="52">
        <v>0.14285714285714285</v>
      </c>
      <c r="AH8" s="49" t="s">
        <v>194</v>
      </c>
      <c r="AI8" s="52">
        <v>0.41176470588235292</v>
      </c>
      <c r="AJ8" s="49" t="s">
        <v>197</v>
      </c>
      <c r="AK8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E3764-FFB2-4E85-BD37-53013AF8B320}">
  <sheetPr codeName="Sheet4"/>
  <dimension ref="A1:R8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78</v>
      </c>
      <c r="C2" s="134"/>
      <c r="E2" s="26" t="s">
        <v>66</v>
      </c>
      <c r="F2" s="23" t="s">
        <v>22</v>
      </c>
      <c r="G2" s="11">
        <v>142</v>
      </c>
      <c r="H2" s="87">
        <f>IF(B$20=0,0,G2/B$20)</f>
        <v>0.76344086021505375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0</v>
      </c>
      <c r="Q2" s="76">
        <v>75</v>
      </c>
      <c r="R2" s="63">
        <v>0</v>
      </c>
    </row>
    <row r="3" spans="1:18" x14ac:dyDescent="0.4">
      <c r="A3" s="19" t="s">
        <v>8</v>
      </c>
      <c r="B3" s="135">
        <v>630</v>
      </c>
      <c r="C3" s="136"/>
      <c r="E3" s="27" t="s">
        <v>64</v>
      </c>
      <c r="F3" s="24" t="s">
        <v>20</v>
      </c>
      <c r="G3" s="12">
        <v>102</v>
      </c>
      <c r="H3" s="88">
        <f>IF(B$20=0,0,G3/B$20)</f>
        <v>0.54838709677419351</v>
      </c>
      <c r="I3" s="58">
        <v>3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0</v>
      </c>
      <c r="Q3" s="77">
        <v>75</v>
      </c>
      <c r="R3" s="64">
        <v>0</v>
      </c>
    </row>
    <row r="4" spans="1:18" x14ac:dyDescent="0.4">
      <c r="A4" s="19" t="s">
        <v>6</v>
      </c>
      <c r="B4" s="137">
        <v>-1.4210854715202004E-14</v>
      </c>
      <c r="C4" s="138"/>
      <c r="E4" s="27" t="s">
        <v>72</v>
      </c>
      <c r="F4" s="24" t="s">
        <v>27</v>
      </c>
      <c r="G4" s="12">
        <v>82</v>
      </c>
      <c r="H4" s="88">
        <f>IF(B$20=0,0,G4/B$20)</f>
        <v>0.44086021505376344</v>
      </c>
      <c r="I4" s="58">
        <v>4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-28.985507246376812</v>
      </c>
      <c r="Q4" s="77">
        <v>69</v>
      </c>
      <c r="R4" s="64">
        <v>-2000</v>
      </c>
    </row>
    <row r="5" spans="1:18" x14ac:dyDescent="0.4">
      <c r="A5" s="19" t="s">
        <v>7</v>
      </c>
      <c r="B5" s="125">
        <f>IF(B$2=0,0,B$4/B$2)</f>
        <v>-1.8219044506669235E-16</v>
      </c>
      <c r="C5" s="126"/>
      <c r="E5" s="27" t="s">
        <v>159</v>
      </c>
      <c r="F5" s="24" t="s">
        <v>160</v>
      </c>
      <c r="G5" s="12">
        <v>77</v>
      </c>
      <c r="H5" s="88">
        <f>IF(B$20=0,0,G5/B$20)</f>
        <v>0.41397849462365593</v>
      </c>
      <c r="I5" s="58">
        <v>4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0</v>
      </c>
      <c r="Q5" s="77">
        <v>69</v>
      </c>
      <c r="R5" s="64">
        <v>0</v>
      </c>
    </row>
    <row r="6" spans="1:18" x14ac:dyDescent="0.4">
      <c r="A6" s="19" t="s">
        <v>195</v>
      </c>
      <c r="B6" s="129">
        <v>1612.4106423492049</v>
      </c>
      <c r="C6" s="130"/>
      <c r="E6" s="27" t="s">
        <v>68</v>
      </c>
      <c r="F6" s="24" t="s">
        <v>12</v>
      </c>
      <c r="G6" s="12">
        <v>66</v>
      </c>
      <c r="H6" s="88">
        <f>IF(B$20=0,0,G6/B$20)</f>
        <v>0.35483870967741937</v>
      </c>
      <c r="I6" s="58">
        <v>3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-15.873015873015873</v>
      </c>
      <c r="Q6" s="77">
        <v>63</v>
      </c>
      <c r="R6" s="64">
        <v>-1000</v>
      </c>
    </row>
    <row r="7" spans="1:18" x14ac:dyDescent="0.4">
      <c r="A7" s="19" t="s">
        <v>1</v>
      </c>
      <c r="B7" s="139">
        <f>IF(B$2=0,0,(B$8*1+B$9*2+B$10*3)/B$2)</f>
        <v>1.9615384615384615</v>
      </c>
      <c r="C7" s="140"/>
      <c r="E7" s="27" t="s">
        <v>69</v>
      </c>
      <c r="F7" s="24" t="s">
        <v>24</v>
      </c>
      <c r="G7" s="12">
        <v>37</v>
      </c>
      <c r="H7" s="88">
        <f>IF(B$20=0,0,G7/B$20)</f>
        <v>0.19892473118279569</v>
      </c>
      <c r="I7" s="58">
        <v>4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39.215686274509807</v>
      </c>
      <c r="Q7" s="78">
        <v>51</v>
      </c>
      <c r="R7" s="65">
        <v>2000</v>
      </c>
    </row>
    <row r="8" spans="1:18" x14ac:dyDescent="0.4">
      <c r="A8" s="19" t="s">
        <v>2</v>
      </c>
      <c r="B8" s="12">
        <v>28</v>
      </c>
      <c r="C8" s="6">
        <f t="shared" ref="C8:C15" si="1">IF(B$2=0,0,B8/B$2)</f>
        <v>0.35897435897435898</v>
      </c>
      <c r="E8" s="27" t="s">
        <v>65</v>
      </c>
      <c r="F8" s="24" t="s">
        <v>21</v>
      </c>
      <c r="G8" s="12">
        <v>29</v>
      </c>
      <c r="H8" s="88">
        <f>IF(B$20=0,0,G8/B$20)</f>
        <v>0.15591397849462366</v>
      </c>
      <c r="I8" s="58">
        <v>2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25</v>
      </c>
      <c r="C9" s="6">
        <f t="shared" si="1"/>
        <v>0.32051282051282054</v>
      </c>
      <c r="E9" s="27" t="s">
        <v>89</v>
      </c>
      <c r="F9" s="24" t="s">
        <v>44</v>
      </c>
      <c r="G9" s="12">
        <v>28</v>
      </c>
      <c r="H9" s="88">
        <f>IF(B$20=0,0,G9/B$20)</f>
        <v>0.15053763440860216</v>
      </c>
      <c r="I9" s="58">
        <v>4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1"/>
        <v>0.32051282051282054</v>
      </c>
      <c r="E10" s="27" t="s">
        <v>67</v>
      </c>
      <c r="F10" s="24" t="s">
        <v>23</v>
      </c>
      <c r="G10" s="12">
        <v>26</v>
      </c>
      <c r="H10" s="88">
        <f>IF(B$20=0,0,G10/B$20)</f>
        <v>0.13978494623655913</v>
      </c>
      <c r="I10" s="58">
        <v>2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7.0115384615384624</v>
      </c>
      <c r="Q10" s="76">
        <v>26</v>
      </c>
      <c r="R10" s="67">
        <v>182.3</v>
      </c>
    </row>
    <row r="11" spans="1:18" x14ac:dyDescent="0.4">
      <c r="A11" s="20" t="s">
        <v>184</v>
      </c>
      <c r="B11" s="109">
        <f>IF(B8=0,0,C11/B8)</f>
        <v>35.767857142857146</v>
      </c>
      <c r="C11" s="110">
        <v>1001.5</v>
      </c>
      <c r="E11" s="27" t="s">
        <v>70</v>
      </c>
      <c r="F11" s="24" t="s">
        <v>25</v>
      </c>
      <c r="G11" s="12">
        <v>19</v>
      </c>
      <c r="H11" s="88">
        <f>IF(B$20=0,0,G11/B$20)</f>
        <v>0.10215053763440861</v>
      </c>
      <c r="I11" s="58">
        <v>3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-9.1769230769230763</v>
      </c>
      <c r="Q11" s="77">
        <v>26</v>
      </c>
      <c r="R11" s="68">
        <v>-238.59999999999997</v>
      </c>
    </row>
    <row r="12" spans="1:18" x14ac:dyDescent="0.4">
      <c r="A12" s="20" t="s">
        <v>185</v>
      </c>
      <c r="B12" s="109">
        <f>IF(B9=0,0,C12/B9)</f>
        <v>-4.492</v>
      </c>
      <c r="C12" s="110">
        <v>-112.3</v>
      </c>
      <c r="E12" s="27" t="s">
        <v>71</v>
      </c>
      <c r="F12" s="24" t="s">
        <v>26</v>
      </c>
      <c r="G12" s="12">
        <v>14</v>
      </c>
      <c r="H12" s="88">
        <f>IF(B$20=0,0,G12/B$20)</f>
        <v>7.5268817204301078E-2</v>
      </c>
      <c r="I12" s="58">
        <v>2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2.1653846153846152</v>
      </c>
      <c r="Q12" s="78">
        <v>26</v>
      </c>
      <c r="R12" s="69">
        <v>56.3</v>
      </c>
    </row>
    <row r="13" spans="1:18" x14ac:dyDescent="0.4">
      <c r="A13" s="20" t="s">
        <v>186</v>
      </c>
      <c r="B13" s="109">
        <f>IF(B10=0,0,C13/B10)</f>
        <v>-35.568000000000005</v>
      </c>
      <c r="C13" s="110">
        <v>-889.2</v>
      </c>
      <c r="E13" s="27" t="s">
        <v>86</v>
      </c>
      <c r="F13" s="24" t="s">
        <v>41</v>
      </c>
      <c r="G13" s="12">
        <v>13</v>
      </c>
      <c r="H13" s="88">
        <f>IF(B$20=0,0,G13/B$20)</f>
        <v>6.9892473118279563E-2</v>
      </c>
      <c r="I13" s="58">
        <v>4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-1.4307142857142867</v>
      </c>
      <c r="C14" s="126"/>
      <c r="E14" s="27" t="s">
        <v>81</v>
      </c>
      <c r="F14" s="24" t="s">
        <v>36</v>
      </c>
      <c r="G14" s="12">
        <v>10</v>
      </c>
      <c r="H14" s="88">
        <f>IF(B$20=0,0,G14/B$20)</f>
        <v>5.3763440860215055E-2</v>
      </c>
      <c r="I14" s="58">
        <v>4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8.9743589743589744E-2</v>
      </c>
      <c r="E15" s="27" t="s">
        <v>78</v>
      </c>
      <c r="F15" s="24" t="s">
        <v>33</v>
      </c>
      <c r="G15" s="12">
        <v>7</v>
      </c>
      <c r="H15" s="88">
        <f>IF(B$20=0,0,G15/B$20)</f>
        <v>3.7634408602150539E-2</v>
      </c>
      <c r="I15" s="58">
        <v>3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198</v>
      </c>
      <c r="C16" s="10">
        <f>IF(B$3=0,0,B16/B$3)</f>
        <v>0.31428571428571428</v>
      </c>
      <c r="E16" s="27" t="s">
        <v>83</v>
      </c>
      <c r="F16" s="24" t="s">
        <v>38</v>
      </c>
      <c r="G16" s="12">
        <v>7</v>
      </c>
      <c r="H16" s="88">
        <f>IF(B$20=0,0,G16/B$20)</f>
        <v>3.7634408602150539E-2</v>
      </c>
      <c r="I16" s="58">
        <v>3</v>
      </c>
      <c r="K16" s="74">
        <v>14</v>
      </c>
      <c r="L16" s="119">
        <v>18.100000000000005</v>
      </c>
      <c r="M16" s="117">
        <v>1607.3831608073062</v>
      </c>
      <c r="O16" s="74" t="s">
        <v>194</v>
      </c>
      <c r="P16" s="83">
        <f>IF(Q16=0,0,R16/Q16)</f>
        <v>18.315000000000001</v>
      </c>
      <c r="Q16" s="77">
        <v>20</v>
      </c>
      <c r="R16" s="68">
        <v>366.3</v>
      </c>
    </row>
    <row r="17" spans="1:18" x14ac:dyDescent="0.4">
      <c r="A17" s="19" t="s">
        <v>118</v>
      </c>
      <c r="B17" s="12">
        <v>116</v>
      </c>
      <c r="C17" s="6">
        <f>IF(B$3=0,0,B17/B$3)</f>
        <v>0.18412698412698414</v>
      </c>
      <c r="E17" s="27" t="s">
        <v>155</v>
      </c>
      <c r="F17" s="24" t="s">
        <v>156</v>
      </c>
      <c r="G17" s="12">
        <v>5</v>
      </c>
      <c r="H17" s="88">
        <f>IF(B$20=0,0,G17/B$20)</f>
        <v>2.6881720430107527E-2</v>
      </c>
      <c r="I17" s="58">
        <v>3</v>
      </c>
      <c r="K17" s="74">
        <v>15</v>
      </c>
      <c r="L17" s="119">
        <v>3.5527136788005009E-15</v>
      </c>
      <c r="M17" s="117">
        <v>1604.4528618424624</v>
      </c>
      <c r="O17" s="74" t="s">
        <v>192</v>
      </c>
      <c r="P17" s="83">
        <f>IF(Q17=0,0,R17/Q17)</f>
        <v>13.206521739130437</v>
      </c>
      <c r="Q17" s="77">
        <v>46</v>
      </c>
      <c r="R17" s="68">
        <v>607.50000000000011</v>
      </c>
    </row>
    <row r="18" spans="1:18" x14ac:dyDescent="0.4">
      <c r="A18" s="18" t="s">
        <v>123</v>
      </c>
      <c r="B18" s="11">
        <f>B24</f>
        <v>107</v>
      </c>
      <c r="C18" s="5">
        <f>IF(B$16=0,0,B18/B$16)</f>
        <v>0.54040404040404044</v>
      </c>
      <c r="E18" s="27" t="s">
        <v>88</v>
      </c>
      <c r="F18" s="24" t="s">
        <v>43</v>
      </c>
      <c r="G18" s="12">
        <v>2</v>
      </c>
      <c r="H18" s="88">
        <f>IF(B$20=0,0,G18/B$20)</f>
        <v>1.0752688172043012E-2</v>
      </c>
      <c r="I18" s="58">
        <v>2</v>
      </c>
      <c r="K18" s="74">
        <v>16</v>
      </c>
      <c r="L18" s="119">
        <v>76.5</v>
      </c>
      <c r="M18" s="117">
        <v>1618.5681446714077</v>
      </c>
      <c r="O18" s="74" t="s">
        <v>126</v>
      </c>
      <c r="P18" s="83">
        <f>IF(Q18=0,0,R18/Q18)</f>
        <v>-12.276923076923079</v>
      </c>
      <c r="Q18" s="77">
        <v>52</v>
      </c>
      <c r="R18" s="68">
        <v>-638.40000000000009</v>
      </c>
    </row>
    <row r="19" spans="1:18" x14ac:dyDescent="0.4">
      <c r="A19" s="18" t="s">
        <v>124</v>
      </c>
      <c r="B19" s="11">
        <f>B25</f>
        <v>41</v>
      </c>
      <c r="C19" s="5">
        <f>IF(B$17=0,0,B19/B$17)</f>
        <v>0.35344827586206895</v>
      </c>
      <c r="E19" s="27" t="s">
        <v>91</v>
      </c>
      <c r="F19" s="24" t="s">
        <v>46</v>
      </c>
      <c r="G19" s="12">
        <v>2</v>
      </c>
      <c r="H19" s="88">
        <f>IF(B$20=0,0,G19/B$20)</f>
        <v>1.0752688172043012E-2</v>
      </c>
      <c r="I19" s="58">
        <v>3</v>
      </c>
      <c r="K19" s="74">
        <v>17</v>
      </c>
      <c r="L19" s="119">
        <v>46</v>
      </c>
      <c r="M19" s="117">
        <v>1613.3387358033792</v>
      </c>
      <c r="O19" s="74" t="s">
        <v>163</v>
      </c>
      <c r="P19" s="83">
        <f>IF(Q19=0,0,R19/Q19)</f>
        <v>-21.112500000000001</v>
      </c>
      <c r="Q19" s="77">
        <v>32</v>
      </c>
      <c r="R19" s="68">
        <v>-675.6</v>
      </c>
    </row>
    <row r="20" spans="1:18" x14ac:dyDescent="0.4">
      <c r="A20" s="18" t="s">
        <v>10</v>
      </c>
      <c r="B20" s="11">
        <f>B23+B22</f>
        <v>186</v>
      </c>
      <c r="C20" s="5">
        <f>IF(B$3=0,0,B20/B$3)</f>
        <v>0.29523809523809524</v>
      </c>
      <c r="E20" s="27" t="s">
        <v>74</v>
      </c>
      <c r="F20" s="24" t="s">
        <v>29</v>
      </c>
      <c r="G20" s="12">
        <v>1</v>
      </c>
      <c r="H20" s="88">
        <f>IF(B$20=0,0,G20/B$20)</f>
        <v>5.3763440860215058E-3</v>
      </c>
      <c r="I20" s="58">
        <v>2</v>
      </c>
      <c r="K20" s="74">
        <v>18</v>
      </c>
      <c r="L20" s="119">
        <v>0</v>
      </c>
      <c r="M20" s="117">
        <v>1605.3507033885589</v>
      </c>
    </row>
    <row r="21" spans="1:18" x14ac:dyDescent="0.4">
      <c r="A21" s="19" t="s">
        <v>13</v>
      </c>
      <c r="B21" s="12">
        <v>98</v>
      </c>
      <c r="C21" s="6">
        <f>IF(B$3=0,0,B21/B$3)</f>
        <v>0.15555555555555556</v>
      </c>
      <c r="E21" s="27" t="s">
        <v>79</v>
      </c>
      <c r="F21" s="24" t="s">
        <v>34</v>
      </c>
      <c r="G21" s="12">
        <v>1</v>
      </c>
      <c r="H21" s="88">
        <f>IF(B$20=0,0,G21/B$20)</f>
        <v>5.3763440860215058E-3</v>
      </c>
      <c r="I21" s="58">
        <v>2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85</v>
      </c>
      <c r="C22" s="6">
        <f>IF(B$20=0,0,B22/B$20)</f>
        <v>0.45698924731182794</v>
      </c>
      <c r="E22" s="27" t="s">
        <v>90</v>
      </c>
      <c r="F22" s="24" t="s">
        <v>45</v>
      </c>
      <c r="G22" s="12">
        <v>1</v>
      </c>
      <c r="H22" s="88">
        <f>IF(B$20=0,0,G22/B$20)</f>
        <v>5.3763440860215058E-3</v>
      </c>
      <c r="I22" s="58">
        <v>2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101</v>
      </c>
      <c r="C23" s="6">
        <f>IF(B$20=0,0,B23/B$20)</f>
        <v>0.543010752688172</v>
      </c>
      <c r="E23" s="27" t="s">
        <v>93</v>
      </c>
      <c r="F23" s="24" t="s">
        <v>48</v>
      </c>
      <c r="G23" s="12">
        <v>1</v>
      </c>
      <c r="H23" s="88">
        <f>IF(B$20=0,0,G23/B$20)</f>
        <v>5.3763440860215058E-3</v>
      </c>
      <c r="I23" s="58">
        <v>2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107</v>
      </c>
      <c r="C24" s="6">
        <f>IF(B$20=0,0,B24/B$20)</f>
        <v>0.57526881720430112</v>
      </c>
      <c r="E24" s="27" t="s">
        <v>94</v>
      </c>
      <c r="F24" s="24" t="s">
        <v>49</v>
      </c>
      <c r="G24" s="12">
        <v>1</v>
      </c>
      <c r="H24" s="88">
        <f>IF(B$20=0,0,G24/B$20)</f>
        <v>5.3763440860215058E-3</v>
      </c>
      <c r="I24" s="58">
        <v>2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41</v>
      </c>
      <c r="C25" s="6">
        <f>IF(B$20=0,0,B25/B$20)</f>
        <v>0.22043010752688172</v>
      </c>
      <c r="E25" s="27" t="s">
        <v>98</v>
      </c>
      <c r="F25" s="24" t="s">
        <v>53</v>
      </c>
      <c r="G25" s="12">
        <v>1</v>
      </c>
      <c r="H25" s="88">
        <f>IF(B$20=0,0,G25/B$20)</f>
        <v>5.3763440860215058E-3</v>
      </c>
      <c r="I25" s="58">
        <v>2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38</v>
      </c>
      <c r="C26" s="6">
        <f>IF(B$20=0,0,B26/B$20)</f>
        <v>0.20430107526881722</v>
      </c>
      <c r="E26" s="27" t="s">
        <v>73</v>
      </c>
      <c r="F26" s="24" t="s">
        <v>28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8826.3440860215051</v>
      </c>
      <c r="C27" s="8">
        <v>1641700</v>
      </c>
      <c r="E27" s="27" t="s">
        <v>75</v>
      </c>
      <c r="F27" s="24" t="s">
        <v>30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9247.5862068965525</v>
      </c>
      <c r="C28" s="96">
        <v>1340900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7336.5853658536589</v>
      </c>
      <c r="C29" s="96">
        <v>300800</v>
      </c>
      <c r="E29" s="27" t="s">
        <v>77</v>
      </c>
      <c r="F29" s="24" t="s">
        <v>32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-7633.6734693877552</v>
      </c>
      <c r="C30" s="96">
        <v>-748100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3</v>
      </c>
      <c r="E32" s="27" t="s">
        <v>84</v>
      </c>
      <c r="F32" s="24" t="s">
        <v>39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7</v>
      </c>
      <c r="C33" s="128"/>
      <c r="E33" s="27" t="s">
        <v>85</v>
      </c>
      <c r="F33" s="24" t="s">
        <v>40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101500</v>
      </c>
      <c r="C34" s="130"/>
      <c r="E34" s="27" t="s">
        <v>87</v>
      </c>
      <c r="F34" s="24" t="s">
        <v>42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92</v>
      </c>
      <c r="F35" s="24" t="s">
        <v>47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7.5268817204301078E-2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29</v>
      </c>
      <c r="C38" s="6">
        <f t="shared" si="2"/>
        <v>0.15591397849462366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27</v>
      </c>
      <c r="C39" s="6">
        <f t="shared" si="2"/>
        <v>0.14516129032258066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41</v>
      </c>
      <c r="C40" s="6">
        <f t="shared" si="2"/>
        <v>0.22043010752688172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29</v>
      </c>
      <c r="C41" s="6">
        <f t="shared" si="2"/>
        <v>0.15591397849462366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19</v>
      </c>
      <c r="C42" s="6">
        <f t="shared" si="2"/>
        <v>0.10215053763440861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9</v>
      </c>
      <c r="C43" s="6">
        <f t="shared" si="2"/>
        <v>4.8387096774193547E-2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5</v>
      </c>
      <c r="C44" s="6">
        <f t="shared" si="2"/>
        <v>2.6881720430107527E-2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8</v>
      </c>
      <c r="C45" s="6">
        <f t="shared" si="2"/>
        <v>4.3010752688172046E-2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1</v>
      </c>
      <c r="C46" s="6">
        <f t="shared" si="2"/>
        <v>5.3763440860215058E-3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1</v>
      </c>
      <c r="C47" s="6">
        <f t="shared" si="2"/>
        <v>5.3763440860215058E-3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3</v>
      </c>
      <c r="C49" s="9">
        <f t="shared" si="2"/>
        <v>1.6129032258064516E-2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  <row r="60" spans="1:13" x14ac:dyDescent="0.4">
      <c r="K60" s="74">
        <v>58</v>
      </c>
      <c r="L60" s="119">
        <v>-1.2000000000000213</v>
      </c>
      <c r="M60" s="117">
        <v>1605.2444983794064</v>
      </c>
    </row>
    <row r="61" spans="1:13" x14ac:dyDescent="0.4">
      <c r="K61" s="74">
        <v>59</v>
      </c>
      <c r="L61" s="119">
        <v>22.799999999999979</v>
      </c>
      <c r="M61" s="117">
        <v>1609.9230313891301</v>
      </c>
    </row>
    <row r="62" spans="1:13" x14ac:dyDescent="0.4">
      <c r="K62" s="74">
        <v>60</v>
      </c>
      <c r="L62" s="119">
        <v>-2.1316282072803006E-14</v>
      </c>
      <c r="M62" s="117">
        <v>1606.1494932007954</v>
      </c>
    </row>
    <row r="63" spans="1:13" x14ac:dyDescent="0.4">
      <c r="K63" s="74">
        <v>61</v>
      </c>
      <c r="L63" s="119">
        <v>37.199999999999982</v>
      </c>
      <c r="M63" s="117">
        <v>1613.1985962415906</v>
      </c>
    </row>
    <row r="64" spans="1:13" x14ac:dyDescent="0.4">
      <c r="K64" s="74">
        <v>62</v>
      </c>
      <c r="L64" s="119">
        <v>-3.2000000000000171</v>
      </c>
      <c r="M64" s="117">
        <v>1606.237404664141</v>
      </c>
    </row>
    <row r="65" spans="11:13" x14ac:dyDescent="0.4">
      <c r="K65" s="74">
        <v>63</v>
      </c>
      <c r="L65" s="119">
        <v>-1.6875389974302379E-14</v>
      </c>
      <c r="M65" s="117">
        <v>1607.1659802361562</v>
      </c>
    </row>
    <row r="66" spans="11:13" x14ac:dyDescent="0.4">
      <c r="K66" s="74">
        <v>64</v>
      </c>
      <c r="L66" s="119">
        <v>-2.2000000000000171</v>
      </c>
      <c r="M66" s="117">
        <v>1607.1169843547393</v>
      </c>
    </row>
    <row r="67" spans="11:13" x14ac:dyDescent="0.4">
      <c r="K67" s="74">
        <v>65</v>
      </c>
      <c r="L67" s="119">
        <v>-51.800000000000018</v>
      </c>
      <c r="M67" s="117">
        <v>1598.5362824486108</v>
      </c>
    </row>
    <row r="68" spans="11:13" x14ac:dyDescent="0.4">
      <c r="K68" s="74">
        <v>66</v>
      </c>
      <c r="L68" s="119">
        <v>-2.1316282072803006E-14</v>
      </c>
      <c r="M68" s="117">
        <v>1608.2590647539191</v>
      </c>
    </row>
    <row r="69" spans="11:13" x14ac:dyDescent="0.4">
      <c r="K69" s="74">
        <v>67</v>
      </c>
      <c r="L69" s="119">
        <v>11.699999999999978</v>
      </c>
      <c r="M69" s="117">
        <v>1610.7055103653956</v>
      </c>
    </row>
    <row r="70" spans="11:13" x14ac:dyDescent="0.4">
      <c r="K70" s="74">
        <v>68</v>
      </c>
      <c r="L70" s="119">
        <v>-46.40000000000002</v>
      </c>
      <c r="M70" s="117">
        <v>1600.5732773032032</v>
      </c>
    </row>
    <row r="71" spans="11:13" x14ac:dyDescent="0.4">
      <c r="K71" s="74">
        <v>69</v>
      </c>
      <c r="L71" s="119">
        <v>-2.1316282072803006E-14</v>
      </c>
      <c r="M71" s="117">
        <v>1609.3118376393841</v>
      </c>
    </row>
    <row r="72" spans="11:13" x14ac:dyDescent="0.4">
      <c r="K72" s="74">
        <v>70</v>
      </c>
      <c r="L72" s="119">
        <v>-0.70000000000002127</v>
      </c>
      <c r="M72" s="117">
        <v>1609.5199666135477</v>
      </c>
    </row>
    <row r="73" spans="11:13" x14ac:dyDescent="0.4">
      <c r="K73" s="74">
        <v>71</v>
      </c>
      <c r="L73" s="119">
        <v>-31.700000000000021</v>
      </c>
      <c r="M73" s="117">
        <v>1604.2728468138664</v>
      </c>
    </row>
    <row r="74" spans="11:13" x14ac:dyDescent="0.4">
      <c r="K74" s="74">
        <v>72</v>
      </c>
      <c r="L74" s="119">
        <v>-2.1316282072803006E-14</v>
      </c>
      <c r="M74" s="117">
        <v>1610.3432097329833</v>
      </c>
    </row>
    <row r="75" spans="11:13" x14ac:dyDescent="0.4">
      <c r="K75" s="74">
        <v>73</v>
      </c>
      <c r="L75" s="119">
        <v>-2.1316282072803006E-14</v>
      </c>
      <c r="M75" s="117">
        <v>1610.6711504745854</v>
      </c>
    </row>
    <row r="76" spans="11:13" x14ac:dyDescent="0.4">
      <c r="K76" s="74">
        <v>74</v>
      </c>
      <c r="L76" s="119">
        <v>-2.1316282072803006E-14</v>
      </c>
      <c r="M76" s="117">
        <v>1610.9971235717378</v>
      </c>
    </row>
    <row r="77" spans="11:13" x14ac:dyDescent="0.4">
      <c r="K77" s="74">
        <v>75</v>
      </c>
      <c r="L77" s="119">
        <v>-2.1316282072803006E-14</v>
      </c>
      <c r="M77" s="117">
        <v>1611.3211408303073</v>
      </c>
    </row>
    <row r="78" spans="11:13" x14ac:dyDescent="0.4">
      <c r="K78" s="74">
        <v>76</v>
      </c>
      <c r="L78" s="119">
        <v>-48.800000000000018</v>
      </c>
      <c r="M78" s="117">
        <v>1602.8592139853254</v>
      </c>
    </row>
    <row r="79" spans="11:13" x14ac:dyDescent="0.4">
      <c r="K79" s="74">
        <v>77</v>
      </c>
      <c r="L79" s="119">
        <v>-71.000000000000014</v>
      </c>
      <c r="M79" s="117">
        <v>1599.2360587014134</v>
      </c>
    </row>
    <row r="80" spans="11:13" x14ac:dyDescent="0.4">
      <c r="K80" s="74">
        <v>78</v>
      </c>
      <c r="L80" s="119">
        <v>-1.4210854715202004E-14</v>
      </c>
      <c r="M80" s="117">
        <v>1612.4106423492049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7015F-044C-4D85-A147-A8419ACAB69E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16</v>
      </c>
      <c r="C2" s="134"/>
      <c r="E2" s="26" t="s">
        <v>66</v>
      </c>
      <c r="F2" s="23" t="s">
        <v>22</v>
      </c>
      <c r="G2" s="11">
        <v>33</v>
      </c>
      <c r="H2" s="87">
        <f>IF(B$20=0,0,G2/B$20)</f>
        <v>0.7857142857142857</v>
      </c>
      <c r="I2" s="57">
        <v>2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2093.3333333333335</v>
      </c>
      <c r="Q2" s="76">
        <v>15</v>
      </c>
      <c r="R2" s="63">
        <v>31400</v>
      </c>
    </row>
    <row r="3" spans="1:18" x14ac:dyDescent="0.4">
      <c r="A3" s="19" t="s">
        <v>8</v>
      </c>
      <c r="B3" s="135">
        <v>123</v>
      </c>
      <c r="C3" s="136"/>
      <c r="E3" s="27" t="s">
        <v>64</v>
      </c>
      <c r="F3" s="24" t="s">
        <v>20</v>
      </c>
      <c r="G3" s="12">
        <v>25</v>
      </c>
      <c r="H3" s="88">
        <f>IF(B$20=0,0,G3/B$20)</f>
        <v>0.59523809523809523</v>
      </c>
      <c r="I3" s="58">
        <v>2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840</v>
      </c>
      <c r="Q3" s="77">
        <v>15</v>
      </c>
      <c r="R3" s="64">
        <v>12600</v>
      </c>
    </row>
    <row r="4" spans="1:18" x14ac:dyDescent="0.4">
      <c r="A4" s="19" t="s">
        <v>6</v>
      </c>
      <c r="B4" s="137">
        <v>225.2</v>
      </c>
      <c r="C4" s="138"/>
      <c r="E4" s="27" t="s">
        <v>72</v>
      </c>
      <c r="F4" s="24" t="s">
        <v>27</v>
      </c>
      <c r="G4" s="12">
        <v>18</v>
      </c>
      <c r="H4" s="88">
        <f>IF(B$20=0,0,G4/B$20)</f>
        <v>0.42857142857142855</v>
      </c>
      <c r="I4" s="58">
        <v>5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2784.6153846153848</v>
      </c>
      <c r="Q4" s="77">
        <v>13</v>
      </c>
      <c r="R4" s="64">
        <v>36200</v>
      </c>
    </row>
    <row r="5" spans="1:18" x14ac:dyDescent="0.4">
      <c r="A5" s="19" t="s">
        <v>7</v>
      </c>
      <c r="B5" s="125">
        <f>IF(B$2=0,0,B$4/B$2)</f>
        <v>14.074999999999999</v>
      </c>
      <c r="C5" s="126"/>
      <c r="E5" s="27" t="s">
        <v>159</v>
      </c>
      <c r="F5" s="24" t="s">
        <v>160</v>
      </c>
      <c r="G5" s="12">
        <v>18</v>
      </c>
      <c r="H5" s="88">
        <f>IF(B$20=0,0,G5/B$20)</f>
        <v>0.42857142857142855</v>
      </c>
      <c r="I5" s="58">
        <v>3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4192.3076923076924</v>
      </c>
      <c r="Q5" s="77">
        <v>13</v>
      </c>
      <c r="R5" s="64">
        <v>54500</v>
      </c>
    </row>
    <row r="6" spans="1:18" x14ac:dyDescent="0.4">
      <c r="A6" s="19" t="s">
        <v>195</v>
      </c>
      <c r="B6" s="129">
        <v>1648.287342779066</v>
      </c>
      <c r="C6" s="130"/>
      <c r="E6" s="27" t="s">
        <v>68</v>
      </c>
      <c r="F6" s="24" t="s">
        <v>12</v>
      </c>
      <c r="G6" s="12">
        <v>17</v>
      </c>
      <c r="H6" s="88">
        <f>IF(B$20=0,0,G6/B$20)</f>
        <v>0.40476190476190477</v>
      </c>
      <c r="I6" s="58">
        <v>1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-683.33333333333337</v>
      </c>
      <c r="Q6" s="77">
        <v>12</v>
      </c>
      <c r="R6" s="64">
        <v>-8200</v>
      </c>
    </row>
    <row r="7" spans="1:18" x14ac:dyDescent="0.4">
      <c r="A7" s="19" t="s">
        <v>1</v>
      </c>
      <c r="B7" s="139">
        <f>IF(B$2=0,0,(B$8*1+B$9*2+B$10*3)/B$2)</f>
        <v>1.625</v>
      </c>
      <c r="C7" s="140"/>
      <c r="E7" s="27" t="s">
        <v>69</v>
      </c>
      <c r="F7" s="24" t="s">
        <v>24</v>
      </c>
      <c r="G7" s="12">
        <v>10</v>
      </c>
      <c r="H7" s="88">
        <f>IF(B$20=0,0,G7/B$20)</f>
        <v>0.23809523809523808</v>
      </c>
      <c r="I7" s="58">
        <v>2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2511.1111111111113</v>
      </c>
      <c r="Q7" s="78">
        <v>9</v>
      </c>
      <c r="R7" s="65">
        <v>22600</v>
      </c>
    </row>
    <row r="8" spans="1:18" x14ac:dyDescent="0.4">
      <c r="A8" s="19" t="s">
        <v>2</v>
      </c>
      <c r="B8" s="12">
        <v>8</v>
      </c>
      <c r="C8" s="6">
        <f t="shared" ref="C8:C15" si="1">IF(B$2=0,0,B8/B$2)</f>
        <v>0.5</v>
      </c>
      <c r="E8" s="27" t="s">
        <v>89</v>
      </c>
      <c r="F8" s="24" t="s">
        <v>44</v>
      </c>
      <c r="G8" s="12">
        <v>7</v>
      </c>
      <c r="H8" s="88">
        <f>IF(B$20=0,0,G8/B$20)</f>
        <v>0.16666666666666666</v>
      </c>
      <c r="I8" s="58">
        <v>3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0.375</v>
      </c>
      <c r="E9" s="27" t="s">
        <v>65</v>
      </c>
      <c r="F9" s="24" t="s">
        <v>21</v>
      </c>
      <c r="G9" s="12">
        <v>6</v>
      </c>
      <c r="H9" s="88">
        <f>IF(B$20=0,0,G9/B$20)</f>
        <v>0.14285714285714285</v>
      </c>
      <c r="I9" s="58">
        <v>3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0.125</v>
      </c>
      <c r="E10" s="27" t="s">
        <v>71</v>
      </c>
      <c r="F10" s="24" t="s">
        <v>26</v>
      </c>
      <c r="G10" s="12">
        <v>6</v>
      </c>
      <c r="H10" s="88">
        <f>IF(B$20=0,0,G10/B$20)</f>
        <v>0.14285714285714285</v>
      </c>
      <c r="I10" s="58">
        <v>1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22.671428571428571</v>
      </c>
      <c r="Q10" s="76">
        <v>7</v>
      </c>
      <c r="R10" s="67">
        <v>158.69999999999999</v>
      </c>
    </row>
    <row r="11" spans="1:18" x14ac:dyDescent="0.4">
      <c r="A11" s="20" t="s">
        <v>184</v>
      </c>
      <c r="B11" s="109">
        <f>IF(B8=0,0,C11/B8)</f>
        <v>40.825000000000003</v>
      </c>
      <c r="C11" s="110">
        <v>326.60000000000002</v>
      </c>
      <c r="E11" s="27" t="s">
        <v>67</v>
      </c>
      <c r="F11" s="24" t="s">
        <v>23</v>
      </c>
      <c r="G11" s="12">
        <v>5</v>
      </c>
      <c r="H11" s="88">
        <f>IF(B$20=0,0,G11/B$20)</f>
        <v>0.11904761904761904</v>
      </c>
      <c r="I11" s="58">
        <v>3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-0.8999999999999998</v>
      </c>
      <c r="Q11" s="77">
        <v>4</v>
      </c>
      <c r="R11" s="68">
        <v>-3.5999999999999992</v>
      </c>
    </row>
    <row r="12" spans="1:18" x14ac:dyDescent="0.4">
      <c r="A12" s="20" t="s">
        <v>185</v>
      </c>
      <c r="B12" s="109">
        <f>IF(B9=0,0,C12/B9)</f>
        <v>-6.5666666666666664</v>
      </c>
      <c r="C12" s="110">
        <v>-39.4</v>
      </c>
      <c r="E12" s="27" t="s">
        <v>70</v>
      </c>
      <c r="F12" s="24" t="s">
        <v>25</v>
      </c>
      <c r="G12" s="12">
        <v>4</v>
      </c>
      <c r="H12" s="88">
        <f>IF(B$20=0,0,G12/B$20)</f>
        <v>9.5238095238095233E-2</v>
      </c>
      <c r="I12" s="58">
        <v>4</v>
      </c>
      <c r="K12" s="74">
        <v>10</v>
      </c>
      <c r="L12" s="119">
        <v>64.7</v>
      </c>
      <c r="M12" s="117">
        <v>1617.9527600087345</v>
      </c>
      <c r="O12" s="75" t="s">
        <v>153</v>
      </c>
      <c r="P12" s="84">
        <f>IF(Q12=0,0,R12/Q12)</f>
        <v>14.02</v>
      </c>
      <c r="Q12" s="78">
        <v>5</v>
      </c>
      <c r="R12" s="69">
        <v>70.099999999999994</v>
      </c>
    </row>
    <row r="13" spans="1:18" x14ac:dyDescent="0.4">
      <c r="A13" s="20" t="s">
        <v>186</v>
      </c>
      <c r="B13" s="109">
        <f>IF(B10=0,0,C13/B10)</f>
        <v>-31</v>
      </c>
      <c r="C13" s="110">
        <v>-62</v>
      </c>
      <c r="E13" s="27" t="s">
        <v>86</v>
      </c>
      <c r="F13" s="24" t="s">
        <v>41</v>
      </c>
      <c r="G13" s="12">
        <v>4</v>
      </c>
      <c r="H13" s="88">
        <f>IF(B$20=0,0,G13/B$20)</f>
        <v>9.5238095238095233E-2</v>
      </c>
      <c r="I13" s="58">
        <v>2</v>
      </c>
      <c r="K13" s="74">
        <v>11</v>
      </c>
      <c r="L13" s="119">
        <v>24.300000000000004</v>
      </c>
      <c r="M13" s="117">
        <v>1610.9630434486821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1.0861111111111132</v>
      </c>
      <c r="C14" s="126"/>
      <c r="E14" s="27" t="s">
        <v>155</v>
      </c>
      <c r="F14" s="24" t="s">
        <v>156</v>
      </c>
      <c r="G14" s="12">
        <v>2</v>
      </c>
      <c r="H14" s="88">
        <f>IF(B$20=0,0,G14/B$20)</f>
        <v>4.7619047619047616E-2</v>
      </c>
      <c r="I14" s="58">
        <v>2</v>
      </c>
      <c r="K14" s="74">
        <v>12</v>
      </c>
      <c r="L14" s="119">
        <v>76.099999999999994</v>
      </c>
      <c r="M14" s="117">
        <v>1620.6112651879901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81</v>
      </c>
      <c r="F15" s="24" t="s">
        <v>36</v>
      </c>
      <c r="G15" s="12">
        <v>1</v>
      </c>
      <c r="H15" s="88">
        <f>IF(B$20=0,0,G15/B$20)</f>
        <v>2.3809523809523808E-2</v>
      </c>
      <c r="I15" s="58">
        <v>5</v>
      </c>
      <c r="K15" s="74">
        <v>13</v>
      </c>
      <c r="L15" s="119">
        <v>122.5</v>
      </c>
      <c r="M15" s="117">
        <v>1629.229597596862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37</v>
      </c>
      <c r="C16" s="10">
        <f>IF(B$3=0,0,B16/B$3)</f>
        <v>0.30081300813008133</v>
      </c>
      <c r="E16" s="27" t="s">
        <v>94</v>
      </c>
      <c r="F16" s="24" t="s">
        <v>49</v>
      </c>
      <c r="G16" s="12">
        <v>1</v>
      </c>
      <c r="H16" s="88">
        <f>IF(B$20=0,0,G16/B$20)</f>
        <v>2.3809523809523808E-2</v>
      </c>
      <c r="I16" s="58">
        <v>1</v>
      </c>
      <c r="K16" s="74">
        <v>14</v>
      </c>
      <c r="L16" s="119">
        <v>154.19999999999999</v>
      </c>
      <c r="M16" s="117">
        <v>1635.1502200112809</v>
      </c>
      <c r="O16" s="74" t="s">
        <v>192</v>
      </c>
      <c r="P16" s="83">
        <f>IF(Q16=0,0,R16/Q16)</f>
        <v>26.853846153846153</v>
      </c>
      <c r="Q16" s="77">
        <v>13</v>
      </c>
      <c r="R16" s="68">
        <v>349.09999999999997</v>
      </c>
    </row>
    <row r="17" spans="1:18" x14ac:dyDescent="0.4">
      <c r="A17" s="19" t="s">
        <v>118</v>
      </c>
      <c r="B17" s="12">
        <v>26</v>
      </c>
      <c r="C17" s="6">
        <f>IF(B$3=0,0,B17/B$3)</f>
        <v>0.21138211382113822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154.19999999999999</v>
      </c>
      <c r="M17" s="117">
        <v>1635.3293186912133</v>
      </c>
      <c r="O17" s="74" t="s">
        <v>126</v>
      </c>
      <c r="P17" s="83">
        <f>IF(Q17=0,0,R17/Q17)</f>
        <v>10.256250000000001</v>
      </c>
      <c r="Q17" s="77">
        <v>16</v>
      </c>
      <c r="R17" s="68">
        <v>164.10000000000002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0.70270270270270274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3</v>
      </c>
      <c r="K18" s="74">
        <v>16</v>
      </c>
      <c r="L18" s="119">
        <v>225.2</v>
      </c>
      <c r="M18" s="117">
        <v>1648.287342779066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0.30769230769230771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42</v>
      </c>
      <c r="C20" s="5">
        <f>IF(B$3=0,0,B20/B$3)</f>
        <v>0.34146341463414637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16</v>
      </c>
      <c r="C21" s="6">
        <f>IF(B$3=0,0,B21/B$3)</f>
        <v>0.13008130081300814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20</v>
      </c>
      <c r="C22" s="6">
        <f>IF(B$20=0,0,B22/B$20)</f>
        <v>0.47619047619047616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4</v>
      </c>
    </row>
    <row r="23" spans="1:18" x14ac:dyDescent="0.4">
      <c r="A23" s="19" t="s">
        <v>11</v>
      </c>
      <c r="B23" s="12">
        <v>22</v>
      </c>
      <c r="C23" s="6">
        <f>IF(B$20=0,0,B23/B$20)</f>
        <v>0.52380952380952384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26</v>
      </c>
      <c r="C24" s="6">
        <f>IF(B$20=0,0,B24/B$20)</f>
        <v>0.61904761904761907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0.19047619047619047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8</v>
      </c>
      <c r="C26" s="6">
        <f>IF(B$20=0,0,B26/B$20)</f>
        <v>0.19047619047619047</v>
      </c>
      <c r="E26" s="27" t="s">
        <v>83</v>
      </c>
      <c r="F26" s="24" t="s">
        <v>38</v>
      </c>
      <c r="G26" s="12">
        <v>0</v>
      </c>
      <c r="H26" s="88">
        <f>IF(B$20=0,0,G26/B$20)</f>
        <v>0</v>
      </c>
      <c r="I26" s="58">
        <v>4</v>
      </c>
    </row>
    <row r="27" spans="1:18" x14ac:dyDescent="0.4">
      <c r="A27" s="19" t="s">
        <v>5</v>
      </c>
      <c r="B27" s="16">
        <f>IF(B$20=0,0,C27/B$20)</f>
        <v>8814.2857142857138</v>
      </c>
      <c r="C27" s="8">
        <v>370200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8447.0588235294126</v>
      </c>
      <c r="C28" s="96">
        <v>287200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10375</v>
      </c>
      <c r="C29" s="96">
        <v>83000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-6900</v>
      </c>
      <c r="C30" s="96">
        <v>-110400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17</v>
      </c>
      <c r="C32" s="90">
        <v>3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4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86000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4.7619047619047616E-2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2"/>
        <v>0.11904761904761904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5</v>
      </c>
      <c r="C39" s="6">
        <f t="shared" si="2"/>
        <v>0.11904761904761904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0.30952380952380953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2"/>
        <v>0.16666666666666666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5</v>
      </c>
      <c r="C42" s="6">
        <f t="shared" si="2"/>
        <v>0.11904761904761904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4.7619047619047616E-2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4.7619047619047616E-2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2.3809523809523808E-2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B6B1-2386-4E13-82FB-B747B930273D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26</v>
      </c>
      <c r="C2" s="134"/>
      <c r="E2" s="26" t="s">
        <v>66</v>
      </c>
      <c r="F2" s="23" t="s">
        <v>22</v>
      </c>
      <c r="G2" s="11">
        <v>53</v>
      </c>
      <c r="H2" s="87">
        <f>IF(B$20=0,0,G2/B$20)</f>
        <v>0.70666666666666667</v>
      </c>
      <c r="I2" s="57">
        <v>4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1864</v>
      </c>
      <c r="Q2" s="76">
        <v>25</v>
      </c>
      <c r="R2" s="63">
        <v>46600</v>
      </c>
    </row>
    <row r="3" spans="1:18" x14ac:dyDescent="0.4">
      <c r="A3" s="19" t="s">
        <v>8</v>
      </c>
      <c r="B3" s="135">
        <v>210</v>
      </c>
      <c r="C3" s="136"/>
      <c r="E3" s="27" t="s">
        <v>64</v>
      </c>
      <c r="F3" s="24" t="s">
        <v>20</v>
      </c>
      <c r="G3" s="12">
        <v>41</v>
      </c>
      <c r="H3" s="88">
        <f>IF(B$20=0,0,G3/B$20)</f>
        <v>0.54666666666666663</v>
      </c>
      <c r="I3" s="58">
        <v>4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4652</v>
      </c>
      <c r="Q3" s="77">
        <v>25</v>
      </c>
      <c r="R3" s="64">
        <v>116300</v>
      </c>
    </row>
    <row r="4" spans="1:18" x14ac:dyDescent="0.4">
      <c r="A4" s="19" t="s">
        <v>6</v>
      </c>
      <c r="B4" s="137">
        <v>212.8</v>
      </c>
      <c r="C4" s="138"/>
      <c r="E4" s="27" t="s">
        <v>159</v>
      </c>
      <c r="F4" s="24" t="s">
        <v>160</v>
      </c>
      <c r="G4" s="12">
        <v>31</v>
      </c>
      <c r="H4" s="88">
        <f>IF(B$20=0,0,G4/B$20)</f>
        <v>0.41333333333333333</v>
      </c>
      <c r="I4" s="58">
        <v>5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-926.08695652173913</v>
      </c>
      <c r="Q4" s="77">
        <v>23</v>
      </c>
      <c r="R4" s="64">
        <v>-21300</v>
      </c>
    </row>
    <row r="5" spans="1:18" x14ac:dyDescent="0.4">
      <c r="A5" s="19" t="s">
        <v>7</v>
      </c>
      <c r="B5" s="125">
        <f>IF(B$2=0,0,B$4/B$2)</f>
        <v>8.1846153846153857</v>
      </c>
      <c r="C5" s="126"/>
      <c r="E5" s="27" t="s">
        <v>68</v>
      </c>
      <c r="F5" s="24" t="s">
        <v>12</v>
      </c>
      <c r="G5" s="12">
        <v>28</v>
      </c>
      <c r="H5" s="88">
        <f>IF(B$20=0,0,G5/B$20)</f>
        <v>0.37333333333333335</v>
      </c>
      <c r="I5" s="58">
        <v>2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-995.6521739130435</v>
      </c>
      <c r="Q5" s="77">
        <v>23</v>
      </c>
      <c r="R5" s="64">
        <v>-22900</v>
      </c>
    </row>
    <row r="6" spans="1:18" x14ac:dyDescent="0.4">
      <c r="A6" s="19" t="s">
        <v>195</v>
      </c>
      <c r="B6" s="129">
        <v>1772.9205388267385</v>
      </c>
      <c r="C6" s="130"/>
      <c r="E6" s="27" t="s">
        <v>72</v>
      </c>
      <c r="F6" s="24" t="s">
        <v>27</v>
      </c>
      <c r="G6" s="12">
        <v>25</v>
      </c>
      <c r="H6" s="88">
        <f>IF(B$20=0,0,G6/B$20)</f>
        <v>0.33333333333333331</v>
      </c>
      <c r="I6" s="58">
        <v>6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1690.4761904761904</v>
      </c>
      <c r="Q6" s="77">
        <v>21</v>
      </c>
      <c r="R6" s="64">
        <v>35500</v>
      </c>
    </row>
    <row r="7" spans="1:18" x14ac:dyDescent="0.4">
      <c r="A7" s="19" t="s">
        <v>1</v>
      </c>
      <c r="B7" s="139">
        <f>IF(B$2=0,0,(B$8*1+B$9*2+B$10*3)/B$2)</f>
        <v>1.7307692307692308</v>
      </c>
      <c r="C7" s="140"/>
      <c r="E7" s="27" t="s">
        <v>67</v>
      </c>
      <c r="F7" s="24" t="s">
        <v>23</v>
      </c>
      <c r="G7" s="12">
        <v>16</v>
      </c>
      <c r="H7" s="88">
        <f>IF(B$20=0,0,G7/B$20)</f>
        <v>0.21333333333333335</v>
      </c>
      <c r="I7" s="58">
        <v>1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-82.352941176470594</v>
      </c>
      <c r="Q7" s="78">
        <v>17</v>
      </c>
      <c r="R7" s="65">
        <v>-1400</v>
      </c>
    </row>
    <row r="8" spans="1:18" x14ac:dyDescent="0.4">
      <c r="A8" s="19" t="s">
        <v>2</v>
      </c>
      <c r="B8" s="12">
        <v>12</v>
      </c>
      <c r="C8" s="6">
        <f t="shared" ref="C8:C15" si="1">IF(B$2=0,0,B8/B$2)</f>
        <v>0.46153846153846156</v>
      </c>
      <c r="E8" s="27" t="s">
        <v>69</v>
      </c>
      <c r="F8" s="24" t="s">
        <v>24</v>
      </c>
      <c r="G8" s="12">
        <v>16</v>
      </c>
      <c r="H8" s="88">
        <f>IF(B$20=0,0,G8/B$20)</f>
        <v>0.21333333333333335</v>
      </c>
      <c r="I8" s="58">
        <v>3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9</v>
      </c>
      <c r="C9" s="6">
        <f t="shared" si="1"/>
        <v>0.34615384615384615</v>
      </c>
      <c r="E9" s="27" t="s">
        <v>65</v>
      </c>
      <c r="F9" s="24" t="s">
        <v>21</v>
      </c>
      <c r="G9" s="12">
        <v>10</v>
      </c>
      <c r="H9" s="88">
        <f>IF(B$20=0,0,G9/B$20)</f>
        <v>0.13333333333333333</v>
      </c>
      <c r="I9" s="58">
        <v>5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0.19230769230769232</v>
      </c>
      <c r="E10" s="27" t="s">
        <v>89</v>
      </c>
      <c r="F10" s="24" t="s">
        <v>44</v>
      </c>
      <c r="G10" s="12">
        <v>9</v>
      </c>
      <c r="H10" s="88">
        <f>IF(B$20=0,0,G10/B$20)</f>
        <v>0.12</v>
      </c>
      <c r="I10" s="58">
        <v>5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8.7090909090909072</v>
      </c>
      <c r="Q10" s="76">
        <v>11</v>
      </c>
      <c r="R10" s="67">
        <v>95.799999999999983</v>
      </c>
    </row>
    <row r="11" spans="1:18" x14ac:dyDescent="0.4">
      <c r="A11" s="20" t="s">
        <v>184</v>
      </c>
      <c r="B11" s="109">
        <f>IF(B8=0,0,C11/B8)</f>
        <v>34.841666666666661</v>
      </c>
      <c r="C11" s="110">
        <v>418.09999999999997</v>
      </c>
      <c r="E11" s="27" t="s">
        <v>70</v>
      </c>
      <c r="F11" s="24" t="s">
        <v>25</v>
      </c>
      <c r="G11" s="12">
        <v>6</v>
      </c>
      <c r="H11" s="88">
        <f>IF(B$20=0,0,G11/B$20)</f>
        <v>0.08</v>
      </c>
      <c r="I11" s="58">
        <v>5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3.9200000000000017</v>
      </c>
      <c r="Q11" s="77">
        <v>10</v>
      </c>
      <c r="R11" s="68">
        <v>39.200000000000017</v>
      </c>
    </row>
    <row r="12" spans="1:18" x14ac:dyDescent="0.4">
      <c r="A12" s="20" t="s">
        <v>185</v>
      </c>
      <c r="B12" s="109">
        <f>IF(B9=0,0,C12/B9)</f>
        <v>-2.933333333333334</v>
      </c>
      <c r="C12" s="110">
        <v>-26.400000000000006</v>
      </c>
      <c r="E12" s="27" t="s">
        <v>86</v>
      </c>
      <c r="F12" s="24" t="s">
        <v>41</v>
      </c>
      <c r="G12" s="12">
        <v>6</v>
      </c>
      <c r="H12" s="88">
        <f>IF(B$20=0,0,G12/B$20)</f>
        <v>0.08</v>
      </c>
      <c r="I12" s="58">
        <v>3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15.560000000000002</v>
      </c>
      <c r="Q12" s="78">
        <v>5</v>
      </c>
      <c r="R12" s="69">
        <v>77.800000000000011</v>
      </c>
    </row>
    <row r="13" spans="1:18" x14ac:dyDescent="0.4">
      <c r="A13" s="20" t="s">
        <v>186</v>
      </c>
      <c r="B13" s="109">
        <f>IF(B10=0,0,C13/B10)</f>
        <v>-35.779999999999994</v>
      </c>
      <c r="C13" s="110">
        <v>-178.89999999999998</v>
      </c>
      <c r="E13" s="27" t="s">
        <v>71</v>
      </c>
      <c r="F13" s="24" t="s">
        <v>26</v>
      </c>
      <c r="G13" s="12">
        <v>5</v>
      </c>
      <c r="H13" s="88">
        <f>IF(B$20=0,0,G13/B$20)</f>
        <v>6.6666666666666666E-2</v>
      </c>
      <c r="I13" s="58">
        <v>3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-1.2905555555555555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6.6666666666666666E-2</v>
      </c>
      <c r="I14" s="58">
        <v>1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3.8461538461538464E-2</v>
      </c>
      <c r="E15" s="27" t="s">
        <v>83</v>
      </c>
      <c r="F15" s="24" t="s">
        <v>38</v>
      </c>
      <c r="G15" s="12">
        <v>5</v>
      </c>
      <c r="H15" s="88">
        <f>IF(B$20=0,0,G15/B$20)</f>
        <v>6.6666666666666666E-2</v>
      </c>
      <c r="I15" s="58">
        <v>1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82</v>
      </c>
      <c r="C16" s="10">
        <f>IF(B$3=0,0,B16/B$3)</f>
        <v>0.39047619047619048</v>
      </c>
      <c r="E16" s="27" t="s">
        <v>78</v>
      </c>
      <c r="F16" s="24" t="s">
        <v>33</v>
      </c>
      <c r="G16" s="12">
        <v>4</v>
      </c>
      <c r="H16" s="88">
        <f>IF(B$20=0,0,G16/B$20)</f>
        <v>5.3333333333333337E-2</v>
      </c>
      <c r="I16" s="58">
        <v>2</v>
      </c>
      <c r="K16" s="74">
        <v>14</v>
      </c>
      <c r="L16" s="119">
        <v>162.4</v>
      </c>
      <c r="M16" s="117">
        <v>1774.6232985371789</v>
      </c>
      <c r="O16" s="74" t="s">
        <v>194</v>
      </c>
      <c r="P16" s="83">
        <f>IF(Q16=0,0,R16/Q16)</f>
        <v>27.379999999999995</v>
      </c>
      <c r="Q16" s="77">
        <v>10</v>
      </c>
      <c r="R16" s="68">
        <v>273.79999999999995</v>
      </c>
    </row>
    <row r="17" spans="1:18" x14ac:dyDescent="0.4">
      <c r="A17" s="19" t="s">
        <v>118</v>
      </c>
      <c r="B17" s="12">
        <v>29</v>
      </c>
      <c r="C17" s="6">
        <f>IF(B$3=0,0,B17/B$3)</f>
        <v>0.1380952380952381</v>
      </c>
      <c r="E17" s="27" t="s">
        <v>88</v>
      </c>
      <c r="F17" s="24" t="s">
        <v>43</v>
      </c>
      <c r="G17" s="12">
        <v>2</v>
      </c>
      <c r="H17" s="88">
        <f>IF(B$20=0,0,G17/B$20)</f>
        <v>2.6666666666666668E-2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192</v>
      </c>
      <c r="P17" s="83">
        <f>IF(Q17=0,0,R17/Q17)</f>
        <v>15.256521739130436</v>
      </c>
      <c r="Q17" s="77">
        <v>23</v>
      </c>
      <c r="R17" s="68">
        <v>350.90000000000003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0.53658536585365857</v>
      </c>
      <c r="E18" s="27" t="s">
        <v>91</v>
      </c>
      <c r="F18" s="24" t="s">
        <v>46</v>
      </c>
      <c r="G18" s="12">
        <v>1</v>
      </c>
      <c r="H18" s="88">
        <f>IF(B$20=0,0,G18/B$20)</f>
        <v>1.3333333333333334E-2</v>
      </c>
      <c r="I18" s="58">
        <v>2</v>
      </c>
      <c r="K18" s="74">
        <v>16</v>
      </c>
      <c r="L18" s="119">
        <v>207.6</v>
      </c>
      <c r="M18" s="117">
        <v>1780.40537339348</v>
      </c>
      <c r="O18" s="74" t="s">
        <v>163</v>
      </c>
      <c r="P18" s="83">
        <f>IF(Q18=0,0,R18/Q18)</f>
        <v>-10.256250000000001</v>
      </c>
      <c r="Q18" s="77">
        <v>16</v>
      </c>
      <c r="R18" s="68">
        <v>-164.10000000000002</v>
      </c>
    </row>
    <row r="19" spans="1:18" x14ac:dyDescent="0.4">
      <c r="A19" s="18" t="s">
        <v>124</v>
      </c>
      <c r="B19" s="11">
        <f>B25</f>
        <v>13</v>
      </c>
      <c r="C19" s="5">
        <f>IF(B$17=0,0,B19/B$17)</f>
        <v>0.44827586206896552</v>
      </c>
      <c r="E19" s="27" t="s">
        <v>93</v>
      </c>
      <c r="F19" s="24" t="s">
        <v>48</v>
      </c>
      <c r="G19" s="12">
        <v>1</v>
      </c>
      <c r="H19" s="88">
        <f>IF(B$20=0,0,G19/B$20)</f>
        <v>1.3333333333333334E-2</v>
      </c>
      <c r="I19" s="58">
        <v>1</v>
      </c>
      <c r="K19" s="74">
        <v>17</v>
      </c>
      <c r="L19" s="119">
        <v>209.2</v>
      </c>
      <c r="M19" s="117">
        <v>1779.5089411531192</v>
      </c>
    </row>
    <row r="20" spans="1:18" x14ac:dyDescent="0.4">
      <c r="A20" s="18" t="s">
        <v>10</v>
      </c>
      <c r="B20" s="11">
        <f>B23+B22</f>
        <v>75</v>
      </c>
      <c r="C20" s="5">
        <f>IF(B$3=0,0,B20/B$3)</f>
        <v>0.35714285714285715</v>
      </c>
      <c r="E20" s="27" t="s">
        <v>98</v>
      </c>
      <c r="F20" s="24" t="s">
        <v>53</v>
      </c>
      <c r="G20" s="12">
        <v>1</v>
      </c>
      <c r="H20" s="88">
        <f>IF(B$20=0,0,G20/B$20)</f>
        <v>1.3333333333333334E-2</v>
      </c>
      <c r="I20" s="58">
        <v>1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33</v>
      </c>
      <c r="C21" s="6">
        <f>IF(B$3=0,0,B21/B$3)</f>
        <v>0.15714285714285714</v>
      </c>
      <c r="E21" s="27" t="s">
        <v>155</v>
      </c>
      <c r="F21" s="24" t="s">
        <v>156</v>
      </c>
      <c r="G21" s="12">
        <v>1</v>
      </c>
      <c r="H21" s="88">
        <f>IF(B$20=0,0,G21/B$20)</f>
        <v>1.3333333333333334E-2</v>
      </c>
      <c r="I21" s="58">
        <v>5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35</v>
      </c>
      <c r="C22" s="6">
        <f>IF(B$20=0,0,B22/B$20)</f>
        <v>0.46666666666666667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215.6</v>
      </c>
      <c r="M22" s="117">
        <v>1777.6446408280763</v>
      </c>
    </row>
    <row r="23" spans="1:18" x14ac:dyDescent="0.4">
      <c r="A23" s="19" t="s">
        <v>11</v>
      </c>
      <c r="B23" s="12">
        <v>40</v>
      </c>
      <c r="C23" s="6">
        <f>IF(B$20=0,0,B23/B$20)</f>
        <v>0.53333333333333333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252.8</v>
      </c>
      <c r="M23" s="117">
        <v>1783.6647729831077</v>
      </c>
    </row>
    <row r="24" spans="1:18" x14ac:dyDescent="0.4">
      <c r="A24" s="19" t="s">
        <v>183</v>
      </c>
      <c r="B24" s="12">
        <v>44</v>
      </c>
      <c r="C24" s="6">
        <f>IF(B$20=0,0,B24/B$20)</f>
        <v>0.58666666666666667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250.60000000000002</v>
      </c>
      <c r="M24" s="117">
        <v>1782.5567843452091</v>
      </c>
    </row>
    <row r="25" spans="1:18" x14ac:dyDescent="0.4">
      <c r="A25" s="19" t="s">
        <v>181</v>
      </c>
      <c r="B25" s="12">
        <v>13</v>
      </c>
      <c r="C25" s="6">
        <f>IF(B$20=0,0,B25/B$20)</f>
        <v>0.17333333333333334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262.3</v>
      </c>
      <c r="M25" s="117">
        <v>1783.9574436391379</v>
      </c>
    </row>
    <row r="26" spans="1:18" x14ac:dyDescent="0.4">
      <c r="A26" s="19" t="s">
        <v>182</v>
      </c>
      <c r="B26" s="12">
        <v>18</v>
      </c>
      <c r="C26" s="6">
        <f>IF(B$20=0,0,B26/B$20)</f>
        <v>0.24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261.60000000000002</v>
      </c>
      <c r="M26" s="117">
        <v>1783.117698977303</v>
      </c>
    </row>
    <row r="27" spans="1:18" x14ac:dyDescent="0.4">
      <c r="A27" s="19" t="s">
        <v>5</v>
      </c>
      <c r="B27" s="16">
        <f>IF(B$20=0,0,C27/B$20)</f>
        <v>9090.6666666666661</v>
      </c>
      <c r="C27" s="8">
        <v>681800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261.60000000000002</v>
      </c>
      <c r="M27" s="117">
        <v>1782.4089927834391</v>
      </c>
    </row>
    <row r="28" spans="1:18" x14ac:dyDescent="0.4">
      <c r="A28" s="20" t="s">
        <v>165</v>
      </c>
      <c r="B28" s="95">
        <f>IF($B$20-B$19=0,0,C28/($B$20-B$19))</f>
        <v>9316.1290322580644</v>
      </c>
      <c r="C28" s="96">
        <v>577600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212.8</v>
      </c>
      <c r="M28" s="117">
        <v>1772.9205388267385</v>
      </c>
    </row>
    <row r="29" spans="1:18" x14ac:dyDescent="0.4">
      <c r="A29" s="20" t="s">
        <v>166</v>
      </c>
      <c r="B29" s="95">
        <f>IF(B$19=0,0,C29/B$19)</f>
        <v>8015.3846153846152</v>
      </c>
      <c r="C29" s="96">
        <v>104200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-8357.575757575758</v>
      </c>
      <c r="C30" s="96">
        <v>-275800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21</v>
      </c>
      <c r="C32" s="90">
        <v>6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101500</v>
      </c>
      <c r="C34" s="130"/>
      <c r="E34" s="27" t="s">
        <v>92</v>
      </c>
      <c r="F34" s="24" t="s">
        <v>47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8</v>
      </c>
      <c r="C37" s="98">
        <f t="shared" ref="C37:C49" si="2">IF(B$20=0,0,B37/B$20)</f>
        <v>0.10666666666666667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2"/>
        <v>0.12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11</v>
      </c>
      <c r="C39" s="6">
        <f t="shared" si="2"/>
        <v>0.14666666666666667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15</v>
      </c>
      <c r="C40" s="6">
        <f t="shared" si="2"/>
        <v>0.2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14</v>
      </c>
      <c r="C41" s="6">
        <f t="shared" si="2"/>
        <v>0.18666666666666668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0.10666666666666667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2.6666666666666668E-2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1.3333333333333334E-2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4</v>
      </c>
      <c r="C45" s="6">
        <f t="shared" si="2"/>
        <v>5.3333333333333337E-2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1</v>
      </c>
      <c r="C47" s="6">
        <f t="shared" si="2"/>
        <v>1.3333333333333334E-2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2.6666666666666668E-2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74C0-0B38-4ABA-9820-99D32C040CA6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6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6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6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5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6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6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5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1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4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3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6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4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6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6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C9ABB-741A-489F-90A5-9FEFBD671285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23</v>
      </c>
      <c r="C2" s="134"/>
      <c r="E2" s="26" t="s">
        <v>66</v>
      </c>
      <c r="F2" s="23" t="s">
        <v>22</v>
      </c>
      <c r="G2" s="11">
        <v>49</v>
      </c>
      <c r="H2" s="87">
        <f>IF(B$20=0,0,G2/B$20)</f>
        <v>0.98</v>
      </c>
      <c r="I2" s="57">
        <v>1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-1277.2727272727273</v>
      </c>
      <c r="Q2" s="76">
        <v>22</v>
      </c>
      <c r="R2" s="63">
        <v>-28100</v>
      </c>
    </row>
    <row r="3" spans="1:18" x14ac:dyDescent="0.4">
      <c r="A3" s="19" t="s">
        <v>8</v>
      </c>
      <c r="B3" s="135">
        <v>193</v>
      </c>
      <c r="C3" s="136"/>
      <c r="E3" s="27" t="s">
        <v>72</v>
      </c>
      <c r="F3" s="24" t="s">
        <v>27</v>
      </c>
      <c r="G3" s="12">
        <v>27</v>
      </c>
      <c r="H3" s="88">
        <f>IF(B$20=0,0,G3/B$20)</f>
        <v>0.54</v>
      </c>
      <c r="I3" s="58">
        <v>3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-1472.7272727272727</v>
      </c>
      <c r="Q3" s="77">
        <v>22</v>
      </c>
      <c r="R3" s="64">
        <v>-32400</v>
      </c>
    </row>
    <row r="4" spans="1:18" x14ac:dyDescent="0.4">
      <c r="A4" s="19" t="s">
        <v>6</v>
      </c>
      <c r="B4" s="137">
        <v>-202.5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0.46</v>
      </c>
      <c r="I4" s="58">
        <v>5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-223.8095238095238</v>
      </c>
      <c r="Q4" s="77">
        <v>21</v>
      </c>
      <c r="R4" s="64">
        <v>-4700</v>
      </c>
    </row>
    <row r="5" spans="1:18" x14ac:dyDescent="0.4">
      <c r="A5" s="19" t="s">
        <v>7</v>
      </c>
      <c r="B5" s="125">
        <f>IF(B$2=0,0,B$4/B$2)</f>
        <v>-8.804347826086957</v>
      </c>
      <c r="C5" s="126"/>
      <c r="E5" s="27" t="s">
        <v>159</v>
      </c>
      <c r="F5" s="24" t="s">
        <v>160</v>
      </c>
      <c r="G5" s="12">
        <v>19</v>
      </c>
      <c r="H5" s="88">
        <f>IF(B$20=0,0,G5/B$20)</f>
        <v>0.38</v>
      </c>
      <c r="I5" s="58">
        <v>6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-2647.6190476190477</v>
      </c>
      <c r="Q5" s="77">
        <v>21</v>
      </c>
      <c r="R5" s="64">
        <v>-55600</v>
      </c>
    </row>
    <row r="6" spans="1:18" x14ac:dyDescent="0.4">
      <c r="A6" s="19" t="s">
        <v>195</v>
      </c>
      <c r="B6" s="129">
        <v>1573.7894008124358</v>
      </c>
      <c r="C6" s="130"/>
      <c r="E6" s="27" t="s">
        <v>68</v>
      </c>
      <c r="F6" s="24" t="s">
        <v>12</v>
      </c>
      <c r="G6" s="12">
        <v>15</v>
      </c>
      <c r="H6" s="88">
        <f>IF(B$20=0,0,G6/B$20)</f>
        <v>0.3</v>
      </c>
      <c r="I6" s="58">
        <v>5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1489.4736842105262</v>
      </c>
      <c r="Q6" s="77">
        <v>19</v>
      </c>
      <c r="R6" s="64">
        <v>28300</v>
      </c>
    </row>
    <row r="7" spans="1:18" x14ac:dyDescent="0.4">
      <c r="A7" s="19" t="s">
        <v>1</v>
      </c>
      <c r="B7" s="139">
        <f>IF(B$2=0,0,(B$8*1+B$9*2+B$10*3)/B$2)</f>
        <v>2.1304347826086958</v>
      </c>
      <c r="C7" s="140"/>
      <c r="E7" s="27" t="s">
        <v>89</v>
      </c>
      <c r="F7" s="24" t="s">
        <v>44</v>
      </c>
      <c r="G7" s="12">
        <v>9</v>
      </c>
      <c r="H7" s="88">
        <f>IF(B$20=0,0,G7/B$20)</f>
        <v>0.18</v>
      </c>
      <c r="I7" s="58">
        <v>1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-2806.25</v>
      </c>
      <c r="Q7" s="78">
        <v>16</v>
      </c>
      <c r="R7" s="65">
        <v>-44900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0.2608695652173913</v>
      </c>
      <c r="E8" s="27" t="s">
        <v>65</v>
      </c>
      <c r="F8" s="24" t="s">
        <v>21</v>
      </c>
      <c r="G8" s="12">
        <v>7</v>
      </c>
      <c r="H8" s="88">
        <f>IF(B$20=0,0,G8/B$20)</f>
        <v>0.14000000000000001</v>
      </c>
      <c r="I8" s="58">
        <v>4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1"/>
        <v>0.34782608695652173</v>
      </c>
      <c r="E9" s="27" t="s">
        <v>70</v>
      </c>
      <c r="F9" s="24" t="s">
        <v>25</v>
      </c>
      <c r="G9" s="12">
        <v>7</v>
      </c>
      <c r="H9" s="88">
        <f>IF(B$20=0,0,G9/B$20)</f>
        <v>0.14000000000000001</v>
      </c>
      <c r="I9" s="58">
        <v>1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</v>
      </c>
      <c r="C10" s="7">
        <f t="shared" si="1"/>
        <v>0.39130434782608697</v>
      </c>
      <c r="E10" s="27" t="s">
        <v>69</v>
      </c>
      <c r="F10" s="24" t="s">
        <v>24</v>
      </c>
      <c r="G10" s="12">
        <v>6</v>
      </c>
      <c r="H10" s="88">
        <f>IF(B$20=0,0,G10/B$20)</f>
        <v>0.12</v>
      </c>
      <c r="I10" s="58">
        <v>5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-7.62</v>
      </c>
      <c r="Q10" s="76">
        <v>5</v>
      </c>
      <c r="R10" s="67">
        <v>-38.1</v>
      </c>
    </row>
    <row r="11" spans="1:18" x14ac:dyDescent="0.4">
      <c r="A11" s="20" t="s">
        <v>184</v>
      </c>
      <c r="B11" s="109">
        <f>IF(B8=0,0,C11/B8)</f>
        <v>29.866666666666671</v>
      </c>
      <c r="C11" s="110">
        <v>179.20000000000002</v>
      </c>
      <c r="E11" s="27" t="s">
        <v>67</v>
      </c>
      <c r="F11" s="24" t="s">
        <v>23</v>
      </c>
      <c r="G11" s="12">
        <v>5</v>
      </c>
      <c r="H11" s="88">
        <f>IF(B$20=0,0,G11/B$20)</f>
        <v>0.1</v>
      </c>
      <c r="I11" s="58">
        <v>4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-23.171428571428571</v>
      </c>
      <c r="Q11" s="77">
        <v>7</v>
      </c>
      <c r="R11" s="68">
        <v>-162.19999999999999</v>
      </c>
    </row>
    <row r="12" spans="1:18" x14ac:dyDescent="0.4">
      <c r="A12" s="20" t="s">
        <v>185</v>
      </c>
      <c r="B12" s="109">
        <f>IF(B9=0,0,C12/B9)</f>
        <v>-4.7750000000000004</v>
      </c>
      <c r="C12" s="110">
        <v>-38.200000000000003</v>
      </c>
      <c r="E12" s="27" t="s">
        <v>71</v>
      </c>
      <c r="F12" s="24" t="s">
        <v>26</v>
      </c>
      <c r="G12" s="12">
        <v>3</v>
      </c>
      <c r="H12" s="88">
        <f>IF(B$20=0,0,G12/B$20)</f>
        <v>0.06</v>
      </c>
      <c r="I12" s="58">
        <v>4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-0.20000000000000123</v>
      </c>
      <c r="Q12" s="78">
        <v>11</v>
      </c>
      <c r="R12" s="69">
        <v>-2.2000000000000135</v>
      </c>
    </row>
    <row r="13" spans="1:18" x14ac:dyDescent="0.4">
      <c r="A13" s="20" t="s">
        <v>186</v>
      </c>
      <c r="B13" s="109">
        <f>IF(B10=0,0,C13/B10)</f>
        <v>-38.166666666666664</v>
      </c>
      <c r="C13" s="110">
        <v>-343.5</v>
      </c>
      <c r="E13" s="27" t="s">
        <v>78</v>
      </c>
      <c r="F13" s="24" t="s">
        <v>33</v>
      </c>
      <c r="G13" s="12">
        <v>3</v>
      </c>
      <c r="H13" s="88">
        <f>IF(B$20=0,0,G13/B$20)</f>
        <v>0.06</v>
      </c>
      <c r="I13" s="58">
        <v>1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-4.3583333333333316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0.06</v>
      </c>
      <c r="I14" s="58">
        <v>2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0.13043478260869565</v>
      </c>
      <c r="E15" s="27" t="s">
        <v>83</v>
      </c>
      <c r="F15" s="24" t="s">
        <v>38</v>
      </c>
      <c r="G15" s="12">
        <v>2</v>
      </c>
      <c r="H15" s="88">
        <f>IF(B$20=0,0,G15/B$20)</f>
        <v>0.04</v>
      </c>
      <c r="I15" s="58">
        <v>2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49</v>
      </c>
      <c r="C16" s="10">
        <f>IF(B$3=0,0,B16/B$3)</f>
        <v>0.25388601036269431</v>
      </c>
      <c r="E16" s="27" t="s">
        <v>74</v>
      </c>
      <c r="F16" s="24" t="s">
        <v>29</v>
      </c>
      <c r="G16" s="12">
        <v>1</v>
      </c>
      <c r="H16" s="88">
        <f>IF(B$20=0,0,G16/B$20)</f>
        <v>0.02</v>
      </c>
      <c r="I16" s="58">
        <v>1</v>
      </c>
      <c r="K16" s="74">
        <v>14</v>
      </c>
      <c r="L16" s="119">
        <v>-32.700000000000003</v>
      </c>
      <c r="M16" s="117">
        <v>1601.4744777755197</v>
      </c>
      <c r="O16" s="74" t="s">
        <v>126</v>
      </c>
      <c r="P16" s="83">
        <f>IF(Q16=0,0,R16/Q16)</f>
        <v>-15.256521739130438</v>
      </c>
      <c r="Q16" s="77">
        <v>23</v>
      </c>
      <c r="R16" s="68">
        <v>-350.90000000000009</v>
      </c>
    </row>
    <row r="17" spans="1:18" x14ac:dyDescent="0.4">
      <c r="A17" s="19" t="s">
        <v>118</v>
      </c>
      <c r="B17" s="12">
        <v>43</v>
      </c>
      <c r="C17" s="6">
        <f>IF(B$3=0,0,B17/B$3)</f>
        <v>0.22279792746113988</v>
      </c>
      <c r="E17" s="27" t="s">
        <v>79</v>
      </c>
      <c r="F17" s="24" t="s">
        <v>34</v>
      </c>
      <c r="G17" s="12">
        <v>1</v>
      </c>
      <c r="H17" s="88">
        <f>IF(B$20=0,0,G17/B$20)</f>
        <v>0.02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163</v>
      </c>
      <c r="P17" s="83">
        <f>IF(Q17=0,0,R17/Q17)</f>
        <v>-26.853846153846156</v>
      </c>
      <c r="Q17" s="77">
        <v>13</v>
      </c>
      <c r="R17" s="68">
        <v>-349.1</v>
      </c>
    </row>
    <row r="18" spans="1:18" x14ac:dyDescent="0.4">
      <c r="A18" s="18" t="s">
        <v>123</v>
      </c>
      <c r="B18" s="11">
        <f>B24</f>
        <v>23</v>
      </c>
      <c r="C18" s="5">
        <f>IF(B$16=0,0,B18/B$16)</f>
        <v>0.46938775510204084</v>
      </c>
      <c r="E18" s="27" t="s">
        <v>86</v>
      </c>
      <c r="F18" s="24" t="s">
        <v>41</v>
      </c>
      <c r="G18" s="12">
        <v>1</v>
      </c>
      <c r="H18" s="88">
        <f>IF(B$20=0,0,G18/B$20)</f>
        <v>0.02</v>
      </c>
      <c r="I18" s="58">
        <v>5</v>
      </c>
      <c r="K18" s="74">
        <v>16</v>
      </c>
      <c r="L18" s="119">
        <v>-22.000000000000007</v>
      </c>
      <c r="M18" s="117">
        <v>1603.1325771234135</v>
      </c>
    </row>
    <row r="19" spans="1:18" x14ac:dyDescent="0.4">
      <c r="A19" s="18" t="s">
        <v>124</v>
      </c>
      <c r="B19" s="11">
        <f>B25</f>
        <v>16</v>
      </c>
      <c r="C19" s="5">
        <f>IF(B$17=0,0,B19/B$17)</f>
        <v>0.37209302325581395</v>
      </c>
      <c r="E19" s="27" t="s">
        <v>155</v>
      </c>
      <c r="F19" s="24" t="s">
        <v>156</v>
      </c>
      <c r="G19" s="12">
        <v>1</v>
      </c>
      <c r="H19" s="88">
        <f>IF(B$20=0,0,G19/B$20)</f>
        <v>0.02</v>
      </c>
      <c r="I19" s="58">
        <v>4</v>
      </c>
      <c r="K19" s="74">
        <v>17</v>
      </c>
      <c r="L19" s="119">
        <v>-44.800000000000011</v>
      </c>
      <c r="M19" s="117">
        <v>1599.3997816606729</v>
      </c>
    </row>
    <row r="20" spans="1:18" x14ac:dyDescent="0.4">
      <c r="A20" s="18" t="s">
        <v>10</v>
      </c>
      <c r="B20" s="11">
        <f>B23+B22</f>
        <v>50</v>
      </c>
      <c r="C20" s="5">
        <f>IF(B$3=0,0,B20/B$3)</f>
        <v>0.25906735751295334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-41.600000000000009</v>
      </c>
      <c r="M20" s="117">
        <v>1600.369382970709</v>
      </c>
    </row>
    <row r="21" spans="1:18" x14ac:dyDescent="0.4">
      <c r="A21" s="19" t="s">
        <v>13</v>
      </c>
      <c r="B21" s="12">
        <v>25</v>
      </c>
      <c r="C21" s="6">
        <f>IF(B$3=0,0,B21/B$3)</f>
        <v>0.12953367875647667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-91.200000000000017</v>
      </c>
      <c r="M21" s="117">
        <v>1591.8291666728849</v>
      </c>
    </row>
    <row r="22" spans="1:18" x14ac:dyDescent="0.4">
      <c r="A22" s="19" t="s">
        <v>12</v>
      </c>
      <c r="B22" s="12">
        <v>22</v>
      </c>
      <c r="C22" s="6">
        <f>IF(B$20=0,0,B22/B$20)</f>
        <v>0.44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-149.30000000000001</v>
      </c>
      <c r="M22" s="117">
        <v>1581.8101916728476</v>
      </c>
    </row>
    <row r="23" spans="1:18" x14ac:dyDescent="0.4">
      <c r="A23" s="19" t="s">
        <v>11</v>
      </c>
      <c r="B23" s="12">
        <v>28</v>
      </c>
      <c r="C23" s="6">
        <f>IF(B$20=0,0,B23/B$20)</f>
        <v>0.56000000000000005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-180.3</v>
      </c>
      <c r="M23" s="117">
        <v>1576.7293305228106</v>
      </c>
    </row>
    <row r="24" spans="1:18" x14ac:dyDescent="0.4">
      <c r="A24" s="19" t="s">
        <v>183</v>
      </c>
      <c r="B24" s="12">
        <v>23</v>
      </c>
      <c r="C24" s="6">
        <f>IF(B$20=0,0,B24/B$20)</f>
        <v>0.46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-180.3</v>
      </c>
      <c r="M24" s="117">
        <v>1577.2589545396738</v>
      </c>
    </row>
    <row r="25" spans="1:18" x14ac:dyDescent="0.4">
      <c r="A25" s="19" t="s">
        <v>181</v>
      </c>
      <c r="B25" s="12">
        <v>16</v>
      </c>
      <c r="C25" s="6">
        <f>IF(B$20=0,0,B25/B$20)</f>
        <v>0.32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-202.5</v>
      </c>
      <c r="M25" s="117">
        <v>1573.7894008124358</v>
      </c>
    </row>
    <row r="26" spans="1:18" x14ac:dyDescent="0.4">
      <c r="A26" s="19" t="s">
        <v>182</v>
      </c>
      <c r="B26" s="12">
        <v>11</v>
      </c>
      <c r="C26" s="6">
        <f>IF(B$20=0,0,B26/B$20)</f>
        <v>0.22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8140</v>
      </c>
      <c r="C27" s="8">
        <v>407000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9017.6470588235297</v>
      </c>
      <c r="C28" s="96">
        <v>306600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6275</v>
      </c>
      <c r="C29" s="96">
        <v>100400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-8452</v>
      </c>
      <c r="C30" s="96">
        <v>-211300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27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77600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3</v>
      </c>
      <c r="C37" s="98">
        <f t="shared" ref="C37:C49" si="2">IF(B$20=0,0,B37/B$20)</f>
        <v>0.06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12</v>
      </c>
      <c r="C38" s="6">
        <f t="shared" si="2"/>
        <v>0.24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10</v>
      </c>
      <c r="C39" s="6">
        <f t="shared" si="2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2"/>
        <v>0.14000000000000001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4</v>
      </c>
      <c r="C42" s="6">
        <f t="shared" si="2"/>
        <v>0.08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4</v>
      </c>
      <c r="C43" s="6">
        <f t="shared" si="2"/>
        <v>0.08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0.04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3</v>
      </c>
      <c r="C45" s="6">
        <f t="shared" si="2"/>
        <v>0.06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0BCB-FD80-4639-86E0-DDB55EEA785A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64</v>
      </c>
      <c r="F2" s="23" t="s">
        <v>20</v>
      </c>
      <c r="G2" s="11">
        <v>13</v>
      </c>
      <c r="H2" s="87">
        <f>IF(B$20=0,0,G2/B$20)</f>
        <v>0.76470588235294112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-2690</v>
      </c>
      <c r="Q2" s="76">
        <v>10</v>
      </c>
      <c r="R2" s="63">
        <v>-26900</v>
      </c>
    </row>
    <row r="3" spans="1:18" x14ac:dyDescent="0.4">
      <c r="A3" s="19" t="s">
        <v>8</v>
      </c>
      <c r="B3" s="135">
        <v>87</v>
      </c>
      <c r="C3" s="136"/>
      <c r="E3" s="27" t="s">
        <v>72</v>
      </c>
      <c r="F3" s="24" t="s">
        <v>27</v>
      </c>
      <c r="G3" s="12">
        <v>10</v>
      </c>
      <c r="H3" s="88">
        <f>IF(B$20=0,0,G3/B$20)</f>
        <v>0.58823529411764708</v>
      </c>
      <c r="I3" s="58">
        <v>2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-5830</v>
      </c>
      <c r="Q3" s="77">
        <v>10</v>
      </c>
      <c r="R3" s="64">
        <v>-58300</v>
      </c>
    </row>
    <row r="4" spans="1:18" x14ac:dyDescent="0.4">
      <c r="A4" s="19" t="s">
        <v>6</v>
      </c>
      <c r="B4" s="137">
        <v>-122.10000000000001</v>
      </c>
      <c r="C4" s="138"/>
      <c r="E4" s="27" t="s">
        <v>159</v>
      </c>
      <c r="F4" s="24" t="s">
        <v>160</v>
      </c>
      <c r="G4" s="12">
        <v>8</v>
      </c>
      <c r="H4" s="88">
        <f>IF(B$20=0,0,G4/B$20)</f>
        <v>0.47058823529411764</v>
      </c>
      <c r="I4" s="58">
        <v>2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-180</v>
      </c>
      <c r="Q4" s="77">
        <v>10</v>
      </c>
      <c r="R4" s="64">
        <v>-1800</v>
      </c>
    </row>
    <row r="5" spans="1:18" x14ac:dyDescent="0.4">
      <c r="A5" s="19" t="s">
        <v>7</v>
      </c>
      <c r="B5" s="125">
        <f>IF(B$2=0,0,B$4/B$2)</f>
        <v>-12.21</v>
      </c>
      <c r="C5" s="126"/>
      <c r="E5" s="27" t="s">
        <v>66</v>
      </c>
      <c r="F5" s="24" t="s">
        <v>22</v>
      </c>
      <c r="G5" s="12">
        <v>7</v>
      </c>
      <c r="H5" s="88">
        <f>IF(B$20=0,0,G5/B$20)</f>
        <v>0.41176470588235292</v>
      </c>
      <c r="I5" s="58">
        <v>5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2780</v>
      </c>
      <c r="Q5" s="77">
        <v>10</v>
      </c>
      <c r="R5" s="64">
        <v>27800</v>
      </c>
    </row>
    <row r="6" spans="1:18" x14ac:dyDescent="0.4">
      <c r="A6" s="19" t="s">
        <v>195</v>
      </c>
      <c r="B6" s="129">
        <v>1368.0956002333121</v>
      </c>
      <c r="C6" s="130"/>
      <c r="E6" s="27" t="s">
        <v>65</v>
      </c>
      <c r="F6" s="24" t="s">
        <v>21</v>
      </c>
      <c r="G6" s="12">
        <v>6</v>
      </c>
      <c r="H6" s="88">
        <f>IF(B$20=0,0,G6/B$20)</f>
        <v>0.35294117647058826</v>
      </c>
      <c r="I6" s="58">
        <v>1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-5400</v>
      </c>
      <c r="Q6" s="77">
        <v>9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2.4</v>
      </c>
      <c r="C7" s="140"/>
      <c r="E7" s="27" t="s">
        <v>68</v>
      </c>
      <c r="F7" s="24" t="s">
        <v>12</v>
      </c>
      <c r="G7" s="12">
        <v>6</v>
      </c>
      <c r="H7" s="88">
        <f>IF(B$20=0,0,G7/B$20)</f>
        <v>0.35294117647058826</v>
      </c>
      <c r="I7" s="58">
        <v>4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3212.5</v>
      </c>
      <c r="Q7" s="78">
        <v>8</v>
      </c>
      <c r="R7" s="65">
        <v>25700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</v>
      </c>
      <c r="E8" s="27" t="s">
        <v>69</v>
      </c>
      <c r="F8" s="24" t="s">
        <v>24</v>
      </c>
      <c r="G8" s="12">
        <v>5</v>
      </c>
      <c r="H8" s="88">
        <f>IF(B$20=0,0,G8/B$20)</f>
        <v>0.29411764705882354</v>
      </c>
      <c r="I8" s="58">
        <v>1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</v>
      </c>
      <c r="E9" s="27" t="s">
        <v>89</v>
      </c>
      <c r="F9" s="24" t="s">
        <v>44</v>
      </c>
      <c r="G9" s="12">
        <v>3</v>
      </c>
      <c r="H9" s="88">
        <f>IF(B$20=0,0,G9/B$20)</f>
        <v>0.17647058823529413</v>
      </c>
      <c r="I9" s="58">
        <v>2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0.6</v>
      </c>
      <c r="E10" s="27" t="s">
        <v>70</v>
      </c>
      <c r="F10" s="24" t="s">
        <v>25</v>
      </c>
      <c r="G10" s="12">
        <v>2</v>
      </c>
      <c r="H10" s="88">
        <f>IF(B$20=0,0,G10/B$20)</f>
        <v>0.11764705882352941</v>
      </c>
      <c r="I10" s="58">
        <v>2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8.4000000000000021</v>
      </c>
      <c r="Q10" s="76">
        <v>2</v>
      </c>
      <c r="R10" s="67">
        <v>16.800000000000004</v>
      </c>
    </row>
    <row r="11" spans="1:18" x14ac:dyDescent="0.4">
      <c r="A11" s="20" t="s">
        <v>184</v>
      </c>
      <c r="B11" s="109">
        <f>IF(B8=0,0,C11/B8)</f>
        <v>38.799999999999997</v>
      </c>
      <c r="C11" s="110">
        <v>77.599999999999994</v>
      </c>
      <c r="E11" s="27" t="s">
        <v>86</v>
      </c>
      <c r="F11" s="24" t="s">
        <v>41</v>
      </c>
      <c r="G11" s="12">
        <v>2</v>
      </c>
      <c r="H11" s="88">
        <f>IF(B$20=0,0,G11/B$20)</f>
        <v>0.11764705882352941</v>
      </c>
      <c r="I11" s="58">
        <v>1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-22.4</v>
      </c>
      <c r="Q11" s="77">
        <v>5</v>
      </c>
      <c r="R11" s="68">
        <v>-111.99999999999999</v>
      </c>
    </row>
    <row r="12" spans="1:18" x14ac:dyDescent="0.4">
      <c r="A12" s="20" t="s">
        <v>185</v>
      </c>
      <c r="B12" s="109">
        <f>IF(B9=0,0,C12/B9)</f>
        <v>-4.1500000000000004</v>
      </c>
      <c r="C12" s="110">
        <v>-8.3000000000000007</v>
      </c>
      <c r="E12" s="27" t="s">
        <v>81</v>
      </c>
      <c r="F12" s="24" t="s">
        <v>36</v>
      </c>
      <c r="G12" s="12">
        <v>1</v>
      </c>
      <c r="H12" s="88">
        <f>IF(B$20=0,0,G12/B$20)</f>
        <v>5.8823529411764705E-2</v>
      </c>
      <c r="I12" s="58">
        <v>3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-8.9666666666666668</v>
      </c>
      <c r="Q12" s="78">
        <v>3</v>
      </c>
      <c r="R12" s="69">
        <v>-26.900000000000002</v>
      </c>
    </row>
    <row r="13" spans="1:18" x14ac:dyDescent="0.4">
      <c r="A13" s="20" t="s">
        <v>186</v>
      </c>
      <c r="B13" s="109">
        <f>IF(B10=0,0,C13/B10)</f>
        <v>-31.899999999999995</v>
      </c>
      <c r="C13" s="110">
        <v>-191.39999999999998</v>
      </c>
      <c r="E13" s="27" t="s">
        <v>90</v>
      </c>
      <c r="F13" s="24" t="s">
        <v>45</v>
      </c>
      <c r="G13" s="12">
        <v>1</v>
      </c>
      <c r="H13" s="88">
        <f>IF(B$20=0,0,G13/B$20)</f>
        <v>5.8823529411764705E-2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0.91666666666666785</v>
      </c>
      <c r="C14" s="126"/>
      <c r="E14" s="27" t="s">
        <v>91</v>
      </c>
      <c r="F14" s="24" t="s">
        <v>46</v>
      </c>
      <c r="G14" s="12">
        <v>1</v>
      </c>
      <c r="H14" s="88">
        <f>IF(B$20=0,0,G14/B$20)</f>
        <v>5.8823529411764705E-2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</v>
      </c>
      <c r="E15" s="27" t="s">
        <v>155</v>
      </c>
      <c r="F15" s="24" t="s">
        <v>156</v>
      </c>
      <c r="G15" s="12">
        <v>1</v>
      </c>
      <c r="H15" s="88">
        <f>IF(B$20=0,0,G15/B$20)</f>
        <v>5.8823529411764705E-2</v>
      </c>
      <c r="I15" s="58">
        <v>1</v>
      </c>
      <c r="O15" s="73" t="s">
        <v>192</v>
      </c>
      <c r="P15" s="82">
        <f>IF(Q15=0,0,R15/Q15)</f>
        <v>-9.25</v>
      </c>
      <c r="Q15" s="76">
        <v>10</v>
      </c>
      <c r="R15" s="67">
        <v>-92.5</v>
      </c>
    </row>
    <row r="16" spans="1:18" x14ac:dyDescent="0.4">
      <c r="A16" s="22" t="s">
        <v>121</v>
      </c>
      <c r="B16" s="15">
        <v>29</v>
      </c>
      <c r="C16" s="10">
        <f>IF(B$3=0,0,B16/B$3)</f>
        <v>0.33333333333333331</v>
      </c>
      <c r="E16" s="27" t="s">
        <v>67</v>
      </c>
      <c r="F16" s="24" t="s">
        <v>23</v>
      </c>
      <c r="G16" s="12">
        <v>0</v>
      </c>
      <c r="H16" s="88">
        <f>IF(B$20=0,0,G16/B$20)</f>
        <v>0</v>
      </c>
      <c r="I16" s="58">
        <v>5</v>
      </c>
      <c r="O16" s="74" t="s">
        <v>126</v>
      </c>
      <c r="P16" s="83">
        <f>IF(Q16=0,0,R16/Q16)</f>
        <v>-27.380000000000003</v>
      </c>
      <c r="Q16" s="77">
        <v>10</v>
      </c>
      <c r="R16" s="68">
        <v>-273.8</v>
      </c>
    </row>
    <row r="17" spans="1:9" x14ac:dyDescent="0.4">
      <c r="A17" s="19" t="s">
        <v>118</v>
      </c>
      <c r="B17" s="12">
        <v>14</v>
      </c>
      <c r="C17" s="6">
        <f>IF(B$3=0,0,B17/B$3)</f>
        <v>0.16091954022988506</v>
      </c>
      <c r="E17" s="27" t="s">
        <v>71</v>
      </c>
      <c r="F17" s="24" t="s">
        <v>26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14</v>
      </c>
      <c r="C18" s="5">
        <f>IF(B$16=0,0,B18/B$16)</f>
        <v>0.48275862068965519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0.14285714285714285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3</v>
      </c>
    </row>
    <row r="20" spans="1:9" x14ac:dyDescent="0.4">
      <c r="A20" s="18" t="s">
        <v>10</v>
      </c>
      <c r="B20" s="11">
        <f>B23+B22</f>
        <v>17</v>
      </c>
      <c r="C20" s="5">
        <f>IF(B$3=0,0,B20/B$3)</f>
        <v>0.19540229885057472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17</v>
      </c>
      <c r="C21" s="6">
        <f>IF(B$3=0,0,B21/B$3)</f>
        <v>0.19540229885057472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7</v>
      </c>
      <c r="C22" s="6">
        <f>IF(B$20=0,0,B22/B$20)</f>
        <v>0.41176470588235292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10</v>
      </c>
      <c r="C23" s="6">
        <f>IF(B$20=0,0,B23/B$20)</f>
        <v>0.58823529411764708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4</v>
      </c>
    </row>
    <row r="24" spans="1:9" x14ac:dyDescent="0.4">
      <c r="A24" s="19" t="s">
        <v>183</v>
      </c>
      <c r="B24" s="12">
        <v>14</v>
      </c>
      <c r="C24" s="6">
        <f>IF(B$20=0,0,B24/B$20)</f>
        <v>0.82352941176470584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181</v>
      </c>
      <c r="B25" s="12">
        <v>2</v>
      </c>
      <c r="C25" s="6">
        <f>IF(B$20=0,0,B25/B$20)</f>
        <v>0.11764705882352941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182</v>
      </c>
      <c r="B26" s="12">
        <v>1</v>
      </c>
      <c r="C26" s="6">
        <f>IF(B$20=0,0,B26/B$20)</f>
        <v>5.8823529411764705E-2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10558.823529411764</v>
      </c>
      <c r="C27" s="8">
        <v>179500</v>
      </c>
      <c r="E27" s="27" t="s">
        <v>83</v>
      </c>
      <c r="F27" s="24" t="s">
        <v>38</v>
      </c>
      <c r="G27" s="12">
        <v>0</v>
      </c>
      <c r="H27" s="88">
        <f>IF(B$20=0,0,G27/B$20)</f>
        <v>0</v>
      </c>
      <c r="I27" s="58">
        <v>4</v>
      </c>
    </row>
    <row r="28" spans="1:9" x14ac:dyDescent="0.4">
      <c r="A28" s="20" t="s">
        <v>165</v>
      </c>
      <c r="B28" s="95">
        <f>IF($B$20-B$19=0,0,C28/($B$20-B$19))</f>
        <v>11300</v>
      </c>
      <c r="C28" s="96">
        <v>169500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166</v>
      </c>
      <c r="B29" s="95">
        <f>IF(B$19=0,0,C29/B$19)</f>
        <v>5000</v>
      </c>
      <c r="C29" s="96">
        <v>10000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-5435.2941176470586</v>
      </c>
      <c r="C30" s="96">
        <v>-92400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157</v>
      </c>
      <c r="B31" s="12">
        <v>2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158</v>
      </c>
      <c r="B32" s="12">
        <v>17</v>
      </c>
      <c r="C32" s="90">
        <v>6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0.11764705882352941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1</v>
      </c>
      <c r="C39" s="6">
        <f t="shared" si="2"/>
        <v>5.8823529411764705E-2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2"/>
        <v>0.35294117647058826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2"/>
        <v>0.17647058823529413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2"/>
        <v>0.11764705882352941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5.8823529411764705E-2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5.8823529411764705E-2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5.8823529411764705E-2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172B8-0CA9-4CB1-8A54-3938677ECEDD}">
  <sheetPr codeName="Sheet16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3517E-8C73-410C-A006-2E5599A2C254}">
  <sheetPr codeName="Sheet14"/>
  <dimension ref="A1:Q2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  <row r="20" spans="1:16" x14ac:dyDescent="0.4">
      <c r="A20" s="33">
        <v>17</v>
      </c>
      <c r="B20" s="30">
        <v>-44.800000000000011</v>
      </c>
      <c r="C20" s="30">
        <v>-2.6352941176470597</v>
      </c>
      <c r="D20" s="35">
        <v>2.0588235294117645</v>
      </c>
      <c r="E20" s="31">
        <v>0.29411764705882354</v>
      </c>
      <c r="F20" s="31">
        <v>0.35294117647058826</v>
      </c>
      <c r="G20" s="31">
        <v>0.27464788732394368</v>
      </c>
      <c r="H20" s="31">
        <v>8.4507042253521125E-2</v>
      </c>
      <c r="I20" s="32">
        <v>8276.9230769230762</v>
      </c>
      <c r="J20" s="32">
        <v>-10100</v>
      </c>
      <c r="K20" s="31">
        <v>0.11764705882352941</v>
      </c>
      <c r="L20" s="31">
        <v>0.28873239436619719</v>
      </c>
      <c r="M20" s="31">
        <v>0.23943661971830985</v>
      </c>
      <c r="N20" s="31">
        <v>0.43902439024390244</v>
      </c>
      <c r="O20" s="31">
        <v>0.35294117647058826</v>
      </c>
      <c r="P20" s="31">
        <v>0.4358974358974359</v>
      </c>
    </row>
    <row r="21" spans="1:16" x14ac:dyDescent="0.4">
      <c r="A21" s="33">
        <v>18</v>
      </c>
      <c r="B21" s="30">
        <v>-41.600000000000009</v>
      </c>
      <c r="C21" s="30">
        <v>-2.3111111111111118</v>
      </c>
      <c r="D21" s="35">
        <v>2.0555555555555554</v>
      </c>
      <c r="E21" s="31">
        <v>0.27777777777777779</v>
      </c>
      <c r="F21" s="31">
        <v>0.33333333333333331</v>
      </c>
      <c r="G21" s="31">
        <v>0.28000000000000003</v>
      </c>
      <c r="H21" s="31">
        <v>0.11333333333333333</v>
      </c>
      <c r="I21" s="32">
        <v>8535.7142857142862</v>
      </c>
      <c r="J21" s="32">
        <v>-9217.6470588235297</v>
      </c>
      <c r="K21" s="31">
        <v>0.1111111111111111</v>
      </c>
      <c r="L21" s="31">
        <v>0.28666666666666668</v>
      </c>
      <c r="M21" s="31">
        <v>0.22666666666666666</v>
      </c>
      <c r="N21" s="31">
        <v>0.46511627906976744</v>
      </c>
      <c r="O21" s="31">
        <v>0.35294117647058826</v>
      </c>
      <c r="P21" s="31">
        <v>0.45238095238095238</v>
      </c>
    </row>
    <row r="22" spans="1:16" x14ac:dyDescent="0.4">
      <c r="A22" s="33">
        <v>19</v>
      </c>
      <c r="B22" s="30">
        <v>-91.200000000000017</v>
      </c>
      <c r="C22" s="30">
        <v>-4.8000000000000007</v>
      </c>
      <c r="D22" s="35">
        <v>2.1052631578947367</v>
      </c>
      <c r="E22" s="31">
        <v>0.26315789473684209</v>
      </c>
      <c r="F22" s="31">
        <v>0.36842105263157893</v>
      </c>
      <c r="G22" s="31">
        <v>0.27500000000000002</v>
      </c>
      <c r="H22" s="31">
        <v>0.11874999999999999</v>
      </c>
      <c r="I22" s="32">
        <v>8511.363636363636</v>
      </c>
      <c r="J22" s="32">
        <v>-9510.5263157894733</v>
      </c>
      <c r="K22" s="31">
        <v>0.10526315789473684</v>
      </c>
      <c r="L22" s="31">
        <v>0.27500000000000002</v>
      </c>
      <c r="M22" s="31">
        <v>0.23749999999999999</v>
      </c>
      <c r="N22" s="31">
        <v>0.45454545454545453</v>
      </c>
      <c r="O22" s="31">
        <v>0.36842105263157893</v>
      </c>
      <c r="P22" s="31">
        <v>0.45454545454545453</v>
      </c>
    </row>
    <row r="23" spans="1:16" x14ac:dyDescent="0.4">
      <c r="A23" s="33">
        <v>20</v>
      </c>
      <c r="B23" s="30">
        <v>-149.30000000000001</v>
      </c>
      <c r="C23" s="30">
        <v>-7.4650000000000007</v>
      </c>
      <c r="D23" s="35">
        <v>2.15</v>
      </c>
      <c r="E23" s="31">
        <v>0.25</v>
      </c>
      <c r="F23" s="31">
        <v>0.4</v>
      </c>
      <c r="G23" s="31">
        <v>0.26190476190476192</v>
      </c>
      <c r="H23" s="31">
        <v>0.125</v>
      </c>
      <c r="I23" s="32">
        <v>8511.363636363636</v>
      </c>
      <c r="J23" s="32">
        <v>-9171.4285714285706</v>
      </c>
      <c r="K23" s="31">
        <v>0.15</v>
      </c>
      <c r="L23" s="31">
        <v>0.27380952380952384</v>
      </c>
      <c r="M23" s="31">
        <v>0.23214285714285715</v>
      </c>
      <c r="N23" s="31">
        <v>0.43478260869565216</v>
      </c>
      <c r="O23" s="31">
        <v>0.35897435897435898</v>
      </c>
      <c r="P23" s="31">
        <v>0.45454545454545453</v>
      </c>
    </row>
    <row r="24" spans="1:16" x14ac:dyDescent="0.4">
      <c r="A24" s="33">
        <v>21</v>
      </c>
      <c r="B24" s="30">
        <v>-180.3</v>
      </c>
      <c r="C24" s="30">
        <v>-8.5857142857142854</v>
      </c>
      <c r="D24" s="35">
        <v>2.1904761904761907</v>
      </c>
      <c r="E24" s="31">
        <v>0.23809523809523808</v>
      </c>
      <c r="F24" s="31">
        <v>0.42857142857142855</v>
      </c>
      <c r="G24" s="31">
        <v>0.25555555555555554</v>
      </c>
      <c r="H24" s="31">
        <v>0.11666666666666667</v>
      </c>
      <c r="I24" s="32">
        <v>8230.434782608696</v>
      </c>
      <c r="J24" s="32">
        <v>-9171.4285714285706</v>
      </c>
      <c r="K24" s="31">
        <v>0.14285714285714285</v>
      </c>
      <c r="L24" s="31">
        <v>0.26111111111111113</v>
      </c>
      <c r="M24" s="31">
        <v>0.22777777777777777</v>
      </c>
      <c r="N24" s="31">
        <v>0.44680851063829785</v>
      </c>
      <c r="O24" s="31">
        <v>0.36585365853658536</v>
      </c>
      <c r="P24" s="31">
        <v>0.43478260869565216</v>
      </c>
    </row>
    <row r="25" spans="1:16" x14ac:dyDescent="0.4">
      <c r="A25" s="33">
        <v>22</v>
      </c>
      <c r="B25" s="30">
        <v>-180.3</v>
      </c>
      <c r="C25" s="30">
        <v>-8.1954545454545453</v>
      </c>
      <c r="D25" s="35">
        <v>2.1363636363636362</v>
      </c>
      <c r="E25" s="31">
        <v>0.27272727272727271</v>
      </c>
      <c r="F25" s="31">
        <v>0.40909090909090912</v>
      </c>
      <c r="G25" s="31">
        <v>0.25555555555555554</v>
      </c>
      <c r="H25" s="31">
        <v>0.11666666666666667</v>
      </c>
      <c r="I25" s="32">
        <v>8230.434782608696</v>
      </c>
      <c r="J25" s="32">
        <v>-9171.4285714285706</v>
      </c>
      <c r="K25" s="31">
        <v>0.13636363636363635</v>
      </c>
      <c r="L25" s="31">
        <v>0.26111111111111113</v>
      </c>
      <c r="M25" s="31">
        <v>0.22777777777777777</v>
      </c>
      <c r="N25" s="31">
        <v>0.44680851063829785</v>
      </c>
      <c r="O25" s="31">
        <v>0.36585365853658536</v>
      </c>
      <c r="P25" s="31">
        <v>0.43478260869565216</v>
      </c>
    </row>
    <row r="26" spans="1:16" x14ac:dyDescent="0.4">
      <c r="A26" s="33">
        <v>23</v>
      </c>
      <c r="B26" s="30">
        <v>-202.5</v>
      </c>
      <c r="C26" s="30">
        <v>-8.804347826086957</v>
      </c>
      <c r="D26" s="35">
        <v>2.1304347826086958</v>
      </c>
      <c r="E26" s="31">
        <v>0.2608695652173913</v>
      </c>
      <c r="F26" s="31">
        <v>0.39130434782608697</v>
      </c>
      <c r="G26" s="31">
        <v>0.25906735751295334</v>
      </c>
      <c r="H26" s="31">
        <v>0.12953367875647667</v>
      </c>
      <c r="I26" s="32">
        <v>8140</v>
      </c>
      <c r="J26" s="32">
        <v>-8452</v>
      </c>
      <c r="K26" s="31">
        <v>0.13043478260869565</v>
      </c>
      <c r="L26" s="31">
        <v>0.25388601036269431</v>
      </c>
      <c r="M26" s="31">
        <v>0.22279792746113988</v>
      </c>
      <c r="N26" s="31">
        <v>0.46938775510204084</v>
      </c>
      <c r="O26" s="31">
        <v>0.37209302325581395</v>
      </c>
      <c r="P26" s="31">
        <v>0.44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DE1CF-89C2-4037-BEE2-7C88DB9CD8B8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EE6C0-7FB7-4F96-BF15-BA5DD399D14C}">
  <sheetPr codeName="Sheet10"/>
  <dimension ref="A1:Q2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  <row r="23" spans="1:16" x14ac:dyDescent="0.4">
      <c r="A23" s="33">
        <v>20</v>
      </c>
      <c r="B23" s="30">
        <v>215.6</v>
      </c>
      <c r="C23" s="30">
        <v>10.78</v>
      </c>
      <c r="D23" s="35">
        <v>1.7</v>
      </c>
      <c r="E23" s="31">
        <v>0.5</v>
      </c>
      <c r="F23" s="31">
        <v>0.2</v>
      </c>
      <c r="G23" s="31">
        <v>0.37735849056603776</v>
      </c>
      <c r="H23" s="31">
        <v>0.16352201257861634</v>
      </c>
      <c r="I23" s="32">
        <v>9071.6666666666661</v>
      </c>
      <c r="J23" s="32">
        <v>-8400</v>
      </c>
      <c r="K23" s="31">
        <v>0.05</v>
      </c>
      <c r="L23" s="31">
        <v>0.38993710691823902</v>
      </c>
      <c r="M23" s="31">
        <v>0.13207547169811321</v>
      </c>
      <c r="N23" s="31">
        <v>0.56451612903225812</v>
      </c>
      <c r="O23" s="31">
        <v>0.47619047619047616</v>
      </c>
      <c r="P23" s="31">
        <v>0.5</v>
      </c>
    </row>
    <row r="24" spans="1:16" x14ac:dyDescent="0.4">
      <c r="A24" s="33">
        <v>21</v>
      </c>
      <c r="B24" s="30">
        <v>252.8</v>
      </c>
      <c r="C24" s="30">
        <v>12.038095238095238</v>
      </c>
      <c r="D24" s="35">
        <v>1.6666666666666667</v>
      </c>
      <c r="E24" s="31">
        <v>0.52380952380952384</v>
      </c>
      <c r="F24" s="31">
        <v>0.19047619047619047</v>
      </c>
      <c r="G24" s="31">
        <v>0.38323353293413176</v>
      </c>
      <c r="H24" s="31">
        <v>0.15568862275449102</v>
      </c>
      <c r="I24" s="32">
        <v>8998.4375</v>
      </c>
      <c r="J24" s="32">
        <v>-8400</v>
      </c>
      <c r="K24" s="31">
        <v>4.7619047619047616E-2</v>
      </c>
      <c r="L24" s="31">
        <v>0.38922155688622756</v>
      </c>
      <c r="M24" s="31">
        <v>0.1317365269461078</v>
      </c>
      <c r="N24" s="31">
        <v>0.56923076923076921</v>
      </c>
      <c r="O24" s="31">
        <v>0.5</v>
      </c>
      <c r="P24" s="31">
        <v>0.46875</v>
      </c>
    </row>
    <row r="25" spans="1:16" x14ac:dyDescent="0.4">
      <c r="A25" s="33">
        <v>22</v>
      </c>
      <c r="B25" s="30">
        <v>250.60000000000002</v>
      </c>
      <c r="C25" s="30">
        <v>11.390909090909092</v>
      </c>
      <c r="D25" s="35">
        <v>1.6818181818181819</v>
      </c>
      <c r="E25" s="31">
        <v>0.5</v>
      </c>
      <c r="F25" s="31">
        <v>0.18181818181818182</v>
      </c>
      <c r="G25" s="31">
        <v>0.37853107344632769</v>
      </c>
      <c r="H25" s="31">
        <v>0.15819209039548024</v>
      </c>
      <c r="I25" s="32">
        <v>9062.686567164179</v>
      </c>
      <c r="J25" s="32">
        <v>-8514.2857142857138</v>
      </c>
      <c r="K25" s="31">
        <v>4.5454545454545456E-2</v>
      </c>
      <c r="L25" s="31">
        <v>0.38983050847457629</v>
      </c>
      <c r="M25" s="31">
        <v>0.12994350282485875</v>
      </c>
      <c r="N25" s="31">
        <v>0.57971014492753625</v>
      </c>
      <c r="O25" s="31">
        <v>0.47826086956521741</v>
      </c>
      <c r="P25" s="31">
        <v>0.47761194029850745</v>
      </c>
    </row>
    <row r="26" spans="1:16" x14ac:dyDescent="0.4">
      <c r="A26" s="33">
        <v>23</v>
      </c>
      <c r="B26" s="30">
        <v>262.3</v>
      </c>
      <c r="C26" s="30">
        <v>11.404347826086957</v>
      </c>
      <c r="D26" s="35">
        <v>1.6956521739130435</v>
      </c>
      <c r="E26" s="31">
        <v>0.47826086956521741</v>
      </c>
      <c r="F26" s="31">
        <v>0.17391304347826086</v>
      </c>
      <c r="G26" s="31">
        <v>0.37297297297297299</v>
      </c>
      <c r="H26" s="31">
        <v>0.15675675675675677</v>
      </c>
      <c r="I26" s="32">
        <v>9240.579710144928</v>
      </c>
      <c r="J26" s="32">
        <v>-8634.4827586206902</v>
      </c>
      <c r="K26" s="31">
        <v>4.3478260869565216E-2</v>
      </c>
      <c r="L26" s="31">
        <v>0.38918918918918921</v>
      </c>
      <c r="M26" s="31">
        <v>0.12972972972972974</v>
      </c>
      <c r="N26" s="31">
        <v>0.58333333333333337</v>
      </c>
      <c r="O26" s="31">
        <v>0.45833333333333331</v>
      </c>
      <c r="P26" s="31">
        <v>0.47826086956521741</v>
      </c>
    </row>
    <row r="27" spans="1:16" x14ac:dyDescent="0.4">
      <c r="A27" s="33">
        <v>24</v>
      </c>
      <c r="B27" s="30">
        <v>261.60000000000002</v>
      </c>
      <c r="C27" s="30">
        <v>10.9</v>
      </c>
      <c r="D27" s="35">
        <v>1.7083333333333333</v>
      </c>
      <c r="E27" s="31">
        <v>0.45833333333333331</v>
      </c>
      <c r="F27" s="31">
        <v>0.16666666666666666</v>
      </c>
      <c r="G27" s="31">
        <v>0.36548223350253806</v>
      </c>
      <c r="H27" s="31">
        <v>0.15736040609137056</v>
      </c>
      <c r="I27" s="32">
        <v>9294.4444444444453</v>
      </c>
      <c r="J27" s="32">
        <v>-8461.2903225806458</v>
      </c>
      <c r="K27" s="31">
        <v>4.1666666666666664E-2</v>
      </c>
      <c r="L27" s="31">
        <v>0.39086294416243655</v>
      </c>
      <c r="M27" s="31">
        <v>0.12182741116751269</v>
      </c>
      <c r="N27" s="31">
        <v>0.55844155844155841</v>
      </c>
      <c r="O27" s="31">
        <v>0.45833333333333331</v>
      </c>
      <c r="P27" s="31">
        <v>0.47222222222222221</v>
      </c>
    </row>
    <row r="28" spans="1:16" x14ac:dyDescent="0.4">
      <c r="A28" s="33">
        <v>25</v>
      </c>
      <c r="B28" s="30">
        <v>261.60000000000002</v>
      </c>
      <c r="C28" s="30">
        <v>10.464</v>
      </c>
      <c r="D28" s="35">
        <v>1.68</v>
      </c>
      <c r="E28" s="31">
        <v>0.48</v>
      </c>
      <c r="F28" s="31">
        <v>0.16</v>
      </c>
      <c r="G28" s="31">
        <v>0.36548223350253806</v>
      </c>
      <c r="H28" s="31">
        <v>0.15736040609137056</v>
      </c>
      <c r="I28" s="32">
        <v>9294.4444444444453</v>
      </c>
      <c r="J28" s="32">
        <v>-8461.2903225806458</v>
      </c>
      <c r="K28" s="31">
        <v>0.04</v>
      </c>
      <c r="L28" s="31">
        <v>0.39086294416243655</v>
      </c>
      <c r="M28" s="31">
        <v>0.12182741116751269</v>
      </c>
      <c r="N28" s="31">
        <v>0.55844155844155841</v>
      </c>
      <c r="O28" s="31">
        <v>0.45833333333333331</v>
      </c>
      <c r="P28" s="31">
        <v>0.47222222222222221</v>
      </c>
    </row>
    <row r="29" spans="1:16" x14ac:dyDescent="0.4">
      <c r="A29" s="33">
        <v>26</v>
      </c>
      <c r="B29" s="30">
        <v>212.8</v>
      </c>
      <c r="C29" s="30">
        <v>8.1846153846153857</v>
      </c>
      <c r="D29" s="35">
        <v>1.7307692307692308</v>
      </c>
      <c r="E29" s="31">
        <v>0.46153846153846156</v>
      </c>
      <c r="F29" s="31">
        <v>0.19230769230769232</v>
      </c>
      <c r="G29" s="31">
        <v>0.35714285714285715</v>
      </c>
      <c r="H29" s="31">
        <v>0.15714285714285714</v>
      </c>
      <c r="I29" s="32">
        <v>9090.6666666666661</v>
      </c>
      <c r="J29" s="32">
        <v>-8357.575757575758</v>
      </c>
      <c r="K29" s="31">
        <v>3.8461538461538464E-2</v>
      </c>
      <c r="L29" s="31">
        <v>0.39047619047619048</v>
      </c>
      <c r="M29" s="31">
        <v>0.1380952380952381</v>
      </c>
      <c r="N29" s="31">
        <v>0.53658536585365857</v>
      </c>
      <c r="O29" s="31">
        <v>0.44827586206896552</v>
      </c>
      <c r="P29" s="31">
        <v>0.46666666666666667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E3EF2-208D-43AF-AE19-F19B5CA3D8C1}">
  <sheetPr codeName="Sheet8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  <row r="13" spans="1:17" x14ac:dyDescent="0.4">
      <c r="A13" s="33">
        <v>10</v>
      </c>
      <c r="B13" s="30">
        <v>64.7</v>
      </c>
      <c r="C13" s="30">
        <v>6.4700000000000006</v>
      </c>
      <c r="D13" s="35">
        <v>1.8</v>
      </c>
      <c r="E13" s="31">
        <v>0.3</v>
      </c>
      <c r="F13" s="31">
        <v>0.1</v>
      </c>
      <c r="G13" s="31">
        <v>0.29166666666666669</v>
      </c>
      <c r="H13" s="31">
        <v>0.125</v>
      </c>
      <c r="I13" s="32">
        <v>8814.2857142857138</v>
      </c>
      <c r="J13" s="32">
        <v>-6144.4444444444443</v>
      </c>
      <c r="K13" s="31">
        <v>0</v>
      </c>
      <c r="L13" s="31">
        <v>0.2638888888888889</v>
      </c>
      <c r="M13" s="31">
        <v>0.20833333333333334</v>
      </c>
      <c r="N13" s="31">
        <v>0.63157894736842102</v>
      </c>
      <c r="O13" s="31">
        <v>0.26666666666666666</v>
      </c>
      <c r="P13" s="31">
        <v>0.47619047619047616</v>
      </c>
    </row>
    <row r="14" spans="1:17" x14ac:dyDescent="0.4">
      <c r="A14" s="33">
        <v>11</v>
      </c>
      <c r="B14" s="30">
        <v>24.300000000000004</v>
      </c>
      <c r="C14" s="30">
        <v>2.2090909090909094</v>
      </c>
      <c r="D14" s="35">
        <v>1.9090909090909092</v>
      </c>
      <c r="E14" s="31">
        <v>0.27272727272727271</v>
      </c>
      <c r="F14" s="31">
        <v>0.18181818181818182</v>
      </c>
      <c r="G14" s="31">
        <v>0.27500000000000002</v>
      </c>
      <c r="H14" s="31">
        <v>0.125</v>
      </c>
      <c r="I14" s="32">
        <v>8590.9090909090901</v>
      </c>
      <c r="J14" s="32">
        <v>-6730</v>
      </c>
      <c r="K14" s="31">
        <v>0</v>
      </c>
      <c r="L14" s="31">
        <v>0.25</v>
      </c>
      <c r="M14" s="31">
        <v>0.2</v>
      </c>
      <c r="N14" s="31">
        <v>0.65</v>
      </c>
      <c r="O14" s="31">
        <v>0.25</v>
      </c>
      <c r="P14" s="31">
        <v>0.45454545454545453</v>
      </c>
    </row>
    <row r="15" spans="1:17" x14ac:dyDescent="0.4">
      <c r="A15" s="33">
        <v>12</v>
      </c>
      <c r="B15" s="30">
        <v>76.099999999999994</v>
      </c>
      <c r="C15" s="30">
        <v>6.3416666666666659</v>
      </c>
      <c r="D15" s="35">
        <v>1.8333333333333333</v>
      </c>
      <c r="E15" s="31">
        <v>0.33333333333333331</v>
      </c>
      <c r="F15" s="31">
        <v>0.16666666666666666</v>
      </c>
      <c r="G15" s="31">
        <v>0.28888888888888886</v>
      </c>
      <c r="H15" s="31">
        <v>0.1111111111111111</v>
      </c>
      <c r="I15" s="32">
        <v>8961.538461538461</v>
      </c>
      <c r="J15" s="32">
        <v>-6730</v>
      </c>
      <c r="K15" s="31">
        <v>0</v>
      </c>
      <c r="L15" s="31">
        <v>0.27777777777777779</v>
      </c>
      <c r="M15" s="31">
        <v>0.18888888888888888</v>
      </c>
      <c r="N15" s="31">
        <v>0.68</v>
      </c>
      <c r="O15" s="31">
        <v>0.23529411764705882</v>
      </c>
      <c r="P15" s="31">
        <v>0.46153846153846156</v>
      </c>
    </row>
    <row r="16" spans="1:17" x14ac:dyDescent="0.4">
      <c r="A16" s="33">
        <v>13</v>
      </c>
      <c r="B16" s="30">
        <v>122.5</v>
      </c>
      <c r="C16" s="30">
        <v>9.4230769230769234</v>
      </c>
      <c r="D16" s="35">
        <v>1.7692307692307692</v>
      </c>
      <c r="E16" s="31">
        <v>0.38461538461538464</v>
      </c>
      <c r="F16" s="31">
        <v>0.15384615384615385</v>
      </c>
      <c r="G16" s="31">
        <v>0.32653061224489793</v>
      </c>
      <c r="H16" s="31">
        <v>0.11224489795918367</v>
      </c>
      <c r="I16" s="32">
        <v>8525</v>
      </c>
      <c r="J16" s="32">
        <v>-6700</v>
      </c>
      <c r="K16" s="31">
        <v>0</v>
      </c>
      <c r="L16" s="31">
        <v>0.2857142857142857</v>
      </c>
      <c r="M16" s="31">
        <v>0.19387755102040816</v>
      </c>
      <c r="N16" s="31">
        <v>0.7142857142857143</v>
      </c>
      <c r="O16" s="31">
        <v>0.31578947368421051</v>
      </c>
      <c r="P16" s="31">
        <v>0.46875</v>
      </c>
    </row>
    <row r="17" spans="1:16" x14ac:dyDescent="0.4">
      <c r="A17" s="33">
        <v>14</v>
      </c>
      <c r="B17" s="30">
        <v>154.19999999999999</v>
      </c>
      <c r="C17" s="30">
        <v>11.014285714285714</v>
      </c>
      <c r="D17" s="35">
        <v>1.7142857142857142</v>
      </c>
      <c r="E17" s="31">
        <v>0.42857142857142855</v>
      </c>
      <c r="F17" s="31">
        <v>0.14285714285714285</v>
      </c>
      <c r="G17" s="31">
        <v>0.33636363636363636</v>
      </c>
      <c r="H17" s="31">
        <v>0.13636363636363635</v>
      </c>
      <c r="I17" s="32">
        <v>8402.7027027027034</v>
      </c>
      <c r="J17" s="32">
        <v>-7186.666666666667</v>
      </c>
      <c r="K17" s="31">
        <v>0</v>
      </c>
      <c r="L17" s="31">
        <v>0.3</v>
      </c>
      <c r="M17" s="31">
        <v>0.19090909090909092</v>
      </c>
      <c r="N17" s="31">
        <v>0.72727272727272729</v>
      </c>
      <c r="O17" s="31">
        <v>0.2857142857142857</v>
      </c>
      <c r="P17" s="31">
        <v>0.48648648648648651</v>
      </c>
    </row>
    <row r="18" spans="1:16" x14ac:dyDescent="0.4">
      <c r="A18" s="33">
        <v>15</v>
      </c>
      <c r="B18" s="30">
        <v>154.19999999999999</v>
      </c>
      <c r="C18" s="30">
        <v>10.28</v>
      </c>
      <c r="D18" s="35">
        <v>1.6666666666666667</v>
      </c>
      <c r="E18" s="31">
        <v>0.46666666666666667</v>
      </c>
      <c r="F18" s="31">
        <v>0.13333333333333333</v>
      </c>
      <c r="G18" s="31">
        <v>0.33636363636363636</v>
      </c>
      <c r="H18" s="31">
        <v>0.13636363636363635</v>
      </c>
      <c r="I18" s="32">
        <v>8402.7027027027034</v>
      </c>
      <c r="J18" s="32">
        <v>-7186.666666666667</v>
      </c>
      <c r="K18" s="31">
        <v>0</v>
      </c>
      <c r="L18" s="31">
        <v>0.3</v>
      </c>
      <c r="M18" s="31">
        <v>0.19090909090909092</v>
      </c>
      <c r="N18" s="31">
        <v>0.72727272727272729</v>
      </c>
      <c r="O18" s="31">
        <v>0.2857142857142857</v>
      </c>
      <c r="P18" s="31">
        <v>0.48648648648648651</v>
      </c>
    </row>
    <row r="19" spans="1:16" x14ac:dyDescent="0.4">
      <c r="A19" s="33">
        <v>16</v>
      </c>
      <c r="B19" s="30">
        <v>225.2</v>
      </c>
      <c r="C19" s="30">
        <v>14.074999999999999</v>
      </c>
      <c r="D19" s="35">
        <v>1.625</v>
      </c>
      <c r="E19" s="31">
        <v>0.5</v>
      </c>
      <c r="F19" s="31">
        <v>0.125</v>
      </c>
      <c r="G19" s="31">
        <v>0.34146341463414637</v>
      </c>
      <c r="H19" s="31">
        <v>0.13008130081300814</v>
      </c>
      <c r="I19" s="32">
        <v>8814.2857142857138</v>
      </c>
      <c r="J19" s="32">
        <v>-6900</v>
      </c>
      <c r="K19" s="31">
        <v>0</v>
      </c>
      <c r="L19" s="31">
        <v>0.30081300813008133</v>
      </c>
      <c r="M19" s="31">
        <v>0.21138211382113822</v>
      </c>
      <c r="N19" s="31">
        <v>0.70270270270270274</v>
      </c>
      <c r="O19" s="31">
        <v>0.30769230769230771</v>
      </c>
      <c r="P19" s="31">
        <v>0.47619047619047616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3772C-1771-4A7F-A451-09D568EA1CAF}">
  <sheetPr codeName="Sheet6"/>
  <dimension ref="A1:Q2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0.29140461215932911</v>
      </c>
      <c r="H23" s="31">
        <v>0.1488469601677149</v>
      </c>
      <c r="I23" s="32">
        <v>8884.1726618705034</v>
      </c>
      <c r="J23" s="32">
        <v>-7683.0985915492956</v>
      </c>
      <c r="K23" s="31">
        <v>0.1</v>
      </c>
      <c r="L23" s="31">
        <v>0.31865828092243187</v>
      </c>
      <c r="M23" s="31">
        <v>0.18448637316561844</v>
      </c>
      <c r="N23" s="31">
        <v>0.51973684210526316</v>
      </c>
      <c r="O23" s="31">
        <v>0.34090909090909088</v>
      </c>
      <c r="P23" s="31">
        <v>0.46762589928057552</v>
      </c>
    </row>
    <row r="24" spans="1:16" x14ac:dyDescent="0.4">
      <c r="A24" s="33">
        <v>21</v>
      </c>
      <c r="B24" s="30">
        <v>-1.6875389974302379E-14</v>
      </c>
      <c r="C24" s="30">
        <v>-2.6786333292543458E-16</v>
      </c>
      <c r="D24" s="35">
        <v>2</v>
      </c>
      <c r="E24" s="31">
        <v>0.33333333333333331</v>
      </c>
      <c r="F24" s="31">
        <v>0.33333333333333331</v>
      </c>
      <c r="G24" s="31">
        <v>0.29341317365269459</v>
      </c>
      <c r="H24" s="31">
        <v>0.15369261477045909</v>
      </c>
      <c r="I24" s="32">
        <v>8885.0340136054419</v>
      </c>
      <c r="J24" s="32">
        <v>-7701.2987012987014</v>
      </c>
      <c r="K24" s="31">
        <v>9.5238095238095233E-2</v>
      </c>
      <c r="L24" s="31">
        <v>0.31536926147704591</v>
      </c>
      <c r="M24" s="31">
        <v>0.17964071856287425</v>
      </c>
      <c r="N24" s="31">
        <v>0.53164556962025311</v>
      </c>
      <c r="O24" s="31">
        <v>0.34444444444444444</v>
      </c>
      <c r="P24" s="31">
        <v>0.45578231292517007</v>
      </c>
    </row>
    <row r="25" spans="1:16" x14ac:dyDescent="0.4">
      <c r="A25" s="33">
        <v>22</v>
      </c>
      <c r="B25" s="30">
        <v>-2.1316282072803006E-14</v>
      </c>
      <c r="C25" s="30">
        <v>-3.2297397080004555E-16</v>
      </c>
      <c r="D25" s="35">
        <v>2</v>
      </c>
      <c r="E25" s="31">
        <v>0.33333333333333331</v>
      </c>
      <c r="F25" s="31">
        <v>0.33333333333333331</v>
      </c>
      <c r="G25" s="31">
        <v>0.29378531073446329</v>
      </c>
      <c r="H25" s="31">
        <v>0.15254237288135594</v>
      </c>
      <c r="I25" s="32">
        <v>8957.6923076923085</v>
      </c>
      <c r="J25" s="32">
        <v>-7864.1975308641977</v>
      </c>
      <c r="K25" s="31">
        <v>9.0909090909090912E-2</v>
      </c>
      <c r="L25" s="31">
        <v>0.31638418079096048</v>
      </c>
      <c r="M25" s="31">
        <v>0.1807909604519774</v>
      </c>
      <c r="N25" s="31">
        <v>0.54166666666666663</v>
      </c>
      <c r="O25" s="31">
        <v>0.34375</v>
      </c>
      <c r="P25" s="31">
        <v>0.46153846153846156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0.29549549549549547</v>
      </c>
      <c r="H26" s="31">
        <v>0.15315315315315314</v>
      </c>
      <c r="I26" s="32">
        <v>8948.7804878048773</v>
      </c>
      <c r="J26" s="32">
        <v>-7850.588235294118</v>
      </c>
      <c r="K26" s="31">
        <v>0.10144927536231885</v>
      </c>
      <c r="L26" s="31">
        <v>0.3171171171171171</v>
      </c>
      <c r="M26" s="31">
        <v>0.18018018018018017</v>
      </c>
      <c r="N26" s="31">
        <v>0.54545454545454541</v>
      </c>
      <c r="O26" s="31">
        <v>0.35</v>
      </c>
      <c r="P26" s="31">
        <v>0.46341463414634149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0.29441624365482233</v>
      </c>
      <c r="H27" s="31">
        <v>0.15397631133671744</v>
      </c>
      <c r="I27" s="32">
        <v>8858.6206896551721</v>
      </c>
      <c r="J27" s="32">
        <v>-7838.4615384615381</v>
      </c>
      <c r="K27" s="31">
        <v>9.7222222222222224E-2</v>
      </c>
      <c r="L27" s="31">
        <v>0.31641285956006771</v>
      </c>
      <c r="M27" s="31">
        <v>0.17597292724196278</v>
      </c>
      <c r="N27" s="31">
        <v>0.54545454545454541</v>
      </c>
      <c r="O27" s="31">
        <v>0.34615384615384615</v>
      </c>
      <c r="P27" s="31">
        <v>0.45977011494252873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1.96</v>
      </c>
      <c r="E28" s="31">
        <v>0.36</v>
      </c>
      <c r="F28" s="31">
        <v>0.32</v>
      </c>
      <c r="G28" s="31">
        <v>0.29441624365482233</v>
      </c>
      <c r="H28" s="31">
        <v>0.15397631133671744</v>
      </c>
      <c r="I28" s="32">
        <v>8858.6206896551721</v>
      </c>
      <c r="J28" s="32">
        <v>-7838.4615384615381</v>
      </c>
      <c r="K28" s="31">
        <v>9.3333333333333338E-2</v>
      </c>
      <c r="L28" s="31">
        <v>0.31641285956006771</v>
      </c>
      <c r="M28" s="31">
        <v>0.17597292724196278</v>
      </c>
      <c r="N28" s="31">
        <v>0.54545454545454541</v>
      </c>
      <c r="O28" s="31">
        <v>0.34615384615384615</v>
      </c>
      <c r="P28" s="31">
        <v>0.45977011494252873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1.9615384615384615</v>
      </c>
      <c r="E29" s="31">
        <v>0.35897435897435898</v>
      </c>
      <c r="F29" s="31">
        <v>0.32051282051282054</v>
      </c>
      <c r="G29" s="31">
        <v>0.29523809523809524</v>
      </c>
      <c r="H29" s="31">
        <v>0.15555555555555556</v>
      </c>
      <c r="I29" s="32">
        <v>8826.3440860215051</v>
      </c>
      <c r="J29" s="32">
        <v>-7633.6734693877552</v>
      </c>
      <c r="K29" s="31">
        <v>8.9743589743589744E-2</v>
      </c>
      <c r="L29" s="31">
        <v>0.31428571428571428</v>
      </c>
      <c r="M29" s="31">
        <v>0.18412698412698414</v>
      </c>
      <c r="N29" s="31">
        <v>0.54040404040404044</v>
      </c>
      <c r="O29" s="31">
        <v>0.35344827586206895</v>
      </c>
      <c r="P29" s="31">
        <v>0.45698924731182794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441</vt:i4>
      </vt:variant>
    </vt:vector>
  </HeadingPairs>
  <TitlesOfParts>
    <vt:vector size="47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2022-03-21T11:14:00Z</dcterms:modified>
</cp:coreProperties>
</file>