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9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0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1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2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3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専攻科\"/>
    </mc:Choice>
  </mc:AlternateContent>
  <xr:revisionPtr revIDLastSave="0" documentId="13_ncr:1_{A2FC2929-C914-4B86-B128-EEB37B81B3F9}" xr6:coauthVersionLast="47" xr6:coauthVersionMax="47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7094" r:id="rId6"/>
    <sheet name="れんたろう" sheetId="7096" r:id="rId7"/>
    <sheet name="だいち" sheetId="7098" r:id="rId8"/>
    <sheet name="ともき" sheetId="7100" r:id="rId9"/>
    <sheet name="ただ" sheetId="7102" r:id="rId10"/>
    <sheet name="りくと" sheetId="7104" r:id="rId11"/>
    <sheet name="りくと2" sheetId="7105" state="hidden" r:id="rId12"/>
    <sheet name="ただ2" sheetId="7103" state="hidden" r:id="rId13"/>
    <sheet name="ともき2" sheetId="7101" state="hidden" r:id="rId14"/>
    <sheet name="だいち2" sheetId="7099" state="hidden" r:id="rId15"/>
    <sheet name="れんたろう2" sheetId="7097" state="hidden" r:id="rId16"/>
    <sheet name="全体2" sheetId="7095" state="hidden" r:id="rId17"/>
    <sheet name="通算スコア" sheetId="3331" state="hidden" r:id="rId18"/>
    <sheet name="平均スコア" sheetId="3493" state="hidden" r:id="rId19"/>
    <sheet name="平均順位" sheetId="3183" state="hidden" r:id="rId20"/>
    <sheet name="トップ率" sheetId="3185" state="hidden" r:id="rId21"/>
    <sheet name="ラス率" sheetId="4886" state="hidden" r:id="rId22"/>
    <sheet name="アガリ率" sheetId="3189" state="hidden" r:id="rId23"/>
    <sheet name="放銃率" sheetId="3190" state="hidden" r:id="rId24"/>
    <sheet name="平均アガリ点" sheetId="3520" state="hidden" r:id="rId25"/>
    <sheet name="平均放銃点" sheetId="3521" state="hidden" r:id="rId26"/>
    <sheet name="ふっとび率" sheetId="3522" state="hidden" r:id="rId27"/>
    <sheet name="リーチ率" sheetId="3524" state="hidden" r:id="rId28"/>
    <sheet name="副露率" sheetId="3525" state="hidden" r:id="rId29"/>
    <sheet name="リーチ成功率" sheetId="4841" state="hidden" r:id="rId30"/>
    <sheet name="副露成功率" sheetId="3527" state="hidden" r:id="rId31"/>
    <sheet name="ツモ率" sheetId="3528" state="hidden" r:id="rId32"/>
  </sheets>
  <definedNames>
    <definedName name="アガリ数" localSheetId="3">Template1!$B$20</definedName>
    <definedName name="アガリ数" localSheetId="7">だいち!$B$20</definedName>
    <definedName name="アガリ数" localSheetId="9">ただ!$B$20</definedName>
    <definedName name="アガリ数" localSheetId="8">ともき!$B$20</definedName>
    <definedName name="アガリ数" localSheetId="10">りくと!$B$20</definedName>
    <definedName name="アガリ数" localSheetId="6">れんたろう!$B$20</definedName>
    <definedName name="アガリ数" localSheetId="5">全体!$B$20</definedName>
    <definedName name="アガリ率" localSheetId="3">Template1!$C$20</definedName>
    <definedName name="アガリ率" localSheetId="7">だいち!$C$20</definedName>
    <definedName name="アガリ率" localSheetId="9">ただ!$C$20</definedName>
    <definedName name="アガリ率" localSheetId="8">ともき!$C$20</definedName>
    <definedName name="アガリ率" localSheetId="10">りくと!$C$20</definedName>
    <definedName name="アガリ率" localSheetId="6">れんたろう!$C$20</definedName>
    <definedName name="アガリ率" localSheetId="5">全体!$C$20</definedName>
    <definedName name="ダマアガリ数" localSheetId="3">Template1!$B$26</definedName>
    <definedName name="ダマアガリ数" localSheetId="7">だいち!$B$26</definedName>
    <definedName name="ダマアガリ数" localSheetId="9">ただ!$B$26</definedName>
    <definedName name="ダマアガリ数" localSheetId="8">ともき!$B$26</definedName>
    <definedName name="ダマアガリ数" localSheetId="10">りくと!$B$26</definedName>
    <definedName name="ダマアガリ数" localSheetId="6">れんたろう!$B$26</definedName>
    <definedName name="ダマアガリ数" localSheetId="5">全体!$B$26</definedName>
    <definedName name="ダマアガリ率" localSheetId="3">Template1!$C$26</definedName>
    <definedName name="ダマアガリ率" localSheetId="7">だいち!$C$26</definedName>
    <definedName name="ダマアガリ率" localSheetId="9">ただ!$C$26</definedName>
    <definedName name="ダマアガリ率" localSheetId="8">ともき!$C$26</definedName>
    <definedName name="ダマアガリ率" localSheetId="10">りくと!$C$26</definedName>
    <definedName name="ダマアガリ率" localSheetId="6">れんたろう!$C$26</definedName>
    <definedName name="ダマアガリ率" localSheetId="5">全体!$C$26</definedName>
    <definedName name="チョンボ数" localSheetId="3">Template1!$B$35</definedName>
    <definedName name="チョンボ数" localSheetId="7">だいち!$B$35</definedName>
    <definedName name="チョンボ数" localSheetId="9">ただ!$B$35</definedName>
    <definedName name="チョンボ数" localSheetId="8">ともき!$B$35</definedName>
    <definedName name="チョンボ数" localSheetId="10">りくと!$B$35</definedName>
    <definedName name="チョンボ数" localSheetId="6">れんたろう!$B$35</definedName>
    <definedName name="チョンボ数" localSheetId="5">全体!$B$35</definedName>
    <definedName name="チョンボ率" localSheetId="3">Template1!$C$35</definedName>
    <definedName name="チョンボ率" localSheetId="7">だいち!$C$35</definedName>
    <definedName name="チョンボ率" localSheetId="9">ただ!$C$35</definedName>
    <definedName name="チョンボ率" localSheetId="8">ともき!$C$35</definedName>
    <definedName name="チョンボ率" localSheetId="10">りくと!$C$35</definedName>
    <definedName name="チョンボ率" localSheetId="6">れんたろう!$C$35</definedName>
    <definedName name="チョンボ率" localSheetId="5">全体!$C$35</definedName>
    <definedName name="ツモ数" localSheetId="3">Template1!$B$22</definedName>
    <definedName name="ツモ数" localSheetId="7">だいち!$B$22</definedName>
    <definedName name="ツモ数" localSheetId="9">ただ!$B$22</definedName>
    <definedName name="ツモ数" localSheetId="8">ともき!$B$22</definedName>
    <definedName name="ツモ数" localSheetId="10">りくと!$B$22</definedName>
    <definedName name="ツモ数" localSheetId="6">れんたろう!$B$22</definedName>
    <definedName name="ツモ数" localSheetId="5">全体!$B$22</definedName>
    <definedName name="ツモ率" localSheetId="3">Template1!$C$22</definedName>
    <definedName name="ツモ率" localSheetId="7">だいち!$C$22</definedName>
    <definedName name="ツモ率" localSheetId="9">ただ!$C$22</definedName>
    <definedName name="ツモ率" localSheetId="8">ともき!$C$22</definedName>
    <definedName name="ツモ率" localSheetId="10">りくと!$C$22</definedName>
    <definedName name="ツモ率" localSheetId="6">れんたろう!$C$22</definedName>
    <definedName name="ツモ率" localSheetId="5">全体!$C$22</definedName>
    <definedName name="トップ数" localSheetId="3">Template1!$B$8</definedName>
    <definedName name="トップ数" localSheetId="7">だいち!$B$8</definedName>
    <definedName name="トップ数" localSheetId="9">ただ!$B$8</definedName>
    <definedName name="トップ数" localSheetId="8">ともき!$B$8</definedName>
    <definedName name="トップ数" localSheetId="10">りくと!$B$8</definedName>
    <definedName name="トップ数" localSheetId="6">れんたろう!$B$8</definedName>
    <definedName name="トップ数" localSheetId="5">全体!$B$8</definedName>
    <definedName name="トップ率" localSheetId="3">Template1!$C$8</definedName>
    <definedName name="トップ率" localSheetId="7">だいち!$C$8</definedName>
    <definedName name="トップ率" localSheetId="9">ただ!$C$8</definedName>
    <definedName name="トップ率" localSheetId="8">ともき!$C$8</definedName>
    <definedName name="トップ率" localSheetId="10">りくと!$C$8</definedName>
    <definedName name="トップ率" localSheetId="6">れんたろう!$C$8</definedName>
    <definedName name="トップ率" localSheetId="5">全体!$C$8</definedName>
    <definedName name="バランス" localSheetId="7">だいち!$B$14</definedName>
    <definedName name="バランス" localSheetId="9">ただ!$B$14</definedName>
    <definedName name="バランス" localSheetId="8">ともき!$B$14</definedName>
    <definedName name="バランス" localSheetId="10">りくと!$B$14</definedName>
    <definedName name="バランス" localSheetId="6">れんたろう!$B$14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7">だいち!$B$15</definedName>
    <definedName name="ふっとび数" localSheetId="9">ただ!$B$15</definedName>
    <definedName name="ふっとび数" localSheetId="8">ともき!$B$15</definedName>
    <definedName name="ふっとび数" localSheetId="10">りくと!$B$15</definedName>
    <definedName name="ふっとび数" localSheetId="6">れんたろう!$B$15</definedName>
    <definedName name="ふっとび数" localSheetId="5">全体!$B$15</definedName>
    <definedName name="ふっとび率" localSheetId="3">Template1!$C$15</definedName>
    <definedName name="ふっとび率" localSheetId="7">だいち!$C$15</definedName>
    <definedName name="ふっとび率" localSheetId="9">ただ!$C$15</definedName>
    <definedName name="ふっとび率" localSheetId="8">ともき!$C$15</definedName>
    <definedName name="ふっとび率" localSheetId="10">りくと!$C$15</definedName>
    <definedName name="ふっとび率" localSheetId="6">れんたろう!$C$15</definedName>
    <definedName name="ふっとび率" localSheetId="5">全体!$C$15</definedName>
    <definedName name="ラス数" localSheetId="3">Template1!$B$10</definedName>
    <definedName name="ラス数" localSheetId="7">だいち!$B$10</definedName>
    <definedName name="ラス数" localSheetId="9">ただ!$B$10</definedName>
    <definedName name="ラス数" localSheetId="8">ともき!$B$10</definedName>
    <definedName name="ラス数" localSheetId="10">りくと!$B$10</definedName>
    <definedName name="ラス数" localSheetId="6">れんたろう!$B$10</definedName>
    <definedName name="ラス数" localSheetId="5">全体!$B$10</definedName>
    <definedName name="ラス率" localSheetId="3">Template1!$C$10</definedName>
    <definedName name="ラス率" localSheetId="7">だいち!$C$10</definedName>
    <definedName name="ラス率" localSheetId="9">ただ!$C$10</definedName>
    <definedName name="ラス率" localSheetId="8">ともき!$C$10</definedName>
    <definedName name="ラス率" localSheetId="10">りくと!$C$10</definedName>
    <definedName name="ラス率" localSheetId="6">れんたろう!$C$10</definedName>
    <definedName name="ラス率" localSheetId="5">全体!$C$10</definedName>
    <definedName name="リーチアガリ数" localSheetId="3">Template1!$B$24</definedName>
    <definedName name="リーチアガリ数" localSheetId="7">だいち!$B$24</definedName>
    <definedName name="リーチアガリ数" localSheetId="9">ただ!$B$24</definedName>
    <definedName name="リーチアガリ数" localSheetId="8">ともき!$B$24</definedName>
    <definedName name="リーチアガリ数" localSheetId="10">りくと!$B$24</definedName>
    <definedName name="リーチアガリ数" localSheetId="6">れんたろう!$B$24</definedName>
    <definedName name="リーチアガリ数" localSheetId="5">全体!$B$24</definedName>
    <definedName name="リーチアガリ率" localSheetId="3">Template1!$C$24</definedName>
    <definedName name="リーチアガリ率" localSheetId="7">だいち!$C$24</definedName>
    <definedName name="リーチアガリ率" localSheetId="9">ただ!$C$24</definedName>
    <definedName name="リーチアガリ率" localSheetId="8">ともき!$C$24</definedName>
    <definedName name="リーチアガリ率" localSheetId="10">りくと!$C$24</definedName>
    <definedName name="リーチアガリ率" localSheetId="6">れんたろう!$C$24</definedName>
    <definedName name="リーチアガリ率" localSheetId="5">全体!$C$24</definedName>
    <definedName name="リーチ数" localSheetId="3">Template1!$B$16</definedName>
    <definedName name="リーチ数" localSheetId="7">だいち!$B$16</definedName>
    <definedName name="リーチ数" localSheetId="9">ただ!$B$16</definedName>
    <definedName name="リーチ数" localSheetId="8">ともき!$B$16</definedName>
    <definedName name="リーチ数" localSheetId="10">りくと!$B$16</definedName>
    <definedName name="リーチ数" localSheetId="6">れんたろう!$B$16</definedName>
    <definedName name="リーチ数" localSheetId="5">全体!$B$16</definedName>
    <definedName name="リーチ成功数" localSheetId="3">Template1!$B$18</definedName>
    <definedName name="リーチ成功数" localSheetId="7">だいち!$B$18</definedName>
    <definedName name="リーチ成功数" localSheetId="9">ただ!$B$18</definedName>
    <definedName name="リーチ成功数" localSheetId="8">ともき!$B$18</definedName>
    <definedName name="リーチ成功数" localSheetId="10">りくと!$B$18</definedName>
    <definedName name="リーチ成功数" localSheetId="6">れんたろう!$B$18</definedName>
    <definedName name="リーチ成功数" localSheetId="5">全体!$B$18</definedName>
    <definedName name="リーチ成功率" localSheetId="3">Template1!$C$18</definedName>
    <definedName name="リーチ成功率" localSheetId="7">だいち!$C$18</definedName>
    <definedName name="リーチ成功率" localSheetId="9">ただ!$C$18</definedName>
    <definedName name="リーチ成功率" localSheetId="8">ともき!$C$18</definedName>
    <definedName name="リーチ成功率" localSheetId="10">りくと!$C$18</definedName>
    <definedName name="リーチ成功率" localSheetId="6">れんたろう!$C$18</definedName>
    <definedName name="リーチ成功率" localSheetId="5">全体!$C$18</definedName>
    <definedName name="リーチ率" localSheetId="3">Template1!$C$16</definedName>
    <definedName name="リーチ率" localSheetId="7">だいち!$C$16</definedName>
    <definedName name="リーチ率" localSheetId="9">ただ!$C$16</definedName>
    <definedName name="リーチ率" localSheetId="8">ともき!$C$16</definedName>
    <definedName name="リーチ率" localSheetId="10">りくと!$C$16</definedName>
    <definedName name="リーチ率" localSheetId="6">れんたろう!$C$16</definedName>
    <definedName name="リーチ率" localSheetId="5">全体!$C$16</definedName>
    <definedName name="レーティング" localSheetId="7">だいち!$B$6</definedName>
    <definedName name="レーティング" localSheetId="9">ただ!$B$6</definedName>
    <definedName name="レーティング" localSheetId="8">ともき!$B$6</definedName>
    <definedName name="レーティング" localSheetId="10">りくと!$B$6</definedName>
    <definedName name="レーティング" localSheetId="6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7">だいち!$B$23</definedName>
    <definedName name="ロン数" localSheetId="9">ただ!$B$23</definedName>
    <definedName name="ロン数" localSheetId="8">ともき!$B$23</definedName>
    <definedName name="ロン数" localSheetId="10">りくと!$B$23</definedName>
    <definedName name="ロン数" localSheetId="6">れんたろう!$B$23</definedName>
    <definedName name="ロン数" localSheetId="5">全体!$B$23</definedName>
    <definedName name="ロン率" localSheetId="3">Template1!$C$23</definedName>
    <definedName name="ロン率" localSheetId="7">だいち!$C$23</definedName>
    <definedName name="ロン率" localSheetId="9">ただ!$C$23</definedName>
    <definedName name="ロン率" localSheetId="8">ともき!$C$23</definedName>
    <definedName name="ロン率" localSheetId="10">りくと!$C$23</definedName>
    <definedName name="ロン率" localSheetId="6">れんたろう!$C$23</definedName>
    <definedName name="ロン率" localSheetId="5">全体!$C$23</definedName>
    <definedName name="一位スコア" localSheetId="7">だいち!$B$11</definedName>
    <definedName name="一位スコア" localSheetId="9">ただ!$B$11</definedName>
    <definedName name="一位スコア" localSheetId="8">ともき!$B$11</definedName>
    <definedName name="一位スコア" localSheetId="10">りくと!$B$11</definedName>
    <definedName name="一位スコア" localSheetId="6">れんたろう!$B$11</definedName>
    <definedName name="一位スコア" localSheetId="5">全体!$B$11</definedName>
    <definedName name="一位スコア">Template1!$B$11</definedName>
    <definedName name="一位通算スコア" localSheetId="7">だいち!$C$11</definedName>
    <definedName name="一位通算スコア" localSheetId="9">ただ!$C$11</definedName>
    <definedName name="一位通算スコア" localSheetId="8">ともき!$C$11</definedName>
    <definedName name="一位通算スコア" localSheetId="10">りくと!$C$11</definedName>
    <definedName name="一位通算スコア" localSheetId="6">れんたろう!$C$11</definedName>
    <definedName name="一位通算スコア" localSheetId="5">全体!$C$11</definedName>
    <definedName name="一位通算スコア">Template1!$C$11</definedName>
    <definedName name="一翻数" localSheetId="7">だいち!$B$37</definedName>
    <definedName name="一翻数" localSheetId="9">ただ!$B$37</definedName>
    <definedName name="一翻数" localSheetId="8">ともき!$B$37</definedName>
    <definedName name="一翻数" localSheetId="10">りくと!$B$37</definedName>
    <definedName name="一翻数" localSheetId="6">れんたろう!$B$37</definedName>
    <definedName name="一翻数" localSheetId="5">全体!$B$37</definedName>
    <definedName name="一翻数">Template1!$B$37</definedName>
    <definedName name="一翻率" localSheetId="7">だいち!$C$37</definedName>
    <definedName name="一翻率" localSheetId="9">ただ!$C$37</definedName>
    <definedName name="一翻率" localSheetId="8">ともき!$C$37</definedName>
    <definedName name="一翻率" localSheetId="10">りくと!$C$37</definedName>
    <definedName name="一翻率" localSheetId="6">れんたろう!$C$37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7">だいち!$C$31</definedName>
    <definedName name="現行連続アガリ" localSheetId="9">ただ!$C$31</definedName>
    <definedName name="現行連続アガリ" localSheetId="8">ともき!$C$31</definedName>
    <definedName name="現行連続アガリ" localSheetId="10">りくと!$C$31</definedName>
    <definedName name="現行連続アガリ" localSheetId="6">れんたろう!$C$31</definedName>
    <definedName name="現行連続アガリ" localSheetId="5">全体!$C$31</definedName>
    <definedName name="現行連続無放銃" localSheetId="3">Template1!$C$32</definedName>
    <definedName name="現行連続無放銃" localSheetId="7">だいち!$C$32</definedName>
    <definedName name="現行連続無放銃" localSheetId="9">ただ!$C$32</definedName>
    <definedName name="現行連続無放銃" localSheetId="8">ともき!$C$32</definedName>
    <definedName name="現行連続無放銃" localSheetId="10">りくと!$C$32</definedName>
    <definedName name="現行連続無放銃" localSheetId="6">れんたろう!$C$32</definedName>
    <definedName name="現行連続無放銃" localSheetId="5">全体!$C$32</definedName>
    <definedName name="最高点" localSheetId="3">Template1!$B$34</definedName>
    <definedName name="最高点" localSheetId="7">だいち!$B$34</definedName>
    <definedName name="最高点" localSheetId="9">ただ!$B$34</definedName>
    <definedName name="最高点" localSheetId="8">ともき!$B$34</definedName>
    <definedName name="最高点" localSheetId="10">りくと!$B$34</definedName>
    <definedName name="最高点" localSheetId="6">れんたろう!$B$34</definedName>
    <definedName name="最高点" localSheetId="5">全体!$B$34</definedName>
    <definedName name="最大ドラ数" localSheetId="3">Template1!$B$33</definedName>
    <definedName name="最大ドラ数" localSheetId="7">だいち!$B$33</definedName>
    <definedName name="最大ドラ数" localSheetId="9">ただ!$B$33</definedName>
    <definedName name="最大ドラ数" localSheetId="8">ともき!$B$33</definedName>
    <definedName name="最大ドラ数" localSheetId="10">りくと!$B$33</definedName>
    <definedName name="最大ドラ数" localSheetId="6">れんたろう!$B$33</definedName>
    <definedName name="最大ドラ数" localSheetId="5">全体!$B$33</definedName>
    <definedName name="最大点数" localSheetId="3">Template1!$B$34</definedName>
    <definedName name="最大点数" localSheetId="7">だいち!$B$34</definedName>
    <definedName name="最大点数" localSheetId="9">ただ!$B$34</definedName>
    <definedName name="最大点数" localSheetId="8">ともき!$B$34</definedName>
    <definedName name="最大点数" localSheetId="10">りくと!$B$34</definedName>
    <definedName name="最大点数" localSheetId="6">れんたろう!$B$34</definedName>
    <definedName name="最大点数" localSheetId="5">全体!$B$34</definedName>
    <definedName name="三位スコア" localSheetId="7">だいち!$B$13</definedName>
    <definedName name="三位スコア" localSheetId="9">ただ!$B$13</definedName>
    <definedName name="三位スコア" localSheetId="8">ともき!$B$13</definedName>
    <definedName name="三位スコア" localSheetId="10">りくと!$B$13</definedName>
    <definedName name="三位スコア" localSheetId="6">れんたろう!$B$13</definedName>
    <definedName name="三位スコア" localSheetId="5">全体!$B$13</definedName>
    <definedName name="三位スコア">Template1!$B$13</definedName>
    <definedName name="三位通算スコア" localSheetId="7">だいち!$C$13</definedName>
    <definedName name="三位通算スコア" localSheetId="9">ただ!$C$13</definedName>
    <definedName name="三位通算スコア" localSheetId="8">ともき!$C$13</definedName>
    <definedName name="三位通算スコア" localSheetId="10">りくと!$C$13</definedName>
    <definedName name="三位通算スコア" localSheetId="6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7">だいち!$B$3</definedName>
    <definedName name="総局数" localSheetId="9">ただ!$B$3</definedName>
    <definedName name="総局数" localSheetId="8">ともき!$B$3</definedName>
    <definedName name="総局数" localSheetId="10">りくと!$B$3</definedName>
    <definedName name="総局数" localSheetId="6">れんたろう!$B$3</definedName>
    <definedName name="総局数" localSheetId="5">全体!$B$3</definedName>
    <definedName name="対戦数" localSheetId="3">Template1!$B$2</definedName>
    <definedName name="対戦数" localSheetId="7">だいち!$B$2</definedName>
    <definedName name="対戦数" localSheetId="9">ただ!$B$2</definedName>
    <definedName name="対戦数" localSheetId="8">ともき!$B$2</definedName>
    <definedName name="対戦数" localSheetId="10">りくと!$B$2</definedName>
    <definedName name="対戦数" localSheetId="6">れんたろう!$B$2</definedName>
    <definedName name="対戦数" localSheetId="5">全体!$B$2</definedName>
    <definedName name="通算アガリ点" localSheetId="3">Template1!$C$27</definedName>
    <definedName name="通算アガリ点" localSheetId="7">だいち!$C$27</definedName>
    <definedName name="通算アガリ点" localSheetId="9">ただ!$C$27</definedName>
    <definedName name="通算アガリ点" localSheetId="8">ともき!$C$27</definedName>
    <definedName name="通算アガリ点" localSheetId="10">りくと!$C$27</definedName>
    <definedName name="通算アガリ点" localSheetId="6">れんたろう!$C$27</definedName>
    <definedName name="通算アガリ点" localSheetId="5">全体!$C$27</definedName>
    <definedName name="通算スコア" localSheetId="3">Template1!$B$4</definedName>
    <definedName name="通算スコア" localSheetId="7">だいち!$B$4</definedName>
    <definedName name="通算スコア" localSheetId="9">ただ!$B$4</definedName>
    <definedName name="通算スコア" localSheetId="8">ともき!$B$4</definedName>
    <definedName name="通算スコア" localSheetId="10">りくと!$B$4</definedName>
    <definedName name="通算スコア" localSheetId="6">れんたろう!$B$4</definedName>
    <definedName name="通算スコア" localSheetId="5">全体!$B$4</definedName>
    <definedName name="通算副露アガリ点" localSheetId="3">Template1!$C$29</definedName>
    <definedName name="通算副露アガリ点" localSheetId="7">だいち!$C$29</definedName>
    <definedName name="通算副露アガリ点" localSheetId="9">ただ!$C$29</definedName>
    <definedName name="通算副露アガリ点" localSheetId="8">ともき!$C$29</definedName>
    <definedName name="通算副露アガリ点" localSheetId="10">りくと!$C$29</definedName>
    <definedName name="通算副露アガリ点" localSheetId="6">れんたろう!$C$29</definedName>
    <definedName name="通算副露アガリ点" localSheetId="5">全体!$C$29</definedName>
    <definedName name="通算放銃点" localSheetId="3">Template1!$C$30</definedName>
    <definedName name="通算放銃点" localSheetId="7">だいち!$C$30</definedName>
    <definedName name="通算放銃点" localSheetId="9">ただ!$C$30</definedName>
    <definedName name="通算放銃点" localSheetId="8">ともき!$C$30</definedName>
    <definedName name="通算放銃点" localSheetId="10">りくと!$C$30</definedName>
    <definedName name="通算放銃点" localSheetId="6">れんたろう!$C$30</definedName>
    <definedName name="通算放銃点" localSheetId="5">全体!$C$30</definedName>
    <definedName name="通算門前アガリ点" localSheetId="3">Template1!$C$28</definedName>
    <definedName name="通算門前アガリ点" localSheetId="7">だいち!$C$28</definedName>
    <definedName name="通算門前アガリ点" localSheetId="9">ただ!$C$28</definedName>
    <definedName name="通算門前アガリ点" localSheetId="8">ともき!$C$28</definedName>
    <definedName name="通算門前アガリ点" localSheetId="10">りくと!$C$28</definedName>
    <definedName name="通算門前アガリ点" localSheetId="6">れんたろう!$C$28</definedName>
    <definedName name="通算門前アガリ点" localSheetId="5">全体!$C$28</definedName>
    <definedName name="二位スコア" localSheetId="7">だいち!$B$12</definedName>
    <definedName name="二位スコア" localSheetId="9">ただ!$B$12</definedName>
    <definedName name="二位スコア" localSheetId="8">ともき!$B$12</definedName>
    <definedName name="二位スコア" localSheetId="10">りくと!$B$12</definedName>
    <definedName name="二位スコア" localSheetId="6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7">だいち!$B$9</definedName>
    <definedName name="二位数" localSheetId="9">ただ!$B$9</definedName>
    <definedName name="二位数" localSheetId="8">ともき!$B$9</definedName>
    <definedName name="二位数" localSheetId="10">りくと!$B$9</definedName>
    <definedName name="二位数" localSheetId="6">れんたろう!$B$9</definedName>
    <definedName name="二位数" localSheetId="5">全体!$B$9</definedName>
    <definedName name="二位通算スコア" localSheetId="7">だいち!$C$12</definedName>
    <definedName name="二位通算スコア" localSheetId="9">ただ!$C$12</definedName>
    <definedName name="二位通算スコア" localSheetId="8">ともき!$C$12</definedName>
    <definedName name="二位通算スコア" localSheetId="10">りくと!$C$12</definedName>
    <definedName name="二位通算スコア" localSheetId="6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7">だいち!$C$9</definedName>
    <definedName name="二位率" localSheetId="9">ただ!$C$9</definedName>
    <definedName name="二位率" localSheetId="8">ともき!$C$9</definedName>
    <definedName name="二位率" localSheetId="10">りくと!$C$9</definedName>
    <definedName name="二位率" localSheetId="6">れんたろう!$C$9</definedName>
    <definedName name="二位率" localSheetId="5">全体!$C$9</definedName>
    <definedName name="副露アガリ数" localSheetId="3">Template1!$B$25</definedName>
    <definedName name="副露アガリ数" localSheetId="7">だいち!$B$25</definedName>
    <definedName name="副露アガリ数" localSheetId="9">ただ!$B$25</definedName>
    <definedName name="副露アガリ数" localSheetId="8">ともき!$B$25</definedName>
    <definedName name="副露アガリ数" localSheetId="10">りくと!$B$25</definedName>
    <definedName name="副露アガリ数" localSheetId="6">れんたろう!$B$25</definedName>
    <definedName name="副露アガリ数" localSheetId="5">全体!$B$25</definedName>
    <definedName name="副露アガリ点" localSheetId="3">Template1!$B$29</definedName>
    <definedName name="副露アガリ点" localSheetId="7">だいち!$B$29</definedName>
    <definedName name="副露アガリ点" localSheetId="9">ただ!$B$29</definedName>
    <definedName name="副露アガリ点" localSheetId="8">ともき!$B$29</definedName>
    <definedName name="副露アガリ点" localSheetId="10">りくと!$B$29</definedName>
    <definedName name="副露アガリ点" localSheetId="6">れんたろう!$B$29</definedName>
    <definedName name="副露アガリ点" localSheetId="5">全体!$B$29</definedName>
    <definedName name="副露アガリ率" localSheetId="3">Template1!$C$25</definedName>
    <definedName name="副露アガリ率" localSheetId="7">だいち!$C$25</definedName>
    <definedName name="副露アガリ率" localSheetId="9">ただ!$C$25</definedName>
    <definedName name="副露アガリ率" localSheetId="8">ともき!$C$25</definedName>
    <definedName name="副露アガリ率" localSheetId="10">りくと!$C$25</definedName>
    <definedName name="副露アガリ率" localSheetId="6">れんたろう!$C$25</definedName>
    <definedName name="副露アガリ率" localSheetId="5">全体!$C$25</definedName>
    <definedName name="副露数" localSheetId="3">Template1!$B$17</definedName>
    <definedName name="副露数" localSheetId="7">だいち!$B$17</definedName>
    <definedName name="副露数" localSheetId="9">ただ!$B$17</definedName>
    <definedName name="副露数" localSheetId="8">ともき!$B$17</definedName>
    <definedName name="副露数" localSheetId="10">りくと!$B$17</definedName>
    <definedName name="副露数" localSheetId="6">れんたろう!$B$17</definedName>
    <definedName name="副露数" localSheetId="5">全体!$B$17</definedName>
    <definedName name="副露成功数" localSheetId="3">Template1!$B$19</definedName>
    <definedName name="副露成功数" localSheetId="7">だいち!$B$19</definedName>
    <definedName name="副露成功数" localSheetId="9">ただ!$B$19</definedName>
    <definedName name="副露成功数" localSheetId="8">ともき!$B$19</definedName>
    <definedName name="副露成功数" localSheetId="10">りくと!$B$19</definedName>
    <definedName name="副露成功数" localSheetId="6">れんたろう!$B$19</definedName>
    <definedName name="副露成功数" localSheetId="5">全体!$B$19</definedName>
    <definedName name="副露成功率" localSheetId="3">Template1!$C$19</definedName>
    <definedName name="副露成功率" localSheetId="7">だいち!$C$19</definedName>
    <definedName name="副露成功率" localSheetId="9">ただ!$C$19</definedName>
    <definedName name="副露成功率" localSheetId="8">ともき!$C$19</definedName>
    <definedName name="副露成功率" localSheetId="10">りくと!$C$19</definedName>
    <definedName name="副露成功率" localSheetId="6">れんたろう!$C$19</definedName>
    <definedName name="副露成功率" localSheetId="5">全体!$C$19</definedName>
    <definedName name="副露率" localSheetId="3">Template1!$C$17</definedName>
    <definedName name="副露率" localSheetId="7">だいち!$C$17</definedName>
    <definedName name="副露率" localSheetId="9">ただ!$C$17</definedName>
    <definedName name="副露率" localSheetId="8">ともき!$C$17</definedName>
    <definedName name="副露率" localSheetId="10">りくと!$C$17</definedName>
    <definedName name="副露率" localSheetId="6">れんたろう!$C$17</definedName>
    <definedName name="副露率" localSheetId="5">全体!$C$17</definedName>
    <definedName name="平均アガリ点" localSheetId="3">Template1!$B$27</definedName>
    <definedName name="平均アガリ点" localSheetId="7">だいち!$B$27</definedName>
    <definedName name="平均アガリ点" localSheetId="9">ただ!$B$27</definedName>
    <definedName name="平均アガリ点" localSheetId="8">ともき!$B$27</definedName>
    <definedName name="平均アガリ点" localSheetId="10">りくと!$B$27</definedName>
    <definedName name="平均アガリ点" localSheetId="6">れんたろう!$B$27</definedName>
    <definedName name="平均アガリ点" localSheetId="5">全体!$B$27</definedName>
    <definedName name="平均スコア" localSheetId="3">Template1!$B$5</definedName>
    <definedName name="平均スコア" localSheetId="7">だいち!$B$5</definedName>
    <definedName name="平均スコア" localSheetId="9">ただ!$B$5</definedName>
    <definedName name="平均スコア" localSheetId="8">ともき!$B$5</definedName>
    <definedName name="平均スコア" localSheetId="10">りくと!$B$5</definedName>
    <definedName name="平均スコア" localSheetId="6">れんたろう!$B$5</definedName>
    <definedName name="平均スコア" localSheetId="5">全体!$B$5</definedName>
    <definedName name="平均順位" localSheetId="3">Template1!$B$7</definedName>
    <definedName name="平均順位" localSheetId="7">だいち!$B$7</definedName>
    <definedName name="平均順位" localSheetId="9">ただ!$B$7</definedName>
    <definedName name="平均順位" localSheetId="8">ともき!$B$7</definedName>
    <definedName name="平均順位" localSheetId="10">りくと!$B$7</definedName>
    <definedName name="平均順位" localSheetId="6">れんたろう!$B$7</definedName>
    <definedName name="平均順位" localSheetId="5">全体!$B$7</definedName>
    <definedName name="平均放銃点" localSheetId="3">Template1!$B$30</definedName>
    <definedName name="平均放銃点" localSheetId="7">だいち!$B$30</definedName>
    <definedName name="平均放銃点" localSheetId="9">ただ!$B$30</definedName>
    <definedName name="平均放銃点" localSheetId="8">ともき!$B$30</definedName>
    <definedName name="平均放銃点" localSheetId="10">りくと!$B$30</definedName>
    <definedName name="平均放銃点" localSheetId="6">れんたろう!$B$30</definedName>
    <definedName name="平均放銃点" localSheetId="5">全体!$B$30</definedName>
    <definedName name="放銃数" localSheetId="3">Template1!$B$21</definedName>
    <definedName name="放銃数" localSheetId="7">だいち!$B$21</definedName>
    <definedName name="放銃数" localSheetId="9">ただ!$B$21</definedName>
    <definedName name="放銃数" localSheetId="8">ともき!$B$21</definedName>
    <definedName name="放銃数" localSheetId="10">りくと!$B$21</definedName>
    <definedName name="放銃数" localSheetId="6">れんたろう!$B$21</definedName>
    <definedName name="放銃数" localSheetId="5">全体!$B$21</definedName>
    <definedName name="放銃率" localSheetId="3">Template1!$C$21</definedName>
    <definedName name="放銃率" localSheetId="7">だいち!$C$21</definedName>
    <definedName name="放銃率" localSheetId="9">ただ!$C$21</definedName>
    <definedName name="放銃率" localSheetId="8">ともき!$C$21</definedName>
    <definedName name="放銃率" localSheetId="10">りくと!$C$21</definedName>
    <definedName name="放銃率" localSheetId="6">れんたろう!$C$21</definedName>
    <definedName name="放銃率" localSheetId="5">全体!$C$21</definedName>
    <definedName name="名前" localSheetId="3">Template1!$B$1</definedName>
    <definedName name="名前" localSheetId="7">だいち!$B$1</definedName>
    <definedName name="名前" localSheetId="9">ただ!$B$1</definedName>
    <definedName name="名前" localSheetId="8">ともき!$B$1</definedName>
    <definedName name="名前" localSheetId="10">りくと!$B$1</definedName>
    <definedName name="名前" localSheetId="6">れんたろう!$B$1</definedName>
    <definedName name="名前" localSheetId="5">全体!$B$1</definedName>
    <definedName name="門前アガリ点" localSheetId="3">Template1!$B$28</definedName>
    <definedName name="門前アガリ点" localSheetId="7">だいち!$B$28</definedName>
    <definedName name="門前アガリ点" localSheetId="9">ただ!$B$28</definedName>
    <definedName name="門前アガリ点" localSheetId="8">ともき!$B$28</definedName>
    <definedName name="門前アガリ点" localSheetId="10">りくと!$B$28</definedName>
    <definedName name="門前アガリ点" localSheetId="6">れんたろう!$B$28</definedName>
    <definedName name="門前アガリ点" localSheetId="5">全体!$B$28</definedName>
    <definedName name="連続アガリ" localSheetId="3">Template1!$B$31</definedName>
    <definedName name="連続アガリ" localSheetId="7">だいち!$B$31</definedName>
    <definedName name="連続アガリ" localSheetId="9">ただ!$B$31</definedName>
    <definedName name="連続アガリ" localSheetId="8">ともき!$B$31</definedName>
    <definedName name="連続アガリ" localSheetId="10">りくと!$B$31</definedName>
    <definedName name="連続アガリ" localSheetId="6">れんたろう!$B$31</definedName>
    <definedName name="連続アガリ" localSheetId="5">全体!$B$31</definedName>
    <definedName name="連続無放銃" localSheetId="3">Template1!$B$32</definedName>
    <definedName name="連続無放銃" localSheetId="7">だいち!$B$32</definedName>
    <definedName name="連続無放銃" localSheetId="9">ただ!$B$32</definedName>
    <definedName name="連続無放銃" localSheetId="8">ともき!$B$32</definedName>
    <definedName name="連続無放銃" localSheetId="10">りくと!$B$32</definedName>
    <definedName name="連続無放銃" localSheetId="6">れんたろう!$B$32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17" i="7096" l="1"/>
  <c r="P15" i="7104"/>
  <c r="P16" i="7098" l="1"/>
  <c r="P15" i="7102"/>
  <c r="P17" i="7094"/>
  <c r="P17" i="7104"/>
  <c r="P16" i="7104"/>
  <c r="C35" i="7104"/>
  <c r="B30" i="7104"/>
  <c r="C21" i="7104"/>
  <c r="B20" i="7104"/>
  <c r="H52" i="7104" s="1"/>
  <c r="B19" i="7104"/>
  <c r="B29" i="7104" s="1"/>
  <c r="B18" i="7104"/>
  <c r="C18" i="7104" s="1"/>
  <c r="C17" i="7104"/>
  <c r="C16" i="7104"/>
  <c r="C15" i="7104"/>
  <c r="B13" i="7104"/>
  <c r="P12" i="7104"/>
  <c r="B12" i="7104"/>
  <c r="P11" i="7104"/>
  <c r="B11" i="7104"/>
  <c r="P10" i="7104"/>
  <c r="C10" i="7104"/>
  <c r="C9" i="7104"/>
  <c r="C8" i="7104"/>
  <c r="P7" i="7104"/>
  <c r="B7" i="7104"/>
  <c r="P6" i="7104"/>
  <c r="P5" i="7104"/>
  <c r="B5" i="7104"/>
  <c r="P4" i="7104"/>
  <c r="P3" i="7104"/>
  <c r="P2" i="7104"/>
  <c r="H25" i="7104" l="1"/>
  <c r="H5" i="7104"/>
  <c r="H15" i="7104"/>
  <c r="H2" i="7104"/>
  <c r="C19" i="7104"/>
  <c r="B14" i="7104"/>
  <c r="H10" i="7104"/>
  <c r="H35" i="7104"/>
  <c r="H8" i="7104"/>
  <c r="H22" i="7104"/>
  <c r="H7" i="7104"/>
  <c r="C20" i="7104"/>
  <c r="H3" i="7104"/>
  <c r="H20" i="7104"/>
  <c r="H23" i="7104"/>
  <c r="C25" i="7104"/>
  <c r="H41" i="7104"/>
  <c r="H45" i="7104"/>
  <c r="H49" i="7104"/>
  <c r="H26" i="7104"/>
  <c r="H16" i="7104"/>
  <c r="H30" i="7104"/>
  <c r="H18" i="7104"/>
  <c r="H37" i="7104"/>
  <c r="C40" i="7104"/>
  <c r="C44" i="7104"/>
  <c r="C48" i="7104"/>
  <c r="C22" i="7104"/>
  <c r="C26" i="7104"/>
  <c r="H38" i="7104"/>
  <c r="H42" i="7104"/>
  <c r="H46" i="7104"/>
  <c r="H50" i="7104"/>
  <c r="H4" i="7104"/>
  <c r="H14" i="7104"/>
  <c r="H21" i="7104"/>
  <c r="H28" i="7104"/>
  <c r="H31" i="7104"/>
  <c r="H32" i="7104"/>
  <c r="C37" i="7104"/>
  <c r="C41" i="7104"/>
  <c r="C45" i="7104"/>
  <c r="C49" i="7104"/>
  <c r="H9" i="7104"/>
  <c r="H24" i="7104"/>
  <c r="H13" i="7104"/>
  <c r="C23" i="7104"/>
  <c r="B27" i="7104"/>
  <c r="H33" i="7104"/>
  <c r="H39" i="7104"/>
  <c r="H43" i="7104"/>
  <c r="H47" i="7104"/>
  <c r="H51" i="7104"/>
  <c r="H29" i="7104"/>
  <c r="H11" i="7104"/>
  <c r="H34" i="7104"/>
  <c r="C38" i="7104"/>
  <c r="C42" i="7104"/>
  <c r="C46" i="7104"/>
  <c r="H19" i="7104"/>
  <c r="C24" i="7104"/>
  <c r="B28" i="7104"/>
  <c r="H40" i="7104"/>
  <c r="H44" i="7104"/>
  <c r="H48" i="7104"/>
  <c r="H6" i="7104"/>
  <c r="H27" i="7104"/>
  <c r="H12" i="7104"/>
  <c r="H17" i="7104"/>
  <c r="H36" i="7104"/>
  <c r="C39" i="7104"/>
  <c r="C43" i="7104"/>
  <c r="C47" i="7104"/>
  <c r="P16" i="7096" l="1"/>
  <c r="P16" i="7102"/>
  <c r="P17" i="7102"/>
  <c r="C35" i="7102"/>
  <c r="B30" i="7102"/>
  <c r="C21" i="7102"/>
  <c r="B20" i="7102"/>
  <c r="C42" i="7102" s="1"/>
  <c r="B19" i="7102"/>
  <c r="B29" i="7102" s="1"/>
  <c r="B18" i="7102"/>
  <c r="C18" i="7102" s="1"/>
  <c r="C17" i="7102"/>
  <c r="C16" i="7102"/>
  <c r="C15" i="7102"/>
  <c r="B13" i="7102"/>
  <c r="P12" i="7102"/>
  <c r="B12" i="7102"/>
  <c r="P11" i="7102"/>
  <c r="B11" i="7102"/>
  <c r="P10" i="7102"/>
  <c r="C10" i="7102"/>
  <c r="C9" i="7102"/>
  <c r="C8" i="7102"/>
  <c r="P7" i="7102"/>
  <c r="B7" i="7102"/>
  <c r="P6" i="7102"/>
  <c r="P5" i="7102"/>
  <c r="B5" i="7102"/>
  <c r="P4" i="7102"/>
  <c r="P3" i="7102"/>
  <c r="P2" i="7102"/>
  <c r="P17" i="7098"/>
  <c r="P16" i="7094"/>
  <c r="C19" i="7102" l="1"/>
  <c r="H9" i="7102"/>
  <c r="B14" i="7102"/>
  <c r="H11" i="7102"/>
  <c r="C20" i="7102"/>
  <c r="H3" i="7102"/>
  <c r="C46" i="7102"/>
  <c r="H2" i="7102"/>
  <c r="H10" i="7102"/>
  <c r="H21" i="7102"/>
  <c r="H17" i="7102"/>
  <c r="C24" i="7102"/>
  <c r="B28" i="7102"/>
  <c r="H35" i="7102"/>
  <c r="H40" i="7102"/>
  <c r="H44" i="7102"/>
  <c r="H48" i="7102"/>
  <c r="H5" i="7102"/>
  <c r="H25" i="7102"/>
  <c r="H18" i="7102"/>
  <c r="H30" i="7102"/>
  <c r="H36" i="7102"/>
  <c r="C39" i="7102"/>
  <c r="C43" i="7102"/>
  <c r="C47" i="7102"/>
  <c r="H52" i="7102"/>
  <c r="H20" i="7102"/>
  <c r="H22" i="7102"/>
  <c r="C25" i="7102"/>
  <c r="H41" i="7102"/>
  <c r="H45" i="7102"/>
  <c r="H49" i="7102"/>
  <c r="H15" i="7102"/>
  <c r="H28" i="7102"/>
  <c r="H31" i="7102"/>
  <c r="H37" i="7102"/>
  <c r="C48" i="7102"/>
  <c r="C40" i="7102"/>
  <c r="H4" i="7102"/>
  <c r="H24" i="7102"/>
  <c r="C44" i="7102"/>
  <c r="H23" i="7102"/>
  <c r="C22" i="7102"/>
  <c r="C26" i="7102"/>
  <c r="H38" i="7102"/>
  <c r="H42" i="7102"/>
  <c r="H46" i="7102"/>
  <c r="H50" i="7102"/>
  <c r="H6" i="7102"/>
  <c r="H12" i="7102"/>
  <c r="H16" i="7102"/>
  <c r="H26" i="7102"/>
  <c r="H29" i="7102"/>
  <c r="H32" i="7102"/>
  <c r="C37" i="7102"/>
  <c r="C41" i="7102"/>
  <c r="C45" i="7102"/>
  <c r="C49" i="7102"/>
  <c r="H8" i="7102"/>
  <c r="H13" i="7102"/>
  <c r="H14" i="7102"/>
  <c r="C23" i="7102"/>
  <c r="B27" i="7102"/>
  <c r="H33" i="7102"/>
  <c r="H39" i="7102"/>
  <c r="H43" i="7102"/>
  <c r="H47" i="7102"/>
  <c r="H51" i="7102"/>
  <c r="H27" i="7102"/>
  <c r="H7" i="7102"/>
  <c r="H34" i="7102"/>
  <c r="C38" i="7102"/>
  <c r="H19" i="7102"/>
  <c r="P16" i="7100" l="1"/>
  <c r="P15" i="7100"/>
  <c r="C35" i="7100"/>
  <c r="B30" i="7100"/>
  <c r="H30" i="7100"/>
  <c r="B29" i="7100"/>
  <c r="C21" i="7100"/>
  <c r="C20" i="7100"/>
  <c r="B20" i="7100"/>
  <c r="H52" i="7100" s="1"/>
  <c r="B19" i="7100"/>
  <c r="C19" i="7100" s="1"/>
  <c r="C18" i="7100"/>
  <c r="B18" i="7100"/>
  <c r="C17" i="7100"/>
  <c r="C16" i="7100"/>
  <c r="H16" i="7100"/>
  <c r="C15" i="7100"/>
  <c r="B13" i="7100"/>
  <c r="P12" i="7100"/>
  <c r="B12" i="7100"/>
  <c r="P11" i="7100"/>
  <c r="H12" i="7100"/>
  <c r="B11" i="7100"/>
  <c r="B14" i="7100" s="1"/>
  <c r="P10" i="7100"/>
  <c r="C10" i="7100"/>
  <c r="C9" i="7100"/>
  <c r="C8" i="7100"/>
  <c r="P7" i="7100"/>
  <c r="B7" i="7100"/>
  <c r="P6" i="7100"/>
  <c r="P5" i="7100"/>
  <c r="B5" i="7100"/>
  <c r="P4" i="7100"/>
  <c r="P3" i="7100"/>
  <c r="P2" i="7100"/>
  <c r="H4" i="7100"/>
  <c r="P18" i="7098"/>
  <c r="P15" i="7098"/>
  <c r="C35" i="7098"/>
  <c r="B30" i="7098"/>
  <c r="C21" i="7098"/>
  <c r="B20" i="7098"/>
  <c r="H4" i="7098" s="1"/>
  <c r="B19" i="7098"/>
  <c r="B29" i="7098" s="1"/>
  <c r="B18" i="7098"/>
  <c r="C18" i="7098" s="1"/>
  <c r="C17" i="7098"/>
  <c r="C16" i="7098"/>
  <c r="C15" i="7098"/>
  <c r="B13" i="7098"/>
  <c r="P12" i="7098"/>
  <c r="B12" i="7098"/>
  <c r="P11" i="7098"/>
  <c r="B11" i="7098"/>
  <c r="P10" i="7098"/>
  <c r="C10" i="7098"/>
  <c r="C9" i="7098"/>
  <c r="C8" i="7098"/>
  <c r="P7" i="7098"/>
  <c r="B7" i="7098"/>
  <c r="P6" i="7098"/>
  <c r="P5" i="7098"/>
  <c r="B5" i="7098"/>
  <c r="P4" i="7098"/>
  <c r="P3" i="7098"/>
  <c r="P2" i="7098"/>
  <c r="P18" i="7094"/>
  <c r="P15" i="7096"/>
  <c r="P18" i="7096"/>
  <c r="C35" i="7096"/>
  <c r="B30" i="7096"/>
  <c r="C21" i="7096"/>
  <c r="B20" i="7096"/>
  <c r="H15" i="7096" s="1"/>
  <c r="B19" i="7096"/>
  <c r="C19" i="7096" s="1"/>
  <c r="B18" i="7096"/>
  <c r="C18" i="7096" s="1"/>
  <c r="C17" i="7096"/>
  <c r="C16" i="7096"/>
  <c r="C15" i="7096"/>
  <c r="B13" i="7096"/>
  <c r="P12" i="7096"/>
  <c r="B12" i="7096"/>
  <c r="P11" i="7096"/>
  <c r="B11" i="7096"/>
  <c r="P10" i="7096"/>
  <c r="C10" i="7096"/>
  <c r="C9" i="7096"/>
  <c r="C8" i="7096"/>
  <c r="P7" i="7096"/>
  <c r="B7" i="7096"/>
  <c r="P6" i="7096"/>
  <c r="P5" i="7096"/>
  <c r="B5" i="7096"/>
  <c r="P4" i="7096"/>
  <c r="P3" i="7096"/>
  <c r="P2" i="7096"/>
  <c r="P15" i="7094"/>
  <c r="P19" i="7094"/>
  <c r="C35" i="7094"/>
  <c r="B30" i="7094"/>
  <c r="C21" i="7094"/>
  <c r="B20" i="7094"/>
  <c r="H17" i="7094" s="1"/>
  <c r="B19" i="7094"/>
  <c r="C19" i="7094" s="1"/>
  <c r="B18" i="7094"/>
  <c r="C18" i="7094" s="1"/>
  <c r="C17" i="7094"/>
  <c r="C16" i="7094"/>
  <c r="C15" i="7094"/>
  <c r="B13" i="7094"/>
  <c r="P12" i="7094"/>
  <c r="B12" i="7094"/>
  <c r="P11" i="7094"/>
  <c r="B11" i="7094"/>
  <c r="P10" i="7094"/>
  <c r="C10" i="7094"/>
  <c r="C9" i="7094"/>
  <c r="C8" i="7094"/>
  <c r="P7" i="7094"/>
  <c r="B7" i="7094"/>
  <c r="P6" i="7094"/>
  <c r="P5" i="7094"/>
  <c r="B5" i="7094"/>
  <c r="P4" i="7094"/>
  <c r="P3" i="7094"/>
  <c r="P2" i="7094"/>
  <c r="B14" i="7098" l="1"/>
  <c r="B14" i="7096"/>
  <c r="H9" i="7098"/>
  <c r="H27" i="7098"/>
  <c r="B27" i="7098"/>
  <c r="H7" i="7098"/>
  <c r="H3" i="7098"/>
  <c r="H40" i="7098"/>
  <c r="H26" i="7098"/>
  <c r="C39" i="7098"/>
  <c r="H41" i="7100"/>
  <c r="H44" i="7100"/>
  <c r="C44" i="7100"/>
  <c r="H10" i="7100"/>
  <c r="H22" i="7100"/>
  <c r="H45" i="7100"/>
  <c r="C22" i="7100"/>
  <c r="H36" i="7100"/>
  <c r="H48" i="7100"/>
  <c r="H7" i="7100"/>
  <c r="H19" i="7100"/>
  <c r="C25" i="7100"/>
  <c r="H37" i="7100"/>
  <c r="C48" i="7100"/>
  <c r="H2" i="7100"/>
  <c r="H15" i="7100"/>
  <c r="H26" i="7100"/>
  <c r="H40" i="7100"/>
  <c r="C26" i="7100"/>
  <c r="C40" i="7100"/>
  <c r="C19" i="7098"/>
  <c r="B29" i="7096"/>
  <c r="H2" i="7096"/>
  <c r="H12" i="7096"/>
  <c r="H29" i="7096"/>
  <c r="H36" i="7096"/>
  <c r="H3" i="7096"/>
  <c r="H26" i="7096"/>
  <c r="B14" i="7094"/>
  <c r="C44" i="7098"/>
  <c r="C22" i="7098"/>
  <c r="H5" i="7096"/>
  <c r="C22" i="7096"/>
  <c r="H49" i="7100"/>
  <c r="H8" i="7100"/>
  <c r="H11" i="7100"/>
  <c r="H13" i="7100"/>
  <c r="H23" i="7100"/>
  <c r="H27" i="7100"/>
  <c r="H31" i="7100"/>
  <c r="C37" i="7100"/>
  <c r="C41" i="7100"/>
  <c r="C45" i="7100"/>
  <c r="C49" i="7100"/>
  <c r="H5" i="7100"/>
  <c r="H17" i="7100"/>
  <c r="H20" i="7100"/>
  <c r="C23" i="7100"/>
  <c r="B27" i="7100"/>
  <c r="H32" i="7100"/>
  <c r="H38" i="7100"/>
  <c r="H42" i="7100"/>
  <c r="H46" i="7100"/>
  <c r="H50" i="7100"/>
  <c r="H24" i="7100"/>
  <c r="H28" i="7100"/>
  <c r="H33" i="7100"/>
  <c r="C38" i="7100"/>
  <c r="C42" i="7100"/>
  <c r="C46" i="7100"/>
  <c r="H51" i="7100"/>
  <c r="H6" i="7100"/>
  <c r="H9" i="7100"/>
  <c r="H14" i="7100"/>
  <c r="H18" i="7100"/>
  <c r="C24" i="7100"/>
  <c r="B28" i="7100"/>
  <c r="H34" i="7100"/>
  <c r="H39" i="7100"/>
  <c r="H43" i="7100"/>
  <c r="H47" i="7100"/>
  <c r="H3" i="7100"/>
  <c r="H21" i="7100"/>
  <c r="H25" i="7100"/>
  <c r="H29" i="7100"/>
  <c r="H35" i="7100"/>
  <c r="C39" i="7100"/>
  <c r="C43" i="7100"/>
  <c r="C47" i="7100"/>
  <c r="H39" i="7098"/>
  <c r="C23" i="7098"/>
  <c r="C43" i="7098"/>
  <c r="H20" i="7098"/>
  <c r="H22" i="7098"/>
  <c r="H11" i="7098"/>
  <c r="H52" i="7098"/>
  <c r="H5" i="7098"/>
  <c r="H14" i="7098"/>
  <c r="H24" i="7098"/>
  <c r="H16" i="7098"/>
  <c r="H15" i="7098"/>
  <c r="H13" i="7098"/>
  <c r="H42" i="7098"/>
  <c r="H47" i="7098"/>
  <c r="C25" i="7098"/>
  <c r="H18" i="7098"/>
  <c r="C40" i="7098"/>
  <c r="C47" i="7098"/>
  <c r="H6" i="7098"/>
  <c r="H28" i="7098"/>
  <c r="C20" i="7098"/>
  <c r="H33" i="7098"/>
  <c r="H38" i="7098"/>
  <c r="H43" i="7098"/>
  <c r="H49" i="7098"/>
  <c r="H2" i="7098"/>
  <c r="H8" i="7098"/>
  <c r="H25" i="7098"/>
  <c r="H30" i="7098"/>
  <c r="C26" i="7098"/>
  <c r="H44" i="7098"/>
  <c r="C48" i="7098"/>
  <c r="H50" i="7098"/>
  <c r="H23" i="7098"/>
  <c r="H29" i="7098"/>
  <c r="H12" i="7098"/>
  <c r="H34" i="7098"/>
  <c r="H21" i="7098"/>
  <c r="H46" i="7098"/>
  <c r="H51" i="7098"/>
  <c r="H31" i="7098"/>
  <c r="H17" i="7098"/>
  <c r="H35" i="7098"/>
  <c r="C37" i="7098"/>
  <c r="C41" i="7098"/>
  <c r="C45" i="7098"/>
  <c r="C49" i="7098"/>
  <c r="H32" i="7098"/>
  <c r="H10" i="7098"/>
  <c r="H36" i="7098"/>
  <c r="C38" i="7098"/>
  <c r="C42" i="7098"/>
  <c r="C46" i="7098"/>
  <c r="H19" i="7098"/>
  <c r="C24" i="7098"/>
  <c r="B28" i="7098"/>
  <c r="H37" i="7098"/>
  <c r="H41" i="7098"/>
  <c r="H45" i="7098"/>
  <c r="H48" i="7098"/>
  <c r="H12" i="7094"/>
  <c r="H31" i="7094"/>
  <c r="C24" i="7094"/>
  <c r="H13" i="7094"/>
  <c r="H3" i="7094"/>
  <c r="H27" i="7094"/>
  <c r="H23" i="7094"/>
  <c r="H5" i="7094"/>
  <c r="B28" i="7094"/>
  <c r="H4" i="7096"/>
  <c r="H32" i="7096"/>
  <c r="H41" i="7096"/>
  <c r="B27" i="7096"/>
  <c r="H42" i="7096"/>
  <c r="C41" i="7096"/>
  <c r="B28" i="7096"/>
  <c r="C20" i="7096"/>
  <c r="H47" i="7096"/>
  <c r="H24" i="7096"/>
  <c r="H11" i="7096"/>
  <c r="H48" i="7096"/>
  <c r="H7" i="7096"/>
  <c r="H22" i="7096"/>
  <c r="H28" i="7096"/>
  <c r="H35" i="7096"/>
  <c r="H49" i="7096"/>
  <c r="H10" i="7096"/>
  <c r="H14" i="7096"/>
  <c r="H18" i="7096"/>
  <c r="C23" i="7096"/>
  <c r="H37" i="7096"/>
  <c r="H43" i="7096"/>
  <c r="C48" i="7096"/>
  <c r="H13" i="7096"/>
  <c r="H19" i="7096"/>
  <c r="H38" i="7096"/>
  <c r="C43" i="7096"/>
  <c r="H50" i="7096"/>
  <c r="H8" i="7096"/>
  <c r="H17" i="7096"/>
  <c r="H25" i="7096"/>
  <c r="C25" i="7096"/>
  <c r="C37" i="7096"/>
  <c r="H45" i="7096"/>
  <c r="H51" i="7096"/>
  <c r="H27" i="7096"/>
  <c r="H31" i="7096"/>
  <c r="H20" i="7096"/>
  <c r="H40" i="7096"/>
  <c r="C44" i="7096"/>
  <c r="H6" i="7096"/>
  <c r="H16" i="7096"/>
  <c r="H23" i="7096"/>
  <c r="C26" i="7096"/>
  <c r="H34" i="7096"/>
  <c r="C39" i="7096"/>
  <c r="C45" i="7096"/>
  <c r="H52" i="7096"/>
  <c r="H39" i="7096"/>
  <c r="H44" i="7096"/>
  <c r="C47" i="7096"/>
  <c r="C24" i="7096"/>
  <c r="H33" i="7096"/>
  <c r="C40" i="7096"/>
  <c r="H46" i="7096"/>
  <c r="C49" i="7096"/>
  <c r="H30" i="7096"/>
  <c r="H9" i="7096"/>
  <c r="H21" i="7096"/>
  <c r="C38" i="7096"/>
  <c r="C42" i="7096"/>
  <c r="C46" i="7096"/>
  <c r="C39" i="7094"/>
  <c r="H8" i="7094"/>
  <c r="H21" i="7094"/>
  <c r="H42" i="7094"/>
  <c r="H2" i="7094"/>
  <c r="H34" i="7094"/>
  <c r="H43" i="7094"/>
  <c r="C41" i="7094"/>
  <c r="C45" i="7094"/>
  <c r="H48" i="7094"/>
  <c r="H37" i="7094"/>
  <c r="H7" i="7094"/>
  <c r="H11" i="7094"/>
  <c r="H24" i="7094"/>
  <c r="H38" i="7094"/>
  <c r="C47" i="7094"/>
  <c r="H22" i="7094"/>
  <c r="C22" i="7094"/>
  <c r="H49" i="7094"/>
  <c r="C25" i="7094"/>
  <c r="H45" i="7094"/>
  <c r="H50" i="7094"/>
  <c r="C20" i="7094"/>
  <c r="C26" i="7094"/>
  <c r="H29" i="7094"/>
  <c r="C43" i="7094"/>
  <c r="C49" i="7094"/>
  <c r="H9" i="7094"/>
  <c r="H33" i="7094"/>
  <c r="H19" i="7094"/>
  <c r="C37" i="7094"/>
  <c r="H46" i="7094"/>
  <c r="H6" i="7094"/>
  <c r="H4" i="7094"/>
  <c r="H25" i="7094"/>
  <c r="H26" i="7094"/>
  <c r="H41" i="7094"/>
  <c r="H30" i="7094"/>
  <c r="H52" i="7094"/>
  <c r="B29" i="7094"/>
  <c r="H32" i="7094"/>
  <c r="H16" i="7094"/>
  <c r="H36" i="7094"/>
  <c r="H18" i="7094"/>
  <c r="H39" i="7094"/>
  <c r="C40" i="7094"/>
  <c r="C44" i="7094"/>
  <c r="C48" i="7094"/>
  <c r="H15" i="7094"/>
  <c r="H14" i="7094"/>
  <c r="C23" i="7094"/>
  <c r="B27" i="7094"/>
  <c r="H20" i="7094"/>
  <c r="H40" i="7094"/>
  <c r="H44" i="7094"/>
  <c r="H47" i="7094"/>
  <c r="H51" i="7094"/>
  <c r="H35" i="7094"/>
  <c r="H10" i="7094"/>
  <c r="H28" i="7094"/>
  <c r="C38" i="7094"/>
  <c r="C42" i="7094"/>
  <c r="C46" i="7094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<sst xmlns="http://schemas.openxmlformats.org/spreadsheetml/2006/main" count="1692" uniqueCount="232">
  <si>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</si>
  <si>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</si>
  <si>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</si>
  <si>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</si>
  <si>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</si>
  <si>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</si>
  <si>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</si>
  <si>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</si>
  <si>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</si>
  <si>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</si>
  <si>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</si>
  <si>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</si>
  <si>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</si>
  <si>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</si>
  <si>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</si>
  <si>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</si>
  <si>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</si>
  <si>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</si>
  <si>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</si>
  <si>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</si>
  <si>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</si>
  <si>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</si>
  <si>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</si>
  <si>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</si>
  <si>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</si>
  <si>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</si>
  <si>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</si>
  <si>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</si>
  <si>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</si>
  <si>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</si>
  <si>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</si>
  <si>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</si>
  <si>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</si>
  <si>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</si>
  <si>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</si>
  <si>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</si>
  <si>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</si>
  <si>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</si>
  <si>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</si>
  <si>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</si>
  <si>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</si>
  <si>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</si>
  <si>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</si>
  <si>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</si>
  <si>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</si>
  <si>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</si>
  <si>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</si>
  <si>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</si>
  <si>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</si>
  <si>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</si>
  <si>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</si>
  <si>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</si>
  <si>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</si>
  <si>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</si>
  <si>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</si>
  <si>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</si>
  <si>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</si>
  <si>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</si>
  <si>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</si>
  <si>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</si>
  <si>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</si>
  <si>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</si>
  <si>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</si>
  <si>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</si>
  <si>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</si>
  <si>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</si>
  <si>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</si>
  <si>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</si>
  <si>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</si>
  <si>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</si>
  <si>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</si>
  <si>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</si>
  <si>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</si>
  <si>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</si>
  <si>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</si>
  <si>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</si>
  <si>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</si>
  <si>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</si>
  <si>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</si>
  <si>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</si>
  <si>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</si>
  <si>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</si>
  <si>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</si>
  <si>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</si>
  <si>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</si>
  <si>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</si>
  <si>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</si>
  <si>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</si>
  <si>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</si>
  <si>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</si>
  <si>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</si>
  <si>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</si>
  <si>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</si>
  <si>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</si>
  <si>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</si>
  <si>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</si>
  <si>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</si>
  <si>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</si>
  <si>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</si>
  <si>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</si>
  <si>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</si>
  <si>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</si>
  <si>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</si>
  <si>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</si>
  <si>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</si>
  <si>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</si>
  <si>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</si>
  <si>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</si>
  <si>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</si>
  <si>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</si>
  <si>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</si>
  <si>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</si>
  <si>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</si>
  <si>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</si>
  <si>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</si>
  <si>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</si>
  <si>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</si>
  <si>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</si>
  <si>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</si>
  <si>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</si>
  <si>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</si>
  <si>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</si>
  <si>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</si>
  <si>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</si>
  <si>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</si>
  <si>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</si>
  <si>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</si>
  <si>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</si>
  <si>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</si>
  <si>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</si>
  <si>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</si>
  <si>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</si>
  <si>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</si>
  <si>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</si>
  <si>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</si>
  <si>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</si>
  <si>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</si>
  <si>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</si>
  <si>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</si>
  <si>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</si>
  <si>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</si>
  <si>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</si>
  <si>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</si>
  <si>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</si>
  <si>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</si>
  <si>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</si>
  <si>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</si>
  <si>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</si>
  <si>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</si>
  <si>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</si>
  <si>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</si>
  <si>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</si>
  <si>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</si>
  <si>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</si>
  <si>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</si>
  <si>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</si>
  <si>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</si>
  <si>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</si>
  <si>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</si>
  <si>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</si>
  <si>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</si>
  <si>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</si>
  <si>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</si>
  <si>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</si>
  <si>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</si>
  <si>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</si>
  <si>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</si>
  <si>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</si>
  <si>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</si>
  <si>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</si>
  <si>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</si>
  <si>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</si>
  <si>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</si>
  <si>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</si>
  <si>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</si>
  <si>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</si>
  <si>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</si>
  <si>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</si>
  <si>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</si>
  <si>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</si>
  <si>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</si>
  <si>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</si>
  <si>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</si>
  <si>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</si>
  <si>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</si>
  <si>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</si>
  <si>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</si>
  <si>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</si>
  <si>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</si>
  <si>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</si>
  <si>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</si>
  <si>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</si>
  <si>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</si>
  <si>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</si>
  <si>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</si>
  <si>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</si>
  <si>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</si>
  <si>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</si>
  <si>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</si>
  <si>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</si>
  <si>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</si>
  <si>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</si>
  <si>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</si>
  <si>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</si>
  <si>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</si>
  <si>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</si>
  <si>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</si>
  <si>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</si>
  <si>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</si>
  <si>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</si>
  <si>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</si>
  <si>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</si>
  <si>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</si>
  <si>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</si>
  <si>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Sheet4</t>
  </si>
  <si>
    <t>Sheet5</t>
  </si>
  <si>
    <t>2022-04-30@Kohama.xlsm</t>
  </si>
  <si>
    <t>Sheet6</t>
  </si>
  <si>
    <t>Sheet7</t>
  </si>
  <si>
    <t>Sheet8</t>
  </si>
  <si>
    <t>Sheet9</t>
  </si>
  <si>
    <t>Sheet10</t>
  </si>
  <si>
    <t>Sheet11</t>
  </si>
  <si>
    <t>Sheet12</t>
  </si>
  <si>
    <t>Sheet13</t>
  </si>
  <si>
    <t>Sheet14</t>
  </si>
  <si>
    <t>Sheet15</t>
  </si>
  <si>
    <t>2021-02-13@Ina.xlsm</t>
  </si>
  <si>
    <t>2021-05-01@Ina.xlsm</t>
  </si>
  <si>
    <t>2022-03-13@Kohama.xlsm</t>
  </si>
  <si>
    <t>りくと</t>
    <phoneticPr fontId="1"/>
  </si>
  <si>
    <t>2022-03-21@Ina.xlsm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</si>
</sst>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hartsheet" Target="chartsheets/sheet1.xml"/><Relationship Id="rId26" Type="http://schemas.openxmlformats.org/officeDocument/2006/relationships/chartsheet" Target="chartsheets/sheet9.xml"/><Relationship Id="rId3" Type="http://schemas.openxmlformats.org/officeDocument/2006/relationships/worksheet" Target="worksheets/sheet3.xml"/><Relationship Id="rId21" Type="http://schemas.openxmlformats.org/officeDocument/2006/relationships/chartsheet" Target="chartsheets/sheet4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8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3.xml"/><Relationship Id="rId29" Type="http://schemas.openxmlformats.org/officeDocument/2006/relationships/chartsheet" Target="chartsheets/sheet1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7.xml"/><Relationship Id="rId32" Type="http://schemas.openxmlformats.org/officeDocument/2006/relationships/chartsheet" Target="chartsheets/sheet15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6.xml"/><Relationship Id="rId28" Type="http://schemas.openxmlformats.org/officeDocument/2006/relationships/chartsheet" Target="chartsheets/sheet11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hartsheet" Target="chartsheets/sheet2.xml"/><Relationship Id="rId31" Type="http://schemas.openxmlformats.org/officeDocument/2006/relationships/chartsheet" Target="chartsheets/sheet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5.xml"/><Relationship Id="rId27" Type="http://schemas.openxmlformats.org/officeDocument/2006/relationships/chartsheet" Target="chartsheets/sheet10.xml"/><Relationship Id="rId30" Type="http://schemas.openxmlformats.org/officeDocument/2006/relationships/chartsheet" Target="chartsheets/sheet13.xml"/><Relationship Id="rId35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全体!$L$2:$L$125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50.6</c:v>
                </c:pt>
                <c:pt idx="2">
                  <c:v>46</c:v>
                </c:pt>
                <c:pt idx="3">
                  <c:v>0</c:v>
                </c:pt>
                <c:pt idx="4">
                  <c:v>3.7</c:v>
                </c:pt>
                <c:pt idx="5">
                  <c:v>50.900000000000006</c:v>
                </c:pt>
                <c:pt idx="6">
                  <c:v>7.1054273576010019E-15</c:v>
                </c:pt>
                <c:pt idx="7">
                  <c:v>-5.2999999999999927</c:v>
                </c:pt>
                <c:pt idx="8">
                  <c:v>16.500000000000007</c:v>
                </c:pt>
                <c:pt idx="9">
                  <c:v>7.1054273576010019E-15</c:v>
                </c:pt>
                <c:pt idx="10">
                  <c:v>18.000000000000007</c:v>
                </c:pt>
                <c:pt idx="11">
                  <c:v>21.600000000000009</c:v>
                </c:pt>
                <c:pt idx="12">
                  <c:v>7.1054273576010019E-15</c:v>
                </c:pt>
                <c:pt idx="13">
                  <c:v>16.900000000000006</c:v>
                </c:pt>
                <c:pt idx="14">
                  <c:v>18.100000000000005</c:v>
                </c:pt>
                <c:pt idx="15">
                  <c:v>3.5527136788005009E-15</c:v>
                </c:pt>
                <c:pt idx="16">
                  <c:v>76.5</c:v>
                </c:pt>
                <c:pt idx="17">
                  <c:v>46</c:v>
                </c:pt>
                <c:pt idx="18">
                  <c:v>0</c:v>
                </c:pt>
                <c:pt idx="19">
                  <c:v>-51.2</c:v>
                </c:pt>
                <c:pt idx="20">
                  <c:v>-52.6</c:v>
                </c:pt>
                <c:pt idx="21">
                  <c:v>0</c:v>
                </c:pt>
                <c:pt idx="22">
                  <c:v>51.1</c:v>
                </c:pt>
                <c:pt idx="23">
                  <c:v>38.299999999999997</c:v>
                </c:pt>
                <c:pt idx="24">
                  <c:v>0</c:v>
                </c:pt>
                <c:pt idx="25">
                  <c:v>-21.2</c:v>
                </c:pt>
                <c:pt idx="26">
                  <c:v>-28.299999999999997</c:v>
                </c:pt>
                <c:pt idx="27">
                  <c:v>3.5527136788005009E-15</c:v>
                </c:pt>
                <c:pt idx="28">
                  <c:v>-24.299999999999997</c:v>
                </c:pt>
                <c:pt idx="29">
                  <c:v>4.6000000000000014</c:v>
                </c:pt>
                <c:pt idx="30">
                  <c:v>1.7763568394002505E-15</c:v>
                </c:pt>
                <c:pt idx="31">
                  <c:v>20</c:v>
                </c:pt>
                <c:pt idx="32">
                  <c:v>19.399999999999999</c:v>
                </c:pt>
                <c:pt idx="33">
                  <c:v>0</c:v>
                </c:pt>
                <c:pt idx="34">
                  <c:v>-18.600000000000001</c:v>
                </c:pt>
                <c:pt idx="35">
                  <c:v>-57.800000000000004</c:v>
                </c:pt>
                <c:pt idx="36">
                  <c:v>-7.1054273576010019E-15</c:v>
                </c:pt>
                <c:pt idx="37">
                  <c:v>-22.600000000000009</c:v>
                </c:pt>
                <c:pt idx="38">
                  <c:v>-20.20000000000001</c:v>
                </c:pt>
                <c:pt idx="39">
                  <c:v>-1.0658141036401503E-14</c:v>
                </c:pt>
                <c:pt idx="40">
                  <c:v>-40.800000000000011</c:v>
                </c:pt>
                <c:pt idx="41">
                  <c:v>-43.300000000000011</c:v>
                </c:pt>
                <c:pt idx="42">
                  <c:v>-1.4210854715202004E-14</c:v>
                </c:pt>
                <c:pt idx="43">
                  <c:v>-47.500000000000014</c:v>
                </c:pt>
                <c:pt idx="44">
                  <c:v>-56.800000000000011</c:v>
                </c:pt>
                <c:pt idx="45">
                  <c:v>-1.4210854715202004E-14</c:v>
                </c:pt>
                <c:pt idx="46">
                  <c:v>57.599999999999987</c:v>
                </c:pt>
                <c:pt idx="47">
                  <c:v>11.599999999999987</c:v>
                </c:pt>
                <c:pt idx="48">
                  <c:v>-1.2434497875801753E-14</c:v>
                </c:pt>
                <c:pt idx="49">
                  <c:v>-27.600000000000016</c:v>
                </c:pt>
                <c:pt idx="50">
                  <c:v>-1.6000000000000156</c:v>
                </c:pt>
                <c:pt idx="51">
                  <c:v>-1.5543122344752192E-14</c:v>
                </c:pt>
                <c:pt idx="52">
                  <c:v>-28.600000000000016</c:v>
                </c:pt>
                <c:pt idx="53">
                  <c:v>14.799999999999983</c:v>
                </c:pt>
                <c:pt idx="54">
                  <c:v>-1.7763568394002505E-14</c:v>
                </c:pt>
                <c:pt idx="55">
                  <c:v>10.299999999999983</c:v>
                </c:pt>
                <c:pt idx="56">
                  <c:v>-22.40000000000002</c:v>
                </c:pt>
                <c:pt idx="57">
                  <c:v>-2.1316282072803006E-14</c:v>
                </c:pt>
                <c:pt idx="58">
                  <c:v>-1.2000000000000213</c:v>
                </c:pt>
                <c:pt idx="59">
                  <c:v>22.799999999999979</c:v>
                </c:pt>
                <c:pt idx="60">
                  <c:v>-2.1316282072803006E-14</c:v>
                </c:pt>
                <c:pt idx="61">
                  <c:v>37.199999999999982</c:v>
                </c:pt>
                <c:pt idx="62">
                  <c:v>-3.2000000000000171</c:v>
                </c:pt>
                <c:pt idx="63">
                  <c:v>-1.6875389974302379E-14</c:v>
                </c:pt>
                <c:pt idx="64">
                  <c:v>-2.2000000000000171</c:v>
                </c:pt>
                <c:pt idx="65">
                  <c:v>-51.800000000000018</c:v>
                </c:pt>
                <c:pt idx="66">
                  <c:v>-2.1316282072803006E-14</c:v>
                </c:pt>
                <c:pt idx="67">
                  <c:v>11.699999999999978</c:v>
                </c:pt>
                <c:pt idx="68">
                  <c:v>-46.40000000000002</c:v>
                </c:pt>
                <c:pt idx="69">
                  <c:v>-2.1316282072803006E-14</c:v>
                </c:pt>
                <c:pt idx="70">
                  <c:v>-0.70000000000002127</c:v>
                </c:pt>
                <c:pt idx="71">
                  <c:v>-31.700000000000021</c:v>
                </c:pt>
                <c:pt idx="72">
                  <c:v>-2.1316282072803006E-14</c:v>
                </c:pt>
                <c:pt idx="73">
                  <c:v>-2.1316282072803006E-14</c:v>
                </c:pt>
                <c:pt idx="74">
                  <c:v>-2.1316282072803006E-14</c:v>
                </c:pt>
                <c:pt idx="75">
                  <c:v>-2.1316282072803006E-14</c:v>
                </c:pt>
                <c:pt idx="76">
                  <c:v>-48.800000000000018</c:v>
                </c:pt>
                <c:pt idx="77">
                  <c:v>-71.000000000000014</c:v>
                </c:pt>
                <c:pt idx="78">
                  <c:v>-1.4210854715202004E-14</c:v>
                </c:pt>
                <c:pt idx="79">
                  <c:v>24.299999999999986</c:v>
                </c:pt>
                <c:pt idx="80">
                  <c:v>23.099999999999987</c:v>
                </c:pt>
                <c:pt idx="81">
                  <c:v>-1.4210854715202004E-14</c:v>
                </c:pt>
                <c:pt idx="82">
                  <c:v>-35.500000000000014</c:v>
                </c:pt>
                <c:pt idx="83">
                  <c:v>-29.700000000000014</c:v>
                </c:pt>
                <c:pt idx="84">
                  <c:v>-1.4210854715202004E-14</c:v>
                </c:pt>
                <c:pt idx="85">
                  <c:v>-42.100000000000016</c:v>
                </c:pt>
                <c:pt idx="86">
                  <c:v>-9.2000000000000171</c:v>
                </c:pt>
                <c:pt idx="87">
                  <c:v>-1.7763568394002505E-14</c:v>
                </c:pt>
                <c:pt idx="88">
                  <c:v>45.299999999999983</c:v>
                </c:pt>
                <c:pt idx="89">
                  <c:v>51.199999999999982</c:v>
                </c:pt>
                <c:pt idx="90">
                  <c:v>-2.1316282072803006E-14</c:v>
                </c:pt>
                <c:pt idx="91">
                  <c:v>0.49999999999997868</c:v>
                </c:pt>
                <c:pt idx="92">
                  <c:v>-26.90000000000002</c:v>
                </c:pt>
                <c:pt idx="93">
                  <c:v>-2.1316282072803006E-14</c:v>
                </c:pt>
                <c:pt idx="94">
                  <c:v>-20.300000000000022</c:v>
                </c:pt>
                <c:pt idx="95">
                  <c:v>53.199999999999974</c:v>
                </c:pt>
                <c:pt idx="96">
                  <c:v>-2.8421709430404007E-14</c:v>
                </c:pt>
                <c:pt idx="97">
                  <c:v>-60.500000000000028</c:v>
                </c:pt>
                <c:pt idx="98">
                  <c:v>-60.300000000000026</c:v>
                </c:pt>
                <c:pt idx="99">
                  <c:v>-2.8421709430404007E-14</c:v>
                </c:pt>
                <c:pt idx="100">
                  <c:v>-68.000000000000028</c:v>
                </c:pt>
                <c:pt idx="101">
                  <c:v>-2.8421709430404007E-14</c:v>
                </c:pt>
                <c:pt idx="102">
                  <c:v>-2.8421709430404007E-14</c:v>
                </c:pt>
                <c:pt idx="103">
                  <c:v>42.199999999999974</c:v>
                </c:pt>
                <c:pt idx="104">
                  <c:v>-12.300000000000026</c:v>
                </c:pt>
                <c:pt idx="105">
                  <c:v>-2.4868995751603507E-14</c:v>
                </c:pt>
                <c:pt idx="106">
                  <c:v>16.199999999999974</c:v>
                </c:pt>
                <c:pt idx="107">
                  <c:v>56.799999999999976</c:v>
                </c:pt>
                <c:pt idx="108">
                  <c:v>-2.1316282072803006E-14</c:v>
                </c:pt>
                <c:pt idx="109">
                  <c:v>-16.000000000000021</c:v>
                </c:pt>
                <c:pt idx="110">
                  <c:v>-80.000000000000028</c:v>
                </c:pt>
                <c:pt idx="111">
                  <c:v>-2.8421709430404007E-14</c:v>
                </c:pt>
                <c:pt idx="112">
                  <c:v>-31.900000000000027</c:v>
                </c:pt>
                <c:pt idx="113">
                  <c:v>0.79999999999997584</c:v>
                </c:pt>
                <c:pt idx="114">
                  <c:v>-2.4202861936828413E-14</c:v>
                </c:pt>
                <c:pt idx="115">
                  <c:v>-13.200000000000024</c:v>
                </c:pt>
                <c:pt idx="116">
                  <c:v>49.899999999999977</c:v>
                </c:pt>
                <c:pt idx="117">
                  <c:v>-2.1316282072803006E-14</c:v>
                </c:pt>
                <c:pt idx="118">
                  <c:v>51.799999999999976</c:v>
                </c:pt>
                <c:pt idx="119">
                  <c:v>55.399999999999977</c:v>
                </c:pt>
                <c:pt idx="120">
                  <c:v>-2.1316282072803006E-14</c:v>
                </c:pt>
                <c:pt idx="121">
                  <c:v>-6.5000000000000213</c:v>
                </c:pt>
                <c:pt idx="122">
                  <c:v>-34.100000000000023</c:v>
                </c:pt>
                <c:pt idx="123">
                  <c:v>-2.1316282072803006E-14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A3-4FE9-AAFE-30F1A76E4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-25</c:v>
                </c:pt>
                <c:pt idx="1">
                  <c:v>17.543859649122808</c:v>
                </c:pt>
                <c:pt idx="2">
                  <c:v>-9.2592592592592595</c:v>
                </c:pt>
                <c:pt idx="3">
                  <c:v>-9.5238095238095237</c:v>
                </c:pt>
                <c:pt idx="4">
                  <c:v>0</c:v>
                </c:pt>
                <c:pt idx="5">
                  <c:v>22.988505747126435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1-4219-9A14-F375D7328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20</c:v>
                </c:pt>
                <c:pt idx="1">
                  <c:v>39</c:v>
                </c:pt>
                <c:pt idx="2">
                  <c:v>52</c:v>
                </c:pt>
                <c:pt idx="3">
                  <c:v>67</c:v>
                </c:pt>
                <c:pt idx="4">
                  <c:v>47</c:v>
                </c:pt>
                <c:pt idx="5">
                  <c:v>35</c:v>
                </c:pt>
                <c:pt idx="6">
                  <c:v>12</c:v>
                </c:pt>
                <c:pt idx="7">
                  <c:v>6</c:v>
                </c:pt>
                <c:pt idx="8">
                  <c:v>8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41-4F06-9F99-D31CD3AF8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全体!$M$2:$M$125</c:f>
              <c:numCache>
                <c:formatCode>0</c:formatCode>
                <c:ptCount val="124"/>
                <c:pt idx="0">
                  <c:v>1604.9485979299698</c:v>
                </c:pt>
                <c:pt idx="1">
                  <c:v>1613.4269063423899</c:v>
                </c:pt>
                <c:pt idx="2">
                  <c:v>1611.9183449043355</c:v>
                </c:pt>
                <c:pt idx="3">
                  <c:v>1602.9668348349096</c:v>
                </c:pt>
                <c:pt idx="4">
                  <c:v>1603.6630338259001</c:v>
                </c:pt>
                <c:pt idx="5">
                  <c:v>1612.1850556229447</c:v>
                </c:pt>
                <c:pt idx="6">
                  <c:v>1602.9979452892071</c:v>
                </c:pt>
                <c:pt idx="7">
                  <c:v>1602.0739576174719</c:v>
                </c:pt>
                <c:pt idx="8">
                  <c:v>1606.0335138717671</c:v>
                </c:pt>
                <c:pt idx="9">
                  <c:v>1603.0753127885366</c:v>
                </c:pt>
                <c:pt idx="10">
                  <c:v>1606.4528609118054</c:v>
                </c:pt>
                <c:pt idx="11">
                  <c:v>1607.2181437463346</c:v>
                </c:pt>
                <c:pt idx="12">
                  <c:v>1603.4428348838567</c:v>
                </c:pt>
                <c:pt idx="13">
                  <c:v>1606.8361778745536</c:v>
                </c:pt>
                <c:pt idx="14">
                  <c:v>1607.3831608073062</c:v>
                </c:pt>
                <c:pt idx="15">
                  <c:v>1604.4528618424624</c:v>
                </c:pt>
                <c:pt idx="16">
                  <c:v>1618.5681446714077</c:v>
                </c:pt>
                <c:pt idx="17">
                  <c:v>1613.3387358033792</c:v>
                </c:pt>
                <c:pt idx="18">
                  <c:v>1605.3507033885589</c:v>
                </c:pt>
                <c:pt idx="19">
                  <c:v>1596.4745991682275</c:v>
                </c:pt>
                <c:pt idx="20">
                  <c:v>1596.6157515732182</c:v>
                </c:pt>
                <c:pt idx="21">
                  <c:v>1606.4760570637789</c:v>
                </c:pt>
                <c:pt idx="22">
                  <c:v>1616.0072007213962</c:v>
                </c:pt>
                <c:pt idx="23">
                  <c:v>1613.9791575170677</c:v>
                </c:pt>
                <c:pt idx="24">
                  <c:v>1607.3732825719653</c:v>
                </c:pt>
                <c:pt idx="25">
                  <c:v>1603.8850428765336</c:v>
                </c:pt>
                <c:pt idx="26">
                  <c:v>1602.9557326192744</c:v>
                </c:pt>
                <c:pt idx="27">
                  <c:v>1608.4039982235588</c:v>
                </c:pt>
                <c:pt idx="28">
                  <c:v>1604.1235742342174</c:v>
                </c:pt>
                <c:pt idx="29">
                  <c:v>1609.4448327888122</c:v>
                </c:pt>
                <c:pt idx="30">
                  <c:v>1608.7041637920793</c:v>
                </c:pt>
                <c:pt idx="31">
                  <c:v>1612.1499388093268</c:v>
                </c:pt>
                <c:pt idx="32">
                  <c:v>1611.8670391764708</c:v>
                </c:pt>
                <c:pt idx="33">
                  <c:v>1608.201836941412</c:v>
                </c:pt>
                <c:pt idx="34">
                  <c:v>1604.7026259197635</c:v>
                </c:pt>
                <c:pt idx="35">
                  <c:v>1597.5164101642449</c:v>
                </c:pt>
                <c:pt idx="36">
                  <c:v>1607.8333117032594</c:v>
                </c:pt>
                <c:pt idx="37">
                  <c:v>1603.6163118330398</c:v>
                </c:pt>
                <c:pt idx="38">
                  <c:v>1603.9246139620416</c:v>
                </c:pt>
                <c:pt idx="39">
                  <c:v>1607.4350662782692</c:v>
                </c:pt>
                <c:pt idx="40">
                  <c:v>1599.9444558805997</c:v>
                </c:pt>
                <c:pt idx="41">
                  <c:v>1599.3927891453161</c:v>
                </c:pt>
                <c:pt idx="42">
                  <c:v>1607.0884324104443</c:v>
                </c:pt>
                <c:pt idx="43">
                  <c:v>1598.3939018159815</c:v>
                </c:pt>
                <c:pt idx="44">
                  <c:v>1596.6275384050857</c:v>
                </c:pt>
                <c:pt idx="45">
                  <c:v>1606.7697731746553</c:v>
                </c:pt>
                <c:pt idx="46">
                  <c:v>1616.9951545356073</c:v>
                </c:pt>
                <c:pt idx="47">
                  <c:v>1608.5111836083936</c:v>
                </c:pt>
                <c:pt idx="48">
                  <c:v>1606.2701165067433</c:v>
                </c:pt>
                <c:pt idx="49">
                  <c:v>1601.162495807703</c:v>
                </c:pt>
                <c:pt idx="50">
                  <c:v>1605.7335208328568</c:v>
                </c:pt>
                <c:pt idx="51">
                  <c:v>1605.8851197078598</c:v>
                </c:pt>
                <c:pt idx="52">
                  <c:v>1600.5998089896127</c:v>
                </c:pt>
                <c:pt idx="53">
                  <c:v>1608.306210135675</c:v>
                </c:pt>
                <c:pt idx="54">
                  <c:v>1605.4903728748609</c:v>
                </c:pt>
                <c:pt idx="55">
                  <c:v>1607.2094306376118</c:v>
                </c:pt>
                <c:pt idx="56">
                  <c:v>1601.1781740537861</c:v>
                </c:pt>
                <c:pt idx="57">
                  <c:v>1605.1011050094633</c:v>
                </c:pt>
                <c:pt idx="58">
                  <c:v>1605.2444983794064</c:v>
                </c:pt>
                <c:pt idx="59">
                  <c:v>1609.9230313891301</c:v>
                </c:pt>
                <c:pt idx="60">
                  <c:v>1606.1494932007954</c:v>
                </c:pt>
                <c:pt idx="61">
                  <c:v>1613.1985962415906</c:v>
                </c:pt>
                <c:pt idx="62">
                  <c:v>1606.237404664141</c:v>
                </c:pt>
                <c:pt idx="63">
                  <c:v>1607.1659802361562</c:v>
                </c:pt>
                <c:pt idx="64">
                  <c:v>1607.1169843547393</c:v>
                </c:pt>
                <c:pt idx="65">
                  <c:v>1598.5362824486108</c:v>
                </c:pt>
                <c:pt idx="66">
                  <c:v>1608.2590647539191</c:v>
                </c:pt>
                <c:pt idx="67">
                  <c:v>1610.7055103653956</c:v>
                </c:pt>
                <c:pt idx="68">
                  <c:v>1600.5732773032032</c:v>
                </c:pt>
                <c:pt idx="69">
                  <c:v>1609.3118376393841</c:v>
                </c:pt>
                <c:pt idx="70">
                  <c:v>1609.5199666135477</c:v>
                </c:pt>
                <c:pt idx="71">
                  <c:v>1604.2728468138664</c:v>
                </c:pt>
                <c:pt idx="72">
                  <c:v>1610.3432097329833</c:v>
                </c:pt>
                <c:pt idx="73">
                  <c:v>1610.6711504745854</c:v>
                </c:pt>
                <c:pt idx="74">
                  <c:v>1610.9971235717378</c:v>
                </c:pt>
                <c:pt idx="75">
                  <c:v>1611.3211408303073</c:v>
                </c:pt>
                <c:pt idx="76">
                  <c:v>1602.8592139853254</c:v>
                </c:pt>
                <c:pt idx="77">
                  <c:v>1599.2360587014134</c:v>
                </c:pt>
                <c:pt idx="78">
                  <c:v>1612.4106423492049</c:v>
                </c:pt>
                <c:pt idx="79">
                  <c:v>1616.6861784951097</c:v>
                </c:pt>
                <c:pt idx="80">
                  <c:v>1616.3460614241392</c:v>
                </c:pt>
                <c:pt idx="81">
                  <c:v>1612.0659850555944</c:v>
                </c:pt>
                <c:pt idx="82">
                  <c:v>1605.5855891452609</c:v>
                </c:pt>
                <c:pt idx="83">
                  <c:v>1606.5780756103893</c:v>
                </c:pt>
                <c:pt idx="84">
                  <c:v>1611.866607156727</c:v>
                </c:pt>
                <c:pt idx="85">
                  <c:v>1604.1934075137867</c:v>
                </c:pt>
                <c:pt idx="86">
                  <c:v>1610.0662470687041</c:v>
                </c:pt>
                <c:pt idx="87">
                  <c:v>1611.6378495862918</c:v>
                </c:pt>
                <c:pt idx="88">
                  <c:v>1619.7040224887742</c:v>
                </c:pt>
                <c:pt idx="89">
                  <c:v>1620.6297983538416</c:v>
                </c:pt>
                <c:pt idx="90">
                  <c:v>1611.2720195637185</c:v>
                </c:pt>
                <c:pt idx="91">
                  <c:v>1611.2703874463361</c:v>
                </c:pt>
                <c:pt idx="92">
                  <c:v>1606.2467651216582</c:v>
                </c:pt>
                <c:pt idx="93">
                  <c:v>1611.0272845309282</c:v>
                </c:pt>
                <c:pt idx="94">
                  <c:v>1607.2891208237427</c:v>
                </c:pt>
                <c:pt idx="95">
                  <c:v>1620.4573860988003</c:v>
                </c:pt>
                <c:pt idx="96">
                  <c:v>1610.7406417822074</c:v>
                </c:pt>
                <c:pt idx="97">
                  <c:v>1599.762197931514</c:v>
                </c:pt>
                <c:pt idx="98">
                  <c:v>1599.7756247439249</c:v>
                </c:pt>
                <c:pt idx="99">
                  <c:v>1610.6069709954613</c:v>
                </c:pt>
                <c:pt idx="100">
                  <c:v>1598.2853291694885</c:v>
                </c:pt>
                <c:pt idx="101">
                  <c:v>1610.5176171944715</c:v>
                </c:pt>
                <c:pt idx="102">
                  <c:v>1610.4365114913046</c:v>
                </c:pt>
                <c:pt idx="103">
                  <c:v>1617.9458924223568</c:v>
                </c:pt>
                <c:pt idx="104">
                  <c:v>1608.0042170678225</c:v>
                </c:pt>
                <c:pt idx="105">
                  <c:v>1610.1461917654156</c:v>
                </c:pt>
                <c:pt idx="106">
                  <c:v>1612.9773146148232</c:v>
                </c:pt>
                <c:pt idx="107">
                  <c:v>1620.1834507271342</c:v>
                </c:pt>
                <c:pt idx="108">
                  <c:v>1609.8143500227714</c:v>
                </c:pt>
                <c:pt idx="109">
                  <c:v>1606.8514639226348</c:v>
                </c:pt>
                <c:pt idx="110">
                  <c:v>1595.266355139099</c:v>
                </c:pt>
                <c:pt idx="111">
                  <c:v>1609.6707570082644</c:v>
                </c:pt>
                <c:pt idx="112">
                  <c:v>1603.8467324662149</c:v>
                </c:pt>
                <c:pt idx="113">
                  <c:v>1609.6856520714177</c:v>
                </c:pt>
                <c:pt idx="114">
                  <c:v>1609.4595381589893</c:v>
                </c:pt>
                <c:pt idx="115">
                  <c:v>1607.0027809300354</c:v>
                </c:pt>
                <c:pt idx="116">
                  <c:v>1618.2947642444553</c:v>
                </c:pt>
                <c:pt idx="117">
                  <c:v>1609.1789956589887</c:v>
                </c:pt>
                <c:pt idx="118">
                  <c:v>1618.4239216850347</c:v>
                </c:pt>
                <c:pt idx="119">
                  <c:v>1618.9373781549245</c:v>
                </c:pt>
                <c:pt idx="120">
                  <c:v>1608.827753885995</c:v>
                </c:pt>
                <c:pt idx="121">
                  <c:v>1607.5807873626791</c:v>
                </c:pt>
                <c:pt idx="122">
                  <c:v>1602.5433026385031</c:v>
                </c:pt>
                <c:pt idx="123">
                  <c:v>1608.642042822672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8D-45FB-A2B5-532B630665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れんたろう!$L$2:$L$33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50.6</c:v>
                </c:pt>
                <c:pt idx="2">
                  <c:v>54.300000000000004</c:v>
                </c:pt>
                <c:pt idx="3">
                  <c:v>49.000000000000007</c:v>
                </c:pt>
                <c:pt idx="4">
                  <c:v>27.400000000000006</c:v>
                </c:pt>
                <c:pt idx="5">
                  <c:v>28.600000000000005</c:v>
                </c:pt>
                <c:pt idx="6">
                  <c:v>-1.899999999999995</c:v>
                </c:pt>
                <c:pt idx="7">
                  <c:v>-3.2999999999999949</c:v>
                </c:pt>
                <c:pt idx="8">
                  <c:v>47.800000000000004</c:v>
                </c:pt>
                <c:pt idx="9">
                  <c:v>40.700000000000003</c:v>
                </c:pt>
                <c:pt idx="10">
                  <c:v>64.7</c:v>
                </c:pt>
                <c:pt idx="11">
                  <c:v>24.300000000000004</c:v>
                </c:pt>
                <c:pt idx="12">
                  <c:v>76.099999999999994</c:v>
                </c:pt>
                <c:pt idx="13">
                  <c:v>122.5</c:v>
                </c:pt>
                <c:pt idx="14">
                  <c:v>154.19999999999999</c:v>
                </c:pt>
                <c:pt idx="15">
                  <c:v>154.19999999999999</c:v>
                </c:pt>
                <c:pt idx="16">
                  <c:v>225.2</c:v>
                </c:pt>
                <c:pt idx="17">
                  <c:v>224</c:v>
                </c:pt>
                <c:pt idx="18">
                  <c:v>229.8</c:v>
                </c:pt>
                <c:pt idx="19">
                  <c:v>239</c:v>
                </c:pt>
                <c:pt idx="20">
                  <c:v>187.8</c:v>
                </c:pt>
                <c:pt idx="21">
                  <c:v>214.70000000000002</c:v>
                </c:pt>
                <c:pt idx="22">
                  <c:v>161.5</c:v>
                </c:pt>
                <c:pt idx="23">
                  <c:v>221.8</c:v>
                </c:pt>
                <c:pt idx="24">
                  <c:v>221.8</c:v>
                </c:pt>
                <c:pt idx="25">
                  <c:v>234.10000000000002</c:v>
                </c:pt>
                <c:pt idx="26">
                  <c:v>177.3</c:v>
                </c:pt>
                <c:pt idx="27">
                  <c:v>257.3</c:v>
                </c:pt>
                <c:pt idx="28">
                  <c:v>256.5</c:v>
                </c:pt>
                <c:pt idx="29">
                  <c:v>206.6</c:v>
                </c:pt>
                <c:pt idx="30">
                  <c:v>151.19999999999999</c:v>
                </c:pt>
                <c:pt idx="31">
                  <c:v>185.29999999999998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3D-4BC4-BE11-4319E48EB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3650</c:v>
                </c:pt>
                <c:pt idx="1">
                  <c:v>171.42857142857142</c:v>
                </c:pt>
                <c:pt idx="2">
                  <c:v>-100</c:v>
                </c:pt>
                <c:pt idx="3">
                  <c:v>2196</c:v>
                </c:pt>
                <c:pt idx="4">
                  <c:v>-875</c:v>
                </c:pt>
                <c:pt idx="5">
                  <c:v>-780.95238095238096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2-48F4-8471-F9AEF7D95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12</c:v>
                </c:pt>
                <c:pt idx="3">
                  <c:v>23</c:v>
                </c:pt>
                <c:pt idx="4">
                  <c:v>9</c:v>
                </c:pt>
                <c:pt idx="5">
                  <c:v>11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88-4D8F-9A35-3A2962A77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れんたろう!$M$2:$M$33</c:f>
              <c:numCache>
                <c:formatCode>0</c:formatCode>
                <c:ptCount val="32"/>
                <c:pt idx="0">
                  <c:v>1605.0170841089816</c:v>
                </c:pt>
                <c:pt idx="1">
                  <c:v>1613.4949816043277</c:v>
                </c:pt>
                <c:pt idx="2">
                  <c:v>1614.1280117147016</c:v>
                </c:pt>
                <c:pt idx="3">
                  <c:v>1613.1372436444135</c:v>
                </c:pt>
                <c:pt idx="4">
                  <c:v>1609.3264201825471</c:v>
                </c:pt>
                <c:pt idx="5">
                  <c:v>1609.8584616614519</c:v>
                </c:pt>
                <c:pt idx="6">
                  <c:v>1604.6813108914832</c:v>
                </c:pt>
                <c:pt idx="7">
                  <c:v>1604.7732230261342</c:v>
                </c:pt>
                <c:pt idx="8">
                  <c:v>1614.3145836879773</c:v>
                </c:pt>
                <c:pt idx="9">
                  <c:v>1613.3226961858495</c:v>
                </c:pt>
                <c:pt idx="10">
                  <c:v>1617.9527600087345</c:v>
                </c:pt>
                <c:pt idx="11">
                  <c:v>1610.9630434486821</c:v>
                </c:pt>
                <c:pt idx="12">
                  <c:v>1620.6112651879901</c:v>
                </c:pt>
                <c:pt idx="13">
                  <c:v>1629.229597596862</c:v>
                </c:pt>
                <c:pt idx="14">
                  <c:v>1635.1502200112809</c:v>
                </c:pt>
                <c:pt idx="15">
                  <c:v>1635.3293186912133</c:v>
                </c:pt>
                <c:pt idx="16">
                  <c:v>1648.287342779066</c:v>
                </c:pt>
                <c:pt idx="17">
                  <c:v>1647.7576187223915</c:v>
                </c:pt>
                <c:pt idx="18">
                  <c:v>1648.4970730100572</c:v>
                </c:pt>
                <c:pt idx="19">
                  <c:v>1649.8380905719969</c:v>
                </c:pt>
                <c:pt idx="20">
                  <c:v>1640.3050620285649</c:v>
                </c:pt>
                <c:pt idx="21">
                  <c:v>1644.8812316563935</c:v>
                </c:pt>
                <c:pt idx="22">
                  <c:v>1635.0179442664553</c:v>
                </c:pt>
                <c:pt idx="23">
                  <c:v>1645.6378366008566</c:v>
                </c:pt>
                <c:pt idx="24">
                  <c:v>1645.3460095812516</c:v>
                </c:pt>
                <c:pt idx="25">
                  <c:v>1647.2639335237641</c:v>
                </c:pt>
                <c:pt idx="26">
                  <c:v>1636.7323499226216</c:v>
                </c:pt>
                <c:pt idx="27">
                  <c:v>1650.8879558230858</c:v>
                </c:pt>
                <c:pt idx="28">
                  <c:v>1650.4146280881473</c:v>
                </c:pt>
                <c:pt idx="29">
                  <c:v>1641.1061403196184</c:v>
                </c:pt>
                <c:pt idx="30">
                  <c:v>1630.8635034777008</c:v>
                </c:pt>
                <c:pt idx="31">
                  <c:v>1636.7923224568347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CA-43E3-AA71-38AD2321E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だいち!$L$2:$L$43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-4.5999999999999996</c:v>
                </c:pt>
                <c:pt idx="2">
                  <c:v>42.6</c:v>
                </c:pt>
                <c:pt idx="3">
                  <c:v>64.400000000000006</c:v>
                </c:pt>
                <c:pt idx="4">
                  <c:v>82.4</c:v>
                </c:pt>
                <c:pt idx="5">
                  <c:v>99.300000000000011</c:v>
                </c:pt>
                <c:pt idx="6">
                  <c:v>175.8</c:v>
                </c:pt>
                <c:pt idx="7">
                  <c:v>124.60000000000001</c:v>
                </c:pt>
                <c:pt idx="8">
                  <c:v>86.300000000000011</c:v>
                </c:pt>
                <c:pt idx="9">
                  <c:v>65.100000000000009</c:v>
                </c:pt>
                <c:pt idx="10">
                  <c:v>60.500000000000007</c:v>
                </c:pt>
                <c:pt idx="11">
                  <c:v>41.100000000000009</c:v>
                </c:pt>
                <c:pt idx="12">
                  <c:v>98.9</c:v>
                </c:pt>
                <c:pt idx="13">
                  <c:v>119.10000000000001</c:v>
                </c:pt>
                <c:pt idx="14">
                  <c:v>162.4</c:v>
                </c:pt>
                <c:pt idx="15">
                  <c:v>219.2</c:v>
                </c:pt>
                <c:pt idx="16">
                  <c:v>207.6</c:v>
                </c:pt>
                <c:pt idx="17">
                  <c:v>209.2</c:v>
                </c:pt>
                <c:pt idx="18">
                  <c:v>194.39999999999998</c:v>
                </c:pt>
                <c:pt idx="19">
                  <c:v>216.79999999999998</c:v>
                </c:pt>
                <c:pt idx="20">
                  <c:v>215.6</c:v>
                </c:pt>
                <c:pt idx="21">
                  <c:v>252.8</c:v>
                </c:pt>
                <c:pt idx="22">
                  <c:v>250.60000000000002</c:v>
                </c:pt>
                <c:pt idx="23">
                  <c:v>262.3</c:v>
                </c:pt>
                <c:pt idx="24">
                  <c:v>261.60000000000002</c:v>
                </c:pt>
                <c:pt idx="25">
                  <c:v>261.60000000000002</c:v>
                </c:pt>
                <c:pt idx="26">
                  <c:v>212.8</c:v>
                </c:pt>
                <c:pt idx="27">
                  <c:v>189.70000000000002</c:v>
                </c:pt>
                <c:pt idx="28">
                  <c:v>219.4</c:v>
                </c:pt>
                <c:pt idx="29">
                  <c:v>252.3</c:v>
                </c:pt>
                <c:pt idx="30">
                  <c:v>258.2</c:v>
                </c:pt>
                <c:pt idx="31">
                  <c:v>230.79999999999998</c:v>
                </c:pt>
                <c:pt idx="32">
                  <c:v>304.29999999999995</c:v>
                </c:pt>
                <c:pt idx="33">
                  <c:v>304.49999999999994</c:v>
                </c:pt>
                <c:pt idx="34">
                  <c:v>372.49999999999994</c:v>
                </c:pt>
                <c:pt idx="35">
                  <c:v>317.99999999999994</c:v>
                </c:pt>
                <c:pt idx="36">
                  <c:v>358.59999999999997</c:v>
                </c:pt>
                <c:pt idx="37">
                  <c:v>342.59999999999997</c:v>
                </c:pt>
                <c:pt idx="38">
                  <c:v>310.7</c:v>
                </c:pt>
                <c:pt idx="39">
                  <c:v>297.5</c:v>
                </c:pt>
                <c:pt idx="40">
                  <c:v>349.3</c:v>
                </c:pt>
                <c:pt idx="41">
                  <c:v>342.8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BA-4062-981E-1BDC07EC2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2440</c:v>
                </c:pt>
                <c:pt idx="1">
                  <c:v>3336.8421052631579</c:v>
                </c:pt>
                <c:pt idx="2">
                  <c:v>-763.88888888888891</c:v>
                </c:pt>
                <c:pt idx="3">
                  <c:v>-788.57142857142856</c:v>
                </c:pt>
                <c:pt idx="4">
                  <c:v>981.81818181818187</c:v>
                </c:pt>
                <c:pt idx="5">
                  <c:v>1417.2413793103449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BD-4463-8321-F9E80DA5B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22</c:v>
                </c:pt>
                <c:pt idx="3">
                  <c:v>24</c:v>
                </c:pt>
                <c:pt idx="4">
                  <c:v>22</c:v>
                </c:pt>
                <c:pt idx="5">
                  <c:v>12</c:v>
                </c:pt>
                <c:pt idx="6">
                  <c:v>4</c:v>
                </c:pt>
                <c:pt idx="7">
                  <c:v>1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C7-49EC-B80C-BE17A08FB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だいち!$M$2:$M$43</c:f>
              <c:numCache>
                <c:formatCode>0</c:formatCode>
                <c:ptCount val="42"/>
                <c:pt idx="0">
                  <c:v>1758.0662353696366</c:v>
                </c:pt>
                <c:pt idx="1">
                  <c:v>1755.6898379574188</c:v>
                </c:pt>
                <c:pt idx="2">
                  <c:v>1763.2996989296744</c:v>
                </c:pt>
                <c:pt idx="3">
                  <c:v>1766.2919007360963</c:v>
                </c:pt>
                <c:pt idx="4">
                  <c:v>1768.6901493316798</c:v>
                </c:pt>
                <c:pt idx="5">
                  <c:v>1771.0920084356896</c:v>
                </c:pt>
                <c:pt idx="6">
                  <c:v>1784.2074563850756</c:v>
                </c:pt>
                <c:pt idx="7">
                  <c:v>1774.2582116467652</c:v>
                </c:pt>
                <c:pt idx="8">
                  <c:v>1766.6906623768846</c:v>
                </c:pt>
                <c:pt idx="9">
                  <c:v>1762.2465184026232</c:v>
                </c:pt>
                <c:pt idx="10">
                  <c:v>1760.5890392922074</c:v>
                </c:pt>
                <c:pt idx="11">
                  <c:v>1756.0315050564541</c:v>
                </c:pt>
                <c:pt idx="12">
                  <c:v>1765.3973160261153</c:v>
                </c:pt>
                <c:pt idx="13">
                  <c:v>1767.9389321299586</c:v>
                </c:pt>
                <c:pt idx="14">
                  <c:v>1774.6232985371789</c:v>
                </c:pt>
                <c:pt idx="15">
                  <c:v>1783.6975587459558</c:v>
                </c:pt>
                <c:pt idx="16">
                  <c:v>1780.40537339348</c:v>
                </c:pt>
                <c:pt idx="17">
                  <c:v>1779.5089411531192</c:v>
                </c:pt>
                <c:pt idx="18">
                  <c:v>1775.6658875062005</c:v>
                </c:pt>
                <c:pt idx="19">
                  <c:v>1778.5418921811633</c:v>
                </c:pt>
                <c:pt idx="20">
                  <c:v>1777.6446408280763</c:v>
                </c:pt>
                <c:pt idx="21">
                  <c:v>1783.6647729831077</c:v>
                </c:pt>
                <c:pt idx="22">
                  <c:v>1782.5567843452091</c:v>
                </c:pt>
                <c:pt idx="23">
                  <c:v>1783.9574436391379</c:v>
                </c:pt>
                <c:pt idx="24">
                  <c:v>1783.117698977303</c:v>
                </c:pt>
                <c:pt idx="25">
                  <c:v>1782.4089927834391</c:v>
                </c:pt>
                <c:pt idx="26">
                  <c:v>1772.9205388267385</c:v>
                </c:pt>
                <c:pt idx="27">
                  <c:v>1767.701015593778</c:v>
                </c:pt>
                <c:pt idx="28">
                  <c:v>1772.0228095002153</c:v>
                </c:pt>
                <c:pt idx="29">
                  <c:v>1776.888672643214</c:v>
                </c:pt>
                <c:pt idx="30">
                  <c:v>1776.8713406073548</c:v>
                </c:pt>
                <c:pt idx="31">
                  <c:v>1770.8541125637107</c:v>
                </c:pt>
                <c:pt idx="32">
                  <c:v>1783.0409878883283</c:v>
                </c:pt>
                <c:pt idx="33">
                  <c:v>1781.9547419609983</c:v>
                </c:pt>
                <c:pt idx="34">
                  <c:v>1793.0850135092323</c:v>
                </c:pt>
                <c:pt idx="35">
                  <c:v>1782.092503428177</c:v>
                </c:pt>
                <c:pt idx="36">
                  <c:v>1788.283948407608</c:v>
                </c:pt>
                <c:pt idx="37">
                  <c:v>1784.2502447171623</c:v>
                </c:pt>
                <c:pt idx="38">
                  <c:v>1777.3787432488593</c:v>
                </c:pt>
                <c:pt idx="39">
                  <c:v>1773.9144707893661</c:v>
                </c:pt>
                <c:pt idx="40">
                  <c:v>1782.1709839646298</c:v>
                </c:pt>
                <c:pt idx="41">
                  <c:v>1779.8839580608421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B8-4FB2-8F8C-318A80FD7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-46</c:v>
                </c:pt>
                <c:pt idx="2">
                  <c:v>-96.9</c:v>
                </c:pt>
                <c:pt idx="3">
                  <c:v>-113.4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6D-4930-9FC0-FE3684BD8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-7666.666666666667</c:v>
                </c:pt>
                <c:pt idx="1">
                  <c:v>-12733.333333333334</c:v>
                </c:pt>
                <c:pt idx="2">
                  <c:v>-5200</c:v>
                </c:pt>
                <c:pt idx="3">
                  <c:v>-1900</c:v>
                </c:pt>
                <c:pt idx="4">
                  <c:v>-4000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7A-4239-B403-3EE00B776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AE-4596-B745-681DA2D557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ともき!$M$2:$M$5</c:f>
              <c:numCache>
                <c:formatCode>0</c:formatCode>
                <c:ptCount val="4"/>
                <c:pt idx="0">
                  <c:v>1463.4239467393418</c:v>
                </c:pt>
                <c:pt idx="1">
                  <c:v>1455.3634030589058</c:v>
                </c:pt>
                <c:pt idx="2">
                  <c:v>1447.1172226405524</c:v>
                </c:pt>
                <c:pt idx="3">
                  <c:v>1445.1125193047092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6-4E4E-91AC-B4FDB99B9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3.6</c:v>
                </c:pt>
                <c:pt idx="2">
                  <c:v>-14.500000000000002</c:v>
                </c:pt>
                <c:pt idx="3">
                  <c:v>-60.5</c:v>
                </c:pt>
                <c:pt idx="4">
                  <c:v>-7.8999999999999986</c:v>
                </c:pt>
                <c:pt idx="5">
                  <c:v>-20.7</c:v>
                </c:pt>
                <c:pt idx="6">
                  <c:v>7.6000000000000014</c:v>
                </c:pt>
                <c:pt idx="7">
                  <c:v>36.5</c:v>
                </c:pt>
                <c:pt idx="8">
                  <c:v>35.9</c:v>
                </c:pt>
                <c:pt idx="9">
                  <c:v>-3.3000000000000043</c:v>
                </c:pt>
                <c:pt idx="10">
                  <c:v>-0.90000000000000435</c:v>
                </c:pt>
                <c:pt idx="11">
                  <c:v>-3.4000000000000044</c:v>
                </c:pt>
                <c:pt idx="12">
                  <c:v>-12.700000000000005</c:v>
                </c:pt>
                <c:pt idx="13">
                  <c:v>-58.7</c:v>
                </c:pt>
                <c:pt idx="14">
                  <c:v>-32.700000000000003</c:v>
                </c:pt>
                <c:pt idx="15">
                  <c:v>10.699999999999996</c:v>
                </c:pt>
                <c:pt idx="16">
                  <c:v>-22.000000000000007</c:v>
                </c:pt>
                <c:pt idx="17">
                  <c:v>-44.800000000000011</c:v>
                </c:pt>
                <c:pt idx="18">
                  <c:v>-41.600000000000009</c:v>
                </c:pt>
                <c:pt idx="19">
                  <c:v>-91.200000000000017</c:v>
                </c:pt>
                <c:pt idx="20">
                  <c:v>-149.30000000000001</c:v>
                </c:pt>
                <c:pt idx="21">
                  <c:v>-180.3</c:v>
                </c:pt>
                <c:pt idx="22">
                  <c:v>-180.3</c:v>
                </c:pt>
                <c:pt idx="23">
                  <c:v>-202.5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43-4B47-BEFE-A6FED72A1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-1277.2727272727273</c:v>
                </c:pt>
                <c:pt idx="1">
                  <c:v>-1472.7272727272727</c:v>
                </c:pt>
                <c:pt idx="2">
                  <c:v>-223.8095238095238</c:v>
                </c:pt>
                <c:pt idx="3">
                  <c:v>-2647.6190476190477</c:v>
                </c:pt>
                <c:pt idx="4">
                  <c:v>1489.4736842105262</c:v>
                </c:pt>
                <c:pt idx="5">
                  <c:v>-2806.25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B8-43D9-BE9B-474C0C68C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3</c:v>
                </c:pt>
                <c:pt idx="1">
                  <c:v>12</c:v>
                </c:pt>
                <c:pt idx="2">
                  <c:v>10</c:v>
                </c:pt>
                <c:pt idx="3">
                  <c:v>7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BF-4AEA-B7FC-C786B174B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ただ!$M$2:$M$25</c:f>
              <c:numCache>
                <c:formatCode>0</c:formatCode>
                <c:ptCount val="24"/>
                <c:pt idx="0">
                  <c:v>1606.4452616651972</c:v>
                </c:pt>
                <c:pt idx="1">
                  <c:v>1607.210590095206</c:v>
                </c:pt>
                <c:pt idx="2">
                  <c:v>1604.2813265546349</c:v>
                </c:pt>
                <c:pt idx="3">
                  <c:v>1596.3476385953072</c:v>
                </c:pt>
                <c:pt idx="4">
                  <c:v>1606.2095527637355</c:v>
                </c:pt>
                <c:pt idx="5">
                  <c:v>1604.2402954471531</c:v>
                </c:pt>
                <c:pt idx="6">
                  <c:v>1609.6808536744702</c:v>
                </c:pt>
                <c:pt idx="7">
                  <c:v>1614.9687685524234</c:v>
                </c:pt>
                <c:pt idx="8">
                  <c:v>1614.6689559411088</c:v>
                </c:pt>
                <c:pt idx="9">
                  <c:v>1607.4229422054623</c:v>
                </c:pt>
                <c:pt idx="10">
                  <c:v>1607.7084045522295</c:v>
                </c:pt>
                <c:pt idx="11">
                  <c:v>1607.1101541249161</c:v>
                </c:pt>
                <c:pt idx="12">
                  <c:v>1605.2914932001665</c:v>
                </c:pt>
                <c:pt idx="13">
                  <c:v>1596.8777442409655</c:v>
                </c:pt>
                <c:pt idx="14">
                  <c:v>1601.4744777755197</c:v>
                </c:pt>
                <c:pt idx="15">
                  <c:v>1609.1756309088667</c:v>
                </c:pt>
                <c:pt idx="16">
                  <c:v>1603.1325771234135</c:v>
                </c:pt>
                <c:pt idx="17">
                  <c:v>1599.3997816606729</c:v>
                </c:pt>
                <c:pt idx="18">
                  <c:v>1600.369382970709</c:v>
                </c:pt>
                <c:pt idx="19">
                  <c:v>1591.8291666728849</c:v>
                </c:pt>
                <c:pt idx="20">
                  <c:v>1581.8101916728476</c:v>
                </c:pt>
                <c:pt idx="21">
                  <c:v>1576.7293305228106</c:v>
                </c:pt>
                <c:pt idx="22">
                  <c:v>1577.2589545396738</c:v>
                </c:pt>
                <c:pt idx="23">
                  <c:v>1573.7894008124358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5B-4E69-A17B-E950D6DD34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-24.3</c:v>
                </c:pt>
                <c:pt idx="2">
                  <c:v>-4.3000000000000007</c:v>
                </c:pt>
                <c:pt idx="3">
                  <c:v>-22.900000000000002</c:v>
                </c:pt>
                <c:pt idx="4">
                  <c:v>-45.5</c:v>
                </c:pt>
                <c:pt idx="5">
                  <c:v>-86.3</c:v>
                </c:pt>
                <c:pt idx="6">
                  <c:v>-133.80000000000001</c:v>
                </c:pt>
                <c:pt idx="7">
                  <c:v>-76.200000000000017</c:v>
                </c:pt>
                <c:pt idx="8">
                  <c:v>-103.80000000000001</c:v>
                </c:pt>
                <c:pt idx="9">
                  <c:v>-132.4</c:v>
                </c:pt>
                <c:pt idx="10">
                  <c:v>-122.10000000000001</c:v>
                </c:pt>
                <c:pt idx="11">
                  <c:v>-97.800000000000011</c:v>
                </c:pt>
                <c:pt idx="12">
                  <c:v>-133.30000000000001</c:v>
                </c:pt>
                <c:pt idx="13">
                  <c:v>-175.4</c:v>
                </c:pt>
                <c:pt idx="14">
                  <c:v>-130.10000000000002</c:v>
                </c:pt>
                <c:pt idx="15">
                  <c:v>-129.60000000000002</c:v>
                </c:pt>
                <c:pt idx="16">
                  <c:v>-149.90000000000003</c:v>
                </c:pt>
                <c:pt idx="17">
                  <c:v>-210.40000000000003</c:v>
                </c:pt>
                <c:pt idx="18">
                  <c:v>-278.40000000000003</c:v>
                </c:pt>
                <c:pt idx="19">
                  <c:v>-236.20000000000005</c:v>
                </c:pt>
                <c:pt idx="20">
                  <c:v>-220.00000000000006</c:v>
                </c:pt>
                <c:pt idx="21">
                  <c:v>-284.00000000000006</c:v>
                </c:pt>
                <c:pt idx="22">
                  <c:v>-251.30000000000007</c:v>
                </c:pt>
                <c:pt idx="23">
                  <c:v>-188.20000000000007</c:v>
                </c:pt>
                <c:pt idx="24">
                  <c:v>-184.60000000000008</c:v>
                </c:pt>
                <c:pt idx="25">
                  <c:v>-212.20000000000007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BF-4C60-BD2D-5E6499EDE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-6360</c:v>
                </c:pt>
                <c:pt idx="1">
                  <c:v>-2565.217391304348</c:v>
                </c:pt>
                <c:pt idx="2">
                  <c:v>1921.7391304347825</c:v>
                </c:pt>
                <c:pt idx="3">
                  <c:v>1413.6363636363637</c:v>
                </c:pt>
                <c:pt idx="4">
                  <c:v>-1509.5238095238096</c:v>
                </c:pt>
                <c:pt idx="5">
                  <c:v>1110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B-43E5-AE7B-4BDBDFF2B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8</c:v>
                </c:pt>
                <c:pt idx="3">
                  <c:v>13</c:v>
                </c:pt>
                <c:pt idx="4">
                  <c:v>11</c:v>
                </c:pt>
                <c:pt idx="5">
                  <c:v>8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67-4112-9B04-53B2ED0E0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りくと!$M$2:$M$27</c:f>
              <c:numCache>
                <c:formatCode>0</c:formatCode>
                <c:ptCount val="26"/>
                <c:pt idx="0">
                  <c:v>1377.1480089618358</c:v>
                </c:pt>
                <c:pt idx="1">
                  <c:v>1374.2551209080648</c:v>
                </c:pt>
                <c:pt idx="2">
                  <c:v>1379.1075901826164</c:v>
                </c:pt>
                <c:pt idx="3">
                  <c:v>1376.9829446415206</c:v>
                </c:pt>
                <c:pt idx="4">
                  <c:v>1374.1510469736716</c:v>
                </c:pt>
                <c:pt idx="5">
                  <c:v>1368.0601406918295</c:v>
                </c:pt>
                <c:pt idx="6">
                  <c:v>1360.7997798476786</c:v>
                </c:pt>
                <c:pt idx="7">
                  <c:v>1372.5009811685925</c:v>
                </c:pt>
                <c:pt idx="8">
                  <c:v>1368.7959752815809</c:v>
                </c:pt>
                <c:pt idx="9">
                  <c:v>1364.9331994298914</c:v>
                </c:pt>
                <c:pt idx="10">
                  <c:v>1368.0956002333121</c:v>
                </c:pt>
                <c:pt idx="11">
                  <c:v>1373.8370266319123</c:v>
                </c:pt>
                <c:pt idx="12">
                  <c:v>1368.7860044721208</c:v>
                </c:pt>
                <c:pt idx="13">
                  <c:v>1362.571288445288</c:v>
                </c:pt>
                <c:pt idx="14">
                  <c:v>1372.1318607146163</c:v>
                </c:pt>
                <c:pt idx="15">
                  <c:v>1373.5650695503286</c:v>
                </c:pt>
                <c:pt idx="16">
                  <c:v>1371.2516791330268</c:v>
                </c:pt>
                <c:pt idx="17">
                  <c:v>1361.7101690582285</c:v>
                </c:pt>
                <c:pt idx="18">
                  <c:v>1350.8819080438791</c:v>
                </c:pt>
                <c:pt idx="19">
                  <c:v>1359.9486165956159</c:v>
                </c:pt>
                <c:pt idx="20">
                  <c:v>1364.2809248960423</c:v>
                </c:pt>
                <c:pt idx="21">
                  <c:v>1354.151239346666</c:v>
                </c:pt>
                <c:pt idx="22">
                  <c:v>1361.4883319105859</c:v>
                </c:pt>
                <c:pt idx="23">
                  <c:v>1374.2534019191223</c:v>
                </c:pt>
                <c:pt idx="24">
                  <c:v>1376.2318815076076</c:v>
                </c:pt>
                <c:pt idx="25">
                  <c:v>1372.5824902185618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85-4952-9672-BD38BFB1B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ともき2!$B$1:$B$2</c:f>
              <c:strCache>
                <c:ptCount val="2"/>
                <c:pt idx="0">
                  <c:v>ともき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ともき2!$B$3:$B$6</c:f>
              <c:numCache>
                <c:formatCode>\+0.0;\-0.0;\±0</c:formatCode>
                <c:ptCount val="4"/>
                <c:pt idx="0">
                  <c:v>0</c:v>
                </c:pt>
                <c:pt idx="1">
                  <c:v>-46</c:v>
                </c:pt>
                <c:pt idx="2">
                  <c:v>-96.9</c:v>
                </c:pt>
                <c:pt idx="3">
                  <c:v>-113.4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1316282072803006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ともき2!$C$1:$C$2</c:f>
              <c:strCache>
                <c:ptCount val="2"/>
                <c:pt idx="0">
                  <c:v>ともき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ともき2!$C$3:$C$6</c:f>
              <c:numCache>
                <c:formatCode>\+0.0;\-0.0;\±0</c:formatCode>
                <c:ptCount val="4"/>
                <c:pt idx="1">
                  <c:v>-46</c:v>
                </c:pt>
                <c:pt idx="2">
                  <c:v>-48.45</c:v>
                </c:pt>
                <c:pt idx="3">
                  <c:v>-37.800000000000004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7330310628295127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ともき2!$D$1:$D$2</c:f>
              <c:strCache>
                <c:ptCount val="2"/>
                <c:pt idx="0">
                  <c:v>ともき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ともき2!$D$3:$D$6</c:f>
              <c:numCache>
                <c:formatCode>0.00\ "位"</c:formatCode>
                <c:ptCount val="4"/>
                <c:pt idx="1">
                  <c:v>3</c:v>
                </c:pt>
                <c:pt idx="2">
                  <c:v>3</c:v>
                </c:pt>
                <c:pt idx="3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75609756097561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ともき2!$E$1:$E$2</c:f>
              <c:strCache>
                <c:ptCount val="2"/>
                <c:pt idx="0">
                  <c:v>ともき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ともき2!$E$3:$E$6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495934959349593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ともき2!$F$1:$F$2</c:f>
              <c:strCache>
                <c:ptCount val="2"/>
                <c:pt idx="0">
                  <c:v>ともき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ともき2!$F$3:$F$6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520325203252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ともき2!$G$1:$G$2</c:f>
              <c:strCache>
                <c:ptCount val="2"/>
                <c:pt idx="0">
                  <c:v>ともき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ともき2!$G$3:$G$6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0.11764705882352941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7967479674796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ともき2!$H$1:$H$2</c:f>
              <c:strCache>
                <c:ptCount val="2"/>
                <c:pt idx="0">
                  <c:v>ともき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ともき2!$H$3:$H$6</c:f>
              <c:numCache>
                <c:formatCode>0.0%</c:formatCode>
                <c:ptCount val="4"/>
                <c:pt idx="1">
                  <c:v>0.5</c:v>
                </c:pt>
                <c:pt idx="2">
                  <c:v>0.54545454545454541</c:v>
                </c:pt>
                <c:pt idx="3">
                  <c:v>0.41176470588235292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243902439024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ともき2!$I$1:$I$2</c:f>
              <c:strCache>
                <c:ptCount val="2"/>
                <c:pt idx="0">
                  <c:v>ともき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ともき2!$I$3:$I$6</c:f>
              <c:numCache>
                <c:formatCode>0</c:formatCode>
                <c:ptCount val="4"/>
                <c:pt idx="1">
                  <c:v>0</c:v>
                </c:pt>
                <c:pt idx="2">
                  <c:v>0</c:v>
                </c:pt>
                <c:pt idx="3">
                  <c:v>1600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910.50847457627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ともき2!$J$1:$J$2</c:f>
              <c:strCache>
                <c:ptCount val="2"/>
                <c:pt idx="0">
                  <c:v>ともき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ともき2!$J$3:$J$6</c:f>
              <c:numCache>
                <c:formatCode>0</c:formatCode>
                <c:ptCount val="4"/>
                <c:pt idx="1">
                  <c:v>-7000</c:v>
                </c:pt>
                <c:pt idx="2">
                  <c:v>-8833.3333333333339</c:v>
                </c:pt>
                <c:pt idx="3">
                  <c:v>-8314.2857142857138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46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ともき2!$K$1:$K$2</c:f>
              <c:strCache>
                <c:ptCount val="2"/>
                <c:pt idx="0">
                  <c:v>ともき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ともき2!$K$3:$K$6</c:f>
              <c:numCache>
                <c:formatCode>0.0%</c:formatCode>
                <c:ptCount val="4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7560975609756101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ともき2!$L$1:$L$2</c:f>
              <c:strCache>
                <c:ptCount val="2"/>
                <c:pt idx="0">
                  <c:v>ともき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ともき2!$L$3:$L$6</c:f>
              <c:numCache>
                <c:formatCode>0.0%</c:formatCode>
                <c:ptCount val="4"/>
                <c:pt idx="1">
                  <c:v>0</c:v>
                </c:pt>
                <c:pt idx="2">
                  <c:v>9.0909090909090912E-2</c:v>
                </c:pt>
                <c:pt idx="3">
                  <c:v>5.8823529411764705E-2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1138211382113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ともき2!$M$1:$M$2</c:f>
              <c:strCache>
                <c:ptCount val="2"/>
                <c:pt idx="0">
                  <c:v>ともき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ともき2!$M$3:$M$6</c:f>
              <c:numCache>
                <c:formatCode>0.0%</c:formatCode>
                <c:ptCount val="4"/>
                <c:pt idx="1">
                  <c:v>0</c:v>
                </c:pt>
                <c:pt idx="2">
                  <c:v>9.0909090909090912E-2</c:v>
                </c:pt>
                <c:pt idx="3">
                  <c:v>0.23529411764705882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9715447154471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ともき2!$N$1:$N$2</c:f>
              <c:strCache>
                <c:ptCount val="2"/>
                <c:pt idx="0">
                  <c:v>ともき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ともき2!$N$3:$N$6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37974683544303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ともき2!$O$1:$O$2</c:f>
              <c:strCache>
                <c:ptCount val="2"/>
                <c:pt idx="0">
                  <c:v>ともき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ともき2!$O$3:$O$6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3233532934131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ともき2!$P$1:$P$2</c:f>
              <c:strCache>
                <c:ptCount val="2"/>
                <c:pt idx="0">
                  <c:v>ともき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ともき2!$A$3:$A$6</c:f>
              <c:numCache>
                <c:formatCode>0\ "回"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ともき2!$P$3:$P$6</c:f>
              <c:numCache>
                <c:formatCode>0.0%</c:formatCode>
                <c:ptCount val="4"/>
                <c:pt idx="1">
                  <c:v>0</c:v>
                </c:pt>
                <c:pt idx="2">
                  <c:v>0</c:v>
                </c:pt>
                <c:pt idx="3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81355932203389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E702029-2D2B-405C-8DD5-7170895135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608924-CE23-44A8-A4A7-CCFFE790C6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D75C046-A4F1-49D7-9106-E6D1F7AE63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29A577EE-A3B3-41C0-9FBC-F71B18F102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409EA9B-7156-4FB5-80CE-8382B0CE76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A92D54A-34F6-4714-9136-B9890FE4C7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F3CCC74-FF5F-4D4B-8F23-A749338CB5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A120E020-A239-4C7D-BE18-DFAB43F079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BC0C278-6F6A-4EB7-BAE5-0EAD715A6F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CBD350D-EB55-4D57-B3B3-B6B881CEB7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3971F5E-1328-4397-B01E-644BF37F15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57538ED-5450-49A7-952E-235685D4C0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692633-F9B5-4C86-9508-D564C8BFB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1443366-32E4-43B5-AFE3-7C79B60B4D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D399C38-3EE6-4045-BC2E-D75B851E65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853ACE3E-2C89-4120-B5CC-A5A40D5C2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0FFCA39-65D3-4A84-9867-6BE515B2A1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6B4CBFA-0472-4AA3-95A6-89484F1F14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D7EEF3E-325D-48E8-9070-2F74C6E759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FD47B3BB-A0F3-4038-8257-A433E4E9E2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CC05E60-D2B4-4048-997B-E7ECA38A30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3BA7497-27C0-4880-9572-D57AF2EB33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12C4CE6-490A-480B-9901-697B6093C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24118B3-2E93-4D91-84FA-096899D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Q6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7" x14ac:dyDescent="0.4">
      <c r="A1" s="1">
        <v>32874</v>
      </c>
      <c r="B1" s="1">
        <v>2958465</v>
      </c>
    </row>
    <row r="2" spans="1:17" x14ac:dyDescent="0.4">
      <c r="A2" s="2" t="s">
        <v>227</v>
      </c>
      <c r="B2" s="3">
        <v>44633.964791666665</v>
      </c>
      <c r="C2" s="2" t="s">
        <v>127</v>
      </c>
      <c r="D2" s="2" t="s">
        <v>188</v>
      </c>
      <c r="E2" s="2" t="s">
        <v>191</v>
      </c>
    </row>
    <row r="3" spans="1:17" x14ac:dyDescent="0.4">
      <c r="A3" s="2" t="s">
        <v>228</v>
      </c>
      <c r="B3" s="3">
        <v>44633.964791666665</v>
      </c>
      <c r="C3" s="2" t="s">
        <v>127</v>
      </c>
      <c r="D3" s="2" t="s">
        <v>188</v>
      </c>
      <c r="E3" s="2" t="s">
        <v>191</v>
      </c>
      <c r="F3" s="2" t="s">
        <v>214</v>
      </c>
      <c r="G3" s="2" t="s">
        <v>215</v>
      </c>
      <c r="H3" s="2" t="s">
        <v>217</v>
      </c>
    </row>
    <row r="4" spans="1:17" x14ac:dyDescent="0.4">
      <c r="A4" s="2" t="s">
        <v>229</v>
      </c>
      <c r="B4" s="3">
        <v>44633.736203703702</v>
      </c>
      <c r="C4" s="2" t="s">
        <v>127</v>
      </c>
      <c r="D4" s="2" t="s">
        <v>188</v>
      </c>
      <c r="E4" s="2" t="s">
        <v>191</v>
      </c>
      <c r="F4" s="2" t="s">
        <v>214</v>
      </c>
      <c r="G4" s="2" t="s">
        <v>215</v>
      </c>
      <c r="H4" s="2" t="s">
        <v>217</v>
      </c>
      <c r="I4" s="2" t="s">
        <v>218</v>
      </c>
      <c r="J4" s="2" t="s">
        <v>219</v>
      </c>
      <c r="K4" s="2" t="s">
        <v>220</v>
      </c>
      <c r="L4" s="2" t="s">
        <v>221</v>
      </c>
    </row>
    <row r="5" spans="1:17" x14ac:dyDescent="0.4">
      <c r="A5" s="2" t="s">
        <v>231</v>
      </c>
      <c r="B5" s="3">
        <v>44641.842581018522</v>
      </c>
      <c r="C5" s="2" t="s">
        <v>127</v>
      </c>
      <c r="D5" s="2" t="s">
        <v>188</v>
      </c>
      <c r="E5" s="2" t="s">
        <v>191</v>
      </c>
      <c r="F5" s="2" t="s">
        <v>214</v>
      </c>
      <c r="G5" s="2" t="s">
        <v>215</v>
      </c>
      <c r="H5" s="2" t="s">
        <v>217</v>
      </c>
      <c r="I5" s="2" t="s">
        <v>218</v>
      </c>
    </row>
    <row r="6" spans="1:17" x14ac:dyDescent="0.4">
      <c r="A6" s="2" t="s">
        <v>216</v>
      </c>
      <c r="B6" s="3">
        <v>44681.792303240742</v>
      </c>
      <c r="C6" s="2" t="s">
        <v>127</v>
      </c>
      <c r="D6" s="2" t="s">
        <v>188</v>
      </c>
      <c r="E6" s="2" t="s">
        <v>191</v>
      </c>
      <c r="F6" s="2" t="s">
        <v>214</v>
      </c>
      <c r="G6" s="2" t="s">
        <v>215</v>
      </c>
      <c r="H6" s="2" t="s">
        <v>217</v>
      </c>
      <c r="I6" s="2" t="s">
        <v>218</v>
      </c>
      <c r="J6" s="2" t="s">
        <v>219</v>
      </c>
      <c r="K6" s="2" t="s">
        <v>220</v>
      </c>
      <c r="L6" s="2" t="s">
        <v>221</v>
      </c>
      <c r="M6" s="2" t="s">
        <v>222</v>
      </c>
      <c r="N6" s="2" t="s">
        <v>223</v>
      </c>
      <c r="O6" s="2" t="s">
        <v>224</v>
      </c>
      <c r="P6" s="2" t="s">
        <v>225</v>
      </c>
      <c r="Q6" s="2" t="s">
        <v>226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230</v>
      </c>
    </row>
    <row r="2" spans="1:3" x14ac:dyDescent="0.4">
      <c r="A2" t="s">
        <v>126</v>
      </c>
      <c r="B2" s="120">
        <v>41</v>
      </c>
      <c r="C2" s="120">
        <v>1758.0662353696366</v>
      </c>
    </row>
    <row r="3" spans="1:3" x14ac:dyDescent="0.4">
      <c r="A3" t="s">
        <v>192</v>
      </c>
      <c r="B3" s="120">
        <v>23</v>
      </c>
      <c r="C3" s="120">
        <v>1606.4452616651972</v>
      </c>
    </row>
    <row r="4" spans="1:3" x14ac:dyDescent="0.4">
      <c r="A4" t="s">
        <v>163</v>
      </c>
      <c r="B4" s="120">
        <v>31</v>
      </c>
      <c r="C4" s="120">
        <v>1605.0170841089816</v>
      </c>
    </row>
    <row r="5" spans="1:3" x14ac:dyDescent="0.4">
      <c r="A5" t="s">
        <v>139</v>
      </c>
      <c r="B5" s="120">
        <v>123</v>
      </c>
      <c r="C5" s="120">
        <v>1604.9485979299698</v>
      </c>
    </row>
    <row r="6" spans="1:3" x14ac:dyDescent="0.4">
      <c r="A6" t="s">
        <v>190</v>
      </c>
      <c r="C6" s="120">
        <v>1551.4699038276274</v>
      </c>
    </row>
    <row r="7" spans="1:3" x14ac:dyDescent="0.4">
      <c r="A7" t="s">
        <v>210</v>
      </c>
      <c r="C7" s="120">
        <v>1541.223654027415</v>
      </c>
    </row>
    <row r="8" spans="1:3" x14ac:dyDescent="0.4">
      <c r="A8" t="s">
        <v>212</v>
      </c>
      <c r="C8" s="120">
        <v>1497.379788</v>
      </c>
    </row>
    <row r="9" spans="1:3" x14ac:dyDescent="0.4">
      <c r="A9" t="s">
        <v>213</v>
      </c>
      <c r="C9" s="120">
        <v>1493.0891304000002</v>
      </c>
    </row>
    <row r="10" spans="1:3" x14ac:dyDescent="0.4">
      <c r="A10" t="s">
        <v>211</v>
      </c>
      <c r="C10" s="120">
        <v>1488.9447185272431</v>
      </c>
    </row>
    <row r="11" spans="1:3" x14ac:dyDescent="0.4">
      <c r="A11" t="s">
        <v>200</v>
      </c>
      <c r="C11" s="120">
        <v>1476.9680701642462</v>
      </c>
    </row>
    <row r="12" spans="1:3" x14ac:dyDescent="0.4">
      <c r="A12" t="s">
        <v>189</v>
      </c>
      <c r="C12" s="120">
        <v>1463.3989422821498</v>
      </c>
    </row>
    <row r="13" spans="1:3" x14ac:dyDescent="0.4">
      <c r="A13" t="s">
        <v>194</v>
      </c>
      <c r="B13" s="120">
        <v>25</v>
      </c>
      <c r="C13" s="120">
        <v>1377.1480089618358</v>
      </c>
    </row>
    <row r="14" spans="1:3" x14ac:dyDescent="0.4">
      <c r="A14" t="s">
        <v>193</v>
      </c>
      <c r="C14" s="120">
        <v>1340.228259602879</v>
      </c>
    </row>
    <row r="15" spans="1:3" x14ac:dyDescent="0.4">
      <c r="A15" t="s">
        <v>209</v>
      </c>
      <c r="C15" s="120">
        <v>1483.0119085897741</v>
      </c>
    </row>
    <row r="16" spans="1:3" x14ac:dyDescent="0.4">
      <c r="A16" t="s">
        <v>197</v>
      </c>
      <c r="B16" s="120">
        <v>3</v>
      </c>
      <c r="C16" s="120">
        <v>1463.4239467393418</v>
      </c>
    </row>
    <row r="17" spans="1:8" x14ac:dyDescent="0.4">
      <c r="A17" t="s">
        <v>198</v>
      </c>
      <c r="C17" s="120">
        <v>1382.1789004547948</v>
      </c>
      <c r="G17" s="120"/>
      <c r="H17" s="120"/>
    </row>
    <row r="18" spans="1:8" x14ac:dyDescent="0.4">
      <c r="A18" t="s">
        <v>201</v>
      </c>
      <c r="C18" s="120">
        <v>1491.5152195648213</v>
      </c>
      <c r="G18" s="120"/>
      <c r="H18" s="120"/>
    </row>
    <row r="19" spans="1:8" x14ac:dyDescent="0.4">
      <c r="A19" t="s">
        <v>208</v>
      </c>
      <c r="C19" s="120">
        <v>1484.4200922656562</v>
      </c>
      <c r="G19" s="120"/>
      <c r="H19" s="120"/>
    </row>
    <row r="20" spans="1:8" x14ac:dyDescent="0.4">
      <c r="A20" t="s">
        <v>203</v>
      </c>
      <c r="C20" s="120">
        <v>1519.3079580555725</v>
      </c>
      <c r="G20" s="120"/>
      <c r="H20" s="120"/>
    </row>
    <row r="21" spans="1:8" x14ac:dyDescent="0.4">
      <c r="A21" t="s">
        <v>199</v>
      </c>
      <c r="C21" s="120">
        <v>1519.2052586122145</v>
      </c>
      <c r="G21" s="120"/>
      <c r="H21" s="120"/>
    </row>
    <row r="22" spans="1:8" x14ac:dyDescent="0.4">
      <c r="A22" t="s">
        <v>202</v>
      </c>
      <c r="C22" s="120">
        <v>1503.1020000000001</v>
      </c>
      <c r="G22" s="120"/>
      <c r="H22" s="120"/>
    </row>
    <row r="23" spans="1:8" x14ac:dyDescent="0.4">
      <c r="A23" t="s">
        <v>204</v>
      </c>
      <c r="C23" s="120">
        <v>1489.2889468180317</v>
      </c>
    </row>
    <row r="24" spans="1:8" x14ac:dyDescent="0.4">
      <c r="A24" t="s">
        <v>206</v>
      </c>
      <c r="C24" s="120">
        <v>1484.6521503082251</v>
      </c>
    </row>
    <row r="25" spans="1:8" x14ac:dyDescent="0.4">
      <c r="A25" t="s">
        <v>205</v>
      </c>
      <c r="C25" s="120">
        <v>1476.2954110473599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195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8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195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">
      <c r="A2" s="36" t="s">
        <v>207</v>
      </c>
      <c r="B2" s="143">
        <v>0.8136254456393357</v>
      </c>
      <c r="C2" s="144"/>
      <c r="D2" s="143">
        <v>0.8676208838750411</v>
      </c>
      <c r="E2" s="144"/>
      <c r="F2" s="143">
        <v>0.82808198661823817</v>
      </c>
      <c r="G2" s="144"/>
      <c r="H2" s="145"/>
      <c r="I2" s="146"/>
      <c r="J2" s="143">
        <v>0.89564370511391567</v>
      </c>
      <c r="K2" s="144"/>
      <c r="L2" s="143">
        <v>0.81563322176717989</v>
      </c>
      <c r="M2" s="144"/>
      <c r="N2" s="143">
        <v>0.91417011820093186</v>
      </c>
      <c r="O2" s="144"/>
      <c r="P2" s="143">
        <v>0.85190870963250331</v>
      </c>
      <c r="Q2" s="144"/>
      <c r="R2" s="143">
        <v>0.38816100070219639</v>
      </c>
      <c r="S2" s="144"/>
      <c r="T2" s="143">
        <v>0.55586490794647125</v>
      </c>
      <c r="U2" s="144"/>
      <c r="V2" s="143">
        <v>0.65544171620216052</v>
      </c>
      <c r="W2" s="144"/>
      <c r="X2" s="143">
        <v>0.94484745707291473</v>
      </c>
      <c r="Y2" s="144"/>
      <c r="Z2" s="143">
        <v>0.40498739601284817</v>
      </c>
      <c r="AA2" s="144"/>
      <c r="AB2" s="143">
        <v>0.15673898714141471</v>
      </c>
      <c r="AC2" s="144"/>
      <c r="AD2" s="143">
        <v>-0.39879567464750854</v>
      </c>
      <c r="AE2" s="144"/>
      <c r="AF2" s="143">
        <v>0.99062730912937946</v>
      </c>
      <c r="AG2" s="144"/>
      <c r="AH2" s="143">
        <v>-0.73904273450008717</v>
      </c>
      <c r="AI2" s="144"/>
      <c r="AJ2" s="143">
        <v>0.75801789316407819</v>
      </c>
      <c r="AK2" s="144"/>
    </row>
    <row r="3" spans="1:37" x14ac:dyDescent="0.4">
      <c r="A3" s="38">
        <v>1</v>
      </c>
      <c r="B3" s="41" t="s">
        <v>126</v>
      </c>
      <c r="C3" s="113">
        <v>41</v>
      </c>
      <c r="D3" s="39" t="s">
        <v>126</v>
      </c>
      <c r="E3" s="40">
        <v>342.8</v>
      </c>
      <c r="F3" s="41" t="s">
        <v>126</v>
      </c>
      <c r="G3" s="60">
        <v>8.3609756097560979</v>
      </c>
      <c r="H3" s="41" t="s">
        <v>126</v>
      </c>
      <c r="I3" s="45">
        <v>1779.8839580608421</v>
      </c>
      <c r="J3" s="41" t="s">
        <v>126</v>
      </c>
      <c r="K3" s="42">
        <v>1.7804878048780488</v>
      </c>
      <c r="L3" s="41" t="s">
        <v>126</v>
      </c>
      <c r="M3" s="43">
        <v>0.43902439024390244</v>
      </c>
      <c r="N3" s="41" t="s">
        <v>126</v>
      </c>
      <c r="O3" s="43">
        <v>0.21951219512195122</v>
      </c>
      <c r="P3" s="41" t="s">
        <v>126</v>
      </c>
      <c r="Q3" s="44">
        <v>0.34756097560975607</v>
      </c>
      <c r="R3" s="41" t="s">
        <v>192</v>
      </c>
      <c r="S3" s="44">
        <v>0.12953367875647667</v>
      </c>
      <c r="T3" s="41" t="s">
        <v>126</v>
      </c>
      <c r="U3" s="45">
        <v>9341.2280701754389</v>
      </c>
      <c r="V3" s="41" t="s">
        <v>163</v>
      </c>
      <c r="W3" s="45">
        <v>-7488.2352941176468</v>
      </c>
      <c r="X3" s="41" t="s">
        <v>126</v>
      </c>
      <c r="Y3" s="43">
        <v>2.4390243902439025E-2</v>
      </c>
      <c r="Z3" s="41" t="s">
        <v>126</v>
      </c>
      <c r="AA3" s="44">
        <v>0.36280487804878048</v>
      </c>
      <c r="AB3" s="41" t="s">
        <v>197</v>
      </c>
      <c r="AC3" s="44">
        <v>0.23529411764705882</v>
      </c>
      <c r="AD3" s="41" t="s">
        <v>194</v>
      </c>
      <c r="AE3" s="44">
        <v>0.60606060606060608</v>
      </c>
      <c r="AF3" s="41" t="s">
        <v>197</v>
      </c>
      <c r="AG3" s="44">
        <v>0.5</v>
      </c>
      <c r="AH3" s="41" t="s">
        <v>194</v>
      </c>
      <c r="AI3" s="44">
        <v>0.55555555555555558</v>
      </c>
      <c r="AJ3" s="41" t="s">
        <v>126</v>
      </c>
      <c r="AK3" s="55">
        <v>101500</v>
      </c>
    </row>
    <row r="4" spans="1:37" x14ac:dyDescent="0.4">
      <c r="A4" s="46">
        <v>2</v>
      </c>
      <c r="B4" s="49" t="s">
        <v>139</v>
      </c>
      <c r="C4" s="114">
        <v>41</v>
      </c>
      <c r="D4" s="47" t="s">
        <v>163</v>
      </c>
      <c r="E4" s="48">
        <v>185.29999999999998</v>
      </c>
      <c r="F4" s="49" t="s">
        <v>163</v>
      </c>
      <c r="G4" s="61">
        <v>5.9774193548387089</v>
      </c>
      <c r="H4" s="49" t="s">
        <v>163</v>
      </c>
      <c r="I4" s="53">
        <v>1636.7923224568347</v>
      </c>
      <c r="J4" s="49" t="s">
        <v>163</v>
      </c>
      <c r="K4" s="50">
        <v>1.8387096774193548</v>
      </c>
      <c r="L4" s="49" t="s">
        <v>163</v>
      </c>
      <c r="M4" s="51">
        <v>0.38709677419354838</v>
      </c>
      <c r="N4" s="49" t="s">
        <v>163</v>
      </c>
      <c r="O4" s="51">
        <v>0.22580645161290322</v>
      </c>
      <c r="P4" s="49" t="s">
        <v>163</v>
      </c>
      <c r="Q4" s="52">
        <v>0.31120331950207469</v>
      </c>
      <c r="R4" s="49" t="s">
        <v>163</v>
      </c>
      <c r="S4" s="52">
        <v>0.14107883817427386</v>
      </c>
      <c r="T4" s="49" t="s">
        <v>163</v>
      </c>
      <c r="U4" s="53">
        <v>9112</v>
      </c>
      <c r="V4" s="49" t="s">
        <v>197</v>
      </c>
      <c r="W4" s="53">
        <v>-8314.2857142857138</v>
      </c>
      <c r="X4" s="49" t="s">
        <v>163</v>
      </c>
      <c r="Y4" s="51">
        <v>6.4516129032258063E-2</v>
      </c>
      <c r="Z4" s="49" t="s">
        <v>163</v>
      </c>
      <c r="AA4" s="52">
        <v>0.33609958506224069</v>
      </c>
      <c r="AB4" s="49" t="s">
        <v>192</v>
      </c>
      <c r="AC4" s="52">
        <v>0.22279792746113988</v>
      </c>
      <c r="AD4" s="49" t="s">
        <v>126</v>
      </c>
      <c r="AE4" s="52">
        <v>0.55462184873949583</v>
      </c>
      <c r="AF4" s="49" t="s">
        <v>126</v>
      </c>
      <c r="AG4" s="52">
        <v>0.48936170212765956</v>
      </c>
      <c r="AH4" s="49" t="s">
        <v>197</v>
      </c>
      <c r="AI4" s="52">
        <v>0.5</v>
      </c>
      <c r="AJ4" s="49" t="s">
        <v>139</v>
      </c>
      <c r="AK4" s="56">
        <v>101500</v>
      </c>
    </row>
    <row r="5" spans="1:37" x14ac:dyDescent="0.4">
      <c r="A5" s="46">
        <v>3</v>
      </c>
      <c r="B5" s="49" t="s">
        <v>163</v>
      </c>
      <c r="C5" s="114">
        <v>31</v>
      </c>
      <c r="D5" s="47" t="s">
        <v>139</v>
      </c>
      <c r="E5" s="48">
        <v>-2.1316282072803006E-14</v>
      </c>
      <c r="F5" s="49" t="s">
        <v>139</v>
      </c>
      <c r="G5" s="61">
        <v>-1.7330310628295127E-16</v>
      </c>
      <c r="H5" s="49" t="s">
        <v>139</v>
      </c>
      <c r="I5" s="53">
        <v>1608.642042822672</v>
      </c>
      <c r="J5" s="49" t="s">
        <v>139</v>
      </c>
      <c r="K5" s="50">
        <v>1.975609756097561</v>
      </c>
      <c r="L5" s="49" t="s">
        <v>139</v>
      </c>
      <c r="M5" s="51">
        <v>0.34959349593495936</v>
      </c>
      <c r="N5" s="49" t="s">
        <v>139</v>
      </c>
      <c r="O5" s="51">
        <v>0.32520325203252032</v>
      </c>
      <c r="P5" s="49" t="s">
        <v>139</v>
      </c>
      <c r="Q5" s="52">
        <v>0.29979674796747968</v>
      </c>
      <c r="R5" s="49" t="s">
        <v>126</v>
      </c>
      <c r="S5" s="52">
        <v>0.1524390243902439</v>
      </c>
      <c r="T5" s="49" t="s">
        <v>139</v>
      </c>
      <c r="U5" s="53">
        <v>8910.5084745762706</v>
      </c>
      <c r="V5" s="49" t="s">
        <v>126</v>
      </c>
      <c r="W5" s="53">
        <v>-8446</v>
      </c>
      <c r="X5" s="49" t="s">
        <v>139</v>
      </c>
      <c r="Y5" s="51">
        <v>9.7560975609756101E-2</v>
      </c>
      <c r="Z5" s="49" t="s">
        <v>194</v>
      </c>
      <c r="AA5" s="52">
        <v>0.32195121951219513</v>
      </c>
      <c r="AB5" s="49" t="s">
        <v>163</v>
      </c>
      <c r="AC5" s="52">
        <v>0.1908713692946058</v>
      </c>
      <c r="AD5" s="49" t="s">
        <v>139</v>
      </c>
      <c r="AE5" s="52">
        <v>0.53797468354430378</v>
      </c>
      <c r="AF5" s="49" t="s">
        <v>163</v>
      </c>
      <c r="AG5" s="52">
        <v>0.39130434782608697</v>
      </c>
      <c r="AH5" s="49" t="s">
        <v>139</v>
      </c>
      <c r="AI5" s="52">
        <v>0.48135593220338985</v>
      </c>
      <c r="AJ5" s="49" t="s">
        <v>163</v>
      </c>
      <c r="AK5" s="56">
        <v>95000</v>
      </c>
    </row>
    <row r="6" spans="1:37" x14ac:dyDescent="0.4">
      <c r="A6" s="46">
        <v>4</v>
      </c>
      <c r="B6" s="49" t="s">
        <v>194</v>
      </c>
      <c r="C6" s="114">
        <v>25</v>
      </c>
      <c r="D6" s="47" t="s">
        <v>197</v>
      </c>
      <c r="E6" s="48">
        <v>-113.4</v>
      </c>
      <c r="F6" s="49" t="s">
        <v>194</v>
      </c>
      <c r="G6" s="61">
        <v>-8.4880000000000031</v>
      </c>
      <c r="H6" s="49" t="s">
        <v>192</v>
      </c>
      <c r="I6" s="53">
        <v>1573.7894008124358</v>
      </c>
      <c r="J6" s="49" t="s">
        <v>192</v>
      </c>
      <c r="K6" s="50">
        <v>2.1304347826086958</v>
      </c>
      <c r="L6" s="49" t="s">
        <v>194</v>
      </c>
      <c r="M6" s="51">
        <v>0.28000000000000003</v>
      </c>
      <c r="N6" s="49" t="s">
        <v>192</v>
      </c>
      <c r="O6" s="51">
        <v>0.39130434782608697</v>
      </c>
      <c r="P6" s="49" t="s">
        <v>194</v>
      </c>
      <c r="Q6" s="52">
        <v>0.26341463414634148</v>
      </c>
      <c r="R6" s="49" t="s">
        <v>139</v>
      </c>
      <c r="S6" s="52">
        <v>0.1524390243902439</v>
      </c>
      <c r="T6" s="49" t="s">
        <v>194</v>
      </c>
      <c r="U6" s="53">
        <v>8705.5555555555547</v>
      </c>
      <c r="V6" s="49" t="s">
        <v>192</v>
      </c>
      <c r="W6" s="53">
        <v>-8452</v>
      </c>
      <c r="X6" s="49" t="s">
        <v>192</v>
      </c>
      <c r="Y6" s="51">
        <v>0.13043478260869565</v>
      </c>
      <c r="Z6" s="49" t="s">
        <v>139</v>
      </c>
      <c r="AA6" s="52">
        <v>0.32113821138211385</v>
      </c>
      <c r="AB6" s="49" t="s">
        <v>139</v>
      </c>
      <c r="AC6" s="52">
        <v>0.16971544715447154</v>
      </c>
      <c r="AD6" s="49" t="s">
        <v>163</v>
      </c>
      <c r="AE6" s="52">
        <v>0.50617283950617287</v>
      </c>
      <c r="AF6" s="49" t="s">
        <v>139</v>
      </c>
      <c r="AG6" s="52">
        <v>0.38323353293413176</v>
      </c>
      <c r="AH6" s="49" t="s">
        <v>163</v>
      </c>
      <c r="AI6" s="52">
        <v>0.48</v>
      </c>
      <c r="AJ6" s="49" t="s">
        <v>194</v>
      </c>
      <c r="AK6" s="56">
        <v>82600</v>
      </c>
    </row>
    <row r="7" spans="1:37" x14ac:dyDescent="0.4">
      <c r="A7" s="46">
        <v>5</v>
      </c>
      <c r="B7" s="49" t="s">
        <v>192</v>
      </c>
      <c r="C7" s="114">
        <v>23</v>
      </c>
      <c r="D7" s="47" t="s">
        <v>192</v>
      </c>
      <c r="E7" s="48">
        <v>-202.5</v>
      </c>
      <c r="F7" s="49" t="s">
        <v>192</v>
      </c>
      <c r="G7" s="61">
        <v>-8.804347826086957</v>
      </c>
      <c r="H7" s="49" t="s">
        <v>197</v>
      </c>
      <c r="I7" s="53">
        <v>1445.1125193047092</v>
      </c>
      <c r="J7" s="49" t="s">
        <v>194</v>
      </c>
      <c r="K7" s="50">
        <v>2.2000000000000002</v>
      </c>
      <c r="L7" s="49" t="s">
        <v>192</v>
      </c>
      <c r="M7" s="51">
        <v>0.2608695652173913</v>
      </c>
      <c r="N7" s="49" t="s">
        <v>194</v>
      </c>
      <c r="O7" s="51">
        <v>0.48</v>
      </c>
      <c r="P7" s="49" t="s">
        <v>192</v>
      </c>
      <c r="Q7" s="52">
        <v>0.25906735751295334</v>
      </c>
      <c r="R7" s="49" t="s">
        <v>194</v>
      </c>
      <c r="S7" s="52">
        <v>0.16585365853658537</v>
      </c>
      <c r="T7" s="49" t="s">
        <v>192</v>
      </c>
      <c r="U7" s="53">
        <v>8140</v>
      </c>
      <c r="V7" s="49" t="s">
        <v>139</v>
      </c>
      <c r="W7" s="53">
        <v>-8460</v>
      </c>
      <c r="X7" s="49" t="s">
        <v>194</v>
      </c>
      <c r="Y7" s="51">
        <v>0.16</v>
      </c>
      <c r="Z7" s="49" t="s">
        <v>192</v>
      </c>
      <c r="AA7" s="52">
        <v>0.25388601036269431</v>
      </c>
      <c r="AB7" s="49" t="s">
        <v>126</v>
      </c>
      <c r="AC7" s="52">
        <v>0.14329268292682926</v>
      </c>
      <c r="AD7" s="49" t="s">
        <v>192</v>
      </c>
      <c r="AE7" s="52">
        <v>0.46938775510204084</v>
      </c>
      <c r="AF7" s="49" t="s">
        <v>192</v>
      </c>
      <c r="AG7" s="52">
        <v>0.37209302325581395</v>
      </c>
      <c r="AH7" s="49" t="s">
        <v>126</v>
      </c>
      <c r="AI7" s="52">
        <v>0.46491228070175439</v>
      </c>
      <c r="AJ7" s="49" t="s">
        <v>192</v>
      </c>
      <c r="AK7" s="56">
        <v>77600</v>
      </c>
    </row>
    <row r="8" spans="1:37" x14ac:dyDescent="0.4">
      <c r="A8" s="46">
        <v>6</v>
      </c>
      <c r="B8" s="49" t="s">
        <v>197</v>
      </c>
      <c r="C8" s="114">
        <v>3</v>
      </c>
      <c r="D8" s="47" t="s">
        <v>194</v>
      </c>
      <c r="E8" s="48">
        <v>-212.20000000000007</v>
      </c>
      <c r="F8" s="49" t="s">
        <v>197</v>
      </c>
      <c r="G8" s="61">
        <v>-37.800000000000004</v>
      </c>
      <c r="H8" s="49" t="s">
        <v>194</v>
      </c>
      <c r="I8" s="53">
        <v>1372.5824902185618</v>
      </c>
      <c r="J8" s="49" t="s">
        <v>197</v>
      </c>
      <c r="K8" s="50">
        <v>3</v>
      </c>
      <c r="L8" s="49" t="s">
        <v>197</v>
      </c>
      <c r="M8" s="51">
        <v>0</v>
      </c>
      <c r="N8" s="49" t="s">
        <v>197</v>
      </c>
      <c r="O8" s="51">
        <v>1</v>
      </c>
      <c r="P8" s="49" t="s">
        <v>197</v>
      </c>
      <c r="Q8" s="52">
        <v>0.11764705882352941</v>
      </c>
      <c r="R8" s="49" t="s">
        <v>197</v>
      </c>
      <c r="S8" s="52">
        <v>0.41176470588235292</v>
      </c>
      <c r="T8" s="49" t="s">
        <v>197</v>
      </c>
      <c r="U8" s="53">
        <v>1600</v>
      </c>
      <c r="V8" s="49" t="s">
        <v>194</v>
      </c>
      <c r="W8" s="53">
        <v>-9488.2352941176468</v>
      </c>
      <c r="X8" s="49" t="s">
        <v>197</v>
      </c>
      <c r="Y8" s="51">
        <v>0.66666666666666663</v>
      </c>
      <c r="Z8" s="49" t="s">
        <v>197</v>
      </c>
      <c r="AA8" s="52">
        <v>5.8823529411764705E-2</v>
      </c>
      <c r="AB8" s="49" t="s">
        <v>194</v>
      </c>
      <c r="AC8" s="52">
        <v>0.13170731707317074</v>
      </c>
      <c r="AD8" s="49" t="s">
        <v>197</v>
      </c>
      <c r="AE8" s="52">
        <v>0</v>
      </c>
      <c r="AF8" s="49" t="s">
        <v>194</v>
      </c>
      <c r="AG8" s="52">
        <v>0.18518518518518517</v>
      </c>
      <c r="AH8" s="49" t="s">
        <v>192</v>
      </c>
      <c r="AI8" s="52">
        <v>0.44</v>
      </c>
      <c r="AJ8" s="49" t="s">
        <v>197</v>
      </c>
      <c r="AK8" s="56">
        <v>28500</v>
      </c>
    </row>
  </sheetData>
  <sortState xmlns:xlrd2="http://schemas.microsoft.com/office/spreadsheetml/2017/richdata2" ref="AJ3:AK60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4EFCA-B15E-41ED-A19B-085C3DB2BA5F}">
  <sheetPr codeName="Sheet4"/>
  <dimension ref="A1:R12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123</v>
      </c>
      <c r="C2" s="134"/>
      <c r="E2" s="26" t="s">
        <v>66</v>
      </c>
      <c r="F2" s="23" t="s">
        <v>22</v>
      </c>
      <c r="G2" s="11">
        <v>236</v>
      </c>
      <c r="H2" s="87">
        <f>IF(B$20=0,0,G2/B$20)</f>
        <v>0.8</v>
      </c>
      <c r="I2" s="57">
        <v>2</v>
      </c>
      <c r="K2" s="73">
        <v>0</v>
      </c>
      <c r="L2" s="118">
        <v>0</v>
      </c>
      <c r="M2" s="116">
        <v>1604.9485979299698</v>
      </c>
      <c r="O2" s="73" t="s">
        <v>128</v>
      </c>
      <c r="P2" s="79">
        <f t="shared" ref="P2:P7" si="0">IF(Q2=0,0,R2/Q2)</f>
        <v>-25</v>
      </c>
      <c r="Q2" s="76">
        <v>120</v>
      </c>
      <c r="R2" s="63">
        <v>-3000</v>
      </c>
    </row>
    <row r="3" spans="1:18" x14ac:dyDescent="0.4">
      <c r="A3" s="19" t="s">
        <v>8</v>
      </c>
      <c r="B3" s="135">
        <v>984</v>
      </c>
      <c r="C3" s="136"/>
      <c r="E3" s="27" t="s">
        <v>64</v>
      </c>
      <c r="F3" s="24" t="s">
        <v>20</v>
      </c>
      <c r="G3" s="12">
        <v>161</v>
      </c>
      <c r="H3" s="88">
        <f>IF(B$20=0,0,G3/B$20)</f>
        <v>0.54576271186440672</v>
      </c>
      <c r="I3" s="58">
        <v>2</v>
      </c>
      <c r="K3" s="74">
        <v>1</v>
      </c>
      <c r="L3" s="119">
        <v>50.6</v>
      </c>
      <c r="M3" s="117">
        <v>1613.4269063423899</v>
      </c>
      <c r="O3" s="74" t="s">
        <v>129</v>
      </c>
      <c r="P3" s="80">
        <f t="shared" si="0"/>
        <v>17.543859649122808</v>
      </c>
      <c r="Q3" s="77">
        <v>114</v>
      </c>
      <c r="R3" s="64">
        <v>2000</v>
      </c>
    </row>
    <row r="4" spans="1:18" x14ac:dyDescent="0.4">
      <c r="A4" s="19" t="s">
        <v>6</v>
      </c>
      <c r="B4" s="137">
        <v>-2.1316282072803006E-14</v>
      </c>
      <c r="C4" s="138"/>
      <c r="E4" s="27" t="s">
        <v>72</v>
      </c>
      <c r="F4" s="24" t="s">
        <v>27</v>
      </c>
      <c r="G4" s="12">
        <v>130</v>
      </c>
      <c r="H4" s="88">
        <f>IF(B$20=0,0,G4/B$20)</f>
        <v>0.44067796610169491</v>
      </c>
      <c r="I4" s="58">
        <v>5</v>
      </c>
      <c r="K4" s="74">
        <v>2</v>
      </c>
      <c r="L4" s="119">
        <v>46</v>
      </c>
      <c r="M4" s="117">
        <v>1611.9183449043355</v>
      </c>
      <c r="O4" s="74" t="s">
        <v>130</v>
      </c>
      <c r="P4" s="80">
        <f t="shared" si="0"/>
        <v>-9.2592592592592595</v>
      </c>
      <c r="Q4" s="77">
        <v>108</v>
      </c>
      <c r="R4" s="64">
        <v>-1000</v>
      </c>
    </row>
    <row r="5" spans="1:18" x14ac:dyDescent="0.4">
      <c r="A5" s="19" t="s">
        <v>7</v>
      </c>
      <c r="B5" s="125">
        <f>IF(B$2=0,0,B$4/B$2)</f>
        <v>-1.7330310628295127E-16</v>
      </c>
      <c r="C5" s="126"/>
      <c r="E5" s="27" t="s">
        <v>68</v>
      </c>
      <c r="F5" s="24" t="s">
        <v>12</v>
      </c>
      <c r="G5" s="12">
        <v>112</v>
      </c>
      <c r="H5" s="88">
        <f>IF(B$20=0,0,G5/B$20)</f>
        <v>0.37966101694915255</v>
      </c>
      <c r="I5" s="58">
        <v>2</v>
      </c>
      <c r="K5" s="74">
        <v>3</v>
      </c>
      <c r="L5" s="119">
        <v>0</v>
      </c>
      <c r="M5" s="117">
        <v>1602.9668348349096</v>
      </c>
      <c r="O5" s="74" t="s">
        <v>131</v>
      </c>
      <c r="P5" s="80">
        <f t="shared" si="0"/>
        <v>-9.5238095238095237</v>
      </c>
      <c r="Q5" s="77">
        <v>105</v>
      </c>
      <c r="R5" s="64">
        <v>-1000</v>
      </c>
    </row>
    <row r="6" spans="1:18" x14ac:dyDescent="0.4">
      <c r="A6" s="19" t="s">
        <v>195</v>
      </c>
      <c r="B6" s="129">
        <v>1608.642042822672</v>
      </c>
      <c r="C6" s="130"/>
      <c r="E6" s="27" t="s">
        <v>159</v>
      </c>
      <c r="F6" s="24" t="s">
        <v>160</v>
      </c>
      <c r="G6" s="12">
        <v>112</v>
      </c>
      <c r="H6" s="88">
        <f>IF(B$20=0,0,G6/B$20)</f>
        <v>0.37966101694915255</v>
      </c>
      <c r="I6" s="58">
        <v>4</v>
      </c>
      <c r="K6" s="74">
        <v>4</v>
      </c>
      <c r="L6" s="119">
        <v>3.7</v>
      </c>
      <c r="M6" s="117">
        <v>1603.6630338259001</v>
      </c>
      <c r="O6" s="74" t="s">
        <v>132</v>
      </c>
      <c r="P6" s="80">
        <f t="shared" si="0"/>
        <v>0</v>
      </c>
      <c r="Q6" s="77">
        <v>99</v>
      </c>
      <c r="R6" s="64">
        <v>0</v>
      </c>
    </row>
    <row r="7" spans="1:18" x14ac:dyDescent="0.4">
      <c r="A7" s="19" t="s">
        <v>1</v>
      </c>
      <c r="B7" s="139">
        <f>IF(B$2=0,0,(B$8*1+B$9*2+B$10*3)/B$2)</f>
        <v>1.975609756097561</v>
      </c>
      <c r="C7" s="140"/>
      <c r="E7" s="27" t="s">
        <v>67</v>
      </c>
      <c r="F7" s="24" t="s">
        <v>23</v>
      </c>
      <c r="G7" s="12">
        <v>60</v>
      </c>
      <c r="H7" s="88">
        <f>IF(B$20=0,0,G7/B$20)</f>
        <v>0.20338983050847459</v>
      </c>
      <c r="I7" s="58">
        <v>3</v>
      </c>
      <c r="K7" s="74">
        <v>5</v>
      </c>
      <c r="L7" s="119">
        <v>50.900000000000006</v>
      </c>
      <c r="M7" s="117">
        <v>1612.1850556229447</v>
      </c>
      <c r="O7" s="75" t="s">
        <v>133</v>
      </c>
      <c r="P7" s="81">
        <f t="shared" si="0"/>
        <v>22.988505747126435</v>
      </c>
      <c r="Q7" s="78">
        <v>87</v>
      </c>
      <c r="R7" s="65">
        <v>2000</v>
      </c>
    </row>
    <row r="8" spans="1:18" x14ac:dyDescent="0.4">
      <c r="A8" s="19" t="s">
        <v>2</v>
      </c>
      <c r="B8" s="12">
        <v>43</v>
      </c>
      <c r="C8" s="6">
        <f t="shared" ref="C8:C15" si="1">IF(B$2=0,0,B8/B$2)</f>
        <v>0.34959349593495936</v>
      </c>
      <c r="E8" s="27" t="s">
        <v>69</v>
      </c>
      <c r="F8" s="24" t="s">
        <v>24</v>
      </c>
      <c r="G8" s="12">
        <v>54</v>
      </c>
      <c r="H8" s="88">
        <f>IF(B$20=0,0,G8/B$20)</f>
        <v>0.18305084745762712</v>
      </c>
      <c r="I8" s="58">
        <v>3</v>
      </c>
      <c r="K8" s="74">
        <v>6</v>
      </c>
      <c r="L8" s="119">
        <v>7.1054273576010019E-15</v>
      </c>
      <c r="M8" s="117">
        <v>1602.9979452892071</v>
      </c>
      <c r="O8" s="107"/>
      <c r="P8" s="85"/>
      <c r="Q8" s="108"/>
      <c r="R8" s="70"/>
    </row>
    <row r="9" spans="1:18" x14ac:dyDescent="0.4">
      <c r="A9" s="19" t="s">
        <v>3</v>
      </c>
      <c r="B9" s="12">
        <v>40</v>
      </c>
      <c r="C9" s="6">
        <f t="shared" si="1"/>
        <v>0.32520325203252032</v>
      </c>
      <c r="E9" s="27" t="s">
        <v>65</v>
      </c>
      <c r="F9" s="24" t="s">
        <v>21</v>
      </c>
      <c r="G9" s="12">
        <v>41</v>
      </c>
      <c r="H9" s="88">
        <f>IF(B$20=0,0,G9/B$20)</f>
        <v>0.13898305084745763</v>
      </c>
      <c r="I9" s="58">
        <v>3</v>
      </c>
      <c r="K9" s="74">
        <v>7</v>
      </c>
      <c r="L9" s="119">
        <v>-5.2999999999999927</v>
      </c>
      <c r="M9" s="117">
        <v>1602.0739576174719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40</v>
      </c>
      <c r="C10" s="7">
        <f t="shared" si="1"/>
        <v>0.32520325203252032</v>
      </c>
      <c r="E10" s="27" t="s">
        <v>89</v>
      </c>
      <c r="F10" s="24" t="s">
        <v>44</v>
      </c>
      <c r="G10" s="12">
        <v>40</v>
      </c>
      <c r="H10" s="88">
        <f>IF(B$20=0,0,G10/B$20)</f>
        <v>0.13559322033898305</v>
      </c>
      <c r="I10" s="58">
        <v>3</v>
      </c>
      <c r="K10" s="74">
        <v>8</v>
      </c>
      <c r="L10" s="119">
        <v>16.500000000000007</v>
      </c>
      <c r="M10" s="117">
        <v>1606.0335138717671</v>
      </c>
      <c r="O10" s="73" t="s">
        <v>151</v>
      </c>
      <c r="P10" s="82">
        <f>IF(Q10=0,0,R10/Q10)</f>
        <v>8.0146341463414661</v>
      </c>
      <c r="Q10" s="76">
        <v>41</v>
      </c>
      <c r="R10" s="67">
        <v>328.60000000000008</v>
      </c>
    </row>
    <row r="11" spans="1:18" x14ac:dyDescent="0.4">
      <c r="A11" s="20" t="s">
        <v>184</v>
      </c>
      <c r="B11" s="109">
        <f>IF(B8=0,0,C11/B8)</f>
        <v>39.695348837209302</v>
      </c>
      <c r="C11" s="110">
        <v>1706.8999999999999</v>
      </c>
      <c r="E11" s="27" t="s">
        <v>70</v>
      </c>
      <c r="F11" s="24" t="s">
        <v>25</v>
      </c>
      <c r="G11" s="12">
        <v>31</v>
      </c>
      <c r="H11" s="88">
        <f>IF(B$20=0,0,G11/B$20)</f>
        <v>0.10508474576271186</v>
      </c>
      <c r="I11" s="58">
        <v>4</v>
      </c>
      <c r="K11" s="74">
        <v>9</v>
      </c>
      <c r="L11" s="119">
        <v>7.1054273576010019E-15</v>
      </c>
      <c r="M11" s="117">
        <v>1603.0753127885366</v>
      </c>
      <c r="O11" s="74" t="s">
        <v>152</v>
      </c>
      <c r="P11" s="83">
        <f>IF(Q11=0,0,R11/Q11)</f>
        <v>-7.1512195121951203</v>
      </c>
      <c r="Q11" s="77">
        <v>41</v>
      </c>
      <c r="R11" s="68">
        <v>-293.19999999999993</v>
      </c>
    </row>
    <row r="12" spans="1:18" x14ac:dyDescent="0.4">
      <c r="A12" s="20" t="s">
        <v>185</v>
      </c>
      <c r="B12" s="109">
        <f>IF(B9=0,0,C12/B9)</f>
        <v>-2.915</v>
      </c>
      <c r="C12" s="110">
        <v>-116.6</v>
      </c>
      <c r="E12" s="27" t="s">
        <v>71</v>
      </c>
      <c r="F12" s="24" t="s">
        <v>26</v>
      </c>
      <c r="G12" s="12">
        <v>17</v>
      </c>
      <c r="H12" s="88">
        <f>IF(B$20=0,0,G12/B$20)</f>
        <v>5.7627118644067797E-2</v>
      </c>
      <c r="I12" s="58">
        <v>3</v>
      </c>
      <c r="K12" s="74">
        <v>10</v>
      </c>
      <c r="L12" s="119">
        <v>18.000000000000007</v>
      </c>
      <c r="M12" s="117">
        <v>1606.4528609118054</v>
      </c>
      <c r="O12" s="75" t="s">
        <v>153</v>
      </c>
      <c r="P12" s="84">
        <f>IF(Q12=0,0,R12/Q12)</f>
        <v>-0.86341463414634179</v>
      </c>
      <c r="Q12" s="78">
        <v>41</v>
      </c>
      <c r="R12" s="69">
        <v>-35.400000000000013</v>
      </c>
    </row>
    <row r="13" spans="1:18" x14ac:dyDescent="0.4">
      <c r="A13" s="20" t="s">
        <v>186</v>
      </c>
      <c r="B13" s="109">
        <f>IF(B10=0,0,C13/B10)</f>
        <v>-39.757500000000007</v>
      </c>
      <c r="C13" s="110">
        <v>-1590.3000000000004</v>
      </c>
      <c r="E13" s="27" t="s">
        <v>86</v>
      </c>
      <c r="F13" s="24" t="s">
        <v>41</v>
      </c>
      <c r="G13" s="12">
        <v>17</v>
      </c>
      <c r="H13" s="88">
        <f>IF(B$20=0,0,G13/B$20)</f>
        <v>5.7627118644067797E-2</v>
      </c>
      <c r="I13" s="58">
        <v>4</v>
      </c>
      <c r="K13" s="74">
        <v>11</v>
      </c>
      <c r="L13" s="119">
        <v>21.600000000000009</v>
      </c>
      <c r="M13" s="117">
        <v>1607.2181437463346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-0.99238372093023486</v>
      </c>
      <c r="C14" s="126"/>
      <c r="E14" s="27" t="s">
        <v>81</v>
      </c>
      <c r="F14" s="24" t="s">
        <v>36</v>
      </c>
      <c r="G14" s="12">
        <v>12</v>
      </c>
      <c r="H14" s="88">
        <f>IF(B$20=0,0,G14/B$20)</f>
        <v>4.0677966101694912E-2</v>
      </c>
      <c r="I14" s="58">
        <v>3</v>
      </c>
      <c r="K14" s="74">
        <v>12</v>
      </c>
      <c r="L14" s="119">
        <v>7.1054273576010019E-15</v>
      </c>
      <c r="M14" s="117">
        <v>1603.4428348838567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12</v>
      </c>
      <c r="C15" s="9">
        <f t="shared" si="1"/>
        <v>9.7560975609756101E-2</v>
      </c>
      <c r="E15" s="27" t="s">
        <v>78</v>
      </c>
      <c r="F15" s="24" t="s">
        <v>33</v>
      </c>
      <c r="G15" s="12">
        <v>11</v>
      </c>
      <c r="H15" s="88">
        <f>IF(B$20=0,0,G15/B$20)</f>
        <v>3.7288135593220341E-2</v>
      </c>
      <c r="I15" s="58">
        <v>4</v>
      </c>
      <c r="K15" s="74">
        <v>13</v>
      </c>
      <c r="L15" s="119">
        <v>16.900000000000006</v>
      </c>
      <c r="M15" s="117">
        <v>1606.8361778745536</v>
      </c>
      <c r="O15" s="73" t="s">
        <v>197</v>
      </c>
      <c r="P15" s="82">
        <f>IF(Q15=0,0,R15/Q15)</f>
        <v>56.699999999999996</v>
      </c>
      <c r="Q15" s="76">
        <v>6</v>
      </c>
      <c r="R15" s="67">
        <v>340.2</v>
      </c>
    </row>
    <row r="16" spans="1:18" x14ac:dyDescent="0.4">
      <c r="A16" s="22" t="s">
        <v>121</v>
      </c>
      <c r="B16" s="15">
        <v>316</v>
      </c>
      <c r="C16" s="10">
        <f>IF(B$3=0,0,B16/B$3)</f>
        <v>0.32113821138211385</v>
      </c>
      <c r="E16" s="27" t="s">
        <v>83</v>
      </c>
      <c r="F16" s="24" t="s">
        <v>38</v>
      </c>
      <c r="G16" s="12">
        <v>10</v>
      </c>
      <c r="H16" s="88">
        <f>IF(B$20=0,0,G16/B$20)</f>
        <v>3.3898305084745763E-2</v>
      </c>
      <c r="I16" s="58">
        <v>3</v>
      </c>
      <c r="K16" s="74">
        <v>14</v>
      </c>
      <c r="L16" s="119">
        <v>18.100000000000005</v>
      </c>
      <c r="M16" s="117">
        <v>1607.3831608073062</v>
      </c>
      <c r="O16" s="74" t="s">
        <v>192</v>
      </c>
      <c r="P16" s="83">
        <f>IF(Q16=0,0,R16/Q16)</f>
        <v>13.206521739130437</v>
      </c>
      <c r="Q16" s="77">
        <v>46</v>
      </c>
      <c r="R16" s="68">
        <v>607.50000000000011</v>
      </c>
    </row>
    <row r="17" spans="1:18" x14ac:dyDescent="0.4">
      <c r="A17" s="19" t="s">
        <v>118</v>
      </c>
      <c r="B17" s="12">
        <v>167</v>
      </c>
      <c r="C17" s="6">
        <f>IF(B$3=0,0,B17/B$3)</f>
        <v>0.16971544715447154</v>
      </c>
      <c r="E17" s="27" t="s">
        <v>155</v>
      </c>
      <c r="F17" s="24" t="s">
        <v>156</v>
      </c>
      <c r="G17" s="12">
        <v>7</v>
      </c>
      <c r="H17" s="88">
        <f>IF(B$20=0,0,G17/B$20)</f>
        <v>2.3728813559322035E-2</v>
      </c>
      <c r="I17" s="58">
        <v>2</v>
      </c>
      <c r="K17" s="74">
        <v>15</v>
      </c>
      <c r="L17" s="119">
        <v>3.5527136788005009E-15</v>
      </c>
      <c r="M17" s="117">
        <v>1604.4528618424624</v>
      </c>
      <c r="O17" s="74" t="s">
        <v>194</v>
      </c>
      <c r="P17" s="83">
        <f>IF(Q17=0,0,R17/Q17)</f>
        <v>12.731999999999994</v>
      </c>
      <c r="Q17" s="77">
        <v>50</v>
      </c>
      <c r="R17" s="68">
        <v>636.59999999999968</v>
      </c>
    </row>
    <row r="18" spans="1:18" x14ac:dyDescent="0.4">
      <c r="A18" s="18" t="s">
        <v>123</v>
      </c>
      <c r="B18" s="11">
        <f>B24</f>
        <v>170</v>
      </c>
      <c r="C18" s="5">
        <f>IF(B$16=0,0,B18/B$16)</f>
        <v>0.53797468354430378</v>
      </c>
      <c r="E18" s="27" t="s">
        <v>91</v>
      </c>
      <c r="F18" s="24" t="s">
        <v>46</v>
      </c>
      <c r="G18" s="12">
        <v>3</v>
      </c>
      <c r="H18" s="88">
        <f>IF(B$20=0,0,G18/B$20)</f>
        <v>1.0169491525423728E-2</v>
      </c>
      <c r="I18" s="58">
        <v>3</v>
      </c>
      <c r="K18" s="74">
        <v>16</v>
      </c>
      <c r="L18" s="119">
        <v>76.5</v>
      </c>
      <c r="M18" s="117">
        <v>1618.5681446714077</v>
      </c>
      <c r="O18" s="74" t="s">
        <v>163</v>
      </c>
      <c r="P18" s="83">
        <f>IF(Q18=0,0,R18/Q18)</f>
        <v>-8.9661290322580598</v>
      </c>
      <c r="Q18" s="77">
        <v>62</v>
      </c>
      <c r="R18" s="68">
        <v>-555.89999999999975</v>
      </c>
    </row>
    <row r="19" spans="1:18" x14ac:dyDescent="0.4">
      <c r="A19" s="18" t="s">
        <v>124</v>
      </c>
      <c r="B19" s="11">
        <f>B25</f>
        <v>64</v>
      </c>
      <c r="C19" s="5">
        <f>IF(B$17=0,0,B19/B$17)</f>
        <v>0.38323353293413176</v>
      </c>
      <c r="E19" s="27" t="s">
        <v>88</v>
      </c>
      <c r="F19" s="24" t="s">
        <v>43</v>
      </c>
      <c r="G19" s="12">
        <v>2</v>
      </c>
      <c r="H19" s="88">
        <f>IF(B$20=0,0,G19/B$20)</f>
        <v>6.7796610169491523E-3</v>
      </c>
      <c r="I19" s="58">
        <v>2</v>
      </c>
      <c r="K19" s="74">
        <v>17</v>
      </c>
      <c r="L19" s="119">
        <v>46</v>
      </c>
      <c r="M19" s="117">
        <v>1613.3387358033792</v>
      </c>
      <c r="O19" s="74" t="s">
        <v>126</v>
      </c>
      <c r="P19" s="83">
        <f>IF(Q19=0,0,R19/Q19)</f>
        <v>-12.541463414634148</v>
      </c>
      <c r="Q19" s="77">
        <v>82</v>
      </c>
      <c r="R19" s="68">
        <v>-1028.4000000000001</v>
      </c>
    </row>
    <row r="20" spans="1:18" x14ac:dyDescent="0.4">
      <c r="A20" s="18" t="s">
        <v>10</v>
      </c>
      <c r="B20" s="11">
        <f>B23+B22</f>
        <v>295</v>
      </c>
      <c r="C20" s="5">
        <f>IF(B$3=0,0,B20/B$3)</f>
        <v>0.29979674796747968</v>
      </c>
      <c r="E20" s="27" t="s">
        <v>93</v>
      </c>
      <c r="F20" s="24" t="s">
        <v>48</v>
      </c>
      <c r="G20" s="12">
        <v>2</v>
      </c>
      <c r="H20" s="88">
        <f>IF(B$20=0,0,G20/B$20)</f>
        <v>6.7796610169491523E-3</v>
      </c>
      <c r="I20" s="58">
        <v>2</v>
      </c>
      <c r="K20" s="74">
        <v>18</v>
      </c>
      <c r="L20" s="119">
        <v>0</v>
      </c>
      <c r="M20" s="117">
        <v>1605.3507033885589</v>
      </c>
    </row>
    <row r="21" spans="1:18" x14ac:dyDescent="0.4">
      <c r="A21" s="19" t="s">
        <v>13</v>
      </c>
      <c r="B21" s="12">
        <v>150</v>
      </c>
      <c r="C21" s="6">
        <f>IF(B$3=0,0,B21/B$3)</f>
        <v>0.1524390243902439</v>
      </c>
      <c r="E21" s="27" t="s">
        <v>73</v>
      </c>
      <c r="F21" s="24" t="s">
        <v>28</v>
      </c>
      <c r="G21" s="12">
        <v>1</v>
      </c>
      <c r="H21" s="88">
        <f>IF(B$20=0,0,G21/B$20)</f>
        <v>3.3898305084745762E-3</v>
      </c>
      <c r="I21" s="58">
        <v>2</v>
      </c>
      <c r="K21" s="74">
        <v>19</v>
      </c>
      <c r="L21" s="119">
        <v>-51.2</v>
      </c>
      <c r="M21" s="117">
        <v>1596.4745991682275</v>
      </c>
    </row>
    <row r="22" spans="1:18" x14ac:dyDescent="0.4">
      <c r="A22" s="19" t="s">
        <v>12</v>
      </c>
      <c r="B22" s="12">
        <v>142</v>
      </c>
      <c r="C22" s="6">
        <f>IF(B$20=0,0,B22/B$20)</f>
        <v>0.48135593220338985</v>
      </c>
      <c r="E22" s="27" t="s">
        <v>74</v>
      </c>
      <c r="F22" s="24" t="s">
        <v>29</v>
      </c>
      <c r="G22" s="12">
        <v>1</v>
      </c>
      <c r="H22" s="88">
        <f>IF(B$20=0,0,G22/B$20)</f>
        <v>3.3898305084745762E-3</v>
      </c>
      <c r="I22" s="58">
        <v>2</v>
      </c>
      <c r="K22" s="74">
        <v>20</v>
      </c>
      <c r="L22" s="119">
        <v>-52.6</v>
      </c>
      <c r="M22" s="117">
        <v>1596.6157515732182</v>
      </c>
    </row>
    <row r="23" spans="1:18" x14ac:dyDescent="0.4">
      <c r="A23" s="19" t="s">
        <v>11</v>
      </c>
      <c r="B23" s="12">
        <v>153</v>
      </c>
      <c r="C23" s="6">
        <f>IF(B$20=0,0,B23/B$20)</f>
        <v>0.51864406779661021</v>
      </c>
      <c r="E23" s="27" t="s">
        <v>75</v>
      </c>
      <c r="F23" s="24" t="s">
        <v>30</v>
      </c>
      <c r="G23" s="12">
        <v>1</v>
      </c>
      <c r="H23" s="88">
        <f>IF(B$20=0,0,G23/B$20)</f>
        <v>3.3898305084745762E-3</v>
      </c>
      <c r="I23" s="58">
        <v>2</v>
      </c>
      <c r="K23" s="74">
        <v>21</v>
      </c>
      <c r="L23" s="119">
        <v>0</v>
      </c>
      <c r="M23" s="117">
        <v>1606.4760570637789</v>
      </c>
    </row>
    <row r="24" spans="1:18" x14ac:dyDescent="0.4">
      <c r="A24" s="19" t="s">
        <v>183</v>
      </c>
      <c r="B24" s="12">
        <v>170</v>
      </c>
      <c r="C24" s="6">
        <f>IF(B$20=0,0,B24/B$20)</f>
        <v>0.57627118644067798</v>
      </c>
      <c r="E24" s="27" t="s">
        <v>77</v>
      </c>
      <c r="F24" s="24" t="s">
        <v>32</v>
      </c>
      <c r="G24" s="12">
        <v>1</v>
      </c>
      <c r="H24" s="88">
        <f>IF(B$20=0,0,G24/B$20)</f>
        <v>3.3898305084745762E-3</v>
      </c>
      <c r="I24" s="58">
        <v>2</v>
      </c>
      <c r="K24" s="74">
        <v>22</v>
      </c>
      <c r="L24" s="119">
        <v>51.1</v>
      </c>
      <c r="M24" s="117">
        <v>1616.0072007213962</v>
      </c>
    </row>
    <row r="25" spans="1:18" x14ac:dyDescent="0.4">
      <c r="A25" s="19" t="s">
        <v>181</v>
      </c>
      <c r="B25" s="12">
        <v>64</v>
      </c>
      <c r="C25" s="6">
        <f>IF(B$20=0,0,B25/B$20)</f>
        <v>0.21694915254237288</v>
      </c>
      <c r="E25" s="27" t="s">
        <v>79</v>
      </c>
      <c r="F25" s="24" t="s">
        <v>34</v>
      </c>
      <c r="G25" s="12">
        <v>1</v>
      </c>
      <c r="H25" s="88">
        <f>IF(B$20=0,0,G25/B$20)</f>
        <v>3.3898305084745762E-3</v>
      </c>
      <c r="I25" s="58">
        <v>2</v>
      </c>
      <c r="K25" s="74">
        <v>23</v>
      </c>
      <c r="L25" s="119">
        <v>38.299999999999997</v>
      </c>
      <c r="M25" s="117">
        <v>1613.9791575170677</v>
      </c>
    </row>
    <row r="26" spans="1:18" x14ac:dyDescent="0.4">
      <c r="A26" s="19" t="s">
        <v>182</v>
      </c>
      <c r="B26" s="12">
        <v>61</v>
      </c>
      <c r="C26" s="6">
        <f>IF(B$20=0,0,B26/B$20)</f>
        <v>0.20677966101694914</v>
      </c>
      <c r="E26" s="27" t="s">
        <v>90</v>
      </c>
      <c r="F26" s="24" t="s">
        <v>45</v>
      </c>
      <c r="G26" s="12">
        <v>1</v>
      </c>
      <c r="H26" s="88">
        <f>IF(B$20=0,0,G26/B$20)</f>
        <v>3.3898305084745762E-3</v>
      </c>
      <c r="I26" s="58">
        <v>2</v>
      </c>
      <c r="K26" s="74">
        <v>24</v>
      </c>
      <c r="L26" s="119">
        <v>0</v>
      </c>
      <c r="M26" s="117">
        <v>1607.3732825719653</v>
      </c>
    </row>
    <row r="27" spans="1:18" x14ac:dyDescent="0.4">
      <c r="A27" s="19" t="s">
        <v>5</v>
      </c>
      <c r="B27" s="16">
        <f>IF(B$20=0,0,C27/B$20)</f>
        <v>8910.5084745762706</v>
      </c>
      <c r="C27" s="8">
        <v>2628600</v>
      </c>
      <c r="E27" s="27" t="s">
        <v>92</v>
      </c>
      <c r="F27" s="24" t="s">
        <v>47</v>
      </c>
      <c r="G27" s="12">
        <v>1</v>
      </c>
      <c r="H27" s="88">
        <f>IF(B$20=0,0,G27/B$20)</f>
        <v>3.3898305084745762E-3</v>
      </c>
      <c r="I27" s="58">
        <v>2</v>
      </c>
      <c r="K27" s="74">
        <v>25</v>
      </c>
      <c r="L27" s="119">
        <v>-21.2</v>
      </c>
      <c r="M27" s="117">
        <v>1603.8850428765336</v>
      </c>
    </row>
    <row r="28" spans="1:18" x14ac:dyDescent="0.4">
      <c r="A28" s="20" t="s">
        <v>165</v>
      </c>
      <c r="B28" s="95">
        <f>IF($B$20-B$19=0,0,C28/($B$20-B$19))</f>
        <v>9473.5930735930742</v>
      </c>
      <c r="C28" s="96">
        <v>2188400</v>
      </c>
      <c r="E28" s="27" t="s">
        <v>94</v>
      </c>
      <c r="F28" s="24" t="s">
        <v>49</v>
      </c>
      <c r="G28" s="12">
        <v>1</v>
      </c>
      <c r="H28" s="88">
        <f>IF(B$20=0,0,G28/B$20)</f>
        <v>3.3898305084745762E-3</v>
      </c>
      <c r="I28" s="58">
        <v>2</v>
      </c>
      <c r="K28" s="74">
        <v>26</v>
      </c>
      <c r="L28" s="119">
        <v>-28.299999999999997</v>
      </c>
      <c r="M28" s="117">
        <v>1602.9557326192744</v>
      </c>
    </row>
    <row r="29" spans="1:18" x14ac:dyDescent="0.4">
      <c r="A29" s="20" t="s">
        <v>166</v>
      </c>
      <c r="B29" s="95">
        <f>IF(B$19=0,0,C29/B$19)</f>
        <v>6878.125</v>
      </c>
      <c r="C29" s="96">
        <v>440200</v>
      </c>
      <c r="E29" s="27" t="s">
        <v>98</v>
      </c>
      <c r="F29" s="24" t="s">
        <v>53</v>
      </c>
      <c r="G29" s="12">
        <v>1</v>
      </c>
      <c r="H29" s="88">
        <f>IF(B$20=0,0,G29/B$20)</f>
        <v>3.3898305084745762E-3</v>
      </c>
      <c r="I29" s="58">
        <v>2</v>
      </c>
      <c r="K29" s="74">
        <v>27</v>
      </c>
      <c r="L29" s="119">
        <v>3.5527136788005009E-15</v>
      </c>
      <c r="M29" s="117">
        <v>1608.4039982235588</v>
      </c>
    </row>
    <row r="30" spans="1:18" x14ac:dyDescent="0.4">
      <c r="A30" s="20" t="s">
        <v>164</v>
      </c>
      <c r="B30" s="95">
        <f>IF(B$21=0,0,C30/B$21)</f>
        <v>-8460</v>
      </c>
      <c r="C30" s="96">
        <v>-1269000</v>
      </c>
      <c r="E30" s="27" t="s">
        <v>106</v>
      </c>
      <c r="F30" s="24" t="s">
        <v>113</v>
      </c>
      <c r="G30" s="12">
        <v>1</v>
      </c>
      <c r="H30" s="88">
        <f>IF(B$20=0,0,G30/B$20)</f>
        <v>3.3898305084745762E-3</v>
      </c>
      <c r="I30" s="58">
        <v>2</v>
      </c>
      <c r="K30" s="74">
        <v>28</v>
      </c>
      <c r="L30" s="119">
        <v>-24.299999999999997</v>
      </c>
      <c r="M30" s="117">
        <v>1604.1235742342174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76</v>
      </c>
      <c r="F31" s="24" t="s">
        <v>31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4.6000000000000014</v>
      </c>
      <c r="M31" s="117">
        <v>1609.4448327888122</v>
      </c>
    </row>
    <row r="32" spans="1:18" x14ac:dyDescent="0.4">
      <c r="A32" s="19" t="s">
        <v>158</v>
      </c>
      <c r="B32" s="12">
        <v>41</v>
      </c>
      <c r="C32" s="90">
        <v>2</v>
      </c>
      <c r="E32" s="27" t="s">
        <v>80</v>
      </c>
      <c r="F32" s="24" t="s">
        <v>35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1.7763568394002505E-15</v>
      </c>
      <c r="M32" s="117">
        <v>1608.7041637920793</v>
      </c>
    </row>
    <row r="33" spans="1:13" x14ac:dyDescent="0.4">
      <c r="A33" s="54" t="s">
        <v>136</v>
      </c>
      <c r="B33" s="127">
        <v>7</v>
      </c>
      <c r="C33" s="128"/>
      <c r="E33" s="27" t="s">
        <v>82</v>
      </c>
      <c r="F33" s="24" t="s">
        <v>37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20</v>
      </c>
      <c r="M33" s="117">
        <v>1612.1499388093268</v>
      </c>
    </row>
    <row r="34" spans="1:13" x14ac:dyDescent="0.4">
      <c r="A34" s="22" t="s">
        <v>180</v>
      </c>
      <c r="B34" s="129">
        <v>101500</v>
      </c>
      <c r="C34" s="130"/>
      <c r="E34" s="27" t="s">
        <v>84</v>
      </c>
      <c r="F34" s="24" t="s">
        <v>39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19.399999999999999</v>
      </c>
      <c r="M34" s="117">
        <v>1611.8670391764708</v>
      </c>
    </row>
    <row r="35" spans="1:13" x14ac:dyDescent="0.4">
      <c r="A35" s="21" t="s">
        <v>137</v>
      </c>
      <c r="B35" s="29">
        <v>2</v>
      </c>
      <c r="C35" s="9">
        <f>IF(B$3=0,0,B35/B$3)</f>
        <v>2.0325203252032522E-3</v>
      </c>
      <c r="E35" s="27" t="s">
        <v>85</v>
      </c>
      <c r="F35" s="24" t="s">
        <v>40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0</v>
      </c>
      <c r="M35" s="117">
        <v>1608.201836941412</v>
      </c>
    </row>
    <row r="36" spans="1:13" x14ac:dyDescent="0.4">
      <c r="E36" s="27" t="s">
        <v>87</v>
      </c>
      <c r="F36" s="24" t="s">
        <v>42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-18.600000000000001</v>
      </c>
      <c r="M36" s="117">
        <v>1604.7026259197635</v>
      </c>
    </row>
    <row r="37" spans="1:13" x14ac:dyDescent="0.4">
      <c r="A37" s="54" t="s">
        <v>171</v>
      </c>
      <c r="B37" s="123">
        <v>20</v>
      </c>
      <c r="C37" s="98">
        <f t="shared" ref="C37:C49" si="2">IF(B$20=0,0,B37/B$20)</f>
        <v>6.7796610169491525E-2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-57.800000000000004</v>
      </c>
      <c r="M37" s="117">
        <v>1597.5164101642449</v>
      </c>
    </row>
    <row r="38" spans="1:13" x14ac:dyDescent="0.4">
      <c r="A38" s="19" t="s">
        <v>167</v>
      </c>
      <c r="B38" s="12">
        <v>39</v>
      </c>
      <c r="C38" s="6">
        <f t="shared" si="2"/>
        <v>0.13220338983050847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-7.1054273576010019E-15</v>
      </c>
      <c r="M38" s="117">
        <v>1607.8333117032594</v>
      </c>
    </row>
    <row r="39" spans="1:13" x14ac:dyDescent="0.4">
      <c r="A39" s="19" t="s">
        <v>168</v>
      </c>
      <c r="B39" s="124">
        <v>52</v>
      </c>
      <c r="C39" s="6">
        <f t="shared" si="2"/>
        <v>0.17627118644067796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-22.600000000000009</v>
      </c>
      <c r="M39" s="117">
        <v>1603.6163118330398</v>
      </c>
    </row>
    <row r="40" spans="1:13" x14ac:dyDescent="0.4">
      <c r="A40" s="19" t="s">
        <v>169</v>
      </c>
      <c r="B40" s="124">
        <v>67</v>
      </c>
      <c r="C40" s="6">
        <f t="shared" si="2"/>
        <v>0.22711864406779661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-20.20000000000001</v>
      </c>
      <c r="M40" s="117">
        <v>1603.9246139620416</v>
      </c>
    </row>
    <row r="41" spans="1:13" x14ac:dyDescent="0.4">
      <c r="A41" s="19" t="s">
        <v>170</v>
      </c>
      <c r="B41" s="124">
        <v>47</v>
      </c>
      <c r="C41" s="6">
        <f t="shared" si="2"/>
        <v>0.15932203389830507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-1.0658141036401503E-14</v>
      </c>
      <c r="M41" s="117">
        <v>1607.4350662782692</v>
      </c>
    </row>
    <row r="42" spans="1:13" x14ac:dyDescent="0.4">
      <c r="A42" s="19" t="s">
        <v>172</v>
      </c>
      <c r="B42" s="124">
        <v>35</v>
      </c>
      <c r="C42" s="6">
        <f t="shared" si="2"/>
        <v>0.11864406779661017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-40.800000000000011</v>
      </c>
      <c r="M42" s="117">
        <v>1599.9444558805997</v>
      </c>
    </row>
    <row r="43" spans="1:13" x14ac:dyDescent="0.4">
      <c r="A43" s="19" t="s">
        <v>173</v>
      </c>
      <c r="B43" s="124">
        <v>12</v>
      </c>
      <c r="C43" s="6">
        <f t="shared" si="2"/>
        <v>4.0677966101694912E-2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-43.300000000000011</v>
      </c>
      <c r="M43" s="117">
        <v>1599.3927891453161</v>
      </c>
    </row>
    <row r="44" spans="1:13" x14ac:dyDescent="0.4">
      <c r="A44" s="19" t="s">
        <v>174</v>
      </c>
      <c r="B44" s="124">
        <v>6</v>
      </c>
      <c r="C44" s="6">
        <f t="shared" si="2"/>
        <v>2.0338983050847456E-2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-1.4210854715202004E-14</v>
      </c>
      <c r="M44" s="117">
        <v>1607.0884324104443</v>
      </c>
    </row>
    <row r="45" spans="1:13" x14ac:dyDescent="0.4">
      <c r="A45" s="19" t="s">
        <v>175</v>
      </c>
      <c r="B45" s="124">
        <v>8</v>
      </c>
      <c r="C45" s="6">
        <f t="shared" si="2"/>
        <v>2.7118644067796609E-2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-47.500000000000014</v>
      </c>
      <c r="M45" s="117">
        <v>1598.3939018159815</v>
      </c>
    </row>
    <row r="46" spans="1:13" x14ac:dyDescent="0.4">
      <c r="A46" s="19" t="s">
        <v>176</v>
      </c>
      <c r="B46" s="124">
        <v>2</v>
      </c>
      <c r="C46" s="6">
        <f t="shared" si="2"/>
        <v>6.7796610169491523E-3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-56.800000000000011</v>
      </c>
      <c r="M46" s="117">
        <v>1596.6275384050857</v>
      </c>
    </row>
    <row r="47" spans="1:13" x14ac:dyDescent="0.4">
      <c r="A47" s="19" t="s">
        <v>177</v>
      </c>
      <c r="B47" s="124">
        <v>1</v>
      </c>
      <c r="C47" s="6">
        <f t="shared" si="2"/>
        <v>3.3898305084745762E-3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-1.4210854715202004E-14</v>
      </c>
      <c r="M47" s="117">
        <v>1606.7697731746553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57.599999999999987</v>
      </c>
      <c r="M48" s="117">
        <v>1616.9951545356073</v>
      </c>
    </row>
    <row r="49" spans="1:13" x14ac:dyDescent="0.4">
      <c r="A49" s="21" t="s">
        <v>179</v>
      </c>
      <c r="B49" s="97">
        <v>6</v>
      </c>
      <c r="C49" s="9">
        <f t="shared" si="2"/>
        <v>2.0338983050847456E-2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11.599999999999987</v>
      </c>
      <c r="M49" s="117">
        <v>1608.5111836083936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-1.2434497875801753E-14</v>
      </c>
      <c r="M50" s="117">
        <v>1606.2701165067433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-27.600000000000016</v>
      </c>
      <c r="M51" s="117">
        <v>1601.162495807703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-1.6000000000000156</v>
      </c>
      <c r="M52" s="117">
        <v>1605.7335208328568</v>
      </c>
    </row>
    <row r="53" spans="1:13" x14ac:dyDescent="0.4">
      <c r="K53" s="74">
        <v>51</v>
      </c>
      <c r="L53" s="119">
        <v>-1.5543122344752192E-14</v>
      </c>
      <c r="M53" s="117">
        <v>1605.8851197078598</v>
      </c>
    </row>
    <row r="54" spans="1:13" x14ac:dyDescent="0.4">
      <c r="K54" s="74">
        <v>52</v>
      </c>
      <c r="L54" s="119">
        <v>-28.600000000000016</v>
      </c>
      <c r="M54" s="117">
        <v>1600.5998089896127</v>
      </c>
    </row>
    <row r="55" spans="1:13" x14ac:dyDescent="0.4">
      <c r="K55" s="74">
        <v>53</v>
      </c>
      <c r="L55" s="119">
        <v>14.799999999999983</v>
      </c>
      <c r="M55" s="117">
        <v>1608.306210135675</v>
      </c>
    </row>
    <row r="56" spans="1:13" x14ac:dyDescent="0.4">
      <c r="K56" s="74">
        <v>54</v>
      </c>
      <c r="L56" s="119">
        <v>-1.7763568394002505E-14</v>
      </c>
      <c r="M56" s="117">
        <v>1605.4903728748609</v>
      </c>
    </row>
    <row r="57" spans="1:13" x14ac:dyDescent="0.4">
      <c r="K57" s="74">
        <v>55</v>
      </c>
      <c r="L57" s="119">
        <v>10.299999999999983</v>
      </c>
      <c r="M57" s="117">
        <v>1607.2094306376118</v>
      </c>
    </row>
    <row r="58" spans="1:13" x14ac:dyDescent="0.4">
      <c r="K58" s="74">
        <v>56</v>
      </c>
      <c r="L58" s="119">
        <v>-22.40000000000002</v>
      </c>
      <c r="M58" s="117">
        <v>1601.1781740537861</v>
      </c>
    </row>
    <row r="59" spans="1:13" x14ac:dyDescent="0.4">
      <c r="K59" s="74">
        <v>57</v>
      </c>
      <c r="L59" s="119">
        <v>-2.1316282072803006E-14</v>
      </c>
      <c r="M59" s="117">
        <v>1605.1011050094633</v>
      </c>
    </row>
    <row r="60" spans="1:13" x14ac:dyDescent="0.4">
      <c r="K60" s="74">
        <v>58</v>
      </c>
      <c r="L60" s="119">
        <v>-1.2000000000000213</v>
      </c>
      <c r="M60" s="117">
        <v>1605.2444983794064</v>
      </c>
    </row>
    <row r="61" spans="1:13" x14ac:dyDescent="0.4">
      <c r="K61" s="74">
        <v>59</v>
      </c>
      <c r="L61" s="119">
        <v>22.799999999999979</v>
      </c>
      <c r="M61" s="117">
        <v>1609.9230313891301</v>
      </c>
    </row>
    <row r="62" spans="1:13" x14ac:dyDescent="0.4">
      <c r="K62" s="74">
        <v>60</v>
      </c>
      <c r="L62" s="119">
        <v>-2.1316282072803006E-14</v>
      </c>
      <c r="M62" s="117">
        <v>1606.1494932007954</v>
      </c>
    </row>
    <row r="63" spans="1:13" x14ac:dyDescent="0.4">
      <c r="K63" s="74">
        <v>61</v>
      </c>
      <c r="L63" s="119">
        <v>37.199999999999982</v>
      </c>
      <c r="M63" s="117">
        <v>1613.1985962415906</v>
      </c>
    </row>
    <row r="64" spans="1:13" x14ac:dyDescent="0.4">
      <c r="K64" s="74">
        <v>62</v>
      </c>
      <c r="L64" s="119">
        <v>-3.2000000000000171</v>
      </c>
      <c r="M64" s="117">
        <v>1606.237404664141</v>
      </c>
    </row>
    <row r="65" spans="11:13" x14ac:dyDescent="0.4">
      <c r="K65" s="74">
        <v>63</v>
      </c>
      <c r="L65" s="119">
        <v>-1.6875389974302379E-14</v>
      </c>
      <c r="M65" s="117">
        <v>1607.1659802361562</v>
      </c>
    </row>
    <row r="66" spans="11:13" x14ac:dyDescent="0.4">
      <c r="K66" s="74">
        <v>64</v>
      </c>
      <c r="L66" s="119">
        <v>-2.2000000000000171</v>
      </c>
      <c r="M66" s="117">
        <v>1607.1169843547393</v>
      </c>
    </row>
    <row r="67" spans="11:13" x14ac:dyDescent="0.4">
      <c r="K67" s="74">
        <v>65</v>
      </c>
      <c r="L67" s="119">
        <v>-51.800000000000018</v>
      </c>
      <c r="M67" s="117">
        <v>1598.5362824486108</v>
      </c>
    </row>
    <row r="68" spans="11:13" x14ac:dyDescent="0.4">
      <c r="K68" s="74">
        <v>66</v>
      </c>
      <c r="L68" s="119">
        <v>-2.1316282072803006E-14</v>
      </c>
      <c r="M68" s="117">
        <v>1608.2590647539191</v>
      </c>
    </row>
    <row r="69" spans="11:13" x14ac:dyDescent="0.4">
      <c r="K69" s="74">
        <v>67</v>
      </c>
      <c r="L69" s="119">
        <v>11.699999999999978</v>
      </c>
      <c r="M69" s="117">
        <v>1610.7055103653956</v>
      </c>
    </row>
    <row r="70" spans="11:13" x14ac:dyDescent="0.4">
      <c r="K70" s="74">
        <v>68</v>
      </c>
      <c r="L70" s="119">
        <v>-46.40000000000002</v>
      </c>
      <c r="M70" s="117">
        <v>1600.5732773032032</v>
      </c>
    </row>
    <row r="71" spans="11:13" x14ac:dyDescent="0.4">
      <c r="K71" s="74">
        <v>69</v>
      </c>
      <c r="L71" s="119">
        <v>-2.1316282072803006E-14</v>
      </c>
      <c r="M71" s="117">
        <v>1609.3118376393841</v>
      </c>
    </row>
    <row r="72" spans="11:13" x14ac:dyDescent="0.4">
      <c r="K72" s="74">
        <v>70</v>
      </c>
      <c r="L72" s="119">
        <v>-0.70000000000002127</v>
      </c>
      <c r="M72" s="117">
        <v>1609.5199666135477</v>
      </c>
    </row>
    <row r="73" spans="11:13" x14ac:dyDescent="0.4">
      <c r="K73" s="74">
        <v>71</v>
      </c>
      <c r="L73" s="119">
        <v>-31.700000000000021</v>
      </c>
      <c r="M73" s="117">
        <v>1604.2728468138664</v>
      </c>
    </row>
    <row r="74" spans="11:13" x14ac:dyDescent="0.4">
      <c r="K74" s="74">
        <v>72</v>
      </c>
      <c r="L74" s="119">
        <v>-2.1316282072803006E-14</v>
      </c>
      <c r="M74" s="117">
        <v>1610.3432097329833</v>
      </c>
    </row>
    <row r="75" spans="11:13" x14ac:dyDescent="0.4">
      <c r="K75" s="74">
        <v>73</v>
      </c>
      <c r="L75" s="119">
        <v>-2.1316282072803006E-14</v>
      </c>
      <c r="M75" s="117">
        <v>1610.6711504745854</v>
      </c>
    </row>
    <row r="76" spans="11:13" x14ac:dyDescent="0.4">
      <c r="K76" s="74">
        <v>74</v>
      </c>
      <c r="L76" s="119">
        <v>-2.1316282072803006E-14</v>
      </c>
      <c r="M76" s="117">
        <v>1610.9971235717378</v>
      </c>
    </row>
    <row r="77" spans="11:13" x14ac:dyDescent="0.4">
      <c r="K77" s="74">
        <v>75</v>
      </c>
      <c r="L77" s="119">
        <v>-2.1316282072803006E-14</v>
      </c>
      <c r="M77" s="117">
        <v>1611.3211408303073</v>
      </c>
    </row>
    <row r="78" spans="11:13" x14ac:dyDescent="0.4">
      <c r="K78" s="74">
        <v>76</v>
      </c>
      <c r="L78" s="119">
        <v>-48.800000000000018</v>
      </c>
      <c r="M78" s="117">
        <v>1602.8592139853254</v>
      </c>
    </row>
    <row r="79" spans="11:13" x14ac:dyDescent="0.4">
      <c r="K79" s="74">
        <v>77</v>
      </c>
      <c r="L79" s="119">
        <v>-71.000000000000014</v>
      </c>
      <c r="M79" s="117">
        <v>1599.2360587014134</v>
      </c>
    </row>
    <row r="80" spans="11:13" x14ac:dyDescent="0.4">
      <c r="K80" s="74">
        <v>78</v>
      </c>
      <c r="L80" s="119">
        <v>-1.4210854715202004E-14</v>
      </c>
      <c r="M80" s="117">
        <v>1612.4106423492049</v>
      </c>
    </row>
    <row r="81" spans="11:13" x14ac:dyDescent="0.4">
      <c r="K81" s="74">
        <v>79</v>
      </c>
      <c r="L81" s="119">
        <v>24.299999999999986</v>
      </c>
      <c r="M81" s="117">
        <v>1616.6861784951097</v>
      </c>
    </row>
    <row r="82" spans="11:13" x14ac:dyDescent="0.4">
      <c r="K82" s="74">
        <v>80</v>
      </c>
      <c r="L82" s="119">
        <v>23.099999999999987</v>
      </c>
      <c r="M82" s="117">
        <v>1616.3460614241392</v>
      </c>
    </row>
    <row r="83" spans="11:13" x14ac:dyDescent="0.4">
      <c r="K83" s="74">
        <v>81</v>
      </c>
      <c r="L83" s="119">
        <v>-1.4210854715202004E-14</v>
      </c>
      <c r="M83" s="117">
        <v>1612.0659850555944</v>
      </c>
    </row>
    <row r="84" spans="11:13" x14ac:dyDescent="0.4">
      <c r="K84" s="74">
        <v>82</v>
      </c>
      <c r="L84" s="119">
        <v>-35.500000000000014</v>
      </c>
      <c r="M84" s="117">
        <v>1605.5855891452609</v>
      </c>
    </row>
    <row r="85" spans="11:13" x14ac:dyDescent="0.4">
      <c r="K85" s="74">
        <v>83</v>
      </c>
      <c r="L85" s="119">
        <v>-29.700000000000014</v>
      </c>
      <c r="M85" s="117">
        <v>1606.5780756103893</v>
      </c>
    </row>
    <row r="86" spans="11:13" x14ac:dyDescent="0.4">
      <c r="K86" s="74">
        <v>84</v>
      </c>
      <c r="L86" s="119">
        <v>-1.4210854715202004E-14</v>
      </c>
      <c r="M86" s="117">
        <v>1611.866607156727</v>
      </c>
    </row>
    <row r="87" spans="11:13" x14ac:dyDescent="0.4">
      <c r="K87" s="74">
        <v>85</v>
      </c>
      <c r="L87" s="119">
        <v>-42.100000000000016</v>
      </c>
      <c r="M87" s="117">
        <v>1604.1934075137867</v>
      </c>
    </row>
    <row r="88" spans="11:13" x14ac:dyDescent="0.4">
      <c r="K88" s="74">
        <v>86</v>
      </c>
      <c r="L88" s="119">
        <v>-9.2000000000000171</v>
      </c>
      <c r="M88" s="117">
        <v>1610.0662470687041</v>
      </c>
    </row>
    <row r="89" spans="11:13" x14ac:dyDescent="0.4">
      <c r="K89" s="74">
        <v>87</v>
      </c>
      <c r="L89" s="119">
        <v>-1.7763568394002505E-14</v>
      </c>
      <c r="M89" s="117">
        <v>1611.6378495862918</v>
      </c>
    </row>
    <row r="90" spans="11:13" x14ac:dyDescent="0.4">
      <c r="K90" s="74">
        <v>88</v>
      </c>
      <c r="L90" s="119">
        <v>45.299999999999983</v>
      </c>
      <c r="M90" s="117">
        <v>1619.7040224887742</v>
      </c>
    </row>
    <row r="91" spans="11:13" x14ac:dyDescent="0.4">
      <c r="K91" s="74">
        <v>89</v>
      </c>
      <c r="L91" s="119">
        <v>51.199999999999982</v>
      </c>
      <c r="M91" s="117">
        <v>1620.6297983538416</v>
      </c>
    </row>
    <row r="92" spans="11:13" x14ac:dyDescent="0.4">
      <c r="K92" s="74">
        <v>90</v>
      </c>
      <c r="L92" s="119">
        <v>-2.1316282072803006E-14</v>
      </c>
      <c r="M92" s="117">
        <v>1611.2720195637185</v>
      </c>
    </row>
    <row r="93" spans="11:13" x14ac:dyDescent="0.4">
      <c r="K93" s="74">
        <v>91</v>
      </c>
      <c r="L93" s="119">
        <v>0.49999999999997868</v>
      </c>
      <c r="M93" s="117">
        <v>1611.2703874463361</v>
      </c>
    </row>
    <row r="94" spans="11:13" x14ac:dyDescent="0.4">
      <c r="K94" s="74">
        <v>92</v>
      </c>
      <c r="L94" s="119">
        <v>-26.90000000000002</v>
      </c>
      <c r="M94" s="117">
        <v>1606.2467651216582</v>
      </c>
    </row>
    <row r="95" spans="11:13" x14ac:dyDescent="0.4">
      <c r="K95" s="74">
        <v>93</v>
      </c>
      <c r="L95" s="119">
        <v>-2.1316282072803006E-14</v>
      </c>
      <c r="M95" s="117">
        <v>1611.0272845309282</v>
      </c>
    </row>
    <row r="96" spans="11:13" x14ac:dyDescent="0.4">
      <c r="K96" s="74">
        <v>94</v>
      </c>
      <c r="L96" s="119">
        <v>-20.300000000000022</v>
      </c>
      <c r="M96" s="117">
        <v>1607.2891208237427</v>
      </c>
    </row>
    <row r="97" spans="11:13" x14ac:dyDescent="0.4">
      <c r="K97" s="74">
        <v>95</v>
      </c>
      <c r="L97" s="119">
        <v>53.199999999999974</v>
      </c>
      <c r="M97" s="117">
        <v>1620.4573860988003</v>
      </c>
    </row>
    <row r="98" spans="11:13" x14ac:dyDescent="0.4">
      <c r="K98" s="74">
        <v>96</v>
      </c>
      <c r="L98" s="119">
        <v>-2.8421709430404007E-14</v>
      </c>
      <c r="M98" s="117">
        <v>1610.7406417822074</v>
      </c>
    </row>
    <row r="99" spans="11:13" x14ac:dyDescent="0.4">
      <c r="K99" s="74">
        <v>97</v>
      </c>
      <c r="L99" s="119">
        <v>-60.500000000000028</v>
      </c>
      <c r="M99" s="117">
        <v>1599.762197931514</v>
      </c>
    </row>
    <row r="100" spans="11:13" x14ac:dyDescent="0.4">
      <c r="K100" s="74">
        <v>98</v>
      </c>
      <c r="L100" s="119">
        <v>-60.300000000000026</v>
      </c>
      <c r="M100" s="117">
        <v>1599.7756247439249</v>
      </c>
    </row>
    <row r="101" spans="11:13" x14ac:dyDescent="0.4">
      <c r="K101" s="74">
        <v>99</v>
      </c>
      <c r="L101" s="119">
        <v>-2.8421709430404007E-14</v>
      </c>
      <c r="M101" s="117">
        <v>1610.6069709954613</v>
      </c>
    </row>
    <row r="102" spans="11:13" x14ac:dyDescent="0.4">
      <c r="K102" s="74">
        <v>100</v>
      </c>
      <c r="L102" s="119">
        <v>-68.000000000000028</v>
      </c>
      <c r="M102" s="117">
        <v>1598.2853291694885</v>
      </c>
    </row>
    <row r="103" spans="11:13" x14ac:dyDescent="0.4">
      <c r="K103" s="74">
        <v>101</v>
      </c>
      <c r="L103" s="119">
        <v>-2.8421709430404007E-14</v>
      </c>
      <c r="M103" s="117">
        <v>1610.5176171944715</v>
      </c>
    </row>
    <row r="104" spans="11:13" x14ac:dyDescent="0.4">
      <c r="K104" s="74">
        <v>102</v>
      </c>
      <c r="L104" s="119">
        <v>-2.8421709430404007E-14</v>
      </c>
      <c r="M104" s="117">
        <v>1610.4365114913046</v>
      </c>
    </row>
    <row r="105" spans="11:13" x14ac:dyDescent="0.4">
      <c r="K105" s="74">
        <v>103</v>
      </c>
      <c r="L105" s="119">
        <v>42.199999999999974</v>
      </c>
      <c r="M105" s="117">
        <v>1617.9458924223568</v>
      </c>
    </row>
    <row r="106" spans="11:13" x14ac:dyDescent="0.4">
      <c r="K106" s="74">
        <v>104</v>
      </c>
      <c r="L106" s="119">
        <v>-12.300000000000026</v>
      </c>
      <c r="M106" s="117">
        <v>1608.0042170678225</v>
      </c>
    </row>
    <row r="107" spans="11:13" x14ac:dyDescent="0.4">
      <c r="K107" s="74">
        <v>105</v>
      </c>
      <c r="L107" s="119">
        <v>-2.4868995751603507E-14</v>
      </c>
      <c r="M107" s="117">
        <v>1610.1461917654156</v>
      </c>
    </row>
    <row r="108" spans="11:13" x14ac:dyDescent="0.4">
      <c r="K108" s="74">
        <v>106</v>
      </c>
      <c r="L108" s="119">
        <v>16.199999999999974</v>
      </c>
      <c r="M108" s="117">
        <v>1612.9773146148232</v>
      </c>
    </row>
    <row r="109" spans="11:13" x14ac:dyDescent="0.4">
      <c r="K109" s="74">
        <v>107</v>
      </c>
      <c r="L109" s="119">
        <v>56.799999999999976</v>
      </c>
      <c r="M109" s="117">
        <v>1620.1834507271342</v>
      </c>
    </row>
    <row r="110" spans="11:13" x14ac:dyDescent="0.4">
      <c r="K110" s="74">
        <v>108</v>
      </c>
      <c r="L110" s="119">
        <v>-2.1316282072803006E-14</v>
      </c>
      <c r="M110" s="117">
        <v>1609.8143500227714</v>
      </c>
    </row>
    <row r="111" spans="11:13" x14ac:dyDescent="0.4">
      <c r="K111" s="74">
        <v>109</v>
      </c>
      <c r="L111" s="119">
        <v>-16.000000000000021</v>
      </c>
      <c r="M111" s="117">
        <v>1606.8514639226348</v>
      </c>
    </row>
    <row r="112" spans="11:13" x14ac:dyDescent="0.4">
      <c r="K112" s="74">
        <v>110</v>
      </c>
      <c r="L112" s="119">
        <v>-80.000000000000028</v>
      </c>
      <c r="M112" s="117">
        <v>1595.266355139099</v>
      </c>
    </row>
    <row r="113" spans="11:13" x14ac:dyDescent="0.4">
      <c r="K113" s="74">
        <v>111</v>
      </c>
      <c r="L113" s="119">
        <v>-2.8421709430404007E-14</v>
      </c>
      <c r="M113" s="117">
        <v>1609.6707570082644</v>
      </c>
    </row>
    <row r="114" spans="11:13" x14ac:dyDescent="0.4">
      <c r="K114" s="74">
        <v>112</v>
      </c>
      <c r="L114" s="119">
        <v>-31.900000000000027</v>
      </c>
      <c r="M114" s="117">
        <v>1603.8467324662149</v>
      </c>
    </row>
    <row r="115" spans="11:13" x14ac:dyDescent="0.4">
      <c r="K115" s="74">
        <v>113</v>
      </c>
      <c r="L115" s="119">
        <v>0.79999999999997584</v>
      </c>
      <c r="M115" s="117">
        <v>1609.6856520714177</v>
      </c>
    </row>
    <row r="116" spans="11:13" x14ac:dyDescent="0.4">
      <c r="K116" s="74">
        <v>114</v>
      </c>
      <c r="L116" s="119">
        <v>-2.4202861936828413E-14</v>
      </c>
      <c r="M116" s="117">
        <v>1609.4595381589893</v>
      </c>
    </row>
    <row r="117" spans="11:13" x14ac:dyDescent="0.4">
      <c r="K117" s="74">
        <v>115</v>
      </c>
      <c r="L117" s="119">
        <v>-13.200000000000024</v>
      </c>
      <c r="M117" s="117">
        <v>1607.0027809300354</v>
      </c>
    </row>
    <row r="118" spans="11:13" x14ac:dyDescent="0.4">
      <c r="K118" s="74">
        <v>116</v>
      </c>
      <c r="L118" s="119">
        <v>49.899999999999977</v>
      </c>
      <c r="M118" s="117">
        <v>1618.2947642444553</v>
      </c>
    </row>
    <row r="119" spans="11:13" x14ac:dyDescent="0.4">
      <c r="K119" s="74">
        <v>117</v>
      </c>
      <c r="L119" s="119">
        <v>-2.1316282072803006E-14</v>
      </c>
      <c r="M119" s="117">
        <v>1609.1789956589887</v>
      </c>
    </row>
    <row r="120" spans="11:13" x14ac:dyDescent="0.4">
      <c r="K120" s="74">
        <v>118</v>
      </c>
      <c r="L120" s="119">
        <v>51.799999999999976</v>
      </c>
      <c r="M120" s="117">
        <v>1618.4239216850347</v>
      </c>
    </row>
    <row r="121" spans="11:13" x14ac:dyDescent="0.4">
      <c r="K121" s="74">
        <v>119</v>
      </c>
      <c r="L121" s="119">
        <v>55.399999999999977</v>
      </c>
      <c r="M121" s="117">
        <v>1618.9373781549245</v>
      </c>
    </row>
    <row r="122" spans="11:13" x14ac:dyDescent="0.4">
      <c r="K122" s="74">
        <v>120</v>
      </c>
      <c r="L122" s="119">
        <v>-2.1316282072803006E-14</v>
      </c>
      <c r="M122" s="117">
        <v>1608.827753885995</v>
      </c>
    </row>
    <row r="123" spans="11:13" x14ac:dyDescent="0.4">
      <c r="K123" s="74">
        <v>121</v>
      </c>
      <c r="L123" s="119">
        <v>-6.5000000000000213</v>
      </c>
      <c r="M123" s="117">
        <v>1607.5807873626791</v>
      </c>
    </row>
    <row r="124" spans="11:13" x14ac:dyDescent="0.4">
      <c r="K124" s="74">
        <v>122</v>
      </c>
      <c r="L124" s="119">
        <v>-34.100000000000023</v>
      </c>
      <c r="M124" s="117">
        <v>1602.5433026385031</v>
      </c>
    </row>
    <row r="125" spans="11:13" x14ac:dyDescent="0.4">
      <c r="K125" s="74">
        <v>123</v>
      </c>
      <c r="L125" s="119">
        <v>-2.1316282072803006E-14</v>
      </c>
      <c r="M125" s="117">
        <v>1608.642042822672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F504D-38D9-4F6F-A7EA-9E89FCAD187E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31</v>
      </c>
      <c r="C2" s="134"/>
      <c r="E2" s="26" t="s">
        <v>66</v>
      </c>
      <c r="F2" s="23" t="s">
        <v>22</v>
      </c>
      <c r="G2" s="11">
        <v>59</v>
      </c>
      <c r="H2" s="87">
        <f>IF(B$20=0,0,G2/B$20)</f>
        <v>0.78666666666666663</v>
      </c>
      <c r="I2" s="57">
        <v>4</v>
      </c>
      <c r="K2" s="73">
        <v>0</v>
      </c>
      <c r="L2" s="118">
        <v>0</v>
      </c>
      <c r="M2" s="116">
        <v>1605.0170841089816</v>
      </c>
      <c r="O2" s="73" t="s">
        <v>128</v>
      </c>
      <c r="P2" s="79">
        <f t="shared" ref="P2:P7" si="0">IF(Q2=0,0,R2/Q2)</f>
        <v>3650</v>
      </c>
      <c r="Q2" s="76">
        <v>30</v>
      </c>
      <c r="R2" s="63">
        <v>109500</v>
      </c>
    </row>
    <row r="3" spans="1:18" x14ac:dyDescent="0.4">
      <c r="A3" s="19" t="s">
        <v>8</v>
      </c>
      <c r="B3" s="135">
        <v>241</v>
      </c>
      <c r="C3" s="136"/>
      <c r="E3" s="27" t="s">
        <v>64</v>
      </c>
      <c r="F3" s="24" t="s">
        <v>20</v>
      </c>
      <c r="G3" s="12">
        <v>39</v>
      </c>
      <c r="H3" s="88">
        <f>IF(B$20=0,0,G3/B$20)</f>
        <v>0.52</v>
      </c>
      <c r="I3" s="58">
        <v>4</v>
      </c>
      <c r="K3" s="74">
        <v>1</v>
      </c>
      <c r="L3" s="119">
        <v>50.6</v>
      </c>
      <c r="M3" s="117">
        <v>1613.4949816043277</v>
      </c>
      <c r="O3" s="74" t="s">
        <v>129</v>
      </c>
      <c r="P3" s="80">
        <f t="shared" si="0"/>
        <v>171.42857142857142</v>
      </c>
      <c r="Q3" s="77">
        <v>28</v>
      </c>
      <c r="R3" s="64">
        <v>4800</v>
      </c>
    </row>
    <row r="4" spans="1:18" x14ac:dyDescent="0.4">
      <c r="A4" s="19" t="s">
        <v>6</v>
      </c>
      <c r="B4" s="137">
        <v>185.29999999999998</v>
      </c>
      <c r="C4" s="138"/>
      <c r="E4" s="27" t="s">
        <v>72</v>
      </c>
      <c r="F4" s="24" t="s">
        <v>27</v>
      </c>
      <c r="G4" s="12">
        <v>39</v>
      </c>
      <c r="H4" s="88">
        <f>IF(B$20=0,0,G4/B$20)</f>
        <v>0.52</v>
      </c>
      <c r="I4" s="58">
        <v>3</v>
      </c>
      <c r="K4" s="74">
        <v>2</v>
      </c>
      <c r="L4" s="119">
        <v>54.300000000000004</v>
      </c>
      <c r="M4" s="117">
        <v>1614.1280117147016</v>
      </c>
      <c r="O4" s="74" t="s">
        <v>130</v>
      </c>
      <c r="P4" s="80">
        <f t="shared" si="0"/>
        <v>-100</v>
      </c>
      <c r="Q4" s="77">
        <v>26</v>
      </c>
      <c r="R4" s="64">
        <v>-2600</v>
      </c>
    </row>
    <row r="5" spans="1:18" x14ac:dyDescent="0.4">
      <c r="A5" s="19" t="s">
        <v>7</v>
      </c>
      <c r="B5" s="125">
        <f>IF(B$2=0,0,B$4/B$2)</f>
        <v>5.9774193548387089</v>
      </c>
      <c r="C5" s="126"/>
      <c r="E5" s="27" t="s">
        <v>68</v>
      </c>
      <c r="F5" s="24" t="s">
        <v>12</v>
      </c>
      <c r="G5" s="12">
        <v>28</v>
      </c>
      <c r="H5" s="88">
        <f>IF(B$20=0,0,G5/B$20)</f>
        <v>0.37333333333333335</v>
      </c>
      <c r="I5" s="58">
        <v>4</v>
      </c>
      <c r="K5" s="74">
        <v>3</v>
      </c>
      <c r="L5" s="119">
        <v>49.000000000000007</v>
      </c>
      <c r="M5" s="117">
        <v>1613.1372436444135</v>
      </c>
      <c r="O5" s="74" t="s">
        <v>131</v>
      </c>
      <c r="P5" s="80">
        <f t="shared" si="0"/>
        <v>2196</v>
      </c>
      <c r="Q5" s="77">
        <v>25</v>
      </c>
      <c r="R5" s="64">
        <v>54900</v>
      </c>
    </row>
    <row r="6" spans="1:18" x14ac:dyDescent="0.4">
      <c r="A6" s="19" t="s">
        <v>195</v>
      </c>
      <c r="B6" s="129">
        <v>1636.7923224568347</v>
      </c>
      <c r="C6" s="130"/>
      <c r="E6" s="27" t="s">
        <v>159</v>
      </c>
      <c r="F6" s="24" t="s">
        <v>160</v>
      </c>
      <c r="G6" s="12">
        <v>28</v>
      </c>
      <c r="H6" s="88">
        <f>IF(B$20=0,0,G6/B$20)</f>
        <v>0.37333333333333335</v>
      </c>
      <c r="I6" s="58">
        <v>5</v>
      </c>
      <c r="K6" s="74">
        <v>4</v>
      </c>
      <c r="L6" s="119">
        <v>27.400000000000006</v>
      </c>
      <c r="M6" s="117">
        <v>1609.3264201825471</v>
      </c>
      <c r="O6" s="74" t="s">
        <v>132</v>
      </c>
      <c r="P6" s="80">
        <f t="shared" si="0"/>
        <v>-875</v>
      </c>
      <c r="Q6" s="77">
        <v>24</v>
      </c>
      <c r="R6" s="64">
        <v>-21000</v>
      </c>
    </row>
    <row r="7" spans="1:18" x14ac:dyDescent="0.4">
      <c r="A7" s="19" t="s">
        <v>1</v>
      </c>
      <c r="B7" s="139">
        <f>IF(B$2=0,0,(B$8*1+B$9*2+B$10*3)/B$2)</f>
        <v>1.8387096774193548</v>
      </c>
      <c r="C7" s="140"/>
      <c r="E7" s="27" t="s">
        <v>67</v>
      </c>
      <c r="F7" s="24" t="s">
        <v>23</v>
      </c>
      <c r="G7" s="12">
        <v>15</v>
      </c>
      <c r="H7" s="88">
        <f>IF(B$20=0,0,G7/B$20)</f>
        <v>0.2</v>
      </c>
      <c r="I7" s="58">
        <v>4</v>
      </c>
      <c r="K7" s="74">
        <v>5</v>
      </c>
      <c r="L7" s="119">
        <v>28.600000000000005</v>
      </c>
      <c r="M7" s="117">
        <v>1609.8584616614519</v>
      </c>
      <c r="O7" s="75" t="s">
        <v>133</v>
      </c>
      <c r="P7" s="81">
        <f t="shared" si="0"/>
        <v>-780.95238095238096</v>
      </c>
      <c r="Q7" s="78">
        <v>21</v>
      </c>
      <c r="R7" s="65">
        <v>-16400</v>
      </c>
    </row>
    <row r="8" spans="1:18" x14ac:dyDescent="0.4">
      <c r="A8" s="19" t="s">
        <v>2</v>
      </c>
      <c r="B8" s="12">
        <v>12</v>
      </c>
      <c r="C8" s="6">
        <f t="shared" ref="C8:C15" si="1">IF(B$2=0,0,B8/B$2)</f>
        <v>0.38709677419354838</v>
      </c>
      <c r="E8" s="27" t="s">
        <v>69</v>
      </c>
      <c r="F8" s="24" t="s">
        <v>24</v>
      </c>
      <c r="G8" s="12">
        <v>12</v>
      </c>
      <c r="H8" s="88">
        <f>IF(B$20=0,0,G8/B$20)</f>
        <v>0.16</v>
      </c>
      <c r="I8" s="58">
        <v>4</v>
      </c>
      <c r="K8" s="74">
        <v>6</v>
      </c>
      <c r="L8" s="119">
        <v>-1.899999999999995</v>
      </c>
      <c r="M8" s="117">
        <v>1604.6813108914832</v>
      </c>
      <c r="O8" s="107"/>
      <c r="P8" s="85"/>
      <c r="Q8" s="108"/>
      <c r="R8" s="70"/>
    </row>
    <row r="9" spans="1:18" x14ac:dyDescent="0.4">
      <c r="A9" s="19" t="s">
        <v>3</v>
      </c>
      <c r="B9" s="12">
        <v>12</v>
      </c>
      <c r="C9" s="6">
        <f t="shared" si="1"/>
        <v>0.38709677419354838</v>
      </c>
      <c r="E9" s="27" t="s">
        <v>89</v>
      </c>
      <c r="F9" s="24" t="s">
        <v>44</v>
      </c>
      <c r="G9" s="12">
        <v>12</v>
      </c>
      <c r="H9" s="88">
        <f>IF(B$20=0,0,G9/B$20)</f>
        <v>0.16</v>
      </c>
      <c r="I9" s="58">
        <v>2</v>
      </c>
      <c r="K9" s="74">
        <v>7</v>
      </c>
      <c r="L9" s="119">
        <v>-3.2999999999999949</v>
      </c>
      <c r="M9" s="117">
        <v>1604.7732230261342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7</v>
      </c>
      <c r="C10" s="7">
        <f t="shared" si="1"/>
        <v>0.22580645161290322</v>
      </c>
      <c r="E10" s="27" t="s">
        <v>65</v>
      </c>
      <c r="F10" s="24" t="s">
        <v>21</v>
      </c>
      <c r="G10" s="12">
        <v>9</v>
      </c>
      <c r="H10" s="88">
        <f>IF(B$20=0,0,G10/B$20)</f>
        <v>0.12</v>
      </c>
      <c r="I10" s="58">
        <v>5</v>
      </c>
      <c r="K10" s="74">
        <v>8</v>
      </c>
      <c r="L10" s="119">
        <v>47.800000000000004</v>
      </c>
      <c r="M10" s="117">
        <v>1614.3145836879773</v>
      </c>
      <c r="O10" s="73" t="s">
        <v>151</v>
      </c>
      <c r="P10" s="82">
        <f>IF(Q10=0,0,R10/Q10)</f>
        <v>10.742857142857138</v>
      </c>
      <c r="Q10" s="76">
        <v>14</v>
      </c>
      <c r="R10" s="67">
        <v>150.39999999999995</v>
      </c>
    </row>
    <row r="11" spans="1:18" x14ac:dyDescent="0.4">
      <c r="A11" s="20" t="s">
        <v>184</v>
      </c>
      <c r="B11" s="109">
        <f>IF(B8=0,0,C11/B8)</f>
        <v>43.991666666666667</v>
      </c>
      <c r="C11" s="110">
        <v>527.9</v>
      </c>
      <c r="E11" s="27" t="s">
        <v>70</v>
      </c>
      <c r="F11" s="24" t="s">
        <v>25</v>
      </c>
      <c r="G11" s="12">
        <v>8</v>
      </c>
      <c r="H11" s="88">
        <f>IF(B$20=0,0,G11/B$20)</f>
        <v>0.10666666666666667</v>
      </c>
      <c r="I11" s="58">
        <v>3</v>
      </c>
      <c r="K11" s="74">
        <v>9</v>
      </c>
      <c r="L11" s="119">
        <v>40.700000000000003</v>
      </c>
      <c r="M11" s="117">
        <v>1613.3226961858495</v>
      </c>
      <c r="O11" s="74" t="s">
        <v>152</v>
      </c>
      <c r="P11" s="83">
        <f>IF(Q11=0,0,R11/Q11)</f>
        <v>0.53749999999999964</v>
      </c>
      <c r="Q11" s="77">
        <v>8</v>
      </c>
      <c r="R11" s="68">
        <v>4.2999999999999972</v>
      </c>
    </row>
    <row r="12" spans="1:18" x14ac:dyDescent="0.4">
      <c r="A12" s="20" t="s">
        <v>185</v>
      </c>
      <c r="B12" s="109">
        <f>IF(B9=0,0,C12/B9)</f>
        <v>-1.1750000000000005</v>
      </c>
      <c r="C12" s="110">
        <v>-14.100000000000005</v>
      </c>
      <c r="E12" s="27" t="s">
        <v>71</v>
      </c>
      <c r="F12" s="24" t="s">
        <v>26</v>
      </c>
      <c r="G12" s="12">
        <v>7</v>
      </c>
      <c r="H12" s="88">
        <f>IF(B$20=0,0,G12/B$20)</f>
        <v>9.3333333333333338E-2</v>
      </c>
      <c r="I12" s="58">
        <v>1</v>
      </c>
      <c r="K12" s="74">
        <v>10</v>
      </c>
      <c r="L12" s="119">
        <v>64.7</v>
      </c>
      <c r="M12" s="117">
        <v>1617.9527600087345</v>
      </c>
      <c r="O12" s="75" t="s">
        <v>153</v>
      </c>
      <c r="P12" s="84">
        <f>IF(Q12=0,0,R12/Q12)</f>
        <v>3.399999999999999</v>
      </c>
      <c r="Q12" s="78">
        <v>9</v>
      </c>
      <c r="R12" s="69">
        <v>30.599999999999991</v>
      </c>
    </row>
    <row r="13" spans="1:18" x14ac:dyDescent="0.4">
      <c r="A13" s="20" t="s">
        <v>186</v>
      </c>
      <c r="B13" s="109">
        <f>IF(B10=0,0,C13/B10)</f>
        <v>-46.928571428571423</v>
      </c>
      <c r="C13" s="110">
        <v>-328.49999999999994</v>
      </c>
      <c r="E13" s="27" t="s">
        <v>86</v>
      </c>
      <c r="F13" s="24" t="s">
        <v>41</v>
      </c>
      <c r="G13" s="12">
        <v>5</v>
      </c>
      <c r="H13" s="88">
        <f>IF(B$20=0,0,G13/B$20)</f>
        <v>6.6666666666666666E-2</v>
      </c>
      <c r="I13" s="58">
        <v>2</v>
      </c>
      <c r="K13" s="74">
        <v>11</v>
      </c>
      <c r="L13" s="119">
        <v>24.300000000000004</v>
      </c>
      <c r="M13" s="117">
        <v>1610.9630434486821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-1.3706349206349178</v>
      </c>
      <c r="C14" s="126"/>
      <c r="E14" s="27" t="s">
        <v>78</v>
      </c>
      <c r="F14" s="24" t="s">
        <v>33</v>
      </c>
      <c r="G14" s="12">
        <v>3</v>
      </c>
      <c r="H14" s="88">
        <f>IF(B$20=0,0,G14/B$20)</f>
        <v>0.04</v>
      </c>
      <c r="I14" s="58">
        <v>3</v>
      </c>
      <c r="K14" s="74">
        <v>12</v>
      </c>
      <c r="L14" s="119">
        <v>76.099999999999994</v>
      </c>
      <c r="M14" s="117">
        <v>1620.6112651879901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6.4516129032258063E-2</v>
      </c>
      <c r="E15" s="27" t="s">
        <v>155</v>
      </c>
      <c r="F15" s="24" t="s">
        <v>156</v>
      </c>
      <c r="G15" s="12">
        <v>3</v>
      </c>
      <c r="H15" s="88">
        <f>IF(B$20=0,0,G15/B$20)</f>
        <v>0.04</v>
      </c>
      <c r="I15" s="58">
        <v>1</v>
      </c>
      <c r="K15" s="74">
        <v>13</v>
      </c>
      <c r="L15" s="119">
        <v>122.5</v>
      </c>
      <c r="M15" s="117">
        <v>1629.229597596862</v>
      </c>
      <c r="O15" s="73" t="s">
        <v>197</v>
      </c>
      <c r="P15" s="82">
        <f>IF(Q15=0,0,R15/Q15)</f>
        <v>54.133333333333326</v>
      </c>
      <c r="Q15" s="76">
        <v>3</v>
      </c>
      <c r="R15" s="67">
        <v>162.39999999999998</v>
      </c>
    </row>
    <row r="16" spans="1:18" x14ac:dyDescent="0.4">
      <c r="A16" s="22" t="s">
        <v>121</v>
      </c>
      <c r="B16" s="15">
        <v>81</v>
      </c>
      <c r="C16" s="10">
        <f>IF(B$3=0,0,B16/B$3)</f>
        <v>0.33609958506224069</v>
      </c>
      <c r="E16" s="27" t="s">
        <v>73</v>
      </c>
      <c r="F16" s="24" t="s">
        <v>28</v>
      </c>
      <c r="G16" s="12">
        <v>1</v>
      </c>
      <c r="H16" s="88">
        <f>IF(B$20=0,0,G16/B$20)</f>
        <v>1.3333333333333334E-2</v>
      </c>
      <c r="I16" s="58">
        <v>1</v>
      </c>
      <c r="K16" s="74">
        <v>14</v>
      </c>
      <c r="L16" s="119">
        <v>154.19999999999999</v>
      </c>
      <c r="M16" s="117">
        <v>1635.1502200112809</v>
      </c>
      <c r="O16" s="74" t="s">
        <v>192</v>
      </c>
      <c r="P16" s="83">
        <f>IF(Q16=0,0,R16/Q16)</f>
        <v>26.853846153846153</v>
      </c>
      <c r="Q16" s="77">
        <v>13</v>
      </c>
      <c r="R16" s="68">
        <v>349.09999999999997</v>
      </c>
    </row>
    <row r="17" spans="1:18" x14ac:dyDescent="0.4">
      <c r="A17" s="19" t="s">
        <v>118</v>
      </c>
      <c r="B17" s="12">
        <v>46</v>
      </c>
      <c r="C17" s="6">
        <f>IF(B$3=0,0,B17/B$3)</f>
        <v>0.1908713692946058</v>
      </c>
      <c r="E17" s="27" t="s">
        <v>75</v>
      </c>
      <c r="F17" s="24" t="s">
        <v>30</v>
      </c>
      <c r="G17" s="12">
        <v>1</v>
      </c>
      <c r="H17" s="88">
        <f>IF(B$20=0,0,G17/B$20)</f>
        <v>1.3333333333333334E-2</v>
      </c>
      <c r="I17" s="58">
        <v>1</v>
      </c>
      <c r="K17" s="74">
        <v>15</v>
      </c>
      <c r="L17" s="119">
        <v>154.19999999999999</v>
      </c>
      <c r="M17" s="117">
        <v>1635.3293186912133</v>
      </c>
      <c r="O17" s="74" t="s">
        <v>194</v>
      </c>
      <c r="P17" s="83">
        <f>IF(Q17=0,0,R17/Q17)</f>
        <v>3.3466666666666662</v>
      </c>
      <c r="Q17" s="77">
        <v>15</v>
      </c>
      <c r="R17" s="68">
        <v>50.199999999999996</v>
      </c>
    </row>
    <row r="18" spans="1:18" x14ac:dyDescent="0.4">
      <c r="A18" s="18" t="s">
        <v>123</v>
      </c>
      <c r="B18" s="11">
        <f>B24</f>
        <v>41</v>
      </c>
      <c r="C18" s="5">
        <f>IF(B$16=0,0,B18/B$16)</f>
        <v>0.50617283950617287</v>
      </c>
      <c r="E18" s="27" t="s">
        <v>81</v>
      </c>
      <c r="F18" s="24" t="s">
        <v>36</v>
      </c>
      <c r="G18" s="12">
        <v>1</v>
      </c>
      <c r="H18" s="88">
        <f>IF(B$20=0,0,G18/B$20)</f>
        <v>1.3333333333333334E-2</v>
      </c>
      <c r="I18" s="58">
        <v>5</v>
      </c>
      <c r="K18" s="74">
        <v>16</v>
      </c>
      <c r="L18" s="119">
        <v>225.2</v>
      </c>
      <c r="M18" s="117">
        <v>1648.287342779066</v>
      </c>
      <c r="O18" s="74" t="s">
        <v>126</v>
      </c>
      <c r="P18" s="83">
        <f>IF(Q18=0,0,R18/Q18)</f>
        <v>-0.18709677419354828</v>
      </c>
      <c r="Q18" s="77">
        <v>31</v>
      </c>
      <c r="R18" s="68">
        <v>-5.7999999999999972</v>
      </c>
    </row>
    <row r="19" spans="1:18" x14ac:dyDescent="0.4">
      <c r="A19" s="18" t="s">
        <v>124</v>
      </c>
      <c r="B19" s="11">
        <f>B25</f>
        <v>18</v>
      </c>
      <c r="C19" s="5">
        <f>IF(B$17=0,0,B19/B$17)</f>
        <v>0.39130434782608697</v>
      </c>
      <c r="E19" s="27" t="s">
        <v>91</v>
      </c>
      <c r="F19" s="24" t="s">
        <v>46</v>
      </c>
      <c r="G19" s="12">
        <v>1</v>
      </c>
      <c r="H19" s="88">
        <f>IF(B$20=0,0,G19/B$20)</f>
        <v>1.3333333333333334E-2</v>
      </c>
      <c r="I19" s="58">
        <v>2</v>
      </c>
      <c r="K19" s="74">
        <v>17</v>
      </c>
      <c r="L19" s="119">
        <v>224</v>
      </c>
      <c r="M19" s="117">
        <v>1647.7576187223915</v>
      </c>
    </row>
    <row r="20" spans="1:18" x14ac:dyDescent="0.4">
      <c r="A20" s="18" t="s">
        <v>10</v>
      </c>
      <c r="B20" s="11">
        <f>B23+B22</f>
        <v>75</v>
      </c>
      <c r="C20" s="5">
        <f>IF(B$3=0,0,B20/B$3)</f>
        <v>0.31120331950207469</v>
      </c>
      <c r="E20" s="27" t="s">
        <v>92</v>
      </c>
      <c r="F20" s="24" t="s">
        <v>47</v>
      </c>
      <c r="G20" s="12">
        <v>1</v>
      </c>
      <c r="H20" s="88">
        <f>IF(B$20=0,0,G20/B$20)</f>
        <v>1.3333333333333334E-2</v>
      </c>
      <c r="I20" s="58">
        <v>1</v>
      </c>
      <c r="K20" s="74">
        <v>18</v>
      </c>
      <c r="L20" s="119">
        <v>229.8</v>
      </c>
      <c r="M20" s="117">
        <v>1648.4970730100572</v>
      </c>
    </row>
    <row r="21" spans="1:18" x14ac:dyDescent="0.4">
      <c r="A21" s="19" t="s">
        <v>13</v>
      </c>
      <c r="B21" s="12">
        <v>34</v>
      </c>
      <c r="C21" s="6">
        <f>IF(B$3=0,0,B21/B$3)</f>
        <v>0.14107883817427386</v>
      </c>
      <c r="E21" s="27" t="s">
        <v>94</v>
      </c>
      <c r="F21" s="24" t="s">
        <v>49</v>
      </c>
      <c r="G21" s="12">
        <v>1</v>
      </c>
      <c r="H21" s="88">
        <f>IF(B$20=0,0,G21/B$20)</f>
        <v>1.3333333333333334E-2</v>
      </c>
      <c r="I21" s="58">
        <v>1</v>
      </c>
      <c r="K21" s="74">
        <v>19</v>
      </c>
      <c r="L21" s="119">
        <v>239</v>
      </c>
      <c r="M21" s="117">
        <v>1649.8380905719969</v>
      </c>
    </row>
    <row r="22" spans="1:18" x14ac:dyDescent="0.4">
      <c r="A22" s="19" t="s">
        <v>12</v>
      </c>
      <c r="B22" s="12">
        <v>36</v>
      </c>
      <c r="C22" s="6">
        <f>IF(B$20=0,0,B22/B$20)</f>
        <v>0.48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187.8</v>
      </c>
      <c r="M22" s="117">
        <v>1640.3050620285649</v>
      </c>
    </row>
    <row r="23" spans="1:18" x14ac:dyDescent="0.4">
      <c r="A23" s="19" t="s">
        <v>11</v>
      </c>
      <c r="B23" s="12">
        <v>39</v>
      </c>
      <c r="C23" s="6">
        <f>IF(B$20=0,0,B23/B$20)</f>
        <v>0.52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214.70000000000002</v>
      </c>
      <c r="M23" s="117">
        <v>1644.8812316563935</v>
      </c>
    </row>
    <row r="24" spans="1:18" x14ac:dyDescent="0.4">
      <c r="A24" s="19" t="s">
        <v>183</v>
      </c>
      <c r="B24" s="12">
        <v>41</v>
      </c>
      <c r="C24" s="6">
        <f>IF(B$20=0,0,B24/B$20)</f>
        <v>0.54666666666666663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161.5</v>
      </c>
      <c r="M24" s="117">
        <v>1635.0179442664553</v>
      </c>
    </row>
    <row r="25" spans="1:18" x14ac:dyDescent="0.4">
      <c r="A25" s="19" t="s">
        <v>181</v>
      </c>
      <c r="B25" s="12">
        <v>18</v>
      </c>
      <c r="C25" s="6">
        <f>IF(B$20=0,0,B25/B$20)</f>
        <v>0.24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221.8</v>
      </c>
      <c r="M25" s="117">
        <v>1645.6378366008566</v>
      </c>
    </row>
    <row r="26" spans="1:18" x14ac:dyDescent="0.4">
      <c r="A26" s="19" t="s">
        <v>182</v>
      </c>
      <c r="B26" s="12">
        <v>16</v>
      </c>
      <c r="C26" s="6">
        <f>IF(B$20=0,0,B26/B$20)</f>
        <v>0.21333333333333335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221.8</v>
      </c>
      <c r="M26" s="117">
        <v>1645.3460095812516</v>
      </c>
    </row>
    <row r="27" spans="1:18" x14ac:dyDescent="0.4">
      <c r="A27" s="19" t="s">
        <v>5</v>
      </c>
      <c r="B27" s="16">
        <f>IF(B$20=0,0,C27/B$20)</f>
        <v>9112</v>
      </c>
      <c r="C27" s="8">
        <v>683400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234.10000000000002</v>
      </c>
      <c r="M27" s="117">
        <v>1647.2639335237641</v>
      </c>
    </row>
    <row r="28" spans="1:18" x14ac:dyDescent="0.4">
      <c r="A28" s="20" t="s">
        <v>165</v>
      </c>
      <c r="B28" s="95">
        <f>IF($B$20-B$19=0,0,C28/($B$20-B$19))</f>
        <v>9724.561403508771</v>
      </c>
      <c r="C28" s="96">
        <v>554300</v>
      </c>
      <c r="E28" s="27" t="s">
        <v>83</v>
      </c>
      <c r="F28" s="24" t="s">
        <v>38</v>
      </c>
      <c r="G28" s="12">
        <v>0</v>
      </c>
      <c r="H28" s="88">
        <f>IF(B$20=0,0,G28/B$20)</f>
        <v>0</v>
      </c>
      <c r="I28" s="58">
        <v>5</v>
      </c>
      <c r="K28" s="74">
        <v>26</v>
      </c>
      <c r="L28" s="119">
        <v>177.3</v>
      </c>
      <c r="M28" s="117">
        <v>1636.7323499226216</v>
      </c>
    </row>
    <row r="29" spans="1:18" x14ac:dyDescent="0.4">
      <c r="A29" s="20" t="s">
        <v>166</v>
      </c>
      <c r="B29" s="95">
        <f>IF(B$19=0,0,C29/B$19)</f>
        <v>7172.2222222222226</v>
      </c>
      <c r="C29" s="96">
        <v>129100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257.3</v>
      </c>
      <c r="M29" s="117">
        <v>1650.8879558230858</v>
      </c>
    </row>
    <row r="30" spans="1:18" x14ac:dyDescent="0.4">
      <c r="A30" s="20" t="s">
        <v>164</v>
      </c>
      <c r="B30" s="95">
        <f>IF(B$21=0,0,C30/B$21)</f>
        <v>-7488.2352941176468</v>
      </c>
      <c r="C30" s="96">
        <v>-254600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256.5</v>
      </c>
      <c r="M30" s="117">
        <v>1650.4146280881473</v>
      </c>
    </row>
    <row r="31" spans="1:18" x14ac:dyDescent="0.4">
      <c r="A31" s="19" t="s">
        <v>157</v>
      </c>
      <c r="B31" s="12">
        <v>5</v>
      </c>
      <c r="C31" s="90">
        <v>1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206.6</v>
      </c>
      <c r="M31" s="117">
        <v>1641.1061403196184</v>
      </c>
    </row>
    <row r="32" spans="1:18" x14ac:dyDescent="0.4">
      <c r="A32" s="19" t="s">
        <v>158</v>
      </c>
      <c r="B32" s="12">
        <v>18</v>
      </c>
      <c r="C32" s="90">
        <v>2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151.19999999999999</v>
      </c>
      <c r="M32" s="117">
        <v>1630.8635034777008</v>
      </c>
    </row>
    <row r="33" spans="1:13" x14ac:dyDescent="0.4">
      <c r="A33" s="54" t="s">
        <v>136</v>
      </c>
      <c r="B33" s="127">
        <v>6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185.29999999999998</v>
      </c>
      <c r="M33" s="117">
        <v>1636.7923224568347</v>
      </c>
    </row>
    <row r="34" spans="1:13" x14ac:dyDescent="0.4">
      <c r="A34" s="22" t="s">
        <v>180</v>
      </c>
      <c r="B34" s="129">
        <v>95000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3</v>
      </c>
    </row>
    <row r="35" spans="1:13" x14ac:dyDescent="0.4">
      <c r="A35" s="21" t="s">
        <v>137</v>
      </c>
      <c r="B35" s="29">
        <v>1</v>
      </c>
      <c r="C35" s="9">
        <f>IF(B$3=0,0,B35/B$3)</f>
        <v>4.1493775933609959E-3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13" x14ac:dyDescent="0.4">
      <c r="A37" s="54" t="s">
        <v>171</v>
      </c>
      <c r="B37" s="123">
        <v>5</v>
      </c>
      <c r="C37" s="98">
        <f t="shared" ref="C37:C49" si="2">IF(B$20=0,0,B37/B$20)</f>
        <v>6.6666666666666666E-2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13" x14ac:dyDescent="0.4">
      <c r="A38" s="19" t="s">
        <v>167</v>
      </c>
      <c r="B38" s="12">
        <v>7</v>
      </c>
      <c r="C38" s="6">
        <f t="shared" si="2"/>
        <v>9.3333333333333338E-2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13" x14ac:dyDescent="0.4">
      <c r="A39" s="19" t="s">
        <v>168</v>
      </c>
      <c r="B39" s="124">
        <v>12</v>
      </c>
      <c r="C39" s="6">
        <f t="shared" si="2"/>
        <v>0.16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13" x14ac:dyDescent="0.4">
      <c r="A40" s="19" t="s">
        <v>169</v>
      </c>
      <c r="B40" s="124">
        <v>23</v>
      </c>
      <c r="C40" s="6">
        <f t="shared" si="2"/>
        <v>0.30666666666666664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9</v>
      </c>
      <c r="C41" s="6">
        <f t="shared" si="2"/>
        <v>0.12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13" x14ac:dyDescent="0.4">
      <c r="A42" s="19" t="s">
        <v>172</v>
      </c>
      <c r="B42" s="124">
        <v>11</v>
      </c>
      <c r="C42" s="6">
        <f t="shared" si="2"/>
        <v>0.14666666666666667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2</v>
      </c>
      <c r="C43" s="6">
        <f t="shared" si="2"/>
        <v>2.6666666666666668E-2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3</v>
      </c>
      <c r="C44" s="6">
        <f t="shared" si="2"/>
        <v>0.04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1</v>
      </c>
      <c r="C46" s="6">
        <f t="shared" si="2"/>
        <v>1.3333333333333334E-2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2</v>
      </c>
      <c r="C49" s="9">
        <f t="shared" si="2"/>
        <v>2.6666666666666668E-2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B6DF5-A8CF-4F44-BF65-A215ABBABC48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41</v>
      </c>
      <c r="C2" s="134"/>
      <c r="E2" s="26" t="s">
        <v>66</v>
      </c>
      <c r="F2" s="23" t="s">
        <v>22</v>
      </c>
      <c r="G2" s="11">
        <v>91</v>
      </c>
      <c r="H2" s="87">
        <f>IF(B$20=0,0,G2/B$20)</f>
        <v>0.79824561403508776</v>
      </c>
      <c r="I2" s="57">
        <v>3</v>
      </c>
      <c r="K2" s="73">
        <v>0</v>
      </c>
      <c r="L2" s="118">
        <v>0</v>
      </c>
      <c r="M2" s="116">
        <v>1758.0662353696366</v>
      </c>
      <c r="O2" s="73" t="s">
        <v>128</v>
      </c>
      <c r="P2" s="79">
        <f t="shared" ref="P2:P7" si="0">IF(Q2=0,0,R2/Q2)</f>
        <v>2440</v>
      </c>
      <c r="Q2" s="76">
        <v>40</v>
      </c>
      <c r="R2" s="63">
        <v>97600</v>
      </c>
    </row>
    <row r="3" spans="1:18" x14ac:dyDescent="0.4">
      <c r="A3" s="19" t="s">
        <v>8</v>
      </c>
      <c r="B3" s="135">
        <v>328</v>
      </c>
      <c r="C3" s="136"/>
      <c r="E3" s="27" t="s">
        <v>64</v>
      </c>
      <c r="F3" s="24" t="s">
        <v>20</v>
      </c>
      <c r="G3" s="12">
        <v>61</v>
      </c>
      <c r="H3" s="88">
        <f>IF(B$20=0,0,G3/B$20)</f>
        <v>0.53508771929824561</v>
      </c>
      <c r="I3" s="58">
        <v>3</v>
      </c>
      <c r="K3" s="74">
        <v>1</v>
      </c>
      <c r="L3" s="119">
        <v>-4.5999999999999996</v>
      </c>
      <c r="M3" s="117">
        <v>1755.6898379574188</v>
      </c>
      <c r="O3" s="74" t="s">
        <v>129</v>
      </c>
      <c r="P3" s="80">
        <f t="shared" si="0"/>
        <v>3336.8421052631579</v>
      </c>
      <c r="Q3" s="77">
        <v>38</v>
      </c>
      <c r="R3" s="64">
        <v>126800</v>
      </c>
    </row>
    <row r="4" spans="1:18" x14ac:dyDescent="0.4">
      <c r="A4" s="19" t="s">
        <v>6</v>
      </c>
      <c r="B4" s="137">
        <v>342.8</v>
      </c>
      <c r="C4" s="138"/>
      <c r="E4" s="27" t="s">
        <v>159</v>
      </c>
      <c r="F4" s="24" t="s">
        <v>160</v>
      </c>
      <c r="G4" s="12">
        <v>46</v>
      </c>
      <c r="H4" s="88">
        <f>IF(B$20=0,0,G4/B$20)</f>
        <v>0.40350877192982454</v>
      </c>
      <c r="I4" s="58">
        <v>2</v>
      </c>
      <c r="K4" s="74">
        <v>2</v>
      </c>
      <c r="L4" s="119">
        <v>42.6</v>
      </c>
      <c r="M4" s="117">
        <v>1763.2996989296744</v>
      </c>
      <c r="O4" s="74" t="s">
        <v>130</v>
      </c>
      <c r="P4" s="80">
        <f t="shared" si="0"/>
        <v>-763.88888888888891</v>
      </c>
      <c r="Q4" s="77">
        <v>36</v>
      </c>
      <c r="R4" s="64">
        <v>-27500</v>
      </c>
    </row>
    <row r="5" spans="1:18" x14ac:dyDescent="0.4">
      <c r="A5" s="19" t="s">
        <v>7</v>
      </c>
      <c r="B5" s="125">
        <f>IF(B$2=0,0,B$4/B$2)</f>
        <v>8.3609756097560979</v>
      </c>
      <c r="C5" s="126"/>
      <c r="E5" s="27" t="s">
        <v>68</v>
      </c>
      <c r="F5" s="24" t="s">
        <v>12</v>
      </c>
      <c r="G5" s="12">
        <v>43</v>
      </c>
      <c r="H5" s="88">
        <f>IF(B$20=0,0,G5/B$20)</f>
        <v>0.37719298245614036</v>
      </c>
      <c r="I5" s="58">
        <v>3</v>
      </c>
      <c r="K5" s="74">
        <v>3</v>
      </c>
      <c r="L5" s="119">
        <v>64.400000000000006</v>
      </c>
      <c r="M5" s="117">
        <v>1766.2919007360963</v>
      </c>
      <c r="O5" s="74" t="s">
        <v>131</v>
      </c>
      <c r="P5" s="80">
        <f t="shared" si="0"/>
        <v>-788.57142857142856</v>
      </c>
      <c r="Q5" s="77">
        <v>35</v>
      </c>
      <c r="R5" s="64">
        <v>-27600</v>
      </c>
    </row>
    <row r="6" spans="1:18" x14ac:dyDescent="0.4">
      <c r="A6" s="19" t="s">
        <v>195</v>
      </c>
      <c r="B6" s="129">
        <v>1779.8839580608421</v>
      </c>
      <c r="C6" s="130"/>
      <c r="E6" s="27" t="s">
        <v>72</v>
      </c>
      <c r="F6" s="24" t="s">
        <v>27</v>
      </c>
      <c r="G6" s="12">
        <v>38</v>
      </c>
      <c r="H6" s="88">
        <f>IF(B$20=0,0,G6/B$20)</f>
        <v>0.33333333333333331</v>
      </c>
      <c r="I6" s="58">
        <v>6</v>
      </c>
      <c r="K6" s="74">
        <v>4</v>
      </c>
      <c r="L6" s="119">
        <v>82.4</v>
      </c>
      <c r="M6" s="117">
        <v>1768.6901493316798</v>
      </c>
      <c r="O6" s="74" t="s">
        <v>132</v>
      </c>
      <c r="P6" s="80">
        <f t="shared" si="0"/>
        <v>981.81818181818187</v>
      </c>
      <c r="Q6" s="77">
        <v>33</v>
      </c>
      <c r="R6" s="64">
        <v>32400</v>
      </c>
    </row>
    <row r="7" spans="1:18" x14ac:dyDescent="0.4">
      <c r="A7" s="19" t="s">
        <v>1</v>
      </c>
      <c r="B7" s="139">
        <f>IF(B$2=0,0,(B$8*1+B$9*2+B$10*3)/B$2)</f>
        <v>1.7804878048780488</v>
      </c>
      <c r="C7" s="140"/>
      <c r="E7" s="27" t="s">
        <v>67</v>
      </c>
      <c r="F7" s="24" t="s">
        <v>23</v>
      </c>
      <c r="G7" s="12">
        <v>27</v>
      </c>
      <c r="H7" s="88">
        <f>IF(B$20=0,0,G7/B$20)</f>
        <v>0.23684210526315788</v>
      </c>
      <c r="I7" s="58">
        <v>2</v>
      </c>
      <c r="K7" s="74">
        <v>5</v>
      </c>
      <c r="L7" s="119">
        <v>99.300000000000011</v>
      </c>
      <c r="M7" s="117">
        <v>1771.0920084356896</v>
      </c>
      <c r="O7" s="75" t="s">
        <v>133</v>
      </c>
      <c r="P7" s="81">
        <f t="shared" si="0"/>
        <v>1417.2413793103449</v>
      </c>
      <c r="Q7" s="78">
        <v>29</v>
      </c>
      <c r="R7" s="65">
        <v>41100</v>
      </c>
    </row>
    <row r="8" spans="1:18" x14ac:dyDescent="0.4">
      <c r="A8" s="19" t="s">
        <v>2</v>
      </c>
      <c r="B8" s="12">
        <v>18</v>
      </c>
      <c r="C8" s="6">
        <f t="shared" ref="C8:C15" si="1">IF(B$2=0,0,B8/B$2)</f>
        <v>0.43902439024390244</v>
      </c>
      <c r="E8" s="27" t="s">
        <v>69</v>
      </c>
      <c r="F8" s="24" t="s">
        <v>24</v>
      </c>
      <c r="G8" s="12">
        <v>22</v>
      </c>
      <c r="H8" s="88">
        <f>IF(B$20=0,0,G8/B$20)</f>
        <v>0.19298245614035087</v>
      </c>
      <c r="I8" s="58">
        <v>2</v>
      </c>
      <c r="K8" s="74">
        <v>6</v>
      </c>
      <c r="L8" s="119">
        <v>175.8</v>
      </c>
      <c r="M8" s="117">
        <v>1784.2074563850756</v>
      </c>
      <c r="O8" s="107"/>
      <c r="P8" s="85"/>
      <c r="Q8" s="108"/>
      <c r="R8" s="70"/>
    </row>
    <row r="9" spans="1:18" x14ac:dyDescent="0.4">
      <c r="A9" s="19" t="s">
        <v>3</v>
      </c>
      <c r="B9" s="12">
        <v>14</v>
      </c>
      <c r="C9" s="6">
        <f t="shared" si="1"/>
        <v>0.34146341463414637</v>
      </c>
      <c r="E9" s="27" t="s">
        <v>65</v>
      </c>
      <c r="F9" s="24" t="s">
        <v>21</v>
      </c>
      <c r="G9" s="12">
        <v>15</v>
      </c>
      <c r="H9" s="88">
        <f>IF(B$20=0,0,G9/B$20)</f>
        <v>0.13157894736842105</v>
      </c>
      <c r="I9" s="58">
        <v>4</v>
      </c>
      <c r="K9" s="74">
        <v>7</v>
      </c>
      <c r="L9" s="119">
        <v>124.60000000000001</v>
      </c>
      <c r="M9" s="117">
        <v>1774.2582116467652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9</v>
      </c>
      <c r="C10" s="7">
        <f t="shared" si="1"/>
        <v>0.21951219512195122</v>
      </c>
      <c r="E10" s="27" t="s">
        <v>89</v>
      </c>
      <c r="F10" s="24" t="s">
        <v>44</v>
      </c>
      <c r="G10" s="12">
        <v>14</v>
      </c>
      <c r="H10" s="88">
        <f>IF(B$20=0,0,G10/B$20)</f>
        <v>0.12280701754385964</v>
      </c>
      <c r="I10" s="58">
        <v>4</v>
      </c>
      <c r="K10" s="74">
        <v>8</v>
      </c>
      <c r="L10" s="119">
        <v>86.300000000000011</v>
      </c>
      <c r="M10" s="117">
        <v>1766.6906623768846</v>
      </c>
      <c r="O10" s="73" t="s">
        <v>151</v>
      </c>
      <c r="P10" s="82">
        <f>IF(Q10=0,0,R10/Q10)</f>
        <v>10.481249999999998</v>
      </c>
      <c r="Q10" s="76">
        <v>16</v>
      </c>
      <c r="R10" s="67">
        <v>167.69999999999996</v>
      </c>
    </row>
    <row r="11" spans="1:18" x14ac:dyDescent="0.4">
      <c r="A11" s="20" t="s">
        <v>184</v>
      </c>
      <c r="B11" s="109">
        <f>IF(B8=0,0,C11/B8)</f>
        <v>39.699999999999996</v>
      </c>
      <c r="C11" s="110">
        <v>714.59999999999991</v>
      </c>
      <c r="E11" s="27" t="s">
        <v>70</v>
      </c>
      <c r="F11" s="24" t="s">
        <v>25</v>
      </c>
      <c r="G11" s="12">
        <v>10</v>
      </c>
      <c r="H11" s="88">
        <f>IF(B$20=0,0,G11/B$20)</f>
        <v>8.771929824561403E-2</v>
      </c>
      <c r="I11" s="58">
        <v>5</v>
      </c>
      <c r="K11" s="74">
        <v>9</v>
      </c>
      <c r="L11" s="119">
        <v>65.100000000000009</v>
      </c>
      <c r="M11" s="117">
        <v>1762.2465184026232</v>
      </c>
      <c r="O11" s="74" t="s">
        <v>152</v>
      </c>
      <c r="P11" s="83">
        <f>IF(Q11=0,0,R11/Q11)</f>
        <v>2.5875000000000012</v>
      </c>
      <c r="Q11" s="77">
        <v>16</v>
      </c>
      <c r="R11" s="68">
        <v>41.40000000000002</v>
      </c>
    </row>
    <row r="12" spans="1:18" x14ac:dyDescent="0.4">
      <c r="A12" s="20" t="s">
        <v>185</v>
      </c>
      <c r="B12" s="109">
        <f>IF(B9=0,0,C12/B9)</f>
        <v>-4.0000000000000009</v>
      </c>
      <c r="C12" s="110">
        <v>-56.000000000000014</v>
      </c>
      <c r="E12" s="27" t="s">
        <v>83</v>
      </c>
      <c r="F12" s="24" t="s">
        <v>38</v>
      </c>
      <c r="G12" s="12">
        <v>7</v>
      </c>
      <c r="H12" s="88">
        <f>IF(B$20=0,0,G12/B$20)</f>
        <v>6.1403508771929821E-2</v>
      </c>
      <c r="I12" s="58">
        <v>1</v>
      </c>
      <c r="K12" s="74">
        <v>10</v>
      </c>
      <c r="L12" s="119">
        <v>60.500000000000007</v>
      </c>
      <c r="M12" s="117">
        <v>1760.5890392922074</v>
      </c>
      <c r="O12" s="75" t="s">
        <v>153</v>
      </c>
      <c r="P12" s="84">
        <f>IF(Q12=0,0,R12/Q12)</f>
        <v>14.855555555555558</v>
      </c>
      <c r="Q12" s="78">
        <v>9</v>
      </c>
      <c r="R12" s="69">
        <v>133.70000000000002</v>
      </c>
    </row>
    <row r="13" spans="1:18" x14ac:dyDescent="0.4">
      <c r="A13" s="20" t="s">
        <v>186</v>
      </c>
      <c r="B13" s="109">
        <f>IF(B10=0,0,C13/B10)</f>
        <v>-35.088888888888881</v>
      </c>
      <c r="C13" s="110">
        <v>-315.79999999999995</v>
      </c>
      <c r="E13" s="27" t="s">
        <v>86</v>
      </c>
      <c r="F13" s="24" t="s">
        <v>41</v>
      </c>
      <c r="G13" s="12">
        <v>7</v>
      </c>
      <c r="H13" s="88">
        <f>IF(B$20=0,0,G13/B$20)</f>
        <v>6.1403508771929821E-2</v>
      </c>
      <c r="I13" s="58">
        <v>3</v>
      </c>
      <c r="K13" s="74">
        <v>11</v>
      </c>
      <c r="L13" s="119">
        <v>41.100000000000009</v>
      </c>
      <c r="M13" s="117">
        <v>1756.0315050564541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0.20370370370370475</v>
      </c>
      <c r="C14" s="126"/>
      <c r="E14" s="27" t="s">
        <v>71</v>
      </c>
      <c r="F14" s="24" t="s">
        <v>26</v>
      </c>
      <c r="G14" s="12">
        <v>6</v>
      </c>
      <c r="H14" s="88">
        <f>IF(B$20=0,0,G14/B$20)</f>
        <v>5.2631578947368418E-2</v>
      </c>
      <c r="I14" s="58">
        <v>4</v>
      </c>
      <c r="K14" s="74">
        <v>12</v>
      </c>
      <c r="L14" s="119">
        <v>98.9</v>
      </c>
      <c r="M14" s="117">
        <v>1765.3973160261153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2.4390243902439025E-2</v>
      </c>
      <c r="E15" s="27" t="s">
        <v>81</v>
      </c>
      <c r="F15" s="24" t="s">
        <v>36</v>
      </c>
      <c r="G15" s="12">
        <v>6</v>
      </c>
      <c r="H15" s="88">
        <f>IF(B$20=0,0,G15/B$20)</f>
        <v>5.2631578947368418E-2</v>
      </c>
      <c r="I15" s="58">
        <v>2</v>
      </c>
      <c r="K15" s="74">
        <v>13</v>
      </c>
      <c r="L15" s="119">
        <v>119.10000000000001</v>
      </c>
      <c r="M15" s="117">
        <v>1767.9389321299586</v>
      </c>
      <c r="O15" s="73" t="s">
        <v>197</v>
      </c>
      <c r="P15" s="82">
        <f>IF(Q15=0,0,R15/Q15)</f>
        <v>59.266666666666673</v>
      </c>
      <c r="Q15" s="76">
        <v>3</v>
      </c>
      <c r="R15" s="67">
        <v>177.8</v>
      </c>
    </row>
    <row r="16" spans="1:18" x14ac:dyDescent="0.4">
      <c r="A16" s="22" t="s">
        <v>121</v>
      </c>
      <c r="B16" s="15">
        <v>119</v>
      </c>
      <c r="C16" s="10">
        <f>IF(B$3=0,0,B16/B$3)</f>
        <v>0.36280487804878048</v>
      </c>
      <c r="E16" s="27" t="s">
        <v>78</v>
      </c>
      <c r="F16" s="24" t="s">
        <v>33</v>
      </c>
      <c r="G16" s="12">
        <v>5</v>
      </c>
      <c r="H16" s="88">
        <f>IF(B$20=0,0,G16/B$20)</f>
        <v>4.3859649122807015E-2</v>
      </c>
      <c r="I16" s="58">
        <v>2</v>
      </c>
      <c r="K16" s="74">
        <v>14</v>
      </c>
      <c r="L16" s="119">
        <v>162.4</v>
      </c>
      <c r="M16" s="117">
        <v>1774.6232985371789</v>
      </c>
      <c r="O16" s="74" t="s">
        <v>194</v>
      </c>
      <c r="P16" s="83">
        <f>IF(Q16=0,0,R16/Q16)</f>
        <v>19.755999999999997</v>
      </c>
      <c r="Q16" s="77">
        <v>25</v>
      </c>
      <c r="R16" s="68">
        <v>493.89999999999992</v>
      </c>
    </row>
    <row r="17" spans="1:18" x14ac:dyDescent="0.4">
      <c r="A17" s="19" t="s">
        <v>118</v>
      </c>
      <c r="B17" s="12">
        <v>47</v>
      </c>
      <c r="C17" s="6">
        <f>IF(B$3=0,0,B17/B$3)</f>
        <v>0.14329268292682926</v>
      </c>
      <c r="E17" s="27" t="s">
        <v>88</v>
      </c>
      <c r="F17" s="24" t="s">
        <v>43</v>
      </c>
      <c r="G17" s="12">
        <v>2</v>
      </c>
      <c r="H17" s="88">
        <f>IF(B$20=0,0,G17/B$20)</f>
        <v>1.7543859649122806E-2</v>
      </c>
      <c r="I17" s="58">
        <v>1</v>
      </c>
      <c r="K17" s="74">
        <v>15</v>
      </c>
      <c r="L17" s="119">
        <v>219.2</v>
      </c>
      <c r="M17" s="117">
        <v>1783.6975587459558</v>
      </c>
      <c r="O17" s="74" t="s">
        <v>192</v>
      </c>
      <c r="P17" s="83">
        <f>IF(Q17=0,0,R17/Q17)</f>
        <v>15.256521739130436</v>
      </c>
      <c r="Q17" s="77">
        <v>23</v>
      </c>
      <c r="R17" s="68">
        <v>350.90000000000003</v>
      </c>
    </row>
    <row r="18" spans="1:18" x14ac:dyDescent="0.4">
      <c r="A18" s="18" t="s">
        <v>123</v>
      </c>
      <c r="B18" s="11">
        <f>B24</f>
        <v>66</v>
      </c>
      <c r="C18" s="5">
        <f>IF(B$16=0,0,B18/B$16)</f>
        <v>0.55462184873949583</v>
      </c>
      <c r="E18" s="27" t="s">
        <v>93</v>
      </c>
      <c r="F18" s="24" t="s">
        <v>48</v>
      </c>
      <c r="G18" s="12">
        <v>2</v>
      </c>
      <c r="H18" s="88">
        <f>IF(B$20=0,0,G18/B$20)</f>
        <v>1.7543859649122806E-2</v>
      </c>
      <c r="I18" s="58">
        <v>1</v>
      </c>
      <c r="K18" s="74">
        <v>16</v>
      </c>
      <c r="L18" s="119">
        <v>207.6</v>
      </c>
      <c r="M18" s="117">
        <v>1780.40537339348</v>
      </c>
      <c r="O18" s="74" t="s">
        <v>163</v>
      </c>
      <c r="P18" s="83">
        <f>IF(Q18=0,0,R18/Q18)</f>
        <v>0.18709677419354762</v>
      </c>
      <c r="Q18" s="77">
        <v>31</v>
      </c>
      <c r="R18" s="68">
        <v>5.7999999999999758</v>
      </c>
    </row>
    <row r="19" spans="1:18" x14ac:dyDescent="0.4">
      <c r="A19" s="18" t="s">
        <v>124</v>
      </c>
      <c r="B19" s="11">
        <f>B25</f>
        <v>23</v>
      </c>
      <c r="C19" s="5">
        <f>IF(B$17=0,0,B19/B$17)</f>
        <v>0.48936170212765956</v>
      </c>
      <c r="E19" s="27" t="s">
        <v>155</v>
      </c>
      <c r="F19" s="24" t="s">
        <v>156</v>
      </c>
      <c r="G19" s="12">
        <v>2</v>
      </c>
      <c r="H19" s="88">
        <f>IF(B$20=0,0,G19/B$20)</f>
        <v>1.7543859649122806E-2</v>
      </c>
      <c r="I19" s="58">
        <v>5</v>
      </c>
      <c r="K19" s="74">
        <v>17</v>
      </c>
      <c r="L19" s="119">
        <v>209.2</v>
      </c>
      <c r="M19" s="117">
        <v>1779.5089411531192</v>
      </c>
    </row>
    <row r="20" spans="1:18" x14ac:dyDescent="0.4">
      <c r="A20" s="18" t="s">
        <v>10</v>
      </c>
      <c r="B20" s="11">
        <f>B23+B22</f>
        <v>114</v>
      </c>
      <c r="C20" s="5">
        <f>IF(B$3=0,0,B20/B$3)</f>
        <v>0.34756097560975607</v>
      </c>
      <c r="E20" s="27" t="s">
        <v>91</v>
      </c>
      <c r="F20" s="24" t="s">
        <v>46</v>
      </c>
      <c r="G20" s="12">
        <v>1</v>
      </c>
      <c r="H20" s="88">
        <f>IF(B$20=0,0,G20/B$20)</f>
        <v>8.771929824561403E-3</v>
      </c>
      <c r="I20" s="58">
        <v>4</v>
      </c>
      <c r="K20" s="74">
        <v>18</v>
      </c>
      <c r="L20" s="119">
        <v>194.39999999999998</v>
      </c>
      <c r="M20" s="117">
        <v>1775.6658875062005</v>
      </c>
    </row>
    <row r="21" spans="1:18" x14ac:dyDescent="0.4">
      <c r="A21" s="19" t="s">
        <v>13</v>
      </c>
      <c r="B21" s="12">
        <v>50</v>
      </c>
      <c r="C21" s="6">
        <f>IF(B$3=0,0,B21/B$3)</f>
        <v>0.1524390243902439</v>
      </c>
      <c r="E21" s="27" t="s">
        <v>98</v>
      </c>
      <c r="F21" s="24" t="s">
        <v>53</v>
      </c>
      <c r="G21" s="12">
        <v>1</v>
      </c>
      <c r="H21" s="88">
        <f>IF(B$20=0,0,G21/B$20)</f>
        <v>8.771929824561403E-3</v>
      </c>
      <c r="I21" s="58">
        <v>1</v>
      </c>
      <c r="K21" s="74">
        <v>19</v>
      </c>
      <c r="L21" s="119">
        <v>216.79999999999998</v>
      </c>
      <c r="M21" s="117">
        <v>1778.5418921811633</v>
      </c>
    </row>
    <row r="22" spans="1:18" x14ac:dyDescent="0.4">
      <c r="A22" s="19" t="s">
        <v>12</v>
      </c>
      <c r="B22" s="12">
        <v>53</v>
      </c>
      <c r="C22" s="6">
        <f>IF(B$20=0,0,B22/B$20)</f>
        <v>0.46491228070175439</v>
      </c>
      <c r="E22" s="27" t="s">
        <v>106</v>
      </c>
      <c r="F22" s="24" t="s">
        <v>113</v>
      </c>
      <c r="G22" s="12">
        <v>1</v>
      </c>
      <c r="H22" s="88">
        <f>IF(B$20=0,0,G22/B$20)</f>
        <v>8.771929824561403E-3</v>
      </c>
      <c r="I22" s="58">
        <v>1</v>
      </c>
      <c r="K22" s="74">
        <v>20</v>
      </c>
      <c r="L22" s="119">
        <v>215.6</v>
      </c>
      <c r="M22" s="117">
        <v>1777.6446408280763</v>
      </c>
    </row>
    <row r="23" spans="1:18" x14ac:dyDescent="0.4">
      <c r="A23" s="19" t="s">
        <v>11</v>
      </c>
      <c r="B23" s="12">
        <v>61</v>
      </c>
      <c r="C23" s="6">
        <f>IF(B$20=0,0,B23/B$20)</f>
        <v>0.53508771929824561</v>
      </c>
      <c r="E23" s="27" t="s">
        <v>73</v>
      </c>
      <c r="F23" s="24" t="s">
        <v>28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252.8</v>
      </c>
      <c r="M23" s="117">
        <v>1783.6647729831077</v>
      </c>
    </row>
    <row r="24" spans="1:18" x14ac:dyDescent="0.4">
      <c r="A24" s="19" t="s">
        <v>183</v>
      </c>
      <c r="B24" s="12">
        <v>66</v>
      </c>
      <c r="C24" s="6">
        <f>IF(B$20=0,0,B24/B$20)</f>
        <v>0.57894736842105265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3</v>
      </c>
      <c r="K24" s="74">
        <v>22</v>
      </c>
      <c r="L24" s="119">
        <v>250.60000000000002</v>
      </c>
      <c r="M24" s="117">
        <v>1782.5567843452091</v>
      </c>
    </row>
    <row r="25" spans="1:18" x14ac:dyDescent="0.4">
      <c r="A25" s="19" t="s">
        <v>181</v>
      </c>
      <c r="B25" s="12">
        <v>23</v>
      </c>
      <c r="C25" s="6">
        <f>IF(B$20=0,0,B25/B$20)</f>
        <v>0.20175438596491227</v>
      </c>
      <c r="E25" s="27" t="s">
        <v>75</v>
      </c>
      <c r="F25" s="24" t="s">
        <v>30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262.3</v>
      </c>
      <c r="M25" s="117">
        <v>1783.9574436391379</v>
      </c>
    </row>
    <row r="26" spans="1:18" x14ac:dyDescent="0.4">
      <c r="A26" s="19" t="s">
        <v>182</v>
      </c>
      <c r="B26" s="12">
        <v>25</v>
      </c>
      <c r="C26" s="6">
        <f>IF(B$20=0,0,B26/B$20)</f>
        <v>0.21929824561403508</v>
      </c>
      <c r="E26" s="27" t="s">
        <v>76</v>
      </c>
      <c r="F26" s="24" t="s">
        <v>31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261.60000000000002</v>
      </c>
      <c r="M26" s="117">
        <v>1783.117698977303</v>
      </c>
    </row>
    <row r="27" spans="1:18" x14ac:dyDescent="0.4">
      <c r="A27" s="19" t="s">
        <v>5</v>
      </c>
      <c r="B27" s="16">
        <f>IF(B$20=0,0,C27/B$20)</f>
        <v>9341.2280701754389</v>
      </c>
      <c r="C27" s="8">
        <v>1064900</v>
      </c>
      <c r="E27" s="27" t="s">
        <v>77</v>
      </c>
      <c r="F27" s="24" t="s">
        <v>32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261.60000000000002</v>
      </c>
      <c r="M27" s="117">
        <v>1782.4089927834391</v>
      </c>
    </row>
    <row r="28" spans="1:18" x14ac:dyDescent="0.4">
      <c r="A28" s="20" t="s">
        <v>165</v>
      </c>
      <c r="B28" s="95">
        <f>IF($B$20-B$19=0,0,C28/($B$20-B$19))</f>
        <v>9709.8901098901097</v>
      </c>
      <c r="C28" s="96">
        <v>883600</v>
      </c>
      <c r="E28" s="27" t="s">
        <v>79</v>
      </c>
      <c r="F28" s="24" t="s">
        <v>34</v>
      </c>
      <c r="G28" s="12">
        <v>0</v>
      </c>
      <c r="H28" s="88">
        <f>IF(B$20=0,0,G28/B$20)</f>
        <v>0</v>
      </c>
      <c r="I28" s="58">
        <v>3</v>
      </c>
      <c r="K28" s="74">
        <v>26</v>
      </c>
      <c r="L28" s="119">
        <v>212.8</v>
      </c>
      <c r="M28" s="117">
        <v>1772.9205388267385</v>
      </c>
    </row>
    <row r="29" spans="1:18" x14ac:dyDescent="0.4">
      <c r="A29" s="20" t="s">
        <v>166</v>
      </c>
      <c r="B29" s="95">
        <f>IF(B$19=0,0,C29/B$19)</f>
        <v>7882.608695652174</v>
      </c>
      <c r="C29" s="96">
        <v>181300</v>
      </c>
      <c r="E29" s="27" t="s">
        <v>80</v>
      </c>
      <c r="F29" s="24" t="s">
        <v>35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189.70000000000002</v>
      </c>
      <c r="M29" s="117">
        <v>1767.701015593778</v>
      </c>
    </row>
    <row r="30" spans="1:18" x14ac:dyDescent="0.4">
      <c r="A30" s="20" t="s">
        <v>164</v>
      </c>
      <c r="B30" s="95">
        <f>IF(B$21=0,0,C30/B$21)</f>
        <v>-8446</v>
      </c>
      <c r="C30" s="96">
        <v>-422300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219.4</v>
      </c>
      <c r="M30" s="117">
        <v>1772.0228095002153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252.3</v>
      </c>
      <c r="M31" s="117">
        <v>1776.888672643214</v>
      </c>
    </row>
    <row r="32" spans="1:18" x14ac:dyDescent="0.4">
      <c r="A32" s="19" t="s">
        <v>158</v>
      </c>
      <c r="B32" s="12">
        <v>25</v>
      </c>
      <c r="C32" s="90">
        <v>1</v>
      </c>
      <c r="E32" s="27" t="s">
        <v>85</v>
      </c>
      <c r="F32" s="24" t="s">
        <v>40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258.2</v>
      </c>
      <c r="M32" s="117">
        <v>1776.8713406073548</v>
      </c>
    </row>
    <row r="33" spans="1:13" x14ac:dyDescent="0.4">
      <c r="A33" s="54" t="s">
        <v>136</v>
      </c>
      <c r="B33" s="127">
        <v>7</v>
      </c>
      <c r="C33" s="128"/>
      <c r="E33" s="27" t="s">
        <v>87</v>
      </c>
      <c r="F33" s="24" t="s">
        <v>42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230.79999999999998</v>
      </c>
      <c r="M33" s="117">
        <v>1770.8541125637107</v>
      </c>
    </row>
    <row r="34" spans="1:13" x14ac:dyDescent="0.4">
      <c r="A34" s="22" t="s">
        <v>180</v>
      </c>
      <c r="B34" s="129">
        <v>101500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3</v>
      </c>
      <c r="K34" s="74">
        <v>32</v>
      </c>
      <c r="L34" s="119">
        <v>304.29999999999995</v>
      </c>
      <c r="M34" s="117">
        <v>1783.0409878883283</v>
      </c>
    </row>
    <row r="35" spans="1:13" x14ac:dyDescent="0.4">
      <c r="A35" s="21" t="s">
        <v>137</v>
      </c>
      <c r="B35" s="29">
        <v>0</v>
      </c>
      <c r="C35" s="9">
        <f>IF(B$3=0,0,B35/B$3)</f>
        <v>0</v>
      </c>
      <c r="E35" s="27" t="s">
        <v>92</v>
      </c>
      <c r="F35" s="24" t="s">
        <v>47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304.49999999999994</v>
      </c>
      <c r="M35" s="117">
        <v>1781.9547419609983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372.49999999999994</v>
      </c>
      <c r="M36" s="117">
        <v>1793.0850135092323</v>
      </c>
    </row>
    <row r="37" spans="1:13" x14ac:dyDescent="0.4">
      <c r="A37" s="54" t="s">
        <v>171</v>
      </c>
      <c r="B37" s="123">
        <v>9</v>
      </c>
      <c r="C37" s="98">
        <f t="shared" ref="C37:C49" si="2">IF(B$20=0,0,B37/B$20)</f>
        <v>7.8947368421052627E-2</v>
      </c>
      <c r="E37" s="27" t="s">
        <v>95</v>
      </c>
      <c r="F37" s="24" t="s">
        <v>50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317.99999999999994</v>
      </c>
      <c r="M37" s="117">
        <v>1782.092503428177</v>
      </c>
    </row>
    <row r="38" spans="1:13" x14ac:dyDescent="0.4">
      <c r="A38" s="19" t="s">
        <v>167</v>
      </c>
      <c r="B38" s="12">
        <v>11</v>
      </c>
      <c r="C38" s="6">
        <f t="shared" si="2"/>
        <v>9.6491228070175433E-2</v>
      </c>
      <c r="E38" s="27" t="s">
        <v>96</v>
      </c>
      <c r="F38" s="24" t="s">
        <v>51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358.59999999999997</v>
      </c>
      <c r="M38" s="117">
        <v>1788.283948407608</v>
      </c>
    </row>
    <row r="39" spans="1:13" x14ac:dyDescent="0.4">
      <c r="A39" s="19" t="s">
        <v>168</v>
      </c>
      <c r="B39" s="124">
        <v>22</v>
      </c>
      <c r="C39" s="6">
        <f t="shared" si="2"/>
        <v>0.19298245614035087</v>
      </c>
      <c r="E39" s="27" t="s">
        <v>97</v>
      </c>
      <c r="F39" s="24" t="s">
        <v>52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342.59999999999997</v>
      </c>
      <c r="M39" s="117">
        <v>1784.2502447171623</v>
      </c>
    </row>
    <row r="40" spans="1:13" x14ac:dyDescent="0.4">
      <c r="A40" s="19" t="s">
        <v>169</v>
      </c>
      <c r="B40" s="124">
        <v>24</v>
      </c>
      <c r="C40" s="6">
        <f t="shared" si="2"/>
        <v>0.21052631578947367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310.7</v>
      </c>
      <c r="M40" s="117">
        <v>1777.3787432488593</v>
      </c>
    </row>
    <row r="41" spans="1:13" x14ac:dyDescent="0.4">
      <c r="A41" s="19" t="s">
        <v>170</v>
      </c>
      <c r="B41" s="124">
        <v>22</v>
      </c>
      <c r="C41" s="6">
        <f t="shared" si="2"/>
        <v>0.19298245614035087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297.5</v>
      </c>
      <c r="M41" s="117">
        <v>1773.9144707893661</v>
      </c>
    </row>
    <row r="42" spans="1:13" x14ac:dyDescent="0.4">
      <c r="A42" s="19" t="s">
        <v>172</v>
      </c>
      <c r="B42" s="124">
        <v>12</v>
      </c>
      <c r="C42" s="6">
        <f t="shared" si="2"/>
        <v>0.10526315789473684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349.3</v>
      </c>
      <c r="M42" s="117">
        <v>1782.1709839646298</v>
      </c>
    </row>
    <row r="43" spans="1:13" x14ac:dyDescent="0.4">
      <c r="A43" s="19" t="s">
        <v>173</v>
      </c>
      <c r="B43" s="124">
        <v>4</v>
      </c>
      <c r="C43" s="6">
        <f t="shared" si="2"/>
        <v>3.5087719298245612E-2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342.8</v>
      </c>
      <c r="M43" s="117">
        <v>1779.8839580608421</v>
      </c>
    </row>
    <row r="44" spans="1:13" x14ac:dyDescent="0.4">
      <c r="A44" s="19" t="s">
        <v>174</v>
      </c>
      <c r="B44" s="124">
        <v>1</v>
      </c>
      <c r="C44" s="6">
        <f t="shared" si="2"/>
        <v>8.771929824561403E-3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4</v>
      </c>
      <c r="C45" s="6">
        <f t="shared" si="2"/>
        <v>3.5087719298245612E-2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0</v>
      </c>
      <c r="C46" s="6">
        <f t="shared" si="2"/>
        <v>0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177</v>
      </c>
      <c r="B47" s="124">
        <v>1</v>
      </c>
      <c r="C47" s="6">
        <f t="shared" si="2"/>
        <v>8.771929824561403E-3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4</v>
      </c>
      <c r="C49" s="9">
        <f t="shared" si="2"/>
        <v>3.5087719298245612E-2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E36DC-FE56-4AC0-A1B1-EB7F5B7FE64A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197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</v>
      </c>
      <c r="C2" s="134"/>
      <c r="E2" s="26" t="s">
        <v>72</v>
      </c>
      <c r="F2" s="23" t="s">
        <v>27</v>
      </c>
      <c r="G2" s="11">
        <v>2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1463.4239467393418</v>
      </c>
      <c r="O2" s="73" t="s">
        <v>128</v>
      </c>
      <c r="P2" s="79">
        <f t="shared" ref="P2:P7" si="0">IF(Q2=0,0,R2/Q2)</f>
        <v>-7666.666666666667</v>
      </c>
      <c r="Q2" s="76">
        <v>3</v>
      </c>
      <c r="R2" s="63">
        <v>-23000</v>
      </c>
    </row>
    <row r="3" spans="1:18" x14ac:dyDescent="0.4">
      <c r="A3" s="19" t="s">
        <v>8</v>
      </c>
      <c r="B3" s="135">
        <v>17</v>
      </c>
      <c r="C3" s="136"/>
      <c r="E3" s="27" t="s">
        <v>159</v>
      </c>
      <c r="F3" s="24" t="s">
        <v>160</v>
      </c>
      <c r="G3" s="12">
        <v>1</v>
      </c>
      <c r="H3" s="88">
        <f>IF(B$20=0,0,G3/B$20)</f>
        <v>0.5</v>
      </c>
      <c r="I3" s="58">
        <v>1</v>
      </c>
      <c r="K3" s="74">
        <v>1</v>
      </c>
      <c r="L3" s="119">
        <v>-46</v>
      </c>
      <c r="M3" s="117">
        <v>1455.3634030589058</v>
      </c>
      <c r="O3" s="74" t="s">
        <v>129</v>
      </c>
      <c r="P3" s="80">
        <f t="shared" si="0"/>
        <v>-12733.333333333334</v>
      </c>
      <c r="Q3" s="77">
        <v>3</v>
      </c>
      <c r="R3" s="64">
        <v>-38200</v>
      </c>
    </row>
    <row r="4" spans="1:18" x14ac:dyDescent="0.4">
      <c r="A4" s="19" t="s">
        <v>6</v>
      </c>
      <c r="B4" s="137">
        <v>-113.4</v>
      </c>
      <c r="C4" s="138"/>
      <c r="E4" s="27" t="s">
        <v>64</v>
      </c>
      <c r="F4" s="24" t="s">
        <v>20</v>
      </c>
      <c r="G4" s="12">
        <v>0</v>
      </c>
      <c r="H4" s="88">
        <f>IF(B$20=0,0,G4/B$20)</f>
        <v>0</v>
      </c>
      <c r="I4" s="58">
        <v>6</v>
      </c>
      <c r="K4" s="74">
        <v>2</v>
      </c>
      <c r="L4" s="119">
        <v>-96.9</v>
      </c>
      <c r="M4" s="117">
        <v>1447.1172226405524</v>
      </c>
      <c r="O4" s="74" t="s">
        <v>130</v>
      </c>
      <c r="P4" s="80">
        <f t="shared" si="0"/>
        <v>-5200</v>
      </c>
      <c r="Q4" s="77">
        <v>2</v>
      </c>
      <c r="R4" s="64">
        <v>-10400</v>
      </c>
    </row>
    <row r="5" spans="1:18" x14ac:dyDescent="0.4">
      <c r="A5" s="19" t="s">
        <v>7</v>
      </c>
      <c r="B5" s="125">
        <f>IF(B$2=0,0,B$4/B$2)</f>
        <v>-37.800000000000004</v>
      </c>
      <c r="C5" s="126"/>
      <c r="E5" s="27" t="s">
        <v>65</v>
      </c>
      <c r="F5" s="24" t="s">
        <v>21</v>
      </c>
      <c r="G5" s="12">
        <v>0</v>
      </c>
      <c r="H5" s="88">
        <f>IF(B$20=0,0,G5/B$20)</f>
        <v>0</v>
      </c>
      <c r="I5" s="58">
        <v>6</v>
      </c>
      <c r="K5" s="74">
        <v>3</v>
      </c>
      <c r="L5" s="119">
        <v>-113.4</v>
      </c>
      <c r="M5" s="117">
        <v>1445.1125193047092</v>
      </c>
      <c r="O5" s="74" t="s">
        <v>131</v>
      </c>
      <c r="P5" s="80">
        <f t="shared" si="0"/>
        <v>-1900</v>
      </c>
      <c r="Q5" s="77">
        <v>2</v>
      </c>
      <c r="R5" s="64">
        <v>-3800</v>
      </c>
    </row>
    <row r="6" spans="1:18" x14ac:dyDescent="0.4">
      <c r="A6" s="19" t="s">
        <v>195</v>
      </c>
      <c r="B6" s="129">
        <v>1445.1125193047092</v>
      </c>
      <c r="C6" s="130"/>
      <c r="E6" s="27" t="s">
        <v>66</v>
      </c>
      <c r="F6" s="24" t="s">
        <v>22</v>
      </c>
      <c r="G6" s="12">
        <v>0</v>
      </c>
      <c r="H6" s="88">
        <f>IF(B$20=0,0,G6/B$20)</f>
        <v>0</v>
      </c>
      <c r="I6" s="58">
        <v>6</v>
      </c>
      <c r="O6" s="74" t="s">
        <v>132</v>
      </c>
      <c r="P6" s="80">
        <f t="shared" si="0"/>
        <v>-4000</v>
      </c>
      <c r="Q6" s="77">
        <v>2</v>
      </c>
      <c r="R6" s="64">
        <v>-8000</v>
      </c>
    </row>
    <row r="7" spans="1:18" x14ac:dyDescent="0.4">
      <c r="A7" s="19" t="s">
        <v>1</v>
      </c>
      <c r="B7" s="139">
        <f>IF(B$2=0,0,(B$8*1+B$9*2+B$10*3)/B$2)</f>
        <v>3</v>
      </c>
      <c r="C7" s="140"/>
      <c r="E7" s="27" t="s">
        <v>67</v>
      </c>
      <c r="F7" s="24" t="s">
        <v>23</v>
      </c>
      <c r="G7" s="12">
        <v>0</v>
      </c>
      <c r="H7" s="88">
        <f>IF(B$20=0,0,G7/B$20)</f>
        <v>0</v>
      </c>
      <c r="I7" s="58">
        <v>6</v>
      </c>
      <c r="O7" s="75" t="s">
        <v>133</v>
      </c>
      <c r="P7" s="81">
        <f t="shared" si="0"/>
        <v>0</v>
      </c>
      <c r="Q7" s="78">
        <v>1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1">IF(B$2=0,0,B8/B$2)</f>
        <v>0</v>
      </c>
      <c r="E8" s="27" t="s">
        <v>68</v>
      </c>
      <c r="F8" s="24" t="s">
        <v>12</v>
      </c>
      <c r="G8" s="12">
        <v>0</v>
      </c>
      <c r="H8" s="88">
        <f>IF(B$20=0,0,G8/B$20)</f>
        <v>0</v>
      </c>
      <c r="I8" s="58">
        <v>6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69</v>
      </c>
      <c r="F9" s="24" t="s">
        <v>24</v>
      </c>
      <c r="G9" s="12">
        <v>0</v>
      </c>
      <c r="H9" s="88">
        <f>IF(B$20=0,0,G9/B$20)</f>
        <v>0</v>
      </c>
      <c r="I9" s="58">
        <v>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</v>
      </c>
      <c r="C10" s="7">
        <f t="shared" si="1"/>
        <v>1</v>
      </c>
      <c r="E10" s="27" t="s">
        <v>70</v>
      </c>
      <c r="F10" s="24" t="s">
        <v>25</v>
      </c>
      <c r="G10" s="12">
        <v>0</v>
      </c>
      <c r="H10" s="88">
        <f>IF(B$20=0,0,G10/B$20)</f>
        <v>0</v>
      </c>
      <c r="I10" s="58">
        <v>6</v>
      </c>
      <c r="O10" s="73" t="s">
        <v>151</v>
      </c>
      <c r="P10" s="82">
        <f>IF(Q10=0,0,R10/Q10)</f>
        <v>-50.9</v>
      </c>
      <c r="Q10" s="76">
        <v>1</v>
      </c>
      <c r="R10" s="67">
        <v>-50.9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71</v>
      </c>
      <c r="F11" s="24" t="s">
        <v>26</v>
      </c>
      <c r="G11" s="12">
        <v>0</v>
      </c>
      <c r="H11" s="88">
        <f>IF(B$20=0,0,G11/B$20)</f>
        <v>0</v>
      </c>
      <c r="I11" s="58">
        <v>6</v>
      </c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73</v>
      </c>
      <c r="F12" s="24" t="s">
        <v>28</v>
      </c>
      <c r="G12" s="12">
        <v>0</v>
      </c>
      <c r="H12" s="88">
        <f>IF(B$20=0,0,G12/B$20)</f>
        <v>0</v>
      </c>
      <c r="I12" s="58">
        <v>3</v>
      </c>
      <c r="O12" s="75" t="s">
        <v>153</v>
      </c>
      <c r="P12" s="84">
        <f>IF(Q12=0,0,R12/Q12)</f>
        <v>-31.25</v>
      </c>
      <c r="Q12" s="78">
        <v>2</v>
      </c>
      <c r="R12" s="69">
        <v>-62.5</v>
      </c>
    </row>
    <row r="13" spans="1:18" x14ac:dyDescent="0.4">
      <c r="A13" s="20" t="s">
        <v>186</v>
      </c>
      <c r="B13" s="109">
        <f>IF(B10=0,0,C13/B10)</f>
        <v>-37.800000000000004</v>
      </c>
      <c r="C13" s="110">
        <v>-113.4</v>
      </c>
      <c r="E13" s="27" t="s">
        <v>74</v>
      </c>
      <c r="F13" s="24" t="s">
        <v>29</v>
      </c>
      <c r="G13" s="12">
        <v>0</v>
      </c>
      <c r="H13" s="88">
        <f>IF(B$20=0,0,G13/B$20)</f>
        <v>0</v>
      </c>
      <c r="I13" s="58">
        <v>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-12.600000000000001</v>
      </c>
      <c r="C14" s="126"/>
      <c r="E14" s="27" t="s">
        <v>75</v>
      </c>
      <c r="F14" s="24" t="s">
        <v>30</v>
      </c>
      <c r="G14" s="12">
        <v>0</v>
      </c>
      <c r="H14" s="88">
        <f>IF(B$20=0,0,G14/B$20)</f>
        <v>0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1"/>
        <v>0.66666666666666663</v>
      </c>
      <c r="E15" s="27" t="s">
        <v>76</v>
      </c>
      <c r="F15" s="24" t="s">
        <v>31</v>
      </c>
      <c r="G15" s="12">
        <v>0</v>
      </c>
      <c r="H15" s="88">
        <f>IF(B$20=0,0,G15/B$20)</f>
        <v>0</v>
      </c>
      <c r="I15" s="58">
        <v>1</v>
      </c>
      <c r="O15" s="73" t="s">
        <v>163</v>
      </c>
      <c r="P15" s="82">
        <f>IF(Q15=0,0,R15/Q15)</f>
        <v>-54.133333333333326</v>
      </c>
      <c r="Q15" s="76">
        <v>3</v>
      </c>
      <c r="R15" s="67">
        <v>-162.39999999999998</v>
      </c>
    </row>
    <row r="16" spans="1:18" x14ac:dyDescent="0.4">
      <c r="A16" s="22" t="s">
        <v>121</v>
      </c>
      <c r="B16" s="15">
        <v>1</v>
      </c>
      <c r="C16" s="10">
        <f>IF(B$3=0,0,B16/B$3)</f>
        <v>5.8823529411764705E-2</v>
      </c>
      <c r="E16" s="27" t="s">
        <v>77</v>
      </c>
      <c r="F16" s="24" t="s">
        <v>32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-59.266666666666673</v>
      </c>
      <c r="Q16" s="77">
        <v>3</v>
      </c>
      <c r="R16" s="68">
        <v>-177.8</v>
      </c>
    </row>
    <row r="17" spans="1:9" x14ac:dyDescent="0.4">
      <c r="A17" s="19" t="s">
        <v>118</v>
      </c>
      <c r="B17" s="12">
        <v>4</v>
      </c>
      <c r="C17" s="6">
        <f>IF(B$3=0,0,B17/B$3)</f>
        <v>0.23529411764705882</v>
      </c>
      <c r="E17" s="27" t="s">
        <v>78</v>
      </c>
      <c r="F17" s="24" t="s">
        <v>33</v>
      </c>
      <c r="G17" s="12">
        <v>0</v>
      </c>
      <c r="H17" s="88">
        <f>IF(B$20=0,0,G17/B$20)</f>
        <v>0</v>
      </c>
      <c r="I17" s="58">
        <v>5</v>
      </c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79</v>
      </c>
      <c r="F18" s="24" t="s">
        <v>34</v>
      </c>
      <c r="G18" s="12">
        <v>0</v>
      </c>
      <c r="H18" s="88">
        <f>IF(B$20=0,0,G18/B$20)</f>
        <v>0</v>
      </c>
      <c r="I18" s="58">
        <v>3</v>
      </c>
    </row>
    <row r="19" spans="1:9" x14ac:dyDescent="0.4">
      <c r="A19" s="18" t="s">
        <v>124</v>
      </c>
      <c r="B19" s="11">
        <f>B25</f>
        <v>2</v>
      </c>
      <c r="C19" s="5">
        <f>IF(B$17=0,0,B19/B$17)</f>
        <v>0.5</v>
      </c>
      <c r="E19" s="27" t="s">
        <v>80</v>
      </c>
      <c r="F19" s="24" t="s">
        <v>35</v>
      </c>
      <c r="G19" s="12">
        <v>0</v>
      </c>
      <c r="H19" s="88">
        <f>IF(B$20=0,0,G19/B$20)</f>
        <v>0</v>
      </c>
      <c r="I19" s="58">
        <v>1</v>
      </c>
    </row>
    <row r="20" spans="1:9" x14ac:dyDescent="0.4">
      <c r="A20" s="18" t="s">
        <v>10</v>
      </c>
      <c r="B20" s="11">
        <f>B23+B22</f>
        <v>2</v>
      </c>
      <c r="C20" s="5">
        <f>IF(B$3=0,0,B20/B$3)</f>
        <v>0.11764705882352941</v>
      </c>
      <c r="E20" s="27" t="s">
        <v>81</v>
      </c>
      <c r="F20" s="24" t="s">
        <v>36</v>
      </c>
      <c r="G20" s="12">
        <v>0</v>
      </c>
      <c r="H20" s="88">
        <f>IF(B$20=0,0,G20/B$20)</f>
        <v>0</v>
      </c>
      <c r="I20" s="58">
        <v>6</v>
      </c>
    </row>
    <row r="21" spans="1:9" x14ac:dyDescent="0.4">
      <c r="A21" s="19" t="s">
        <v>13</v>
      </c>
      <c r="B21" s="12">
        <v>7</v>
      </c>
      <c r="C21" s="6">
        <f>IF(B$3=0,0,B21/B$3)</f>
        <v>0.41176470588235292</v>
      </c>
      <c r="E21" s="27" t="s">
        <v>82</v>
      </c>
      <c r="F21" s="24" t="s">
        <v>37</v>
      </c>
      <c r="G21" s="12">
        <v>0</v>
      </c>
      <c r="H21" s="88">
        <f>IF(B$20=0,0,G21/B$20)</f>
        <v>0</v>
      </c>
      <c r="I21" s="58">
        <v>1</v>
      </c>
    </row>
    <row r="22" spans="1:9" x14ac:dyDescent="0.4">
      <c r="A22" s="19" t="s">
        <v>12</v>
      </c>
      <c r="B22" s="12">
        <v>1</v>
      </c>
      <c r="C22" s="6">
        <f>IF(B$20=0,0,B22/B$20)</f>
        <v>0.5</v>
      </c>
      <c r="E22" s="27" t="s">
        <v>83</v>
      </c>
      <c r="F22" s="24" t="s">
        <v>38</v>
      </c>
      <c r="G22" s="12">
        <v>0</v>
      </c>
      <c r="H22" s="88">
        <f>IF(B$20=0,0,G22/B$20)</f>
        <v>0</v>
      </c>
      <c r="I22" s="58">
        <v>5</v>
      </c>
    </row>
    <row r="23" spans="1:9" x14ac:dyDescent="0.4">
      <c r="A23" s="19" t="s">
        <v>11</v>
      </c>
      <c r="B23" s="12">
        <v>1</v>
      </c>
      <c r="C23" s="6">
        <f>IF(B$20=0,0,B23/B$20)</f>
        <v>0.5</v>
      </c>
      <c r="E23" s="27" t="s">
        <v>84</v>
      </c>
      <c r="F23" s="24" t="s">
        <v>39</v>
      </c>
      <c r="G23" s="12">
        <v>0</v>
      </c>
      <c r="H23" s="88">
        <f>IF(B$20=0,0,G23/B$20)</f>
        <v>0</v>
      </c>
      <c r="I23" s="58">
        <v>1</v>
      </c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85</v>
      </c>
      <c r="F24" s="24" t="s">
        <v>40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181</v>
      </c>
      <c r="B25" s="12">
        <v>2</v>
      </c>
      <c r="C25" s="6">
        <f>IF(B$20=0,0,B25/B$20)</f>
        <v>1</v>
      </c>
      <c r="E25" s="27" t="s">
        <v>86</v>
      </c>
      <c r="F25" s="24" t="s">
        <v>41</v>
      </c>
      <c r="G25" s="12">
        <v>0</v>
      </c>
      <c r="H25" s="88">
        <f>IF(B$20=0,0,G25/B$20)</f>
        <v>0</v>
      </c>
      <c r="I25" s="58">
        <v>6</v>
      </c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87</v>
      </c>
      <c r="F26" s="24" t="s">
        <v>42</v>
      </c>
      <c r="G26" s="12">
        <v>0</v>
      </c>
      <c r="H26" s="88">
        <f>IF(B$20=0,0,G26/B$20)</f>
        <v>0</v>
      </c>
      <c r="I26" s="58">
        <v>1</v>
      </c>
    </row>
    <row r="27" spans="1:9" x14ac:dyDescent="0.4">
      <c r="A27" s="19" t="s">
        <v>5</v>
      </c>
      <c r="B27" s="16">
        <f>IF(B$20=0,0,C27/B$20)</f>
        <v>1600</v>
      </c>
      <c r="C27" s="8">
        <v>3200</v>
      </c>
      <c r="E27" s="27" t="s">
        <v>88</v>
      </c>
      <c r="F27" s="24" t="s">
        <v>43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89</v>
      </c>
      <c r="F28" s="24" t="s">
        <v>44</v>
      </c>
      <c r="G28" s="12">
        <v>0</v>
      </c>
      <c r="H28" s="88">
        <f>IF(B$20=0,0,G28/B$20)</f>
        <v>0</v>
      </c>
      <c r="I28" s="58">
        <v>6</v>
      </c>
    </row>
    <row r="29" spans="1:9" x14ac:dyDescent="0.4">
      <c r="A29" s="20" t="s">
        <v>166</v>
      </c>
      <c r="B29" s="95">
        <f>IF(B$19=0,0,C29/B$19)</f>
        <v>1600</v>
      </c>
      <c r="C29" s="96">
        <v>3200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3</v>
      </c>
    </row>
    <row r="30" spans="1:9" x14ac:dyDescent="0.4">
      <c r="A30" s="20" t="s">
        <v>164</v>
      </c>
      <c r="B30" s="95">
        <f>IF(B$21=0,0,C30/B$21)</f>
        <v>-8314.2857142857138</v>
      </c>
      <c r="C30" s="96">
        <v>-58200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9" x14ac:dyDescent="0.4">
      <c r="A31" s="19" t="s">
        <v>157</v>
      </c>
      <c r="B31" s="12">
        <v>1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3</v>
      </c>
    </row>
    <row r="32" spans="1:9" x14ac:dyDescent="0.4">
      <c r="A32" s="19" t="s">
        <v>158</v>
      </c>
      <c r="B32" s="12">
        <v>4</v>
      </c>
      <c r="C32" s="90">
        <v>4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1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180</v>
      </c>
      <c r="B34" s="129">
        <v>28500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3</v>
      </c>
    </row>
    <row r="38" spans="1:9" x14ac:dyDescent="0.4">
      <c r="A38" s="19" t="s">
        <v>167</v>
      </c>
      <c r="B38" s="12">
        <v>1</v>
      </c>
      <c r="C38" s="6">
        <f t="shared" si="2"/>
        <v>0.5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6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E91E-45B5-4A9C-9AF1-810295C0EF1B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23</v>
      </c>
      <c r="C2" s="134"/>
      <c r="E2" s="26" t="s">
        <v>66</v>
      </c>
      <c r="F2" s="23" t="s">
        <v>22</v>
      </c>
      <c r="G2" s="11">
        <v>49</v>
      </c>
      <c r="H2" s="87">
        <f>IF(B$20=0,0,G2/B$20)</f>
        <v>0.98</v>
      </c>
      <c r="I2" s="57">
        <v>1</v>
      </c>
      <c r="K2" s="73">
        <v>0</v>
      </c>
      <c r="L2" s="118">
        <v>0</v>
      </c>
      <c r="M2" s="116">
        <v>1606.4452616651972</v>
      </c>
      <c r="O2" s="73" t="s">
        <v>128</v>
      </c>
      <c r="P2" s="79">
        <f t="shared" ref="P2:P7" si="0">IF(Q2=0,0,R2/Q2)</f>
        <v>-1277.2727272727273</v>
      </c>
      <c r="Q2" s="76">
        <v>22</v>
      </c>
      <c r="R2" s="63">
        <v>-28100</v>
      </c>
    </row>
    <row r="3" spans="1:18" x14ac:dyDescent="0.4">
      <c r="A3" s="19" t="s">
        <v>8</v>
      </c>
      <c r="B3" s="135">
        <v>193</v>
      </c>
      <c r="C3" s="136"/>
      <c r="E3" s="27" t="s">
        <v>72</v>
      </c>
      <c r="F3" s="24" t="s">
        <v>27</v>
      </c>
      <c r="G3" s="12">
        <v>27</v>
      </c>
      <c r="H3" s="88">
        <f>IF(B$20=0,0,G3/B$20)</f>
        <v>0.54</v>
      </c>
      <c r="I3" s="58">
        <v>2</v>
      </c>
      <c r="K3" s="74">
        <v>1</v>
      </c>
      <c r="L3" s="119">
        <v>3.6</v>
      </c>
      <c r="M3" s="117">
        <v>1607.210590095206</v>
      </c>
      <c r="O3" s="74" t="s">
        <v>129</v>
      </c>
      <c r="P3" s="80">
        <f t="shared" si="0"/>
        <v>-1472.7272727272727</v>
      </c>
      <c r="Q3" s="77">
        <v>22</v>
      </c>
      <c r="R3" s="64">
        <v>-32400</v>
      </c>
    </row>
    <row r="4" spans="1:18" x14ac:dyDescent="0.4">
      <c r="A4" s="19" t="s">
        <v>6</v>
      </c>
      <c r="B4" s="137">
        <v>-202.5</v>
      </c>
      <c r="C4" s="138"/>
      <c r="E4" s="27" t="s">
        <v>64</v>
      </c>
      <c r="F4" s="24" t="s">
        <v>20</v>
      </c>
      <c r="G4" s="12">
        <v>23</v>
      </c>
      <c r="H4" s="88">
        <f>IF(B$20=0,0,G4/B$20)</f>
        <v>0.46</v>
      </c>
      <c r="I4" s="58">
        <v>5</v>
      </c>
      <c r="K4" s="74">
        <v>2</v>
      </c>
      <c r="L4" s="119">
        <v>-14.500000000000002</v>
      </c>
      <c r="M4" s="117">
        <v>1604.2813265546349</v>
      </c>
      <c r="O4" s="74" t="s">
        <v>130</v>
      </c>
      <c r="P4" s="80">
        <f t="shared" si="0"/>
        <v>-223.8095238095238</v>
      </c>
      <c r="Q4" s="77">
        <v>21</v>
      </c>
      <c r="R4" s="64">
        <v>-4700</v>
      </c>
    </row>
    <row r="5" spans="1:18" x14ac:dyDescent="0.4">
      <c r="A5" s="19" t="s">
        <v>7</v>
      </c>
      <c r="B5" s="125">
        <f>IF(B$2=0,0,B$4/B$2)</f>
        <v>-8.804347826086957</v>
      </c>
      <c r="C5" s="126"/>
      <c r="E5" s="27" t="s">
        <v>159</v>
      </c>
      <c r="F5" s="24" t="s">
        <v>160</v>
      </c>
      <c r="G5" s="12">
        <v>19</v>
      </c>
      <c r="H5" s="88">
        <f>IF(B$20=0,0,G5/B$20)</f>
        <v>0.38</v>
      </c>
      <c r="I5" s="58">
        <v>3</v>
      </c>
      <c r="K5" s="74">
        <v>3</v>
      </c>
      <c r="L5" s="119">
        <v>-60.5</v>
      </c>
      <c r="M5" s="117">
        <v>1596.3476385953072</v>
      </c>
      <c r="O5" s="74" t="s">
        <v>131</v>
      </c>
      <c r="P5" s="80">
        <f t="shared" si="0"/>
        <v>-2647.6190476190477</v>
      </c>
      <c r="Q5" s="77">
        <v>21</v>
      </c>
      <c r="R5" s="64">
        <v>-55600</v>
      </c>
    </row>
    <row r="6" spans="1:18" x14ac:dyDescent="0.4">
      <c r="A6" s="19" t="s">
        <v>195</v>
      </c>
      <c r="B6" s="129">
        <v>1573.7894008124358</v>
      </c>
      <c r="C6" s="130"/>
      <c r="E6" s="27" t="s">
        <v>68</v>
      </c>
      <c r="F6" s="24" t="s">
        <v>12</v>
      </c>
      <c r="G6" s="12">
        <v>15</v>
      </c>
      <c r="H6" s="88">
        <f>IF(B$20=0,0,G6/B$20)</f>
        <v>0.3</v>
      </c>
      <c r="I6" s="58">
        <v>5</v>
      </c>
      <c r="K6" s="74">
        <v>4</v>
      </c>
      <c r="L6" s="119">
        <v>-7.8999999999999986</v>
      </c>
      <c r="M6" s="117">
        <v>1606.2095527637355</v>
      </c>
      <c r="O6" s="74" t="s">
        <v>132</v>
      </c>
      <c r="P6" s="80">
        <f t="shared" si="0"/>
        <v>1489.4736842105262</v>
      </c>
      <c r="Q6" s="77">
        <v>19</v>
      </c>
      <c r="R6" s="64">
        <v>28300</v>
      </c>
    </row>
    <row r="7" spans="1:18" x14ac:dyDescent="0.4">
      <c r="A7" s="19" t="s">
        <v>1</v>
      </c>
      <c r="B7" s="139">
        <f>IF(B$2=0,0,(B$8*1+B$9*2+B$10*3)/B$2)</f>
        <v>2.1304347826086958</v>
      </c>
      <c r="C7" s="140"/>
      <c r="E7" s="27" t="s">
        <v>89</v>
      </c>
      <c r="F7" s="24" t="s">
        <v>44</v>
      </c>
      <c r="G7" s="12">
        <v>9</v>
      </c>
      <c r="H7" s="88">
        <f>IF(B$20=0,0,G7/B$20)</f>
        <v>0.18</v>
      </c>
      <c r="I7" s="58">
        <v>1</v>
      </c>
      <c r="K7" s="74">
        <v>5</v>
      </c>
      <c r="L7" s="119">
        <v>-20.7</v>
      </c>
      <c r="M7" s="117">
        <v>1604.2402954471531</v>
      </c>
      <c r="O7" s="75" t="s">
        <v>133</v>
      </c>
      <c r="P7" s="81">
        <f t="shared" si="0"/>
        <v>-2806.25</v>
      </c>
      <c r="Q7" s="78">
        <v>16</v>
      </c>
      <c r="R7" s="65">
        <v>-44900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0.2608695652173913</v>
      </c>
      <c r="E8" s="27" t="s">
        <v>65</v>
      </c>
      <c r="F8" s="24" t="s">
        <v>21</v>
      </c>
      <c r="G8" s="12">
        <v>7</v>
      </c>
      <c r="H8" s="88">
        <f>IF(B$20=0,0,G8/B$20)</f>
        <v>0.14000000000000001</v>
      </c>
      <c r="I8" s="58">
        <v>2</v>
      </c>
      <c r="K8" s="74">
        <v>6</v>
      </c>
      <c r="L8" s="119">
        <v>7.6000000000000014</v>
      </c>
      <c r="M8" s="117">
        <v>1609.6808536744702</v>
      </c>
      <c r="O8" s="107"/>
      <c r="P8" s="85"/>
      <c r="Q8" s="108"/>
      <c r="R8" s="70"/>
    </row>
    <row r="9" spans="1:18" x14ac:dyDescent="0.4">
      <c r="A9" s="19" t="s">
        <v>3</v>
      </c>
      <c r="B9" s="12">
        <v>8</v>
      </c>
      <c r="C9" s="6">
        <f t="shared" si="1"/>
        <v>0.34782608695652173</v>
      </c>
      <c r="E9" s="27" t="s">
        <v>70</v>
      </c>
      <c r="F9" s="24" t="s">
        <v>25</v>
      </c>
      <c r="G9" s="12">
        <v>7</v>
      </c>
      <c r="H9" s="88">
        <f>IF(B$20=0,0,G9/B$20)</f>
        <v>0.14000000000000001</v>
      </c>
      <c r="I9" s="58">
        <v>1</v>
      </c>
      <c r="K9" s="74">
        <v>7</v>
      </c>
      <c r="L9" s="119">
        <v>36.5</v>
      </c>
      <c r="M9" s="117">
        <v>1614.9687685524234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9</v>
      </c>
      <c r="C10" s="7">
        <f t="shared" si="1"/>
        <v>0.39130434782608697</v>
      </c>
      <c r="E10" s="27" t="s">
        <v>69</v>
      </c>
      <c r="F10" s="24" t="s">
        <v>24</v>
      </c>
      <c r="G10" s="12">
        <v>6</v>
      </c>
      <c r="H10" s="88">
        <f>IF(B$20=0,0,G10/B$20)</f>
        <v>0.12</v>
      </c>
      <c r="I10" s="58">
        <v>5</v>
      </c>
      <c r="K10" s="74">
        <v>8</v>
      </c>
      <c r="L10" s="119">
        <v>35.9</v>
      </c>
      <c r="M10" s="117">
        <v>1614.6689559411088</v>
      </c>
      <c r="O10" s="73" t="s">
        <v>151</v>
      </c>
      <c r="P10" s="82">
        <f>IF(Q10=0,0,R10/Q10)</f>
        <v>-7.62</v>
      </c>
      <c r="Q10" s="76">
        <v>5</v>
      </c>
      <c r="R10" s="67">
        <v>-38.1</v>
      </c>
    </row>
    <row r="11" spans="1:18" x14ac:dyDescent="0.4">
      <c r="A11" s="20" t="s">
        <v>184</v>
      </c>
      <c r="B11" s="109">
        <f>IF(B8=0,0,C11/B8)</f>
        <v>29.866666666666671</v>
      </c>
      <c r="C11" s="110">
        <v>179.20000000000002</v>
      </c>
      <c r="E11" s="27" t="s">
        <v>67</v>
      </c>
      <c r="F11" s="24" t="s">
        <v>23</v>
      </c>
      <c r="G11" s="12">
        <v>5</v>
      </c>
      <c r="H11" s="88">
        <f>IF(B$20=0,0,G11/B$20)</f>
        <v>0.1</v>
      </c>
      <c r="I11" s="58">
        <v>5</v>
      </c>
      <c r="K11" s="74">
        <v>9</v>
      </c>
      <c r="L11" s="119">
        <v>-3.3000000000000043</v>
      </c>
      <c r="M11" s="117">
        <v>1607.4229422054623</v>
      </c>
      <c r="O11" s="74" t="s">
        <v>152</v>
      </c>
      <c r="P11" s="83">
        <f>IF(Q11=0,0,R11/Q11)</f>
        <v>-23.171428571428571</v>
      </c>
      <c r="Q11" s="77">
        <v>7</v>
      </c>
      <c r="R11" s="68">
        <v>-162.19999999999999</v>
      </c>
    </row>
    <row r="12" spans="1:18" x14ac:dyDescent="0.4">
      <c r="A12" s="20" t="s">
        <v>185</v>
      </c>
      <c r="B12" s="109">
        <f>IF(B9=0,0,C12/B9)</f>
        <v>-4.7750000000000004</v>
      </c>
      <c r="C12" s="110">
        <v>-38.200000000000003</v>
      </c>
      <c r="E12" s="27" t="s">
        <v>71</v>
      </c>
      <c r="F12" s="24" t="s">
        <v>26</v>
      </c>
      <c r="G12" s="12">
        <v>3</v>
      </c>
      <c r="H12" s="88">
        <f>IF(B$20=0,0,G12/B$20)</f>
        <v>0.06</v>
      </c>
      <c r="I12" s="58">
        <v>2</v>
      </c>
      <c r="K12" s="74">
        <v>10</v>
      </c>
      <c r="L12" s="119">
        <v>-0.90000000000000435</v>
      </c>
      <c r="M12" s="117">
        <v>1607.7084045522295</v>
      </c>
      <c r="O12" s="75" t="s">
        <v>153</v>
      </c>
      <c r="P12" s="84">
        <f>IF(Q12=0,0,R12/Q12)</f>
        <v>-0.20000000000000123</v>
      </c>
      <c r="Q12" s="78">
        <v>11</v>
      </c>
      <c r="R12" s="69">
        <v>-2.2000000000000135</v>
      </c>
    </row>
    <row r="13" spans="1:18" x14ac:dyDescent="0.4">
      <c r="A13" s="20" t="s">
        <v>186</v>
      </c>
      <c r="B13" s="109">
        <f>IF(B10=0,0,C13/B10)</f>
        <v>-38.166666666666664</v>
      </c>
      <c r="C13" s="110">
        <v>-343.5</v>
      </c>
      <c r="E13" s="27" t="s">
        <v>78</v>
      </c>
      <c r="F13" s="24" t="s">
        <v>33</v>
      </c>
      <c r="G13" s="12">
        <v>3</v>
      </c>
      <c r="H13" s="88">
        <f>IF(B$20=0,0,G13/B$20)</f>
        <v>0.06</v>
      </c>
      <c r="I13" s="58">
        <v>1</v>
      </c>
      <c r="K13" s="74">
        <v>11</v>
      </c>
      <c r="L13" s="119">
        <v>-3.4000000000000044</v>
      </c>
      <c r="M13" s="117">
        <v>1607.1101541249161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-4.3583333333333316</v>
      </c>
      <c r="C14" s="126"/>
      <c r="E14" s="27" t="s">
        <v>81</v>
      </c>
      <c r="F14" s="24" t="s">
        <v>36</v>
      </c>
      <c r="G14" s="12">
        <v>3</v>
      </c>
      <c r="H14" s="88">
        <f>IF(B$20=0,0,G14/B$20)</f>
        <v>0.06</v>
      </c>
      <c r="I14" s="58">
        <v>1</v>
      </c>
      <c r="K14" s="74">
        <v>12</v>
      </c>
      <c r="L14" s="119">
        <v>-12.700000000000005</v>
      </c>
      <c r="M14" s="117">
        <v>1605.2914932001665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3</v>
      </c>
      <c r="C15" s="9">
        <f t="shared" si="1"/>
        <v>0.13043478260869565</v>
      </c>
      <c r="E15" s="27" t="s">
        <v>83</v>
      </c>
      <c r="F15" s="24" t="s">
        <v>38</v>
      </c>
      <c r="G15" s="12">
        <v>2</v>
      </c>
      <c r="H15" s="88">
        <f>IF(B$20=0,0,G15/B$20)</f>
        <v>0.04</v>
      </c>
      <c r="I15" s="58">
        <v>2</v>
      </c>
      <c r="K15" s="74">
        <v>13</v>
      </c>
      <c r="L15" s="119">
        <v>-58.7</v>
      </c>
      <c r="M15" s="117">
        <v>1596.8777442409655</v>
      </c>
      <c r="O15" s="73" t="s">
        <v>194</v>
      </c>
      <c r="P15" s="82">
        <f>IF(Q15=0,0,R15/Q15)</f>
        <v>9.25</v>
      </c>
      <c r="Q15" s="76">
        <v>10</v>
      </c>
      <c r="R15" s="67">
        <v>92.5</v>
      </c>
    </row>
    <row r="16" spans="1:18" x14ac:dyDescent="0.4">
      <c r="A16" s="22" t="s">
        <v>121</v>
      </c>
      <c r="B16" s="15">
        <v>49</v>
      </c>
      <c r="C16" s="10">
        <f>IF(B$3=0,0,B16/B$3)</f>
        <v>0.25388601036269431</v>
      </c>
      <c r="E16" s="27" t="s">
        <v>74</v>
      </c>
      <c r="F16" s="24" t="s">
        <v>29</v>
      </c>
      <c r="G16" s="12">
        <v>1</v>
      </c>
      <c r="H16" s="88">
        <f>IF(B$20=0,0,G16/B$20)</f>
        <v>0.02</v>
      </c>
      <c r="I16" s="58">
        <v>1</v>
      </c>
      <c r="K16" s="74">
        <v>14</v>
      </c>
      <c r="L16" s="119">
        <v>-32.700000000000003</v>
      </c>
      <c r="M16" s="117">
        <v>1601.4744777755197</v>
      </c>
      <c r="O16" s="74" t="s">
        <v>126</v>
      </c>
      <c r="P16" s="83">
        <f>IF(Q16=0,0,R16/Q16)</f>
        <v>-15.256521739130438</v>
      </c>
      <c r="Q16" s="77">
        <v>23</v>
      </c>
      <c r="R16" s="68">
        <v>-350.90000000000009</v>
      </c>
    </row>
    <row r="17" spans="1:18" x14ac:dyDescent="0.4">
      <c r="A17" s="19" t="s">
        <v>118</v>
      </c>
      <c r="B17" s="12">
        <v>43</v>
      </c>
      <c r="C17" s="6">
        <f>IF(B$3=0,0,B17/B$3)</f>
        <v>0.22279792746113988</v>
      </c>
      <c r="E17" s="27" t="s">
        <v>79</v>
      </c>
      <c r="F17" s="24" t="s">
        <v>34</v>
      </c>
      <c r="G17" s="12">
        <v>1</v>
      </c>
      <c r="H17" s="88">
        <f>IF(B$20=0,0,G17/B$20)</f>
        <v>0.02</v>
      </c>
      <c r="I17" s="58">
        <v>1</v>
      </c>
      <c r="K17" s="74">
        <v>15</v>
      </c>
      <c r="L17" s="119">
        <v>10.699999999999996</v>
      </c>
      <c r="M17" s="117">
        <v>1609.1756309088667</v>
      </c>
      <c r="O17" s="74" t="s">
        <v>163</v>
      </c>
      <c r="P17" s="83">
        <f>IF(Q17=0,0,R17/Q17)</f>
        <v>-26.853846153846156</v>
      </c>
      <c r="Q17" s="77">
        <v>13</v>
      </c>
      <c r="R17" s="68">
        <v>-349.1</v>
      </c>
    </row>
    <row r="18" spans="1:18" x14ac:dyDescent="0.4">
      <c r="A18" s="18" t="s">
        <v>123</v>
      </c>
      <c r="B18" s="11">
        <f>B24</f>
        <v>23</v>
      </c>
      <c r="C18" s="5">
        <f>IF(B$16=0,0,B18/B$16)</f>
        <v>0.46938775510204084</v>
      </c>
      <c r="E18" s="27" t="s">
        <v>86</v>
      </c>
      <c r="F18" s="24" t="s">
        <v>41</v>
      </c>
      <c r="G18" s="12">
        <v>1</v>
      </c>
      <c r="H18" s="88">
        <f>IF(B$20=0,0,G18/B$20)</f>
        <v>0.02</v>
      </c>
      <c r="I18" s="58">
        <v>5</v>
      </c>
      <c r="K18" s="74">
        <v>16</v>
      </c>
      <c r="L18" s="119">
        <v>-22.000000000000007</v>
      </c>
      <c r="M18" s="117">
        <v>1603.1325771234135</v>
      </c>
    </row>
    <row r="19" spans="1:18" x14ac:dyDescent="0.4">
      <c r="A19" s="18" t="s">
        <v>124</v>
      </c>
      <c r="B19" s="11">
        <f>B25</f>
        <v>16</v>
      </c>
      <c r="C19" s="5">
        <f>IF(B$17=0,0,B19/B$17)</f>
        <v>0.37209302325581395</v>
      </c>
      <c r="E19" s="27" t="s">
        <v>155</v>
      </c>
      <c r="F19" s="24" t="s">
        <v>156</v>
      </c>
      <c r="G19" s="12">
        <v>1</v>
      </c>
      <c r="H19" s="88">
        <f>IF(B$20=0,0,G19/B$20)</f>
        <v>0.02</v>
      </c>
      <c r="I19" s="58">
        <v>3</v>
      </c>
      <c r="K19" s="74">
        <v>17</v>
      </c>
      <c r="L19" s="119">
        <v>-44.800000000000011</v>
      </c>
      <c r="M19" s="117">
        <v>1599.3997816606729</v>
      </c>
    </row>
    <row r="20" spans="1:18" x14ac:dyDescent="0.4">
      <c r="A20" s="18" t="s">
        <v>10</v>
      </c>
      <c r="B20" s="11">
        <f>B23+B22</f>
        <v>50</v>
      </c>
      <c r="C20" s="5">
        <f>IF(B$3=0,0,B20/B$3)</f>
        <v>0.25906735751295334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3</v>
      </c>
      <c r="K20" s="74">
        <v>18</v>
      </c>
      <c r="L20" s="119">
        <v>-41.600000000000009</v>
      </c>
      <c r="M20" s="117">
        <v>1600.369382970709</v>
      </c>
    </row>
    <row r="21" spans="1:18" x14ac:dyDescent="0.4">
      <c r="A21" s="19" t="s">
        <v>13</v>
      </c>
      <c r="B21" s="12">
        <v>25</v>
      </c>
      <c r="C21" s="6">
        <f>IF(B$3=0,0,B21/B$3)</f>
        <v>0.12953367875647667</v>
      </c>
      <c r="E21" s="27" t="s">
        <v>75</v>
      </c>
      <c r="F21" s="24" t="s">
        <v>30</v>
      </c>
      <c r="G21" s="12">
        <v>0</v>
      </c>
      <c r="H21" s="88">
        <f>IF(B$20=0,0,G21/B$20)</f>
        <v>0</v>
      </c>
      <c r="I21" s="58">
        <v>3</v>
      </c>
      <c r="K21" s="74">
        <v>19</v>
      </c>
      <c r="L21" s="119">
        <v>-91.200000000000017</v>
      </c>
      <c r="M21" s="117">
        <v>1591.8291666728849</v>
      </c>
    </row>
    <row r="22" spans="1:18" x14ac:dyDescent="0.4">
      <c r="A22" s="19" t="s">
        <v>12</v>
      </c>
      <c r="B22" s="12">
        <v>22</v>
      </c>
      <c r="C22" s="6">
        <f>IF(B$20=0,0,B22/B$20)</f>
        <v>0.44</v>
      </c>
      <c r="E22" s="27" t="s">
        <v>76</v>
      </c>
      <c r="F22" s="24" t="s">
        <v>31</v>
      </c>
      <c r="G22" s="12">
        <v>0</v>
      </c>
      <c r="H22" s="88">
        <f>IF(B$20=0,0,G22/B$20)</f>
        <v>0</v>
      </c>
      <c r="I22" s="58">
        <v>1</v>
      </c>
      <c r="K22" s="74">
        <v>20</v>
      </c>
      <c r="L22" s="119">
        <v>-149.30000000000001</v>
      </c>
      <c r="M22" s="117">
        <v>1581.8101916728476</v>
      </c>
    </row>
    <row r="23" spans="1:18" x14ac:dyDescent="0.4">
      <c r="A23" s="19" t="s">
        <v>11</v>
      </c>
      <c r="B23" s="12">
        <v>28</v>
      </c>
      <c r="C23" s="6">
        <f>IF(B$20=0,0,B23/B$20)</f>
        <v>0.56000000000000005</v>
      </c>
      <c r="E23" s="27" t="s">
        <v>77</v>
      </c>
      <c r="F23" s="24" t="s">
        <v>32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-180.3</v>
      </c>
      <c r="M23" s="117">
        <v>1576.7293305228106</v>
      </c>
    </row>
    <row r="24" spans="1:18" x14ac:dyDescent="0.4">
      <c r="A24" s="19" t="s">
        <v>183</v>
      </c>
      <c r="B24" s="12">
        <v>23</v>
      </c>
      <c r="C24" s="6">
        <f>IF(B$20=0,0,B24/B$20)</f>
        <v>0.46</v>
      </c>
      <c r="E24" s="27" t="s">
        <v>80</v>
      </c>
      <c r="F24" s="24" t="s">
        <v>35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-180.3</v>
      </c>
      <c r="M24" s="117">
        <v>1577.2589545396738</v>
      </c>
    </row>
    <row r="25" spans="1:18" x14ac:dyDescent="0.4">
      <c r="A25" s="19" t="s">
        <v>181</v>
      </c>
      <c r="B25" s="12">
        <v>16</v>
      </c>
      <c r="C25" s="6">
        <f>IF(B$20=0,0,B25/B$20)</f>
        <v>0.32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-202.5</v>
      </c>
      <c r="M25" s="117">
        <v>1573.7894008124358</v>
      </c>
    </row>
    <row r="26" spans="1:18" x14ac:dyDescent="0.4">
      <c r="A26" s="19" t="s">
        <v>182</v>
      </c>
      <c r="B26" s="12">
        <v>11</v>
      </c>
      <c r="C26" s="6">
        <f>IF(B$20=0,0,B26/B$20)</f>
        <v>0.22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8140</v>
      </c>
      <c r="C27" s="8">
        <v>407000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165</v>
      </c>
      <c r="B28" s="95">
        <f>IF($B$20-B$19=0,0,C28/($B$20-B$19))</f>
        <v>9017.6470588235297</v>
      </c>
      <c r="C28" s="96">
        <v>306600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6275</v>
      </c>
      <c r="C29" s="96">
        <v>100400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3</v>
      </c>
    </row>
    <row r="30" spans="1:18" x14ac:dyDescent="0.4">
      <c r="A30" s="20" t="s">
        <v>164</v>
      </c>
      <c r="B30" s="95">
        <f>IF(B$21=0,0,C30/B$21)</f>
        <v>-8452</v>
      </c>
      <c r="C30" s="96">
        <v>-211300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3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5</v>
      </c>
    </row>
    <row r="32" spans="1:18" x14ac:dyDescent="0.4">
      <c r="A32" s="19" t="s">
        <v>158</v>
      </c>
      <c r="B32" s="12">
        <v>27</v>
      </c>
      <c r="C32" s="90">
        <v>7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5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180</v>
      </c>
      <c r="B34" s="129">
        <v>77600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3</v>
      </c>
      <c r="C37" s="98">
        <f t="shared" ref="C37:C49" si="2">IF(B$20=0,0,B37/B$20)</f>
        <v>0.06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12</v>
      </c>
      <c r="C38" s="6">
        <f t="shared" si="2"/>
        <v>0.24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168</v>
      </c>
      <c r="B39" s="124">
        <v>10</v>
      </c>
      <c r="C39" s="6">
        <f t="shared" si="2"/>
        <v>0.2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7</v>
      </c>
      <c r="C40" s="6">
        <f t="shared" si="2"/>
        <v>0.14000000000000001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5</v>
      </c>
      <c r="C41" s="6">
        <f t="shared" si="2"/>
        <v>0.1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4</v>
      </c>
      <c r="C42" s="6">
        <f t="shared" si="2"/>
        <v>0.08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4</v>
      </c>
      <c r="C43" s="6">
        <f t="shared" si="2"/>
        <v>0.08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2</v>
      </c>
      <c r="C44" s="6">
        <f t="shared" si="2"/>
        <v>0.04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3</v>
      </c>
      <c r="C45" s="6">
        <f t="shared" si="2"/>
        <v>0.06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5E8C0-69A0-4AB2-8296-FDCAAB1DD5A7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194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196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25</v>
      </c>
      <c r="C2" s="134"/>
      <c r="E2" s="26" t="s">
        <v>64</v>
      </c>
      <c r="F2" s="23" t="s">
        <v>20</v>
      </c>
      <c r="G2" s="11">
        <v>38</v>
      </c>
      <c r="H2" s="87">
        <f>IF(B$20=0,0,G2/B$20)</f>
        <v>0.70370370370370372</v>
      </c>
      <c r="I2" s="57">
        <v>1</v>
      </c>
      <c r="K2" s="73">
        <v>0</v>
      </c>
      <c r="L2" s="118">
        <v>0</v>
      </c>
      <c r="M2" s="116">
        <v>1377.1480089618358</v>
      </c>
      <c r="O2" s="73" t="s">
        <v>128</v>
      </c>
      <c r="P2" s="79">
        <f t="shared" ref="P2:P7" si="0">IF(Q2=0,0,R2/Q2)</f>
        <v>-6360</v>
      </c>
      <c r="Q2" s="76">
        <v>25</v>
      </c>
      <c r="R2" s="63">
        <v>-159000</v>
      </c>
    </row>
    <row r="3" spans="1:18" x14ac:dyDescent="0.4">
      <c r="A3" s="19" t="s">
        <v>8</v>
      </c>
      <c r="B3" s="135">
        <v>205</v>
      </c>
      <c r="C3" s="136"/>
      <c r="E3" s="27" t="s">
        <v>66</v>
      </c>
      <c r="F3" s="24" t="s">
        <v>22</v>
      </c>
      <c r="G3" s="12">
        <v>37</v>
      </c>
      <c r="H3" s="88">
        <f>IF(B$20=0,0,G3/B$20)</f>
        <v>0.68518518518518523</v>
      </c>
      <c r="I3" s="58">
        <v>5</v>
      </c>
      <c r="K3" s="74">
        <v>1</v>
      </c>
      <c r="L3" s="119">
        <v>-24.3</v>
      </c>
      <c r="M3" s="117">
        <v>1374.2551209080648</v>
      </c>
      <c r="O3" s="74" t="s">
        <v>129</v>
      </c>
      <c r="P3" s="80">
        <f t="shared" si="0"/>
        <v>-2565.217391304348</v>
      </c>
      <c r="Q3" s="77">
        <v>23</v>
      </c>
      <c r="R3" s="64">
        <v>-59000</v>
      </c>
    </row>
    <row r="4" spans="1:18" x14ac:dyDescent="0.4">
      <c r="A4" s="19" t="s">
        <v>6</v>
      </c>
      <c r="B4" s="137">
        <v>-212.20000000000007</v>
      </c>
      <c r="C4" s="138"/>
      <c r="E4" s="27" t="s">
        <v>68</v>
      </c>
      <c r="F4" s="24" t="s">
        <v>12</v>
      </c>
      <c r="G4" s="12">
        <v>26</v>
      </c>
      <c r="H4" s="88">
        <f>IF(B$20=0,0,G4/B$20)</f>
        <v>0.48148148148148145</v>
      </c>
      <c r="I4" s="58">
        <v>1</v>
      </c>
      <c r="K4" s="74">
        <v>2</v>
      </c>
      <c r="L4" s="119">
        <v>-4.3000000000000007</v>
      </c>
      <c r="M4" s="117">
        <v>1379.1075901826164</v>
      </c>
      <c r="O4" s="74" t="s">
        <v>130</v>
      </c>
      <c r="P4" s="80">
        <f t="shared" si="0"/>
        <v>1921.7391304347825</v>
      </c>
      <c r="Q4" s="77">
        <v>23</v>
      </c>
      <c r="R4" s="64">
        <v>44200</v>
      </c>
    </row>
    <row r="5" spans="1:18" x14ac:dyDescent="0.4">
      <c r="A5" s="19" t="s">
        <v>7</v>
      </c>
      <c r="B5" s="125">
        <f>IF(B$2=0,0,B$4/B$2)</f>
        <v>-8.4880000000000031</v>
      </c>
      <c r="C5" s="126"/>
      <c r="E5" s="27" t="s">
        <v>72</v>
      </c>
      <c r="F5" s="24" t="s">
        <v>27</v>
      </c>
      <c r="G5" s="12">
        <v>24</v>
      </c>
      <c r="H5" s="88">
        <f>IF(B$20=0,0,G5/B$20)</f>
        <v>0.44444444444444442</v>
      </c>
      <c r="I5" s="58">
        <v>4</v>
      </c>
      <c r="K5" s="74">
        <v>3</v>
      </c>
      <c r="L5" s="119">
        <v>-22.900000000000002</v>
      </c>
      <c r="M5" s="117">
        <v>1376.9829446415206</v>
      </c>
      <c r="O5" s="74" t="s">
        <v>131</v>
      </c>
      <c r="P5" s="80">
        <f t="shared" si="0"/>
        <v>1413.6363636363637</v>
      </c>
      <c r="Q5" s="77">
        <v>22</v>
      </c>
      <c r="R5" s="64">
        <v>31100</v>
      </c>
    </row>
    <row r="6" spans="1:18" x14ac:dyDescent="0.4">
      <c r="A6" s="19" t="s">
        <v>195</v>
      </c>
      <c r="B6" s="129">
        <v>1372.5824902185618</v>
      </c>
      <c r="C6" s="130"/>
      <c r="E6" s="27" t="s">
        <v>159</v>
      </c>
      <c r="F6" s="24" t="s">
        <v>160</v>
      </c>
      <c r="G6" s="12">
        <v>18</v>
      </c>
      <c r="H6" s="88">
        <f>IF(B$20=0,0,G6/B$20)</f>
        <v>0.33333333333333331</v>
      </c>
      <c r="I6" s="58">
        <v>6</v>
      </c>
      <c r="K6" s="74">
        <v>4</v>
      </c>
      <c r="L6" s="119">
        <v>-45.5</v>
      </c>
      <c r="M6" s="117">
        <v>1374.1510469736716</v>
      </c>
      <c r="O6" s="74" t="s">
        <v>132</v>
      </c>
      <c r="P6" s="80">
        <f t="shared" si="0"/>
        <v>-1509.5238095238096</v>
      </c>
      <c r="Q6" s="77">
        <v>21</v>
      </c>
      <c r="R6" s="64">
        <v>-31700</v>
      </c>
    </row>
    <row r="7" spans="1:18" x14ac:dyDescent="0.4">
      <c r="A7" s="19" t="s">
        <v>1</v>
      </c>
      <c r="B7" s="139">
        <f>IF(B$2=0,0,(B$8*1+B$9*2+B$10*3)/B$2)</f>
        <v>2.2000000000000002</v>
      </c>
      <c r="C7" s="140"/>
      <c r="E7" s="27" t="s">
        <v>69</v>
      </c>
      <c r="F7" s="24" t="s">
        <v>24</v>
      </c>
      <c r="G7" s="12">
        <v>14</v>
      </c>
      <c r="H7" s="88">
        <f>IF(B$20=0,0,G7/B$20)</f>
        <v>0.25925925925925924</v>
      </c>
      <c r="I7" s="58">
        <v>1</v>
      </c>
      <c r="K7" s="74">
        <v>5</v>
      </c>
      <c r="L7" s="119">
        <v>-86.3</v>
      </c>
      <c r="M7" s="117">
        <v>1368.0601406918295</v>
      </c>
      <c r="O7" s="75" t="s">
        <v>133</v>
      </c>
      <c r="P7" s="81">
        <f t="shared" si="0"/>
        <v>1110</v>
      </c>
      <c r="Q7" s="78">
        <v>20</v>
      </c>
      <c r="R7" s="65">
        <v>22200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0.28000000000000003</v>
      </c>
      <c r="E8" s="27" t="s">
        <v>67</v>
      </c>
      <c r="F8" s="24" t="s">
        <v>23</v>
      </c>
      <c r="G8" s="12">
        <v>13</v>
      </c>
      <c r="H8" s="88">
        <f>IF(B$20=0,0,G8/B$20)</f>
        <v>0.24074074074074073</v>
      </c>
      <c r="I8" s="58">
        <v>1</v>
      </c>
      <c r="K8" s="74">
        <v>6</v>
      </c>
      <c r="L8" s="119">
        <v>-133.80000000000001</v>
      </c>
      <c r="M8" s="117">
        <v>1360.7997798476786</v>
      </c>
      <c r="O8" s="107"/>
      <c r="P8" s="85"/>
      <c r="Q8" s="108"/>
      <c r="R8" s="70"/>
    </row>
    <row r="9" spans="1:18" x14ac:dyDescent="0.4">
      <c r="A9" s="19" t="s">
        <v>3</v>
      </c>
      <c r="B9" s="12">
        <v>6</v>
      </c>
      <c r="C9" s="6">
        <f t="shared" si="1"/>
        <v>0.24</v>
      </c>
      <c r="E9" s="27" t="s">
        <v>65</v>
      </c>
      <c r="F9" s="24" t="s">
        <v>21</v>
      </c>
      <c r="G9" s="12">
        <v>10</v>
      </c>
      <c r="H9" s="88">
        <f>IF(B$20=0,0,G9/B$20)</f>
        <v>0.18518518518518517</v>
      </c>
      <c r="I9" s="58">
        <v>1</v>
      </c>
      <c r="K9" s="74">
        <v>7</v>
      </c>
      <c r="L9" s="119">
        <v>-76.200000000000017</v>
      </c>
      <c r="M9" s="117">
        <v>1372.5009811685925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12</v>
      </c>
      <c r="C10" s="7">
        <f t="shared" si="1"/>
        <v>0.48</v>
      </c>
      <c r="E10" s="27" t="s">
        <v>70</v>
      </c>
      <c r="F10" s="24" t="s">
        <v>25</v>
      </c>
      <c r="G10" s="12">
        <v>6</v>
      </c>
      <c r="H10" s="88">
        <f>IF(B$20=0,0,G10/B$20)</f>
        <v>0.1111111111111111</v>
      </c>
      <c r="I10" s="58">
        <v>2</v>
      </c>
      <c r="K10" s="74">
        <v>8</v>
      </c>
      <c r="L10" s="119">
        <v>-103.80000000000001</v>
      </c>
      <c r="M10" s="117">
        <v>1368.7959752815809</v>
      </c>
      <c r="O10" s="73" t="s">
        <v>151</v>
      </c>
      <c r="P10" s="82">
        <f>IF(Q10=0,0,R10/Q10)</f>
        <v>19.900000000000002</v>
      </c>
      <c r="Q10" s="76">
        <v>5</v>
      </c>
      <c r="R10" s="67">
        <v>99.500000000000014</v>
      </c>
    </row>
    <row r="11" spans="1:18" x14ac:dyDescent="0.4">
      <c r="A11" s="20" t="s">
        <v>184</v>
      </c>
      <c r="B11" s="109">
        <f>IF(B8=0,0,C11/B8)</f>
        <v>40.74285714285714</v>
      </c>
      <c r="C11" s="110">
        <v>285.2</v>
      </c>
      <c r="E11" s="27" t="s">
        <v>89</v>
      </c>
      <c r="F11" s="24" t="s">
        <v>44</v>
      </c>
      <c r="G11" s="12">
        <v>5</v>
      </c>
      <c r="H11" s="88">
        <f>IF(B$20=0,0,G11/B$20)</f>
        <v>9.2592592592592587E-2</v>
      </c>
      <c r="I11" s="58">
        <v>5</v>
      </c>
      <c r="K11" s="74">
        <v>9</v>
      </c>
      <c r="L11" s="119">
        <v>-132.4</v>
      </c>
      <c r="M11" s="117">
        <v>1364.9331994298914</v>
      </c>
      <c r="O11" s="74" t="s">
        <v>152</v>
      </c>
      <c r="P11" s="83">
        <f>IF(Q11=0,0,R11/Q11)</f>
        <v>-17.669999999999998</v>
      </c>
      <c r="Q11" s="77">
        <v>10</v>
      </c>
      <c r="R11" s="68">
        <v>-176.7</v>
      </c>
    </row>
    <row r="12" spans="1:18" x14ac:dyDescent="0.4">
      <c r="A12" s="20" t="s">
        <v>185</v>
      </c>
      <c r="B12" s="109">
        <f>IF(B9=0,0,C12/B9)</f>
        <v>-1.3833333333333337</v>
      </c>
      <c r="C12" s="110">
        <v>-8.3000000000000025</v>
      </c>
      <c r="E12" s="27" t="s">
        <v>86</v>
      </c>
      <c r="F12" s="24" t="s">
        <v>41</v>
      </c>
      <c r="G12" s="12">
        <v>4</v>
      </c>
      <c r="H12" s="88">
        <f>IF(B$20=0,0,G12/B$20)</f>
        <v>7.407407407407407E-2</v>
      </c>
      <c r="I12" s="58">
        <v>1</v>
      </c>
      <c r="K12" s="74">
        <v>10</v>
      </c>
      <c r="L12" s="119">
        <v>-122.10000000000001</v>
      </c>
      <c r="M12" s="117">
        <v>1368.0956002333121</v>
      </c>
      <c r="O12" s="75" t="s">
        <v>153</v>
      </c>
      <c r="P12" s="84">
        <f>IF(Q12=0,0,R12/Q12)</f>
        <v>-13.500000000000004</v>
      </c>
      <c r="Q12" s="78">
        <v>10</v>
      </c>
      <c r="R12" s="69">
        <v>-135.00000000000003</v>
      </c>
    </row>
    <row r="13" spans="1:18" x14ac:dyDescent="0.4">
      <c r="A13" s="20" t="s">
        <v>186</v>
      </c>
      <c r="B13" s="109">
        <f>IF(B10=0,0,C13/B10)</f>
        <v>-40.758333333333333</v>
      </c>
      <c r="C13" s="110">
        <v>-489.1</v>
      </c>
      <c r="E13" s="27" t="s">
        <v>81</v>
      </c>
      <c r="F13" s="24" t="s">
        <v>36</v>
      </c>
      <c r="G13" s="12">
        <v>2</v>
      </c>
      <c r="H13" s="88">
        <f>IF(B$20=0,0,G13/B$20)</f>
        <v>3.7037037037037035E-2</v>
      </c>
      <c r="I13" s="58">
        <v>4</v>
      </c>
      <c r="K13" s="74">
        <v>11</v>
      </c>
      <c r="L13" s="119">
        <v>-97.800000000000011</v>
      </c>
      <c r="M13" s="117">
        <v>1373.8370266319123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-0.46626984126984183</v>
      </c>
      <c r="C14" s="126"/>
      <c r="E14" s="27" t="s">
        <v>71</v>
      </c>
      <c r="F14" s="24" t="s">
        <v>26</v>
      </c>
      <c r="G14" s="12">
        <v>1</v>
      </c>
      <c r="H14" s="88">
        <f>IF(B$20=0,0,G14/B$20)</f>
        <v>1.8518518518518517E-2</v>
      </c>
      <c r="I14" s="58">
        <v>5</v>
      </c>
      <c r="K14" s="74">
        <v>12</v>
      </c>
      <c r="L14" s="119">
        <v>-133.30000000000001</v>
      </c>
      <c r="M14" s="117">
        <v>1368.7860044721208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0.16</v>
      </c>
      <c r="E15" s="27" t="s">
        <v>77</v>
      </c>
      <c r="F15" s="24" t="s">
        <v>32</v>
      </c>
      <c r="G15" s="12">
        <v>1</v>
      </c>
      <c r="H15" s="88">
        <f>IF(B$20=0,0,G15/B$20)</f>
        <v>1.8518518518518517E-2</v>
      </c>
      <c r="I15" s="58">
        <v>1</v>
      </c>
      <c r="K15" s="74">
        <v>13</v>
      </c>
      <c r="L15" s="119">
        <v>-175.4</v>
      </c>
      <c r="M15" s="117">
        <v>1362.571288445288</v>
      </c>
      <c r="O15" s="73" t="s">
        <v>163</v>
      </c>
      <c r="P15" s="82">
        <f>IF(Q15=0,0,R15/Q15)</f>
        <v>-3.3466666666666671</v>
      </c>
      <c r="Q15" s="76">
        <v>15</v>
      </c>
      <c r="R15" s="67">
        <v>-50.20000000000001</v>
      </c>
    </row>
    <row r="16" spans="1:18" x14ac:dyDescent="0.4">
      <c r="A16" s="22" t="s">
        <v>121</v>
      </c>
      <c r="B16" s="15">
        <v>66</v>
      </c>
      <c r="C16" s="10">
        <f>IF(B$3=0,0,B16/B$3)</f>
        <v>0.32195121951219513</v>
      </c>
      <c r="E16" s="27" t="s">
        <v>83</v>
      </c>
      <c r="F16" s="24" t="s">
        <v>38</v>
      </c>
      <c r="G16" s="12">
        <v>1</v>
      </c>
      <c r="H16" s="88">
        <f>IF(B$20=0,0,G16/B$20)</f>
        <v>1.8518518518518517E-2</v>
      </c>
      <c r="I16" s="58">
        <v>4</v>
      </c>
      <c r="K16" s="74">
        <v>14</v>
      </c>
      <c r="L16" s="119">
        <v>-130.10000000000002</v>
      </c>
      <c r="M16" s="117">
        <v>1372.1318607146163</v>
      </c>
      <c r="O16" s="74" t="s">
        <v>192</v>
      </c>
      <c r="P16" s="83">
        <f>IF(Q16=0,0,R16/Q16)</f>
        <v>-9.25</v>
      </c>
      <c r="Q16" s="77">
        <v>10</v>
      </c>
      <c r="R16" s="68">
        <v>-92.5</v>
      </c>
    </row>
    <row r="17" spans="1:18" x14ac:dyDescent="0.4">
      <c r="A17" s="19" t="s">
        <v>118</v>
      </c>
      <c r="B17" s="12">
        <v>27</v>
      </c>
      <c r="C17" s="6">
        <f>IF(B$3=0,0,B17/B$3)</f>
        <v>0.13170731707317074</v>
      </c>
      <c r="E17" s="27" t="s">
        <v>90</v>
      </c>
      <c r="F17" s="24" t="s">
        <v>45</v>
      </c>
      <c r="G17" s="12">
        <v>1</v>
      </c>
      <c r="H17" s="88">
        <f>IF(B$20=0,0,G17/B$20)</f>
        <v>1.8518518518518517E-2</v>
      </c>
      <c r="I17" s="58">
        <v>1</v>
      </c>
      <c r="K17" s="74">
        <v>15</v>
      </c>
      <c r="L17" s="119">
        <v>-129.60000000000002</v>
      </c>
      <c r="M17" s="117">
        <v>1373.5650695503286</v>
      </c>
      <c r="O17" s="74" t="s">
        <v>126</v>
      </c>
      <c r="P17" s="83">
        <f>IF(Q17=0,0,R17/Q17)</f>
        <v>-19.755999999999993</v>
      </c>
      <c r="Q17" s="77">
        <v>25</v>
      </c>
      <c r="R17" s="68">
        <v>-493.89999999999986</v>
      </c>
    </row>
    <row r="18" spans="1:18" x14ac:dyDescent="0.4">
      <c r="A18" s="18" t="s">
        <v>123</v>
      </c>
      <c r="B18" s="11">
        <f>B24</f>
        <v>40</v>
      </c>
      <c r="C18" s="5">
        <f>IF(B$16=0,0,B18/B$16)</f>
        <v>0.60606060606060608</v>
      </c>
      <c r="E18" s="27" t="s">
        <v>91</v>
      </c>
      <c r="F18" s="24" t="s">
        <v>46</v>
      </c>
      <c r="G18" s="12">
        <v>1</v>
      </c>
      <c r="H18" s="88">
        <f>IF(B$20=0,0,G18/B$20)</f>
        <v>1.8518518518518517E-2</v>
      </c>
      <c r="I18" s="58">
        <v>1</v>
      </c>
      <c r="K18" s="74">
        <v>16</v>
      </c>
      <c r="L18" s="119">
        <v>-149.90000000000003</v>
      </c>
      <c r="M18" s="117">
        <v>1371.2516791330268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0.18518518518518517</v>
      </c>
      <c r="E19" s="27" t="s">
        <v>155</v>
      </c>
      <c r="F19" s="24" t="s">
        <v>156</v>
      </c>
      <c r="G19" s="12">
        <v>1</v>
      </c>
      <c r="H19" s="88">
        <f>IF(B$20=0,0,G19/B$20)</f>
        <v>1.8518518518518517E-2</v>
      </c>
      <c r="I19" s="58">
        <v>4</v>
      </c>
      <c r="K19" s="74">
        <v>17</v>
      </c>
      <c r="L19" s="119">
        <v>-210.40000000000003</v>
      </c>
      <c r="M19" s="117">
        <v>1361.7101690582285</v>
      </c>
    </row>
    <row r="20" spans="1:18" x14ac:dyDescent="0.4">
      <c r="A20" s="18" t="s">
        <v>10</v>
      </c>
      <c r="B20" s="11">
        <f>B23+B22</f>
        <v>54</v>
      </c>
      <c r="C20" s="5">
        <f>IF(B$3=0,0,B20/B$3)</f>
        <v>0.26341463414634148</v>
      </c>
      <c r="E20" s="27" t="s">
        <v>73</v>
      </c>
      <c r="F20" s="24" t="s">
        <v>28</v>
      </c>
      <c r="G20" s="12">
        <v>0</v>
      </c>
      <c r="H20" s="88">
        <f>IF(B$20=0,0,G20/B$20)</f>
        <v>0</v>
      </c>
      <c r="I20" s="58">
        <v>3</v>
      </c>
      <c r="K20" s="74">
        <v>18</v>
      </c>
      <c r="L20" s="119">
        <v>-278.40000000000003</v>
      </c>
      <c r="M20" s="117">
        <v>1350.8819080438791</v>
      </c>
    </row>
    <row r="21" spans="1:18" x14ac:dyDescent="0.4">
      <c r="A21" s="19" t="s">
        <v>13</v>
      </c>
      <c r="B21" s="12">
        <v>34</v>
      </c>
      <c r="C21" s="6">
        <f>IF(B$3=0,0,B21/B$3)</f>
        <v>0.16585365853658537</v>
      </c>
      <c r="E21" s="27" t="s">
        <v>74</v>
      </c>
      <c r="F21" s="24" t="s">
        <v>29</v>
      </c>
      <c r="G21" s="12">
        <v>0</v>
      </c>
      <c r="H21" s="88">
        <f>IF(B$20=0,0,G21/B$20)</f>
        <v>0</v>
      </c>
      <c r="I21" s="58">
        <v>3</v>
      </c>
      <c r="K21" s="74">
        <v>19</v>
      </c>
      <c r="L21" s="119">
        <v>-236.20000000000005</v>
      </c>
      <c r="M21" s="117">
        <v>1359.9486165956159</v>
      </c>
    </row>
    <row r="22" spans="1:18" x14ac:dyDescent="0.4">
      <c r="A22" s="19" t="s">
        <v>12</v>
      </c>
      <c r="B22" s="12">
        <v>30</v>
      </c>
      <c r="C22" s="6">
        <f>IF(B$20=0,0,B22/B$20)</f>
        <v>0.55555555555555558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-220.00000000000006</v>
      </c>
      <c r="M22" s="117">
        <v>1364.2809248960423</v>
      </c>
    </row>
    <row r="23" spans="1:18" x14ac:dyDescent="0.4">
      <c r="A23" s="19" t="s">
        <v>11</v>
      </c>
      <c r="B23" s="12">
        <v>24</v>
      </c>
      <c r="C23" s="6">
        <f>IF(B$20=0,0,B23/B$20)</f>
        <v>0.44444444444444442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-284.00000000000006</v>
      </c>
      <c r="M23" s="117">
        <v>1354.151239346666</v>
      </c>
    </row>
    <row r="24" spans="1:18" x14ac:dyDescent="0.4">
      <c r="A24" s="19" t="s">
        <v>183</v>
      </c>
      <c r="B24" s="12">
        <v>40</v>
      </c>
      <c r="C24" s="6">
        <f>IF(B$20=0,0,B24/B$20)</f>
        <v>0.7407407407407407</v>
      </c>
      <c r="E24" s="27" t="s">
        <v>78</v>
      </c>
      <c r="F24" s="24" t="s">
        <v>33</v>
      </c>
      <c r="G24" s="12">
        <v>0</v>
      </c>
      <c r="H24" s="88">
        <f>IF(B$20=0,0,G24/B$20)</f>
        <v>0</v>
      </c>
      <c r="I24" s="58">
        <v>5</v>
      </c>
      <c r="K24" s="74">
        <v>22</v>
      </c>
      <c r="L24" s="119">
        <v>-251.30000000000007</v>
      </c>
      <c r="M24" s="117">
        <v>1361.4883319105859</v>
      </c>
    </row>
    <row r="25" spans="1:18" x14ac:dyDescent="0.4">
      <c r="A25" s="19" t="s">
        <v>181</v>
      </c>
      <c r="B25" s="12">
        <v>5</v>
      </c>
      <c r="C25" s="6">
        <f>IF(B$20=0,0,B25/B$20)</f>
        <v>9.2592592592592587E-2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-188.20000000000007</v>
      </c>
      <c r="M25" s="117">
        <v>1374.2534019191223</v>
      </c>
    </row>
    <row r="26" spans="1:18" x14ac:dyDescent="0.4">
      <c r="A26" s="19" t="s">
        <v>182</v>
      </c>
      <c r="B26" s="12">
        <v>9</v>
      </c>
      <c r="C26" s="6">
        <f>IF(B$20=0,0,B26/B$20)</f>
        <v>0.16666666666666666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-184.60000000000008</v>
      </c>
      <c r="M26" s="117">
        <v>1376.2318815076076</v>
      </c>
    </row>
    <row r="27" spans="1:18" x14ac:dyDescent="0.4">
      <c r="A27" s="19" t="s">
        <v>5</v>
      </c>
      <c r="B27" s="16">
        <f>IF(B$20=0,0,C27/B$20)</f>
        <v>8705.5555555555547</v>
      </c>
      <c r="C27" s="8">
        <v>470100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-212.20000000000007</v>
      </c>
      <c r="M27" s="117">
        <v>1372.5824902185618</v>
      </c>
    </row>
    <row r="28" spans="1:18" x14ac:dyDescent="0.4">
      <c r="A28" s="20" t="s">
        <v>165</v>
      </c>
      <c r="B28" s="95">
        <f>IF($B$20-B$19=0,0,C28/($B$20-B$19))</f>
        <v>9059.1836734693879</v>
      </c>
      <c r="C28" s="96">
        <v>443900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166</v>
      </c>
      <c r="B29" s="95">
        <f>IF(B$19=0,0,C29/B$19)</f>
        <v>5240</v>
      </c>
      <c r="C29" s="96">
        <v>26200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164</v>
      </c>
      <c r="B30" s="95">
        <f>IF(B$21=0,0,C30/B$21)</f>
        <v>-9488.2352941176468</v>
      </c>
      <c r="C30" s="96">
        <v>-322600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3</v>
      </c>
    </row>
    <row r="32" spans="1:18" x14ac:dyDescent="0.4">
      <c r="A32" s="19" t="s">
        <v>158</v>
      </c>
      <c r="B32" s="12">
        <v>18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136</v>
      </c>
      <c r="B33" s="127">
        <v>4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180</v>
      </c>
      <c r="B34" s="129">
        <v>82600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3</v>
      </c>
    </row>
    <row r="35" spans="1:9" x14ac:dyDescent="0.4">
      <c r="A35" s="21" t="s">
        <v>137</v>
      </c>
      <c r="B35" s="29">
        <v>1</v>
      </c>
      <c r="C35" s="9">
        <f>IF(B$3=0,0,B35/B$3)</f>
        <v>4.8780487804878049E-3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171</v>
      </c>
      <c r="B37" s="123">
        <v>2</v>
      </c>
      <c r="C37" s="98">
        <f t="shared" ref="C37:C49" si="2">IF(B$20=0,0,B37/B$20)</f>
        <v>3.7037037037037035E-2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8</v>
      </c>
      <c r="C38" s="6">
        <f t="shared" si="2"/>
        <v>0.14814814814814814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168</v>
      </c>
      <c r="B39" s="124">
        <v>8</v>
      </c>
      <c r="C39" s="6">
        <f t="shared" si="2"/>
        <v>0.14814814814814814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13</v>
      </c>
      <c r="C40" s="6">
        <f t="shared" si="2"/>
        <v>0.24074074074074073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170</v>
      </c>
      <c r="B41" s="124">
        <v>11</v>
      </c>
      <c r="C41" s="6">
        <f t="shared" si="2"/>
        <v>0.20370370370370369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8</v>
      </c>
      <c r="C42" s="6">
        <f t="shared" si="2"/>
        <v>0.14814814814814814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2</v>
      </c>
      <c r="C43" s="6">
        <f t="shared" si="2"/>
        <v>3.7037037037037035E-2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1</v>
      </c>
      <c r="C45" s="6">
        <f t="shared" si="2"/>
        <v>1.8518518518518517E-2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176</v>
      </c>
      <c r="B46" s="124">
        <v>1</v>
      </c>
      <c r="C46" s="6">
        <f t="shared" si="2"/>
        <v>1.8518518518518517E-2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F61E-29AF-4FA3-864D-F5224BEF4A32}">
  <sheetPr codeName="Sheet16"/>
  <dimension ref="A1:Q2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194</v>
      </c>
      <c r="B1" s="34" t="s">
        <v>194</v>
      </c>
      <c r="C1" s="34" t="s">
        <v>194</v>
      </c>
      <c r="D1" s="35" t="s">
        <v>194</v>
      </c>
      <c r="E1" s="34" t="s">
        <v>194</v>
      </c>
      <c r="F1" s="34" t="s">
        <v>194</v>
      </c>
      <c r="G1" s="34" t="s">
        <v>194</v>
      </c>
      <c r="H1" s="34" t="s">
        <v>194</v>
      </c>
      <c r="I1" s="34" t="s">
        <v>194</v>
      </c>
      <c r="J1" s="34" t="s">
        <v>194</v>
      </c>
      <c r="K1" s="34" t="s">
        <v>194</v>
      </c>
      <c r="L1" s="34" t="s">
        <v>194</v>
      </c>
      <c r="M1" s="34" t="s">
        <v>194</v>
      </c>
      <c r="N1" s="34" t="s">
        <v>194</v>
      </c>
      <c r="O1" s="34" t="s">
        <v>194</v>
      </c>
      <c r="P1" s="34" t="s">
        <v>194</v>
      </c>
      <c r="Q1" s="34" t="s">
        <v>194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-24.3</v>
      </c>
      <c r="C4" s="30">
        <v>-24.3</v>
      </c>
      <c r="D4" s="35">
        <v>3</v>
      </c>
      <c r="E4" s="31">
        <v>0</v>
      </c>
      <c r="F4" s="31">
        <v>1</v>
      </c>
      <c r="G4" s="31">
        <v>0.1</v>
      </c>
      <c r="H4" s="31">
        <v>0.1</v>
      </c>
      <c r="I4" s="32">
        <v>16000</v>
      </c>
      <c r="J4" s="32">
        <v>-5800</v>
      </c>
      <c r="K4" s="31">
        <v>0</v>
      </c>
      <c r="L4" s="31">
        <v>0.1</v>
      </c>
      <c r="M4" s="31">
        <v>0.1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-4.3000000000000007</v>
      </c>
      <c r="C5" s="30">
        <v>-2.1500000000000004</v>
      </c>
      <c r="D5" s="35">
        <v>2</v>
      </c>
      <c r="E5" s="31">
        <v>0.5</v>
      </c>
      <c r="F5" s="31">
        <v>0.5</v>
      </c>
      <c r="G5" s="31">
        <v>0.11764705882352941</v>
      </c>
      <c r="H5" s="31">
        <v>0.23529411764705882</v>
      </c>
      <c r="I5" s="32">
        <v>20000</v>
      </c>
      <c r="J5" s="32">
        <v>-5700</v>
      </c>
      <c r="K5" s="31">
        <v>0</v>
      </c>
      <c r="L5" s="31">
        <v>0.23529411764705882</v>
      </c>
      <c r="M5" s="31">
        <v>5.8823529411764705E-2</v>
      </c>
      <c r="N5" s="31">
        <v>0.5</v>
      </c>
      <c r="O5" s="31">
        <v>0</v>
      </c>
      <c r="P5" s="31">
        <v>0.5</v>
      </c>
    </row>
    <row r="6" spans="1:17" x14ac:dyDescent="0.4">
      <c r="A6" s="33">
        <v>3</v>
      </c>
      <c r="B6" s="30">
        <v>-22.900000000000002</v>
      </c>
      <c r="C6" s="30">
        <v>-7.6333333333333337</v>
      </c>
      <c r="D6" s="35">
        <v>2</v>
      </c>
      <c r="E6" s="31">
        <v>0.33333333333333331</v>
      </c>
      <c r="F6" s="31">
        <v>0.33333333333333331</v>
      </c>
      <c r="G6" s="31">
        <v>0.14285714285714285</v>
      </c>
      <c r="H6" s="31">
        <v>0.32142857142857145</v>
      </c>
      <c r="I6" s="32">
        <v>13400</v>
      </c>
      <c r="J6" s="32">
        <v>-4900</v>
      </c>
      <c r="K6" s="31">
        <v>0</v>
      </c>
      <c r="L6" s="31">
        <v>0.25</v>
      </c>
      <c r="M6" s="31">
        <v>0.14285714285714285</v>
      </c>
      <c r="N6" s="31">
        <v>0.42857142857142855</v>
      </c>
      <c r="O6" s="31">
        <v>0.25</v>
      </c>
      <c r="P6" s="31">
        <v>0.25</v>
      </c>
    </row>
    <row r="7" spans="1:17" x14ac:dyDescent="0.4">
      <c r="A7" s="33">
        <v>4</v>
      </c>
      <c r="B7" s="30">
        <v>-45.5</v>
      </c>
      <c r="C7" s="30">
        <v>-11.375</v>
      </c>
      <c r="D7" s="35">
        <v>2.25</v>
      </c>
      <c r="E7" s="31">
        <v>0.25</v>
      </c>
      <c r="F7" s="31">
        <v>0.5</v>
      </c>
      <c r="G7" s="31">
        <v>0.1388888888888889</v>
      </c>
      <c r="H7" s="31">
        <v>0.25</v>
      </c>
      <c r="I7" s="32">
        <v>12260</v>
      </c>
      <c r="J7" s="32">
        <v>-4900</v>
      </c>
      <c r="K7" s="31">
        <v>0</v>
      </c>
      <c r="L7" s="31">
        <v>0.30555555555555558</v>
      </c>
      <c r="M7" s="31">
        <v>0.16666666666666666</v>
      </c>
      <c r="N7" s="31">
        <v>0.36363636363636365</v>
      </c>
      <c r="O7" s="31">
        <v>0.16666666666666666</v>
      </c>
      <c r="P7" s="31">
        <v>0.2</v>
      </c>
    </row>
    <row r="8" spans="1:17" x14ac:dyDescent="0.4">
      <c r="A8" s="33">
        <v>5</v>
      </c>
      <c r="B8" s="30">
        <v>-86.3</v>
      </c>
      <c r="C8" s="30">
        <v>-17.259999999999998</v>
      </c>
      <c r="D8" s="35">
        <v>2.4</v>
      </c>
      <c r="E8" s="31">
        <v>0.2</v>
      </c>
      <c r="F8" s="31">
        <v>0.6</v>
      </c>
      <c r="G8" s="31">
        <v>0.15217391304347827</v>
      </c>
      <c r="H8" s="31">
        <v>0.2608695652173913</v>
      </c>
      <c r="I8" s="32">
        <v>12085.714285714286</v>
      </c>
      <c r="J8" s="32">
        <v>-5058.333333333333</v>
      </c>
      <c r="K8" s="31">
        <v>0</v>
      </c>
      <c r="L8" s="31">
        <v>0.30434782608695654</v>
      </c>
      <c r="M8" s="31">
        <v>0.21739130434782608</v>
      </c>
      <c r="N8" s="31">
        <v>0.42857142857142855</v>
      </c>
      <c r="O8" s="31">
        <v>0.1</v>
      </c>
      <c r="P8" s="31">
        <v>0.2857142857142857</v>
      </c>
    </row>
    <row r="9" spans="1:17" x14ac:dyDescent="0.4">
      <c r="A9" s="33">
        <v>6</v>
      </c>
      <c r="B9" s="30">
        <v>-133.80000000000001</v>
      </c>
      <c r="C9" s="30">
        <v>-22.3</v>
      </c>
      <c r="D9" s="35">
        <v>2.5</v>
      </c>
      <c r="E9" s="31">
        <v>0.16666666666666666</v>
      </c>
      <c r="F9" s="31">
        <v>0.66666666666666663</v>
      </c>
      <c r="G9" s="31">
        <v>0.13207547169811321</v>
      </c>
      <c r="H9" s="31">
        <v>0.22641509433962265</v>
      </c>
      <c r="I9" s="32">
        <v>12085.714285714286</v>
      </c>
      <c r="J9" s="32">
        <v>-5058.333333333333</v>
      </c>
      <c r="K9" s="31">
        <v>0.16666666666666666</v>
      </c>
      <c r="L9" s="31">
        <v>0.28301886792452829</v>
      </c>
      <c r="M9" s="31">
        <v>0.18867924528301888</v>
      </c>
      <c r="N9" s="31">
        <v>0.4</v>
      </c>
      <c r="O9" s="31">
        <v>0.1</v>
      </c>
      <c r="P9" s="31">
        <v>0.2857142857142857</v>
      </c>
    </row>
    <row r="10" spans="1:17" x14ac:dyDescent="0.4">
      <c r="A10" s="33">
        <v>7</v>
      </c>
      <c r="B10" s="30">
        <v>-76.200000000000017</v>
      </c>
      <c r="C10" s="30">
        <v>-10.885714285714288</v>
      </c>
      <c r="D10" s="35">
        <v>2.2857142857142856</v>
      </c>
      <c r="E10" s="31">
        <v>0.2857142857142857</v>
      </c>
      <c r="F10" s="31">
        <v>0.5714285714285714</v>
      </c>
      <c r="G10" s="31">
        <v>0.18032786885245902</v>
      </c>
      <c r="H10" s="31">
        <v>0.21311475409836064</v>
      </c>
      <c r="I10" s="32">
        <v>12209.09090909091</v>
      </c>
      <c r="J10" s="32">
        <v>-4869.2307692307695</v>
      </c>
      <c r="K10" s="31">
        <v>0.14285714285714285</v>
      </c>
      <c r="L10" s="31">
        <v>0.32786885245901637</v>
      </c>
      <c r="M10" s="31">
        <v>0.16393442622950818</v>
      </c>
      <c r="N10" s="31">
        <v>0.45</v>
      </c>
      <c r="O10" s="31">
        <v>0.1</v>
      </c>
      <c r="P10" s="31">
        <v>0.36363636363636365</v>
      </c>
    </row>
    <row r="11" spans="1:17" x14ac:dyDescent="0.4">
      <c r="A11" s="33">
        <v>8</v>
      </c>
      <c r="B11" s="30">
        <v>-103.80000000000001</v>
      </c>
      <c r="C11" s="30">
        <v>-12.975000000000001</v>
      </c>
      <c r="D11" s="35">
        <v>2.375</v>
      </c>
      <c r="E11" s="31">
        <v>0.25</v>
      </c>
      <c r="F11" s="31">
        <v>0.625</v>
      </c>
      <c r="G11" s="31">
        <v>0.18309859154929578</v>
      </c>
      <c r="H11" s="31">
        <v>0.18309859154929578</v>
      </c>
      <c r="I11" s="32">
        <v>11246.153846153846</v>
      </c>
      <c r="J11" s="32">
        <v>-4869.2307692307695</v>
      </c>
      <c r="K11" s="31">
        <v>0.125</v>
      </c>
      <c r="L11" s="31">
        <v>0.30985915492957744</v>
      </c>
      <c r="M11" s="31">
        <v>0.15492957746478872</v>
      </c>
      <c r="N11" s="31">
        <v>0.5</v>
      </c>
      <c r="O11" s="31">
        <v>9.0909090909090912E-2</v>
      </c>
      <c r="P11" s="31">
        <v>0.38461538461538464</v>
      </c>
    </row>
    <row r="12" spans="1:17" x14ac:dyDescent="0.4">
      <c r="A12" s="33">
        <v>9</v>
      </c>
      <c r="B12" s="30">
        <v>-132.4</v>
      </c>
      <c r="C12" s="30">
        <v>-14.711111111111112</v>
      </c>
      <c r="D12" s="35">
        <v>2.4444444444444446</v>
      </c>
      <c r="E12" s="31">
        <v>0.22222222222222221</v>
      </c>
      <c r="F12" s="31">
        <v>0.66666666666666663</v>
      </c>
      <c r="G12" s="31">
        <v>0.16666666666666666</v>
      </c>
      <c r="H12" s="31">
        <v>0.20512820512820512</v>
      </c>
      <c r="I12" s="32">
        <v>11246.153846153846</v>
      </c>
      <c r="J12" s="32">
        <v>-5025</v>
      </c>
      <c r="K12" s="31">
        <v>0.1111111111111111</v>
      </c>
      <c r="L12" s="31">
        <v>0.30769230769230771</v>
      </c>
      <c r="M12" s="31">
        <v>0.16666666666666666</v>
      </c>
      <c r="N12" s="31">
        <v>0.45833333333333331</v>
      </c>
      <c r="O12" s="31">
        <v>7.6923076923076927E-2</v>
      </c>
      <c r="P12" s="31">
        <v>0.38461538461538464</v>
      </c>
    </row>
    <row r="13" spans="1:17" x14ac:dyDescent="0.4">
      <c r="A13" s="33">
        <v>10</v>
      </c>
      <c r="B13" s="30">
        <v>-122.10000000000001</v>
      </c>
      <c r="C13" s="30">
        <v>-12.21</v>
      </c>
      <c r="D13" s="35">
        <v>2.4</v>
      </c>
      <c r="E13" s="31">
        <v>0.2</v>
      </c>
      <c r="F13" s="31">
        <v>0.6</v>
      </c>
      <c r="G13" s="31">
        <v>0.19540229885057472</v>
      </c>
      <c r="H13" s="31">
        <v>0.19540229885057472</v>
      </c>
      <c r="I13" s="32">
        <v>10558.823529411764</v>
      </c>
      <c r="J13" s="32">
        <v>-5435.2941176470586</v>
      </c>
      <c r="K13" s="31">
        <v>0.1</v>
      </c>
      <c r="L13" s="31">
        <v>0.33333333333333331</v>
      </c>
      <c r="M13" s="31">
        <v>0.16091954022988506</v>
      </c>
      <c r="N13" s="31">
        <v>0.48275862068965519</v>
      </c>
      <c r="O13" s="31">
        <v>0.14285714285714285</v>
      </c>
      <c r="P13" s="31">
        <v>0.41176470588235292</v>
      </c>
    </row>
    <row r="14" spans="1:17" x14ac:dyDescent="0.4">
      <c r="A14" s="33">
        <v>11</v>
      </c>
      <c r="B14" s="30">
        <v>-97.800000000000011</v>
      </c>
      <c r="C14" s="30">
        <v>-8.8909090909090924</v>
      </c>
      <c r="D14" s="35">
        <v>2.2727272727272729</v>
      </c>
      <c r="E14" s="31">
        <v>0.27272727272727271</v>
      </c>
      <c r="F14" s="31">
        <v>0.54545454545454541</v>
      </c>
      <c r="G14" s="31">
        <v>0.21875</v>
      </c>
      <c r="H14" s="31">
        <v>0.1875</v>
      </c>
      <c r="I14" s="32">
        <v>9657.1428571428569</v>
      </c>
      <c r="J14" s="32">
        <v>-5800</v>
      </c>
      <c r="K14" s="31">
        <v>9.0909090909090912E-2</v>
      </c>
      <c r="L14" s="31">
        <v>0.32291666666666669</v>
      </c>
      <c r="M14" s="31">
        <v>0.14583333333333334</v>
      </c>
      <c r="N14" s="31">
        <v>0.5161290322580645</v>
      </c>
      <c r="O14" s="31">
        <v>0.14285714285714285</v>
      </c>
      <c r="P14" s="31">
        <v>0.42857142857142855</v>
      </c>
    </row>
    <row r="15" spans="1:17" x14ac:dyDescent="0.4">
      <c r="A15" s="33">
        <v>12</v>
      </c>
      <c r="B15" s="30">
        <v>-133.30000000000001</v>
      </c>
      <c r="C15" s="30">
        <v>-11.108333333333334</v>
      </c>
      <c r="D15" s="35">
        <v>2.3333333333333335</v>
      </c>
      <c r="E15" s="31">
        <v>0.25</v>
      </c>
      <c r="F15" s="31">
        <v>0.58333333333333337</v>
      </c>
      <c r="G15" s="31">
        <v>0.22115384615384615</v>
      </c>
      <c r="H15" s="31">
        <v>0.17307692307692307</v>
      </c>
      <c r="I15" s="32">
        <v>9569.565217391304</v>
      </c>
      <c r="J15" s="32">
        <v>-5800</v>
      </c>
      <c r="K15" s="31">
        <v>8.3333333333333329E-2</v>
      </c>
      <c r="L15" s="31">
        <v>0.34615384615384615</v>
      </c>
      <c r="M15" s="31">
        <v>0.13461538461538461</v>
      </c>
      <c r="N15" s="31">
        <v>0.5</v>
      </c>
      <c r="O15" s="31">
        <v>0.14285714285714285</v>
      </c>
      <c r="P15" s="31">
        <v>0.43478260869565216</v>
      </c>
    </row>
    <row r="16" spans="1:17" x14ac:dyDescent="0.4">
      <c r="A16" s="33">
        <v>13</v>
      </c>
      <c r="B16" s="30">
        <v>-175.4</v>
      </c>
      <c r="C16" s="30">
        <v>-13.492307692307692</v>
      </c>
      <c r="D16" s="35">
        <v>2.3846153846153846</v>
      </c>
      <c r="E16" s="31">
        <v>0.23076923076923078</v>
      </c>
      <c r="F16" s="31">
        <v>0.61538461538461542</v>
      </c>
      <c r="G16" s="31">
        <v>0.21621621621621623</v>
      </c>
      <c r="H16" s="31">
        <v>0.18018018018018017</v>
      </c>
      <c r="I16" s="32">
        <v>9495.8333333333339</v>
      </c>
      <c r="J16" s="32">
        <v>-6060</v>
      </c>
      <c r="K16" s="31">
        <v>7.6923076923076927E-2</v>
      </c>
      <c r="L16" s="31">
        <v>0.34234234234234234</v>
      </c>
      <c r="M16" s="31">
        <v>0.13513513513513514</v>
      </c>
      <c r="N16" s="31">
        <v>0.5</v>
      </c>
      <c r="O16" s="31">
        <v>0.13333333333333333</v>
      </c>
      <c r="P16" s="31">
        <v>0.45833333333333331</v>
      </c>
    </row>
    <row r="17" spans="1:16" x14ac:dyDescent="0.4">
      <c r="A17" s="33">
        <v>14</v>
      </c>
      <c r="B17" s="30">
        <v>-130.10000000000002</v>
      </c>
      <c r="C17" s="30">
        <v>-9.2928571428571445</v>
      </c>
      <c r="D17" s="35">
        <v>2.2857142857142856</v>
      </c>
      <c r="E17" s="31">
        <v>0.2857142857142857</v>
      </c>
      <c r="F17" s="31">
        <v>0.5714285714285714</v>
      </c>
      <c r="G17" s="31">
        <v>0.24166666666666667</v>
      </c>
      <c r="H17" s="31">
        <v>0.17499999999999999</v>
      </c>
      <c r="I17" s="32">
        <v>9000</v>
      </c>
      <c r="J17" s="32">
        <v>-6342.8571428571431</v>
      </c>
      <c r="K17" s="31">
        <v>7.1428571428571425E-2</v>
      </c>
      <c r="L17" s="31">
        <v>0.35</v>
      </c>
      <c r="M17" s="31">
        <v>0.125</v>
      </c>
      <c r="N17" s="31">
        <v>0.54761904761904767</v>
      </c>
      <c r="O17" s="31">
        <v>0.13333333333333333</v>
      </c>
      <c r="P17" s="31">
        <v>0.48275862068965519</v>
      </c>
    </row>
    <row r="18" spans="1:16" x14ac:dyDescent="0.4">
      <c r="A18" s="33">
        <v>15</v>
      </c>
      <c r="B18" s="30">
        <v>-129.60000000000002</v>
      </c>
      <c r="C18" s="30">
        <v>-8.6400000000000023</v>
      </c>
      <c r="D18" s="35">
        <v>2.2666666666666666</v>
      </c>
      <c r="E18" s="31">
        <v>0.26666666666666666</v>
      </c>
      <c r="F18" s="31">
        <v>0.53333333333333333</v>
      </c>
      <c r="G18" s="31">
        <v>0.23809523809523808</v>
      </c>
      <c r="H18" s="31">
        <v>0.16666666666666666</v>
      </c>
      <c r="I18" s="32">
        <v>8966.6666666666661</v>
      </c>
      <c r="J18" s="32">
        <v>-6342.8571428571431</v>
      </c>
      <c r="K18" s="31">
        <v>6.6666666666666666E-2</v>
      </c>
      <c r="L18" s="31">
        <v>0.33333333333333331</v>
      </c>
      <c r="M18" s="31">
        <v>0.12698412698412698</v>
      </c>
      <c r="N18" s="31">
        <v>0.54761904761904767</v>
      </c>
      <c r="O18" s="31">
        <v>0.125</v>
      </c>
      <c r="P18" s="31">
        <v>0.5</v>
      </c>
    </row>
    <row r="19" spans="1:16" x14ac:dyDescent="0.4">
      <c r="A19" s="33">
        <v>16</v>
      </c>
      <c r="B19" s="30">
        <v>-149.90000000000003</v>
      </c>
      <c r="C19" s="30">
        <v>-9.3687500000000021</v>
      </c>
      <c r="D19" s="35">
        <v>2.25</v>
      </c>
      <c r="E19" s="31">
        <v>0.25</v>
      </c>
      <c r="F19" s="31">
        <v>0.5</v>
      </c>
      <c r="G19" s="31">
        <v>0.2391304347826087</v>
      </c>
      <c r="H19" s="31">
        <v>0.17391304347826086</v>
      </c>
      <c r="I19" s="32">
        <v>8975.757575757576</v>
      </c>
      <c r="J19" s="32">
        <v>-7300</v>
      </c>
      <c r="K19" s="31">
        <v>6.25E-2</v>
      </c>
      <c r="L19" s="31">
        <v>0.3188405797101449</v>
      </c>
      <c r="M19" s="31">
        <v>0.11594202898550725</v>
      </c>
      <c r="N19" s="31">
        <v>0.56818181818181823</v>
      </c>
      <c r="O19" s="31">
        <v>0.125</v>
      </c>
      <c r="P19" s="31">
        <v>0.51515151515151514</v>
      </c>
    </row>
    <row r="20" spans="1:16" x14ac:dyDescent="0.4">
      <c r="A20" s="33">
        <v>17</v>
      </c>
      <c r="B20" s="30">
        <v>-210.40000000000003</v>
      </c>
      <c r="C20" s="30">
        <v>-12.376470588235296</v>
      </c>
      <c r="D20" s="35">
        <v>2.2941176470588234</v>
      </c>
      <c r="E20" s="31">
        <v>0.23529411764705882</v>
      </c>
      <c r="F20" s="31">
        <v>0.52941176470588236</v>
      </c>
      <c r="G20" s="31">
        <v>0.23239436619718309</v>
      </c>
      <c r="H20" s="31">
        <v>0.176056338028169</v>
      </c>
      <c r="I20" s="32">
        <v>8975.757575757576</v>
      </c>
      <c r="J20" s="32">
        <v>-8288</v>
      </c>
      <c r="K20" s="31">
        <v>0.11764705882352941</v>
      </c>
      <c r="L20" s="31">
        <v>0.30985915492957744</v>
      </c>
      <c r="M20" s="31">
        <v>0.12676056338028169</v>
      </c>
      <c r="N20" s="31">
        <v>0.56818181818181823</v>
      </c>
      <c r="O20" s="31">
        <v>0.1111111111111111</v>
      </c>
      <c r="P20" s="31">
        <v>0.51515151515151514</v>
      </c>
    </row>
    <row r="21" spans="1:16" x14ac:dyDescent="0.4">
      <c r="A21" s="33">
        <v>18</v>
      </c>
      <c r="B21" s="30">
        <v>-278.40000000000003</v>
      </c>
      <c r="C21" s="30">
        <v>-15.466666666666669</v>
      </c>
      <c r="D21" s="35">
        <v>2.3333333333333335</v>
      </c>
      <c r="E21" s="31">
        <v>0.22222222222222221</v>
      </c>
      <c r="F21" s="31">
        <v>0.55555555555555558</v>
      </c>
      <c r="G21" s="31">
        <v>0.23076923076923078</v>
      </c>
      <c r="H21" s="31">
        <v>0.18181818181818182</v>
      </c>
      <c r="I21" s="32">
        <v>8975.757575757576</v>
      </c>
      <c r="J21" s="32">
        <v>-9815.3846153846152</v>
      </c>
      <c r="K21" s="31">
        <v>0.16666666666666666</v>
      </c>
      <c r="L21" s="31">
        <v>0.30769230769230771</v>
      </c>
      <c r="M21" s="31">
        <v>0.12587412587412589</v>
      </c>
      <c r="N21" s="31">
        <v>0.56818181818181823</v>
      </c>
      <c r="O21" s="31">
        <v>0.1111111111111111</v>
      </c>
      <c r="P21" s="31">
        <v>0.51515151515151514</v>
      </c>
    </row>
    <row r="22" spans="1:16" x14ac:dyDescent="0.4">
      <c r="A22" s="33">
        <v>19</v>
      </c>
      <c r="B22" s="30">
        <v>-236.20000000000005</v>
      </c>
      <c r="C22" s="30">
        <v>-12.431578947368424</v>
      </c>
      <c r="D22" s="35">
        <v>2.263157894736842</v>
      </c>
      <c r="E22" s="31">
        <v>0.26315789473684209</v>
      </c>
      <c r="F22" s="31">
        <v>0.52631578947368418</v>
      </c>
      <c r="G22" s="31">
        <v>0.24503311258278146</v>
      </c>
      <c r="H22" s="31">
        <v>0.17880794701986755</v>
      </c>
      <c r="I22" s="32">
        <v>8951.3513513513517</v>
      </c>
      <c r="J22" s="32">
        <v>-9748.1481481481478</v>
      </c>
      <c r="K22" s="31">
        <v>0.15789473684210525</v>
      </c>
      <c r="L22" s="31">
        <v>0.30463576158940397</v>
      </c>
      <c r="M22" s="31">
        <v>0.13245033112582782</v>
      </c>
      <c r="N22" s="31">
        <v>0.58695652173913049</v>
      </c>
      <c r="O22" s="31">
        <v>0.2</v>
      </c>
      <c r="P22" s="31">
        <v>0.56756756756756754</v>
      </c>
    </row>
    <row r="23" spans="1:16" x14ac:dyDescent="0.4">
      <c r="A23" s="33">
        <v>20</v>
      </c>
      <c r="B23" s="30">
        <v>-220.00000000000006</v>
      </c>
      <c r="C23" s="30">
        <v>-11.000000000000004</v>
      </c>
      <c r="D23" s="35">
        <v>2.25</v>
      </c>
      <c r="E23" s="31">
        <v>0.25</v>
      </c>
      <c r="F23" s="31">
        <v>0.5</v>
      </c>
      <c r="G23" s="31">
        <v>0.25766871165644173</v>
      </c>
      <c r="H23" s="31">
        <v>0.16564417177914109</v>
      </c>
      <c r="I23" s="32">
        <v>8616.6666666666661</v>
      </c>
      <c r="J23" s="32">
        <v>-9748.1481481481478</v>
      </c>
      <c r="K23" s="31">
        <v>0.15</v>
      </c>
      <c r="L23" s="31">
        <v>0.30674846625766872</v>
      </c>
      <c r="M23" s="31">
        <v>0.12883435582822086</v>
      </c>
      <c r="N23" s="31">
        <v>0.6</v>
      </c>
      <c r="O23" s="31">
        <v>0.23809523809523808</v>
      </c>
      <c r="P23" s="31">
        <v>0.54761904761904767</v>
      </c>
    </row>
    <row r="24" spans="1:16" x14ac:dyDescent="0.4">
      <c r="A24" s="33">
        <v>21</v>
      </c>
      <c r="B24" s="30">
        <v>-284.00000000000006</v>
      </c>
      <c r="C24" s="30">
        <v>-13.523809523809527</v>
      </c>
      <c r="D24" s="35">
        <v>2.2857142857142856</v>
      </c>
      <c r="E24" s="31">
        <v>0.23809523809523808</v>
      </c>
      <c r="F24" s="31">
        <v>0.52380952380952384</v>
      </c>
      <c r="G24" s="31">
        <v>0.25149700598802394</v>
      </c>
      <c r="H24" s="31">
        <v>0.17365269461077845</v>
      </c>
      <c r="I24" s="32">
        <v>8616.6666666666661</v>
      </c>
      <c r="J24" s="32">
        <v>-10179.310344827587</v>
      </c>
      <c r="K24" s="31">
        <v>0.19047619047619047</v>
      </c>
      <c r="L24" s="31">
        <v>0.30538922155688625</v>
      </c>
      <c r="M24" s="31">
        <v>0.12574850299401197</v>
      </c>
      <c r="N24" s="31">
        <v>0.58823529411764708</v>
      </c>
      <c r="O24" s="31">
        <v>0.23809523809523808</v>
      </c>
      <c r="P24" s="31">
        <v>0.54761904761904767</v>
      </c>
    </row>
    <row r="25" spans="1:16" x14ac:dyDescent="0.4">
      <c r="A25" s="33">
        <v>22</v>
      </c>
      <c r="B25" s="30">
        <v>-251.30000000000007</v>
      </c>
      <c r="C25" s="30">
        <v>-11.422727272727276</v>
      </c>
      <c r="D25" s="35">
        <v>2.2272727272727271</v>
      </c>
      <c r="E25" s="31">
        <v>0.27272727272727271</v>
      </c>
      <c r="F25" s="31">
        <v>0.5</v>
      </c>
      <c r="G25" s="31">
        <v>0.25433526011560692</v>
      </c>
      <c r="H25" s="31">
        <v>0.16763005780346821</v>
      </c>
      <c r="I25" s="32">
        <v>8679.545454545454</v>
      </c>
      <c r="J25" s="32">
        <v>-10179.310344827587</v>
      </c>
      <c r="K25" s="31">
        <v>0.18181818181818182</v>
      </c>
      <c r="L25" s="31">
        <v>0.31213872832369943</v>
      </c>
      <c r="M25" s="31">
        <v>0.12716763005780346</v>
      </c>
      <c r="N25" s="31">
        <v>0.59259259259259256</v>
      </c>
      <c r="O25" s="31">
        <v>0.22727272727272727</v>
      </c>
      <c r="P25" s="31">
        <v>0.56818181818181823</v>
      </c>
    </row>
    <row r="26" spans="1:16" x14ac:dyDescent="0.4">
      <c r="A26" s="33">
        <v>23</v>
      </c>
      <c r="B26" s="30">
        <v>-188.20000000000007</v>
      </c>
      <c r="C26" s="30">
        <v>-8.1826086956521777</v>
      </c>
      <c r="D26" s="35">
        <v>2.1739130434782608</v>
      </c>
      <c r="E26" s="31">
        <v>0.30434782608695654</v>
      </c>
      <c r="F26" s="31">
        <v>0.47826086956521741</v>
      </c>
      <c r="G26" s="31">
        <v>0.26229508196721313</v>
      </c>
      <c r="H26" s="31">
        <v>0.16393442622950818</v>
      </c>
      <c r="I26" s="32">
        <v>8983.3333333333339</v>
      </c>
      <c r="J26" s="32">
        <v>-9970</v>
      </c>
      <c r="K26" s="31">
        <v>0.17391304347826086</v>
      </c>
      <c r="L26" s="31">
        <v>0.31147540983606559</v>
      </c>
      <c r="M26" s="31">
        <v>0.12021857923497267</v>
      </c>
      <c r="N26" s="31">
        <v>0.59649122807017541</v>
      </c>
      <c r="O26" s="31">
        <v>0.22727272727272727</v>
      </c>
      <c r="P26" s="31">
        <v>0.58333333333333337</v>
      </c>
    </row>
    <row r="27" spans="1:16" x14ac:dyDescent="0.4">
      <c r="A27" s="33">
        <v>24</v>
      </c>
      <c r="B27" s="30">
        <v>-184.60000000000008</v>
      </c>
      <c r="C27" s="30">
        <v>-7.69166666666667</v>
      </c>
      <c r="D27" s="35">
        <v>2.1666666666666665</v>
      </c>
      <c r="E27" s="31">
        <v>0.29166666666666669</v>
      </c>
      <c r="F27" s="31">
        <v>0.45833333333333331</v>
      </c>
      <c r="G27" s="31">
        <v>0.26424870466321243</v>
      </c>
      <c r="H27" s="31">
        <v>0.16062176165803108</v>
      </c>
      <c r="I27" s="32">
        <v>8949.0196078431381</v>
      </c>
      <c r="J27" s="32">
        <v>-10035.483870967742</v>
      </c>
      <c r="K27" s="31">
        <v>0.16666666666666666</v>
      </c>
      <c r="L27" s="31">
        <v>0.31606217616580312</v>
      </c>
      <c r="M27" s="31">
        <v>0.13471502590673576</v>
      </c>
      <c r="N27" s="31">
        <v>0.60655737704918034</v>
      </c>
      <c r="O27" s="31">
        <v>0.19230769230769232</v>
      </c>
      <c r="P27" s="31">
        <v>0.56862745098039214</v>
      </c>
    </row>
    <row r="28" spans="1:16" x14ac:dyDescent="0.4">
      <c r="A28" s="33">
        <v>25</v>
      </c>
      <c r="B28" s="30">
        <v>-212.20000000000007</v>
      </c>
      <c r="C28" s="30">
        <v>-8.4880000000000031</v>
      </c>
      <c r="D28" s="35">
        <v>2.2000000000000002</v>
      </c>
      <c r="E28" s="31">
        <v>0.28000000000000003</v>
      </c>
      <c r="F28" s="31">
        <v>0.48</v>
      </c>
      <c r="G28" s="31">
        <v>0.26341463414634148</v>
      </c>
      <c r="H28" s="31">
        <v>0.16585365853658537</v>
      </c>
      <c r="I28" s="32">
        <v>8705.5555555555547</v>
      </c>
      <c r="J28" s="32">
        <v>-9488.2352941176468</v>
      </c>
      <c r="K28" s="31">
        <v>0.16</v>
      </c>
      <c r="L28" s="31">
        <v>0.32195121951219513</v>
      </c>
      <c r="M28" s="31">
        <v>0.13170731707317074</v>
      </c>
      <c r="N28" s="31">
        <v>0.60606060606060608</v>
      </c>
      <c r="O28" s="31">
        <v>0.18518518518518517</v>
      </c>
      <c r="P28" s="31">
        <v>0.55555555555555558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365EE-DB15-4E6C-B00F-32DB65BFB4E7}">
  <sheetPr codeName="Sheet14"/>
  <dimension ref="A1:Q2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3.6</v>
      </c>
      <c r="C4" s="30">
        <v>3.6</v>
      </c>
      <c r="D4" s="35">
        <v>2</v>
      </c>
      <c r="E4" s="31">
        <v>0</v>
      </c>
      <c r="F4" s="31">
        <v>0</v>
      </c>
      <c r="G4" s="31">
        <v>0.25</v>
      </c>
      <c r="H4" s="31">
        <v>0.125</v>
      </c>
      <c r="I4" s="32">
        <v>10400</v>
      </c>
      <c r="J4" s="32">
        <v>-8000</v>
      </c>
      <c r="K4" s="31">
        <v>0</v>
      </c>
      <c r="L4" s="31">
        <v>0.125</v>
      </c>
      <c r="M4" s="31">
        <v>0.125</v>
      </c>
      <c r="N4" s="31">
        <v>1</v>
      </c>
      <c r="O4" s="31">
        <v>0</v>
      </c>
      <c r="P4" s="31">
        <v>1</v>
      </c>
    </row>
    <row r="5" spans="1:17" x14ac:dyDescent="0.4">
      <c r="A5" s="33">
        <v>2</v>
      </c>
      <c r="B5" s="30">
        <v>-14.500000000000002</v>
      </c>
      <c r="C5" s="30">
        <v>-7.2500000000000009</v>
      </c>
      <c r="D5" s="35">
        <v>2.5</v>
      </c>
      <c r="E5" s="31">
        <v>0</v>
      </c>
      <c r="F5" s="31">
        <v>0.5</v>
      </c>
      <c r="G5" s="31">
        <v>0.23529411764705882</v>
      </c>
      <c r="H5" s="31">
        <v>5.8823529411764705E-2</v>
      </c>
      <c r="I5" s="32">
        <v>9650</v>
      </c>
      <c r="J5" s="32">
        <v>-8000</v>
      </c>
      <c r="K5" s="31">
        <v>0</v>
      </c>
      <c r="L5" s="31">
        <v>0.11764705882352941</v>
      </c>
      <c r="M5" s="31">
        <v>0.29411764705882354</v>
      </c>
      <c r="N5" s="31">
        <v>0.5</v>
      </c>
      <c r="O5" s="31">
        <v>0.4</v>
      </c>
      <c r="P5" s="31">
        <v>0.5</v>
      </c>
    </row>
    <row r="6" spans="1:17" x14ac:dyDescent="0.4">
      <c r="A6" s="33">
        <v>3</v>
      </c>
      <c r="B6" s="30">
        <v>-60.5</v>
      </c>
      <c r="C6" s="30">
        <v>-20.166666666666668</v>
      </c>
      <c r="D6" s="35">
        <v>2.6666666666666665</v>
      </c>
      <c r="E6" s="31">
        <v>0</v>
      </c>
      <c r="F6" s="31">
        <v>0.66666666666666663</v>
      </c>
      <c r="G6" s="31">
        <v>0.19047619047619047</v>
      </c>
      <c r="H6" s="31">
        <v>4.7619047619047616E-2</v>
      </c>
      <c r="I6" s="32">
        <v>9650</v>
      </c>
      <c r="J6" s="32">
        <v>-8000</v>
      </c>
      <c r="K6" s="31">
        <v>0.33333333333333331</v>
      </c>
      <c r="L6" s="31">
        <v>9.5238095238095233E-2</v>
      </c>
      <c r="M6" s="31">
        <v>0.33333333333333331</v>
      </c>
      <c r="N6" s="31">
        <v>0.5</v>
      </c>
      <c r="O6" s="31">
        <v>0.2857142857142857</v>
      </c>
      <c r="P6" s="31">
        <v>0.5</v>
      </c>
    </row>
    <row r="7" spans="1:17" x14ac:dyDescent="0.4">
      <c r="A7" s="33">
        <v>4</v>
      </c>
      <c r="B7" s="30">
        <v>-7.8999999999999986</v>
      </c>
      <c r="C7" s="30">
        <v>-1.9749999999999996</v>
      </c>
      <c r="D7" s="35">
        <v>2.25</v>
      </c>
      <c r="E7" s="31">
        <v>0.25</v>
      </c>
      <c r="F7" s="31">
        <v>0.5</v>
      </c>
      <c r="G7" s="31">
        <v>0.33333333333333331</v>
      </c>
      <c r="H7" s="31">
        <v>3.3333333333333333E-2</v>
      </c>
      <c r="I7" s="32">
        <v>7620</v>
      </c>
      <c r="J7" s="32">
        <v>-8000</v>
      </c>
      <c r="K7" s="31">
        <v>0.25</v>
      </c>
      <c r="L7" s="31">
        <v>0.13333333333333333</v>
      </c>
      <c r="M7" s="31">
        <v>0.4</v>
      </c>
      <c r="N7" s="31">
        <v>0.75</v>
      </c>
      <c r="O7" s="31">
        <v>0.33333333333333331</v>
      </c>
      <c r="P7" s="31">
        <v>0.4</v>
      </c>
    </row>
    <row r="8" spans="1:17" x14ac:dyDescent="0.4">
      <c r="A8" s="33">
        <v>5</v>
      </c>
      <c r="B8" s="30">
        <v>-20.7</v>
      </c>
      <c r="C8" s="30">
        <v>-4.1399999999999997</v>
      </c>
      <c r="D8" s="35">
        <v>2.2000000000000002</v>
      </c>
      <c r="E8" s="31">
        <v>0.2</v>
      </c>
      <c r="F8" s="31">
        <v>0.4</v>
      </c>
      <c r="G8" s="31">
        <v>0.27500000000000002</v>
      </c>
      <c r="H8" s="31">
        <v>0.05</v>
      </c>
      <c r="I8" s="32">
        <v>7109.090909090909</v>
      </c>
      <c r="J8" s="32">
        <v>-5000</v>
      </c>
      <c r="K8" s="31">
        <v>0.2</v>
      </c>
      <c r="L8" s="31">
        <v>0.17499999999999999</v>
      </c>
      <c r="M8" s="31">
        <v>0.32500000000000001</v>
      </c>
      <c r="N8" s="31">
        <v>0.5714285714285714</v>
      </c>
      <c r="O8" s="31">
        <v>0.30769230769230771</v>
      </c>
      <c r="P8" s="31">
        <v>0.36363636363636365</v>
      </c>
    </row>
    <row r="9" spans="1:17" x14ac:dyDescent="0.4">
      <c r="A9" s="33">
        <v>6</v>
      </c>
      <c r="B9" s="30">
        <v>7.6000000000000014</v>
      </c>
      <c r="C9" s="30">
        <v>1.2666666666666668</v>
      </c>
      <c r="D9" s="35">
        <v>2</v>
      </c>
      <c r="E9" s="31">
        <v>0.33333333333333331</v>
      </c>
      <c r="F9" s="31">
        <v>0.33333333333333331</v>
      </c>
      <c r="G9" s="31">
        <v>0.30612244897959184</v>
      </c>
      <c r="H9" s="31">
        <v>6.1224489795918366E-2</v>
      </c>
      <c r="I9" s="32">
        <v>7786.666666666667</v>
      </c>
      <c r="J9" s="32">
        <v>-5066.666666666667</v>
      </c>
      <c r="K9" s="31">
        <v>0.16666666666666666</v>
      </c>
      <c r="L9" s="31">
        <v>0.18367346938775511</v>
      </c>
      <c r="M9" s="31">
        <v>0.26530612244897961</v>
      </c>
      <c r="N9" s="31">
        <v>0.66666666666666663</v>
      </c>
      <c r="O9" s="31">
        <v>0.30769230769230771</v>
      </c>
      <c r="P9" s="31">
        <v>0.4</v>
      </c>
    </row>
    <row r="10" spans="1:17" x14ac:dyDescent="0.4">
      <c r="A10" s="33">
        <v>7</v>
      </c>
      <c r="B10" s="30">
        <v>36.5</v>
      </c>
      <c r="C10" s="30">
        <v>5.2142857142857144</v>
      </c>
      <c r="D10" s="35">
        <v>1.8571428571428572</v>
      </c>
      <c r="E10" s="31">
        <v>0.42857142857142855</v>
      </c>
      <c r="F10" s="31">
        <v>0.2857142857142857</v>
      </c>
      <c r="G10" s="31">
        <v>0.32203389830508472</v>
      </c>
      <c r="H10" s="31">
        <v>5.0847457627118647E-2</v>
      </c>
      <c r="I10" s="32">
        <v>8168.4210526315792</v>
      </c>
      <c r="J10" s="32">
        <v>-5066.666666666667</v>
      </c>
      <c r="K10" s="31">
        <v>0.14285714285714285</v>
      </c>
      <c r="L10" s="31">
        <v>0.22033898305084745</v>
      </c>
      <c r="M10" s="31">
        <v>0.25423728813559321</v>
      </c>
      <c r="N10" s="31">
        <v>0.69230769230769229</v>
      </c>
      <c r="O10" s="31">
        <v>0.26666666666666666</v>
      </c>
      <c r="P10" s="31">
        <v>0.31578947368421051</v>
      </c>
    </row>
    <row r="11" spans="1:17" x14ac:dyDescent="0.4">
      <c r="A11" s="33">
        <v>8</v>
      </c>
      <c r="B11" s="30">
        <v>35.9</v>
      </c>
      <c r="C11" s="30">
        <v>4.4874999999999998</v>
      </c>
      <c r="D11" s="35">
        <v>1.875</v>
      </c>
      <c r="E11" s="31">
        <v>0.375</v>
      </c>
      <c r="F11" s="31">
        <v>0.25</v>
      </c>
      <c r="G11" s="31">
        <v>0.30303030303030304</v>
      </c>
      <c r="H11" s="31">
        <v>4.5454545454545456E-2</v>
      </c>
      <c r="I11" s="32">
        <v>8145</v>
      </c>
      <c r="J11" s="32">
        <v>-5066.666666666667</v>
      </c>
      <c r="K11" s="31">
        <v>0.125</v>
      </c>
      <c r="L11" s="31">
        <v>0.22727272727272727</v>
      </c>
      <c r="M11" s="31">
        <v>0.25757575757575757</v>
      </c>
      <c r="N11" s="31">
        <v>0.6</v>
      </c>
      <c r="O11" s="31">
        <v>0.29411764705882354</v>
      </c>
      <c r="P11" s="31">
        <v>0.3</v>
      </c>
    </row>
    <row r="12" spans="1:17" x14ac:dyDescent="0.4">
      <c r="A12" s="33">
        <v>9</v>
      </c>
      <c r="B12" s="30">
        <v>-3.3000000000000043</v>
      </c>
      <c r="C12" s="30">
        <v>-0.36666666666666714</v>
      </c>
      <c r="D12" s="35">
        <v>2</v>
      </c>
      <c r="E12" s="31">
        <v>0.33333333333333331</v>
      </c>
      <c r="F12" s="31">
        <v>0.33333333333333331</v>
      </c>
      <c r="G12" s="31">
        <v>0.2857142857142857</v>
      </c>
      <c r="H12" s="31">
        <v>6.4935064935064929E-2</v>
      </c>
      <c r="I12" s="32">
        <v>7759.090909090909</v>
      </c>
      <c r="J12" s="32">
        <v>-6160</v>
      </c>
      <c r="K12" s="31">
        <v>0.1111111111111111</v>
      </c>
      <c r="L12" s="31">
        <v>0.23376623376623376</v>
      </c>
      <c r="M12" s="31">
        <v>0.27272727272727271</v>
      </c>
      <c r="N12" s="31">
        <v>0.5</v>
      </c>
      <c r="O12" s="31">
        <v>0.33333333333333331</v>
      </c>
      <c r="P12" s="31">
        <v>0.27272727272727271</v>
      </c>
    </row>
    <row r="13" spans="1:17" x14ac:dyDescent="0.4">
      <c r="A13" s="33">
        <v>10</v>
      </c>
      <c r="B13" s="30">
        <v>-0.90000000000000435</v>
      </c>
      <c r="C13" s="30">
        <v>-9.0000000000000441E-2</v>
      </c>
      <c r="D13" s="35">
        <v>2</v>
      </c>
      <c r="E13" s="31">
        <v>0.3</v>
      </c>
      <c r="F13" s="31">
        <v>0.3</v>
      </c>
      <c r="G13" s="31">
        <v>0.28235294117647058</v>
      </c>
      <c r="H13" s="31">
        <v>7.0588235294117646E-2</v>
      </c>
      <c r="I13" s="32">
        <v>7829.166666666667</v>
      </c>
      <c r="J13" s="32">
        <v>-6200</v>
      </c>
      <c r="K13" s="31">
        <v>0.1</v>
      </c>
      <c r="L13" s="31">
        <v>0.25882352941176473</v>
      </c>
      <c r="M13" s="31">
        <v>0.25882352941176473</v>
      </c>
      <c r="N13" s="31">
        <v>0.5</v>
      </c>
      <c r="O13" s="31">
        <v>0.31818181818181818</v>
      </c>
      <c r="P13" s="31">
        <v>0.29166666666666669</v>
      </c>
    </row>
    <row r="14" spans="1:17" x14ac:dyDescent="0.4">
      <c r="A14" s="33">
        <v>11</v>
      </c>
      <c r="B14" s="30">
        <v>-3.4000000000000044</v>
      </c>
      <c r="C14" s="30">
        <v>-0.30909090909090947</v>
      </c>
      <c r="D14" s="35">
        <v>2</v>
      </c>
      <c r="E14" s="31">
        <v>0.27272727272727271</v>
      </c>
      <c r="F14" s="31">
        <v>0.27272727272727271</v>
      </c>
      <c r="G14" s="31">
        <v>0.27368421052631581</v>
      </c>
      <c r="H14" s="31">
        <v>7.3684210526315783E-2</v>
      </c>
      <c r="I14" s="32">
        <v>8611.538461538461</v>
      </c>
      <c r="J14" s="32">
        <v>-7885.7142857142853</v>
      </c>
      <c r="K14" s="31">
        <v>9.0909090909090912E-2</v>
      </c>
      <c r="L14" s="31">
        <v>0.28421052631578947</v>
      </c>
      <c r="M14" s="31">
        <v>0.23157894736842105</v>
      </c>
      <c r="N14" s="31">
        <v>0.44444444444444442</v>
      </c>
      <c r="O14" s="31">
        <v>0.31818181818181818</v>
      </c>
      <c r="P14" s="31">
        <v>0.34615384615384615</v>
      </c>
    </row>
    <row r="15" spans="1:17" x14ac:dyDescent="0.4">
      <c r="A15" s="33">
        <v>12</v>
      </c>
      <c r="B15" s="30">
        <v>-12.700000000000005</v>
      </c>
      <c r="C15" s="30">
        <v>-1.0583333333333338</v>
      </c>
      <c r="D15" s="35">
        <v>2</v>
      </c>
      <c r="E15" s="31">
        <v>0.25</v>
      </c>
      <c r="F15" s="31">
        <v>0.25</v>
      </c>
      <c r="G15" s="31">
        <v>0.27450980392156865</v>
      </c>
      <c r="H15" s="31">
        <v>6.8627450980392163E-2</v>
      </c>
      <c r="I15" s="32">
        <v>8325</v>
      </c>
      <c r="J15" s="32">
        <v>-7885.7142857142853</v>
      </c>
      <c r="K15" s="31">
        <v>8.3333333333333329E-2</v>
      </c>
      <c r="L15" s="31">
        <v>0.26470588235294118</v>
      </c>
      <c r="M15" s="31">
        <v>0.25490196078431371</v>
      </c>
      <c r="N15" s="31">
        <v>0.44444444444444442</v>
      </c>
      <c r="O15" s="31">
        <v>0.34615384615384615</v>
      </c>
      <c r="P15" s="31">
        <v>0.39285714285714285</v>
      </c>
    </row>
    <row r="16" spans="1:17" x14ac:dyDescent="0.4">
      <c r="A16" s="33">
        <v>13</v>
      </c>
      <c r="B16" s="30">
        <v>-58.7</v>
      </c>
      <c r="C16" s="30">
        <v>-4.5153846153846153</v>
      </c>
      <c r="D16" s="35">
        <v>2.0769230769230771</v>
      </c>
      <c r="E16" s="31">
        <v>0.23076923076923078</v>
      </c>
      <c r="F16" s="31">
        <v>0.30769230769230771</v>
      </c>
      <c r="G16" s="31">
        <v>0.26363636363636361</v>
      </c>
      <c r="H16" s="31">
        <v>7.2727272727272724E-2</v>
      </c>
      <c r="I16" s="32">
        <v>8313.7931034482754</v>
      </c>
      <c r="J16" s="32">
        <v>-9150</v>
      </c>
      <c r="K16" s="31">
        <v>0.15384615384615385</v>
      </c>
      <c r="L16" s="31">
        <v>0.27272727272727271</v>
      </c>
      <c r="M16" s="31">
        <v>0.24545454545454545</v>
      </c>
      <c r="N16" s="31">
        <v>0.4</v>
      </c>
      <c r="O16" s="31">
        <v>0.33333333333333331</v>
      </c>
      <c r="P16" s="31">
        <v>0.41379310344827586</v>
      </c>
    </row>
    <row r="17" spans="1:16" x14ac:dyDescent="0.4">
      <c r="A17" s="33">
        <v>14</v>
      </c>
      <c r="B17" s="30">
        <v>-32.700000000000003</v>
      </c>
      <c r="C17" s="30">
        <v>-2.3357142857142859</v>
      </c>
      <c r="D17" s="35">
        <v>2</v>
      </c>
      <c r="E17" s="31">
        <v>0.2857142857142857</v>
      </c>
      <c r="F17" s="31">
        <v>0.2857142857142857</v>
      </c>
      <c r="G17" s="31">
        <v>0.25833333333333336</v>
      </c>
      <c r="H17" s="31">
        <v>6.6666666666666666E-2</v>
      </c>
      <c r="I17" s="32">
        <v>8680.645161290322</v>
      </c>
      <c r="J17" s="32">
        <v>-9150</v>
      </c>
      <c r="K17" s="31">
        <v>0.14285714285714285</v>
      </c>
      <c r="L17" s="31">
        <v>0.29166666666666669</v>
      </c>
      <c r="M17" s="31">
        <v>0.24166666666666667</v>
      </c>
      <c r="N17" s="31">
        <v>0.4</v>
      </c>
      <c r="O17" s="31">
        <v>0.31034482758620691</v>
      </c>
      <c r="P17" s="31">
        <v>0.45161290322580644</v>
      </c>
    </row>
    <row r="18" spans="1:16" x14ac:dyDescent="0.4">
      <c r="A18" s="33">
        <v>15</v>
      </c>
      <c r="B18" s="30">
        <v>10.699999999999996</v>
      </c>
      <c r="C18" s="30">
        <v>0.71333333333333304</v>
      </c>
      <c r="D18" s="35">
        <v>1.9333333333333333</v>
      </c>
      <c r="E18" s="31">
        <v>0.33333333333333331</v>
      </c>
      <c r="F18" s="31">
        <v>0.26666666666666666</v>
      </c>
      <c r="G18" s="31">
        <v>0.26771653543307089</v>
      </c>
      <c r="H18" s="31">
        <v>6.2992125984251968E-2</v>
      </c>
      <c r="I18" s="32">
        <v>8735.2941176470595</v>
      </c>
      <c r="J18" s="32">
        <v>-9150</v>
      </c>
      <c r="K18" s="31">
        <v>0.13333333333333333</v>
      </c>
      <c r="L18" s="31">
        <v>0.27559055118110237</v>
      </c>
      <c r="M18" s="31">
        <v>0.24409448818897639</v>
      </c>
      <c r="N18" s="31">
        <v>0.4</v>
      </c>
      <c r="O18" s="31">
        <v>0.35483870967741937</v>
      </c>
      <c r="P18" s="31">
        <v>0.41176470588235292</v>
      </c>
    </row>
    <row r="19" spans="1:16" x14ac:dyDescent="0.4">
      <c r="A19" s="33">
        <v>16</v>
      </c>
      <c r="B19" s="30">
        <v>-22.000000000000007</v>
      </c>
      <c r="C19" s="30">
        <v>-1.3750000000000004</v>
      </c>
      <c r="D19" s="35">
        <v>2</v>
      </c>
      <c r="E19" s="31">
        <v>0.3125</v>
      </c>
      <c r="F19" s="31">
        <v>0.3125</v>
      </c>
      <c r="G19" s="31">
        <v>0.27205882352941174</v>
      </c>
      <c r="H19" s="31">
        <v>7.3529411764705885E-2</v>
      </c>
      <c r="I19" s="32">
        <v>8529.72972972973</v>
      </c>
      <c r="J19" s="32">
        <v>-10520</v>
      </c>
      <c r="K19" s="31">
        <v>0.125</v>
      </c>
      <c r="L19" s="31">
        <v>0.27941176470588236</v>
      </c>
      <c r="M19" s="31">
        <v>0.25</v>
      </c>
      <c r="N19" s="31">
        <v>0.42105263157894735</v>
      </c>
      <c r="O19" s="31">
        <v>0.35294117647058826</v>
      </c>
      <c r="P19" s="31">
        <v>0.43243243243243246</v>
      </c>
    </row>
    <row r="20" spans="1:16" x14ac:dyDescent="0.4">
      <c r="A20" s="33">
        <v>17</v>
      </c>
      <c r="B20" s="30">
        <v>-44.800000000000011</v>
      </c>
      <c r="C20" s="30">
        <v>-2.6352941176470597</v>
      </c>
      <c r="D20" s="35">
        <v>2.0588235294117645</v>
      </c>
      <c r="E20" s="31">
        <v>0.29411764705882354</v>
      </c>
      <c r="F20" s="31">
        <v>0.35294117647058826</v>
      </c>
      <c r="G20" s="31">
        <v>0.27464788732394368</v>
      </c>
      <c r="H20" s="31">
        <v>8.4507042253521125E-2</v>
      </c>
      <c r="I20" s="32">
        <v>8276.9230769230762</v>
      </c>
      <c r="J20" s="32">
        <v>-10100</v>
      </c>
      <c r="K20" s="31">
        <v>0.11764705882352941</v>
      </c>
      <c r="L20" s="31">
        <v>0.28873239436619719</v>
      </c>
      <c r="M20" s="31">
        <v>0.23943661971830985</v>
      </c>
      <c r="N20" s="31">
        <v>0.43902439024390244</v>
      </c>
      <c r="O20" s="31">
        <v>0.35294117647058826</v>
      </c>
      <c r="P20" s="31">
        <v>0.4358974358974359</v>
      </c>
    </row>
    <row r="21" spans="1:16" x14ac:dyDescent="0.4">
      <c r="A21" s="33">
        <v>18</v>
      </c>
      <c r="B21" s="30">
        <v>-41.600000000000009</v>
      </c>
      <c r="C21" s="30">
        <v>-2.3111111111111118</v>
      </c>
      <c r="D21" s="35">
        <v>2.0555555555555554</v>
      </c>
      <c r="E21" s="31">
        <v>0.27777777777777779</v>
      </c>
      <c r="F21" s="31">
        <v>0.33333333333333331</v>
      </c>
      <c r="G21" s="31">
        <v>0.28000000000000003</v>
      </c>
      <c r="H21" s="31">
        <v>0.11333333333333333</v>
      </c>
      <c r="I21" s="32">
        <v>8535.7142857142862</v>
      </c>
      <c r="J21" s="32">
        <v>-9217.6470588235297</v>
      </c>
      <c r="K21" s="31">
        <v>0.1111111111111111</v>
      </c>
      <c r="L21" s="31">
        <v>0.28666666666666668</v>
      </c>
      <c r="M21" s="31">
        <v>0.22666666666666666</v>
      </c>
      <c r="N21" s="31">
        <v>0.46511627906976744</v>
      </c>
      <c r="O21" s="31">
        <v>0.35294117647058826</v>
      </c>
      <c r="P21" s="31">
        <v>0.45238095238095238</v>
      </c>
    </row>
    <row r="22" spans="1:16" x14ac:dyDescent="0.4">
      <c r="A22" s="33">
        <v>19</v>
      </c>
      <c r="B22" s="30">
        <v>-91.200000000000017</v>
      </c>
      <c r="C22" s="30">
        <v>-4.8000000000000007</v>
      </c>
      <c r="D22" s="35">
        <v>2.1052631578947367</v>
      </c>
      <c r="E22" s="31">
        <v>0.26315789473684209</v>
      </c>
      <c r="F22" s="31">
        <v>0.36842105263157893</v>
      </c>
      <c r="G22" s="31">
        <v>0.27500000000000002</v>
      </c>
      <c r="H22" s="31">
        <v>0.11874999999999999</v>
      </c>
      <c r="I22" s="32">
        <v>8511.363636363636</v>
      </c>
      <c r="J22" s="32">
        <v>-9510.5263157894733</v>
      </c>
      <c r="K22" s="31">
        <v>0.10526315789473684</v>
      </c>
      <c r="L22" s="31">
        <v>0.27500000000000002</v>
      </c>
      <c r="M22" s="31">
        <v>0.23749999999999999</v>
      </c>
      <c r="N22" s="31">
        <v>0.45454545454545453</v>
      </c>
      <c r="O22" s="31">
        <v>0.36842105263157893</v>
      </c>
      <c r="P22" s="31">
        <v>0.45454545454545453</v>
      </c>
    </row>
    <row r="23" spans="1:16" x14ac:dyDescent="0.4">
      <c r="A23" s="33">
        <v>20</v>
      </c>
      <c r="B23" s="30">
        <v>-149.30000000000001</v>
      </c>
      <c r="C23" s="30">
        <v>-7.4650000000000007</v>
      </c>
      <c r="D23" s="35">
        <v>2.15</v>
      </c>
      <c r="E23" s="31">
        <v>0.25</v>
      </c>
      <c r="F23" s="31">
        <v>0.4</v>
      </c>
      <c r="G23" s="31">
        <v>0.26190476190476192</v>
      </c>
      <c r="H23" s="31">
        <v>0.125</v>
      </c>
      <c r="I23" s="32">
        <v>8511.363636363636</v>
      </c>
      <c r="J23" s="32">
        <v>-9171.4285714285706</v>
      </c>
      <c r="K23" s="31">
        <v>0.15</v>
      </c>
      <c r="L23" s="31">
        <v>0.27380952380952384</v>
      </c>
      <c r="M23" s="31">
        <v>0.23214285714285715</v>
      </c>
      <c r="N23" s="31">
        <v>0.43478260869565216</v>
      </c>
      <c r="O23" s="31">
        <v>0.35897435897435898</v>
      </c>
      <c r="P23" s="31">
        <v>0.45454545454545453</v>
      </c>
    </row>
    <row r="24" spans="1:16" x14ac:dyDescent="0.4">
      <c r="A24" s="33">
        <v>21</v>
      </c>
      <c r="B24" s="30">
        <v>-180.3</v>
      </c>
      <c r="C24" s="30">
        <v>-8.5857142857142854</v>
      </c>
      <c r="D24" s="35">
        <v>2.1904761904761907</v>
      </c>
      <c r="E24" s="31">
        <v>0.23809523809523808</v>
      </c>
      <c r="F24" s="31">
        <v>0.42857142857142855</v>
      </c>
      <c r="G24" s="31">
        <v>0.25555555555555554</v>
      </c>
      <c r="H24" s="31">
        <v>0.11666666666666667</v>
      </c>
      <c r="I24" s="32">
        <v>8230.434782608696</v>
      </c>
      <c r="J24" s="32">
        <v>-9171.4285714285706</v>
      </c>
      <c r="K24" s="31">
        <v>0.14285714285714285</v>
      </c>
      <c r="L24" s="31">
        <v>0.26111111111111113</v>
      </c>
      <c r="M24" s="31">
        <v>0.22777777777777777</v>
      </c>
      <c r="N24" s="31">
        <v>0.44680851063829785</v>
      </c>
      <c r="O24" s="31">
        <v>0.36585365853658536</v>
      </c>
      <c r="P24" s="31">
        <v>0.43478260869565216</v>
      </c>
    </row>
    <row r="25" spans="1:16" x14ac:dyDescent="0.4">
      <c r="A25" s="33">
        <v>22</v>
      </c>
      <c r="B25" s="30">
        <v>-180.3</v>
      </c>
      <c r="C25" s="30">
        <v>-8.1954545454545453</v>
      </c>
      <c r="D25" s="35">
        <v>2.1363636363636362</v>
      </c>
      <c r="E25" s="31">
        <v>0.27272727272727271</v>
      </c>
      <c r="F25" s="31">
        <v>0.40909090909090912</v>
      </c>
      <c r="G25" s="31">
        <v>0.25555555555555554</v>
      </c>
      <c r="H25" s="31">
        <v>0.11666666666666667</v>
      </c>
      <c r="I25" s="32">
        <v>8230.434782608696</v>
      </c>
      <c r="J25" s="32">
        <v>-9171.4285714285706</v>
      </c>
      <c r="K25" s="31">
        <v>0.13636363636363635</v>
      </c>
      <c r="L25" s="31">
        <v>0.26111111111111113</v>
      </c>
      <c r="M25" s="31">
        <v>0.22777777777777777</v>
      </c>
      <c r="N25" s="31">
        <v>0.44680851063829785</v>
      </c>
      <c r="O25" s="31">
        <v>0.36585365853658536</v>
      </c>
      <c r="P25" s="31">
        <v>0.43478260869565216</v>
      </c>
    </row>
    <row r="26" spans="1:16" x14ac:dyDescent="0.4">
      <c r="A26" s="33">
        <v>23</v>
      </c>
      <c r="B26" s="30">
        <v>-202.5</v>
      </c>
      <c r="C26" s="30">
        <v>-8.804347826086957</v>
      </c>
      <c r="D26" s="35">
        <v>2.1304347826086958</v>
      </c>
      <c r="E26" s="31">
        <v>0.2608695652173913</v>
      </c>
      <c r="F26" s="31">
        <v>0.39130434782608697</v>
      </c>
      <c r="G26" s="31">
        <v>0.25906735751295334</v>
      </c>
      <c r="H26" s="31">
        <v>0.12953367875647667</v>
      </c>
      <c r="I26" s="32">
        <v>8140</v>
      </c>
      <c r="J26" s="32">
        <v>-8452</v>
      </c>
      <c r="K26" s="31">
        <v>0.13043478260869565</v>
      </c>
      <c r="L26" s="31">
        <v>0.25388601036269431</v>
      </c>
      <c r="M26" s="31">
        <v>0.22279792746113988</v>
      </c>
      <c r="N26" s="31">
        <v>0.46938775510204084</v>
      </c>
      <c r="O26" s="31">
        <v>0.37209302325581395</v>
      </c>
      <c r="P26" s="31">
        <v>0.44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CDF65-57D6-4178-9324-59C743EBFC37}">
  <sheetPr codeName="Sheet12"/>
  <dimension ref="A1:Q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197</v>
      </c>
      <c r="B1" s="34" t="s">
        <v>197</v>
      </c>
      <c r="C1" s="34" t="s">
        <v>197</v>
      </c>
      <c r="D1" s="35" t="s">
        <v>197</v>
      </c>
      <c r="E1" s="34" t="s">
        <v>197</v>
      </c>
      <c r="F1" s="34" t="s">
        <v>197</v>
      </c>
      <c r="G1" s="34" t="s">
        <v>197</v>
      </c>
      <c r="H1" s="34" t="s">
        <v>197</v>
      </c>
      <c r="I1" s="34" t="s">
        <v>197</v>
      </c>
      <c r="J1" s="34" t="s">
        <v>197</v>
      </c>
      <c r="K1" s="34" t="s">
        <v>197</v>
      </c>
      <c r="L1" s="34" t="s">
        <v>197</v>
      </c>
      <c r="M1" s="34" t="s">
        <v>197</v>
      </c>
      <c r="N1" s="34" t="s">
        <v>197</v>
      </c>
      <c r="O1" s="34" t="s">
        <v>197</v>
      </c>
      <c r="P1" s="34" t="s">
        <v>197</v>
      </c>
      <c r="Q1" s="34" t="s">
        <v>197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-46</v>
      </c>
      <c r="C4" s="30">
        <v>-46</v>
      </c>
      <c r="D4" s="35">
        <v>3</v>
      </c>
      <c r="E4" s="31">
        <v>0</v>
      </c>
      <c r="F4" s="31">
        <v>1</v>
      </c>
      <c r="G4" s="31">
        <v>0</v>
      </c>
      <c r="H4" s="31">
        <v>0.5</v>
      </c>
      <c r="I4" s="32">
        <v>0</v>
      </c>
      <c r="J4" s="32">
        <v>-7000</v>
      </c>
      <c r="K4" s="31">
        <v>1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-96.9</v>
      </c>
      <c r="C5" s="30">
        <v>-48.45</v>
      </c>
      <c r="D5" s="35">
        <v>3</v>
      </c>
      <c r="E5" s="31">
        <v>0</v>
      </c>
      <c r="F5" s="31">
        <v>1</v>
      </c>
      <c r="G5" s="31">
        <v>0</v>
      </c>
      <c r="H5" s="31">
        <v>0.54545454545454541</v>
      </c>
      <c r="I5" s="32">
        <v>0</v>
      </c>
      <c r="J5" s="32">
        <v>-8833.3333333333339</v>
      </c>
      <c r="K5" s="31">
        <v>1</v>
      </c>
      <c r="L5" s="31">
        <v>9.0909090909090912E-2</v>
      </c>
      <c r="M5" s="31">
        <v>9.0909090909090912E-2</v>
      </c>
      <c r="N5" s="31">
        <v>0</v>
      </c>
      <c r="O5" s="31">
        <v>0</v>
      </c>
      <c r="P5" s="31">
        <v>0</v>
      </c>
    </row>
    <row r="6" spans="1:17" x14ac:dyDescent="0.4">
      <c r="A6" s="33">
        <v>3</v>
      </c>
      <c r="B6" s="30">
        <v>-113.4</v>
      </c>
      <c r="C6" s="30">
        <v>-37.800000000000004</v>
      </c>
      <c r="D6" s="35">
        <v>3</v>
      </c>
      <c r="E6" s="31">
        <v>0</v>
      </c>
      <c r="F6" s="31">
        <v>1</v>
      </c>
      <c r="G6" s="31">
        <v>0.11764705882352941</v>
      </c>
      <c r="H6" s="31">
        <v>0.41176470588235292</v>
      </c>
      <c r="I6" s="32">
        <v>1600</v>
      </c>
      <c r="J6" s="32">
        <v>-8314.2857142857138</v>
      </c>
      <c r="K6" s="31">
        <v>0.66666666666666663</v>
      </c>
      <c r="L6" s="31">
        <v>5.8823529411764705E-2</v>
      </c>
      <c r="M6" s="31">
        <v>0.23529411764705882</v>
      </c>
      <c r="N6" s="31">
        <v>0</v>
      </c>
      <c r="O6" s="31">
        <v>0.5</v>
      </c>
      <c r="P6" s="31">
        <v>0.5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13CD1-8C9F-4782-B5B6-75D0D088C1D0}">
  <sheetPr codeName="Sheet10"/>
  <dimension ref="A1:Q4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-4.5999999999999996</v>
      </c>
      <c r="C4" s="30">
        <v>-4.5999999999999996</v>
      </c>
      <c r="D4" s="35">
        <v>2</v>
      </c>
      <c r="E4" s="31">
        <v>0</v>
      </c>
      <c r="F4" s="31">
        <v>0</v>
      </c>
      <c r="G4" s="31">
        <v>0.33333333333333331</v>
      </c>
      <c r="H4" s="31">
        <v>0.16666666666666666</v>
      </c>
      <c r="I4" s="32">
        <v>6500</v>
      </c>
      <c r="J4" s="32">
        <v>-9600</v>
      </c>
      <c r="K4" s="31">
        <v>0</v>
      </c>
      <c r="L4" s="31">
        <v>0.16666666666666666</v>
      </c>
      <c r="M4" s="31">
        <v>0.5</v>
      </c>
      <c r="N4" s="31">
        <v>1</v>
      </c>
      <c r="O4" s="31">
        <v>0.33333333333333331</v>
      </c>
      <c r="P4" s="31">
        <v>0</v>
      </c>
    </row>
    <row r="5" spans="1:17" x14ac:dyDescent="0.4">
      <c r="A5" s="33">
        <v>2</v>
      </c>
      <c r="B5" s="30">
        <v>42.6</v>
      </c>
      <c r="C5" s="30">
        <v>21.3</v>
      </c>
      <c r="D5" s="35">
        <v>1.5</v>
      </c>
      <c r="E5" s="31">
        <v>0.5</v>
      </c>
      <c r="F5" s="31">
        <v>0</v>
      </c>
      <c r="G5" s="31">
        <v>0.54545454545454541</v>
      </c>
      <c r="H5" s="31">
        <v>9.0909090909090912E-2</v>
      </c>
      <c r="I5" s="32">
        <v>8833.3333333333339</v>
      </c>
      <c r="J5" s="32">
        <v>-9600</v>
      </c>
      <c r="K5" s="31">
        <v>0</v>
      </c>
      <c r="L5" s="31">
        <v>0.54545454545454541</v>
      </c>
      <c r="M5" s="31">
        <v>0.27272727272727271</v>
      </c>
      <c r="N5" s="31">
        <v>0.83333333333333337</v>
      </c>
      <c r="O5" s="31">
        <v>0.33333333333333331</v>
      </c>
      <c r="P5" s="31">
        <v>0.16666666666666666</v>
      </c>
    </row>
    <row r="6" spans="1:17" x14ac:dyDescent="0.4">
      <c r="A6" s="33">
        <v>3</v>
      </c>
      <c r="B6" s="30">
        <v>64.400000000000006</v>
      </c>
      <c r="C6" s="30">
        <v>21.466666666666669</v>
      </c>
      <c r="D6" s="35">
        <v>1.3333333333333333</v>
      </c>
      <c r="E6" s="31">
        <v>0.66666666666666663</v>
      </c>
      <c r="F6" s="31">
        <v>0</v>
      </c>
      <c r="G6" s="31">
        <v>0.47058823529411764</v>
      </c>
      <c r="H6" s="31">
        <v>0.17647058823529413</v>
      </c>
      <c r="I6" s="32">
        <v>9625</v>
      </c>
      <c r="J6" s="32">
        <v>-6433.333333333333</v>
      </c>
      <c r="K6" s="31">
        <v>0</v>
      </c>
      <c r="L6" s="31">
        <v>0.52941176470588236</v>
      </c>
      <c r="M6" s="31">
        <v>0.23529411764705882</v>
      </c>
      <c r="N6" s="31">
        <v>0.66666666666666663</v>
      </c>
      <c r="O6" s="31">
        <v>0.5</v>
      </c>
      <c r="P6" s="31">
        <v>0.25</v>
      </c>
    </row>
    <row r="7" spans="1:17" x14ac:dyDescent="0.4">
      <c r="A7" s="33">
        <v>4</v>
      </c>
      <c r="B7" s="30">
        <v>82.4</v>
      </c>
      <c r="C7" s="30">
        <v>20.6</v>
      </c>
      <c r="D7" s="35">
        <v>1.25</v>
      </c>
      <c r="E7" s="31">
        <v>0.75</v>
      </c>
      <c r="F7" s="31">
        <v>0</v>
      </c>
      <c r="G7" s="31">
        <v>0.48</v>
      </c>
      <c r="H7" s="31">
        <v>0.12</v>
      </c>
      <c r="I7" s="32">
        <v>8266.6666666666661</v>
      </c>
      <c r="J7" s="32">
        <v>-6433.333333333333</v>
      </c>
      <c r="K7" s="31">
        <v>0</v>
      </c>
      <c r="L7" s="31">
        <v>0.44</v>
      </c>
      <c r="M7" s="31">
        <v>0.16</v>
      </c>
      <c r="N7" s="31">
        <v>0.72727272727272729</v>
      </c>
      <c r="O7" s="31">
        <v>0.5</v>
      </c>
      <c r="P7" s="31">
        <v>0.41666666666666669</v>
      </c>
    </row>
    <row r="8" spans="1:17" x14ac:dyDescent="0.4">
      <c r="A8" s="33">
        <v>5</v>
      </c>
      <c r="B8" s="30">
        <v>99.300000000000011</v>
      </c>
      <c r="C8" s="30">
        <v>19.860000000000003</v>
      </c>
      <c r="D8" s="35">
        <v>1.2</v>
      </c>
      <c r="E8" s="31">
        <v>0.8</v>
      </c>
      <c r="F8" s="31">
        <v>0</v>
      </c>
      <c r="G8" s="31">
        <v>0.47058823529411764</v>
      </c>
      <c r="H8" s="31">
        <v>0.17647058823529413</v>
      </c>
      <c r="I8" s="32">
        <v>8700</v>
      </c>
      <c r="J8" s="32">
        <v>-8183.333333333333</v>
      </c>
      <c r="K8" s="31">
        <v>0</v>
      </c>
      <c r="L8" s="31">
        <v>0.35294117647058826</v>
      </c>
      <c r="M8" s="31">
        <v>0.23529411764705882</v>
      </c>
      <c r="N8" s="31">
        <v>0.75</v>
      </c>
      <c r="O8" s="31">
        <v>0.5</v>
      </c>
      <c r="P8" s="31">
        <v>0.5</v>
      </c>
    </row>
    <row r="9" spans="1:17" x14ac:dyDescent="0.4">
      <c r="A9" s="33">
        <v>6</v>
      </c>
      <c r="B9" s="30">
        <v>175.8</v>
      </c>
      <c r="C9" s="30">
        <v>29.3</v>
      </c>
      <c r="D9" s="35">
        <v>1.1666666666666667</v>
      </c>
      <c r="E9" s="31">
        <v>0.83333333333333337</v>
      </c>
      <c r="F9" s="31">
        <v>0</v>
      </c>
      <c r="G9" s="31">
        <v>0.5</v>
      </c>
      <c r="H9" s="31">
        <v>0.15789473684210525</v>
      </c>
      <c r="I9" s="32">
        <v>10694.736842105263</v>
      </c>
      <c r="J9" s="32">
        <v>-8183.333333333333</v>
      </c>
      <c r="K9" s="31">
        <v>0</v>
      </c>
      <c r="L9" s="31">
        <v>0.34210526315789475</v>
      </c>
      <c r="M9" s="31">
        <v>0.21052631578947367</v>
      </c>
      <c r="N9" s="31">
        <v>0.76923076923076927</v>
      </c>
      <c r="O9" s="31">
        <v>0.5</v>
      </c>
      <c r="P9" s="31">
        <v>0.57894736842105265</v>
      </c>
    </row>
    <row r="10" spans="1:17" x14ac:dyDescent="0.4">
      <c r="A10" s="33">
        <v>7</v>
      </c>
      <c r="B10" s="30">
        <v>124.60000000000001</v>
      </c>
      <c r="C10" s="30">
        <v>17.8</v>
      </c>
      <c r="D10" s="35">
        <v>1.4285714285714286</v>
      </c>
      <c r="E10" s="31">
        <v>0.7142857142857143</v>
      </c>
      <c r="F10" s="31">
        <v>0.14285714285714285</v>
      </c>
      <c r="G10" s="31">
        <v>0.44680851063829785</v>
      </c>
      <c r="H10" s="31">
        <v>0.21276595744680851</v>
      </c>
      <c r="I10" s="32">
        <v>10180.952380952382</v>
      </c>
      <c r="J10" s="32">
        <v>-9190</v>
      </c>
      <c r="K10" s="31">
        <v>0.14285714285714285</v>
      </c>
      <c r="L10" s="31">
        <v>0.34042553191489361</v>
      </c>
      <c r="M10" s="31">
        <v>0.19148936170212766</v>
      </c>
      <c r="N10" s="31">
        <v>0.625</v>
      </c>
      <c r="O10" s="31">
        <v>0.44444444444444442</v>
      </c>
      <c r="P10" s="31">
        <v>0.52380952380952384</v>
      </c>
    </row>
    <row r="11" spans="1:17" x14ac:dyDescent="0.4">
      <c r="A11" s="33">
        <v>8</v>
      </c>
      <c r="B11" s="30">
        <v>86.300000000000011</v>
      </c>
      <c r="C11" s="30">
        <v>10.787500000000001</v>
      </c>
      <c r="D11" s="35">
        <v>1.625</v>
      </c>
      <c r="E11" s="31">
        <v>0.625</v>
      </c>
      <c r="F11" s="31">
        <v>0.25</v>
      </c>
      <c r="G11" s="31">
        <v>0.42105263157894735</v>
      </c>
      <c r="H11" s="31">
        <v>0.24561403508771928</v>
      </c>
      <c r="I11" s="32">
        <v>9133.3333333333339</v>
      </c>
      <c r="J11" s="32">
        <v>-7971.4285714285716</v>
      </c>
      <c r="K11" s="31">
        <v>0.125</v>
      </c>
      <c r="L11" s="31">
        <v>0.33333333333333331</v>
      </c>
      <c r="M11" s="31">
        <v>0.19298245614035087</v>
      </c>
      <c r="N11" s="31">
        <v>0.63157894736842102</v>
      </c>
      <c r="O11" s="31">
        <v>0.36363636363636365</v>
      </c>
      <c r="P11" s="31">
        <v>0.5</v>
      </c>
    </row>
    <row r="12" spans="1:17" x14ac:dyDescent="0.4">
      <c r="A12" s="33">
        <v>9</v>
      </c>
      <c r="B12" s="30">
        <v>65.100000000000009</v>
      </c>
      <c r="C12" s="30">
        <v>7.2333333333333343</v>
      </c>
      <c r="D12" s="35">
        <v>1.7777777777777777</v>
      </c>
      <c r="E12" s="31">
        <v>0.55555555555555558</v>
      </c>
      <c r="F12" s="31">
        <v>0.33333333333333331</v>
      </c>
      <c r="G12" s="31">
        <v>0.39393939393939392</v>
      </c>
      <c r="H12" s="31">
        <v>0.21212121212121213</v>
      </c>
      <c r="I12" s="32">
        <v>9076.9230769230762</v>
      </c>
      <c r="J12" s="32">
        <v>-7971.4285714285716</v>
      </c>
      <c r="K12" s="31">
        <v>0.1111111111111111</v>
      </c>
      <c r="L12" s="31">
        <v>0.31818181818181818</v>
      </c>
      <c r="M12" s="31">
        <v>0.16666666666666666</v>
      </c>
      <c r="N12" s="31">
        <v>0.61904761904761907</v>
      </c>
      <c r="O12" s="31">
        <v>0.36363636363636365</v>
      </c>
      <c r="P12" s="31">
        <v>0.5</v>
      </c>
    </row>
    <row r="13" spans="1:17" x14ac:dyDescent="0.4">
      <c r="A13" s="33">
        <v>10</v>
      </c>
      <c r="B13" s="30">
        <v>60.500000000000007</v>
      </c>
      <c r="C13" s="30">
        <v>6.0500000000000007</v>
      </c>
      <c r="D13" s="35">
        <v>1.8</v>
      </c>
      <c r="E13" s="31">
        <v>0.5</v>
      </c>
      <c r="F13" s="31">
        <v>0.3</v>
      </c>
      <c r="G13" s="31">
        <v>0.38157894736842107</v>
      </c>
      <c r="H13" s="31">
        <v>0.22368421052631579</v>
      </c>
      <c r="I13" s="32">
        <v>9379.310344827587</v>
      </c>
      <c r="J13" s="32">
        <v>-8482.3529411764703</v>
      </c>
      <c r="K13" s="31">
        <v>0.1</v>
      </c>
      <c r="L13" s="31">
        <v>0.31578947368421051</v>
      </c>
      <c r="M13" s="31">
        <v>0.17105263157894737</v>
      </c>
      <c r="N13" s="31">
        <v>0.58333333333333337</v>
      </c>
      <c r="O13" s="31">
        <v>0.38461538461538464</v>
      </c>
      <c r="P13" s="31">
        <v>0.55172413793103448</v>
      </c>
    </row>
    <row r="14" spans="1:17" x14ac:dyDescent="0.4">
      <c r="A14" s="33">
        <v>11</v>
      </c>
      <c r="B14" s="30">
        <v>41.100000000000009</v>
      </c>
      <c r="C14" s="30">
        <v>3.7363636363636372</v>
      </c>
      <c r="D14" s="35">
        <v>1.9090909090909092</v>
      </c>
      <c r="E14" s="31">
        <v>0.45454545454545453</v>
      </c>
      <c r="F14" s="31">
        <v>0.36363636363636365</v>
      </c>
      <c r="G14" s="31">
        <v>0.38554216867469882</v>
      </c>
      <c r="H14" s="31">
        <v>0.21686746987951808</v>
      </c>
      <c r="I14" s="32">
        <v>8956.25</v>
      </c>
      <c r="J14" s="32">
        <v>-9344.4444444444453</v>
      </c>
      <c r="K14" s="31">
        <v>9.0909090909090912E-2</v>
      </c>
      <c r="L14" s="31">
        <v>0.30120481927710846</v>
      </c>
      <c r="M14" s="31">
        <v>0.18072289156626506</v>
      </c>
      <c r="N14" s="31">
        <v>0.6</v>
      </c>
      <c r="O14" s="31">
        <v>0.46666666666666667</v>
      </c>
      <c r="P14" s="31">
        <v>0.53125</v>
      </c>
    </row>
    <row r="15" spans="1:17" x14ac:dyDescent="0.4">
      <c r="A15" s="33">
        <v>12</v>
      </c>
      <c r="B15" s="30">
        <v>98.9</v>
      </c>
      <c r="C15" s="30">
        <v>8.2416666666666671</v>
      </c>
      <c r="D15" s="35">
        <v>1.8333333333333333</v>
      </c>
      <c r="E15" s="31">
        <v>0.5</v>
      </c>
      <c r="F15" s="31">
        <v>0.33333333333333331</v>
      </c>
      <c r="G15" s="31">
        <v>0.41489361702127658</v>
      </c>
      <c r="H15" s="31">
        <v>0.19148936170212766</v>
      </c>
      <c r="I15" s="32">
        <v>8356.4102564102559</v>
      </c>
      <c r="J15" s="32">
        <v>-9344.4444444444453</v>
      </c>
      <c r="K15" s="31">
        <v>8.3333333333333329E-2</v>
      </c>
      <c r="L15" s="31">
        <v>0.31914893617021278</v>
      </c>
      <c r="M15" s="31">
        <v>0.15957446808510639</v>
      </c>
      <c r="N15" s="31">
        <v>0.66666666666666663</v>
      </c>
      <c r="O15" s="31">
        <v>0.46666666666666667</v>
      </c>
      <c r="P15" s="31">
        <v>0.51282051282051277</v>
      </c>
    </row>
    <row r="16" spans="1:17" x14ac:dyDescent="0.4">
      <c r="A16" s="33">
        <v>13</v>
      </c>
      <c r="B16" s="30">
        <v>119.10000000000001</v>
      </c>
      <c r="C16" s="30">
        <v>9.1615384615384627</v>
      </c>
      <c r="D16" s="35">
        <v>1.7692307692307692</v>
      </c>
      <c r="E16" s="31">
        <v>0.53846153846153844</v>
      </c>
      <c r="F16" s="31">
        <v>0.30769230769230771</v>
      </c>
      <c r="G16" s="31">
        <v>0.41176470588235292</v>
      </c>
      <c r="H16" s="31">
        <v>0.19607843137254902</v>
      </c>
      <c r="I16" s="32">
        <v>8380.9523809523816</v>
      </c>
      <c r="J16" s="32">
        <v>-9055</v>
      </c>
      <c r="K16" s="31">
        <v>7.6923076923076927E-2</v>
      </c>
      <c r="L16" s="31">
        <v>0.3235294117647059</v>
      </c>
      <c r="M16" s="31">
        <v>0.16666666666666666</v>
      </c>
      <c r="N16" s="31">
        <v>0.69696969696969702</v>
      </c>
      <c r="O16" s="31">
        <v>0.41176470588235292</v>
      </c>
      <c r="P16" s="31">
        <v>0.52380952380952384</v>
      </c>
    </row>
    <row r="17" spans="1:16" x14ac:dyDescent="0.4">
      <c r="A17" s="33">
        <v>14</v>
      </c>
      <c r="B17" s="30">
        <v>162.4</v>
      </c>
      <c r="C17" s="30">
        <v>11.6</v>
      </c>
      <c r="D17" s="35">
        <v>1.7142857142857142</v>
      </c>
      <c r="E17" s="31">
        <v>0.5714285714285714</v>
      </c>
      <c r="F17" s="31">
        <v>0.2857142857142857</v>
      </c>
      <c r="G17" s="31">
        <v>0.41964285714285715</v>
      </c>
      <c r="H17" s="31">
        <v>0.17857142857142858</v>
      </c>
      <c r="I17" s="32">
        <v>8523.4042553191484</v>
      </c>
      <c r="J17" s="32">
        <v>-9055</v>
      </c>
      <c r="K17" s="31">
        <v>7.1428571428571425E-2</v>
      </c>
      <c r="L17" s="31">
        <v>0.3392857142857143</v>
      </c>
      <c r="M17" s="31">
        <v>0.16071428571428573</v>
      </c>
      <c r="N17" s="31">
        <v>0.68421052631578949</v>
      </c>
      <c r="O17" s="31">
        <v>0.44444444444444442</v>
      </c>
      <c r="P17" s="31">
        <v>0.51063829787234039</v>
      </c>
    </row>
    <row r="18" spans="1:16" x14ac:dyDescent="0.4">
      <c r="A18" s="33">
        <v>15</v>
      </c>
      <c r="B18" s="30">
        <v>219.2</v>
      </c>
      <c r="C18" s="30">
        <v>14.613333333333333</v>
      </c>
      <c r="D18" s="35">
        <v>1.6666666666666667</v>
      </c>
      <c r="E18" s="31">
        <v>0.6</v>
      </c>
      <c r="F18" s="31">
        <v>0.26666666666666666</v>
      </c>
      <c r="G18" s="31">
        <v>0.42016806722689076</v>
      </c>
      <c r="H18" s="31">
        <v>0.16806722689075632</v>
      </c>
      <c r="I18" s="32">
        <v>9052</v>
      </c>
      <c r="J18" s="32">
        <v>-9055</v>
      </c>
      <c r="K18" s="31">
        <v>6.6666666666666666E-2</v>
      </c>
      <c r="L18" s="31">
        <v>0.33613445378151263</v>
      </c>
      <c r="M18" s="31">
        <v>0.15966386554621848</v>
      </c>
      <c r="N18" s="31">
        <v>0.7</v>
      </c>
      <c r="O18" s="31">
        <v>0.42105263157894735</v>
      </c>
      <c r="P18" s="31">
        <v>0.54</v>
      </c>
    </row>
    <row r="19" spans="1:16" x14ac:dyDescent="0.4">
      <c r="A19" s="33">
        <v>16</v>
      </c>
      <c r="B19" s="30">
        <v>207.6</v>
      </c>
      <c r="C19" s="30">
        <v>12.975</v>
      </c>
      <c r="D19" s="35">
        <v>1.6875</v>
      </c>
      <c r="E19" s="31">
        <v>0.5625</v>
      </c>
      <c r="F19" s="31">
        <v>0.25</v>
      </c>
      <c r="G19" s="31">
        <v>0.40944881889763779</v>
      </c>
      <c r="H19" s="31">
        <v>0.16535433070866143</v>
      </c>
      <c r="I19" s="32">
        <v>8984.6153846153848</v>
      </c>
      <c r="J19" s="32">
        <v>-8990.4761904761908</v>
      </c>
      <c r="K19" s="31">
        <v>6.25E-2</v>
      </c>
      <c r="L19" s="31">
        <v>0.3543307086614173</v>
      </c>
      <c r="M19" s="31">
        <v>0.14960629921259844</v>
      </c>
      <c r="N19" s="31">
        <v>0.66666666666666663</v>
      </c>
      <c r="O19" s="31">
        <v>0.42105263157894735</v>
      </c>
      <c r="P19" s="31">
        <v>0.53846153846153844</v>
      </c>
    </row>
    <row r="20" spans="1:16" x14ac:dyDescent="0.4">
      <c r="A20" s="33">
        <v>17</v>
      </c>
      <c r="B20" s="30">
        <v>209.2</v>
      </c>
      <c r="C20" s="30">
        <v>12.305882352941175</v>
      </c>
      <c r="D20" s="35">
        <v>1.7058823529411764</v>
      </c>
      <c r="E20" s="31">
        <v>0.52941176470588236</v>
      </c>
      <c r="F20" s="31">
        <v>0.23529411764705882</v>
      </c>
      <c r="G20" s="31">
        <v>0.39416058394160586</v>
      </c>
      <c r="H20" s="31">
        <v>0.16058394160583941</v>
      </c>
      <c r="I20" s="32">
        <v>9170.3703703703704</v>
      </c>
      <c r="J20" s="32">
        <v>-8759.0909090909099</v>
      </c>
      <c r="K20" s="31">
        <v>5.8823529411764705E-2</v>
      </c>
      <c r="L20" s="31">
        <v>0.39416058394160586</v>
      </c>
      <c r="M20" s="31">
        <v>0.13868613138686131</v>
      </c>
      <c r="N20" s="31">
        <v>0.59259259259259256</v>
      </c>
      <c r="O20" s="31">
        <v>0.42105263157894735</v>
      </c>
      <c r="P20" s="31">
        <v>0.55555555555555558</v>
      </c>
    </row>
    <row r="21" spans="1:16" x14ac:dyDescent="0.4">
      <c r="A21" s="33">
        <v>18</v>
      </c>
      <c r="B21" s="30">
        <v>194.39999999999998</v>
      </c>
      <c r="C21" s="30">
        <v>10.799999999999999</v>
      </c>
      <c r="D21" s="35">
        <v>1.7222222222222223</v>
      </c>
      <c r="E21" s="31">
        <v>0.5</v>
      </c>
      <c r="F21" s="31">
        <v>0.22222222222222221</v>
      </c>
      <c r="G21" s="31">
        <v>0.3888888888888889</v>
      </c>
      <c r="H21" s="31">
        <v>0.16666666666666666</v>
      </c>
      <c r="I21" s="32">
        <v>9005.3571428571431</v>
      </c>
      <c r="J21" s="32">
        <v>-8858.3333333333339</v>
      </c>
      <c r="K21" s="31">
        <v>5.5555555555555552E-2</v>
      </c>
      <c r="L21" s="31">
        <v>0.40277777777777779</v>
      </c>
      <c r="M21" s="31">
        <v>0.13194444444444445</v>
      </c>
      <c r="N21" s="31">
        <v>0.58620689655172409</v>
      </c>
      <c r="O21" s="31">
        <v>0.42105263157894735</v>
      </c>
      <c r="P21" s="31">
        <v>0.5357142857142857</v>
      </c>
    </row>
    <row r="22" spans="1:16" x14ac:dyDescent="0.4">
      <c r="A22" s="33">
        <v>19</v>
      </c>
      <c r="B22" s="30">
        <v>216.79999999999998</v>
      </c>
      <c r="C22" s="30">
        <v>11.410526315789474</v>
      </c>
      <c r="D22" s="35">
        <v>1.6842105263157894</v>
      </c>
      <c r="E22" s="31">
        <v>0.52631578947368418</v>
      </c>
      <c r="F22" s="31">
        <v>0.21052631578947367</v>
      </c>
      <c r="G22" s="31">
        <v>0.37908496732026142</v>
      </c>
      <c r="H22" s="31">
        <v>0.16339869281045752</v>
      </c>
      <c r="I22" s="32">
        <v>9108.6206896551721</v>
      </c>
      <c r="J22" s="32">
        <v>-8608</v>
      </c>
      <c r="K22" s="31">
        <v>5.2631578947368418E-2</v>
      </c>
      <c r="L22" s="31">
        <v>0.39215686274509803</v>
      </c>
      <c r="M22" s="31">
        <v>0.13071895424836602</v>
      </c>
      <c r="N22" s="31">
        <v>0.56666666666666665</v>
      </c>
      <c r="O22" s="31">
        <v>0.45</v>
      </c>
      <c r="P22" s="31">
        <v>0.51724137931034486</v>
      </c>
    </row>
    <row r="23" spans="1:16" x14ac:dyDescent="0.4">
      <c r="A23" s="33">
        <v>20</v>
      </c>
      <c r="B23" s="30">
        <v>215.6</v>
      </c>
      <c r="C23" s="30">
        <v>10.78</v>
      </c>
      <c r="D23" s="35">
        <v>1.7</v>
      </c>
      <c r="E23" s="31">
        <v>0.5</v>
      </c>
      <c r="F23" s="31">
        <v>0.2</v>
      </c>
      <c r="G23" s="31">
        <v>0.37735849056603776</v>
      </c>
      <c r="H23" s="31">
        <v>0.16352201257861634</v>
      </c>
      <c r="I23" s="32">
        <v>9071.6666666666661</v>
      </c>
      <c r="J23" s="32">
        <v>-8400</v>
      </c>
      <c r="K23" s="31">
        <v>0.05</v>
      </c>
      <c r="L23" s="31">
        <v>0.38993710691823902</v>
      </c>
      <c r="M23" s="31">
        <v>0.13207547169811321</v>
      </c>
      <c r="N23" s="31">
        <v>0.56451612903225812</v>
      </c>
      <c r="O23" s="31">
        <v>0.47619047619047616</v>
      </c>
      <c r="P23" s="31">
        <v>0.5</v>
      </c>
    </row>
    <row r="24" spans="1:16" x14ac:dyDescent="0.4">
      <c r="A24" s="33">
        <v>21</v>
      </c>
      <c r="B24" s="30">
        <v>252.8</v>
      </c>
      <c r="C24" s="30">
        <v>12.038095238095238</v>
      </c>
      <c r="D24" s="35">
        <v>1.6666666666666667</v>
      </c>
      <c r="E24" s="31">
        <v>0.52380952380952384</v>
      </c>
      <c r="F24" s="31">
        <v>0.19047619047619047</v>
      </c>
      <c r="G24" s="31">
        <v>0.38323353293413176</v>
      </c>
      <c r="H24" s="31">
        <v>0.15568862275449102</v>
      </c>
      <c r="I24" s="32">
        <v>8998.4375</v>
      </c>
      <c r="J24" s="32">
        <v>-8400</v>
      </c>
      <c r="K24" s="31">
        <v>4.7619047619047616E-2</v>
      </c>
      <c r="L24" s="31">
        <v>0.38922155688622756</v>
      </c>
      <c r="M24" s="31">
        <v>0.1317365269461078</v>
      </c>
      <c r="N24" s="31">
        <v>0.56923076923076921</v>
      </c>
      <c r="O24" s="31">
        <v>0.5</v>
      </c>
      <c r="P24" s="31">
        <v>0.46875</v>
      </c>
    </row>
    <row r="25" spans="1:16" x14ac:dyDescent="0.4">
      <c r="A25" s="33">
        <v>22</v>
      </c>
      <c r="B25" s="30">
        <v>250.60000000000002</v>
      </c>
      <c r="C25" s="30">
        <v>11.390909090909092</v>
      </c>
      <c r="D25" s="35">
        <v>1.6818181818181819</v>
      </c>
      <c r="E25" s="31">
        <v>0.5</v>
      </c>
      <c r="F25" s="31">
        <v>0.18181818181818182</v>
      </c>
      <c r="G25" s="31">
        <v>0.37853107344632769</v>
      </c>
      <c r="H25" s="31">
        <v>0.15819209039548024</v>
      </c>
      <c r="I25" s="32">
        <v>9062.686567164179</v>
      </c>
      <c r="J25" s="32">
        <v>-8514.2857142857138</v>
      </c>
      <c r="K25" s="31">
        <v>4.5454545454545456E-2</v>
      </c>
      <c r="L25" s="31">
        <v>0.38983050847457629</v>
      </c>
      <c r="M25" s="31">
        <v>0.12994350282485875</v>
      </c>
      <c r="N25" s="31">
        <v>0.57971014492753625</v>
      </c>
      <c r="O25" s="31">
        <v>0.47826086956521741</v>
      </c>
      <c r="P25" s="31">
        <v>0.47761194029850745</v>
      </c>
    </row>
    <row r="26" spans="1:16" x14ac:dyDescent="0.4">
      <c r="A26" s="33">
        <v>23</v>
      </c>
      <c r="B26" s="30">
        <v>262.3</v>
      </c>
      <c r="C26" s="30">
        <v>11.404347826086957</v>
      </c>
      <c r="D26" s="35">
        <v>1.6956521739130435</v>
      </c>
      <c r="E26" s="31">
        <v>0.47826086956521741</v>
      </c>
      <c r="F26" s="31">
        <v>0.17391304347826086</v>
      </c>
      <c r="G26" s="31">
        <v>0.37297297297297299</v>
      </c>
      <c r="H26" s="31">
        <v>0.15675675675675677</v>
      </c>
      <c r="I26" s="32">
        <v>9240.579710144928</v>
      </c>
      <c r="J26" s="32">
        <v>-8634.4827586206902</v>
      </c>
      <c r="K26" s="31">
        <v>4.3478260869565216E-2</v>
      </c>
      <c r="L26" s="31">
        <v>0.38918918918918921</v>
      </c>
      <c r="M26" s="31">
        <v>0.12972972972972974</v>
      </c>
      <c r="N26" s="31">
        <v>0.58333333333333337</v>
      </c>
      <c r="O26" s="31">
        <v>0.45833333333333331</v>
      </c>
      <c r="P26" s="31">
        <v>0.47826086956521741</v>
      </c>
    </row>
    <row r="27" spans="1:16" x14ac:dyDescent="0.4">
      <c r="A27" s="33">
        <v>24</v>
      </c>
      <c r="B27" s="30">
        <v>261.60000000000002</v>
      </c>
      <c r="C27" s="30">
        <v>10.9</v>
      </c>
      <c r="D27" s="35">
        <v>1.7083333333333333</v>
      </c>
      <c r="E27" s="31">
        <v>0.45833333333333331</v>
      </c>
      <c r="F27" s="31">
        <v>0.16666666666666666</v>
      </c>
      <c r="G27" s="31">
        <v>0.36548223350253806</v>
      </c>
      <c r="H27" s="31">
        <v>0.15736040609137056</v>
      </c>
      <c r="I27" s="32">
        <v>9294.4444444444453</v>
      </c>
      <c r="J27" s="32">
        <v>-8461.2903225806458</v>
      </c>
      <c r="K27" s="31">
        <v>4.1666666666666664E-2</v>
      </c>
      <c r="L27" s="31">
        <v>0.39086294416243655</v>
      </c>
      <c r="M27" s="31">
        <v>0.12182741116751269</v>
      </c>
      <c r="N27" s="31">
        <v>0.55844155844155841</v>
      </c>
      <c r="O27" s="31">
        <v>0.45833333333333331</v>
      </c>
      <c r="P27" s="31">
        <v>0.47222222222222221</v>
      </c>
    </row>
    <row r="28" spans="1:16" x14ac:dyDescent="0.4">
      <c r="A28" s="33">
        <v>25</v>
      </c>
      <c r="B28" s="30">
        <v>261.60000000000002</v>
      </c>
      <c r="C28" s="30">
        <v>10.464</v>
      </c>
      <c r="D28" s="35">
        <v>1.68</v>
      </c>
      <c r="E28" s="31">
        <v>0.48</v>
      </c>
      <c r="F28" s="31">
        <v>0.16</v>
      </c>
      <c r="G28" s="31">
        <v>0.36548223350253806</v>
      </c>
      <c r="H28" s="31">
        <v>0.15736040609137056</v>
      </c>
      <c r="I28" s="32">
        <v>9294.4444444444453</v>
      </c>
      <c r="J28" s="32">
        <v>-8461.2903225806458</v>
      </c>
      <c r="K28" s="31">
        <v>0.04</v>
      </c>
      <c r="L28" s="31">
        <v>0.39086294416243655</v>
      </c>
      <c r="M28" s="31">
        <v>0.12182741116751269</v>
      </c>
      <c r="N28" s="31">
        <v>0.55844155844155841</v>
      </c>
      <c r="O28" s="31">
        <v>0.45833333333333331</v>
      </c>
      <c r="P28" s="31">
        <v>0.47222222222222221</v>
      </c>
    </row>
    <row r="29" spans="1:16" x14ac:dyDescent="0.4">
      <c r="A29" s="33">
        <v>26</v>
      </c>
      <c r="B29" s="30">
        <v>212.8</v>
      </c>
      <c r="C29" s="30">
        <v>8.1846153846153857</v>
      </c>
      <c r="D29" s="35">
        <v>1.7307692307692308</v>
      </c>
      <c r="E29" s="31">
        <v>0.46153846153846156</v>
      </c>
      <c r="F29" s="31">
        <v>0.19230769230769232</v>
      </c>
      <c r="G29" s="31">
        <v>0.35714285714285715</v>
      </c>
      <c r="H29" s="31">
        <v>0.15714285714285714</v>
      </c>
      <c r="I29" s="32">
        <v>9090.6666666666661</v>
      </c>
      <c r="J29" s="32">
        <v>-8357.575757575758</v>
      </c>
      <c r="K29" s="31">
        <v>3.8461538461538464E-2</v>
      </c>
      <c r="L29" s="31">
        <v>0.39047619047619048</v>
      </c>
      <c r="M29" s="31">
        <v>0.1380952380952381</v>
      </c>
      <c r="N29" s="31">
        <v>0.53658536585365857</v>
      </c>
      <c r="O29" s="31">
        <v>0.44827586206896552</v>
      </c>
      <c r="P29" s="31">
        <v>0.46666666666666667</v>
      </c>
    </row>
    <row r="30" spans="1:16" x14ac:dyDescent="0.4">
      <c r="A30" s="33">
        <v>27</v>
      </c>
      <c r="B30" s="30">
        <v>189.70000000000002</v>
      </c>
      <c r="C30" s="30">
        <v>7.0259259259259261</v>
      </c>
      <c r="D30" s="35">
        <v>1.7777777777777777</v>
      </c>
      <c r="E30" s="31">
        <v>0.44444444444444442</v>
      </c>
      <c r="F30" s="31">
        <v>0.22222222222222221</v>
      </c>
      <c r="G30" s="31">
        <v>0.35159817351598172</v>
      </c>
      <c r="H30" s="31">
        <v>0.15525114155251141</v>
      </c>
      <c r="I30" s="32">
        <v>9062.3376623376626</v>
      </c>
      <c r="J30" s="32">
        <v>-8464.7058823529405</v>
      </c>
      <c r="K30" s="31">
        <v>3.7037037037037035E-2</v>
      </c>
      <c r="L30" s="31">
        <v>0.39726027397260272</v>
      </c>
      <c r="M30" s="31">
        <v>0.13242009132420091</v>
      </c>
      <c r="N30" s="31">
        <v>0.52873563218390807</v>
      </c>
      <c r="O30" s="31">
        <v>0.44827586206896552</v>
      </c>
      <c r="P30" s="31">
        <v>0.46753246753246752</v>
      </c>
    </row>
    <row r="31" spans="1:16" x14ac:dyDescent="0.4">
      <c r="A31" s="33">
        <v>28</v>
      </c>
      <c r="B31" s="30">
        <v>219.4</v>
      </c>
      <c r="C31" s="30">
        <v>7.8357142857142863</v>
      </c>
      <c r="D31" s="35">
        <v>1.75</v>
      </c>
      <c r="E31" s="31">
        <v>0.4642857142857143</v>
      </c>
      <c r="F31" s="31">
        <v>0.21428571428571427</v>
      </c>
      <c r="G31" s="31">
        <v>0.3524229074889868</v>
      </c>
      <c r="H31" s="31">
        <v>0.15418502202643172</v>
      </c>
      <c r="I31" s="32">
        <v>9193.75</v>
      </c>
      <c r="J31" s="32">
        <v>-8565.7142857142862</v>
      </c>
      <c r="K31" s="31">
        <v>3.5714285714285712E-2</v>
      </c>
      <c r="L31" s="31">
        <v>0.40088105726872247</v>
      </c>
      <c r="M31" s="31">
        <v>0.1277533039647577</v>
      </c>
      <c r="N31" s="31">
        <v>0.52747252747252749</v>
      </c>
      <c r="O31" s="31">
        <v>0.44827586206896552</v>
      </c>
      <c r="P31" s="31">
        <v>0.48749999999999999</v>
      </c>
    </row>
    <row r="32" spans="1:16" x14ac:dyDescent="0.4">
      <c r="A32" s="33">
        <v>29</v>
      </c>
      <c r="B32" s="30">
        <v>252.3</v>
      </c>
      <c r="C32" s="30">
        <v>8.7000000000000011</v>
      </c>
      <c r="D32" s="35">
        <v>1.7241379310344827</v>
      </c>
      <c r="E32" s="31">
        <v>0.48275862068965519</v>
      </c>
      <c r="F32" s="31">
        <v>0.20689655172413793</v>
      </c>
      <c r="G32" s="31">
        <v>0.35897435897435898</v>
      </c>
      <c r="H32" s="31">
        <v>0.14957264957264957</v>
      </c>
      <c r="I32" s="32">
        <v>9063.0952380952385</v>
      </c>
      <c r="J32" s="32">
        <v>-8565.7142857142862</v>
      </c>
      <c r="K32" s="31">
        <v>3.4482758620689655E-2</v>
      </c>
      <c r="L32" s="31">
        <v>0.39316239316239315</v>
      </c>
      <c r="M32" s="31">
        <v>0.14102564102564102</v>
      </c>
      <c r="N32" s="31">
        <v>0.52173913043478259</v>
      </c>
      <c r="O32" s="31">
        <v>0.51515151515151514</v>
      </c>
      <c r="P32" s="31">
        <v>0.47619047619047616</v>
      </c>
    </row>
    <row r="33" spans="1:16" x14ac:dyDescent="0.4">
      <c r="A33" s="33">
        <v>30</v>
      </c>
      <c r="B33" s="30">
        <v>258.2</v>
      </c>
      <c r="C33" s="30">
        <v>8.6066666666666656</v>
      </c>
      <c r="D33" s="35">
        <v>1.7333333333333334</v>
      </c>
      <c r="E33" s="31">
        <v>0.46666666666666667</v>
      </c>
      <c r="F33" s="31">
        <v>0.2</v>
      </c>
      <c r="G33" s="31">
        <v>0.35390946502057613</v>
      </c>
      <c r="H33" s="31">
        <v>0.1440329218106996</v>
      </c>
      <c r="I33" s="32">
        <v>9084.8837209302328</v>
      </c>
      <c r="J33" s="32">
        <v>-8565.7142857142862</v>
      </c>
      <c r="K33" s="31">
        <v>3.3333333333333333E-2</v>
      </c>
      <c r="L33" s="31">
        <v>0.38683127572016462</v>
      </c>
      <c r="M33" s="31">
        <v>0.13991769547325103</v>
      </c>
      <c r="N33" s="31">
        <v>0.52127659574468088</v>
      </c>
      <c r="O33" s="31">
        <v>0.52941176470588236</v>
      </c>
      <c r="P33" s="31">
        <v>0.46511627906976744</v>
      </c>
    </row>
    <row r="34" spans="1:16" x14ac:dyDescent="0.4">
      <c r="A34" s="33">
        <v>31</v>
      </c>
      <c r="B34" s="30">
        <v>230.79999999999998</v>
      </c>
      <c r="C34" s="30">
        <v>7.4451612903225799</v>
      </c>
      <c r="D34" s="35">
        <v>1.7741935483870968</v>
      </c>
      <c r="E34" s="31">
        <v>0.45161290322580644</v>
      </c>
      <c r="F34" s="31">
        <v>0.22580645161290322</v>
      </c>
      <c r="G34" s="31">
        <v>0.3534136546184739</v>
      </c>
      <c r="H34" s="31">
        <v>0.14457831325301204</v>
      </c>
      <c r="I34" s="32">
        <v>8969.318181818182</v>
      </c>
      <c r="J34" s="32">
        <v>-8550</v>
      </c>
      <c r="K34" s="31">
        <v>3.2258064516129031E-2</v>
      </c>
      <c r="L34" s="31">
        <v>0.38554216867469882</v>
      </c>
      <c r="M34" s="31">
        <v>0.13654618473895583</v>
      </c>
      <c r="N34" s="31">
        <v>0.53125</v>
      </c>
      <c r="O34" s="31">
        <v>0.52941176470588236</v>
      </c>
      <c r="P34" s="31">
        <v>0.47727272727272729</v>
      </c>
    </row>
    <row r="35" spans="1:16" x14ac:dyDescent="0.4">
      <c r="A35" s="33">
        <v>32</v>
      </c>
      <c r="B35" s="30">
        <v>304.29999999999995</v>
      </c>
      <c r="C35" s="30">
        <v>9.5093749999999986</v>
      </c>
      <c r="D35" s="35">
        <v>1.75</v>
      </c>
      <c r="E35" s="31">
        <v>0.46875</v>
      </c>
      <c r="F35" s="31">
        <v>0.21875</v>
      </c>
      <c r="G35" s="31">
        <v>0.35632183908045978</v>
      </c>
      <c r="H35" s="31">
        <v>0.13793103448275862</v>
      </c>
      <c r="I35" s="32">
        <v>9150.5376344086017</v>
      </c>
      <c r="J35" s="32">
        <v>-8550</v>
      </c>
      <c r="K35" s="31">
        <v>3.125E-2</v>
      </c>
      <c r="L35" s="31">
        <v>0.37931034482758619</v>
      </c>
      <c r="M35" s="31">
        <v>0.13409961685823754</v>
      </c>
      <c r="N35" s="31">
        <v>0.54545454545454541</v>
      </c>
      <c r="O35" s="31">
        <v>0.51428571428571423</v>
      </c>
      <c r="P35" s="31">
        <v>0.46236559139784944</v>
      </c>
    </row>
    <row r="36" spans="1:16" x14ac:dyDescent="0.4">
      <c r="A36" s="33">
        <v>33</v>
      </c>
      <c r="B36" s="30">
        <v>304.49999999999994</v>
      </c>
      <c r="C36" s="30">
        <v>9.2272727272727249</v>
      </c>
      <c r="D36" s="35">
        <v>1.7575757575757576</v>
      </c>
      <c r="E36" s="31">
        <v>0.45454545454545453</v>
      </c>
      <c r="F36" s="31">
        <v>0.21212121212121213</v>
      </c>
      <c r="G36" s="31">
        <v>0.35849056603773582</v>
      </c>
      <c r="H36" s="31">
        <v>0.13584905660377358</v>
      </c>
      <c r="I36" s="32">
        <v>9054.7368421052633</v>
      </c>
      <c r="J36" s="32">
        <v>-8550</v>
      </c>
      <c r="K36" s="31">
        <v>3.0303030303030304E-2</v>
      </c>
      <c r="L36" s="31">
        <v>0.37735849056603776</v>
      </c>
      <c r="M36" s="31">
        <v>0.13207547169811321</v>
      </c>
      <c r="N36" s="31">
        <v>0.55000000000000004</v>
      </c>
      <c r="O36" s="31">
        <v>0.51428571428571423</v>
      </c>
      <c r="P36" s="31">
        <v>0.4631578947368421</v>
      </c>
    </row>
    <row r="37" spans="1:16" x14ac:dyDescent="0.4">
      <c r="A37" s="33">
        <v>34</v>
      </c>
      <c r="B37" s="30">
        <v>372.49999999999994</v>
      </c>
      <c r="C37" s="30">
        <v>10.955882352941174</v>
      </c>
      <c r="D37" s="35">
        <v>1.7352941176470589</v>
      </c>
      <c r="E37" s="31">
        <v>0.47058823529411764</v>
      </c>
      <c r="F37" s="31">
        <v>0.20588235294117646</v>
      </c>
      <c r="G37" s="31">
        <v>0.36090225563909772</v>
      </c>
      <c r="H37" s="31">
        <v>0.13533834586466165</v>
      </c>
      <c r="I37" s="32">
        <v>9460.4166666666661</v>
      </c>
      <c r="J37" s="32">
        <v>-8550</v>
      </c>
      <c r="K37" s="31">
        <v>2.9411764705882353E-2</v>
      </c>
      <c r="L37" s="31">
        <v>0.37593984962406013</v>
      </c>
      <c r="M37" s="31">
        <v>0.13157894736842105</v>
      </c>
      <c r="N37" s="31">
        <v>0.55000000000000004</v>
      </c>
      <c r="O37" s="31">
        <v>0.51428571428571423</v>
      </c>
      <c r="P37" s="31">
        <v>0.45833333333333331</v>
      </c>
    </row>
    <row r="38" spans="1:16" x14ac:dyDescent="0.4">
      <c r="A38" s="33">
        <v>35</v>
      </c>
      <c r="B38" s="30">
        <v>317.99999999999994</v>
      </c>
      <c r="C38" s="30">
        <v>9.0857142857142836</v>
      </c>
      <c r="D38" s="35">
        <v>1.7714285714285714</v>
      </c>
      <c r="E38" s="31">
        <v>0.45714285714285713</v>
      </c>
      <c r="F38" s="31">
        <v>0.22857142857142856</v>
      </c>
      <c r="G38" s="31">
        <v>0.35036496350364965</v>
      </c>
      <c r="H38" s="31">
        <v>0.13503649635036497</v>
      </c>
      <c r="I38" s="32">
        <v>9460.4166666666661</v>
      </c>
      <c r="J38" s="32">
        <v>-8527.0270270270266</v>
      </c>
      <c r="K38" s="31">
        <v>2.8571428571428571E-2</v>
      </c>
      <c r="L38" s="31">
        <v>0.37226277372262773</v>
      </c>
      <c r="M38" s="31">
        <v>0.13503649635036497</v>
      </c>
      <c r="N38" s="31">
        <v>0.53921568627450978</v>
      </c>
      <c r="O38" s="31">
        <v>0.48648648648648651</v>
      </c>
      <c r="P38" s="31">
        <v>0.45833333333333331</v>
      </c>
    </row>
    <row r="39" spans="1:16" x14ac:dyDescent="0.4">
      <c r="A39" s="33">
        <v>36</v>
      </c>
      <c r="B39" s="30">
        <v>358.59999999999997</v>
      </c>
      <c r="C39" s="30">
        <v>9.9611111111111104</v>
      </c>
      <c r="D39" s="35">
        <v>1.75</v>
      </c>
      <c r="E39" s="31">
        <v>0.47222222222222221</v>
      </c>
      <c r="F39" s="31">
        <v>0.22222222222222221</v>
      </c>
      <c r="G39" s="31">
        <v>0.34965034965034963</v>
      </c>
      <c r="H39" s="31">
        <v>0.14335664335664336</v>
      </c>
      <c r="I39" s="32">
        <v>9620</v>
      </c>
      <c r="J39" s="32">
        <v>-8512.1951219512193</v>
      </c>
      <c r="K39" s="31">
        <v>2.7777777777777776E-2</v>
      </c>
      <c r="L39" s="31">
        <v>0.37412587412587411</v>
      </c>
      <c r="M39" s="31">
        <v>0.13636363636363635</v>
      </c>
      <c r="N39" s="31">
        <v>0.54205607476635509</v>
      </c>
      <c r="O39" s="31">
        <v>0.48717948717948717</v>
      </c>
      <c r="P39" s="31">
        <v>0.46</v>
      </c>
    </row>
    <row r="40" spans="1:16" x14ac:dyDescent="0.4">
      <c r="A40" s="33">
        <v>37</v>
      </c>
      <c r="B40" s="30">
        <v>342.59999999999997</v>
      </c>
      <c r="C40" s="30">
        <v>9.2594594594594586</v>
      </c>
      <c r="D40" s="35">
        <v>1.7567567567567568</v>
      </c>
      <c r="E40" s="31">
        <v>0.45945945945945948</v>
      </c>
      <c r="F40" s="31">
        <v>0.21621621621621623</v>
      </c>
      <c r="G40" s="31">
        <v>0.34827586206896549</v>
      </c>
      <c r="H40" s="31">
        <v>0.14482758620689656</v>
      </c>
      <c r="I40" s="32">
        <v>9603.9603960396034</v>
      </c>
      <c r="J40" s="32">
        <v>-8738.0952380952385</v>
      </c>
      <c r="K40" s="31">
        <v>2.7027027027027029E-2</v>
      </c>
      <c r="L40" s="31">
        <v>0.37586206896551722</v>
      </c>
      <c r="M40" s="31">
        <v>0.13448275862068965</v>
      </c>
      <c r="N40" s="31">
        <v>0.54128440366972475</v>
      </c>
      <c r="O40" s="31">
        <v>0.48717948717948717</v>
      </c>
      <c r="P40" s="31">
        <v>0.45544554455445546</v>
      </c>
    </row>
    <row r="41" spans="1:16" x14ac:dyDescent="0.4">
      <c r="A41" s="33">
        <v>38</v>
      </c>
      <c r="B41" s="30">
        <v>310.7</v>
      </c>
      <c r="C41" s="30">
        <v>8.1763157894736835</v>
      </c>
      <c r="D41" s="35">
        <v>1.7894736842105263</v>
      </c>
      <c r="E41" s="31">
        <v>0.44736842105263158</v>
      </c>
      <c r="F41" s="31">
        <v>0.23684210526315788</v>
      </c>
      <c r="G41" s="31">
        <v>0.34797297297297297</v>
      </c>
      <c r="H41" s="31">
        <v>0.14527027027027026</v>
      </c>
      <c r="I41" s="32">
        <v>9515.5339805825242</v>
      </c>
      <c r="J41" s="32">
        <v>-8813.9534883720935</v>
      </c>
      <c r="K41" s="31">
        <v>2.6315789473684209E-2</v>
      </c>
      <c r="L41" s="31">
        <v>0.3716216216216216</v>
      </c>
      <c r="M41" s="31">
        <v>0.13851351351351351</v>
      </c>
      <c r="N41" s="31">
        <v>0.54545454545454541</v>
      </c>
      <c r="O41" s="31">
        <v>0.48780487804878048</v>
      </c>
      <c r="P41" s="31">
        <v>0.46601941747572817</v>
      </c>
    </row>
    <row r="42" spans="1:16" x14ac:dyDescent="0.4">
      <c r="A42" s="33">
        <v>39</v>
      </c>
      <c r="B42" s="30">
        <v>297.5</v>
      </c>
      <c r="C42" s="30">
        <v>7.6282051282051286</v>
      </c>
      <c r="D42" s="35">
        <v>1.7948717948717949</v>
      </c>
      <c r="E42" s="31">
        <v>0.4358974358974359</v>
      </c>
      <c r="F42" s="31">
        <v>0.23076923076923078</v>
      </c>
      <c r="G42" s="31">
        <v>0.34967320261437906</v>
      </c>
      <c r="H42" s="31">
        <v>0.15032679738562091</v>
      </c>
      <c r="I42" s="32">
        <v>9402.8037383177561</v>
      </c>
      <c r="J42" s="32">
        <v>-8752.173913043478</v>
      </c>
      <c r="K42" s="31">
        <v>2.564102564102564E-2</v>
      </c>
      <c r="L42" s="31">
        <v>0.37254901960784315</v>
      </c>
      <c r="M42" s="31">
        <v>0.14052287581699346</v>
      </c>
      <c r="N42" s="31">
        <v>0.55263157894736847</v>
      </c>
      <c r="O42" s="31">
        <v>0.48837209302325579</v>
      </c>
      <c r="P42" s="31">
        <v>0.45794392523364486</v>
      </c>
    </row>
    <row r="43" spans="1:16" x14ac:dyDescent="0.4">
      <c r="A43" s="33">
        <v>40</v>
      </c>
      <c r="B43" s="30">
        <v>349.3</v>
      </c>
      <c r="C43" s="30">
        <v>8.7324999999999999</v>
      </c>
      <c r="D43" s="35">
        <v>1.7749999999999999</v>
      </c>
      <c r="E43" s="31">
        <v>0.45</v>
      </c>
      <c r="F43" s="31">
        <v>0.22500000000000001</v>
      </c>
      <c r="G43" s="31">
        <v>0.35443037974683544</v>
      </c>
      <c r="H43" s="31">
        <v>0.14873417721518986</v>
      </c>
      <c r="I43" s="32">
        <v>9358.0357142857138</v>
      </c>
      <c r="J43" s="32">
        <v>-8676.5957446808516</v>
      </c>
      <c r="K43" s="31">
        <v>2.5000000000000001E-2</v>
      </c>
      <c r="L43" s="31">
        <v>0.370253164556962</v>
      </c>
      <c r="M43" s="31">
        <v>0.14873417721518986</v>
      </c>
      <c r="N43" s="31">
        <v>0.55555555555555558</v>
      </c>
      <c r="O43" s="31">
        <v>0.48936170212765956</v>
      </c>
      <c r="P43" s="31">
        <v>0.4642857142857143</v>
      </c>
    </row>
    <row r="44" spans="1:16" x14ac:dyDescent="0.4">
      <c r="A44" s="33">
        <v>41</v>
      </c>
      <c r="B44" s="30">
        <v>342.8</v>
      </c>
      <c r="C44" s="30">
        <v>8.3609756097560979</v>
      </c>
      <c r="D44" s="35">
        <v>1.7804878048780488</v>
      </c>
      <c r="E44" s="31">
        <v>0.43902439024390244</v>
      </c>
      <c r="F44" s="31">
        <v>0.21951219512195122</v>
      </c>
      <c r="G44" s="31">
        <v>0.34756097560975607</v>
      </c>
      <c r="H44" s="31">
        <v>0.1524390243902439</v>
      </c>
      <c r="I44" s="32">
        <v>9341.2280701754389</v>
      </c>
      <c r="J44" s="32">
        <v>-8446</v>
      </c>
      <c r="K44" s="31">
        <v>2.4390243902439025E-2</v>
      </c>
      <c r="L44" s="31">
        <v>0.36280487804878048</v>
      </c>
      <c r="M44" s="31">
        <v>0.14329268292682926</v>
      </c>
      <c r="N44" s="31">
        <v>0.55462184873949583</v>
      </c>
      <c r="O44" s="31">
        <v>0.48936170212765956</v>
      </c>
      <c r="P44" s="31">
        <v>0.46491228070175439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250BD-A53F-4190-891D-68DB464A80BD}">
  <sheetPr codeName="Sheet8"/>
  <dimension ref="A1:Q3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50.6</v>
      </c>
      <c r="C4" s="30">
        <v>50.6</v>
      </c>
      <c r="D4" s="35">
        <v>1</v>
      </c>
      <c r="E4" s="31">
        <v>1</v>
      </c>
      <c r="F4" s="31">
        <v>0</v>
      </c>
      <c r="G4" s="31">
        <v>0.5</v>
      </c>
      <c r="H4" s="31">
        <v>0</v>
      </c>
      <c r="I4" s="32">
        <v>11866.666666666666</v>
      </c>
      <c r="J4" s="32">
        <v>0</v>
      </c>
      <c r="K4" s="31">
        <v>0</v>
      </c>
      <c r="L4" s="31">
        <v>0.33333333333333331</v>
      </c>
      <c r="M4" s="31">
        <v>0.16666666666666666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54.300000000000004</v>
      </c>
      <c r="C5" s="30">
        <v>27.150000000000002</v>
      </c>
      <c r="D5" s="35">
        <v>1.5</v>
      </c>
      <c r="E5" s="31">
        <v>0.5</v>
      </c>
      <c r="F5" s="31">
        <v>0</v>
      </c>
      <c r="G5" s="31">
        <v>0.36363636363636365</v>
      </c>
      <c r="H5" s="31">
        <v>0</v>
      </c>
      <c r="I5" s="32">
        <v>10825</v>
      </c>
      <c r="J5" s="32">
        <v>0</v>
      </c>
      <c r="K5" s="31">
        <v>0</v>
      </c>
      <c r="L5" s="31">
        <v>0.36363636363636365</v>
      </c>
      <c r="M5" s="31">
        <v>0.27272727272727271</v>
      </c>
      <c r="N5" s="31">
        <v>0.5</v>
      </c>
      <c r="O5" s="31">
        <v>0.33333333333333331</v>
      </c>
      <c r="P5" s="31">
        <v>0.5</v>
      </c>
    </row>
    <row r="6" spans="1:17" x14ac:dyDescent="0.4">
      <c r="A6" s="33">
        <v>3</v>
      </c>
      <c r="B6" s="30">
        <v>49.000000000000007</v>
      </c>
      <c r="C6" s="30">
        <v>16.333333333333336</v>
      </c>
      <c r="D6" s="35">
        <v>1.6666666666666667</v>
      </c>
      <c r="E6" s="31">
        <v>0.33333333333333331</v>
      </c>
      <c r="F6" s="31">
        <v>0</v>
      </c>
      <c r="G6" s="31">
        <v>0.35294117647058826</v>
      </c>
      <c r="H6" s="31">
        <v>5.8823529411764705E-2</v>
      </c>
      <c r="I6" s="32">
        <v>9366.6666666666661</v>
      </c>
      <c r="J6" s="32">
        <v>-12000</v>
      </c>
      <c r="K6" s="31">
        <v>0</v>
      </c>
      <c r="L6" s="31">
        <v>0.41176470588235292</v>
      </c>
      <c r="M6" s="31">
        <v>0.29411764705882354</v>
      </c>
      <c r="N6" s="31">
        <v>0.42857142857142855</v>
      </c>
      <c r="O6" s="31">
        <v>0.4</v>
      </c>
      <c r="P6" s="31">
        <v>0.33333333333333331</v>
      </c>
    </row>
    <row r="7" spans="1:17" x14ac:dyDescent="0.4">
      <c r="A7" s="33">
        <v>4</v>
      </c>
      <c r="B7" s="30">
        <v>27.400000000000006</v>
      </c>
      <c r="C7" s="30">
        <v>6.8500000000000014</v>
      </c>
      <c r="D7" s="35">
        <v>2</v>
      </c>
      <c r="E7" s="31">
        <v>0.25</v>
      </c>
      <c r="F7" s="31">
        <v>0.25</v>
      </c>
      <c r="G7" s="31">
        <v>0.32</v>
      </c>
      <c r="H7" s="31">
        <v>0.08</v>
      </c>
      <c r="I7" s="32">
        <v>9025</v>
      </c>
      <c r="J7" s="32">
        <v>-10000</v>
      </c>
      <c r="K7" s="31">
        <v>0</v>
      </c>
      <c r="L7" s="31">
        <v>0.36</v>
      </c>
      <c r="M7" s="31">
        <v>0.28000000000000003</v>
      </c>
      <c r="N7" s="31">
        <v>0.44444444444444442</v>
      </c>
      <c r="O7" s="31">
        <v>0.2857142857142857</v>
      </c>
      <c r="P7" s="31">
        <v>0.375</v>
      </c>
    </row>
    <row r="8" spans="1:17" x14ac:dyDescent="0.4">
      <c r="A8" s="33">
        <v>5</v>
      </c>
      <c r="B8" s="30">
        <v>28.600000000000005</v>
      </c>
      <c r="C8" s="30">
        <v>5.7200000000000006</v>
      </c>
      <c r="D8" s="35">
        <v>2</v>
      </c>
      <c r="E8" s="31">
        <v>0.2</v>
      </c>
      <c r="F8" s="31">
        <v>0.2</v>
      </c>
      <c r="G8" s="31">
        <v>0.29411764705882354</v>
      </c>
      <c r="H8" s="31">
        <v>8.8235294117647065E-2</v>
      </c>
      <c r="I8" s="32">
        <v>9190</v>
      </c>
      <c r="J8" s="32">
        <v>-9333.3333333333339</v>
      </c>
      <c r="K8" s="31">
        <v>0</v>
      </c>
      <c r="L8" s="31">
        <v>0.3235294117647059</v>
      </c>
      <c r="M8" s="31">
        <v>0.29411764705882354</v>
      </c>
      <c r="N8" s="31">
        <v>0.45454545454545453</v>
      </c>
      <c r="O8" s="31">
        <v>0.3</v>
      </c>
      <c r="P8" s="31">
        <v>0.4</v>
      </c>
    </row>
    <row r="9" spans="1:17" x14ac:dyDescent="0.4">
      <c r="A9" s="33">
        <v>6</v>
      </c>
      <c r="B9" s="30">
        <v>-1.899999999999995</v>
      </c>
      <c r="C9" s="30">
        <v>-0.31666666666666582</v>
      </c>
      <c r="D9" s="35">
        <v>2</v>
      </c>
      <c r="E9" s="31">
        <v>0.16666666666666666</v>
      </c>
      <c r="F9" s="31">
        <v>0.16666666666666666</v>
      </c>
      <c r="G9" s="31">
        <v>0.26315789473684209</v>
      </c>
      <c r="H9" s="31">
        <v>7.8947368421052627E-2</v>
      </c>
      <c r="I9" s="32">
        <v>9190</v>
      </c>
      <c r="J9" s="32">
        <v>-9333.3333333333339</v>
      </c>
      <c r="K9" s="31">
        <v>0</v>
      </c>
      <c r="L9" s="31">
        <v>0.28947368421052633</v>
      </c>
      <c r="M9" s="31">
        <v>0.26315789473684209</v>
      </c>
      <c r="N9" s="31">
        <v>0.45454545454545453</v>
      </c>
      <c r="O9" s="31">
        <v>0.3</v>
      </c>
      <c r="P9" s="31">
        <v>0.4</v>
      </c>
    </row>
    <row r="10" spans="1:17" x14ac:dyDescent="0.4">
      <c r="A10" s="33">
        <v>7</v>
      </c>
      <c r="B10" s="30">
        <v>-3.2999999999999949</v>
      </c>
      <c r="C10" s="30">
        <v>-0.4714285714285707</v>
      </c>
      <c r="D10" s="35">
        <v>2</v>
      </c>
      <c r="E10" s="31">
        <v>0.14285714285714285</v>
      </c>
      <c r="F10" s="31">
        <v>0.14285714285714285</v>
      </c>
      <c r="G10" s="31">
        <v>0.25531914893617019</v>
      </c>
      <c r="H10" s="31">
        <v>0.1276595744680851</v>
      </c>
      <c r="I10" s="32">
        <v>9258.3333333333339</v>
      </c>
      <c r="J10" s="32">
        <v>-7233.333333333333</v>
      </c>
      <c r="K10" s="31">
        <v>0</v>
      </c>
      <c r="L10" s="31">
        <v>0.27659574468085107</v>
      </c>
      <c r="M10" s="31">
        <v>0.25531914893617019</v>
      </c>
      <c r="N10" s="31">
        <v>0.46153846153846156</v>
      </c>
      <c r="O10" s="31">
        <v>0.25</v>
      </c>
      <c r="P10" s="31">
        <v>0.33333333333333331</v>
      </c>
    </row>
    <row r="11" spans="1:17" x14ac:dyDescent="0.4">
      <c r="A11" s="33">
        <v>8</v>
      </c>
      <c r="B11" s="30">
        <v>47.800000000000004</v>
      </c>
      <c r="C11" s="30">
        <v>5.9750000000000005</v>
      </c>
      <c r="D11" s="35">
        <v>1.875</v>
      </c>
      <c r="E11" s="31">
        <v>0.25</v>
      </c>
      <c r="F11" s="31">
        <v>0.125</v>
      </c>
      <c r="G11" s="31">
        <v>0.31578947368421051</v>
      </c>
      <c r="H11" s="31">
        <v>0.12280701754385964</v>
      </c>
      <c r="I11" s="32">
        <v>8433.3333333333339</v>
      </c>
      <c r="J11" s="32">
        <v>-6385.7142857142853</v>
      </c>
      <c r="K11" s="31">
        <v>0</v>
      </c>
      <c r="L11" s="31">
        <v>0.2807017543859649</v>
      </c>
      <c r="M11" s="31">
        <v>0.22807017543859648</v>
      </c>
      <c r="N11" s="31">
        <v>0.5625</v>
      </c>
      <c r="O11" s="31">
        <v>0.30769230769230771</v>
      </c>
      <c r="P11" s="31">
        <v>0.3888888888888889</v>
      </c>
    </row>
    <row r="12" spans="1:17" x14ac:dyDescent="0.4">
      <c r="A12" s="33">
        <v>9</v>
      </c>
      <c r="B12" s="30">
        <v>40.700000000000003</v>
      </c>
      <c r="C12" s="30">
        <v>4.5222222222222221</v>
      </c>
      <c r="D12" s="35">
        <v>1.8888888888888888</v>
      </c>
      <c r="E12" s="31">
        <v>0.22222222222222221</v>
      </c>
      <c r="F12" s="31">
        <v>0.1111111111111111</v>
      </c>
      <c r="G12" s="31">
        <v>0.30303030303030304</v>
      </c>
      <c r="H12" s="31">
        <v>0.13636363636363635</v>
      </c>
      <c r="I12" s="32">
        <v>8655</v>
      </c>
      <c r="J12" s="32">
        <v>-6144.4444444444443</v>
      </c>
      <c r="K12" s="31">
        <v>0</v>
      </c>
      <c r="L12" s="31">
        <v>0.27272727272727271</v>
      </c>
      <c r="M12" s="31">
        <v>0.21212121212121213</v>
      </c>
      <c r="N12" s="31">
        <v>0.61111111111111116</v>
      </c>
      <c r="O12" s="31">
        <v>0.2857142857142857</v>
      </c>
      <c r="P12" s="31">
        <v>0.45</v>
      </c>
    </row>
    <row r="13" spans="1:17" x14ac:dyDescent="0.4">
      <c r="A13" s="33">
        <v>10</v>
      </c>
      <c r="B13" s="30">
        <v>64.7</v>
      </c>
      <c r="C13" s="30">
        <v>6.4700000000000006</v>
      </c>
      <c r="D13" s="35">
        <v>1.8</v>
      </c>
      <c r="E13" s="31">
        <v>0.3</v>
      </c>
      <c r="F13" s="31">
        <v>0.1</v>
      </c>
      <c r="G13" s="31">
        <v>0.29166666666666669</v>
      </c>
      <c r="H13" s="31">
        <v>0.125</v>
      </c>
      <c r="I13" s="32">
        <v>8814.2857142857138</v>
      </c>
      <c r="J13" s="32">
        <v>-6144.4444444444443</v>
      </c>
      <c r="K13" s="31">
        <v>0</v>
      </c>
      <c r="L13" s="31">
        <v>0.2638888888888889</v>
      </c>
      <c r="M13" s="31">
        <v>0.20833333333333334</v>
      </c>
      <c r="N13" s="31">
        <v>0.63157894736842102</v>
      </c>
      <c r="O13" s="31">
        <v>0.26666666666666666</v>
      </c>
      <c r="P13" s="31">
        <v>0.47619047619047616</v>
      </c>
    </row>
    <row r="14" spans="1:17" x14ac:dyDescent="0.4">
      <c r="A14" s="33">
        <v>11</v>
      </c>
      <c r="B14" s="30">
        <v>24.300000000000004</v>
      </c>
      <c r="C14" s="30">
        <v>2.2090909090909094</v>
      </c>
      <c r="D14" s="35">
        <v>1.9090909090909092</v>
      </c>
      <c r="E14" s="31">
        <v>0.27272727272727271</v>
      </c>
      <c r="F14" s="31">
        <v>0.18181818181818182</v>
      </c>
      <c r="G14" s="31">
        <v>0.27500000000000002</v>
      </c>
      <c r="H14" s="31">
        <v>0.125</v>
      </c>
      <c r="I14" s="32">
        <v>8590.9090909090901</v>
      </c>
      <c r="J14" s="32">
        <v>-6730</v>
      </c>
      <c r="K14" s="31">
        <v>0</v>
      </c>
      <c r="L14" s="31">
        <v>0.25</v>
      </c>
      <c r="M14" s="31">
        <v>0.2</v>
      </c>
      <c r="N14" s="31">
        <v>0.65</v>
      </c>
      <c r="O14" s="31">
        <v>0.25</v>
      </c>
      <c r="P14" s="31">
        <v>0.45454545454545453</v>
      </c>
    </row>
    <row r="15" spans="1:17" x14ac:dyDescent="0.4">
      <c r="A15" s="33">
        <v>12</v>
      </c>
      <c r="B15" s="30">
        <v>76.099999999999994</v>
      </c>
      <c r="C15" s="30">
        <v>6.3416666666666659</v>
      </c>
      <c r="D15" s="35">
        <v>1.8333333333333333</v>
      </c>
      <c r="E15" s="31">
        <v>0.33333333333333331</v>
      </c>
      <c r="F15" s="31">
        <v>0.16666666666666666</v>
      </c>
      <c r="G15" s="31">
        <v>0.28888888888888886</v>
      </c>
      <c r="H15" s="31">
        <v>0.1111111111111111</v>
      </c>
      <c r="I15" s="32">
        <v>8961.538461538461</v>
      </c>
      <c r="J15" s="32">
        <v>-6730</v>
      </c>
      <c r="K15" s="31">
        <v>0</v>
      </c>
      <c r="L15" s="31">
        <v>0.27777777777777779</v>
      </c>
      <c r="M15" s="31">
        <v>0.18888888888888888</v>
      </c>
      <c r="N15" s="31">
        <v>0.68</v>
      </c>
      <c r="O15" s="31">
        <v>0.23529411764705882</v>
      </c>
      <c r="P15" s="31">
        <v>0.46153846153846156</v>
      </c>
    </row>
    <row r="16" spans="1:17" x14ac:dyDescent="0.4">
      <c r="A16" s="33">
        <v>13</v>
      </c>
      <c r="B16" s="30">
        <v>122.5</v>
      </c>
      <c r="C16" s="30">
        <v>9.4230769230769234</v>
      </c>
      <c r="D16" s="35">
        <v>1.7692307692307692</v>
      </c>
      <c r="E16" s="31">
        <v>0.38461538461538464</v>
      </c>
      <c r="F16" s="31">
        <v>0.15384615384615385</v>
      </c>
      <c r="G16" s="31">
        <v>0.32653061224489793</v>
      </c>
      <c r="H16" s="31">
        <v>0.11224489795918367</v>
      </c>
      <c r="I16" s="32">
        <v>8525</v>
      </c>
      <c r="J16" s="32">
        <v>-6700</v>
      </c>
      <c r="K16" s="31">
        <v>0</v>
      </c>
      <c r="L16" s="31">
        <v>0.2857142857142857</v>
      </c>
      <c r="M16" s="31">
        <v>0.19387755102040816</v>
      </c>
      <c r="N16" s="31">
        <v>0.7142857142857143</v>
      </c>
      <c r="O16" s="31">
        <v>0.31578947368421051</v>
      </c>
      <c r="P16" s="31">
        <v>0.46875</v>
      </c>
    </row>
    <row r="17" spans="1:16" x14ac:dyDescent="0.4">
      <c r="A17" s="33">
        <v>14</v>
      </c>
      <c r="B17" s="30">
        <v>154.19999999999999</v>
      </c>
      <c r="C17" s="30">
        <v>11.014285714285714</v>
      </c>
      <c r="D17" s="35">
        <v>1.7142857142857142</v>
      </c>
      <c r="E17" s="31">
        <v>0.42857142857142855</v>
      </c>
      <c r="F17" s="31">
        <v>0.14285714285714285</v>
      </c>
      <c r="G17" s="31">
        <v>0.33636363636363636</v>
      </c>
      <c r="H17" s="31">
        <v>0.13636363636363635</v>
      </c>
      <c r="I17" s="32">
        <v>8402.7027027027034</v>
      </c>
      <c r="J17" s="32">
        <v>-7186.666666666667</v>
      </c>
      <c r="K17" s="31">
        <v>0</v>
      </c>
      <c r="L17" s="31">
        <v>0.3</v>
      </c>
      <c r="M17" s="31">
        <v>0.19090909090909092</v>
      </c>
      <c r="N17" s="31">
        <v>0.72727272727272729</v>
      </c>
      <c r="O17" s="31">
        <v>0.2857142857142857</v>
      </c>
      <c r="P17" s="31">
        <v>0.48648648648648651</v>
      </c>
    </row>
    <row r="18" spans="1:16" x14ac:dyDescent="0.4">
      <c r="A18" s="33">
        <v>15</v>
      </c>
      <c r="B18" s="30">
        <v>154.19999999999999</v>
      </c>
      <c r="C18" s="30">
        <v>10.28</v>
      </c>
      <c r="D18" s="35">
        <v>1.6666666666666667</v>
      </c>
      <c r="E18" s="31">
        <v>0.46666666666666667</v>
      </c>
      <c r="F18" s="31">
        <v>0.13333333333333333</v>
      </c>
      <c r="G18" s="31">
        <v>0.33636363636363636</v>
      </c>
      <c r="H18" s="31">
        <v>0.13636363636363635</v>
      </c>
      <c r="I18" s="32">
        <v>8402.7027027027034</v>
      </c>
      <c r="J18" s="32">
        <v>-7186.666666666667</v>
      </c>
      <c r="K18" s="31">
        <v>0</v>
      </c>
      <c r="L18" s="31">
        <v>0.3</v>
      </c>
      <c r="M18" s="31">
        <v>0.19090909090909092</v>
      </c>
      <c r="N18" s="31">
        <v>0.72727272727272729</v>
      </c>
      <c r="O18" s="31">
        <v>0.2857142857142857</v>
      </c>
      <c r="P18" s="31">
        <v>0.48648648648648651</v>
      </c>
    </row>
    <row r="19" spans="1:16" x14ac:dyDescent="0.4">
      <c r="A19" s="33">
        <v>16</v>
      </c>
      <c r="B19" s="30">
        <v>225.2</v>
      </c>
      <c r="C19" s="30">
        <v>14.074999999999999</v>
      </c>
      <c r="D19" s="35">
        <v>1.625</v>
      </c>
      <c r="E19" s="31">
        <v>0.5</v>
      </c>
      <c r="F19" s="31">
        <v>0.125</v>
      </c>
      <c r="G19" s="31">
        <v>0.34146341463414637</v>
      </c>
      <c r="H19" s="31">
        <v>0.13008130081300814</v>
      </c>
      <c r="I19" s="32">
        <v>8814.2857142857138</v>
      </c>
      <c r="J19" s="32">
        <v>-6900</v>
      </c>
      <c r="K19" s="31">
        <v>0</v>
      </c>
      <c r="L19" s="31">
        <v>0.30081300813008133</v>
      </c>
      <c r="M19" s="31">
        <v>0.21138211382113822</v>
      </c>
      <c r="N19" s="31">
        <v>0.70270270270270274</v>
      </c>
      <c r="O19" s="31">
        <v>0.30769230769230771</v>
      </c>
      <c r="P19" s="31">
        <v>0.47619047619047616</v>
      </c>
    </row>
    <row r="20" spans="1:16" x14ac:dyDescent="0.4">
      <c r="A20" s="33">
        <v>17</v>
      </c>
      <c r="B20" s="30">
        <v>224</v>
      </c>
      <c r="C20" s="30">
        <v>13.176470588235293</v>
      </c>
      <c r="D20" s="35">
        <v>1.6470588235294117</v>
      </c>
      <c r="E20" s="31">
        <v>0.47058823529411764</v>
      </c>
      <c r="F20" s="31">
        <v>0.11764705882352941</v>
      </c>
      <c r="G20" s="31">
        <v>0.33333333333333331</v>
      </c>
      <c r="H20" s="31">
        <v>0.13636363636363635</v>
      </c>
      <c r="I20" s="32">
        <v>8822.7272727272721</v>
      </c>
      <c r="J20" s="32">
        <v>-6794.4444444444443</v>
      </c>
      <c r="K20" s="31">
        <v>0</v>
      </c>
      <c r="L20" s="31">
        <v>0.29545454545454547</v>
      </c>
      <c r="M20" s="31">
        <v>0.20454545454545456</v>
      </c>
      <c r="N20" s="31">
        <v>0.66666666666666663</v>
      </c>
      <c r="O20" s="31">
        <v>0.33333333333333331</v>
      </c>
      <c r="P20" s="31">
        <v>0.47727272727272729</v>
      </c>
    </row>
    <row r="21" spans="1:16" x14ac:dyDescent="0.4">
      <c r="A21" s="33">
        <v>18</v>
      </c>
      <c r="B21" s="30">
        <v>229.8</v>
      </c>
      <c r="C21" s="30">
        <v>12.766666666666667</v>
      </c>
      <c r="D21" s="35">
        <v>1.6666666666666667</v>
      </c>
      <c r="E21" s="31">
        <v>0.44444444444444442</v>
      </c>
      <c r="F21" s="31">
        <v>0.1111111111111111</v>
      </c>
      <c r="G21" s="31">
        <v>0.32857142857142857</v>
      </c>
      <c r="H21" s="31">
        <v>0.12857142857142856</v>
      </c>
      <c r="I21" s="32">
        <v>8873.9130434782601</v>
      </c>
      <c r="J21" s="32">
        <v>-6794.4444444444443</v>
      </c>
      <c r="K21" s="31">
        <v>0</v>
      </c>
      <c r="L21" s="31">
        <v>0.30714285714285716</v>
      </c>
      <c r="M21" s="31">
        <v>0.19285714285714287</v>
      </c>
      <c r="N21" s="31">
        <v>0.65116279069767447</v>
      </c>
      <c r="O21" s="31">
        <v>0.33333333333333331</v>
      </c>
      <c r="P21" s="31">
        <v>0.5</v>
      </c>
    </row>
    <row r="22" spans="1:16" x14ac:dyDescent="0.4">
      <c r="A22" s="33">
        <v>19</v>
      </c>
      <c r="B22" s="30">
        <v>239</v>
      </c>
      <c r="C22" s="30">
        <v>12.578947368421053</v>
      </c>
      <c r="D22" s="35">
        <v>1.6842105263157894</v>
      </c>
      <c r="E22" s="31">
        <v>0.42105263157894735</v>
      </c>
      <c r="F22" s="31">
        <v>0.10526315789473684</v>
      </c>
      <c r="G22" s="31">
        <v>0.32653061224489793</v>
      </c>
      <c r="H22" s="31">
        <v>0.12925170068027211</v>
      </c>
      <c r="I22" s="32">
        <v>8864.5833333333339</v>
      </c>
      <c r="J22" s="32">
        <v>-6505.2631578947367</v>
      </c>
      <c r="K22" s="31">
        <v>0</v>
      </c>
      <c r="L22" s="31">
        <v>0.31292517006802723</v>
      </c>
      <c r="M22" s="31">
        <v>0.19047619047619047</v>
      </c>
      <c r="N22" s="31">
        <v>0.63043478260869568</v>
      </c>
      <c r="O22" s="31">
        <v>0.35714285714285715</v>
      </c>
      <c r="P22" s="31">
        <v>0.52083333333333337</v>
      </c>
    </row>
    <row r="23" spans="1:16" x14ac:dyDescent="0.4">
      <c r="A23" s="33">
        <v>20</v>
      </c>
      <c r="B23" s="30">
        <v>187.8</v>
      </c>
      <c r="C23" s="30">
        <v>9.39</v>
      </c>
      <c r="D23" s="35">
        <v>1.75</v>
      </c>
      <c r="E23" s="31">
        <v>0.4</v>
      </c>
      <c r="F23" s="31">
        <v>0.15</v>
      </c>
      <c r="G23" s="31">
        <v>0.32051282051282054</v>
      </c>
      <c r="H23" s="31">
        <v>0.14743589743589744</v>
      </c>
      <c r="I23" s="32">
        <v>8982</v>
      </c>
      <c r="J23" s="32">
        <v>-6495.652173913043</v>
      </c>
      <c r="K23" s="31">
        <v>0</v>
      </c>
      <c r="L23" s="31">
        <v>0.32692307692307693</v>
      </c>
      <c r="M23" s="31">
        <v>0.1858974358974359</v>
      </c>
      <c r="N23" s="31">
        <v>0.60784313725490191</v>
      </c>
      <c r="O23" s="31">
        <v>0.34482758620689657</v>
      </c>
      <c r="P23" s="31">
        <v>0.52</v>
      </c>
    </row>
    <row r="24" spans="1:16" x14ac:dyDescent="0.4">
      <c r="A24" s="33">
        <v>21</v>
      </c>
      <c r="B24" s="30">
        <v>214.70000000000002</v>
      </c>
      <c r="C24" s="30">
        <v>10.223809523809525</v>
      </c>
      <c r="D24" s="35">
        <v>1.7142857142857142</v>
      </c>
      <c r="E24" s="31">
        <v>0.42857142857142855</v>
      </c>
      <c r="F24" s="31">
        <v>0.14285714285714285</v>
      </c>
      <c r="G24" s="31">
        <v>0.3271604938271605</v>
      </c>
      <c r="H24" s="31">
        <v>0.1419753086419753</v>
      </c>
      <c r="I24" s="32">
        <v>8792.4528301886785</v>
      </c>
      <c r="J24" s="32">
        <v>-6495.652173913043</v>
      </c>
      <c r="K24" s="31">
        <v>0</v>
      </c>
      <c r="L24" s="31">
        <v>0.33333333333333331</v>
      </c>
      <c r="M24" s="31">
        <v>0.17901234567901234</v>
      </c>
      <c r="N24" s="31">
        <v>0.59259259259259256</v>
      </c>
      <c r="O24" s="31">
        <v>0.34482758620689657</v>
      </c>
      <c r="P24" s="31">
        <v>0.52830188679245282</v>
      </c>
    </row>
    <row r="25" spans="1:16" x14ac:dyDescent="0.4">
      <c r="A25" s="33">
        <v>22</v>
      </c>
      <c r="B25" s="30">
        <v>161.5</v>
      </c>
      <c r="C25" s="30">
        <v>7.3409090909090908</v>
      </c>
      <c r="D25" s="35">
        <v>1.7727272727272727</v>
      </c>
      <c r="E25" s="31">
        <v>0.40909090909090912</v>
      </c>
      <c r="F25" s="31">
        <v>0.18181818181818182</v>
      </c>
      <c r="G25" s="31">
        <v>0.31034482758620691</v>
      </c>
      <c r="H25" s="31">
        <v>0.14367816091954022</v>
      </c>
      <c r="I25" s="32">
        <v>8740.7407407407409</v>
      </c>
      <c r="J25" s="32">
        <v>-7004</v>
      </c>
      <c r="K25" s="31">
        <v>0</v>
      </c>
      <c r="L25" s="31">
        <v>0.32758620689655171</v>
      </c>
      <c r="M25" s="31">
        <v>0.17816091954022989</v>
      </c>
      <c r="N25" s="31">
        <v>0.56140350877192979</v>
      </c>
      <c r="O25" s="31">
        <v>0.35483870967741937</v>
      </c>
      <c r="P25" s="31">
        <v>0.53703703703703709</v>
      </c>
    </row>
    <row r="26" spans="1:16" x14ac:dyDescent="0.4">
      <c r="A26" s="33">
        <v>23</v>
      </c>
      <c r="B26" s="30">
        <v>221.8</v>
      </c>
      <c r="C26" s="30">
        <v>9.6434782608695659</v>
      </c>
      <c r="D26" s="35">
        <v>1.7391304347826086</v>
      </c>
      <c r="E26" s="31">
        <v>0.43478260869565216</v>
      </c>
      <c r="F26" s="31">
        <v>0.17391304347826086</v>
      </c>
      <c r="G26" s="31">
        <v>0.3146067415730337</v>
      </c>
      <c r="H26" s="31">
        <v>0.14606741573033707</v>
      </c>
      <c r="I26" s="32">
        <v>9285.7142857142862</v>
      </c>
      <c r="J26" s="32">
        <v>-6934.6153846153848</v>
      </c>
      <c r="K26" s="31">
        <v>0</v>
      </c>
      <c r="L26" s="31">
        <v>0.33146067415730335</v>
      </c>
      <c r="M26" s="31">
        <v>0.17415730337078653</v>
      </c>
      <c r="N26" s="31">
        <v>0.55932203389830504</v>
      </c>
      <c r="O26" s="31">
        <v>0.35483870967741937</v>
      </c>
      <c r="P26" s="31">
        <v>0.5357142857142857</v>
      </c>
    </row>
    <row r="27" spans="1:16" x14ac:dyDescent="0.4">
      <c r="A27" s="33">
        <v>24</v>
      </c>
      <c r="B27" s="30">
        <v>221.8</v>
      </c>
      <c r="C27" s="30">
        <v>9.2416666666666671</v>
      </c>
      <c r="D27" s="35">
        <v>1.75</v>
      </c>
      <c r="E27" s="31">
        <v>0.41666666666666669</v>
      </c>
      <c r="F27" s="31">
        <v>0.16666666666666666</v>
      </c>
      <c r="G27" s="31">
        <v>0.31284916201117319</v>
      </c>
      <c r="H27" s="31">
        <v>0.14525139664804471</v>
      </c>
      <c r="I27" s="32">
        <v>9285.7142857142862</v>
      </c>
      <c r="J27" s="32">
        <v>-6934.6153846153848</v>
      </c>
      <c r="K27" s="31">
        <v>0</v>
      </c>
      <c r="L27" s="31">
        <v>0.32960893854748602</v>
      </c>
      <c r="M27" s="31">
        <v>0.17318435754189945</v>
      </c>
      <c r="N27" s="31">
        <v>0.55932203389830504</v>
      </c>
      <c r="O27" s="31">
        <v>0.35483870967741937</v>
      </c>
      <c r="P27" s="31">
        <v>0.5357142857142857</v>
      </c>
    </row>
    <row r="28" spans="1:16" x14ac:dyDescent="0.4">
      <c r="A28" s="33">
        <v>25</v>
      </c>
      <c r="B28" s="30">
        <v>234.10000000000002</v>
      </c>
      <c r="C28" s="30">
        <v>9.3640000000000008</v>
      </c>
      <c r="D28" s="35">
        <v>1.76</v>
      </c>
      <c r="E28" s="31">
        <v>0.4</v>
      </c>
      <c r="F28" s="31">
        <v>0.16</v>
      </c>
      <c r="G28" s="31">
        <v>0.32085561497326204</v>
      </c>
      <c r="H28" s="31">
        <v>0.13903743315508021</v>
      </c>
      <c r="I28" s="32">
        <v>9163.3333333333339</v>
      </c>
      <c r="J28" s="32">
        <v>-6934.6153846153848</v>
      </c>
      <c r="K28" s="31">
        <v>0</v>
      </c>
      <c r="L28" s="31">
        <v>0.32085561497326204</v>
      </c>
      <c r="M28" s="31">
        <v>0.17647058823529413</v>
      </c>
      <c r="N28" s="31">
        <v>0.56666666666666665</v>
      </c>
      <c r="O28" s="31">
        <v>0.36363636363636365</v>
      </c>
      <c r="P28" s="31">
        <v>0.53333333333333333</v>
      </c>
    </row>
    <row r="29" spans="1:16" x14ac:dyDescent="0.4">
      <c r="A29" s="33">
        <v>26</v>
      </c>
      <c r="B29" s="30">
        <v>177.3</v>
      </c>
      <c r="C29" s="30">
        <v>6.8192307692307699</v>
      </c>
      <c r="D29" s="35">
        <v>1.8076923076923077</v>
      </c>
      <c r="E29" s="31">
        <v>0.38461538461538464</v>
      </c>
      <c r="F29" s="31">
        <v>0.19230769230769232</v>
      </c>
      <c r="G29" s="31">
        <v>0.31155778894472363</v>
      </c>
      <c r="H29" s="31">
        <v>0.1407035175879397</v>
      </c>
      <c r="I29" s="32">
        <v>9109.677419354839</v>
      </c>
      <c r="J29" s="32">
        <v>-7075</v>
      </c>
      <c r="K29" s="31">
        <v>3.8461538461538464E-2</v>
      </c>
      <c r="L29" s="31">
        <v>0.32663316582914576</v>
      </c>
      <c r="M29" s="31">
        <v>0.17587939698492464</v>
      </c>
      <c r="N29" s="31">
        <v>0.53846153846153844</v>
      </c>
      <c r="O29" s="31">
        <v>0.37142857142857144</v>
      </c>
      <c r="P29" s="31">
        <v>0.532258064516129</v>
      </c>
    </row>
    <row r="30" spans="1:16" x14ac:dyDescent="0.4">
      <c r="A30" s="33">
        <v>27</v>
      </c>
      <c r="B30" s="30">
        <v>257.3</v>
      </c>
      <c r="C30" s="30">
        <v>9.5296296296296301</v>
      </c>
      <c r="D30" s="35">
        <v>1.7777777777777777</v>
      </c>
      <c r="E30" s="31">
        <v>0.40740740740740738</v>
      </c>
      <c r="F30" s="31">
        <v>0.18518518518518517</v>
      </c>
      <c r="G30" s="31">
        <v>0.32019704433497537</v>
      </c>
      <c r="H30" s="31">
        <v>0.13793103448275862</v>
      </c>
      <c r="I30" s="32">
        <v>9520</v>
      </c>
      <c r="J30" s="32">
        <v>-7075</v>
      </c>
      <c r="K30" s="31">
        <v>3.7037037037037035E-2</v>
      </c>
      <c r="L30" s="31">
        <v>0.33497536945812806</v>
      </c>
      <c r="M30" s="31">
        <v>0.17733990147783252</v>
      </c>
      <c r="N30" s="31">
        <v>0.55882352941176472</v>
      </c>
      <c r="O30" s="31">
        <v>0.3611111111111111</v>
      </c>
      <c r="P30" s="31">
        <v>0.52307692307692311</v>
      </c>
    </row>
    <row r="31" spans="1:16" x14ac:dyDescent="0.4">
      <c r="A31" s="33">
        <v>28</v>
      </c>
      <c r="B31" s="30">
        <v>256.5</v>
      </c>
      <c r="C31" s="30">
        <v>9.1607142857142865</v>
      </c>
      <c r="D31" s="35">
        <v>1.7857142857142858</v>
      </c>
      <c r="E31" s="31">
        <v>0.39285714285714285</v>
      </c>
      <c r="F31" s="31">
        <v>0.17857142857142858</v>
      </c>
      <c r="G31" s="31">
        <v>0.31578947368421051</v>
      </c>
      <c r="H31" s="31">
        <v>0.13397129186602871</v>
      </c>
      <c r="I31" s="32">
        <v>9557.575757575758</v>
      </c>
      <c r="J31" s="32">
        <v>-7075</v>
      </c>
      <c r="K31" s="31">
        <v>3.5714285714285712E-2</v>
      </c>
      <c r="L31" s="31">
        <v>0.33014354066985646</v>
      </c>
      <c r="M31" s="31">
        <v>0.18181818181818182</v>
      </c>
      <c r="N31" s="31">
        <v>0.55072463768115942</v>
      </c>
      <c r="O31" s="31">
        <v>0.34210526315789475</v>
      </c>
      <c r="P31" s="31">
        <v>0.51515151515151514</v>
      </c>
    </row>
    <row r="32" spans="1:16" x14ac:dyDescent="0.4">
      <c r="A32" s="33">
        <v>29</v>
      </c>
      <c r="B32" s="30">
        <v>206.6</v>
      </c>
      <c r="C32" s="30">
        <v>7.1241379310344826</v>
      </c>
      <c r="D32" s="35">
        <v>1.8275862068965518</v>
      </c>
      <c r="E32" s="31">
        <v>0.37931034482758619</v>
      </c>
      <c r="F32" s="31">
        <v>0.20689655172413793</v>
      </c>
      <c r="G32" s="31">
        <v>0.31050228310502281</v>
      </c>
      <c r="H32" s="31">
        <v>0.13698630136986301</v>
      </c>
      <c r="I32" s="32">
        <v>9447.0588235294126</v>
      </c>
      <c r="J32" s="32">
        <v>-7163.333333333333</v>
      </c>
      <c r="K32" s="31">
        <v>3.4482758620689655E-2</v>
      </c>
      <c r="L32" s="31">
        <v>0.33333333333333331</v>
      </c>
      <c r="M32" s="31">
        <v>0.18264840182648401</v>
      </c>
      <c r="N32" s="31">
        <v>0.53424657534246578</v>
      </c>
      <c r="O32" s="31">
        <v>0.35</v>
      </c>
      <c r="P32" s="31">
        <v>0.5</v>
      </c>
    </row>
    <row r="33" spans="1:16" x14ac:dyDescent="0.4">
      <c r="A33" s="33">
        <v>30</v>
      </c>
      <c r="B33" s="30">
        <v>151.19999999999999</v>
      </c>
      <c r="C33" s="30">
        <v>5.04</v>
      </c>
      <c r="D33" s="35">
        <v>1.8666666666666667</v>
      </c>
      <c r="E33" s="31">
        <v>0.36666666666666664</v>
      </c>
      <c r="F33" s="31">
        <v>0.23333333333333334</v>
      </c>
      <c r="G33" s="31">
        <v>0.3056768558951965</v>
      </c>
      <c r="H33" s="31">
        <v>0.14410480349344978</v>
      </c>
      <c r="I33" s="32">
        <v>9405.7142857142862</v>
      </c>
      <c r="J33" s="32">
        <v>-7596.969696969697</v>
      </c>
      <c r="K33" s="31">
        <v>6.6666666666666666E-2</v>
      </c>
      <c r="L33" s="31">
        <v>0.33624454148471616</v>
      </c>
      <c r="M33" s="31">
        <v>0.18340611353711792</v>
      </c>
      <c r="N33" s="31">
        <v>0.51948051948051943</v>
      </c>
      <c r="O33" s="31">
        <v>0.35714285714285715</v>
      </c>
      <c r="P33" s="31">
        <v>0.5</v>
      </c>
    </row>
    <row r="34" spans="1:16" x14ac:dyDescent="0.4">
      <c r="A34" s="33">
        <v>31</v>
      </c>
      <c r="B34" s="30">
        <v>185.29999999999998</v>
      </c>
      <c r="C34" s="30">
        <v>5.9774193548387089</v>
      </c>
      <c r="D34" s="35">
        <v>1.8387096774193548</v>
      </c>
      <c r="E34" s="31">
        <v>0.38709677419354838</v>
      </c>
      <c r="F34" s="31">
        <v>0.22580645161290322</v>
      </c>
      <c r="G34" s="31">
        <v>0.31120331950207469</v>
      </c>
      <c r="H34" s="31">
        <v>0.14107883817427386</v>
      </c>
      <c r="I34" s="32">
        <v>9112</v>
      </c>
      <c r="J34" s="32">
        <v>-7488.2352941176468</v>
      </c>
      <c r="K34" s="31">
        <v>6.4516129032258063E-2</v>
      </c>
      <c r="L34" s="31">
        <v>0.33609958506224069</v>
      </c>
      <c r="M34" s="31">
        <v>0.1908713692946058</v>
      </c>
      <c r="N34" s="31">
        <v>0.50617283950617287</v>
      </c>
      <c r="O34" s="31">
        <v>0.39130434782608697</v>
      </c>
      <c r="P34" s="31">
        <v>0.48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3AEEC-704C-4E3A-9B42-1878DF281AE4}">
  <sheetPr codeName="Sheet6"/>
  <dimension ref="A1:Q4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0.27777777777777779</v>
      </c>
      <c r="H4" s="31">
        <v>0.22222222222222221</v>
      </c>
      <c r="I4" s="32">
        <v>9720</v>
      </c>
      <c r="J4" s="32">
        <v>-7650</v>
      </c>
      <c r="K4" s="31">
        <v>0.33333333333333331</v>
      </c>
      <c r="L4" s="31">
        <v>0.16666666666666666</v>
      </c>
      <c r="M4" s="31">
        <v>0.22222222222222221</v>
      </c>
      <c r="N4" s="31">
        <v>1</v>
      </c>
      <c r="O4" s="31">
        <v>0.25</v>
      </c>
      <c r="P4" s="31">
        <v>0.2</v>
      </c>
    </row>
    <row r="5" spans="1:17" x14ac:dyDescent="0.4">
      <c r="A5" s="33">
        <v>2</v>
      </c>
      <c r="B5" s="30">
        <v>7.1054273576010019E-15</v>
      </c>
      <c r="C5" s="30">
        <v>1.1842378929335002E-15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0.21212121212121213</v>
      </c>
      <c r="I5" s="32">
        <v>9630</v>
      </c>
      <c r="J5" s="32">
        <v>-8942.8571428571431</v>
      </c>
      <c r="K5" s="31">
        <v>0.33333333333333331</v>
      </c>
      <c r="L5" s="31">
        <v>0.33333333333333331</v>
      </c>
      <c r="M5" s="31">
        <v>0.21212121212121213</v>
      </c>
      <c r="N5" s="31">
        <v>0.63636363636363635</v>
      </c>
      <c r="O5" s="31">
        <v>0.2857142857142857</v>
      </c>
      <c r="P5" s="31">
        <v>0.3</v>
      </c>
    </row>
    <row r="6" spans="1:17" x14ac:dyDescent="0.4">
      <c r="A6" s="33">
        <v>3</v>
      </c>
      <c r="B6" s="30">
        <v>7.1054273576010019E-15</v>
      </c>
      <c r="C6" s="30">
        <v>7.894919286223335E-16</v>
      </c>
      <c r="D6" s="35">
        <v>2</v>
      </c>
      <c r="E6" s="31">
        <v>0.33333333333333331</v>
      </c>
      <c r="F6" s="31">
        <v>0.33333333333333331</v>
      </c>
      <c r="G6" s="31">
        <v>0.31372549019607843</v>
      </c>
      <c r="H6" s="31">
        <v>0.21568627450980393</v>
      </c>
      <c r="I6" s="32">
        <v>8525</v>
      </c>
      <c r="J6" s="32">
        <v>-8136.363636363636</v>
      </c>
      <c r="K6" s="31">
        <v>0.22222222222222221</v>
      </c>
      <c r="L6" s="31">
        <v>0.33333333333333331</v>
      </c>
      <c r="M6" s="31">
        <v>0.25490196078431371</v>
      </c>
      <c r="N6" s="31">
        <v>0.52941176470588236</v>
      </c>
      <c r="O6" s="31">
        <v>0.46153846153846156</v>
      </c>
      <c r="P6" s="31">
        <v>0.3125</v>
      </c>
    </row>
    <row r="7" spans="1:17" x14ac:dyDescent="0.4">
      <c r="A7" s="33">
        <v>4</v>
      </c>
      <c r="B7" s="30">
        <v>7.1054273576010019E-15</v>
      </c>
      <c r="C7" s="30">
        <v>5.9211894646675012E-16</v>
      </c>
      <c r="D7" s="35">
        <v>2</v>
      </c>
      <c r="E7" s="31">
        <v>0.33333333333333331</v>
      </c>
      <c r="F7" s="31">
        <v>0.33333333333333331</v>
      </c>
      <c r="G7" s="31">
        <v>0.32</v>
      </c>
      <c r="H7" s="31">
        <v>0.17333333333333334</v>
      </c>
      <c r="I7" s="32">
        <v>8141.666666666667</v>
      </c>
      <c r="J7" s="32">
        <v>-8115.3846153846152</v>
      </c>
      <c r="K7" s="31">
        <v>0.16666666666666666</v>
      </c>
      <c r="L7" s="31">
        <v>0.29333333333333333</v>
      </c>
      <c r="M7" s="31">
        <v>0.21333333333333335</v>
      </c>
      <c r="N7" s="31">
        <v>0.59090909090909094</v>
      </c>
      <c r="O7" s="31">
        <v>0.375</v>
      </c>
      <c r="P7" s="31">
        <v>0.45833333333333331</v>
      </c>
    </row>
    <row r="8" spans="1:17" x14ac:dyDescent="0.4">
      <c r="A8" s="33">
        <v>5</v>
      </c>
      <c r="B8" s="30">
        <v>3.5527136788005009E-15</v>
      </c>
      <c r="C8" s="30">
        <v>2.3684757858670006E-16</v>
      </c>
      <c r="D8" s="35">
        <v>2</v>
      </c>
      <c r="E8" s="31">
        <v>0.33333333333333331</v>
      </c>
      <c r="F8" s="31">
        <v>0.33333333333333331</v>
      </c>
      <c r="G8" s="31">
        <v>0.31372549019607843</v>
      </c>
      <c r="H8" s="31">
        <v>0.16666666666666666</v>
      </c>
      <c r="I8" s="32">
        <v>8528.125</v>
      </c>
      <c r="J8" s="32">
        <v>-8429.4117647058829</v>
      </c>
      <c r="K8" s="31">
        <v>0.13333333333333333</v>
      </c>
      <c r="L8" s="31">
        <v>0.25490196078431371</v>
      </c>
      <c r="M8" s="31">
        <v>0.26470588235294118</v>
      </c>
      <c r="N8" s="31">
        <v>0.57692307692307687</v>
      </c>
      <c r="O8" s="31">
        <v>0.40740740740740738</v>
      </c>
      <c r="P8" s="31">
        <v>0.46875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0.30701754385964913</v>
      </c>
      <c r="H9" s="31">
        <v>0.14912280701754385</v>
      </c>
      <c r="I9" s="32">
        <v>9625.7142857142862</v>
      </c>
      <c r="J9" s="32">
        <v>-8429.4117647058829</v>
      </c>
      <c r="K9" s="31">
        <v>0.16666666666666666</v>
      </c>
      <c r="L9" s="31">
        <v>0.23684210526315788</v>
      </c>
      <c r="M9" s="31">
        <v>0.25438596491228072</v>
      </c>
      <c r="N9" s="31">
        <v>0.59259259259259256</v>
      </c>
      <c r="O9" s="31">
        <v>0.37931034482758619</v>
      </c>
      <c r="P9" s="31">
        <v>0.51428571428571423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0.31914893617021278</v>
      </c>
      <c r="H10" s="31">
        <v>0.1702127659574468</v>
      </c>
      <c r="I10" s="32">
        <v>8984.4444444444453</v>
      </c>
      <c r="J10" s="32">
        <v>-8395.8333333333339</v>
      </c>
      <c r="K10" s="31">
        <v>0.19047619047619047</v>
      </c>
      <c r="L10" s="31">
        <v>0.24113475177304963</v>
      </c>
      <c r="M10" s="31">
        <v>0.26241134751773049</v>
      </c>
      <c r="N10" s="31">
        <v>0.55882352941176472</v>
      </c>
      <c r="O10" s="31">
        <v>0.35135135135135137</v>
      </c>
      <c r="P10" s="31">
        <v>0.44444444444444442</v>
      </c>
    </row>
    <row r="11" spans="1:17" x14ac:dyDescent="0.4">
      <c r="A11" s="33">
        <v>8</v>
      </c>
      <c r="B11" s="30">
        <v>0</v>
      </c>
      <c r="C11" s="30">
        <v>0</v>
      </c>
      <c r="D11" s="35">
        <v>2</v>
      </c>
      <c r="E11" s="31">
        <v>0.33333333333333331</v>
      </c>
      <c r="F11" s="31">
        <v>0.33333333333333331</v>
      </c>
      <c r="G11" s="31">
        <v>0.32163742690058478</v>
      </c>
      <c r="H11" s="31">
        <v>0.17543859649122806</v>
      </c>
      <c r="I11" s="32">
        <v>8225.454545454546</v>
      </c>
      <c r="J11" s="32">
        <v>-7483.333333333333</v>
      </c>
      <c r="K11" s="31">
        <v>0.16666666666666666</v>
      </c>
      <c r="L11" s="31">
        <v>0.25146198830409355</v>
      </c>
      <c r="M11" s="31">
        <v>0.23976608187134502</v>
      </c>
      <c r="N11" s="31">
        <v>0.58139534883720934</v>
      </c>
      <c r="O11" s="31">
        <v>0.34146341463414637</v>
      </c>
      <c r="P11" s="31">
        <v>0.43636363636363634</v>
      </c>
    </row>
    <row r="12" spans="1:17" x14ac:dyDescent="0.4">
      <c r="A12" s="33">
        <v>9</v>
      </c>
      <c r="B12" s="30">
        <v>3.5527136788005009E-15</v>
      </c>
      <c r="C12" s="30">
        <v>1.3158198810372225E-16</v>
      </c>
      <c r="D12" s="35">
        <v>2</v>
      </c>
      <c r="E12" s="31">
        <v>0.33333333333333331</v>
      </c>
      <c r="F12" s="31">
        <v>0.33333333333333331</v>
      </c>
      <c r="G12" s="31">
        <v>0.31818181818181818</v>
      </c>
      <c r="H12" s="31">
        <v>0.16666666666666666</v>
      </c>
      <c r="I12" s="32">
        <v>8398.4126984126979</v>
      </c>
      <c r="J12" s="32">
        <v>-7281.818181818182</v>
      </c>
      <c r="K12" s="31">
        <v>0.14814814814814814</v>
      </c>
      <c r="L12" s="31">
        <v>0.24747474747474749</v>
      </c>
      <c r="M12" s="31">
        <v>0.21212121212121213</v>
      </c>
      <c r="N12" s="31">
        <v>0.61224489795918369</v>
      </c>
      <c r="O12" s="31">
        <v>0.33333333333333331</v>
      </c>
      <c r="P12" s="31">
        <v>0.46031746031746029</v>
      </c>
    </row>
    <row r="13" spans="1:17" x14ac:dyDescent="0.4">
      <c r="A13" s="33">
        <v>10</v>
      </c>
      <c r="B13" s="30">
        <v>1.7763568394002505E-15</v>
      </c>
      <c r="C13" s="30">
        <v>5.9211894646675015E-17</v>
      </c>
      <c r="D13" s="35">
        <v>2</v>
      </c>
      <c r="E13" s="31">
        <v>0.33333333333333331</v>
      </c>
      <c r="F13" s="31">
        <v>0.33333333333333331</v>
      </c>
      <c r="G13" s="31">
        <v>0.31140350877192985</v>
      </c>
      <c r="H13" s="31">
        <v>0.16228070175438597</v>
      </c>
      <c r="I13" s="32">
        <v>8725.352112676057</v>
      </c>
      <c r="J13" s="32">
        <v>-7532.4324324324325</v>
      </c>
      <c r="K13" s="31">
        <v>0.13333333333333333</v>
      </c>
      <c r="L13" s="31">
        <v>0.25</v>
      </c>
      <c r="M13" s="31">
        <v>0.20614035087719298</v>
      </c>
      <c r="N13" s="31">
        <v>0.61403508771929827</v>
      </c>
      <c r="O13" s="31">
        <v>0.31914893617021278</v>
      </c>
      <c r="P13" s="31">
        <v>0.46478873239436619</v>
      </c>
    </row>
    <row r="14" spans="1:17" x14ac:dyDescent="0.4">
      <c r="A14" s="33">
        <v>11</v>
      </c>
      <c r="B14" s="30">
        <v>0</v>
      </c>
      <c r="C14" s="30">
        <v>0</v>
      </c>
      <c r="D14" s="35">
        <v>2</v>
      </c>
      <c r="E14" s="31">
        <v>0.33333333333333331</v>
      </c>
      <c r="F14" s="31">
        <v>0.33333333333333331</v>
      </c>
      <c r="G14" s="31">
        <v>0.30522088353413657</v>
      </c>
      <c r="H14" s="31">
        <v>0.1646586345381526</v>
      </c>
      <c r="I14" s="32">
        <v>8760.5263157894733</v>
      </c>
      <c r="J14" s="32">
        <v>-7797.5609756097565</v>
      </c>
      <c r="K14" s="31">
        <v>0.12121212121212122</v>
      </c>
      <c r="L14" s="31">
        <v>0.25301204819277107</v>
      </c>
      <c r="M14" s="31">
        <v>0.20481927710843373</v>
      </c>
      <c r="N14" s="31">
        <v>0.58730158730158732</v>
      </c>
      <c r="O14" s="31">
        <v>0.35294117647058826</v>
      </c>
      <c r="P14" s="31">
        <v>0.44736842105263158</v>
      </c>
    </row>
    <row r="15" spans="1:17" x14ac:dyDescent="0.4">
      <c r="A15" s="33">
        <v>12</v>
      </c>
      <c r="B15" s="30">
        <v>-7.1054273576010019E-15</v>
      </c>
      <c r="C15" s="30">
        <v>-1.9737298215558337E-16</v>
      </c>
      <c r="D15" s="35">
        <v>2</v>
      </c>
      <c r="E15" s="31">
        <v>0.33333333333333331</v>
      </c>
      <c r="F15" s="31">
        <v>0.33333333333333331</v>
      </c>
      <c r="G15" s="31">
        <v>0.30851063829787234</v>
      </c>
      <c r="H15" s="31">
        <v>0.1702127659574468</v>
      </c>
      <c r="I15" s="32">
        <v>8350.5747126436781</v>
      </c>
      <c r="J15" s="32">
        <v>-7429.166666666667</v>
      </c>
      <c r="K15" s="31">
        <v>0.1111111111111111</v>
      </c>
      <c r="L15" s="31">
        <v>0.26241134751773049</v>
      </c>
      <c r="M15" s="31">
        <v>0.20567375886524822</v>
      </c>
      <c r="N15" s="31">
        <v>0.58108108108108103</v>
      </c>
      <c r="O15" s="31">
        <v>0.36206896551724138</v>
      </c>
      <c r="P15" s="31">
        <v>0.42528735632183906</v>
      </c>
    </row>
    <row r="16" spans="1:17" x14ac:dyDescent="0.4">
      <c r="A16" s="33">
        <v>13</v>
      </c>
      <c r="B16" s="30">
        <v>-1.0658141036401503E-14</v>
      </c>
      <c r="C16" s="30">
        <v>-2.7328566760003855E-16</v>
      </c>
      <c r="D16" s="35">
        <v>2</v>
      </c>
      <c r="E16" s="31">
        <v>0.33333333333333331</v>
      </c>
      <c r="F16" s="31">
        <v>0.33333333333333331</v>
      </c>
      <c r="G16" s="31">
        <v>0.30392156862745096</v>
      </c>
      <c r="H16" s="31">
        <v>0.16666666666666666</v>
      </c>
      <c r="I16" s="32">
        <v>8360.2150537634407</v>
      </c>
      <c r="J16" s="32">
        <v>-7370.588235294118</v>
      </c>
      <c r="K16" s="31">
        <v>0.10256410256410256</v>
      </c>
      <c r="L16" s="31">
        <v>0.27777777777777779</v>
      </c>
      <c r="M16" s="31">
        <v>0.20588235294117646</v>
      </c>
      <c r="N16" s="31">
        <v>0.57647058823529407</v>
      </c>
      <c r="O16" s="31">
        <v>0.33333333333333331</v>
      </c>
      <c r="P16" s="31">
        <v>0.43010752688172044</v>
      </c>
    </row>
    <row r="17" spans="1:16" x14ac:dyDescent="0.4">
      <c r="A17" s="33">
        <v>14</v>
      </c>
      <c r="B17" s="30">
        <v>-1.4210854715202004E-14</v>
      </c>
      <c r="C17" s="30">
        <v>-3.3835368369528578E-16</v>
      </c>
      <c r="D17" s="35">
        <v>2</v>
      </c>
      <c r="E17" s="31">
        <v>0.33333333333333331</v>
      </c>
      <c r="F17" s="31">
        <v>0.33333333333333331</v>
      </c>
      <c r="G17" s="31">
        <v>0.30357142857142855</v>
      </c>
      <c r="H17" s="31">
        <v>0.16369047619047619</v>
      </c>
      <c r="I17" s="32">
        <v>8680.3921568627447</v>
      </c>
      <c r="J17" s="32">
        <v>-7463.636363636364</v>
      </c>
      <c r="K17" s="31">
        <v>9.5238095238095233E-2</v>
      </c>
      <c r="L17" s="31">
        <v>0.29166666666666669</v>
      </c>
      <c r="M17" s="31">
        <v>0.20238095238095238</v>
      </c>
      <c r="N17" s="31">
        <v>0.56122448979591832</v>
      </c>
      <c r="O17" s="31">
        <v>0.3235294117647059</v>
      </c>
      <c r="P17" s="31">
        <v>0.44117647058823528</v>
      </c>
    </row>
    <row r="18" spans="1:16" x14ac:dyDescent="0.4">
      <c r="A18" s="33">
        <v>15</v>
      </c>
      <c r="B18" s="30">
        <v>-1.4210854715202004E-14</v>
      </c>
      <c r="C18" s="30">
        <v>-3.1579677144893343E-16</v>
      </c>
      <c r="D18" s="35">
        <v>2</v>
      </c>
      <c r="E18" s="31">
        <v>0.33333333333333331</v>
      </c>
      <c r="F18" s="31">
        <v>0.33333333333333331</v>
      </c>
      <c r="G18" s="31">
        <v>0.29971988795518206</v>
      </c>
      <c r="H18" s="31">
        <v>0.15406162464985995</v>
      </c>
      <c r="I18" s="32">
        <v>8846.7289719626169</v>
      </c>
      <c r="J18" s="32">
        <v>-7463.636363636364</v>
      </c>
      <c r="K18" s="31">
        <v>0.1111111111111111</v>
      </c>
      <c r="L18" s="31">
        <v>0.28291316526610644</v>
      </c>
      <c r="M18" s="31">
        <v>0.20448179271708683</v>
      </c>
      <c r="N18" s="31">
        <v>0.5643564356435643</v>
      </c>
      <c r="O18" s="31">
        <v>0.32876712328767121</v>
      </c>
      <c r="P18" s="31">
        <v>0.46728971962616822</v>
      </c>
    </row>
    <row r="19" spans="1:16" x14ac:dyDescent="0.4">
      <c r="A19" s="33">
        <v>16</v>
      </c>
      <c r="B19" s="30">
        <v>-1.2434497875801753E-14</v>
      </c>
      <c r="C19" s="30">
        <v>-2.5905203907920321E-16</v>
      </c>
      <c r="D19" s="35">
        <v>2</v>
      </c>
      <c r="E19" s="31">
        <v>0.33333333333333331</v>
      </c>
      <c r="F19" s="31">
        <v>0.33333333333333331</v>
      </c>
      <c r="G19" s="31">
        <v>0.29921259842519687</v>
      </c>
      <c r="H19" s="31">
        <v>0.15223097112860892</v>
      </c>
      <c r="I19" s="32">
        <v>8937.7192982456145</v>
      </c>
      <c r="J19" s="32">
        <v>-7565.5172413793107</v>
      </c>
      <c r="K19" s="31">
        <v>0.125</v>
      </c>
      <c r="L19" s="31">
        <v>0.29921259842519687</v>
      </c>
      <c r="M19" s="31">
        <v>0.1942257217847769</v>
      </c>
      <c r="N19" s="31">
        <v>0.54385964912280704</v>
      </c>
      <c r="O19" s="31">
        <v>0.32432432432432434</v>
      </c>
      <c r="P19" s="31">
        <v>0.47368421052631576</v>
      </c>
    </row>
    <row r="20" spans="1:16" x14ac:dyDescent="0.4">
      <c r="A20" s="33">
        <v>17</v>
      </c>
      <c r="B20" s="30">
        <v>-1.5543122344752192E-14</v>
      </c>
      <c r="C20" s="30">
        <v>-3.0476710479906258E-16</v>
      </c>
      <c r="D20" s="35">
        <v>2</v>
      </c>
      <c r="E20" s="31">
        <v>0.33333333333333331</v>
      </c>
      <c r="F20" s="31">
        <v>0.33333333333333331</v>
      </c>
      <c r="G20" s="31">
        <v>0.29197080291970801</v>
      </c>
      <c r="H20" s="31">
        <v>0.14355231143552311</v>
      </c>
      <c r="I20" s="32">
        <v>9056.6666666666661</v>
      </c>
      <c r="J20" s="32">
        <v>-7503.3898305084749</v>
      </c>
      <c r="K20" s="31">
        <v>0.11764705882352941</v>
      </c>
      <c r="L20" s="31">
        <v>0.31630170316301703</v>
      </c>
      <c r="M20" s="31">
        <v>0.18734793187347931</v>
      </c>
      <c r="N20" s="31">
        <v>0.52307692307692311</v>
      </c>
      <c r="O20" s="31">
        <v>0.31168831168831168</v>
      </c>
      <c r="P20" s="31">
        <v>0.49166666666666664</v>
      </c>
    </row>
    <row r="21" spans="1:16" x14ac:dyDescent="0.4">
      <c r="A21" s="33">
        <v>18</v>
      </c>
      <c r="B21" s="30">
        <v>-1.7763568394002505E-14</v>
      </c>
      <c r="C21" s="30">
        <v>-3.2895497025930562E-16</v>
      </c>
      <c r="D21" s="35">
        <v>2</v>
      </c>
      <c r="E21" s="31">
        <v>0.33333333333333331</v>
      </c>
      <c r="F21" s="31">
        <v>0.33333333333333331</v>
      </c>
      <c r="G21" s="31">
        <v>0.28935185185185186</v>
      </c>
      <c r="H21" s="31">
        <v>0.14814814814814814</v>
      </c>
      <c r="I21" s="32">
        <v>8990.4</v>
      </c>
      <c r="J21" s="32">
        <v>-7495.3125</v>
      </c>
      <c r="K21" s="31">
        <v>0.1111111111111111</v>
      </c>
      <c r="L21" s="31">
        <v>0.31481481481481483</v>
      </c>
      <c r="M21" s="31">
        <v>0.1875</v>
      </c>
      <c r="N21" s="31">
        <v>0.51470588235294112</v>
      </c>
      <c r="O21" s="31">
        <v>0.32098765432098764</v>
      </c>
      <c r="P21" s="31">
        <v>0.47199999999999998</v>
      </c>
    </row>
    <row r="22" spans="1:16" x14ac:dyDescent="0.4">
      <c r="A22" s="33">
        <v>19</v>
      </c>
      <c r="B22" s="30">
        <v>-2.1316282072803006E-14</v>
      </c>
      <c r="C22" s="30">
        <v>-3.739698609263685E-16</v>
      </c>
      <c r="D22" s="35">
        <v>2</v>
      </c>
      <c r="E22" s="31">
        <v>0.33333333333333331</v>
      </c>
      <c r="F22" s="31">
        <v>0.33333333333333331</v>
      </c>
      <c r="G22" s="31">
        <v>0.29193899782135074</v>
      </c>
      <c r="H22" s="31">
        <v>0.14814814814814814</v>
      </c>
      <c r="I22" s="32">
        <v>8952.9850746268658</v>
      </c>
      <c r="J22" s="32">
        <v>-7739.7058823529414</v>
      </c>
      <c r="K22" s="31">
        <v>0.10526315789473684</v>
      </c>
      <c r="L22" s="31">
        <v>0.31808278867102396</v>
      </c>
      <c r="M22" s="31">
        <v>0.18736383442265794</v>
      </c>
      <c r="N22" s="31">
        <v>0.51369863013698636</v>
      </c>
      <c r="O22" s="31">
        <v>0.33720930232558138</v>
      </c>
      <c r="P22" s="31">
        <v>0.47014925373134331</v>
      </c>
    </row>
    <row r="23" spans="1:16" x14ac:dyDescent="0.4">
      <c r="A23" s="33">
        <v>20</v>
      </c>
      <c r="B23" s="30">
        <v>-2.1316282072803006E-14</v>
      </c>
      <c r="C23" s="30">
        <v>-3.5527136788005011E-16</v>
      </c>
      <c r="D23" s="35">
        <v>2</v>
      </c>
      <c r="E23" s="31">
        <v>0.33333333333333331</v>
      </c>
      <c r="F23" s="31">
        <v>0.33333333333333331</v>
      </c>
      <c r="G23" s="31">
        <v>0.29140461215932911</v>
      </c>
      <c r="H23" s="31">
        <v>0.1488469601677149</v>
      </c>
      <c r="I23" s="32">
        <v>8884.1726618705034</v>
      </c>
      <c r="J23" s="32">
        <v>-7683.0985915492956</v>
      </c>
      <c r="K23" s="31">
        <v>0.1</v>
      </c>
      <c r="L23" s="31">
        <v>0.31865828092243187</v>
      </c>
      <c r="M23" s="31">
        <v>0.18448637316561844</v>
      </c>
      <c r="N23" s="31">
        <v>0.51973684210526316</v>
      </c>
      <c r="O23" s="31">
        <v>0.34090909090909088</v>
      </c>
      <c r="P23" s="31">
        <v>0.46762589928057552</v>
      </c>
    </row>
    <row r="24" spans="1:16" x14ac:dyDescent="0.4">
      <c r="A24" s="33">
        <v>21</v>
      </c>
      <c r="B24" s="30">
        <v>-1.6875389974302379E-14</v>
      </c>
      <c r="C24" s="30">
        <v>-2.6786333292543458E-16</v>
      </c>
      <c r="D24" s="35">
        <v>2</v>
      </c>
      <c r="E24" s="31">
        <v>0.33333333333333331</v>
      </c>
      <c r="F24" s="31">
        <v>0.33333333333333331</v>
      </c>
      <c r="G24" s="31">
        <v>0.29341317365269459</v>
      </c>
      <c r="H24" s="31">
        <v>0.15369261477045909</v>
      </c>
      <c r="I24" s="32">
        <v>8885.0340136054419</v>
      </c>
      <c r="J24" s="32">
        <v>-7701.2987012987014</v>
      </c>
      <c r="K24" s="31">
        <v>9.5238095238095233E-2</v>
      </c>
      <c r="L24" s="31">
        <v>0.31536926147704591</v>
      </c>
      <c r="M24" s="31">
        <v>0.17964071856287425</v>
      </c>
      <c r="N24" s="31">
        <v>0.53164556962025311</v>
      </c>
      <c r="O24" s="31">
        <v>0.34444444444444444</v>
      </c>
      <c r="P24" s="31">
        <v>0.45578231292517007</v>
      </c>
    </row>
    <row r="25" spans="1:16" x14ac:dyDescent="0.4">
      <c r="A25" s="33">
        <v>22</v>
      </c>
      <c r="B25" s="30">
        <v>-2.1316282072803006E-14</v>
      </c>
      <c r="C25" s="30">
        <v>-3.2297397080004555E-16</v>
      </c>
      <c r="D25" s="35">
        <v>2</v>
      </c>
      <c r="E25" s="31">
        <v>0.33333333333333331</v>
      </c>
      <c r="F25" s="31">
        <v>0.33333333333333331</v>
      </c>
      <c r="G25" s="31">
        <v>0.29378531073446329</v>
      </c>
      <c r="H25" s="31">
        <v>0.15254237288135594</v>
      </c>
      <c r="I25" s="32">
        <v>8957.6923076923085</v>
      </c>
      <c r="J25" s="32">
        <v>-7864.1975308641977</v>
      </c>
      <c r="K25" s="31">
        <v>9.0909090909090912E-2</v>
      </c>
      <c r="L25" s="31">
        <v>0.31638418079096048</v>
      </c>
      <c r="M25" s="31">
        <v>0.1807909604519774</v>
      </c>
      <c r="N25" s="31">
        <v>0.54166666666666663</v>
      </c>
      <c r="O25" s="31">
        <v>0.34375</v>
      </c>
      <c r="P25" s="31">
        <v>0.46153846153846156</v>
      </c>
    </row>
    <row r="26" spans="1:16" x14ac:dyDescent="0.4">
      <c r="A26" s="33">
        <v>23</v>
      </c>
      <c r="B26" s="30">
        <v>-2.1316282072803006E-14</v>
      </c>
      <c r="C26" s="30">
        <v>-3.0893162424352181E-16</v>
      </c>
      <c r="D26" s="35">
        <v>2</v>
      </c>
      <c r="E26" s="31">
        <v>0.33333333333333331</v>
      </c>
      <c r="F26" s="31">
        <v>0.33333333333333331</v>
      </c>
      <c r="G26" s="31">
        <v>0.29549549549549547</v>
      </c>
      <c r="H26" s="31">
        <v>0.15315315315315314</v>
      </c>
      <c r="I26" s="32">
        <v>8948.7804878048773</v>
      </c>
      <c r="J26" s="32">
        <v>-7850.588235294118</v>
      </c>
      <c r="K26" s="31">
        <v>0.10144927536231885</v>
      </c>
      <c r="L26" s="31">
        <v>0.3171171171171171</v>
      </c>
      <c r="M26" s="31">
        <v>0.18018018018018017</v>
      </c>
      <c r="N26" s="31">
        <v>0.54545454545454541</v>
      </c>
      <c r="O26" s="31">
        <v>0.35</v>
      </c>
      <c r="P26" s="31">
        <v>0.46341463414634149</v>
      </c>
    </row>
    <row r="27" spans="1:16" x14ac:dyDescent="0.4">
      <c r="A27" s="33">
        <v>24</v>
      </c>
      <c r="B27" s="30">
        <v>-2.1316282072803006E-14</v>
      </c>
      <c r="C27" s="30">
        <v>-2.9605947323337506E-16</v>
      </c>
      <c r="D27" s="35">
        <v>2</v>
      </c>
      <c r="E27" s="31">
        <v>0.33333333333333331</v>
      </c>
      <c r="F27" s="31">
        <v>0.33333333333333331</v>
      </c>
      <c r="G27" s="31">
        <v>0.29441624365482233</v>
      </c>
      <c r="H27" s="31">
        <v>0.15397631133671744</v>
      </c>
      <c r="I27" s="32">
        <v>8858.6206896551721</v>
      </c>
      <c r="J27" s="32">
        <v>-7838.4615384615381</v>
      </c>
      <c r="K27" s="31">
        <v>9.7222222222222224E-2</v>
      </c>
      <c r="L27" s="31">
        <v>0.31641285956006771</v>
      </c>
      <c r="M27" s="31">
        <v>0.17597292724196278</v>
      </c>
      <c r="N27" s="31">
        <v>0.54545454545454541</v>
      </c>
      <c r="O27" s="31">
        <v>0.34615384615384615</v>
      </c>
      <c r="P27" s="31">
        <v>0.45977011494252873</v>
      </c>
    </row>
    <row r="28" spans="1:16" x14ac:dyDescent="0.4">
      <c r="A28" s="33">
        <v>25</v>
      </c>
      <c r="B28" s="30">
        <v>-2.1316282072803006E-14</v>
      </c>
      <c r="C28" s="30">
        <v>-2.8421709430404008E-16</v>
      </c>
      <c r="D28" s="35">
        <v>1.96</v>
      </c>
      <c r="E28" s="31">
        <v>0.36</v>
      </c>
      <c r="F28" s="31">
        <v>0.32</v>
      </c>
      <c r="G28" s="31">
        <v>0.29441624365482233</v>
      </c>
      <c r="H28" s="31">
        <v>0.15397631133671744</v>
      </c>
      <c r="I28" s="32">
        <v>8858.6206896551721</v>
      </c>
      <c r="J28" s="32">
        <v>-7838.4615384615381</v>
      </c>
      <c r="K28" s="31">
        <v>9.3333333333333338E-2</v>
      </c>
      <c r="L28" s="31">
        <v>0.31641285956006771</v>
      </c>
      <c r="M28" s="31">
        <v>0.17597292724196278</v>
      </c>
      <c r="N28" s="31">
        <v>0.54545454545454541</v>
      </c>
      <c r="O28" s="31">
        <v>0.34615384615384615</v>
      </c>
      <c r="P28" s="31">
        <v>0.45977011494252873</v>
      </c>
    </row>
    <row r="29" spans="1:16" x14ac:dyDescent="0.4">
      <c r="A29" s="33">
        <v>26</v>
      </c>
      <c r="B29" s="30">
        <v>-1.4210854715202004E-14</v>
      </c>
      <c r="C29" s="30">
        <v>-1.8219044506669235E-16</v>
      </c>
      <c r="D29" s="35">
        <v>1.9615384615384615</v>
      </c>
      <c r="E29" s="31">
        <v>0.35897435897435898</v>
      </c>
      <c r="F29" s="31">
        <v>0.32051282051282054</v>
      </c>
      <c r="G29" s="31">
        <v>0.29523809523809524</v>
      </c>
      <c r="H29" s="31">
        <v>0.15555555555555556</v>
      </c>
      <c r="I29" s="32">
        <v>8826.3440860215051</v>
      </c>
      <c r="J29" s="32">
        <v>-7633.6734693877552</v>
      </c>
      <c r="K29" s="31">
        <v>8.9743589743589744E-2</v>
      </c>
      <c r="L29" s="31">
        <v>0.31428571428571428</v>
      </c>
      <c r="M29" s="31">
        <v>0.18412698412698414</v>
      </c>
      <c r="N29" s="31">
        <v>0.54040404040404044</v>
      </c>
      <c r="O29" s="31">
        <v>0.35344827586206895</v>
      </c>
      <c r="P29" s="31">
        <v>0.45698924731182794</v>
      </c>
    </row>
    <row r="30" spans="1:16" x14ac:dyDescent="0.4">
      <c r="A30" s="33">
        <v>27</v>
      </c>
      <c r="B30" s="30">
        <v>-1.4210854715202004E-14</v>
      </c>
      <c r="C30" s="30">
        <v>-1.75442650804963E-16</v>
      </c>
      <c r="D30" s="35">
        <v>1.962962962962963</v>
      </c>
      <c r="E30" s="31">
        <v>0.35802469135802467</v>
      </c>
      <c r="F30" s="31">
        <v>0.32098765432098764</v>
      </c>
      <c r="G30" s="31">
        <v>0.29528158295281581</v>
      </c>
      <c r="H30" s="31">
        <v>0.15525114155251141</v>
      </c>
      <c r="I30" s="32">
        <v>8757.7319587628863</v>
      </c>
      <c r="J30" s="32">
        <v>-7686.2745098039213</v>
      </c>
      <c r="K30" s="31">
        <v>8.6419753086419748E-2</v>
      </c>
      <c r="L30" s="31">
        <v>0.31506849315068491</v>
      </c>
      <c r="M30" s="31">
        <v>0.17808219178082191</v>
      </c>
      <c r="N30" s="31">
        <v>0.53623188405797106</v>
      </c>
      <c r="O30" s="31">
        <v>0.35897435897435898</v>
      </c>
      <c r="P30" s="31">
        <v>0.45876288659793812</v>
      </c>
    </row>
    <row r="31" spans="1:16" x14ac:dyDescent="0.4">
      <c r="A31" s="33">
        <v>28</v>
      </c>
      <c r="B31" s="30">
        <v>-1.4210854715202004E-14</v>
      </c>
      <c r="C31" s="30">
        <v>-1.6917684184764289E-16</v>
      </c>
      <c r="D31" s="35">
        <v>1.9642857142857142</v>
      </c>
      <c r="E31" s="31">
        <v>0.35714285714285715</v>
      </c>
      <c r="F31" s="31">
        <v>0.32142857142857145</v>
      </c>
      <c r="G31" s="31">
        <v>0.29515418502202645</v>
      </c>
      <c r="H31" s="31">
        <v>0.1512481644640235</v>
      </c>
      <c r="I31" s="32">
        <v>8825.8706467661686</v>
      </c>
      <c r="J31" s="32">
        <v>-7728.155339805825</v>
      </c>
      <c r="K31" s="31">
        <v>8.3333333333333329E-2</v>
      </c>
      <c r="L31" s="31">
        <v>0.32305433186490456</v>
      </c>
      <c r="M31" s="31">
        <v>0.17180616740088106</v>
      </c>
      <c r="N31" s="31">
        <v>0.53181818181818186</v>
      </c>
      <c r="O31" s="31">
        <v>0.35897435897435898</v>
      </c>
      <c r="P31" s="31">
        <v>0.47263681592039802</v>
      </c>
    </row>
    <row r="32" spans="1:16" x14ac:dyDescent="0.4">
      <c r="A32" s="33">
        <v>29</v>
      </c>
      <c r="B32" s="30">
        <v>-1.7763568394002505E-14</v>
      </c>
      <c r="C32" s="30">
        <v>-2.0417894705750005E-16</v>
      </c>
      <c r="D32" s="35">
        <v>1.9655172413793103</v>
      </c>
      <c r="E32" s="31">
        <v>0.35632183908045978</v>
      </c>
      <c r="F32" s="31">
        <v>0.32183908045977011</v>
      </c>
      <c r="G32" s="31">
        <v>0.29629629629629628</v>
      </c>
      <c r="H32" s="31">
        <v>0.150997150997151</v>
      </c>
      <c r="I32" s="32">
        <v>8773.5576923076915</v>
      </c>
      <c r="J32" s="32">
        <v>-7680.1886792452833</v>
      </c>
      <c r="K32" s="31">
        <v>8.0459770114942528E-2</v>
      </c>
      <c r="L32" s="31">
        <v>0.32193732193732194</v>
      </c>
      <c r="M32" s="31">
        <v>0.1752136752136752</v>
      </c>
      <c r="N32" s="31">
        <v>0.52654867256637172</v>
      </c>
      <c r="O32" s="31">
        <v>0.38211382113821141</v>
      </c>
      <c r="P32" s="31">
        <v>0.47596153846153844</v>
      </c>
    </row>
    <row r="33" spans="1:16" x14ac:dyDescent="0.4">
      <c r="A33" s="33">
        <v>30</v>
      </c>
      <c r="B33" s="30">
        <v>-2.1316282072803006E-14</v>
      </c>
      <c r="C33" s="30">
        <v>-2.3684757858670006E-16</v>
      </c>
      <c r="D33" s="35">
        <v>1.9666666666666666</v>
      </c>
      <c r="E33" s="31">
        <v>0.35555555555555557</v>
      </c>
      <c r="F33" s="31">
        <v>0.32222222222222224</v>
      </c>
      <c r="G33" s="31">
        <v>0.29766803840877915</v>
      </c>
      <c r="H33" s="31">
        <v>0.15226337448559671</v>
      </c>
      <c r="I33" s="32">
        <v>8763.1336405529946</v>
      </c>
      <c r="J33" s="32">
        <v>-7674.7747747747744</v>
      </c>
      <c r="K33" s="31">
        <v>7.7777777777777779E-2</v>
      </c>
      <c r="L33" s="31">
        <v>0.32510288065843623</v>
      </c>
      <c r="M33" s="31">
        <v>0.17146776406035666</v>
      </c>
      <c r="N33" s="31">
        <v>0.53164556962025311</v>
      </c>
      <c r="O33" s="31">
        <v>0.38400000000000001</v>
      </c>
      <c r="P33" s="31">
        <v>0.47465437788018433</v>
      </c>
    </row>
    <row r="34" spans="1:16" x14ac:dyDescent="0.4">
      <c r="A34" s="33">
        <v>31</v>
      </c>
      <c r="B34" s="30">
        <v>-2.1316282072803006E-14</v>
      </c>
      <c r="C34" s="30">
        <v>-2.2920733411616134E-16</v>
      </c>
      <c r="D34" s="35">
        <v>1.967741935483871</v>
      </c>
      <c r="E34" s="31">
        <v>0.35483870967741937</v>
      </c>
      <c r="F34" s="31">
        <v>0.32258064516129031</v>
      </c>
      <c r="G34" s="31">
        <v>0.29852744310575635</v>
      </c>
      <c r="H34" s="31">
        <v>0.1499330655957162</v>
      </c>
      <c r="I34" s="32">
        <v>8674.8878923766824</v>
      </c>
      <c r="J34" s="32">
        <v>-7677.6785714285716</v>
      </c>
      <c r="K34" s="31">
        <v>7.5268817204301078E-2</v>
      </c>
      <c r="L34" s="31">
        <v>0.32396251673360105</v>
      </c>
      <c r="M34" s="31">
        <v>0.16867469879518071</v>
      </c>
      <c r="N34" s="31">
        <v>0.53305785123966942</v>
      </c>
      <c r="O34" s="31">
        <v>0.38095238095238093</v>
      </c>
      <c r="P34" s="31">
        <v>0.48430493273542602</v>
      </c>
    </row>
    <row r="35" spans="1:16" x14ac:dyDescent="0.4">
      <c r="A35" s="33">
        <v>32</v>
      </c>
      <c r="B35" s="30">
        <v>-2.8421709430404007E-14</v>
      </c>
      <c r="C35" s="30">
        <v>-2.9605947323337506E-16</v>
      </c>
      <c r="D35" s="35">
        <v>1.96875</v>
      </c>
      <c r="E35" s="31">
        <v>0.35416666666666669</v>
      </c>
      <c r="F35" s="31">
        <v>0.32291666666666669</v>
      </c>
      <c r="G35" s="31">
        <v>0.29629629629629628</v>
      </c>
      <c r="H35" s="31">
        <v>0.14942528735632185</v>
      </c>
      <c r="I35" s="32">
        <v>8747.4137931034475</v>
      </c>
      <c r="J35" s="32">
        <v>-7928.2051282051279</v>
      </c>
      <c r="K35" s="31">
        <v>7.2916666666666671E-2</v>
      </c>
      <c r="L35" s="31">
        <v>0.31928480204342274</v>
      </c>
      <c r="M35" s="31">
        <v>0.16475095785440613</v>
      </c>
      <c r="N35" s="31">
        <v>0.53600000000000003</v>
      </c>
      <c r="O35" s="31">
        <v>0.37984496124031009</v>
      </c>
      <c r="P35" s="31">
        <v>0.48275862068965519</v>
      </c>
    </row>
    <row r="36" spans="1:16" x14ac:dyDescent="0.4">
      <c r="A36" s="33">
        <v>33</v>
      </c>
      <c r="B36" s="30">
        <v>-2.8421709430404007E-14</v>
      </c>
      <c r="C36" s="30">
        <v>-2.8708797404448495E-16</v>
      </c>
      <c r="D36" s="35">
        <v>1.9696969696969697</v>
      </c>
      <c r="E36" s="31">
        <v>0.35353535353535354</v>
      </c>
      <c r="F36" s="31">
        <v>0.32323232323232326</v>
      </c>
      <c r="G36" s="31">
        <v>0.29685534591194968</v>
      </c>
      <c r="H36" s="31">
        <v>0.14968553459119496</v>
      </c>
      <c r="I36" s="32">
        <v>8841.5254237288136</v>
      </c>
      <c r="J36" s="32">
        <v>-8107.5630252100837</v>
      </c>
      <c r="K36" s="31">
        <v>8.0808080808080815E-2</v>
      </c>
      <c r="L36" s="31">
        <v>0.31823899371069181</v>
      </c>
      <c r="M36" s="31">
        <v>0.16477987421383647</v>
      </c>
      <c r="N36" s="31">
        <v>0.53754940711462451</v>
      </c>
      <c r="O36" s="31">
        <v>0.37404580152671757</v>
      </c>
      <c r="P36" s="31">
        <v>0.48305084745762711</v>
      </c>
    </row>
    <row r="37" spans="1:16" x14ac:dyDescent="0.4">
      <c r="A37" s="33">
        <v>34</v>
      </c>
      <c r="B37" s="30">
        <v>-2.8421709430404007E-14</v>
      </c>
      <c r="C37" s="30">
        <v>-2.7864421010200007E-16</v>
      </c>
      <c r="D37" s="35">
        <v>1.9705882352941178</v>
      </c>
      <c r="E37" s="31">
        <v>0.35294117647058826</v>
      </c>
      <c r="F37" s="31">
        <v>0.3235294117647059</v>
      </c>
      <c r="G37" s="31">
        <v>0.29699248120300753</v>
      </c>
      <c r="H37" s="31">
        <v>0.15037593984962405</v>
      </c>
      <c r="I37" s="32">
        <v>9006.7510548523205</v>
      </c>
      <c r="J37" s="32">
        <v>-8440</v>
      </c>
      <c r="K37" s="31">
        <v>8.8235294117647065E-2</v>
      </c>
      <c r="L37" s="31">
        <v>0.31704260651629074</v>
      </c>
      <c r="M37" s="31">
        <v>0.16416040100250626</v>
      </c>
      <c r="N37" s="31">
        <v>0.53754940711462451</v>
      </c>
      <c r="O37" s="31">
        <v>0.37404580152671757</v>
      </c>
      <c r="P37" s="31">
        <v>0.48101265822784811</v>
      </c>
    </row>
    <row r="38" spans="1:16" x14ac:dyDescent="0.4">
      <c r="A38" s="33">
        <v>35</v>
      </c>
      <c r="B38" s="30">
        <v>-2.4868995751603507E-14</v>
      </c>
      <c r="C38" s="30">
        <v>-2.3684757858670006E-16</v>
      </c>
      <c r="D38" s="35">
        <v>1.9714285714285715</v>
      </c>
      <c r="E38" s="31">
        <v>0.35238095238095241</v>
      </c>
      <c r="F38" s="31">
        <v>0.32380952380952382</v>
      </c>
      <c r="G38" s="31">
        <v>0.2980535279805353</v>
      </c>
      <c r="H38" s="31">
        <v>0.14841849148418493</v>
      </c>
      <c r="I38" s="32">
        <v>8977.1428571428569</v>
      </c>
      <c r="J38" s="32">
        <v>-8430.3278688524588</v>
      </c>
      <c r="K38" s="31">
        <v>8.5714285714285715E-2</v>
      </c>
      <c r="L38" s="31">
        <v>0.31386861313868614</v>
      </c>
      <c r="M38" s="31">
        <v>0.16666666666666666</v>
      </c>
      <c r="N38" s="31">
        <v>0.53875968992248058</v>
      </c>
      <c r="O38" s="31">
        <v>0.37956204379562042</v>
      </c>
      <c r="P38" s="31">
        <v>0.48979591836734693</v>
      </c>
    </row>
    <row r="39" spans="1:16" x14ac:dyDescent="0.4">
      <c r="A39" s="33">
        <v>36</v>
      </c>
      <c r="B39" s="30">
        <v>-2.1316282072803006E-14</v>
      </c>
      <c r="C39" s="30">
        <v>-1.9737298215558337E-16</v>
      </c>
      <c r="D39" s="35">
        <v>1.9722222222222223</v>
      </c>
      <c r="E39" s="31">
        <v>0.35185185185185186</v>
      </c>
      <c r="F39" s="31">
        <v>0.32407407407407407</v>
      </c>
      <c r="G39" s="31">
        <v>0.29836829836829837</v>
      </c>
      <c r="H39" s="31">
        <v>0.14918414918414918</v>
      </c>
      <c r="I39" s="32">
        <v>8980.078125</v>
      </c>
      <c r="J39" s="32">
        <v>-8435.9375</v>
      </c>
      <c r="K39" s="31">
        <v>9.2592592592592587E-2</v>
      </c>
      <c r="L39" s="31">
        <v>0.317016317016317</v>
      </c>
      <c r="M39" s="31">
        <v>0.1655011655011655</v>
      </c>
      <c r="N39" s="31">
        <v>0.53676470588235292</v>
      </c>
      <c r="O39" s="31">
        <v>0.38732394366197181</v>
      </c>
      <c r="P39" s="31">
        <v>0.48828125</v>
      </c>
    </row>
    <row r="40" spans="1:16" x14ac:dyDescent="0.4">
      <c r="A40" s="33">
        <v>37</v>
      </c>
      <c r="B40" s="30">
        <v>-2.8421709430404007E-14</v>
      </c>
      <c r="C40" s="30">
        <v>-2.5605143630994601E-16</v>
      </c>
      <c r="D40" s="35">
        <v>1.972972972972973</v>
      </c>
      <c r="E40" s="31">
        <v>0.35135135135135137</v>
      </c>
      <c r="F40" s="31">
        <v>0.32432432432432434</v>
      </c>
      <c r="G40" s="31">
        <v>0.2988505747126437</v>
      </c>
      <c r="H40" s="31">
        <v>0.15057471264367817</v>
      </c>
      <c r="I40" s="32">
        <v>9080.3846153846152</v>
      </c>
      <c r="J40" s="32">
        <v>-8624.4274809160306</v>
      </c>
      <c r="K40" s="31">
        <v>9.90990990990991E-2</v>
      </c>
      <c r="L40" s="31">
        <v>0.31954022988505748</v>
      </c>
      <c r="M40" s="31">
        <v>0.16436781609195403</v>
      </c>
      <c r="N40" s="31">
        <v>0.53956834532374098</v>
      </c>
      <c r="O40" s="31">
        <v>0.38461538461538464</v>
      </c>
      <c r="P40" s="31">
        <v>0.48461538461538461</v>
      </c>
    </row>
    <row r="41" spans="1:16" x14ac:dyDescent="0.4">
      <c r="A41" s="33">
        <v>38</v>
      </c>
      <c r="B41" s="30">
        <v>-2.4202861936828413E-14</v>
      </c>
      <c r="C41" s="30">
        <v>-2.1230580646340712E-16</v>
      </c>
      <c r="D41" s="35">
        <v>1.9736842105263157</v>
      </c>
      <c r="E41" s="31">
        <v>0.35087719298245612</v>
      </c>
      <c r="F41" s="31">
        <v>0.32456140350877194</v>
      </c>
      <c r="G41" s="31">
        <v>0.29842342342342343</v>
      </c>
      <c r="H41" s="31">
        <v>0.14864864864864866</v>
      </c>
      <c r="I41" s="32">
        <v>9067.9245283018863</v>
      </c>
      <c r="J41" s="32">
        <v>-8650</v>
      </c>
      <c r="K41" s="31">
        <v>9.6491228070175433E-2</v>
      </c>
      <c r="L41" s="31">
        <v>0.31869369369369371</v>
      </c>
      <c r="M41" s="31">
        <v>0.16666666666666666</v>
      </c>
      <c r="N41" s="31">
        <v>0.54063604240282681</v>
      </c>
      <c r="O41" s="31">
        <v>0.3783783783783784</v>
      </c>
      <c r="P41" s="31">
        <v>0.49056603773584906</v>
      </c>
    </row>
    <row r="42" spans="1:16" x14ac:dyDescent="0.4">
      <c r="A42" s="33">
        <v>39</v>
      </c>
      <c r="B42" s="30">
        <v>-2.1316282072803006E-14</v>
      </c>
      <c r="C42" s="30">
        <v>-1.8219044506669235E-16</v>
      </c>
      <c r="D42" s="35">
        <v>1.9743589743589745</v>
      </c>
      <c r="E42" s="31">
        <v>0.3504273504273504</v>
      </c>
      <c r="F42" s="31">
        <v>0.3247863247863248</v>
      </c>
      <c r="G42" s="31">
        <v>0.29956427015250547</v>
      </c>
      <c r="H42" s="31">
        <v>0.15032679738562091</v>
      </c>
      <c r="I42" s="32">
        <v>9054.181818181818</v>
      </c>
      <c r="J42" s="32">
        <v>-8594.927536231884</v>
      </c>
      <c r="K42" s="31">
        <v>9.4017094017094016E-2</v>
      </c>
      <c r="L42" s="31">
        <v>0.3202614379084967</v>
      </c>
      <c r="M42" s="31">
        <v>0.16557734204793029</v>
      </c>
      <c r="N42" s="31">
        <v>0.54081632653061229</v>
      </c>
      <c r="O42" s="31">
        <v>0.38157894736842107</v>
      </c>
      <c r="P42" s="31">
        <v>0.48727272727272725</v>
      </c>
    </row>
    <row r="43" spans="1:16" x14ac:dyDescent="0.4">
      <c r="A43" s="33">
        <v>40</v>
      </c>
      <c r="B43" s="30">
        <v>-2.1316282072803006E-14</v>
      </c>
      <c r="C43" s="30">
        <v>-1.7763568394002506E-16</v>
      </c>
      <c r="D43" s="35">
        <v>1.9750000000000001</v>
      </c>
      <c r="E43" s="31">
        <v>0.35</v>
      </c>
      <c r="F43" s="31">
        <v>0.32500000000000001</v>
      </c>
      <c r="G43" s="31">
        <v>0.30063291139240506</v>
      </c>
      <c r="H43" s="31">
        <v>0.15084388185654007</v>
      </c>
      <c r="I43" s="32">
        <v>9028.4210526315783</v>
      </c>
      <c r="J43" s="32">
        <v>-8665.0349650349654</v>
      </c>
      <c r="K43" s="31">
        <v>0.1</v>
      </c>
      <c r="L43" s="31">
        <v>0.32172995780590719</v>
      </c>
      <c r="M43" s="31">
        <v>0.17088607594936708</v>
      </c>
      <c r="N43" s="31">
        <v>0.54098360655737709</v>
      </c>
      <c r="O43" s="31">
        <v>0.37654320987654322</v>
      </c>
      <c r="P43" s="31">
        <v>0.48771929824561405</v>
      </c>
    </row>
    <row r="44" spans="1:16" x14ac:dyDescent="0.4">
      <c r="A44" s="33">
        <v>41</v>
      </c>
      <c r="B44" s="30">
        <v>-2.1316282072803006E-14</v>
      </c>
      <c r="C44" s="30">
        <v>-1.7330310628295127E-16</v>
      </c>
      <c r="D44" s="35">
        <v>1.975609756097561</v>
      </c>
      <c r="E44" s="31">
        <v>0.34959349593495936</v>
      </c>
      <c r="F44" s="31">
        <v>0.32520325203252032</v>
      </c>
      <c r="G44" s="31">
        <v>0.29979674796747968</v>
      </c>
      <c r="H44" s="31">
        <v>0.1524390243902439</v>
      </c>
      <c r="I44" s="32">
        <v>8910.5084745762706</v>
      </c>
      <c r="J44" s="32">
        <v>-8460</v>
      </c>
      <c r="K44" s="31">
        <v>9.7560975609756101E-2</v>
      </c>
      <c r="L44" s="31">
        <v>0.32113821138211385</v>
      </c>
      <c r="M44" s="31">
        <v>0.16971544715447154</v>
      </c>
      <c r="N44" s="31">
        <v>0.53797468354430378</v>
      </c>
      <c r="O44" s="31">
        <v>0.38323353293413176</v>
      </c>
      <c r="P44" s="31">
        <v>0.48135593220338985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17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441</vt:i4>
      </vt:variant>
    </vt:vector>
  </HeadingPairs>
  <TitlesOfParts>
    <vt:vector size="473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だいち</vt:lpstr>
      <vt:lpstr>ともき</vt:lpstr>
      <vt:lpstr>ただ</vt:lpstr>
      <vt:lpstr>りくと</vt:lpstr>
      <vt:lpstr>りくと2</vt:lpstr>
      <vt:lpstr>ただ2</vt:lpstr>
      <vt:lpstr>ともき2</vt:lpstr>
      <vt:lpstr>だいち2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ただ!アガリ数</vt:lpstr>
      <vt:lpstr>ともき!アガリ数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ただ!アガリ率</vt:lpstr>
      <vt:lpstr>ともき!アガリ率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ただ!ダマアガリ数</vt:lpstr>
      <vt:lpstr>ともき!ダマアガリ数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ただ!ダマアガリ率</vt:lpstr>
      <vt:lpstr>ともき!ダマアガリ率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ただ!チョンボ数</vt:lpstr>
      <vt:lpstr>ともき!チョンボ数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ただ!チョンボ率</vt:lpstr>
      <vt:lpstr>ともき!チョンボ率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ただ!ツモ数</vt:lpstr>
      <vt:lpstr>ともき!ツモ数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ただ!ツモ率</vt:lpstr>
      <vt:lpstr>ともき!ツモ率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ただ!トップ数</vt:lpstr>
      <vt:lpstr>ともき!トップ数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ただ!トップ率</vt:lpstr>
      <vt:lpstr>ともき!トップ率</vt:lpstr>
      <vt:lpstr>りくと!トップ率</vt:lpstr>
      <vt:lpstr>れんたろう!トップ率</vt:lpstr>
      <vt:lpstr>全体!トップ率</vt:lpstr>
      <vt:lpstr>だいち!バランス</vt:lpstr>
      <vt:lpstr>ただ!バランス</vt:lpstr>
      <vt:lpstr>ともき!バランス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ただ!ふっとび数</vt:lpstr>
      <vt:lpstr>ともき!ふっとび数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ただ!ふっとび率</vt:lpstr>
      <vt:lpstr>ともき!ふっとび率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ただ!ラス数</vt:lpstr>
      <vt:lpstr>ともき!ラス数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ただ!ラス率</vt:lpstr>
      <vt:lpstr>ともき!ラス率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ただ!リーチアガリ数</vt:lpstr>
      <vt:lpstr>ともき!リーチアガリ数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ただ!リーチアガリ率</vt:lpstr>
      <vt:lpstr>ともき!リーチアガリ率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ただ!リーチ数</vt:lpstr>
      <vt:lpstr>ともき!リーチ数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ただ!リーチ成功数</vt:lpstr>
      <vt:lpstr>ともき!リーチ成功数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ただ!リーチ成功率</vt:lpstr>
      <vt:lpstr>ともき!リーチ成功率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ただ!リーチ率</vt:lpstr>
      <vt:lpstr>ともき!リーチ率</vt:lpstr>
      <vt:lpstr>りくと!リーチ率</vt:lpstr>
      <vt:lpstr>れんたろう!リーチ率</vt:lpstr>
      <vt:lpstr>全体!リーチ率</vt:lpstr>
      <vt:lpstr>だいち!レーティング</vt:lpstr>
      <vt:lpstr>ただ!レーティング</vt:lpstr>
      <vt:lpstr>ともき!レーティング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だいち!ロン数</vt:lpstr>
      <vt:lpstr>ただ!ロン数</vt:lpstr>
      <vt:lpstr>ともき!ロン数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ただ!ロン率</vt:lpstr>
      <vt:lpstr>ともき!ロン率</vt:lpstr>
      <vt:lpstr>りくと!ロン率</vt:lpstr>
      <vt:lpstr>れんたろう!ロン率</vt:lpstr>
      <vt:lpstr>全体!ロン率</vt:lpstr>
      <vt:lpstr>だいち!一位スコア</vt:lpstr>
      <vt:lpstr>ただ!一位スコア</vt:lpstr>
      <vt:lpstr>ともき!一位スコア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ただ!一位通算スコア</vt:lpstr>
      <vt:lpstr>ともき!一位通算スコア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ただ!一翻数</vt:lpstr>
      <vt:lpstr>ともき!一翻数</vt:lpstr>
      <vt:lpstr>りくと!一翻数</vt:lpstr>
      <vt:lpstr>れんたろう!一翻数</vt:lpstr>
      <vt:lpstr>全体!一翻数</vt:lpstr>
      <vt:lpstr>一翻数</vt:lpstr>
      <vt:lpstr>だいち!一翻率</vt:lpstr>
      <vt:lpstr>ただ!一翻率</vt:lpstr>
      <vt:lpstr>ともき!一翻率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ただ!現行連続アガリ</vt:lpstr>
      <vt:lpstr>ともき!現行連続アガリ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ただ!現行連続無放銃</vt:lpstr>
      <vt:lpstr>ともき!現行連続無放銃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ただ!最高点</vt:lpstr>
      <vt:lpstr>ともき!最高点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ただ!最大ドラ数</vt:lpstr>
      <vt:lpstr>ともき!最大ドラ数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ただ!最大点数</vt:lpstr>
      <vt:lpstr>ともき!最大点数</vt:lpstr>
      <vt:lpstr>りくと!最大点数</vt:lpstr>
      <vt:lpstr>れんたろう!最大点数</vt:lpstr>
      <vt:lpstr>全体!最大点数</vt:lpstr>
      <vt:lpstr>だいち!三位スコア</vt:lpstr>
      <vt:lpstr>ただ!三位スコア</vt:lpstr>
      <vt:lpstr>ともき!三位スコア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ただ!三位通算スコア</vt:lpstr>
      <vt:lpstr>ともき!三位通算スコア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ただ!総局数</vt:lpstr>
      <vt:lpstr>ともき!総局数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ただ!対戦数</vt:lpstr>
      <vt:lpstr>ともき!対戦数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ただ!通算アガリ点</vt:lpstr>
      <vt:lpstr>ともき!通算アガリ点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ただ!通算スコア</vt:lpstr>
      <vt:lpstr>ともき!通算スコア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ただ!通算副露アガリ点</vt:lpstr>
      <vt:lpstr>ともき!通算副露アガリ点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ただ!通算放銃点</vt:lpstr>
      <vt:lpstr>ともき!通算放銃点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ただ!通算門前アガリ点</vt:lpstr>
      <vt:lpstr>ともき!通算門前アガリ点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ただ!二位スコア</vt:lpstr>
      <vt:lpstr>ともき!二位スコア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ただ!二位数</vt:lpstr>
      <vt:lpstr>ともき!二位数</vt:lpstr>
      <vt:lpstr>りくと!二位数</vt:lpstr>
      <vt:lpstr>れんたろう!二位数</vt:lpstr>
      <vt:lpstr>全体!二位数</vt:lpstr>
      <vt:lpstr>だいち!二位通算スコア</vt:lpstr>
      <vt:lpstr>ただ!二位通算スコア</vt:lpstr>
      <vt:lpstr>ともき!二位通算スコア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ただ!二位率</vt:lpstr>
      <vt:lpstr>ともき!二位率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ただ!副露アガリ数</vt:lpstr>
      <vt:lpstr>ともき!副露アガリ数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ただ!副露アガリ点</vt:lpstr>
      <vt:lpstr>ともき!副露アガリ点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ただ!副露アガリ率</vt:lpstr>
      <vt:lpstr>ともき!副露アガリ率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ただ!副露数</vt:lpstr>
      <vt:lpstr>ともき!副露数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ただ!副露成功数</vt:lpstr>
      <vt:lpstr>ともき!副露成功数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ただ!副露成功率</vt:lpstr>
      <vt:lpstr>ともき!副露成功率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ただ!副露率</vt:lpstr>
      <vt:lpstr>ともき!副露率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ただ!平均アガリ点</vt:lpstr>
      <vt:lpstr>ともき!平均アガリ点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ただ!平均スコア</vt:lpstr>
      <vt:lpstr>ともき!平均スコア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ただ!平均順位</vt:lpstr>
      <vt:lpstr>ともき!平均順位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ただ!平均放銃点</vt:lpstr>
      <vt:lpstr>ともき!平均放銃点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ただ!放銃数</vt:lpstr>
      <vt:lpstr>ともき!放銃数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ただ!放銃率</vt:lpstr>
      <vt:lpstr>ともき!放銃率</vt:lpstr>
      <vt:lpstr>りくと!放銃率</vt:lpstr>
      <vt:lpstr>れんたろう!放銃率</vt:lpstr>
      <vt:lpstr>全体!放銃率</vt:lpstr>
      <vt:lpstr>Template1!名前</vt:lpstr>
      <vt:lpstr>だいち!名前</vt:lpstr>
      <vt:lpstr>ただ!名前</vt:lpstr>
      <vt:lpstr>ともき!名前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ただ!門前アガリ点</vt:lpstr>
      <vt:lpstr>ともき!門前アガリ点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ただ!連続アガリ</vt:lpstr>
      <vt:lpstr>ともき!連続アガリ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ただ!連続無放銃</vt:lpstr>
      <vt:lpstr>ともき!連続無放銃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2022-04-30T10:02:31Z</dcterms:modified>
</cp:coreProperties>
</file>