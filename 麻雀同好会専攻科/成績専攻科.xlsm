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9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0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1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2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3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"/>
    </mc:Choice>
  </mc:AlternateContent>
  <xr:revisionPtr revIDLastSave="0" documentId="13_ncr:1_{83A3D5C8-400C-4834-88FB-DD229AD91322}" xr6:coauthVersionLast="47" xr6:coauthVersionMax="47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042" r:id="rId6"/>
    <sheet name="れんたろう" sheetId="7044" r:id="rId7"/>
    <sheet name="だいち" sheetId="7046" r:id="rId8"/>
    <sheet name="ともき" sheetId="7048" r:id="rId9"/>
    <sheet name="ただ" sheetId="7050" r:id="rId10"/>
    <sheet name="りくと" sheetId="7052" r:id="rId11"/>
    <sheet name="りくと2" sheetId="7053" state="hidden" r:id="rId12"/>
    <sheet name="ただ2" sheetId="7051" state="hidden" r:id="rId13"/>
    <sheet name="ともき2" sheetId="7049" state="hidden" r:id="rId14"/>
    <sheet name="だいち2" sheetId="7047" state="hidden" r:id="rId15"/>
    <sheet name="れんたろう2" sheetId="7045" state="hidden" r:id="rId16"/>
    <sheet name="全体2" sheetId="7043" state="hidden" r:id="rId17"/>
    <sheet name="通算スコア" sheetId="3331" state="hidden" r:id="rId18"/>
    <sheet name="平均スコア" sheetId="3493" state="hidden" r:id="rId19"/>
    <sheet name="平均順位" sheetId="3183" state="hidden" r:id="rId20"/>
    <sheet name="トップ率" sheetId="3185" state="hidden" r:id="rId21"/>
    <sheet name="ラス率" sheetId="4886" state="hidden" r:id="rId22"/>
    <sheet name="アガリ率" sheetId="3189" state="hidden" r:id="rId23"/>
    <sheet name="放銃率" sheetId="3190" state="hidden" r:id="rId24"/>
    <sheet name="平均アガリ点" sheetId="3520" state="hidden" r:id="rId25"/>
    <sheet name="平均放銃点" sheetId="3521" state="hidden" r:id="rId26"/>
    <sheet name="ふっとび率" sheetId="3522" state="hidden" r:id="rId27"/>
    <sheet name="リーチ率" sheetId="3524" state="hidden" r:id="rId28"/>
    <sheet name="副露率" sheetId="3525" state="hidden" r:id="rId29"/>
    <sheet name="リーチ成功率" sheetId="4841" state="hidden" r:id="rId30"/>
    <sheet name="副露成功率" sheetId="3527" state="hidden" r:id="rId31"/>
    <sheet name="ツモ率" sheetId="3528" state="hidden" r:id="rId32"/>
  </sheets>
  <definedNames>
    <definedName name="アガリ数" localSheetId="3">Template1!$B$20</definedName>
    <definedName name="アガリ数" localSheetId="7">だいち!$B$20</definedName>
    <definedName name="アガリ数" localSheetId="9">ただ!$B$20</definedName>
    <definedName name="アガリ数" localSheetId="8">ともき!$B$20</definedName>
    <definedName name="アガリ数" localSheetId="10">りくと!$B$20</definedName>
    <definedName name="アガリ数" localSheetId="6">れんたろう!$B$20</definedName>
    <definedName name="アガリ数" localSheetId="5">全体!$B$20</definedName>
    <definedName name="アガリ率" localSheetId="3">Template1!$C$20</definedName>
    <definedName name="アガリ率" localSheetId="7">だいち!$C$20</definedName>
    <definedName name="アガリ率" localSheetId="9">ただ!$C$20</definedName>
    <definedName name="アガリ率" localSheetId="8">ともき!$C$20</definedName>
    <definedName name="アガリ率" localSheetId="10">りくと!$C$20</definedName>
    <definedName name="アガリ率" localSheetId="6">れんたろう!$C$20</definedName>
    <definedName name="アガリ率" localSheetId="5">全体!$C$20</definedName>
    <definedName name="ダマアガリ数" localSheetId="3">Template1!$B$26</definedName>
    <definedName name="ダマアガリ数" localSheetId="7">だいち!$B$26</definedName>
    <definedName name="ダマアガリ数" localSheetId="9">ただ!$B$26</definedName>
    <definedName name="ダマアガリ数" localSheetId="8">ともき!$B$26</definedName>
    <definedName name="ダマアガリ数" localSheetId="10">りくと!$B$26</definedName>
    <definedName name="ダマアガリ数" localSheetId="6">れんたろう!$B$26</definedName>
    <definedName name="ダマアガリ数" localSheetId="5">全体!$B$26</definedName>
    <definedName name="ダマアガリ率" localSheetId="3">Template1!$C$26</definedName>
    <definedName name="ダマアガリ率" localSheetId="7">だいち!$C$26</definedName>
    <definedName name="ダマアガリ率" localSheetId="9">ただ!$C$26</definedName>
    <definedName name="ダマアガリ率" localSheetId="8">ともき!$C$26</definedName>
    <definedName name="ダマアガリ率" localSheetId="10">りくと!$C$26</definedName>
    <definedName name="ダマアガリ率" localSheetId="6">れんたろう!$C$26</definedName>
    <definedName name="ダマアガリ率" localSheetId="5">全体!$C$26</definedName>
    <definedName name="チョンボ数" localSheetId="3">Template1!$B$35</definedName>
    <definedName name="チョンボ数" localSheetId="7">だいち!$B$35</definedName>
    <definedName name="チョンボ数" localSheetId="9">ただ!$B$35</definedName>
    <definedName name="チョンボ数" localSheetId="8">ともき!$B$35</definedName>
    <definedName name="チョンボ数" localSheetId="10">りくと!$B$35</definedName>
    <definedName name="チョンボ数" localSheetId="6">れんたろう!$B$35</definedName>
    <definedName name="チョンボ数" localSheetId="5">全体!$B$35</definedName>
    <definedName name="チョンボ率" localSheetId="3">Template1!$C$35</definedName>
    <definedName name="チョンボ率" localSheetId="7">だいち!$C$35</definedName>
    <definedName name="チョンボ率" localSheetId="9">ただ!$C$35</definedName>
    <definedName name="チョンボ率" localSheetId="8">ともき!$C$35</definedName>
    <definedName name="チョンボ率" localSheetId="10">りくと!$C$35</definedName>
    <definedName name="チョンボ率" localSheetId="6">れんたろう!$C$35</definedName>
    <definedName name="チョンボ率" localSheetId="5">全体!$C$35</definedName>
    <definedName name="ツモ数" localSheetId="3">Template1!$B$22</definedName>
    <definedName name="ツモ数" localSheetId="7">だいち!$B$22</definedName>
    <definedName name="ツモ数" localSheetId="9">ただ!$B$22</definedName>
    <definedName name="ツモ数" localSheetId="8">ともき!$B$22</definedName>
    <definedName name="ツモ数" localSheetId="10">りくと!$B$22</definedName>
    <definedName name="ツモ数" localSheetId="6">れんたろう!$B$22</definedName>
    <definedName name="ツモ数" localSheetId="5">全体!$B$22</definedName>
    <definedName name="ツモ率" localSheetId="3">Template1!$C$22</definedName>
    <definedName name="ツモ率" localSheetId="7">だいち!$C$22</definedName>
    <definedName name="ツモ率" localSheetId="9">ただ!$C$22</definedName>
    <definedName name="ツモ率" localSheetId="8">ともき!$C$22</definedName>
    <definedName name="ツモ率" localSheetId="10">りくと!$C$22</definedName>
    <definedName name="ツモ率" localSheetId="6">れんたろう!$C$22</definedName>
    <definedName name="ツモ率" localSheetId="5">全体!$C$22</definedName>
    <definedName name="トップ数" localSheetId="3">Template1!$B$8</definedName>
    <definedName name="トップ数" localSheetId="7">だいち!$B$8</definedName>
    <definedName name="トップ数" localSheetId="9">ただ!$B$8</definedName>
    <definedName name="トップ数" localSheetId="8">ともき!$B$8</definedName>
    <definedName name="トップ数" localSheetId="10">りくと!$B$8</definedName>
    <definedName name="トップ数" localSheetId="6">れんたろう!$B$8</definedName>
    <definedName name="トップ数" localSheetId="5">全体!$B$8</definedName>
    <definedName name="トップ率" localSheetId="3">Template1!$C$8</definedName>
    <definedName name="トップ率" localSheetId="7">だいち!$C$8</definedName>
    <definedName name="トップ率" localSheetId="9">ただ!$C$8</definedName>
    <definedName name="トップ率" localSheetId="8">ともき!$C$8</definedName>
    <definedName name="トップ率" localSheetId="10">りくと!$C$8</definedName>
    <definedName name="トップ率" localSheetId="6">れんたろう!$C$8</definedName>
    <definedName name="トップ率" localSheetId="5">全体!$C$8</definedName>
    <definedName name="バランス" localSheetId="7">だいち!$B$14</definedName>
    <definedName name="バランス" localSheetId="9">ただ!$B$14</definedName>
    <definedName name="バランス" localSheetId="8">ともき!$B$14</definedName>
    <definedName name="バランス" localSheetId="10">りくと!$B$14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だいち!$B$15</definedName>
    <definedName name="ふっとび数" localSheetId="9">ただ!$B$15</definedName>
    <definedName name="ふっとび数" localSheetId="8">ともき!$B$15</definedName>
    <definedName name="ふっとび数" localSheetId="10">りくと!$B$15</definedName>
    <definedName name="ふっとび数" localSheetId="6">れんたろう!$B$15</definedName>
    <definedName name="ふっとび数" localSheetId="5">全体!$B$15</definedName>
    <definedName name="ふっとび率" localSheetId="3">Template1!$C$15</definedName>
    <definedName name="ふっとび率" localSheetId="7">だいち!$C$15</definedName>
    <definedName name="ふっとび率" localSheetId="9">ただ!$C$15</definedName>
    <definedName name="ふっとび率" localSheetId="8">ともき!$C$15</definedName>
    <definedName name="ふっとび率" localSheetId="10">りくと!$C$15</definedName>
    <definedName name="ふっとび率" localSheetId="6">れんたろう!$C$15</definedName>
    <definedName name="ふっとび率" localSheetId="5">全体!$C$15</definedName>
    <definedName name="ラス数" localSheetId="3">Template1!$B$10</definedName>
    <definedName name="ラス数" localSheetId="7">だいち!$B$10</definedName>
    <definedName name="ラス数" localSheetId="9">ただ!$B$10</definedName>
    <definedName name="ラス数" localSheetId="8">ともき!$B$10</definedName>
    <definedName name="ラス数" localSheetId="10">りくと!$B$10</definedName>
    <definedName name="ラス数" localSheetId="6">れんたろう!$B$10</definedName>
    <definedName name="ラス数" localSheetId="5">全体!$B$10</definedName>
    <definedName name="ラス率" localSheetId="3">Template1!$C$10</definedName>
    <definedName name="ラス率" localSheetId="7">だいち!$C$10</definedName>
    <definedName name="ラス率" localSheetId="9">ただ!$C$10</definedName>
    <definedName name="ラス率" localSheetId="8">ともき!$C$10</definedName>
    <definedName name="ラス率" localSheetId="10">りくと!$C$10</definedName>
    <definedName name="ラス率" localSheetId="6">れんたろう!$C$10</definedName>
    <definedName name="ラス率" localSheetId="5">全体!$C$10</definedName>
    <definedName name="リーチアガリ数" localSheetId="3">Template1!$B$24</definedName>
    <definedName name="リーチアガリ数" localSheetId="7">だいち!$B$24</definedName>
    <definedName name="リーチアガリ数" localSheetId="9">ただ!$B$24</definedName>
    <definedName name="リーチアガリ数" localSheetId="8">ともき!$B$24</definedName>
    <definedName name="リーチアガリ数" localSheetId="10">りくと!$B$24</definedName>
    <definedName name="リーチアガリ数" localSheetId="6">れんたろう!$B$24</definedName>
    <definedName name="リーチアガリ数" localSheetId="5">全体!$B$24</definedName>
    <definedName name="リーチアガリ率" localSheetId="3">Template1!$C$24</definedName>
    <definedName name="リーチアガリ率" localSheetId="7">だいち!$C$24</definedName>
    <definedName name="リーチアガリ率" localSheetId="9">ただ!$C$24</definedName>
    <definedName name="リーチアガリ率" localSheetId="8">ともき!$C$24</definedName>
    <definedName name="リーチアガリ率" localSheetId="10">りくと!$C$24</definedName>
    <definedName name="リーチアガリ率" localSheetId="6">れんたろう!$C$24</definedName>
    <definedName name="リーチアガリ率" localSheetId="5">全体!$C$24</definedName>
    <definedName name="リーチ数" localSheetId="3">Template1!$B$16</definedName>
    <definedName name="リーチ数" localSheetId="7">だいち!$B$16</definedName>
    <definedName name="リーチ数" localSheetId="9">ただ!$B$16</definedName>
    <definedName name="リーチ数" localSheetId="8">ともき!$B$16</definedName>
    <definedName name="リーチ数" localSheetId="10">りくと!$B$16</definedName>
    <definedName name="リーチ数" localSheetId="6">れんたろう!$B$16</definedName>
    <definedName name="リーチ数" localSheetId="5">全体!$B$16</definedName>
    <definedName name="リーチ成功数" localSheetId="3">Template1!$B$18</definedName>
    <definedName name="リーチ成功数" localSheetId="7">だいち!$B$18</definedName>
    <definedName name="リーチ成功数" localSheetId="9">ただ!$B$18</definedName>
    <definedName name="リーチ成功数" localSheetId="8">ともき!$B$18</definedName>
    <definedName name="リーチ成功数" localSheetId="10">りくと!$B$18</definedName>
    <definedName name="リーチ成功数" localSheetId="6">れんたろう!$B$18</definedName>
    <definedName name="リーチ成功数" localSheetId="5">全体!$B$18</definedName>
    <definedName name="リーチ成功率" localSheetId="3">Template1!$C$18</definedName>
    <definedName name="リーチ成功率" localSheetId="7">だいち!$C$18</definedName>
    <definedName name="リーチ成功率" localSheetId="9">ただ!$C$18</definedName>
    <definedName name="リーチ成功率" localSheetId="8">ともき!$C$18</definedName>
    <definedName name="リーチ成功率" localSheetId="10">りくと!$C$18</definedName>
    <definedName name="リーチ成功率" localSheetId="6">れんたろう!$C$18</definedName>
    <definedName name="リーチ成功率" localSheetId="5">全体!$C$18</definedName>
    <definedName name="リーチ率" localSheetId="3">Template1!$C$16</definedName>
    <definedName name="リーチ率" localSheetId="7">だいち!$C$16</definedName>
    <definedName name="リーチ率" localSheetId="9">ただ!$C$16</definedName>
    <definedName name="リーチ率" localSheetId="8">ともき!$C$16</definedName>
    <definedName name="リーチ率" localSheetId="10">りくと!$C$16</definedName>
    <definedName name="リーチ率" localSheetId="6">れんたろう!$C$16</definedName>
    <definedName name="リーチ率" localSheetId="5">全体!$C$16</definedName>
    <definedName name="レーティング" localSheetId="7">だいち!$B$6</definedName>
    <definedName name="レーティング" localSheetId="9">ただ!$B$6</definedName>
    <definedName name="レーティング" localSheetId="8">ともき!$B$6</definedName>
    <definedName name="レーティング" localSheetId="10">りくと!$B$6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だいち!$B$23</definedName>
    <definedName name="ロン数" localSheetId="9">ただ!$B$23</definedName>
    <definedName name="ロン数" localSheetId="8">ともき!$B$23</definedName>
    <definedName name="ロン数" localSheetId="10">りくと!$B$23</definedName>
    <definedName name="ロン数" localSheetId="6">れんたろう!$B$23</definedName>
    <definedName name="ロン数" localSheetId="5">全体!$B$23</definedName>
    <definedName name="ロン率" localSheetId="3">Template1!$C$23</definedName>
    <definedName name="ロン率" localSheetId="7">だいち!$C$23</definedName>
    <definedName name="ロン率" localSheetId="9">ただ!$C$23</definedName>
    <definedName name="ロン率" localSheetId="8">ともき!$C$23</definedName>
    <definedName name="ロン率" localSheetId="10">りくと!$C$23</definedName>
    <definedName name="ロン率" localSheetId="6">れんたろう!$C$23</definedName>
    <definedName name="ロン率" localSheetId="5">全体!$C$23</definedName>
    <definedName name="一位スコア" localSheetId="7">だいち!$B$11</definedName>
    <definedName name="一位スコア" localSheetId="9">ただ!$B$11</definedName>
    <definedName name="一位スコア" localSheetId="8">ともき!$B$11</definedName>
    <definedName name="一位スコア" localSheetId="10">りくと!$B$11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7">だいち!$C$11</definedName>
    <definedName name="一位通算スコア" localSheetId="9">ただ!$C$11</definedName>
    <definedName name="一位通算スコア" localSheetId="8">ともき!$C$11</definedName>
    <definedName name="一位通算スコア" localSheetId="10">りくと!$C$11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7">だいち!$B$37</definedName>
    <definedName name="一翻数" localSheetId="9">ただ!$B$37</definedName>
    <definedName name="一翻数" localSheetId="8">ともき!$B$37</definedName>
    <definedName name="一翻数" localSheetId="10">りくと!$B$37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7">だいち!$C$37</definedName>
    <definedName name="一翻率" localSheetId="9">ただ!$C$37</definedName>
    <definedName name="一翻率" localSheetId="8">ともき!$C$37</definedName>
    <definedName name="一翻率" localSheetId="10">りくと!$C$37</definedName>
    <definedName name="一翻率" localSheetId="6">れんたろう!$C$37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だいち!$C$31</definedName>
    <definedName name="現行連続アガリ" localSheetId="9">ただ!$C$31</definedName>
    <definedName name="現行連続アガリ" localSheetId="8">ともき!$C$31</definedName>
    <definedName name="現行連続アガリ" localSheetId="10">りくと!$C$31</definedName>
    <definedName name="現行連続アガリ" localSheetId="6">れんたろう!$C$31</definedName>
    <definedName name="現行連続アガリ" localSheetId="5">全体!$C$31</definedName>
    <definedName name="現行連続無放銃" localSheetId="3">Template1!$C$32</definedName>
    <definedName name="現行連続無放銃" localSheetId="7">だいち!$C$32</definedName>
    <definedName name="現行連続無放銃" localSheetId="9">ただ!$C$32</definedName>
    <definedName name="現行連続無放銃" localSheetId="8">ともき!$C$32</definedName>
    <definedName name="現行連続無放銃" localSheetId="10">りくと!$C$32</definedName>
    <definedName name="現行連続無放銃" localSheetId="6">れんたろう!$C$32</definedName>
    <definedName name="現行連続無放銃" localSheetId="5">全体!$C$32</definedName>
    <definedName name="最高点" localSheetId="3">Template1!$B$34</definedName>
    <definedName name="最高点" localSheetId="7">だいち!$B$34</definedName>
    <definedName name="最高点" localSheetId="9">ただ!$B$34</definedName>
    <definedName name="最高点" localSheetId="8">ともき!$B$34</definedName>
    <definedName name="最高点" localSheetId="10">りくと!$B$34</definedName>
    <definedName name="最高点" localSheetId="6">れんたろう!$B$34</definedName>
    <definedName name="最高点" localSheetId="5">全体!$B$34</definedName>
    <definedName name="最大ドラ数" localSheetId="3">Template1!$B$33</definedName>
    <definedName name="最大ドラ数" localSheetId="7">だいち!$B$33</definedName>
    <definedName name="最大ドラ数" localSheetId="9">ただ!$B$33</definedName>
    <definedName name="最大ドラ数" localSheetId="8">ともき!$B$33</definedName>
    <definedName name="最大ドラ数" localSheetId="10">りくと!$B$33</definedName>
    <definedName name="最大ドラ数" localSheetId="6">れんたろう!$B$33</definedName>
    <definedName name="最大ドラ数" localSheetId="5">全体!$B$33</definedName>
    <definedName name="最大点数" localSheetId="3">Template1!$B$34</definedName>
    <definedName name="最大点数" localSheetId="7">だいち!$B$34</definedName>
    <definedName name="最大点数" localSheetId="9">ただ!$B$34</definedName>
    <definedName name="最大点数" localSheetId="8">ともき!$B$34</definedName>
    <definedName name="最大点数" localSheetId="10">りくと!$B$34</definedName>
    <definedName name="最大点数" localSheetId="6">れんたろう!$B$34</definedName>
    <definedName name="最大点数" localSheetId="5">全体!$B$34</definedName>
    <definedName name="三位スコア" localSheetId="7">だいち!$B$13</definedName>
    <definedName name="三位スコア" localSheetId="9">ただ!$B$13</definedName>
    <definedName name="三位スコア" localSheetId="8">ともき!$B$13</definedName>
    <definedName name="三位スコア" localSheetId="10">りくと!$B$13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7">だいち!$C$13</definedName>
    <definedName name="三位通算スコア" localSheetId="9">ただ!$C$13</definedName>
    <definedName name="三位通算スコア" localSheetId="8">ともき!$C$13</definedName>
    <definedName name="三位通算スコア" localSheetId="10">りくと!$C$13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だいち!$B$3</definedName>
    <definedName name="総局数" localSheetId="9">ただ!$B$3</definedName>
    <definedName name="総局数" localSheetId="8">ともき!$B$3</definedName>
    <definedName name="総局数" localSheetId="10">りくと!$B$3</definedName>
    <definedName name="総局数" localSheetId="6">れんたろう!$B$3</definedName>
    <definedName name="総局数" localSheetId="5">全体!$B$3</definedName>
    <definedName name="対戦数" localSheetId="3">Template1!$B$2</definedName>
    <definedName name="対戦数" localSheetId="7">だいち!$B$2</definedName>
    <definedName name="対戦数" localSheetId="9">ただ!$B$2</definedName>
    <definedName name="対戦数" localSheetId="8">ともき!$B$2</definedName>
    <definedName name="対戦数" localSheetId="10">りくと!$B$2</definedName>
    <definedName name="対戦数" localSheetId="6">れんたろう!$B$2</definedName>
    <definedName name="対戦数" localSheetId="5">全体!$B$2</definedName>
    <definedName name="通算アガリ点" localSheetId="3">Template1!$C$27</definedName>
    <definedName name="通算アガリ点" localSheetId="7">だいち!$C$27</definedName>
    <definedName name="通算アガリ点" localSheetId="9">ただ!$C$27</definedName>
    <definedName name="通算アガリ点" localSheetId="8">ともき!$C$27</definedName>
    <definedName name="通算アガリ点" localSheetId="10">りくと!$C$27</definedName>
    <definedName name="通算アガリ点" localSheetId="6">れんたろう!$C$27</definedName>
    <definedName name="通算アガリ点" localSheetId="5">全体!$C$27</definedName>
    <definedName name="通算スコア" localSheetId="3">Template1!$B$4</definedName>
    <definedName name="通算スコア" localSheetId="7">だいち!$B$4</definedName>
    <definedName name="通算スコア" localSheetId="9">ただ!$B$4</definedName>
    <definedName name="通算スコア" localSheetId="8">ともき!$B$4</definedName>
    <definedName name="通算スコア" localSheetId="10">りくと!$B$4</definedName>
    <definedName name="通算スコア" localSheetId="6">れんたろう!$B$4</definedName>
    <definedName name="通算スコア" localSheetId="5">全体!$B$4</definedName>
    <definedName name="通算副露アガリ点" localSheetId="3">Template1!$C$29</definedName>
    <definedName name="通算副露アガリ点" localSheetId="7">だいち!$C$29</definedName>
    <definedName name="通算副露アガリ点" localSheetId="9">ただ!$C$29</definedName>
    <definedName name="通算副露アガリ点" localSheetId="8">ともき!$C$29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5">全体!$C$29</definedName>
    <definedName name="通算放銃点" localSheetId="3">Template1!$C$30</definedName>
    <definedName name="通算放銃点" localSheetId="7">だいち!$C$30</definedName>
    <definedName name="通算放銃点" localSheetId="9">ただ!$C$30</definedName>
    <definedName name="通算放銃点" localSheetId="8">ともき!$C$30</definedName>
    <definedName name="通算放銃点" localSheetId="10">りくと!$C$30</definedName>
    <definedName name="通算放銃点" localSheetId="6">れんたろう!$C$30</definedName>
    <definedName name="通算放銃点" localSheetId="5">全体!$C$30</definedName>
    <definedName name="通算門前アガリ点" localSheetId="3">Template1!$C$28</definedName>
    <definedName name="通算門前アガリ点" localSheetId="7">だいち!$C$28</definedName>
    <definedName name="通算門前アガリ点" localSheetId="9">ただ!$C$28</definedName>
    <definedName name="通算門前アガリ点" localSheetId="8">ともき!$C$28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5">全体!$C$28</definedName>
    <definedName name="二位スコア" localSheetId="7">だいち!$B$12</definedName>
    <definedName name="二位スコア" localSheetId="9">ただ!$B$12</definedName>
    <definedName name="二位スコア" localSheetId="8">ともき!$B$12</definedName>
    <definedName name="二位スコア" localSheetId="10">りくと!$B$12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だいち!$B$9</definedName>
    <definedName name="二位数" localSheetId="9">ただ!$B$9</definedName>
    <definedName name="二位数" localSheetId="8">ともき!$B$9</definedName>
    <definedName name="二位数" localSheetId="10">りくと!$B$9</definedName>
    <definedName name="二位数" localSheetId="6">れんたろう!$B$9</definedName>
    <definedName name="二位数" localSheetId="5">全体!$B$9</definedName>
    <definedName name="二位通算スコア" localSheetId="7">だいち!$C$12</definedName>
    <definedName name="二位通算スコア" localSheetId="9">ただ!$C$12</definedName>
    <definedName name="二位通算スコア" localSheetId="8">ともき!$C$12</definedName>
    <definedName name="二位通算スコア" localSheetId="10">りくと!$C$12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だいち!$C$9</definedName>
    <definedName name="二位率" localSheetId="9">ただ!$C$9</definedName>
    <definedName name="二位率" localSheetId="8">ともき!$C$9</definedName>
    <definedName name="二位率" localSheetId="10">りくと!$C$9</definedName>
    <definedName name="二位率" localSheetId="6">れんたろう!$C$9</definedName>
    <definedName name="二位率" localSheetId="5">全体!$C$9</definedName>
    <definedName name="副露アガリ数" localSheetId="3">Template1!$B$25</definedName>
    <definedName name="副露アガリ数" localSheetId="7">だいち!$B$25</definedName>
    <definedName name="副露アガリ数" localSheetId="9">ただ!$B$25</definedName>
    <definedName name="副露アガリ数" localSheetId="8">ともき!$B$25</definedName>
    <definedName name="副露アガリ数" localSheetId="10">りくと!$B$25</definedName>
    <definedName name="副露アガリ数" localSheetId="6">れんたろう!$B$25</definedName>
    <definedName name="副露アガリ数" localSheetId="5">全体!$B$25</definedName>
    <definedName name="副露アガリ点" localSheetId="3">Template1!$B$29</definedName>
    <definedName name="副露アガリ点" localSheetId="7">だいち!$B$29</definedName>
    <definedName name="副露アガリ点" localSheetId="9">ただ!$B$29</definedName>
    <definedName name="副露アガリ点" localSheetId="8">ともき!$B$29</definedName>
    <definedName name="副露アガリ点" localSheetId="10">りくと!$B$29</definedName>
    <definedName name="副露アガリ点" localSheetId="6">れんたろう!$B$29</definedName>
    <definedName name="副露アガリ点" localSheetId="5">全体!$B$29</definedName>
    <definedName name="副露アガリ率" localSheetId="3">Template1!$C$25</definedName>
    <definedName name="副露アガリ率" localSheetId="7">だいち!$C$25</definedName>
    <definedName name="副露アガリ率" localSheetId="9">ただ!$C$25</definedName>
    <definedName name="副露アガリ率" localSheetId="8">ともき!$C$25</definedName>
    <definedName name="副露アガリ率" localSheetId="10">りくと!$C$25</definedName>
    <definedName name="副露アガリ率" localSheetId="6">れんたろう!$C$25</definedName>
    <definedName name="副露アガリ率" localSheetId="5">全体!$C$25</definedName>
    <definedName name="副露数" localSheetId="3">Template1!$B$17</definedName>
    <definedName name="副露数" localSheetId="7">だいち!$B$17</definedName>
    <definedName name="副露数" localSheetId="9">ただ!$B$17</definedName>
    <definedName name="副露数" localSheetId="8">ともき!$B$17</definedName>
    <definedName name="副露数" localSheetId="10">りくと!$B$17</definedName>
    <definedName name="副露数" localSheetId="6">れんたろう!$B$17</definedName>
    <definedName name="副露数" localSheetId="5">全体!$B$17</definedName>
    <definedName name="副露成功数" localSheetId="3">Template1!$B$19</definedName>
    <definedName name="副露成功数" localSheetId="7">だいち!$B$19</definedName>
    <definedName name="副露成功数" localSheetId="9">ただ!$B$19</definedName>
    <definedName name="副露成功数" localSheetId="8">ともき!$B$19</definedName>
    <definedName name="副露成功数" localSheetId="10">りくと!$B$19</definedName>
    <definedName name="副露成功数" localSheetId="6">れんたろう!$B$19</definedName>
    <definedName name="副露成功数" localSheetId="5">全体!$B$19</definedName>
    <definedName name="副露成功率" localSheetId="3">Template1!$C$19</definedName>
    <definedName name="副露成功率" localSheetId="7">だいち!$C$19</definedName>
    <definedName name="副露成功率" localSheetId="9">ただ!$C$19</definedName>
    <definedName name="副露成功率" localSheetId="8">ともき!$C$19</definedName>
    <definedName name="副露成功率" localSheetId="10">りくと!$C$19</definedName>
    <definedName name="副露成功率" localSheetId="6">れんたろう!$C$19</definedName>
    <definedName name="副露成功率" localSheetId="5">全体!$C$19</definedName>
    <definedName name="副露率" localSheetId="3">Template1!$C$17</definedName>
    <definedName name="副露率" localSheetId="7">だいち!$C$17</definedName>
    <definedName name="副露率" localSheetId="9">ただ!$C$17</definedName>
    <definedName name="副露率" localSheetId="8">ともき!$C$17</definedName>
    <definedName name="副露率" localSheetId="10">りくと!$C$17</definedName>
    <definedName name="副露率" localSheetId="6">れんたろう!$C$17</definedName>
    <definedName name="副露率" localSheetId="5">全体!$C$17</definedName>
    <definedName name="平均アガリ点" localSheetId="3">Template1!$B$27</definedName>
    <definedName name="平均アガリ点" localSheetId="7">だいち!$B$27</definedName>
    <definedName name="平均アガリ点" localSheetId="9">ただ!$B$27</definedName>
    <definedName name="平均アガリ点" localSheetId="8">ともき!$B$27</definedName>
    <definedName name="平均アガリ点" localSheetId="10">りくと!$B$27</definedName>
    <definedName name="平均アガリ点" localSheetId="6">れんたろう!$B$27</definedName>
    <definedName name="平均アガリ点" localSheetId="5">全体!$B$27</definedName>
    <definedName name="平均スコア" localSheetId="3">Template1!$B$5</definedName>
    <definedName name="平均スコア" localSheetId="7">だいち!$B$5</definedName>
    <definedName name="平均スコア" localSheetId="9">ただ!$B$5</definedName>
    <definedName name="平均スコア" localSheetId="8">ともき!$B$5</definedName>
    <definedName name="平均スコア" localSheetId="10">りくと!$B$5</definedName>
    <definedName name="平均スコア" localSheetId="6">れんたろう!$B$5</definedName>
    <definedName name="平均スコア" localSheetId="5">全体!$B$5</definedName>
    <definedName name="平均順位" localSheetId="3">Template1!$B$7</definedName>
    <definedName name="平均順位" localSheetId="7">だいち!$B$7</definedName>
    <definedName name="平均順位" localSheetId="9">ただ!$B$7</definedName>
    <definedName name="平均順位" localSheetId="8">ともき!$B$7</definedName>
    <definedName name="平均順位" localSheetId="10">りくと!$B$7</definedName>
    <definedName name="平均順位" localSheetId="6">れんたろう!$B$7</definedName>
    <definedName name="平均順位" localSheetId="5">全体!$B$7</definedName>
    <definedName name="平均放銃点" localSheetId="3">Template1!$B$30</definedName>
    <definedName name="平均放銃点" localSheetId="7">だいち!$B$30</definedName>
    <definedName name="平均放銃点" localSheetId="9">ただ!$B$30</definedName>
    <definedName name="平均放銃点" localSheetId="8">ともき!$B$30</definedName>
    <definedName name="平均放銃点" localSheetId="10">りくと!$B$30</definedName>
    <definedName name="平均放銃点" localSheetId="6">れんたろう!$B$30</definedName>
    <definedName name="平均放銃点" localSheetId="5">全体!$B$30</definedName>
    <definedName name="放銃数" localSheetId="3">Template1!$B$21</definedName>
    <definedName name="放銃数" localSheetId="7">だいち!$B$21</definedName>
    <definedName name="放銃数" localSheetId="9">ただ!$B$21</definedName>
    <definedName name="放銃数" localSheetId="8">ともき!$B$21</definedName>
    <definedName name="放銃数" localSheetId="10">りくと!$B$21</definedName>
    <definedName name="放銃数" localSheetId="6">れんたろう!$B$21</definedName>
    <definedName name="放銃数" localSheetId="5">全体!$B$21</definedName>
    <definedName name="放銃率" localSheetId="3">Template1!$C$21</definedName>
    <definedName name="放銃率" localSheetId="7">だいち!$C$21</definedName>
    <definedName name="放銃率" localSheetId="9">ただ!$C$21</definedName>
    <definedName name="放銃率" localSheetId="8">ともき!$C$21</definedName>
    <definedName name="放銃率" localSheetId="10">りくと!$C$21</definedName>
    <definedName name="放銃率" localSheetId="6">れんたろう!$C$21</definedName>
    <definedName name="放銃率" localSheetId="5">全体!$C$21</definedName>
    <definedName name="名前" localSheetId="3">Template1!$B$1</definedName>
    <definedName name="名前" localSheetId="7">だいち!$B$1</definedName>
    <definedName name="名前" localSheetId="9">ただ!$B$1</definedName>
    <definedName name="名前" localSheetId="8">ともき!$B$1</definedName>
    <definedName name="名前" localSheetId="10">りくと!$B$1</definedName>
    <definedName name="名前" localSheetId="6">れんたろう!$B$1</definedName>
    <definedName name="名前" localSheetId="5">全体!$B$1</definedName>
    <definedName name="門前アガリ点" localSheetId="3">Template1!$B$28</definedName>
    <definedName name="門前アガリ点" localSheetId="7">だいち!$B$28</definedName>
    <definedName name="門前アガリ点" localSheetId="9">ただ!$B$28</definedName>
    <definedName name="門前アガリ点" localSheetId="8">ともき!$B$28</definedName>
    <definedName name="門前アガリ点" localSheetId="10">りくと!$B$28</definedName>
    <definedName name="門前アガリ点" localSheetId="6">れんたろう!$B$28</definedName>
    <definedName name="門前アガリ点" localSheetId="5">全体!$B$28</definedName>
    <definedName name="連続アガリ" localSheetId="3">Template1!$B$31</definedName>
    <definedName name="連続アガリ" localSheetId="7">だいち!$B$31</definedName>
    <definedName name="連続アガリ" localSheetId="9">ただ!$B$31</definedName>
    <definedName name="連続アガリ" localSheetId="8">ともき!$B$31</definedName>
    <definedName name="連続アガリ" localSheetId="10">りくと!$B$31</definedName>
    <definedName name="連続アガリ" localSheetId="6">れんたろう!$B$31</definedName>
    <definedName name="連続アガリ" localSheetId="5">全体!$B$31</definedName>
    <definedName name="連続無放銃" localSheetId="3">Template1!$B$32</definedName>
    <definedName name="連続無放銃" localSheetId="7">だいち!$B$32</definedName>
    <definedName name="連続無放銃" localSheetId="9">ただ!$B$32</definedName>
    <definedName name="連続無放銃" localSheetId="8">ともき!$B$32</definedName>
    <definedName name="連続無放銃" localSheetId="10">りくと!$B$32</definedName>
    <definedName name="連続無放銃" localSheetId="6">れんたろう!$B$32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7046" l="1"/>
  <c r="P15" i="7050"/>
  <c r="P16" i="7042"/>
  <c r="P16" i="7052"/>
  <c r="P15" i="7052"/>
  <c r="C35" i="7052"/>
  <c r="B30" i="7052"/>
  <c r="C21" i="7052"/>
  <c r="B20" i="7052"/>
  <c r="H52" i="7052" s="1"/>
  <c r="B19" i="7052"/>
  <c r="B29" i="7052" s="1"/>
  <c r="B18" i="7052"/>
  <c r="C18" i="7052" s="1"/>
  <c r="C17" i="7052"/>
  <c r="C16" i="7052"/>
  <c r="C15" i="7052"/>
  <c r="B13" i="7052"/>
  <c r="P12" i="7052"/>
  <c r="B12" i="7052"/>
  <c r="P11" i="7052"/>
  <c r="B11" i="7052"/>
  <c r="P10" i="7052"/>
  <c r="H3" i="7052"/>
  <c r="C10" i="7052"/>
  <c r="C9" i="7052"/>
  <c r="C8" i="7052"/>
  <c r="P7" i="7052"/>
  <c r="B7" i="7052"/>
  <c r="P6" i="7052"/>
  <c r="P5" i="7052"/>
  <c r="B5" i="7052"/>
  <c r="P4" i="7052"/>
  <c r="P3" i="7052"/>
  <c r="P2" i="7052"/>
  <c r="B14" i="7052" l="1"/>
  <c r="C19" i="7052"/>
  <c r="C20" i="7052"/>
  <c r="H9" i="7052"/>
  <c r="C38" i="7052"/>
  <c r="C46" i="7052"/>
  <c r="H5" i="7052"/>
  <c r="C24" i="7052"/>
  <c r="H35" i="7052"/>
  <c r="H44" i="7052"/>
  <c r="H48" i="7052"/>
  <c r="H18" i="7052"/>
  <c r="H21" i="7052"/>
  <c r="C25" i="7052"/>
  <c r="H41" i="7052"/>
  <c r="H45" i="7052"/>
  <c r="H49" i="7052"/>
  <c r="H10" i="7052"/>
  <c r="H27" i="7052"/>
  <c r="H14" i="7052"/>
  <c r="C40" i="7052"/>
  <c r="C48" i="7052"/>
  <c r="C26" i="7052"/>
  <c r="H38" i="7052"/>
  <c r="H50" i="7052"/>
  <c r="H7" i="7052"/>
  <c r="H17" i="7052"/>
  <c r="H19" i="7052"/>
  <c r="H28" i="7052"/>
  <c r="H31" i="7052"/>
  <c r="H32" i="7052"/>
  <c r="C37" i="7052"/>
  <c r="C41" i="7052"/>
  <c r="C45" i="7052"/>
  <c r="C49" i="7052"/>
  <c r="H16" i="7052"/>
  <c r="H25" i="7052"/>
  <c r="H30" i="7052"/>
  <c r="H37" i="7052"/>
  <c r="C44" i="7052"/>
  <c r="H2" i="7052"/>
  <c r="H22" i="7052"/>
  <c r="C22" i="7052"/>
  <c r="H42" i="7052"/>
  <c r="H46" i="7052"/>
  <c r="H6" i="7052"/>
  <c r="H23" i="7052"/>
  <c r="H12" i="7052"/>
  <c r="C23" i="7052"/>
  <c r="B27" i="7052"/>
  <c r="H33" i="7052"/>
  <c r="H39" i="7052"/>
  <c r="H43" i="7052"/>
  <c r="H47" i="7052"/>
  <c r="H51" i="7052"/>
  <c r="H29" i="7052"/>
  <c r="H34" i="7052"/>
  <c r="C42" i="7052"/>
  <c r="H15" i="7052"/>
  <c r="H8" i="7052"/>
  <c r="H20" i="7052"/>
  <c r="H24" i="7052"/>
  <c r="B28" i="7052"/>
  <c r="H40" i="7052"/>
  <c r="H4" i="7052"/>
  <c r="H26" i="7052"/>
  <c r="H11" i="7052"/>
  <c r="H13" i="7052"/>
  <c r="H36" i="7052"/>
  <c r="C39" i="7052"/>
  <c r="C43" i="7052"/>
  <c r="C47" i="7052"/>
  <c r="P16" i="7044" l="1"/>
  <c r="P17" i="7050"/>
  <c r="P16" i="7050"/>
  <c r="C35" i="7050"/>
  <c r="B30" i="7050"/>
  <c r="C21" i="7050"/>
  <c r="B20" i="7050"/>
  <c r="H51" i="7050" s="1"/>
  <c r="B19" i="7050"/>
  <c r="B29" i="7050" s="1"/>
  <c r="B18" i="7050"/>
  <c r="C18" i="7050" s="1"/>
  <c r="C17" i="7050"/>
  <c r="C16" i="7050"/>
  <c r="C15" i="7050"/>
  <c r="B13" i="7050"/>
  <c r="P12" i="7050"/>
  <c r="B12" i="7050"/>
  <c r="P11" i="7050"/>
  <c r="B11" i="7050"/>
  <c r="P10" i="7050"/>
  <c r="C10" i="7050"/>
  <c r="C9" i="7050"/>
  <c r="C8" i="7050"/>
  <c r="P7" i="7050"/>
  <c r="B7" i="7050"/>
  <c r="P6" i="7050"/>
  <c r="P5" i="7050"/>
  <c r="B5" i="7050"/>
  <c r="P4" i="7050"/>
  <c r="P3" i="7050"/>
  <c r="P2" i="7050"/>
  <c r="P17" i="7046"/>
  <c r="P17" i="7042"/>
  <c r="C19" i="7050" l="1"/>
  <c r="B14" i="7050"/>
  <c r="C20" i="7050"/>
  <c r="H5" i="7050"/>
  <c r="H26" i="7050"/>
  <c r="H7" i="7050"/>
  <c r="H34" i="7050"/>
  <c r="C38" i="7050"/>
  <c r="C42" i="7050"/>
  <c r="C46" i="7050"/>
  <c r="H18" i="7050"/>
  <c r="H2" i="7050"/>
  <c r="H9" i="7050"/>
  <c r="H20" i="7050"/>
  <c r="H17" i="7050"/>
  <c r="C24" i="7050"/>
  <c r="B28" i="7050"/>
  <c r="H35" i="7050"/>
  <c r="H40" i="7050"/>
  <c r="H44" i="7050"/>
  <c r="H48" i="7050"/>
  <c r="H3" i="7050"/>
  <c r="H24" i="7050"/>
  <c r="H27" i="7050"/>
  <c r="H30" i="7050"/>
  <c r="H36" i="7050"/>
  <c r="C39" i="7050"/>
  <c r="C43" i="7050"/>
  <c r="C47" i="7050"/>
  <c r="H52" i="7050"/>
  <c r="H19" i="7050"/>
  <c r="H21" i="7050"/>
  <c r="C25" i="7050"/>
  <c r="H41" i="7050"/>
  <c r="H45" i="7050"/>
  <c r="H49" i="7050"/>
  <c r="H11" i="7050"/>
  <c r="H10" i="7050"/>
  <c r="H23" i="7050"/>
  <c r="H15" i="7050"/>
  <c r="H28" i="7050"/>
  <c r="H31" i="7050"/>
  <c r="H37" i="7050"/>
  <c r="C40" i="7050"/>
  <c r="C44" i="7050"/>
  <c r="C48" i="7050"/>
  <c r="H4" i="7050"/>
  <c r="H22" i="7050"/>
  <c r="C22" i="7050"/>
  <c r="C26" i="7050"/>
  <c r="H38" i="7050"/>
  <c r="H42" i="7050"/>
  <c r="H46" i="7050"/>
  <c r="H50" i="7050"/>
  <c r="H6" i="7050"/>
  <c r="H12" i="7050"/>
  <c r="H16" i="7050"/>
  <c r="H25" i="7050"/>
  <c r="H29" i="7050"/>
  <c r="H32" i="7050"/>
  <c r="C37" i="7050"/>
  <c r="C41" i="7050"/>
  <c r="C45" i="7050"/>
  <c r="C49" i="7050"/>
  <c r="H8" i="7050"/>
  <c r="H14" i="7050"/>
  <c r="H13" i="7050"/>
  <c r="C23" i="7050"/>
  <c r="B27" i="7050"/>
  <c r="H33" i="7050"/>
  <c r="H39" i="7050"/>
  <c r="H43" i="7050"/>
  <c r="H47" i="7050"/>
  <c r="P16" i="7048" l="1"/>
  <c r="P15" i="7048"/>
  <c r="C35" i="7048"/>
  <c r="B30" i="7048"/>
  <c r="B29" i="7048"/>
  <c r="C21" i="7048"/>
  <c r="B20" i="7048"/>
  <c r="H52" i="7048" s="1"/>
  <c r="C19" i="7048"/>
  <c r="B19" i="7048"/>
  <c r="C18" i="7048"/>
  <c r="B18" i="7048"/>
  <c r="C17" i="7048"/>
  <c r="C16" i="7048"/>
  <c r="C15" i="7048"/>
  <c r="B13" i="7048"/>
  <c r="P12" i="7048"/>
  <c r="B12" i="7048"/>
  <c r="P11" i="7048"/>
  <c r="B11" i="7048"/>
  <c r="P10" i="7048"/>
  <c r="C10" i="7048"/>
  <c r="C9" i="7048"/>
  <c r="H10" i="7048"/>
  <c r="C8" i="7048"/>
  <c r="P7" i="7048"/>
  <c r="B7" i="7048"/>
  <c r="P6" i="7048"/>
  <c r="P5" i="7048"/>
  <c r="H7" i="7048"/>
  <c r="B5" i="7048"/>
  <c r="P4" i="7048"/>
  <c r="P3" i="7048"/>
  <c r="P2" i="7048"/>
  <c r="P18" i="7046"/>
  <c r="P15" i="7046"/>
  <c r="C35" i="7046"/>
  <c r="B30" i="7046"/>
  <c r="C21" i="7046"/>
  <c r="B20" i="7046"/>
  <c r="H51" i="7046" s="1"/>
  <c r="B19" i="7046"/>
  <c r="B29" i="7046" s="1"/>
  <c r="B18" i="7046"/>
  <c r="C18" i="7046" s="1"/>
  <c r="C17" i="7046"/>
  <c r="C16" i="7046"/>
  <c r="C15" i="7046"/>
  <c r="B13" i="7046"/>
  <c r="P12" i="7046"/>
  <c r="B12" i="7046"/>
  <c r="P11" i="7046"/>
  <c r="B11" i="7046"/>
  <c r="P10" i="7046"/>
  <c r="C10" i="7046"/>
  <c r="C9" i="7046"/>
  <c r="C8" i="7046"/>
  <c r="P7" i="7046"/>
  <c r="B7" i="7046"/>
  <c r="P6" i="7046"/>
  <c r="P5" i="7046"/>
  <c r="B5" i="7046"/>
  <c r="P4" i="7046"/>
  <c r="P3" i="7046"/>
  <c r="P2" i="7046"/>
  <c r="P18" i="7042"/>
  <c r="P15" i="7044"/>
  <c r="P17" i="7044"/>
  <c r="C35" i="7044"/>
  <c r="B30" i="7044"/>
  <c r="C21" i="7044"/>
  <c r="B20" i="7044"/>
  <c r="H50" i="7044" s="1"/>
  <c r="B19" i="7044"/>
  <c r="B29" i="7044" s="1"/>
  <c r="B18" i="7044"/>
  <c r="C18" i="7044" s="1"/>
  <c r="C17" i="7044"/>
  <c r="C16" i="7044"/>
  <c r="C15" i="7044"/>
  <c r="B13" i="7044"/>
  <c r="P12" i="7044"/>
  <c r="B12" i="7044"/>
  <c r="P11" i="7044"/>
  <c r="B11" i="7044"/>
  <c r="P10" i="7044"/>
  <c r="C10" i="7044"/>
  <c r="C9" i="7044"/>
  <c r="C8" i="7044"/>
  <c r="P7" i="7044"/>
  <c r="B7" i="7044"/>
  <c r="P6" i="7044"/>
  <c r="P5" i="7044"/>
  <c r="B5" i="7044"/>
  <c r="P4" i="7044"/>
  <c r="P3" i="7044"/>
  <c r="P2" i="7044"/>
  <c r="P15" i="7042"/>
  <c r="P19" i="7042"/>
  <c r="C35" i="7042"/>
  <c r="B30" i="7042"/>
  <c r="C21" i="7042"/>
  <c r="B20" i="7042"/>
  <c r="H52" i="7042" s="1"/>
  <c r="B19" i="7042"/>
  <c r="B29" i="7042" s="1"/>
  <c r="B18" i="7042"/>
  <c r="C18" i="7042" s="1"/>
  <c r="C17" i="7042"/>
  <c r="C16" i="7042"/>
  <c r="C15" i="7042"/>
  <c r="B13" i="7042"/>
  <c r="P12" i="7042"/>
  <c r="B12" i="7042"/>
  <c r="P11" i="7042"/>
  <c r="B11" i="7042"/>
  <c r="P10" i="7042"/>
  <c r="C10" i="7042"/>
  <c r="C9" i="7042"/>
  <c r="C8" i="7042"/>
  <c r="P7" i="7042"/>
  <c r="B7" i="7042"/>
  <c r="P6" i="7042"/>
  <c r="P5" i="7042"/>
  <c r="B5" i="7042"/>
  <c r="P4" i="7042"/>
  <c r="P3" i="7042"/>
  <c r="P2" i="7042"/>
  <c r="C19" i="7046" l="1"/>
  <c r="B14" i="7044"/>
  <c r="H12" i="7048"/>
  <c r="H16" i="7048"/>
  <c r="C26" i="7048"/>
  <c r="H44" i="7048"/>
  <c r="C44" i="7048"/>
  <c r="H4" i="7048"/>
  <c r="C20" i="7048"/>
  <c r="H30" i="7048"/>
  <c r="H45" i="7048"/>
  <c r="H8" i="7048"/>
  <c r="H11" i="7048"/>
  <c r="H18" i="7048"/>
  <c r="H48" i="7048"/>
  <c r="H5" i="7048"/>
  <c r="C48" i="7048"/>
  <c r="H22" i="7048"/>
  <c r="H2" i="7048"/>
  <c r="H14" i="7048"/>
  <c r="C22" i="7048"/>
  <c r="H36" i="7048"/>
  <c r="H49" i="7048"/>
  <c r="H6" i="7048"/>
  <c r="H9" i="7048"/>
  <c r="H15" i="7048"/>
  <c r="H19" i="7048"/>
  <c r="C25" i="7048"/>
  <c r="H37" i="7048"/>
  <c r="H26" i="7048"/>
  <c r="H40" i="7048"/>
  <c r="C40" i="7048"/>
  <c r="H41" i="7048"/>
  <c r="B14" i="7048"/>
  <c r="H11" i="7046"/>
  <c r="H8" i="7046"/>
  <c r="H24" i="7046"/>
  <c r="H14" i="7046"/>
  <c r="H22" i="7046"/>
  <c r="H20" i="7046"/>
  <c r="C39" i="7046"/>
  <c r="H2" i="7046"/>
  <c r="H40" i="7046"/>
  <c r="H7" i="7046"/>
  <c r="H21" i="7046"/>
  <c r="H29" i="7046"/>
  <c r="C24" i="7046"/>
  <c r="C19" i="7044"/>
  <c r="H13" i="7048"/>
  <c r="H23" i="7048"/>
  <c r="H27" i="7048"/>
  <c r="H31" i="7048"/>
  <c r="C37" i="7048"/>
  <c r="C41" i="7048"/>
  <c r="C45" i="7048"/>
  <c r="C49" i="7048"/>
  <c r="H17" i="7048"/>
  <c r="H20" i="7048"/>
  <c r="C23" i="7048"/>
  <c r="B27" i="7048"/>
  <c r="H32" i="7048"/>
  <c r="H38" i="7048"/>
  <c r="H42" i="7048"/>
  <c r="H46" i="7048"/>
  <c r="H50" i="7048"/>
  <c r="H24" i="7048"/>
  <c r="H28" i="7048"/>
  <c r="H33" i="7048"/>
  <c r="C38" i="7048"/>
  <c r="C42" i="7048"/>
  <c r="C46" i="7048"/>
  <c r="H51" i="7048"/>
  <c r="C24" i="7048"/>
  <c r="B28" i="7048"/>
  <c r="H34" i="7048"/>
  <c r="H39" i="7048"/>
  <c r="H43" i="7048"/>
  <c r="H47" i="7048"/>
  <c r="H3" i="7048"/>
  <c r="H21" i="7048"/>
  <c r="H25" i="7048"/>
  <c r="H29" i="7048"/>
  <c r="H35" i="7048"/>
  <c r="C39" i="7048"/>
  <c r="C43" i="7048"/>
  <c r="C47" i="7048"/>
  <c r="B14" i="7042"/>
  <c r="B14" i="7046"/>
  <c r="H23" i="7046"/>
  <c r="C26" i="7046"/>
  <c r="H41" i="7046"/>
  <c r="H43" i="7046"/>
  <c r="H33" i="7046"/>
  <c r="C45" i="7046"/>
  <c r="H3" i="7046"/>
  <c r="H25" i="7046"/>
  <c r="C20" i="7046"/>
  <c r="H35" i="7046"/>
  <c r="H47" i="7046"/>
  <c r="C47" i="7046"/>
  <c r="C25" i="7046"/>
  <c r="H36" i="7046"/>
  <c r="C41" i="7046"/>
  <c r="H48" i="7046"/>
  <c r="H49" i="7046"/>
  <c r="H4" i="7046"/>
  <c r="H15" i="7046"/>
  <c r="H28" i="7046"/>
  <c r="H17" i="7046"/>
  <c r="C43" i="7046"/>
  <c r="C49" i="7046"/>
  <c r="H9" i="7046"/>
  <c r="H26" i="7046"/>
  <c r="B28" i="7046"/>
  <c r="C37" i="7046"/>
  <c r="H44" i="7046"/>
  <c r="H5" i="7046"/>
  <c r="H6" i="7046"/>
  <c r="C22" i="7046"/>
  <c r="H32" i="7046"/>
  <c r="H39" i="7046"/>
  <c r="H45" i="7046"/>
  <c r="H52" i="7046"/>
  <c r="H27" i="7046"/>
  <c r="H13" i="7046"/>
  <c r="H31" i="7046"/>
  <c r="H18" i="7046"/>
  <c r="H37" i="7046"/>
  <c r="C40" i="7046"/>
  <c r="C44" i="7046"/>
  <c r="C48" i="7046"/>
  <c r="H16" i="7046"/>
  <c r="H12" i="7046"/>
  <c r="C23" i="7046"/>
  <c r="B27" i="7046"/>
  <c r="H19" i="7046"/>
  <c r="H38" i="7046"/>
  <c r="H42" i="7046"/>
  <c r="H46" i="7046"/>
  <c r="H50" i="7046"/>
  <c r="H30" i="7046"/>
  <c r="H10" i="7046"/>
  <c r="H34" i="7046"/>
  <c r="C38" i="7046"/>
  <c r="C42" i="7046"/>
  <c r="C46" i="7046"/>
  <c r="H2" i="7042"/>
  <c r="C19" i="7042"/>
  <c r="C20" i="7044"/>
  <c r="H4" i="7044"/>
  <c r="H26" i="7044"/>
  <c r="H8" i="7044"/>
  <c r="H33" i="7044"/>
  <c r="C38" i="7044"/>
  <c r="C42" i="7044"/>
  <c r="C46" i="7044"/>
  <c r="H51" i="7044"/>
  <c r="H2" i="7044"/>
  <c r="H7" i="7044"/>
  <c r="H16" i="7044"/>
  <c r="H20" i="7044"/>
  <c r="C24" i="7044"/>
  <c r="B28" i="7044"/>
  <c r="H34" i="7044"/>
  <c r="H39" i="7044"/>
  <c r="H43" i="7044"/>
  <c r="H47" i="7044"/>
  <c r="H5" i="7044"/>
  <c r="H23" i="7044"/>
  <c r="H13" i="7044"/>
  <c r="H29" i="7044"/>
  <c r="H35" i="7044"/>
  <c r="C39" i="7044"/>
  <c r="C43" i="7044"/>
  <c r="C47" i="7044"/>
  <c r="H52" i="7044"/>
  <c r="H14" i="7044"/>
  <c r="H17" i="7044"/>
  <c r="C25" i="7044"/>
  <c r="H40" i="7044"/>
  <c r="H44" i="7044"/>
  <c r="H48" i="7044"/>
  <c r="H12" i="7044"/>
  <c r="H9" i="7044"/>
  <c r="H21" i="7044"/>
  <c r="H24" i="7044"/>
  <c r="H27" i="7044"/>
  <c r="H30" i="7044"/>
  <c r="H36" i="7044"/>
  <c r="C40" i="7044"/>
  <c r="C44" i="7044"/>
  <c r="C48" i="7044"/>
  <c r="H3" i="7044"/>
  <c r="H18" i="7044"/>
  <c r="C22" i="7044"/>
  <c r="C26" i="7044"/>
  <c r="H37" i="7044"/>
  <c r="H41" i="7044"/>
  <c r="H45" i="7044"/>
  <c r="H49" i="7044"/>
  <c r="H6" i="7044"/>
  <c r="H10" i="7044"/>
  <c r="H15" i="7044"/>
  <c r="H25" i="7044"/>
  <c r="H28" i="7044"/>
  <c r="H31" i="7044"/>
  <c r="C37" i="7044"/>
  <c r="C41" i="7044"/>
  <c r="C45" i="7044"/>
  <c r="C49" i="7044"/>
  <c r="H11" i="7044"/>
  <c r="H19" i="7044"/>
  <c r="H22" i="7044"/>
  <c r="C23" i="7044"/>
  <c r="B27" i="7044"/>
  <c r="H32" i="7044"/>
  <c r="H38" i="7044"/>
  <c r="H42" i="7044"/>
  <c r="H46" i="7044"/>
  <c r="H4" i="7042"/>
  <c r="H25" i="7042"/>
  <c r="H10" i="7042"/>
  <c r="H11" i="7042"/>
  <c r="C20" i="7042"/>
  <c r="H7" i="7042"/>
  <c r="H27" i="7042"/>
  <c r="C25" i="7042"/>
  <c r="H41" i="7042"/>
  <c r="H45" i="7042"/>
  <c r="H49" i="7042"/>
  <c r="H29" i="7042"/>
  <c r="H15" i="7042"/>
  <c r="H33" i="7042"/>
  <c r="H17" i="7042"/>
  <c r="H38" i="7042"/>
  <c r="C40" i="7042"/>
  <c r="C44" i="7042"/>
  <c r="C48" i="7042"/>
  <c r="H3" i="7042"/>
  <c r="H28" i="7042"/>
  <c r="C22" i="7042"/>
  <c r="C26" i="7042"/>
  <c r="H24" i="7042"/>
  <c r="H42" i="7042"/>
  <c r="H46" i="7042"/>
  <c r="H50" i="7042"/>
  <c r="H6" i="7042"/>
  <c r="H12" i="7042"/>
  <c r="H19" i="7042"/>
  <c r="H31" i="7042"/>
  <c r="H21" i="7042"/>
  <c r="H34" i="7042"/>
  <c r="C37" i="7042"/>
  <c r="C41" i="7042"/>
  <c r="C45" i="7042"/>
  <c r="C49" i="7042"/>
  <c r="H8" i="7042"/>
  <c r="H16" i="7042"/>
  <c r="H13" i="7042"/>
  <c r="C23" i="7042"/>
  <c r="B27" i="7042"/>
  <c r="H23" i="7042"/>
  <c r="H39" i="7042"/>
  <c r="H43" i="7042"/>
  <c r="H47" i="7042"/>
  <c r="H51" i="7042"/>
  <c r="H32" i="7042"/>
  <c r="H9" i="7042"/>
  <c r="H35" i="7042"/>
  <c r="C38" i="7042"/>
  <c r="C42" i="7042"/>
  <c r="C46" i="7042"/>
  <c r="H18" i="7042"/>
  <c r="H26" i="7042"/>
  <c r="H20" i="7042"/>
  <c r="C24" i="7042"/>
  <c r="B28" i="7042"/>
  <c r="H36" i="7042"/>
  <c r="H40" i="7042"/>
  <c r="H44" i="7042"/>
  <c r="H48" i="7042"/>
  <c r="H5" i="7042"/>
  <c r="H30" i="7042"/>
  <c r="H14" i="7042"/>
  <c r="H22" i="7042"/>
  <c r="H37" i="7042"/>
  <c r="C39" i="7042"/>
  <c r="C43" i="7042"/>
  <c r="C47" i="704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<sst xmlns="http://schemas.openxmlformats.org/spreadsheetml/2006/main" count="1666" uniqueCount="225">
  <si>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</si>
  <si>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</si>
  <si>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</si>
  <si>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</si>
  <si>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</si>
  <si>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</si>
  <si>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</si>
  <si>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</si>
  <si>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</si>
  <si>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</si>
  <si>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</si>
  <si>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</si>
  <si>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</si>
  <si>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</si>
  <si>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</si>
  <si>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</si>
  <si>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</si>
  <si>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</si>
  <si>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</si>
  <si>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</si>
  <si>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</si>
  <si>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</si>
  <si>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</si>
  <si>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</si>
  <si>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</si>
  <si>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</si>
  <si>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</si>
  <si>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</si>
  <si>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</si>
  <si>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</si>
  <si>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</si>
  <si>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</si>
  <si>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</si>
  <si>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</si>
  <si>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</si>
  <si>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</si>
  <si>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</si>
  <si>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</si>
  <si>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</si>
  <si>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</si>
  <si>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</si>
  <si>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</si>
  <si>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</si>
  <si>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</si>
  <si>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</si>
  <si>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</si>
  <si>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</si>
  <si>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</si>
  <si>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</si>
  <si>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</si>
  <si>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</si>
  <si>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</si>
  <si>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</si>
  <si>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</si>
  <si>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</si>
  <si>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</si>
  <si>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</si>
  <si>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</si>
  <si>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</si>
  <si>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</si>
  <si>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</si>
  <si>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</si>
  <si>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</si>
  <si>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</si>
  <si>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</si>
  <si>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</si>
  <si>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</si>
  <si>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</si>
  <si>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</si>
  <si>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</si>
  <si>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</si>
  <si>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</si>
  <si>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</si>
  <si>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</si>
  <si>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</si>
  <si>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</si>
  <si>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</si>
  <si>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</si>
  <si>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</si>
  <si>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</si>
  <si>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</si>
  <si>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</si>
  <si>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</si>
  <si>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</si>
  <si>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</si>
  <si>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</si>
  <si>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</si>
  <si>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</si>
  <si>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</si>
  <si>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</si>
  <si>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</si>
  <si>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</si>
  <si>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</si>
  <si>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</si>
  <si>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</si>
  <si>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</si>
  <si>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</si>
  <si>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</si>
  <si>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</si>
  <si>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</si>
  <si>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</si>
  <si>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</si>
  <si>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</si>
  <si>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</si>
  <si>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</si>
  <si>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</si>
  <si>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</si>
  <si>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</si>
  <si>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</si>
  <si>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</si>
  <si>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</si>
  <si>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</si>
  <si>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</si>
  <si>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</si>
  <si>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</si>
  <si>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</si>
  <si>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</si>
  <si>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</si>
  <si>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</si>
  <si>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</si>
  <si>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</si>
  <si>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</si>
  <si>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</si>
  <si>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</si>
  <si>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</si>
  <si>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</si>
  <si>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</si>
  <si>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</si>
  <si>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</si>
  <si>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</si>
  <si>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</si>
  <si>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</si>
  <si>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</si>
  <si>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</si>
  <si>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</si>
  <si>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</si>
  <si>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</si>
  <si>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</si>
  <si>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</si>
  <si>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</si>
  <si>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</si>
  <si>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</si>
  <si>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</si>
  <si>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</si>
  <si>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</si>
  <si>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</si>
  <si>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</si>
  <si>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</si>
  <si>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</si>
  <si>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</si>
  <si>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</si>
  <si>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</si>
  <si>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</si>
  <si>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</si>
  <si>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</si>
  <si>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</si>
  <si>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</si>
  <si>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</si>
  <si>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</si>
  <si>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</si>
  <si>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</si>
  <si>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</si>
  <si>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</si>
  <si>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</si>
  <si>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</si>
  <si>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</si>
  <si>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</si>
  <si>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</si>
  <si>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</si>
  <si>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</si>
  <si>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</si>
  <si>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</si>
  <si>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</si>
  <si>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</si>
  <si>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</si>
  <si>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</si>
  <si>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</si>
  <si>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</si>
  <si>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</si>
  <si>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</si>
  <si>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</si>
  <si>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</si>
  <si>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</si>
  <si>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</si>
  <si>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</si>
  <si>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</si>
  <si>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</si>
  <si>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</si>
  <si>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</si>
  <si>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</si>
  <si>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</si>
  <si>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</si>
  <si>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</si>
  <si>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</si>
  <si>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</si>
  <si>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</si>
  <si>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</si>
  <si>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</si>
  <si>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</si>
  <si>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</si>
  <si>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</si>
  <si>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</si>
  <si>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</si>
  <si>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</si>
  <si>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</si>
  <si>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</si>
  <si>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</si>
  <si>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</si>
  <si>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</si>
  <si>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</si>
  <si>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</si>
  <si>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</si>
  <si>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</si>
  <si>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</si>
  <si>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2021-02-13@Ina.xlsm</t>
  </si>
  <si>
    <t>Sheet4</t>
  </si>
  <si>
    <t>Sheet5</t>
  </si>
  <si>
    <t>Sheet6</t>
  </si>
  <si>
    <t>2021-05-01@Ina.xlsm</t>
  </si>
  <si>
    <t>2022-03-13@Kohama.xlsm</t>
  </si>
  <si>
    <t>りくと</t>
    <phoneticPr fontId="1"/>
  </si>
  <si>
    <t>Sheet7</t>
  </si>
  <si>
    <t>Sheet8</t>
  </si>
  <si>
    <t>Sheet9</t>
  </si>
  <si>
    <t>Sheet10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</si>
</sst>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1.xml"/><Relationship Id="rId26" Type="http://schemas.openxmlformats.org/officeDocument/2006/relationships/chartsheet" Target="chartsheets/sheet9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4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8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3.xml"/><Relationship Id="rId29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7.xml"/><Relationship Id="rId32" Type="http://schemas.openxmlformats.org/officeDocument/2006/relationships/chartsheet" Target="chartsheets/sheet15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6.xml"/><Relationship Id="rId28" Type="http://schemas.openxmlformats.org/officeDocument/2006/relationships/chartsheet" Target="chartsheets/sheet1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2.xml"/><Relationship Id="rId31" Type="http://schemas.openxmlformats.org/officeDocument/2006/relationships/chartsheet" Target="chartsheets/sheet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5.xml"/><Relationship Id="rId27" Type="http://schemas.openxmlformats.org/officeDocument/2006/relationships/chartsheet" Target="chartsheets/sheet10.xml"/><Relationship Id="rId30" Type="http://schemas.openxmlformats.org/officeDocument/2006/relationships/chartsheet" Target="chartsheets/sheet13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全体!$L$2:$L$59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50.6</c:v>
                </c:pt>
                <c:pt idx="2">
                  <c:v>46</c:v>
                </c:pt>
                <c:pt idx="3">
                  <c:v>0</c:v>
                </c:pt>
                <c:pt idx="4">
                  <c:v>3.7</c:v>
                </c:pt>
                <c:pt idx="5">
                  <c:v>50.900000000000006</c:v>
                </c:pt>
                <c:pt idx="6">
                  <c:v>7.1054273576010019E-15</c:v>
                </c:pt>
                <c:pt idx="7">
                  <c:v>-5.2999999999999927</c:v>
                </c:pt>
                <c:pt idx="8">
                  <c:v>16.500000000000007</c:v>
                </c:pt>
                <c:pt idx="9">
                  <c:v>7.1054273576010019E-15</c:v>
                </c:pt>
                <c:pt idx="10">
                  <c:v>18.000000000000007</c:v>
                </c:pt>
                <c:pt idx="11">
                  <c:v>21.600000000000009</c:v>
                </c:pt>
                <c:pt idx="12">
                  <c:v>7.1054273576010019E-15</c:v>
                </c:pt>
                <c:pt idx="13">
                  <c:v>16.900000000000006</c:v>
                </c:pt>
                <c:pt idx="14">
                  <c:v>18.100000000000005</c:v>
                </c:pt>
                <c:pt idx="15">
                  <c:v>3.5527136788005009E-15</c:v>
                </c:pt>
                <c:pt idx="16">
                  <c:v>76.5</c:v>
                </c:pt>
                <c:pt idx="17">
                  <c:v>46</c:v>
                </c:pt>
                <c:pt idx="18">
                  <c:v>0</c:v>
                </c:pt>
                <c:pt idx="19">
                  <c:v>-51.2</c:v>
                </c:pt>
                <c:pt idx="20">
                  <c:v>-52.6</c:v>
                </c:pt>
                <c:pt idx="21">
                  <c:v>0</c:v>
                </c:pt>
                <c:pt idx="22">
                  <c:v>51.1</c:v>
                </c:pt>
                <c:pt idx="23">
                  <c:v>38.299999999999997</c:v>
                </c:pt>
                <c:pt idx="24">
                  <c:v>0</c:v>
                </c:pt>
                <c:pt idx="25">
                  <c:v>-21.2</c:v>
                </c:pt>
                <c:pt idx="26">
                  <c:v>-28.299999999999997</c:v>
                </c:pt>
                <c:pt idx="27">
                  <c:v>3.5527136788005009E-15</c:v>
                </c:pt>
                <c:pt idx="28">
                  <c:v>-24.299999999999997</c:v>
                </c:pt>
                <c:pt idx="29">
                  <c:v>4.6000000000000014</c:v>
                </c:pt>
                <c:pt idx="30">
                  <c:v>1.7763568394002505E-15</c:v>
                </c:pt>
                <c:pt idx="31">
                  <c:v>20</c:v>
                </c:pt>
                <c:pt idx="32">
                  <c:v>19.399999999999999</c:v>
                </c:pt>
                <c:pt idx="33">
                  <c:v>0</c:v>
                </c:pt>
                <c:pt idx="34">
                  <c:v>-18.600000000000001</c:v>
                </c:pt>
                <c:pt idx="35">
                  <c:v>-57.800000000000004</c:v>
                </c:pt>
                <c:pt idx="36">
                  <c:v>-7.1054273576010019E-15</c:v>
                </c:pt>
                <c:pt idx="37">
                  <c:v>-22.600000000000009</c:v>
                </c:pt>
                <c:pt idx="38">
                  <c:v>-20.20000000000001</c:v>
                </c:pt>
                <c:pt idx="39">
                  <c:v>-1.0658141036401503E-14</c:v>
                </c:pt>
                <c:pt idx="40">
                  <c:v>-40.800000000000011</c:v>
                </c:pt>
                <c:pt idx="41">
                  <c:v>-43.300000000000011</c:v>
                </c:pt>
                <c:pt idx="42">
                  <c:v>-1.4210854715202004E-14</c:v>
                </c:pt>
                <c:pt idx="43">
                  <c:v>-47.500000000000014</c:v>
                </c:pt>
                <c:pt idx="44">
                  <c:v>-56.800000000000011</c:v>
                </c:pt>
                <c:pt idx="45">
                  <c:v>-1.4210854715202004E-14</c:v>
                </c:pt>
                <c:pt idx="46">
                  <c:v>57.599999999999987</c:v>
                </c:pt>
                <c:pt idx="47">
                  <c:v>11.599999999999987</c:v>
                </c:pt>
                <c:pt idx="48">
                  <c:v>-1.2434497875801753E-14</c:v>
                </c:pt>
                <c:pt idx="49">
                  <c:v>-27.600000000000016</c:v>
                </c:pt>
                <c:pt idx="50">
                  <c:v>-1.6000000000000156</c:v>
                </c:pt>
                <c:pt idx="51">
                  <c:v>-1.5543122344752192E-14</c:v>
                </c:pt>
                <c:pt idx="52">
                  <c:v>-28.600000000000016</c:v>
                </c:pt>
                <c:pt idx="53">
                  <c:v>14.799999999999983</c:v>
                </c:pt>
                <c:pt idx="54">
                  <c:v>-1.7763568394002505E-14</c:v>
                </c:pt>
                <c:pt idx="55">
                  <c:v>10.299999999999983</c:v>
                </c:pt>
                <c:pt idx="56">
                  <c:v>-22.40000000000002</c:v>
                </c:pt>
                <c:pt idx="57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7-4A3D-9DA9-9111EFA6C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-19.607843137254903</c:v>
                </c:pt>
                <c:pt idx="3">
                  <c:v>-19.607843137254903</c:v>
                </c:pt>
                <c:pt idx="4">
                  <c:v>-22.222222222222221</c:v>
                </c:pt>
                <c:pt idx="5">
                  <c:v>55.555555555555557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61-417C-984B-84332A3A9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21</c:v>
                </c:pt>
                <c:pt idx="2">
                  <c:v>18</c:v>
                </c:pt>
                <c:pt idx="3">
                  <c:v>28</c:v>
                </c:pt>
                <c:pt idx="4">
                  <c:v>25</c:v>
                </c:pt>
                <c:pt idx="5">
                  <c:v>11</c:v>
                </c:pt>
                <c:pt idx="6">
                  <c:v>6</c:v>
                </c:pt>
                <c:pt idx="7">
                  <c:v>5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2-4BC6-AAA7-9846575AE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全体!$M$2:$M$59</c:f>
              <c:numCache>
                <c:formatCode>0</c:formatCode>
                <c:ptCount val="58"/>
                <c:pt idx="0">
                  <c:v>1604.9485979299698</c:v>
                </c:pt>
                <c:pt idx="1">
                  <c:v>1613.4269063423899</c:v>
                </c:pt>
                <c:pt idx="2">
                  <c:v>1611.9183449043355</c:v>
                </c:pt>
                <c:pt idx="3">
                  <c:v>1602.9668348349096</c:v>
                </c:pt>
                <c:pt idx="4">
                  <c:v>1603.6630338259001</c:v>
                </c:pt>
                <c:pt idx="5">
                  <c:v>1612.1850556229447</c:v>
                </c:pt>
                <c:pt idx="6">
                  <c:v>1602.9979452892071</c:v>
                </c:pt>
                <c:pt idx="7">
                  <c:v>1602.0739576174719</c:v>
                </c:pt>
                <c:pt idx="8">
                  <c:v>1606.0335138717671</c:v>
                </c:pt>
                <c:pt idx="9">
                  <c:v>1603.0753127885366</c:v>
                </c:pt>
                <c:pt idx="10">
                  <c:v>1606.4528609118054</c:v>
                </c:pt>
                <c:pt idx="11">
                  <c:v>1607.2181437463346</c:v>
                </c:pt>
                <c:pt idx="12">
                  <c:v>1603.4428348838567</c:v>
                </c:pt>
                <c:pt idx="13">
                  <c:v>1606.8361778745536</c:v>
                </c:pt>
                <c:pt idx="14">
                  <c:v>1607.3831608073062</c:v>
                </c:pt>
                <c:pt idx="15">
                  <c:v>1604.4528618424624</c:v>
                </c:pt>
                <c:pt idx="16">
                  <c:v>1618.5681446714077</c:v>
                </c:pt>
                <c:pt idx="17">
                  <c:v>1613.3387358033792</c:v>
                </c:pt>
                <c:pt idx="18">
                  <c:v>1605.3507033885589</c:v>
                </c:pt>
                <c:pt idx="19">
                  <c:v>1596.4745991682275</c:v>
                </c:pt>
                <c:pt idx="20">
                  <c:v>1596.6157515732182</c:v>
                </c:pt>
                <c:pt idx="21">
                  <c:v>1606.4760570637789</c:v>
                </c:pt>
                <c:pt idx="22">
                  <c:v>1616.0072007213962</c:v>
                </c:pt>
                <c:pt idx="23">
                  <c:v>1613.9791575170677</c:v>
                </c:pt>
                <c:pt idx="24">
                  <c:v>1607.3732825719653</c:v>
                </c:pt>
                <c:pt idx="25">
                  <c:v>1603.8850428765336</c:v>
                </c:pt>
                <c:pt idx="26">
                  <c:v>1602.9557326192744</c:v>
                </c:pt>
                <c:pt idx="27">
                  <c:v>1608.4039982235588</c:v>
                </c:pt>
                <c:pt idx="28">
                  <c:v>1604.1235742342174</c:v>
                </c:pt>
                <c:pt idx="29">
                  <c:v>1609.4448327888122</c:v>
                </c:pt>
                <c:pt idx="30">
                  <c:v>1608.7041637920793</c:v>
                </c:pt>
                <c:pt idx="31">
                  <c:v>1612.1499388093268</c:v>
                </c:pt>
                <c:pt idx="32">
                  <c:v>1611.8670391764708</c:v>
                </c:pt>
                <c:pt idx="33">
                  <c:v>1608.201836941412</c:v>
                </c:pt>
                <c:pt idx="34">
                  <c:v>1604.7026259197635</c:v>
                </c:pt>
                <c:pt idx="35">
                  <c:v>1597.5164101642449</c:v>
                </c:pt>
                <c:pt idx="36">
                  <c:v>1607.8333117032594</c:v>
                </c:pt>
                <c:pt idx="37">
                  <c:v>1603.6163118330398</c:v>
                </c:pt>
                <c:pt idx="38">
                  <c:v>1603.9246139620416</c:v>
                </c:pt>
                <c:pt idx="39">
                  <c:v>1607.4350662782692</c:v>
                </c:pt>
                <c:pt idx="40">
                  <c:v>1599.9444558805997</c:v>
                </c:pt>
                <c:pt idx="41">
                  <c:v>1599.3927891453161</c:v>
                </c:pt>
                <c:pt idx="42">
                  <c:v>1607.0884324104443</c:v>
                </c:pt>
                <c:pt idx="43">
                  <c:v>1598.3939018159815</c:v>
                </c:pt>
                <c:pt idx="44">
                  <c:v>1596.6275384050857</c:v>
                </c:pt>
                <c:pt idx="45">
                  <c:v>1606.7697731746553</c:v>
                </c:pt>
                <c:pt idx="46">
                  <c:v>1616.9951545356073</c:v>
                </c:pt>
                <c:pt idx="47">
                  <c:v>1608.5111836083936</c:v>
                </c:pt>
                <c:pt idx="48">
                  <c:v>1606.2701165067433</c:v>
                </c:pt>
                <c:pt idx="49">
                  <c:v>1601.162495807703</c:v>
                </c:pt>
                <c:pt idx="50">
                  <c:v>1605.7335208328568</c:v>
                </c:pt>
                <c:pt idx="51">
                  <c:v>1605.8851197078598</c:v>
                </c:pt>
                <c:pt idx="52">
                  <c:v>1600.5998089896127</c:v>
                </c:pt>
                <c:pt idx="53">
                  <c:v>1608.306210135675</c:v>
                </c:pt>
                <c:pt idx="54">
                  <c:v>1605.4903728748609</c:v>
                </c:pt>
                <c:pt idx="55">
                  <c:v>1607.2094306376118</c:v>
                </c:pt>
                <c:pt idx="56">
                  <c:v>1601.1781740537861</c:v>
                </c:pt>
                <c:pt idx="57">
                  <c:v>1605.1011050094633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7D-4454-B7B0-667CF9DC3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れんたろう!$L$2:$L$11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50.6</c:v>
                </c:pt>
                <c:pt idx="2">
                  <c:v>54.300000000000004</c:v>
                </c:pt>
                <c:pt idx="3">
                  <c:v>49.000000000000007</c:v>
                </c:pt>
                <c:pt idx="4">
                  <c:v>27.400000000000006</c:v>
                </c:pt>
                <c:pt idx="5">
                  <c:v>28.600000000000005</c:v>
                </c:pt>
                <c:pt idx="6">
                  <c:v>-1.899999999999995</c:v>
                </c:pt>
                <c:pt idx="7">
                  <c:v>-3.2999999999999949</c:v>
                </c:pt>
                <c:pt idx="8">
                  <c:v>47.800000000000004</c:v>
                </c:pt>
                <c:pt idx="9">
                  <c:v>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EF-4A8F-8E91-37768DCC1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4322.2222222222226</c:v>
                </c:pt>
                <c:pt idx="1">
                  <c:v>-1333.3333333333333</c:v>
                </c:pt>
                <c:pt idx="2">
                  <c:v>-585.71428571428567</c:v>
                </c:pt>
                <c:pt idx="3">
                  <c:v>3485.7142857142858</c:v>
                </c:pt>
                <c:pt idx="4">
                  <c:v>650</c:v>
                </c:pt>
                <c:pt idx="5">
                  <c:v>-4125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9-42BE-A819-220E72072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8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C-4907-A912-6102797EE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れんたろう!$M$2:$M$11</c:f>
              <c:numCache>
                <c:formatCode>0</c:formatCode>
                <c:ptCount val="10"/>
                <c:pt idx="0">
                  <c:v>1605.0170841089816</c:v>
                </c:pt>
                <c:pt idx="1">
                  <c:v>1613.4949816043277</c:v>
                </c:pt>
                <c:pt idx="2">
                  <c:v>1614.1280117147016</c:v>
                </c:pt>
                <c:pt idx="3">
                  <c:v>1613.1372436444135</c:v>
                </c:pt>
                <c:pt idx="4">
                  <c:v>1609.3264201825471</c:v>
                </c:pt>
                <c:pt idx="5">
                  <c:v>1609.8584616614519</c:v>
                </c:pt>
                <c:pt idx="6">
                  <c:v>1604.6813108914832</c:v>
                </c:pt>
                <c:pt idx="7">
                  <c:v>1604.7732230261342</c:v>
                </c:pt>
                <c:pt idx="8">
                  <c:v>1614.3145836879773</c:v>
                </c:pt>
                <c:pt idx="9">
                  <c:v>1613.3226961858495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17-48F1-97D7-1ED986A50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だいち!$L$2:$L$21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-4.5999999999999996</c:v>
                </c:pt>
                <c:pt idx="2">
                  <c:v>42.6</c:v>
                </c:pt>
                <c:pt idx="3">
                  <c:v>64.400000000000006</c:v>
                </c:pt>
                <c:pt idx="4">
                  <c:v>82.4</c:v>
                </c:pt>
                <c:pt idx="5">
                  <c:v>99.300000000000011</c:v>
                </c:pt>
                <c:pt idx="6">
                  <c:v>175.8</c:v>
                </c:pt>
                <c:pt idx="7">
                  <c:v>124.60000000000001</c:v>
                </c:pt>
                <c:pt idx="8">
                  <c:v>86.300000000000011</c:v>
                </c:pt>
                <c:pt idx="9">
                  <c:v>65.100000000000009</c:v>
                </c:pt>
                <c:pt idx="10">
                  <c:v>60.500000000000007</c:v>
                </c:pt>
                <c:pt idx="11">
                  <c:v>41.100000000000009</c:v>
                </c:pt>
                <c:pt idx="12">
                  <c:v>98.9</c:v>
                </c:pt>
                <c:pt idx="13">
                  <c:v>119.10000000000001</c:v>
                </c:pt>
                <c:pt idx="14">
                  <c:v>162.4</c:v>
                </c:pt>
                <c:pt idx="15">
                  <c:v>219.2</c:v>
                </c:pt>
                <c:pt idx="16">
                  <c:v>207.6</c:v>
                </c:pt>
                <c:pt idx="17">
                  <c:v>209.2</c:v>
                </c:pt>
                <c:pt idx="18">
                  <c:v>194.39999999999998</c:v>
                </c:pt>
                <c:pt idx="19">
                  <c:v>216.79999999999998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D2-4943-9D2D-89D68FD3D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957.89473684210532</c:v>
                </c:pt>
                <c:pt idx="1">
                  <c:v>5873.6842105263158</c:v>
                </c:pt>
                <c:pt idx="2">
                  <c:v>288.23529411764707</c:v>
                </c:pt>
                <c:pt idx="3">
                  <c:v>-423.52941176470586</c:v>
                </c:pt>
                <c:pt idx="4">
                  <c:v>1006.6666666666666</c:v>
                </c:pt>
                <c:pt idx="5">
                  <c:v>1183.3333333333333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E-4084-9697-4B683DBDF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9</c:v>
                </c:pt>
                <c:pt idx="3">
                  <c:v>10</c:v>
                </c:pt>
                <c:pt idx="4">
                  <c:v>13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E-4B94-933B-BF1E26CFC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だいち!$M$2:$M$21</c:f>
              <c:numCache>
                <c:formatCode>0</c:formatCode>
                <c:ptCount val="20"/>
                <c:pt idx="0">
                  <c:v>1758.0662353696366</c:v>
                </c:pt>
                <c:pt idx="1">
                  <c:v>1755.6898379574188</c:v>
                </c:pt>
                <c:pt idx="2">
                  <c:v>1763.2996989296744</c:v>
                </c:pt>
                <c:pt idx="3">
                  <c:v>1766.2919007360963</c:v>
                </c:pt>
                <c:pt idx="4">
                  <c:v>1768.6901493316798</c:v>
                </c:pt>
                <c:pt idx="5">
                  <c:v>1771.0920084356896</c:v>
                </c:pt>
                <c:pt idx="6">
                  <c:v>1784.2074563850756</c:v>
                </c:pt>
                <c:pt idx="7">
                  <c:v>1774.2582116467652</c:v>
                </c:pt>
                <c:pt idx="8">
                  <c:v>1766.6906623768846</c:v>
                </c:pt>
                <c:pt idx="9">
                  <c:v>1762.2465184026232</c:v>
                </c:pt>
                <c:pt idx="10">
                  <c:v>1760.5890392922074</c:v>
                </c:pt>
                <c:pt idx="11">
                  <c:v>1756.0315050564541</c:v>
                </c:pt>
                <c:pt idx="12">
                  <c:v>1765.3973160261153</c:v>
                </c:pt>
                <c:pt idx="13">
                  <c:v>1767.9389321299586</c:v>
                </c:pt>
                <c:pt idx="14">
                  <c:v>1774.6232985371789</c:v>
                </c:pt>
                <c:pt idx="15">
                  <c:v>1783.6975587459558</c:v>
                </c:pt>
                <c:pt idx="16">
                  <c:v>1780.40537339348</c:v>
                </c:pt>
                <c:pt idx="17">
                  <c:v>1779.5089411531192</c:v>
                </c:pt>
                <c:pt idx="18">
                  <c:v>1775.6658875062005</c:v>
                </c:pt>
                <c:pt idx="19">
                  <c:v>1778.5418921811633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8-4E7C-B34E-C19ECCA1D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9C-410A-B18C-0B3A7D323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-7666.666666666667</c:v>
                </c:pt>
                <c:pt idx="1">
                  <c:v>-12733.333333333334</c:v>
                </c:pt>
                <c:pt idx="2">
                  <c:v>-5200</c:v>
                </c:pt>
                <c:pt idx="3">
                  <c:v>-1900</c:v>
                </c:pt>
                <c:pt idx="4">
                  <c:v>-4000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CF-40E9-AAFF-AD10A9BBE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97-4187-8A8C-73EF15A05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ともき!$M$2:$M$5</c:f>
              <c:numCache>
                <c:formatCode>0</c:formatCode>
                <c:ptCount val="4"/>
                <c:pt idx="0">
                  <c:v>1463.4239467393418</c:v>
                </c:pt>
                <c:pt idx="1">
                  <c:v>1455.3634030589058</c:v>
                </c:pt>
                <c:pt idx="2">
                  <c:v>1447.1172226405524</c:v>
                </c:pt>
                <c:pt idx="3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9-49AC-BD6E-4E31AF66F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3.6</c:v>
                </c:pt>
                <c:pt idx="2">
                  <c:v>-14.500000000000002</c:v>
                </c:pt>
                <c:pt idx="3">
                  <c:v>-60.5</c:v>
                </c:pt>
                <c:pt idx="4">
                  <c:v>-7.8999999999999986</c:v>
                </c:pt>
                <c:pt idx="5">
                  <c:v>-20.7</c:v>
                </c:pt>
                <c:pt idx="6">
                  <c:v>7.6000000000000014</c:v>
                </c:pt>
                <c:pt idx="7">
                  <c:v>36.5</c:v>
                </c:pt>
                <c:pt idx="8">
                  <c:v>35.9</c:v>
                </c:pt>
                <c:pt idx="9">
                  <c:v>-3.3000000000000043</c:v>
                </c:pt>
                <c:pt idx="10">
                  <c:v>-0.90000000000000435</c:v>
                </c:pt>
                <c:pt idx="11">
                  <c:v>-3.4000000000000044</c:v>
                </c:pt>
                <c:pt idx="12">
                  <c:v>-12.700000000000005</c:v>
                </c:pt>
                <c:pt idx="13">
                  <c:v>-58.7</c:v>
                </c:pt>
                <c:pt idx="14">
                  <c:v>-32.700000000000003</c:v>
                </c:pt>
                <c:pt idx="15">
                  <c:v>10.699999999999996</c:v>
                </c:pt>
                <c:pt idx="16">
                  <c:v>-22.000000000000007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1F-46D5-BDCF-8B651E8AF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-450</c:v>
                </c:pt>
                <c:pt idx="1">
                  <c:v>-193.75</c:v>
                </c:pt>
                <c:pt idx="2">
                  <c:v>693.33333333333337</c:v>
                </c:pt>
                <c:pt idx="3">
                  <c:v>-2813.3333333333335</c:v>
                </c:pt>
                <c:pt idx="4">
                  <c:v>2815.3846153846152</c:v>
                </c:pt>
                <c:pt idx="5">
                  <c:v>-1945.4545454545455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62-4A28-9ADC-CA1B5182C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2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8F-4274-A0C1-AD554C70A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ただ!$M$2:$M$18</c:f>
              <c:numCache>
                <c:formatCode>0</c:formatCode>
                <c:ptCount val="17"/>
                <c:pt idx="0">
                  <c:v>1606.4452616651972</c:v>
                </c:pt>
                <c:pt idx="1">
                  <c:v>1607.210590095206</c:v>
                </c:pt>
                <c:pt idx="2">
                  <c:v>1604.2813265546349</c:v>
                </c:pt>
                <c:pt idx="3">
                  <c:v>1596.3476385953072</c:v>
                </c:pt>
                <c:pt idx="4">
                  <c:v>1606.2095527637355</c:v>
                </c:pt>
                <c:pt idx="5">
                  <c:v>1604.2402954471531</c:v>
                </c:pt>
                <c:pt idx="6">
                  <c:v>1609.6808536744702</c:v>
                </c:pt>
                <c:pt idx="7">
                  <c:v>1614.9687685524234</c:v>
                </c:pt>
                <c:pt idx="8">
                  <c:v>1614.6689559411088</c:v>
                </c:pt>
                <c:pt idx="9">
                  <c:v>1607.4229422054623</c:v>
                </c:pt>
                <c:pt idx="10">
                  <c:v>1607.7084045522295</c:v>
                </c:pt>
                <c:pt idx="11">
                  <c:v>1607.1101541249161</c:v>
                </c:pt>
                <c:pt idx="12">
                  <c:v>1605.2914932001665</c:v>
                </c:pt>
                <c:pt idx="13">
                  <c:v>1596.8777442409655</c:v>
                </c:pt>
                <c:pt idx="14">
                  <c:v>1601.4744777755197</c:v>
                </c:pt>
                <c:pt idx="15">
                  <c:v>1609.1756309088667</c:v>
                </c:pt>
                <c:pt idx="16">
                  <c:v>1603.1325771234135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B4-4C4E-A973-92159040D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りくと!$L$2:$L$12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-24.3</c:v>
                </c:pt>
                <c:pt idx="2">
                  <c:v>-4.3000000000000007</c:v>
                </c:pt>
                <c:pt idx="3">
                  <c:v>-22.900000000000002</c:v>
                </c:pt>
                <c:pt idx="4">
                  <c:v>-45.5</c:v>
                </c:pt>
                <c:pt idx="5">
                  <c:v>-86.3</c:v>
                </c:pt>
                <c:pt idx="6">
                  <c:v>-133.80000000000001</c:v>
                </c:pt>
                <c:pt idx="7">
                  <c:v>-76.200000000000017</c:v>
                </c:pt>
                <c:pt idx="8">
                  <c:v>-103.80000000000001</c:v>
                </c:pt>
                <c:pt idx="9">
                  <c:v>-132.4</c:v>
                </c:pt>
                <c:pt idx="10">
                  <c:v>-122.10000000000001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CD-48B0-A82D-F48AE42F7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-2690</c:v>
                </c:pt>
                <c:pt idx="1">
                  <c:v>-5830</c:v>
                </c:pt>
                <c:pt idx="2">
                  <c:v>-180</c:v>
                </c:pt>
                <c:pt idx="3">
                  <c:v>2780</c:v>
                </c:pt>
                <c:pt idx="4">
                  <c:v>-5400</c:v>
                </c:pt>
                <c:pt idx="5">
                  <c:v>3212.5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7-43D0-8984-AD140D3F4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F4-47F0-A5ED-36C9F2D32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りくと!$M$2:$M$12</c:f>
              <c:numCache>
                <c:formatCode>0</c:formatCode>
                <c:ptCount val="11"/>
                <c:pt idx="0">
                  <c:v>1377.1480089618358</c:v>
                </c:pt>
                <c:pt idx="1">
                  <c:v>1374.2551209080648</c:v>
                </c:pt>
                <c:pt idx="2">
                  <c:v>1379.1075901826164</c:v>
                </c:pt>
                <c:pt idx="3">
                  <c:v>1376.9829446415206</c:v>
                </c:pt>
                <c:pt idx="4">
                  <c:v>1374.1510469736716</c:v>
                </c:pt>
                <c:pt idx="5">
                  <c:v>1368.0601406918295</c:v>
                </c:pt>
                <c:pt idx="6">
                  <c:v>1360.7997798476786</c:v>
                </c:pt>
                <c:pt idx="7">
                  <c:v>1372.5009811685925</c:v>
                </c:pt>
                <c:pt idx="8">
                  <c:v>1368.7959752815809</c:v>
                </c:pt>
                <c:pt idx="9">
                  <c:v>1364.9331994298914</c:v>
                </c:pt>
                <c:pt idx="10">
                  <c:v>1368.0956002333121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11-4833-B15F-E60558233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ともき2!$C$3:$C$6</c:f>
              <c:numCache>
                <c:formatCode>\+0.0;\-0.0;\±0</c:formatCode>
                <c:ptCount val="4"/>
                <c:pt idx="1">
                  <c:v>-46</c:v>
                </c:pt>
                <c:pt idx="2">
                  <c:v>-48.45</c:v>
                </c:pt>
                <c:pt idx="3">
                  <c:v>-37.800000000000004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739698609263685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ともき2!$D$3:$D$6</c:f>
              <c:numCache>
                <c:formatCode>0.00\ "位"</c:formatCode>
                <c:ptCount val="4"/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ともき2!$F$3:$F$6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ともき2!$G$3:$G$6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0.11764705882352941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938997821350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ともき2!$H$3:$H$6</c:f>
              <c:numCache>
                <c:formatCode>0.0%</c:formatCode>
                <c:ptCount val="4"/>
                <c:pt idx="1">
                  <c:v>0.5</c:v>
                </c:pt>
                <c:pt idx="2">
                  <c:v>0.54545454545454541</c:v>
                </c:pt>
                <c:pt idx="3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8148148148148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ともき2!$I$3:$I$6</c:f>
              <c:numCache>
                <c:formatCode>0</c:formatCode>
                <c:ptCount val="4"/>
                <c:pt idx="1">
                  <c:v>0</c:v>
                </c:pt>
                <c:pt idx="2">
                  <c:v>0</c:v>
                </c:pt>
                <c:pt idx="3">
                  <c:v>1600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952.98507462686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ともき2!$J$3:$J$6</c:f>
              <c:numCache>
                <c:formatCode>0</c:formatCode>
                <c:ptCount val="4"/>
                <c:pt idx="1">
                  <c:v>-7000</c:v>
                </c:pt>
                <c:pt idx="2">
                  <c:v>-8833.3333333333339</c:v>
                </c:pt>
                <c:pt idx="3">
                  <c:v>-8314.2857142857138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39.70588235294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ともき2!$K$3:$K$6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526315789473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ともき2!$L$3:$L$6</c:f>
              <c:numCache>
                <c:formatCode>0.0%</c:formatCode>
                <c:ptCount val="4"/>
                <c:pt idx="1">
                  <c:v>0</c:v>
                </c:pt>
                <c:pt idx="2">
                  <c:v>9.0909090909090912E-2</c:v>
                </c:pt>
                <c:pt idx="3">
                  <c:v>5.8823529411764705E-2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8082788671023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ともき2!$M$3:$M$6</c:f>
              <c:numCache>
                <c:formatCode>0.0%</c:formatCode>
                <c:ptCount val="4"/>
                <c:pt idx="1">
                  <c:v>0</c:v>
                </c:pt>
                <c:pt idx="2">
                  <c:v>9.0909090909090912E-2</c:v>
                </c:pt>
                <c:pt idx="3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87363834422657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ともき2!$N$3:$N$6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3698630136986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ともき2!$O$3:$O$6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7209302325581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ともき2!$P$3:$P$6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014925373134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F42D95-B24A-4B72-9260-BB2A5C277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0855ED-6DE5-444D-8E6D-5DF19D562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47E675A-4A4B-4F3C-BF21-4041F792D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A6CE3A7-9651-49D0-9C95-9AC1FB11B6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C07A541-0455-4991-8EAE-4D7968164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2E0423-3778-41F1-8530-D44CCB0897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689978-1D74-4498-AFBA-47C57578C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9405084-1931-496C-B6D0-127E42DA12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78B74F-E219-4FF6-9734-FF5A5D105D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4F794A8-AE5A-4091-890B-C7A56EE6F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2763D9C-1ED6-4A30-A19D-B0A7B8A5F5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5A9B149-86C3-40D6-92B2-6B82449D11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AA311F-F146-48B3-9136-774A83C0E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DE436EF-6ABC-4717-94D1-B871391DC4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951FB7-AAC7-48D5-9FE8-3C22852A29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312D1E7-99D8-4A4C-97B1-BEA5C38AB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FDAF9E-FF6C-411E-9DB8-8EA75A8CF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455405-39C7-40DE-B92E-6A1A2F91E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19E7980-5ECA-4E28-8699-B70DFC43CB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5D8C6F1-766A-49BB-9B81-F6686CB6D1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363F347-004C-4782-A567-317F382BCC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51ACE17-47AC-4E60-A896-20F5C36BB0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CF8BB90-6840-440C-B0B4-0618502FF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CC77501-C2BA-47DD-BEA7-0B992BD450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2" x14ac:dyDescent="0.4">
      <c r="A1" s="1">
        <v>32874</v>
      </c>
      <c r="B1" s="1">
        <v>2958465</v>
      </c>
    </row>
    <row r="2" spans="1:12" x14ac:dyDescent="0.4">
      <c r="A2" s="2" t="s">
        <v>214</v>
      </c>
      <c r="B2" s="3">
        <v>44633.964791666665</v>
      </c>
      <c r="C2" s="2" t="s">
        <v>127</v>
      </c>
      <c r="D2" s="2" t="s">
        <v>188</v>
      </c>
      <c r="E2" s="2" t="s">
        <v>191</v>
      </c>
    </row>
    <row r="3" spans="1:12" x14ac:dyDescent="0.4">
      <c r="A3" s="2" t="s">
        <v>218</v>
      </c>
      <c r="B3" s="3">
        <v>44633.964791666665</v>
      </c>
      <c r="C3" s="2" t="s">
        <v>127</v>
      </c>
      <c r="D3" s="2" t="s">
        <v>188</v>
      </c>
      <c r="E3" s="2" t="s">
        <v>191</v>
      </c>
      <c r="F3" s="2" t="s">
        <v>215</v>
      </c>
      <c r="G3" s="2" t="s">
        <v>216</v>
      </c>
      <c r="H3" s="2" t="s">
        <v>217</v>
      </c>
    </row>
    <row r="4" spans="1:12" x14ac:dyDescent="0.4">
      <c r="A4" s="2" t="s">
        <v>219</v>
      </c>
      <c r="B4" s="3">
        <v>44633.736203703702</v>
      </c>
      <c r="C4" s="2" t="s">
        <v>127</v>
      </c>
      <c r="D4" s="2" t="s">
        <v>188</v>
      </c>
      <c r="E4" s="2" t="s">
        <v>191</v>
      </c>
      <c r="F4" s="2" t="s">
        <v>215</v>
      </c>
      <c r="G4" s="2" t="s">
        <v>216</v>
      </c>
      <c r="H4" s="2" t="s">
        <v>217</v>
      </c>
      <c r="I4" s="2" t="s">
        <v>221</v>
      </c>
      <c r="J4" s="2" t="s">
        <v>222</v>
      </c>
      <c r="K4" s="2" t="s">
        <v>223</v>
      </c>
      <c r="L4" s="2" t="s">
        <v>224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220</v>
      </c>
    </row>
    <row r="2" spans="1:3" x14ac:dyDescent="0.4">
      <c r="A2" t="s">
        <v>126</v>
      </c>
      <c r="B2" s="120">
        <v>19</v>
      </c>
      <c r="C2" s="120">
        <v>1758.0662353696366</v>
      </c>
    </row>
    <row r="3" spans="1:3" x14ac:dyDescent="0.4">
      <c r="A3" t="s">
        <v>192</v>
      </c>
      <c r="B3" s="120">
        <v>16</v>
      </c>
      <c r="C3" s="120">
        <v>1606.4452616651972</v>
      </c>
    </row>
    <row r="4" spans="1:3" x14ac:dyDescent="0.4">
      <c r="A4" t="s">
        <v>163</v>
      </c>
      <c r="B4" s="120">
        <v>9</v>
      </c>
      <c r="C4" s="120">
        <v>1605.0170841089816</v>
      </c>
    </row>
    <row r="5" spans="1:3" x14ac:dyDescent="0.4">
      <c r="A5" t="s">
        <v>139</v>
      </c>
      <c r="B5" s="120">
        <v>57</v>
      </c>
      <c r="C5" s="120">
        <v>1604.9485979299698</v>
      </c>
    </row>
    <row r="6" spans="1:3" x14ac:dyDescent="0.4">
      <c r="A6" t="s">
        <v>190</v>
      </c>
      <c r="C6" s="120">
        <v>1551.4699038276274</v>
      </c>
    </row>
    <row r="7" spans="1:3" x14ac:dyDescent="0.4">
      <c r="A7" t="s">
        <v>210</v>
      </c>
      <c r="C7" s="120">
        <v>1541.223654027415</v>
      </c>
    </row>
    <row r="8" spans="1:3" x14ac:dyDescent="0.4">
      <c r="A8" t="s">
        <v>212</v>
      </c>
      <c r="C8" s="120">
        <v>1497.379788</v>
      </c>
    </row>
    <row r="9" spans="1:3" x14ac:dyDescent="0.4">
      <c r="A9" t="s">
        <v>213</v>
      </c>
      <c r="C9" s="120">
        <v>1493.0891304000002</v>
      </c>
    </row>
    <row r="10" spans="1:3" x14ac:dyDescent="0.4">
      <c r="A10" t="s">
        <v>211</v>
      </c>
      <c r="C10" s="120">
        <v>1488.9447185272431</v>
      </c>
    </row>
    <row r="11" spans="1:3" x14ac:dyDescent="0.4">
      <c r="A11" t="s">
        <v>200</v>
      </c>
      <c r="C11" s="120">
        <v>1476.9680701642462</v>
      </c>
    </row>
    <row r="12" spans="1:3" x14ac:dyDescent="0.4">
      <c r="A12" t="s">
        <v>189</v>
      </c>
      <c r="C12" s="120">
        <v>1463.3989422821498</v>
      </c>
    </row>
    <row r="13" spans="1:3" x14ac:dyDescent="0.4">
      <c r="A13" t="s">
        <v>194</v>
      </c>
      <c r="B13" s="120">
        <v>10</v>
      </c>
      <c r="C13" s="120">
        <v>1377.1480089618358</v>
      </c>
    </row>
    <row r="14" spans="1:3" x14ac:dyDescent="0.4">
      <c r="A14" t="s">
        <v>193</v>
      </c>
      <c r="C14" s="120">
        <v>1340.228259602879</v>
      </c>
    </row>
    <row r="15" spans="1:3" x14ac:dyDescent="0.4">
      <c r="A15" t="s">
        <v>209</v>
      </c>
      <c r="C15" s="120">
        <v>1483.0119085897741</v>
      </c>
    </row>
    <row r="16" spans="1:3" x14ac:dyDescent="0.4">
      <c r="A16" t="s">
        <v>197</v>
      </c>
      <c r="B16" s="120">
        <v>3</v>
      </c>
      <c r="C16" s="120">
        <v>1463.4239467393418</v>
      </c>
    </row>
    <row r="17" spans="1:8" x14ac:dyDescent="0.4">
      <c r="A17" t="s">
        <v>198</v>
      </c>
      <c r="C17" s="120">
        <v>1382.1789004547948</v>
      </c>
      <c r="G17" s="120"/>
      <c r="H17" s="120"/>
    </row>
    <row r="18" spans="1:8" x14ac:dyDescent="0.4">
      <c r="A18" t="s">
        <v>201</v>
      </c>
      <c r="C18" s="120">
        <v>1491.5152195648213</v>
      </c>
      <c r="G18" s="120"/>
      <c r="H18" s="120"/>
    </row>
    <row r="19" spans="1:8" x14ac:dyDescent="0.4">
      <c r="A19" t="s">
        <v>208</v>
      </c>
      <c r="C19" s="120">
        <v>1484.4200922656562</v>
      </c>
      <c r="G19" s="120"/>
      <c r="H19" s="120"/>
    </row>
    <row r="20" spans="1:8" x14ac:dyDescent="0.4">
      <c r="A20" t="s">
        <v>203</v>
      </c>
      <c r="C20" s="120">
        <v>1519.3079580555725</v>
      </c>
      <c r="G20" s="120"/>
      <c r="H20" s="120"/>
    </row>
    <row r="21" spans="1:8" x14ac:dyDescent="0.4">
      <c r="A21" t="s">
        <v>199</v>
      </c>
      <c r="C21" s="120">
        <v>1519.2052586122145</v>
      </c>
      <c r="G21" s="120"/>
      <c r="H21" s="120"/>
    </row>
    <row r="22" spans="1:8" x14ac:dyDescent="0.4">
      <c r="A22" t="s">
        <v>202</v>
      </c>
      <c r="C22" s="120">
        <v>1503.1020000000001</v>
      </c>
      <c r="G22" s="120"/>
      <c r="H22" s="120"/>
    </row>
    <row r="23" spans="1:8" x14ac:dyDescent="0.4">
      <c r="A23" t="s">
        <v>204</v>
      </c>
      <c r="C23" s="120">
        <v>1489.2889468180317</v>
      </c>
    </row>
    <row r="24" spans="1:8" x14ac:dyDescent="0.4">
      <c r="A24" t="s">
        <v>206</v>
      </c>
      <c r="C24" s="120">
        <v>1484.6521503082251</v>
      </c>
    </row>
    <row r="25" spans="1:8" x14ac:dyDescent="0.4">
      <c r="A25" t="s">
        <v>205</v>
      </c>
      <c r="C25" s="120">
        <v>1476.2954110473599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195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8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195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">
      <c r="A2" s="36" t="s">
        <v>207</v>
      </c>
      <c r="B2" s="141">
        <v>0.99433988758390957</v>
      </c>
      <c r="C2" s="142"/>
      <c r="D2" s="141">
        <v>0.95057543962033519</v>
      </c>
      <c r="E2" s="142"/>
      <c r="F2" s="141">
        <v>0.99139005245960599</v>
      </c>
      <c r="G2" s="142"/>
      <c r="H2" s="147"/>
      <c r="I2" s="148"/>
      <c r="J2" s="141">
        <v>0.99987424207038544</v>
      </c>
      <c r="K2" s="142"/>
      <c r="L2" s="141">
        <v>0.96611876517573725</v>
      </c>
      <c r="M2" s="142"/>
      <c r="N2" s="141">
        <v>0.98299001937100017</v>
      </c>
      <c r="O2" s="142"/>
      <c r="P2" s="141">
        <v>0.98404927330893055</v>
      </c>
      <c r="Q2" s="142"/>
      <c r="R2" s="141">
        <v>0.33322528132310181</v>
      </c>
      <c r="S2" s="142"/>
      <c r="T2" s="141">
        <v>-0.7514765716517865</v>
      </c>
      <c r="U2" s="142"/>
      <c r="V2" s="141">
        <v>-0.68124378571814259</v>
      </c>
      <c r="W2" s="142"/>
      <c r="X2" s="141">
        <v>0.5781950661854286</v>
      </c>
      <c r="Y2" s="142"/>
      <c r="Z2" s="141">
        <v>0.44843789027704783</v>
      </c>
      <c r="AA2" s="142"/>
      <c r="AB2" s="141">
        <v>-0.1615754896842253</v>
      </c>
      <c r="AC2" s="142"/>
      <c r="AD2" s="141">
        <v>0.50356772764434132</v>
      </c>
      <c r="AE2" s="142"/>
      <c r="AF2" s="141">
        <v>0.99211429432905651</v>
      </c>
      <c r="AG2" s="142"/>
      <c r="AH2" s="141">
        <v>0.91254762166545789</v>
      </c>
      <c r="AI2" s="142"/>
      <c r="AJ2" s="141">
        <v>0.69172277202978216</v>
      </c>
      <c r="AK2" s="142"/>
    </row>
    <row r="3" spans="1:37" x14ac:dyDescent="0.4">
      <c r="A3" s="38">
        <v>1</v>
      </c>
      <c r="B3" s="41" t="s">
        <v>126</v>
      </c>
      <c r="C3" s="113">
        <v>19</v>
      </c>
      <c r="D3" s="39" t="s">
        <v>126</v>
      </c>
      <c r="E3" s="40">
        <v>216.79999999999998</v>
      </c>
      <c r="F3" s="41" t="s">
        <v>126</v>
      </c>
      <c r="G3" s="60">
        <v>11.410526315789474</v>
      </c>
      <c r="H3" s="41" t="s">
        <v>126</v>
      </c>
      <c r="I3" s="45">
        <v>1778.5418921811633</v>
      </c>
      <c r="J3" s="41" t="s">
        <v>126</v>
      </c>
      <c r="K3" s="42">
        <v>1.6842105263157894</v>
      </c>
      <c r="L3" s="41" t="s">
        <v>126</v>
      </c>
      <c r="M3" s="43">
        <v>0.52631578947368418</v>
      </c>
      <c r="N3" s="41" t="s">
        <v>163</v>
      </c>
      <c r="O3" s="43">
        <v>0.1111111111111111</v>
      </c>
      <c r="P3" s="41" t="s">
        <v>126</v>
      </c>
      <c r="Q3" s="44">
        <v>0.37908496732026142</v>
      </c>
      <c r="R3" s="41" t="s">
        <v>192</v>
      </c>
      <c r="S3" s="44">
        <v>7.3529411764705885E-2</v>
      </c>
      <c r="T3" s="41" t="s">
        <v>194</v>
      </c>
      <c r="U3" s="45">
        <v>10558.823529411764</v>
      </c>
      <c r="V3" s="41" t="s">
        <v>194</v>
      </c>
      <c r="W3" s="45">
        <v>-5435.2941176470586</v>
      </c>
      <c r="X3" s="41" t="s">
        <v>163</v>
      </c>
      <c r="Y3" s="43">
        <v>0</v>
      </c>
      <c r="Z3" s="41" t="s">
        <v>126</v>
      </c>
      <c r="AA3" s="44">
        <v>0.39215686274509803</v>
      </c>
      <c r="AB3" s="41" t="s">
        <v>192</v>
      </c>
      <c r="AC3" s="44">
        <v>0.25</v>
      </c>
      <c r="AD3" s="41" t="s">
        <v>163</v>
      </c>
      <c r="AE3" s="44">
        <v>0.61111111111111116</v>
      </c>
      <c r="AF3" s="41" t="s">
        <v>197</v>
      </c>
      <c r="AG3" s="44">
        <v>0.5</v>
      </c>
      <c r="AH3" s="41" t="s">
        <v>126</v>
      </c>
      <c r="AI3" s="44">
        <v>0.51724137931034486</v>
      </c>
      <c r="AJ3" s="41" t="s">
        <v>126</v>
      </c>
      <c r="AK3" s="55">
        <v>101500</v>
      </c>
    </row>
    <row r="4" spans="1:37" x14ac:dyDescent="0.4">
      <c r="A4" s="46">
        <v>2</v>
      </c>
      <c r="B4" s="49" t="s">
        <v>139</v>
      </c>
      <c r="C4" s="114">
        <v>19</v>
      </c>
      <c r="D4" s="47" t="s">
        <v>163</v>
      </c>
      <c r="E4" s="48">
        <v>40.700000000000003</v>
      </c>
      <c r="F4" s="49" t="s">
        <v>163</v>
      </c>
      <c r="G4" s="61">
        <v>4.5222222222222221</v>
      </c>
      <c r="H4" s="49" t="s">
        <v>163</v>
      </c>
      <c r="I4" s="53">
        <v>1613.3226961858495</v>
      </c>
      <c r="J4" s="49" t="s">
        <v>163</v>
      </c>
      <c r="K4" s="50">
        <v>1.8888888888888888</v>
      </c>
      <c r="L4" s="49" t="s">
        <v>139</v>
      </c>
      <c r="M4" s="51">
        <v>0.33333333333333331</v>
      </c>
      <c r="N4" s="49" t="s">
        <v>126</v>
      </c>
      <c r="O4" s="51">
        <v>0.21052631578947367</v>
      </c>
      <c r="P4" s="49" t="s">
        <v>163</v>
      </c>
      <c r="Q4" s="52">
        <v>0.30303030303030304</v>
      </c>
      <c r="R4" s="49" t="s">
        <v>163</v>
      </c>
      <c r="S4" s="52">
        <v>0.13636363636363635</v>
      </c>
      <c r="T4" s="49" t="s">
        <v>126</v>
      </c>
      <c r="U4" s="53">
        <v>9108.6206896551721</v>
      </c>
      <c r="V4" s="49" t="s">
        <v>163</v>
      </c>
      <c r="W4" s="53">
        <v>-6144.4444444444443</v>
      </c>
      <c r="X4" s="49" t="s">
        <v>126</v>
      </c>
      <c r="Y4" s="51">
        <v>5.2631578947368418E-2</v>
      </c>
      <c r="Z4" s="49" t="s">
        <v>194</v>
      </c>
      <c r="AA4" s="52">
        <v>0.33333333333333331</v>
      </c>
      <c r="AB4" s="49" t="s">
        <v>197</v>
      </c>
      <c r="AC4" s="52">
        <v>0.23529411764705882</v>
      </c>
      <c r="AD4" s="49" t="s">
        <v>126</v>
      </c>
      <c r="AE4" s="52">
        <v>0.56666666666666665</v>
      </c>
      <c r="AF4" s="49" t="s">
        <v>126</v>
      </c>
      <c r="AG4" s="52">
        <v>0.45</v>
      </c>
      <c r="AH4" s="49" t="s">
        <v>197</v>
      </c>
      <c r="AI4" s="52">
        <v>0.5</v>
      </c>
      <c r="AJ4" s="49" t="s">
        <v>139</v>
      </c>
      <c r="AK4" s="56">
        <v>101500</v>
      </c>
    </row>
    <row r="5" spans="1:37" x14ac:dyDescent="0.4">
      <c r="A5" s="46">
        <v>3</v>
      </c>
      <c r="B5" s="49" t="s">
        <v>192</v>
      </c>
      <c r="C5" s="114">
        <v>16</v>
      </c>
      <c r="D5" s="47" t="s">
        <v>139</v>
      </c>
      <c r="E5" s="48">
        <v>-2.1316282072803006E-14</v>
      </c>
      <c r="F5" s="49" t="s">
        <v>139</v>
      </c>
      <c r="G5" s="61">
        <v>-3.739698609263685E-16</v>
      </c>
      <c r="H5" s="49" t="s">
        <v>139</v>
      </c>
      <c r="I5" s="53">
        <v>1605.1011050094633</v>
      </c>
      <c r="J5" s="49" t="s">
        <v>192</v>
      </c>
      <c r="K5" s="50">
        <v>2</v>
      </c>
      <c r="L5" s="49" t="s">
        <v>192</v>
      </c>
      <c r="M5" s="51">
        <v>0.3125</v>
      </c>
      <c r="N5" s="49" t="s">
        <v>192</v>
      </c>
      <c r="O5" s="51">
        <v>0.3125</v>
      </c>
      <c r="P5" s="49" t="s">
        <v>139</v>
      </c>
      <c r="Q5" s="52">
        <v>0.29193899782135074</v>
      </c>
      <c r="R5" s="49" t="s">
        <v>139</v>
      </c>
      <c r="S5" s="52">
        <v>0.14814814814814814</v>
      </c>
      <c r="T5" s="49" t="s">
        <v>139</v>
      </c>
      <c r="U5" s="53">
        <v>8952.9850746268658</v>
      </c>
      <c r="V5" s="49" t="s">
        <v>139</v>
      </c>
      <c r="W5" s="53">
        <v>-7739.7058823529414</v>
      </c>
      <c r="X5" s="49" t="s">
        <v>194</v>
      </c>
      <c r="Y5" s="51">
        <v>0.1</v>
      </c>
      <c r="Z5" s="49" t="s">
        <v>139</v>
      </c>
      <c r="AA5" s="52">
        <v>0.31808278867102396</v>
      </c>
      <c r="AB5" s="49" t="s">
        <v>163</v>
      </c>
      <c r="AC5" s="52">
        <v>0.21212121212121213</v>
      </c>
      <c r="AD5" s="49" t="s">
        <v>139</v>
      </c>
      <c r="AE5" s="52">
        <v>0.51369863013698636</v>
      </c>
      <c r="AF5" s="49" t="s">
        <v>192</v>
      </c>
      <c r="AG5" s="52">
        <v>0.35294117647058826</v>
      </c>
      <c r="AH5" s="49" t="s">
        <v>139</v>
      </c>
      <c r="AI5" s="52">
        <v>0.47014925373134331</v>
      </c>
      <c r="AJ5" s="49" t="s">
        <v>194</v>
      </c>
      <c r="AK5" s="56">
        <v>82600</v>
      </c>
    </row>
    <row r="6" spans="1:37" x14ac:dyDescent="0.4">
      <c r="A6" s="46">
        <v>4</v>
      </c>
      <c r="B6" s="49" t="s">
        <v>194</v>
      </c>
      <c r="C6" s="114">
        <v>10</v>
      </c>
      <c r="D6" s="47" t="s">
        <v>192</v>
      </c>
      <c r="E6" s="48">
        <v>-22.000000000000007</v>
      </c>
      <c r="F6" s="49" t="s">
        <v>192</v>
      </c>
      <c r="G6" s="61">
        <v>-1.3750000000000004</v>
      </c>
      <c r="H6" s="49" t="s">
        <v>192</v>
      </c>
      <c r="I6" s="53">
        <v>1603.1325771234135</v>
      </c>
      <c r="J6" s="49" t="s">
        <v>139</v>
      </c>
      <c r="K6" s="50">
        <v>2</v>
      </c>
      <c r="L6" s="49" t="s">
        <v>163</v>
      </c>
      <c r="M6" s="51">
        <v>0.22222222222222221</v>
      </c>
      <c r="N6" s="49" t="s">
        <v>139</v>
      </c>
      <c r="O6" s="51">
        <v>0.33333333333333331</v>
      </c>
      <c r="P6" s="49" t="s">
        <v>192</v>
      </c>
      <c r="Q6" s="52">
        <v>0.27205882352941174</v>
      </c>
      <c r="R6" s="49" t="s">
        <v>126</v>
      </c>
      <c r="S6" s="52">
        <v>0.16339869281045752</v>
      </c>
      <c r="T6" s="49" t="s">
        <v>163</v>
      </c>
      <c r="U6" s="53">
        <v>8655</v>
      </c>
      <c r="V6" s="49" t="s">
        <v>197</v>
      </c>
      <c r="W6" s="53">
        <v>-8314.2857142857138</v>
      </c>
      <c r="X6" s="49" t="s">
        <v>139</v>
      </c>
      <c r="Y6" s="51">
        <v>0.10526315789473684</v>
      </c>
      <c r="Z6" s="49" t="s">
        <v>192</v>
      </c>
      <c r="AA6" s="52">
        <v>0.27941176470588236</v>
      </c>
      <c r="AB6" s="49" t="s">
        <v>139</v>
      </c>
      <c r="AC6" s="52">
        <v>0.18736383442265794</v>
      </c>
      <c r="AD6" s="49" t="s">
        <v>194</v>
      </c>
      <c r="AE6" s="52">
        <v>0.48275862068965519</v>
      </c>
      <c r="AF6" s="49" t="s">
        <v>139</v>
      </c>
      <c r="AG6" s="52">
        <v>0.33720930232558138</v>
      </c>
      <c r="AH6" s="49" t="s">
        <v>163</v>
      </c>
      <c r="AI6" s="52">
        <v>0.45</v>
      </c>
      <c r="AJ6" s="49" t="s">
        <v>192</v>
      </c>
      <c r="AK6" s="56">
        <v>77600</v>
      </c>
    </row>
    <row r="7" spans="1:37" x14ac:dyDescent="0.4">
      <c r="A7" s="46">
        <v>5</v>
      </c>
      <c r="B7" s="49" t="s">
        <v>163</v>
      </c>
      <c r="C7" s="114">
        <v>9</v>
      </c>
      <c r="D7" s="47" t="s">
        <v>197</v>
      </c>
      <c r="E7" s="48">
        <v>-113.4</v>
      </c>
      <c r="F7" s="49" t="s">
        <v>194</v>
      </c>
      <c r="G7" s="61">
        <v>-12.21</v>
      </c>
      <c r="H7" s="49" t="s">
        <v>197</v>
      </c>
      <c r="I7" s="53">
        <v>1445.1125193047092</v>
      </c>
      <c r="J7" s="49" t="s">
        <v>194</v>
      </c>
      <c r="K7" s="50">
        <v>2.4</v>
      </c>
      <c r="L7" s="49" t="s">
        <v>194</v>
      </c>
      <c r="M7" s="51">
        <v>0.2</v>
      </c>
      <c r="N7" s="49" t="s">
        <v>194</v>
      </c>
      <c r="O7" s="51">
        <v>0.6</v>
      </c>
      <c r="P7" s="49" t="s">
        <v>194</v>
      </c>
      <c r="Q7" s="52">
        <v>0.19540229885057472</v>
      </c>
      <c r="R7" s="49" t="s">
        <v>194</v>
      </c>
      <c r="S7" s="52">
        <v>0.19540229885057472</v>
      </c>
      <c r="T7" s="49" t="s">
        <v>192</v>
      </c>
      <c r="U7" s="53">
        <v>8529.72972972973</v>
      </c>
      <c r="V7" s="49" t="s">
        <v>126</v>
      </c>
      <c r="W7" s="53">
        <v>-8608</v>
      </c>
      <c r="X7" s="49" t="s">
        <v>192</v>
      </c>
      <c r="Y7" s="51">
        <v>0.125</v>
      </c>
      <c r="Z7" s="49" t="s">
        <v>163</v>
      </c>
      <c r="AA7" s="52">
        <v>0.27272727272727271</v>
      </c>
      <c r="AB7" s="49" t="s">
        <v>194</v>
      </c>
      <c r="AC7" s="52">
        <v>0.16091954022988506</v>
      </c>
      <c r="AD7" s="49" t="s">
        <v>192</v>
      </c>
      <c r="AE7" s="52">
        <v>0.42105263157894735</v>
      </c>
      <c r="AF7" s="49" t="s">
        <v>163</v>
      </c>
      <c r="AG7" s="52">
        <v>0.2857142857142857</v>
      </c>
      <c r="AH7" s="49" t="s">
        <v>192</v>
      </c>
      <c r="AI7" s="52">
        <v>0.43243243243243246</v>
      </c>
      <c r="AJ7" s="49" t="s">
        <v>163</v>
      </c>
      <c r="AK7" s="56">
        <v>76100</v>
      </c>
    </row>
    <row r="8" spans="1:37" x14ac:dyDescent="0.4">
      <c r="A8" s="46">
        <v>6</v>
      </c>
      <c r="B8" s="49" t="s">
        <v>197</v>
      </c>
      <c r="C8" s="114">
        <v>3</v>
      </c>
      <c r="D8" s="47" t="s">
        <v>194</v>
      </c>
      <c r="E8" s="48">
        <v>-122.10000000000001</v>
      </c>
      <c r="F8" s="49" t="s">
        <v>197</v>
      </c>
      <c r="G8" s="61">
        <v>-37.800000000000004</v>
      </c>
      <c r="H8" s="49" t="s">
        <v>194</v>
      </c>
      <c r="I8" s="53">
        <v>1368.0956002333121</v>
      </c>
      <c r="J8" s="49" t="s">
        <v>197</v>
      </c>
      <c r="K8" s="50">
        <v>3</v>
      </c>
      <c r="L8" s="49" t="s">
        <v>197</v>
      </c>
      <c r="M8" s="51">
        <v>0</v>
      </c>
      <c r="N8" s="49" t="s">
        <v>197</v>
      </c>
      <c r="O8" s="51">
        <v>1</v>
      </c>
      <c r="P8" s="49" t="s">
        <v>197</v>
      </c>
      <c r="Q8" s="52">
        <v>0.11764705882352941</v>
      </c>
      <c r="R8" s="49" t="s">
        <v>197</v>
      </c>
      <c r="S8" s="52">
        <v>0.41176470588235292</v>
      </c>
      <c r="T8" s="49" t="s">
        <v>197</v>
      </c>
      <c r="U8" s="53">
        <v>1600</v>
      </c>
      <c r="V8" s="49" t="s">
        <v>192</v>
      </c>
      <c r="W8" s="53">
        <v>-10520</v>
      </c>
      <c r="X8" s="49" t="s">
        <v>197</v>
      </c>
      <c r="Y8" s="51">
        <v>0.66666666666666663</v>
      </c>
      <c r="Z8" s="49" t="s">
        <v>197</v>
      </c>
      <c r="AA8" s="52">
        <v>5.8823529411764705E-2</v>
      </c>
      <c r="AB8" s="49" t="s">
        <v>126</v>
      </c>
      <c r="AC8" s="52">
        <v>0.13071895424836602</v>
      </c>
      <c r="AD8" s="49" t="s">
        <v>197</v>
      </c>
      <c r="AE8" s="52">
        <v>0</v>
      </c>
      <c r="AF8" s="49" t="s">
        <v>194</v>
      </c>
      <c r="AG8" s="52">
        <v>0.14285714285714285</v>
      </c>
      <c r="AH8" s="49" t="s">
        <v>194</v>
      </c>
      <c r="AI8" s="52">
        <v>0.41176470588235292</v>
      </c>
      <c r="AJ8" s="49" t="s">
        <v>197</v>
      </c>
      <c r="AK8" s="56">
        <v>28500</v>
      </c>
    </row>
  </sheetData>
  <sortState xmlns:xlrd2="http://schemas.microsoft.com/office/spreadsheetml/2017/richdata2" ref="AJ3:AK6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A866D-6D77-43EC-95B9-5EE5F9829946}">
  <sheetPr codeName="Sheet4"/>
  <dimension ref="A1:R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57</v>
      </c>
      <c r="C2" s="134"/>
      <c r="E2" s="26" t="s">
        <v>66</v>
      </c>
      <c r="F2" s="23" t="s">
        <v>22</v>
      </c>
      <c r="G2" s="11">
        <v>102</v>
      </c>
      <c r="H2" s="87">
        <f>IF(B$20=0,0,G2/B$20)</f>
        <v>0.76119402985074625</v>
      </c>
      <c r="I2" s="57">
        <v>3</v>
      </c>
      <c r="K2" s="73">
        <v>0</v>
      </c>
      <c r="L2" s="118">
        <v>0</v>
      </c>
      <c r="M2" s="116">
        <v>1604.9485979299698</v>
      </c>
      <c r="O2" s="73" t="s">
        <v>128</v>
      </c>
      <c r="P2" s="79">
        <f t="shared" ref="P2:P7" si="0">IF(Q2=0,0,R2/Q2)</f>
        <v>0</v>
      </c>
      <c r="Q2" s="76">
        <v>57</v>
      </c>
      <c r="R2" s="63">
        <v>0</v>
      </c>
    </row>
    <row r="3" spans="1:18" x14ac:dyDescent="0.4">
      <c r="A3" s="19" t="s">
        <v>8</v>
      </c>
      <c r="B3" s="135">
        <v>459</v>
      </c>
      <c r="C3" s="136"/>
      <c r="E3" s="27" t="s">
        <v>64</v>
      </c>
      <c r="F3" s="24" t="s">
        <v>20</v>
      </c>
      <c r="G3" s="12">
        <v>74</v>
      </c>
      <c r="H3" s="88">
        <f>IF(B$20=0,0,G3/B$20)</f>
        <v>0.55223880597014929</v>
      </c>
      <c r="I3" s="58">
        <v>4</v>
      </c>
      <c r="K3" s="74">
        <v>1</v>
      </c>
      <c r="L3" s="119">
        <v>50.6</v>
      </c>
      <c r="M3" s="117">
        <v>1613.4269063423899</v>
      </c>
      <c r="O3" s="74" t="s">
        <v>129</v>
      </c>
      <c r="P3" s="80">
        <f t="shared" si="0"/>
        <v>0</v>
      </c>
      <c r="Q3" s="77">
        <v>57</v>
      </c>
      <c r="R3" s="64">
        <v>0</v>
      </c>
    </row>
    <row r="4" spans="1:18" x14ac:dyDescent="0.4">
      <c r="A4" s="19" t="s">
        <v>6</v>
      </c>
      <c r="B4" s="137">
        <v>-2.1316282072803006E-14</v>
      </c>
      <c r="C4" s="138"/>
      <c r="E4" s="27" t="s">
        <v>72</v>
      </c>
      <c r="F4" s="24" t="s">
        <v>27</v>
      </c>
      <c r="G4" s="12">
        <v>58</v>
      </c>
      <c r="H4" s="88">
        <f>IF(B$20=0,0,G4/B$20)</f>
        <v>0.43283582089552236</v>
      </c>
      <c r="I4" s="58">
        <v>4</v>
      </c>
      <c r="K4" s="74">
        <v>2</v>
      </c>
      <c r="L4" s="119">
        <v>46</v>
      </c>
      <c r="M4" s="117">
        <v>1611.9183449043355</v>
      </c>
      <c r="O4" s="74" t="s">
        <v>130</v>
      </c>
      <c r="P4" s="80">
        <f t="shared" si="0"/>
        <v>-19.607843137254903</v>
      </c>
      <c r="Q4" s="77">
        <v>51</v>
      </c>
      <c r="R4" s="64">
        <v>-1000</v>
      </c>
    </row>
    <row r="5" spans="1:18" x14ac:dyDescent="0.4">
      <c r="A5" s="19" t="s">
        <v>7</v>
      </c>
      <c r="B5" s="125">
        <f>IF(B$2=0,0,B$4/B$2)</f>
        <v>-3.739698609263685E-16</v>
      </c>
      <c r="C5" s="126"/>
      <c r="E5" s="27" t="s">
        <v>159</v>
      </c>
      <c r="F5" s="24" t="s">
        <v>160</v>
      </c>
      <c r="G5" s="12">
        <v>57</v>
      </c>
      <c r="H5" s="88">
        <f>IF(B$20=0,0,G5/B$20)</f>
        <v>0.42537313432835822</v>
      </c>
      <c r="I5" s="58">
        <v>4</v>
      </c>
      <c r="K5" s="74">
        <v>3</v>
      </c>
      <c r="L5" s="119">
        <v>0</v>
      </c>
      <c r="M5" s="117">
        <v>1602.9668348349096</v>
      </c>
      <c r="O5" s="74" t="s">
        <v>131</v>
      </c>
      <c r="P5" s="80">
        <f t="shared" si="0"/>
        <v>-19.607843137254903</v>
      </c>
      <c r="Q5" s="77">
        <v>51</v>
      </c>
      <c r="R5" s="64">
        <v>-1000</v>
      </c>
    </row>
    <row r="6" spans="1:18" x14ac:dyDescent="0.4">
      <c r="A6" s="19" t="s">
        <v>195</v>
      </c>
      <c r="B6" s="129">
        <v>1605.1011050094633</v>
      </c>
      <c r="C6" s="130"/>
      <c r="E6" s="27" t="s">
        <v>68</v>
      </c>
      <c r="F6" s="24" t="s">
        <v>12</v>
      </c>
      <c r="G6" s="12">
        <v>48</v>
      </c>
      <c r="H6" s="88">
        <f>IF(B$20=0,0,G6/B$20)</f>
        <v>0.35820895522388058</v>
      </c>
      <c r="I6" s="58">
        <v>2</v>
      </c>
      <c r="K6" s="74">
        <v>4</v>
      </c>
      <c r="L6" s="119">
        <v>3.7</v>
      </c>
      <c r="M6" s="117">
        <v>1603.6630338259001</v>
      </c>
      <c r="O6" s="74" t="s">
        <v>132</v>
      </c>
      <c r="P6" s="80">
        <f t="shared" si="0"/>
        <v>-22.222222222222221</v>
      </c>
      <c r="Q6" s="77">
        <v>45</v>
      </c>
      <c r="R6" s="64">
        <v>-1000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28</v>
      </c>
      <c r="H7" s="88">
        <f>IF(B$20=0,0,G7/B$20)</f>
        <v>0.20895522388059701</v>
      </c>
      <c r="I7" s="58">
        <v>4</v>
      </c>
      <c r="K7" s="74">
        <v>5</v>
      </c>
      <c r="L7" s="119">
        <v>50.900000000000006</v>
      </c>
      <c r="M7" s="117">
        <v>1612.1850556229447</v>
      </c>
      <c r="O7" s="75" t="s">
        <v>133</v>
      </c>
      <c r="P7" s="81">
        <f t="shared" si="0"/>
        <v>55.555555555555557</v>
      </c>
      <c r="Q7" s="78">
        <v>36</v>
      </c>
      <c r="R7" s="65">
        <v>2000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0.33333333333333331</v>
      </c>
      <c r="E8" s="27" t="s">
        <v>65</v>
      </c>
      <c r="F8" s="24" t="s">
        <v>21</v>
      </c>
      <c r="G8" s="12">
        <v>21</v>
      </c>
      <c r="H8" s="88">
        <f>IF(B$20=0,0,G8/B$20)</f>
        <v>0.15671641791044777</v>
      </c>
      <c r="I8" s="58">
        <v>2</v>
      </c>
      <c r="K8" s="74">
        <v>6</v>
      </c>
      <c r="L8" s="119">
        <v>7.1054273576010019E-15</v>
      </c>
      <c r="M8" s="117">
        <v>1602.9979452892071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1"/>
        <v>0.33333333333333331</v>
      </c>
      <c r="E9" s="27" t="s">
        <v>89</v>
      </c>
      <c r="F9" s="24" t="s">
        <v>44</v>
      </c>
      <c r="G9" s="12">
        <v>21</v>
      </c>
      <c r="H9" s="88">
        <f>IF(B$20=0,0,G9/B$20)</f>
        <v>0.15671641791044777</v>
      </c>
      <c r="I9" s="58">
        <v>4</v>
      </c>
      <c r="K9" s="74">
        <v>7</v>
      </c>
      <c r="L9" s="119">
        <v>-5.2999999999999927</v>
      </c>
      <c r="M9" s="117">
        <v>1602.0739576174719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19</v>
      </c>
      <c r="C10" s="7">
        <f t="shared" si="1"/>
        <v>0.33333333333333331</v>
      </c>
      <c r="E10" s="27" t="s">
        <v>70</v>
      </c>
      <c r="F10" s="24" t="s">
        <v>25</v>
      </c>
      <c r="G10" s="12">
        <v>17</v>
      </c>
      <c r="H10" s="88">
        <f>IF(B$20=0,0,G10/B$20)</f>
        <v>0.12686567164179105</v>
      </c>
      <c r="I10" s="58">
        <v>3</v>
      </c>
      <c r="K10" s="74">
        <v>8</v>
      </c>
      <c r="L10" s="119">
        <v>16.500000000000007</v>
      </c>
      <c r="M10" s="117">
        <v>1606.0335138717671</v>
      </c>
      <c r="O10" s="73" t="s">
        <v>151</v>
      </c>
      <c r="P10" s="82">
        <f>IF(Q10=0,0,R10/Q10)</f>
        <v>7.0157894736842099</v>
      </c>
      <c r="Q10" s="76">
        <v>19</v>
      </c>
      <c r="R10" s="67">
        <v>133.29999999999998</v>
      </c>
    </row>
    <row r="11" spans="1:18" x14ac:dyDescent="0.4">
      <c r="A11" s="20" t="s">
        <v>184</v>
      </c>
      <c r="B11" s="109">
        <f>IF(B8=0,0,C11/B8)</f>
        <v>38.915789473684207</v>
      </c>
      <c r="C11" s="110">
        <v>739.4</v>
      </c>
      <c r="E11" s="27" t="s">
        <v>67</v>
      </c>
      <c r="F11" s="24" t="s">
        <v>23</v>
      </c>
      <c r="G11" s="12">
        <v>16</v>
      </c>
      <c r="H11" s="88">
        <f>IF(B$20=0,0,G11/B$20)</f>
        <v>0.11940298507462686</v>
      </c>
      <c r="I11" s="58">
        <v>2</v>
      </c>
      <c r="K11" s="74">
        <v>9</v>
      </c>
      <c r="L11" s="119">
        <v>7.1054273576010019E-15</v>
      </c>
      <c r="M11" s="117">
        <v>1603.0753127885366</v>
      </c>
      <c r="O11" s="74" t="s">
        <v>152</v>
      </c>
      <c r="P11" s="83">
        <f>IF(Q11=0,0,R11/Q11)</f>
        <v>-4.3894736842105262</v>
      </c>
      <c r="Q11" s="77">
        <v>19</v>
      </c>
      <c r="R11" s="68">
        <v>-83.399999999999991</v>
      </c>
    </row>
    <row r="12" spans="1:18" x14ac:dyDescent="0.4">
      <c r="A12" s="20" t="s">
        <v>185</v>
      </c>
      <c r="B12" s="109">
        <f>IF(B9=0,0,C12/B9)</f>
        <v>-5.3105263157894731</v>
      </c>
      <c r="C12" s="110">
        <v>-100.89999999999999</v>
      </c>
      <c r="E12" s="27" t="s">
        <v>71</v>
      </c>
      <c r="F12" s="24" t="s">
        <v>26</v>
      </c>
      <c r="G12" s="12">
        <v>9</v>
      </c>
      <c r="H12" s="88">
        <f>IF(B$20=0,0,G12/B$20)</f>
        <v>6.7164179104477612E-2</v>
      </c>
      <c r="I12" s="58">
        <v>3</v>
      </c>
      <c r="K12" s="74">
        <v>10</v>
      </c>
      <c r="L12" s="119">
        <v>18.000000000000007</v>
      </c>
      <c r="M12" s="117">
        <v>1606.4528609118054</v>
      </c>
      <c r="O12" s="75" t="s">
        <v>153</v>
      </c>
      <c r="P12" s="84">
        <f>IF(Q12=0,0,R12/Q12)</f>
        <v>-2.6263157894736842</v>
      </c>
      <c r="Q12" s="78">
        <v>19</v>
      </c>
      <c r="R12" s="69">
        <v>-49.9</v>
      </c>
    </row>
    <row r="13" spans="1:18" x14ac:dyDescent="0.4">
      <c r="A13" s="20" t="s">
        <v>186</v>
      </c>
      <c r="B13" s="109">
        <f>IF(B10=0,0,C13/B10)</f>
        <v>-33.60526315789474</v>
      </c>
      <c r="C13" s="110">
        <v>-638.50000000000011</v>
      </c>
      <c r="E13" s="27" t="s">
        <v>81</v>
      </c>
      <c r="F13" s="24" t="s">
        <v>36</v>
      </c>
      <c r="G13" s="12">
        <v>9</v>
      </c>
      <c r="H13" s="88">
        <f>IF(B$20=0,0,G13/B$20)</f>
        <v>6.7164179104477612E-2</v>
      </c>
      <c r="I13" s="58">
        <v>3</v>
      </c>
      <c r="K13" s="74">
        <v>11</v>
      </c>
      <c r="L13" s="119">
        <v>21.600000000000009</v>
      </c>
      <c r="M13" s="117">
        <v>1607.2181437463346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86</v>
      </c>
      <c r="F14" s="24" t="s">
        <v>41</v>
      </c>
      <c r="G14" s="12">
        <v>8</v>
      </c>
      <c r="H14" s="88">
        <f>IF(B$20=0,0,G14/B$20)</f>
        <v>5.9701492537313432E-2</v>
      </c>
      <c r="I14" s="58">
        <v>3</v>
      </c>
      <c r="K14" s="74">
        <v>12</v>
      </c>
      <c r="L14" s="119">
        <v>7.1054273576010019E-15</v>
      </c>
      <c r="M14" s="117">
        <v>1603.4428348838567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0.10526315789473684</v>
      </c>
      <c r="E15" s="27" t="s">
        <v>83</v>
      </c>
      <c r="F15" s="24" t="s">
        <v>38</v>
      </c>
      <c r="G15" s="12">
        <v>7</v>
      </c>
      <c r="H15" s="88">
        <f>IF(B$20=0,0,G15/B$20)</f>
        <v>5.2238805970149252E-2</v>
      </c>
      <c r="I15" s="58">
        <v>3</v>
      </c>
      <c r="K15" s="74">
        <v>13</v>
      </c>
      <c r="L15" s="119">
        <v>16.900000000000006</v>
      </c>
      <c r="M15" s="117">
        <v>1606.8361778745536</v>
      </c>
      <c r="O15" s="73" t="s">
        <v>197</v>
      </c>
      <c r="P15" s="82">
        <f>IF(Q15=0,0,R15/Q15)</f>
        <v>56.699999999999996</v>
      </c>
      <c r="Q15" s="76">
        <v>6</v>
      </c>
      <c r="R15" s="67">
        <v>340.2</v>
      </c>
    </row>
    <row r="16" spans="1:18" x14ac:dyDescent="0.4">
      <c r="A16" s="22" t="s">
        <v>121</v>
      </c>
      <c r="B16" s="15">
        <v>146</v>
      </c>
      <c r="C16" s="10">
        <f>IF(B$3=0,0,B16/B$3)</f>
        <v>0.31808278867102396</v>
      </c>
      <c r="E16" s="27" t="s">
        <v>78</v>
      </c>
      <c r="F16" s="24" t="s">
        <v>33</v>
      </c>
      <c r="G16" s="12">
        <v>5</v>
      </c>
      <c r="H16" s="88">
        <f>IF(B$20=0,0,G16/B$20)</f>
        <v>3.7313432835820892E-2</v>
      </c>
      <c r="I16" s="58">
        <v>3</v>
      </c>
      <c r="K16" s="74">
        <v>14</v>
      </c>
      <c r="L16" s="119">
        <v>18.100000000000005</v>
      </c>
      <c r="M16" s="117">
        <v>1607.3831608073062</v>
      </c>
      <c r="O16" s="74" t="s">
        <v>194</v>
      </c>
      <c r="P16" s="83">
        <f>IF(Q16=0,0,R16/Q16)</f>
        <v>18.315000000000001</v>
      </c>
      <c r="Q16" s="77">
        <v>20</v>
      </c>
      <c r="R16" s="68">
        <v>366.3</v>
      </c>
    </row>
    <row r="17" spans="1:18" x14ac:dyDescent="0.4">
      <c r="A17" s="19" t="s">
        <v>118</v>
      </c>
      <c r="B17" s="12">
        <v>86</v>
      </c>
      <c r="C17" s="6">
        <f>IF(B$3=0,0,B17/B$3)</f>
        <v>0.18736383442265794</v>
      </c>
      <c r="E17" s="27" t="s">
        <v>91</v>
      </c>
      <c r="F17" s="24" t="s">
        <v>46</v>
      </c>
      <c r="G17" s="12">
        <v>2</v>
      </c>
      <c r="H17" s="88">
        <f>IF(B$20=0,0,G17/B$20)</f>
        <v>1.4925373134328358E-2</v>
      </c>
      <c r="I17" s="58">
        <v>3</v>
      </c>
      <c r="K17" s="74">
        <v>15</v>
      </c>
      <c r="L17" s="119">
        <v>3.5527136788005009E-15</v>
      </c>
      <c r="M17" s="117">
        <v>1604.4528618424624</v>
      </c>
      <c r="O17" s="74" t="s">
        <v>192</v>
      </c>
      <c r="P17" s="83">
        <f>IF(Q17=0,0,R17/Q17)</f>
        <v>2.0625000000000004</v>
      </c>
      <c r="Q17" s="77">
        <v>32</v>
      </c>
      <c r="R17" s="68">
        <v>66.000000000000014</v>
      </c>
    </row>
    <row r="18" spans="1:18" x14ac:dyDescent="0.4">
      <c r="A18" s="18" t="s">
        <v>123</v>
      </c>
      <c r="B18" s="11">
        <f>B24</f>
        <v>75</v>
      </c>
      <c r="C18" s="5">
        <f>IF(B$16=0,0,B18/B$16)</f>
        <v>0.51369863013698636</v>
      </c>
      <c r="E18" s="27" t="s">
        <v>155</v>
      </c>
      <c r="F18" s="24" t="s">
        <v>156</v>
      </c>
      <c r="G18" s="12">
        <v>2</v>
      </c>
      <c r="H18" s="88">
        <f>IF(B$20=0,0,G18/B$20)</f>
        <v>1.4925373134328358E-2</v>
      </c>
      <c r="I18" s="58">
        <v>3</v>
      </c>
      <c r="K18" s="74">
        <v>16</v>
      </c>
      <c r="L18" s="119">
        <v>76.5</v>
      </c>
      <c r="M18" s="117">
        <v>1618.5681446714077</v>
      </c>
      <c r="O18" s="74" t="s">
        <v>163</v>
      </c>
      <c r="P18" s="83">
        <f>IF(Q18=0,0,R18/Q18)</f>
        <v>-6.7833333333333332</v>
      </c>
      <c r="Q18" s="77">
        <v>18</v>
      </c>
      <c r="R18" s="68">
        <v>-122.1</v>
      </c>
    </row>
    <row r="19" spans="1:18" x14ac:dyDescent="0.4">
      <c r="A19" s="18" t="s">
        <v>124</v>
      </c>
      <c r="B19" s="11">
        <f>B25</f>
        <v>29</v>
      </c>
      <c r="C19" s="5">
        <f>IF(B$17=0,0,B19/B$17)</f>
        <v>0.33720930232558138</v>
      </c>
      <c r="E19" s="27" t="s">
        <v>74</v>
      </c>
      <c r="F19" s="24" t="s">
        <v>29</v>
      </c>
      <c r="G19" s="12">
        <v>1</v>
      </c>
      <c r="H19" s="88">
        <f>IF(B$20=0,0,G19/B$20)</f>
        <v>7.462686567164179E-3</v>
      </c>
      <c r="I19" s="58">
        <v>2</v>
      </c>
      <c r="K19" s="74">
        <v>17</v>
      </c>
      <c r="L19" s="119">
        <v>46</v>
      </c>
      <c r="M19" s="117">
        <v>1613.3387358033792</v>
      </c>
      <c r="O19" s="74" t="s">
        <v>126</v>
      </c>
      <c r="P19" s="83">
        <f>IF(Q19=0,0,R19/Q19)</f>
        <v>-17.115789473684213</v>
      </c>
      <c r="Q19" s="77">
        <v>38</v>
      </c>
      <c r="R19" s="68">
        <v>-650.40000000000009</v>
      </c>
    </row>
    <row r="20" spans="1:18" x14ac:dyDescent="0.4">
      <c r="A20" s="18" t="s">
        <v>10</v>
      </c>
      <c r="B20" s="11">
        <f>B23+B22</f>
        <v>134</v>
      </c>
      <c r="C20" s="5">
        <f>IF(B$3=0,0,B20/B$3)</f>
        <v>0.29193899782135074</v>
      </c>
      <c r="E20" s="27" t="s">
        <v>79</v>
      </c>
      <c r="F20" s="24" t="s">
        <v>34</v>
      </c>
      <c r="G20" s="12">
        <v>1</v>
      </c>
      <c r="H20" s="88">
        <f>IF(B$20=0,0,G20/B$20)</f>
        <v>7.462686567164179E-3</v>
      </c>
      <c r="I20" s="58">
        <v>2</v>
      </c>
      <c r="K20" s="74">
        <v>18</v>
      </c>
      <c r="L20" s="119">
        <v>0</v>
      </c>
      <c r="M20" s="117">
        <v>1605.3507033885589</v>
      </c>
    </row>
    <row r="21" spans="1:18" x14ac:dyDescent="0.4">
      <c r="A21" s="19" t="s">
        <v>13</v>
      </c>
      <c r="B21" s="12">
        <v>68</v>
      </c>
      <c r="C21" s="6">
        <f>IF(B$3=0,0,B21/B$3)</f>
        <v>0.14814814814814814</v>
      </c>
      <c r="E21" s="27" t="s">
        <v>88</v>
      </c>
      <c r="F21" s="24" t="s">
        <v>43</v>
      </c>
      <c r="G21" s="12">
        <v>1</v>
      </c>
      <c r="H21" s="88">
        <f>IF(B$20=0,0,G21/B$20)</f>
        <v>7.462686567164179E-3</v>
      </c>
      <c r="I21" s="58">
        <v>2</v>
      </c>
      <c r="K21" s="74">
        <v>19</v>
      </c>
      <c r="L21" s="119">
        <v>-51.2</v>
      </c>
      <c r="M21" s="117">
        <v>1596.4745991682275</v>
      </c>
    </row>
    <row r="22" spans="1:18" x14ac:dyDescent="0.4">
      <c r="A22" s="19" t="s">
        <v>12</v>
      </c>
      <c r="B22" s="12">
        <v>63</v>
      </c>
      <c r="C22" s="6">
        <f>IF(B$20=0,0,B22/B$20)</f>
        <v>0.47014925373134331</v>
      </c>
      <c r="E22" s="27" t="s">
        <v>90</v>
      </c>
      <c r="F22" s="24" t="s">
        <v>45</v>
      </c>
      <c r="G22" s="12">
        <v>1</v>
      </c>
      <c r="H22" s="88">
        <f>IF(B$20=0,0,G22/B$20)</f>
        <v>7.462686567164179E-3</v>
      </c>
      <c r="I22" s="58">
        <v>2</v>
      </c>
      <c r="K22" s="74">
        <v>20</v>
      </c>
      <c r="L22" s="119">
        <v>-52.6</v>
      </c>
      <c r="M22" s="117">
        <v>1596.6157515732182</v>
      </c>
    </row>
    <row r="23" spans="1:18" x14ac:dyDescent="0.4">
      <c r="A23" s="19" t="s">
        <v>11</v>
      </c>
      <c r="B23" s="12">
        <v>71</v>
      </c>
      <c r="C23" s="6">
        <f>IF(B$20=0,0,B23/B$20)</f>
        <v>0.52985074626865669</v>
      </c>
      <c r="E23" s="27" t="s">
        <v>93</v>
      </c>
      <c r="F23" s="24" t="s">
        <v>48</v>
      </c>
      <c r="G23" s="12">
        <v>1</v>
      </c>
      <c r="H23" s="88">
        <f>IF(B$20=0,0,G23/B$20)</f>
        <v>7.462686567164179E-3</v>
      </c>
      <c r="I23" s="58">
        <v>2</v>
      </c>
      <c r="K23" s="74">
        <v>21</v>
      </c>
      <c r="L23" s="119">
        <v>0</v>
      </c>
      <c r="M23" s="117">
        <v>1606.4760570637789</v>
      </c>
    </row>
    <row r="24" spans="1:18" x14ac:dyDescent="0.4">
      <c r="A24" s="19" t="s">
        <v>183</v>
      </c>
      <c r="B24" s="12">
        <v>75</v>
      </c>
      <c r="C24" s="6">
        <f>IF(B$20=0,0,B24/B$20)</f>
        <v>0.55970149253731338</v>
      </c>
      <c r="E24" s="27" t="s">
        <v>98</v>
      </c>
      <c r="F24" s="24" t="s">
        <v>53</v>
      </c>
      <c r="G24" s="12">
        <v>1</v>
      </c>
      <c r="H24" s="88">
        <f>IF(B$20=0,0,G24/B$20)</f>
        <v>7.462686567164179E-3</v>
      </c>
      <c r="I24" s="58">
        <v>2</v>
      </c>
      <c r="K24" s="74">
        <v>22</v>
      </c>
      <c r="L24" s="119">
        <v>51.1</v>
      </c>
      <c r="M24" s="117">
        <v>1616.0072007213962</v>
      </c>
    </row>
    <row r="25" spans="1:18" x14ac:dyDescent="0.4">
      <c r="A25" s="19" t="s">
        <v>181</v>
      </c>
      <c r="B25" s="12">
        <v>29</v>
      </c>
      <c r="C25" s="6">
        <f>IF(B$20=0,0,B25/B$20)</f>
        <v>0.21641791044776118</v>
      </c>
      <c r="E25" s="27" t="s">
        <v>73</v>
      </c>
      <c r="F25" s="24" t="s">
        <v>28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38.299999999999997</v>
      </c>
      <c r="M25" s="117">
        <v>1613.9791575170677</v>
      </c>
    </row>
    <row r="26" spans="1:18" x14ac:dyDescent="0.4">
      <c r="A26" s="19" t="s">
        <v>182</v>
      </c>
      <c r="B26" s="12">
        <v>30</v>
      </c>
      <c r="C26" s="6">
        <f>IF(B$20=0,0,B26/B$20)</f>
        <v>0.22388059701492538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0</v>
      </c>
      <c r="M26" s="117">
        <v>1607.3732825719653</v>
      </c>
    </row>
    <row r="27" spans="1:18" x14ac:dyDescent="0.4">
      <c r="A27" s="19" t="s">
        <v>5</v>
      </c>
      <c r="B27" s="16">
        <f>IF(B$20=0,0,C27/B$20)</f>
        <v>8952.9850746268658</v>
      </c>
      <c r="C27" s="8">
        <v>1199700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-21.2</v>
      </c>
      <c r="M27" s="117">
        <v>1603.8850428765336</v>
      </c>
    </row>
    <row r="28" spans="1:18" x14ac:dyDescent="0.4">
      <c r="A28" s="20" t="s">
        <v>165</v>
      </c>
      <c r="B28" s="95">
        <f>IF($B$20-B$19=0,0,C28/($B$20-B$19))</f>
        <v>9408.5714285714294</v>
      </c>
      <c r="C28" s="96">
        <v>987900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-28.299999999999997</v>
      </c>
      <c r="M28" s="117">
        <v>1602.9557326192744</v>
      </c>
    </row>
    <row r="29" spans="1:18" x14ac:dyDescent="0.4">
      <c r="A29" s="20" t="s">
        <v>166</v>
      </c>
      <c r="B29" s="95">
        <f>IF(B$19=0,0,C29/B$19)</f>
        <v>7303.4482758620688</v>
      </c>
      <c r="C29" s="96">
        <v>211800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3.5527136788005009E-15</v>
      </c>
      <c r="M29" s="117">
        <v>1608.4039982235588</v>
      </c>
    </row>
    <row r="30" spans="1:18" x14ac:dyDescent="0.4">
      <c r="A30" s="20" t="s">
        <v>164</v>
      </c>
      <c r="B30" s="95">
        <f>IF(B$21=0,0,C30/B$21)</f>
        <v>-7739.7058823529414</v>
      </c>
      <c r="C30" s="96">
        <v>-526300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-24.299999999999997</v>
      </c>
      <c r="M30" s="117">
        <v>1604.1235742342174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4.6000000000000014</v>
      </c>
      <c r="M31" s="117">
        <v>1609.4448327888122</v>
      </c>
    </row>
    <row r="32" spans="1:18" x14ac:dyDescent="0.4">
      <c r="A32" s="19" t="s">
        <v>158</v>
      </c>
      <c r="B32" s="12">
        <v>41</v>
      </c>
      <c r="C32" s="90">
        <v>4</v>
      </c>
      <c r="E32" s="27" t="s">
        <v>85</v>
      </c>
      <c r="F32" s="24" t="s">
        <v>40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1.7763568394002505E-15</v>
      </c>
      <c r="M32" s="117">
        <v>1608.7041637920793</v>
      </c>
    </row>
    <row r="33" spans="1:13" x14ac:dyDescent="0.4">
      <c r="A33" s="54" t="s">
        <v>136</v>
      </c>
      <c r="B33" s="127">
        <v>5</v>
      </c>
      <c r="C33" s="128"/>
      <c r="E33" s="27" t="s">
        <v>87</v>
      </c>
      <c r="F33" s="24" t="s">
        <v>42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20</v>
      </c>
      <c r="M33" s="117">
        <v>1612.1499388093268</v>
      </c>
    </row>
    <row r="34" spans="1:13" x14ac:dyDescent="0.4">
      <c r="A34" s="22" t="s">
        <v>180</v>
      </c>
      <c r="B34" s="129">
        <v>101500</v>
      </c>
      <c r="C34" s="130"/>
      <c r="E34" s="27" t="s">
        <v>92</v>
      </c>
      <c r="F34" s="24" t="s">
        <v>47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19.399999999999999</v>
      </c>
      <c r="M34" s="117">
        <v>1611.8670391764708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1608.201836941412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-18.600000000000001</v>
      </c>
      <c r="M36" s="117">
        <v>1604.7026259197635</v>
      </c>
    </row>
    <row r="37" spans="1:13" x14ac:dyDescent="0.4">
      <c r="A37" s="54" t="s">
        <v>171</v>
      </c>
      <c r="B37" s="123">
        <v>10</v>
      </c>
      <c r="C37" s="98">
        <f t="shared" ref="C37:C49" si="2">IF(B$20=0,0,B37/B$20)</f>
        <v>7.4626865671641784E-2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-57.800000000000004</v>
      </c>
      <c r="M37" s="117">
        <v>1597.5164101642449</v>
      </c>
    </row>
    <row r="38" spans="1:13" x14ac:dyDescent="0.4">
      <c r="A38" s="19" t="s">
        <v>167</v>
      </c>
      <c r="B38" s="12">
        <v>21</v>
      </c>
      <c r="C38" s="6">
        <f t="shared" si="2"/>
        <v>0.15671641791044777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-7.1054273576010019E-15</v>
      </c>
      <c r="M38" s="117">
        <v>1607.8333117032594</v>
      </c>
    </row>
    <row r="39" spans="1:13" x14ac:dyDescent="0.4">
      <c r="A39" s="19" t="s">
        <v>168</v>
      </c>
      <c r="B39" s="124">
        <v>18</v>
      </c>
      <c r="C39" s="6">
        <f t="shared" si="2"/>
        <v>0.13432835820895522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-22.600000000000009</v>
      </c>
      <c r="M39" s="117">
        <v>1603.6163118330398</v>
      </c>
    </row>
    <row r="40" spans="1:13" x14ac:dyDescent="0.4">
      <c r="A40" s="19" t="s">
        <v>169</v>
      </c>
      <c r="B40" s="124">
        <v>28</v>
      </c>
      <c r="C40" s="6">
        <f t="shared" si="2"/>
        <v>0.20895522388059701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-20.20000000000001</v>
      </c>
      <c r="M40" s="117">
        <v>1603.9246139620416</v>
      </c>
    </row>
    <row r="41" spans="1:13" x14ac:dyDescent="0.4">
      <c r="A41" s="19" t="s">
        <v>170</v>
      </c>
      <c r="B41" s="124">
        <v>25</v>
      </c>
      <c r="C41" s="6">
        <f t="shared" si="2"/>
        <v>0.18656716417910449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-1.0658141036401503E-14</v>
      </c>
      <c r="M41" s="117">
        <v>1607.4350662782692</v>
      </c>
    </row>
    <row r="42" spans="1:13" x14ac:dyDescent="0.4">
      <c r="A42" s="19" t="s">
        <v>172</v>
      </c>
      <c r="B42" s="124">
        <v>11</v>
      </c>
      <c r="C42" s="6">
        <f t="shared" si="2"/>
        <v>8.2089552238805971E-2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-40.800000000000011</v>
      </c>
      <c r="M42" s="117">
        <v>1599.9444558805997</v>
      </c>
    </row>
    <row r="43" spans="1:13" x14ac:dyDescent="0.4">
      <c r="A43" s="19" t="s">
        <v>173</v>
      </c>
      <c r="B43" s="124">
        <v>6</v>
      </c>
      <c r="C43" s="6">
        <f t="shared" si="2"/>
        <v>4.4776119402985072E-2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-43.300000000000011</v>
      </c>
      <c r="M43" s="117">
        <v>1599.3927891453161</v>
      </c>
    </row>
    <row r="44" spans="1:13" x14ac:dyDescent="0.4">
      <c r="A44" s="19" t="s">
        <v>174</v>
      </c>
      <c r="B44" s="124">
        <v>5</v>
      </c>
      <c r="C44" s="6">
        <f t="shared" si="2"/>
        <v>3.7313432835820892E-2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-1.4210854715202004E-14</v>
      </c>
      <c r="M44" s="117">
        <v>1607.0884324104443</v>
      </c>
    </row>
    <row r="45" spans="1:13" x14ac:dyDescent="0.4">
      <c r="A45" s="19" t="s">
        <v>175</v>
      </c>
      <c r="B45" s="124">
        <v>7</v>
      </c>
      <c r="C45" s="6">
        <f t="shared" si="2"/>
        <v>5.2238805970149252E-2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-47.500000000000014</v>
      </c>
      <c r="M45" s="117">
        <v>1598.3939018159815</v>
      </c>
    </row>
    <row r="46" spans="1:13" x14ac:dyDescent="0.4">
      <c r="A46" s="19" t="s">
        <v>176</v>
      </c>
      <c r="B46" s="124">
        <v>1</v>
      </c>
      <c r="C46" s="6">
        <f t="shared" si="2"/>
        <v>7.462686567164179E-3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-56.800000000000011</v>
      </c>
      <c r="M46" s="117">
        <v>1596.6275384050857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-1.4210854715202004E-14</v>
      </c>
      <c r="M47" s="117">
        <v>1606.7697731746553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57.599999999999987</v>
      </c>
      <c r="M48" s="117">
        <v>1616.9951545356073</v>
      </c>
    </row>
    <row r="49" spans="1:13" x14ac:dyDescent="0.4">
      <c r="A49" s="21" t="s">
        <v>179</v>
      </c>
      <c r="B49" s="97">
        <v>2</v>
      </c>
      <c r="C49" s="9">
        <f t="shared" si="2"/>
        <v>1.4925373134328358E-2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11.599999999999987</v>
      </c>
      <c r="M49" s="117">
        <v>1608.5111836083936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-1.2434497875801753E-14</v>
      </c>
      <c r="M50" s="117">
        <v>1606.2701165067433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-27.600000000000016</v>
      </c>
      <c r="M51" s="117">
        <v>1601.162495807703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-1.6000000000000156</v>
      </c>
      <c r="M52" s="117">
        <v>1605.7335208328568</v>
      </c>
    </row>
    <row r="53" spans="1:13" x14ac:dyDescent="0.4">
      <c r="K53" s="74">
        <v>51</v>
      </c>
      <c r="L53" s="119">
        <v>-1.5543122344752192E-14</v>
      </c>
      <c r="M53" s="117">
        <v>1605.8851197078598</v>
      </c>
    </row>
    <row r="54" spans="1:13" x14ac:dyDescent="0.4">
      <c r="K54" s="74">
        <v>52</v>
      </c>
      <c r="L54" s="119">
        <v>-28.600000000000016</v>
      </c>
      <c r="M54" s="117">
        <v>1600.5998089896127</v>
      </c>
    </row>
    <row r="55" spans="1:13" x14ac:dyDescent="0.4">
      <c r="K55" s="74">
        <v>53</v>
      </c>
      <c r="L55" s="119">
        <v>14.799999999999983</v>
      </c>
      <c r="M55" s="117">
        <v>1608.306210135675</v>
      </c>
    </row>
    <row r="56" spans="1:13" x14ac:dyDescent="0.4">
      <c r="K56" s="74">
        <v>54</v>
      </c>
      <c r="L56" s="119">
        <v>-1.7763568394002505E-14</v>
      </c>
      <c r="M56" s="117">
        <v>1605.4903728748609</v>
      </c>
    </row>
    <row r="57" spans="1:13" x14ac:dyDescent="0.4">
      <c r="K57" s="74">
        <v>55</v>
      </c>
      <c r="L57" s="119">
        <v>10.299999999999983</v>
      </c>
      <c r="M57" s="117">
        <v>1607.2094306376118</v>
      </c>
    </row>
    <row r="58" spans="1:13" x14ac:dyDescent="0.4">
      <c r="K58" s="74">
        <v>56</v>
      </c>
      <c r="L58" s="119">
        <v>-22.40000000000002</v>
      </c>
      <c r="M58" s="117">
        <v>1601.1781740537861</v>
      </c>
    </row>
    <row r="59" spans="1:13" x14ac:dyDescent="0.4">
      <c r="K59" s="74">
        <v>57</v>
      </c>
      <c r="L59" s="119">
        <v>-2.1316282072803006E-14</v>
      </c>
      <c r="M59" s="117">
        <v>1605.1011050094633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23F2D-67FE-42A6-B93E-1ACFB9E687A5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</v>
      </c>
      <c r="C2" s="134"/>
      <c r="E2" s="26" t="s">
        <v>66</v>
      </c>
      <c r="F2" s="23" t="s">
        <v>22</v>
      </c>
      <c r="G2" s="11">
        <v>18</v>
      </c>
      <c r="H2" s="87">
        <f>IF(B$20=0,0,G2/B$20)</f>
        <v>0.9</v>
      </c>
      <c r="I2" s="57">
        <v>2</v>
      </c>
      <c r="K2" s="73">
        <v>0</v>
      </c>
      <c r="L2" s="118">
        <v>0</v>
      </c>
      <c r="M2" s="116">
        <v>1605.0170841089816</v>
      </c>
      <c r="O2" s="73" t="s">
        <v>128</v>
      </c>
      <c r="P2" s="79">
        <f t="shared" ref="P2:P7" si="0">IF(Q2=0,0,R2/Q2)</f>
        <v>4322.2222222222226</v>
      </c>
      <c r="Q2" s="76">
        <v>9</v>
      </c>
      <c r="R2" s="63">
        <v>38900</v>
      </c>
    </row>
    <row r="3" spans="1:18" x14ac:dyDescent="0.4">
      <c r="A3" s="19" t="s">
        <v>8</v>
      </c>
      <c r="B3" s="135">
        <v>66</v>
      </c>
      <c r="C3" s="136"/>
      <c r="E3" s="27" t="s">
        <v>64</v>
      </c>
      <c r="F3" s="24" t="s">
        <v>20</v>
      </c>
      <c r="G3" s="12">
        <v>12</v>
      </c>
      <c r="H3" s="88">
        <f>IF(B$20=0,0,G3/B$20)</f>
        <v>0.6</v>
      </c>
      <c r="I3" s="58">
        <v>2</v>
      </c>
      <c r="K3" s="74">
        <v>1</v>
      </c>
      <c r="L3" s="119">
        <v>50.6</v>
      </c>
      <c r="M3" s="117">
        <v>1613.4949816043277</v>
      </c>
      <c r="O3" s="74" t="s">
        <v>129</v>
      </c>
      <c r="P3" s="80">
        <f t="shared" si="0"/>
        <v>-1333.3333333333333</v>
      </c>
      <c r="Q3" s="77">
        <v>9</v>
      </c>
      <c r="R3" s="64">
        <v>-12000</v>
      </c>
    </row>
    <row r="4" spans="1:18" x14ac:dyDescent="0.4">
      <c r="A4" s="19" t="s">
        <v>6</v>
      </c>
      <c r="B4" s="137">
        <v>40.700000000000003</v>
      </c>
      <c r="C4" s="138"/>
      <c r="E4" s="27" t="s">
        <v>72</v>
      </c>
      <c r="F4" s="24" t="s">
        <v>27</v>
      </c>
      <c r="G4" s="12">
        <v>11</v>
      </c>
      <c r="H4" s="88">
        <f>IF(B$20=0,0,G4/B$20)</f>
        <v>0.55000000000000004</v>
      </c>
      <c r="I4" s="58">
        <v>3</v>
      </c>
      <c r="K4" s="74">
        <v>2</v>
      </c>
      <c r="L4" s="119">
        <v>54.300000000000004</v>
      </c>
      <c r="M4" s="117">
        <v>1614.1280117147016</v>
      </c>
      <c r="O4" s="74" t="s">
        <v>130</v>
      </c>
      <c r="P4" s="80">
        <f t="shared" si="0"/>
        <v>-585.71428571428567</v>
      </c>
      <c r="Q4" s="77">
        <v>7</v>
      </c>
      <c r="R4" s="64">
        <v>-4100</v>
      </c>
    </row>
    <row r="5" spans="1:18" x14ac:dyDescent="0.4">
      <c r="A5" s="19" t="s">
        <v>7</v>
      </c>
      <c r="B5" s="125">
        <f>IF(B$2=0,0,B$4/B$2)</f>
        <v>4.5222222222222221</v>
      </c>
      <c r="C5" s="126"/>
      <c r="E5" s="27" t="s">
        <v>159</v>
      </c>
      <c r="F5" s="24" t="s">
        <v>160</v>
      </c>
      <c r="G5" s="12">
        <v>8</v>
      </c>
      <c r="H5" s="88">
        <f>IF(B$20=0,0,G5/B$20)</f>
        <v>0.4</v>
      </c>
      <c r="I5" s="58">
        <v>5</v>
      </c>
      <c r="K5" s="74">
        <v>3</v>
      </c>
      <c r="L5" s="119">
        <v>49.000000000000007</v>
      </c>
      <c r="M5" s="117">
        <v>1613.1372436444135</v>
      </c>
      <c r="O5" s="74" t="s">
        <v>131</v>
      </c>
      <c r="P5" s="80">
        <f t="shared" si="0"/>
        <v>3485.7142857142858</v>
      </c>
      <c r="Q5" s="77">
        <v>7</v>
      </c>
      <c r="R5" s="64">
        <v>24400</v>
      </c>
    </row>
    <row r="6" spans="1:18" x14ac:dyDescent="0.4">
      <c r="A6" s="19" t="s">
        <v>195</v>
      </c>
      <c r="B6" s="129">
        <v>1613.3226961858495</v>
      </c>
      <c r="C6" s="130"/>
      <c r="E6" s="27" t="s">
        <v>68</v>
      </c>
      <c r="F6" s="24" t="s">
        <v>12</v>
      </c>
      <c r="G6" s="12">
        <v>7</v>
      </c>
      <c r="H6" s="88">
        <f>IF(B$20=0,0,G6/B$20)</f>
        <v>0.35</v>
      </c>
      <c r="I6" s="58">
        <v>4</v>
      </c>
      <c r="K6" s="74">
        <v>4</v>
      </c>
      <c r="L6" s="119">
        <v>27.400000000000006</v>
      </c>
      <c r="M6" s="117">
        <v>1609.3264201825471</v>
      </c>
      <c r="O6" s="74" t="s">
        <v>132</v>
      </c>
      <c r="P6" s="80">
        <f t="shared" si="0"/>
        <v>650</v>
      </c>
      <c r="Q6" s="77">
        <v>6</v>
      </c>
      <c r="R6" s="64">
        <v>3900</v>
      </c>
    </row>
    <row r="7" spans="1:18" x14ac:dyDescent="0.4">
      <c r="A7" s="19" t="s">
        <v>1</v>
      </c>
      <c r="B7" s="139">
        <f>IF(B$2=0,0,(B$8*1+B$9*2+B$10*3)/B$2)</f>
        <v>1.8888888888888888</v>
      </c>
      <c r="C7" s="140"/>
      <c r="E7" s="27" t="s">
        <v>69</v>
      </c>
      <c r="F7" s="24" t="s">
        <v>24</v>
      </c>
      <c r="G7" s="12">
        <v>5</v>
      </c>
      <c r="H7" s="88">
        <f>IF(B$20=0,0,G7/B$20)</f>
        <v>0.25</v>
      </c>
      <c r="I7" s="58">
        <v>2</v>
      </c>
      <c r="K7" s="74">
        <v>5</v>
      </c>
      <c r="L7" s="119">
        <v>28.600000000000005</v>
      </c>
      <c r="M7" s="117">
        <v>1609.8584616614519</v>
      </c>
      <c r="O7" s="75" t="s">
        <v>133</v>
      </c>
      <c r="P7" s="81">
        <f t="shared" si="0"/>
        <v>-4125</v>
      </c>
      <c r="Q7" s="78">
        <v>4</v>
      </c>
      <c r="R7" s="65">
        <v>-16500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0.22222222222222221</v>
      </c>
      <c r="E8" s="27" t="s">
        <v>89</v>
      </c>
      <c r="F8" s="24" t="s">
        <v>44</v>
      </c>
      <c r="G8" s="12">
        <v>5</v>
      </c>
      <c r="H8" s="88">
        <f>IF(B$20=0,0,G8/B$20)</f>
        <v>0.25</v>
      </c>
      <c r="I8" s="58">
        <v>1</v>
      </c>
      <c r="K8" s="74">
        <v>6</v>
      </c>
      <c r="L8" s="119">
        <v>-1.899999999999995</v>
      </c>
      <c r="M8" s="117">
        <v>1604.6813108914832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0.66666666666666663</v>
      </c>
      <c r="E9" s="27" t="s">
        <v>70</v>
      </c>
      <c r="F9" s="24" t="s">
        <v>25</v>
      </c>
      <c r="G9" s="12">
        <v>4</v>
      </c>
      <c r="H9" s="88">
        <f>IF(B$20=0,0,G9/B$20)</f>
        <v>0.2</v>
      </c>
      <c r="I9" s="58">
        <v>1</v>
      </c>
      <c r="K9" s="74">
        <v>7</v>
      </c>
      <c r="L9" s="119">
        <v>-3.2999999999999949</v>
      </c>
      <c r="M9" s="117">
        <v>1604.7732230261342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0.1111111111111111</v>
      </c>
      <c r="E10" s="27" t="s">
        <v>71</v>
      </c>
      <c r="F10" s="24" t="s">
        <v>26</v>
      </c>
      <c r="G10" s="12">
        <v>3</v>
      </c>
      <c r="H10" s="88">
        <f>IF(B$20=0,0,G10/B$20)</f>
        <v>0.15</v>
      </c>
      <c r="I10" s="58">
        <v>1</v>
      </c>
      <c r="K10" s="74">
        <v>8</v>
      </c>
      <c r="L10" s="119">
        <v>47.800000000000004</v>
      </c>
      <c r="M10" s="117">
        <v>1614.3145836879773</v>
      </c>
      <c r="O10" s="73" t="s">
        <v>151</v>
      </c>
      <c r="P10" s="82">
        <f>IF(Q10=0,0,R10/Q10)</f>
        <v>32.133333333333333</v>
      </c>
      <c r="Q10" s="76">
        <v>3</v>
      </c>
      <c r="R10" s="67">
        <v>96.4</v>
      </c>
    </row>
    <row r="11" spans="1:18" x14ac:dyDescent="0.4">
      <c r="A11" s="20" t="s">
        <v>184</v>
      </c>
      <c r="B11" s="109">
        <f>IF(B8=0,0,C11/B8)</f>
        <v>50.85</v>
      </c>
      <c r="C11" s="110">
        <v>101.7</v>
      </c>
      <c r="E11" s="27" t="s">
        <v>65</v>
      </c>
      <c r="F11" s="24" t="s">
        <v>21</v>
      </c>
      <c r="G11" s="12">
        <v>2</v>
      </c>
      <c r="H11" s="88">
        <f>IF(B$20=0,0,G11/B$20)</f>
        <v>0.1</v>
      </c>
      <c r="I11" s="58">
        <v>5</v>
      </c>
      <c r="K11" s="74">
        <v>9</v>
      </c>
      <c r="L11" s="119">
        <v>40.700000000000003</v>
      </c>
      <c r="M11" s="117">
        <v>1613.3226961858495</v>
      </c>
      <c r="O11" s="74" t="s">
        <v>152</v>
      </c>
      <c r="P11" s="83">
        <f>IF(Q11=0,0,R11/Q11)</f>
        <v>-0.8999999999999998</v>
      </c>
      <c r="Q11" s="77">
        <v>4</v>
      </c>
      <c r="R11" s="68">
        <v>-3.5999999999999992</v>
      </c>
    </row>
    <row r="12" spans="1:18" x14ac:dyDescent="0.4">
      <c r="A12" s="20" t="s">
        <v>185</v>
      </c>
      <c r="B12" s="109">
        <f>IF(B9=0,0,C12/B9)</f>
        <v>-6.5666666666666664</v>
      </c>
      <c r="C12" s="110">
        <v>-39.4</v>
      </c>
      <c r="E12" s="27" t="s">
        <v>67</v>
      </c>
      <c r="F12" s="24" t="s">
        <v>23</v>
      </c>
      <c r="G12" s="12">
        <v>2</v>
      </c>
      <c r="H12" s="88">
        <f>IF(B$20=0,0,G12/B$20)</f>
        <v>0.1</v>
      </c>
      <c r="I12" s="58">
        <v>4</v>
      </c>
      <c r="O12" s="75" t="s">
        <v>153</v>
      </c>
      <c r="P12" s="84">
        <f>IF(Q12=0,0,R12/Q12)</f>
        <v>-26.05</v>
      </c>
      <c r="Q12" s="78">
        <v>2</v>
      </c>
      <c r="R12" s="69">
        <v>-52.1</v>
      </c>
    </row>
    <row r="13" spans="1:18" x14ac:dyDescent="0.4">
      <c r="A13" s="20" t="s">
        <v>186</v>
      </c>
      <c r="B13" s="109">
        <f>IF(B10=0,0,C13/B10)</f>
        <v>-21.6</v>
      </c>
      <c r="C13" s="110">
        <v>-21.6</v>
      </c>
      <c r="E13" s="27" t="s">
        <v>86</v>
      </c>
      <c r="F13" s="24" t="s">
        <v>41</v>
      </c>
      <c r="G13" s="12">
        <v>1</v>
      </c>
      <c r="H13" s="88">
        <f>IF(B$20=0,0,G13/B$20)</f>
        <v>0.05</v>
      </c>
      <c r="I13" s="58">
        <v>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7.56111111111111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3</v>
      </c>
      <c r="O15" s="73" t="s">
        <v>197</v>
      </c>
      <c r="P15" s="82">
        <f>IF(Q15=0,0,R15/Q15)</f>
        <v>54.133333333333326</v>
      </c>
      <c r="Q15" s="76">
        <v>3</v>
      </c>
      <c r="R15" s="67">
        <v>162.39999999999998</v>
      </c>
    </row>
    <row r="16" spans="1:18" x14ac:dyDescent="0.4">
      <c r="A16" s="22" t="s">
        <v>121</v>
      </c>
      <c r="B16" s="15">
        <v>18</v>
      </c>
      <c r="C16" s="10">
        <f>IF(B$3=0,0,B16/B$3)</f>
        <v>0.27272727272727271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1</v>
      </c>
      <c r="O16" s="74" t="s">
        <v>192</v>
      </c>
      <c r="P16" s="83">
        <f>IF(Q16=0,0,R16/Q16)</f>
        <v>-2.6500000000000008</v>
      </c>
      <c r="Q16" s="77">
        <v>6</v>
      </c>
      <c r="R16" s="68">
        <v>-15.900000000000004</v>
      </c>
    </row>
    <row r="17" spans="1:18" x14ac:dyDescent="0.4">
      <c r="A17" s="19" t="s">
        <v>118</v>
      </c>
      <c r="B17" s="12">
        <v>14</v>
      </c>
      <c r="C17" s="6">
        <f>IF(B$3=0,0,B17/B$3)</f>
        <v>0.21212121212121213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-2.7111111111111099</v>
      </c>
      <c r="Q17" s="77">
        <v>9</v>
      </c>
      <c r="R17" s="68">
        <v>-24.399999999999988</v>
      </c>
    </row>
    <row r="18" spans="1:18" x14ac:dyDescent="0.4">
      <c r="A18" s="18" t="s">
        <v>123</v>
      </c>
      <c r="B18" s="11">
        <f>B24</f>
        <v>11</v>
      </c>
      <c r="C18" s="5">
        <f>IF(B$16=0,0,B18/B$16)</f>
        <v>0.61111111111111116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0.2857142857142857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4</v>
      </c>
    </row>
    <row r="20" spans="1:18" x14ac:dyDescent="0.4">
      <c r="A20" s="18" t="s">
        <v>10</v>
      </c>
      <c r="B20" s="11">
        <f>B23+B22</f>
        <v>20</v>
      </c>
      <c r="C20" s="5">
        <f>IF(B$3=0,0,B20/B$3)</f>
        <v>0.30303030303030304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9</v>
      </c>
      <c r="C21" s="6">
        <f>IF(B$3=0,0,B21/B$3)</f>
        <v>0.13636363636363635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9</v>
      </c>
      <c r="C22" s="6">
        <f>IF(B$20=0,0,B22/B$20)</f>
        <v>0.45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5</v>
      </c>
    </row>
    <row r="23" spans="1:18" x14ac:dyDescent="0.4">
      <c r="A23" s="19" t="s">
        <v>11</v>
      </c>
      <c r="B23" s="12">
        <v>11</v>
      </c>
      <c r="C23" s="6">
        <f>IF(B$20=0,0,B23/B$20)</f>
        <v>0.55000000000000004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11</v>
      </c>
      <c r="C24" s="6">
        <f>IF(B$20=0,0,B24/B$20)</f>
        <v>0.55000000000000004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4</v>
      </c>
    </row>
    <row r="25" spans="1:18" x14ac:dyDescent="0.4">
      <c r="A25" s="19" t="s">
        <v>181</v>
      </c>
      <c r="B25" s="12">
        <v>4</v>
      </c>
      <c r="C25" s="6">
        <f>IF(B$20=0,0,B25/B$20)</f>
        <v>0.2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182</v>
      </c>
      <c r="B26" s="12">
        <v>5</v>
      </c>
      <c r="C26" s="6">
        <f>IF(B$20=0,0,B26/B$20)</f>
        <v>0.25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8655</v>
      </c>
      <c r="C27" s="8">
        <v>173100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8356.25</v>
      </c>
      <c r="C28" s="96">
        <v>133700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">
      <c r="A29" s="20" t="s">
        <v>166</v>
      </c>
      <c r="B29" s="95">
        <f>IF(B$19=0,0,C29/B$19)</f>
        <v>9850</v>
      </c>
      <c r="C29" s="96">
        <v>39400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-6144.4444444444443</v>
      </c>
      <c r="C30" s="96">
        <v>-55300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158</v>
      </c>
      <c r="B32" s="12">
        <v>16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76100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0.05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167</v>
      </c>
      <c r="B38" s="12">
        <v>2</v>
      </c>
      <c r="C38" s="6">
        <f t="shared" si="2"/>
        <v>0.1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0.05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8</v>
      </c>
      <c r="C40" s="6">
        <f t="shared" si="2"/>
        <v>0.4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2"/>
        <v>0.25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2"/>
        <v>0.05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2"/>
        <v>0.1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2D49-E6A6-4055-AEEE-EF390ED75C3C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19</v>
      </c>
      <c r="C2" s="134"/>
      <c r="E2" s="26" t="s">
        <v>64</v>
      </c>
      <c r="F2" s="23" t="s">
        <v>20</v>
      </c>
      <c r="G2" s="11">
        <v>33</v>
      </c>
      <c r="H2" s="87">
        <f>IF(B$20=0,0,G2/B$20)</f>
        <v>0.56896551724137934</v>
      </c>
      <c r="I2" s="57">
        <v>3</v>
      </c>
      <c r="K2" s="73">
        <v>0</v>
      </c>
      <c r="L2" s="118">
        <v>0</v>
      </c>
      <c r="M2" s="116">
        <v>1758.0662353696366</v>
      </c>
      <c r="O2" s="73" t="s">
        <v>128</v>
      </c>
      <c r="P2" s="79">
        <f t="shared" ref="P2:P7" si="0">IF(Q2=0,0,R2/Q2)</f>
        <v>957.89473684210532</v>
      </c>
      <c r="Q2" s="76">
        <v>19</v>
      </c>
      <c r="R2" s="63">
        <v>18200</v>
      </c>
    </row>
    <row r="3" spans="1:18" x14ac:dyDescent="0.4">
      <c r="A3" s="19" t="s">
        <v>8</v>
      </c>
      <c r="B3" s="135">
        <v>153</v>
      </c>
      <c r="C3" s="136"/>
      <c r="E3" s="27" t="s">
        <v>66</v>
      </c>
      <c r="F3" s="24" t="s">
        <v>22</v>
      </c>
      <c r="G3" s="12">
        <v>33</v>
      </c>
      <c r="H3" s="88">
        <f>IF(B$20=0,0,G3/B$20)</f>
        <v>0.56896551724137934</v>
      </c>
      <c r="I3" s="58">
        <v>4</v>
      </c>
      <c r="K3" s="74">
        <v>1</v>
      </c>
      <c r="L3" s="119">
        <v>-4.5999999999999996</v>
      </c>
      <c r="M3" s="117">
        <v>1755.6898379574188</v>
      </c>
      <c r="O3" s="74" t="s">
        <v>129</v>
      </c>
      <c r="P3" s="80">
        <f t="shared" si="0"/>
        <v>5873.6842105263158</v>
      </c>
      <c r="Q3" s="77">
        <v>19</v>
      </c>
      <c r="R3" s="64">
        <v>111600</v>
      </c>
    </row>
    <row r="4" spans="1:18" x14ac:dyDescent="0.4">
      <c r="A4" s="19" t="s">
        <v>6</v>
      </c>
      <c r="B4" s="137">
        <v>216.79999999999998</v>
      </c>
      <c r="C4" s="138"/>
      <c r="E4" s="27" t="s">
        <v>68</v>
      </c>
      <c r="F4" s="24" t="s">
        <v>12</v>
      </c>
      <c r="G4" s="12">
        <v>24</v>
      </c>
      <c r="H4" s="88">
        <f>IF(B$20=0,0,G4/B$20)</f>
        <v>0.41379310344827586</v>
      </c>
      <c r="I4" s="58">
        <v>1</v>
      </c>
      <c r="K4" s="74">
        <v>2</v>
      </c>
      <c r="L4" s="119">
        <v>42.6</v>
      </c>
      <c r="M4" s="117">
        <v>1763.2996989296744</v>
      </c>
      <c r="O4" s="74" t="s">
        <v>130</v>
      </c>
      <c r="P4" s="80">
        <f t="shared" si="0"/>
        <v>288.23529411764707</v>
      </c>
      <c r="Q4" s="77">
        <v>17</v>
      </c>
      <c r="R4" s="64">
        <v>4900</v>
      </c>
    </row>
    <row r="5" spans="1:18" x14ac:dyDescent="0.4">
      <c r="A5" s="19" t="s">
        <v>7</v>
      </c>
      <c r="B5" s="125">
        <f>IF(B$2=0,0,B$4/B$2)</f>
        <v>11.410526315789474</v>
      </c>
      <c r="C5" s="126"/>
      <c r="E5" s="27" t="s">
        <v>159</v>
      </c>
      <c r="F5" s="24" t="s">
        <v>160</v>
      </c>
      <c r="G5" s="12">
        <v>23</v>
      </c>
      <c r="H5" s="88">
        <f>IF(B$20=0,0,G5/B$20)</f>
        <v>0.39655172413793105</v>
      </c>
      <c r="I5" s="58">
        <v>6</v>
      </c>
      <c r="K5" s="74">
        <v>3</v>
      </c>
      <c r="L5" s="119">
        <v>64.400000000000006</v>
      </c>
      <c r="M5" s="117">
        <v>1766.2919007360963</v>
      </c>
      <c r="O5" s="74" t="s">
        <v>131</v>
      </c>
      <c r="P5" s="80">
        <f t="shared" si="0"/>
        <v>-423.52941176470586</v>
      </c>
      <c r="Q5" s="77">
        <v>17</v>
      </c>
      <c r="R5" s="64">
        <v>-7200</v>
      </c>
    </row>
    <row r="6" spans="1:18" x14ac:dyDescent="0.4">
      <c r="A6" s="19" t="s">
        <v>195</v>
      </c>
      <c r="B6" s="129">
        <v>1778.5418921811633</v>
      </c>
      <c r="C6" s="130"/>
      <c r="E6" s="27" t="s">
        <v>72</v>
      </c>
      <c r="F6" s="24" t="s">
        <v>27</v>
      </c>
      <c r="G6" s="12">
        <v>19</v>
      </c>
      <c r="H6" s="88">
        <f>IF(B$20=0,0,G6/B$20)</f>
        <v>0.32758620689655171</v>
      </c>
      <c r="I6" s="58">
        <v>6</v>
      </c>
      <c r="K6" s="74">
        <v>4</v>
      </c>
      <c r="L6" s="119">
        <v>82.4</v>
      </c>
      <c r="M6" s="117">
        <v>1768.6901493316798</v>
      </c>
      <c r="O6" s="74" t="s">
        <v>132</v>
      </c>
      <c r="P6" s="80">
        <f t="shared" si="0"/>
        <v>1006.6666666666666</v>
      </c>
      <c r="Q6" s="77">
        <v>15</v>
      </c>
      <c r="R6" s="64">
        <v>15100</v>
      </c>
    </row>
    <row r="7" spans="1:18" x14ac:dyDescent="0.4">
      <c r="A7" s="19" t="s">
        <v>1</v>
      </c>
      <c r="B7" s="139">
        <f>IF(B$2=0,0,(B$8*1+B$9*2+B$10*3)/B$2)</f>
        <v>1.6842105263157894</v>
      </c>
      <c r="C7" s="140"/>
      <c r="E7" s="27" t="s">
        <v>69</v>
      </c>
      <c r="F7" s="24" t="s">
        <v>24</v>
      </c>
      <c r="G7" s="12">
        <v>13</v>
      </c>
      <c r="H7" s="88">
        <f>IF(B$20=0,0,G7/B$20)</f>
        <v>0.22413793103448276</v>
      </c>
      <c r="I7" s="58">
        <v>3</v>
      </c>
      <c r="K7" s="74">
        <v>5</v>
      </c>
      <c r="L7" s="119">
        <v>99.300000000000011</v>
      </c>
      <c r="M7" s="117">
        <v>1771.0920084356896</v>
      </c>
      <c r="O7" s="75" t="s">
        <v>133</v>
      </c>
      <c r="P7" s="81">
        <f t="shared" si="0"/>
        <v>1183.3333333333333</v>
      </c>
      <c r="Q7" s="78">
        <v>12</v>
      </c>
      <c r="R7" s="65">
        <v>14200</v>
      </c>
    </row>
    <row r="8" spans="1:18" x14ac:dyDescent="0.4">
      <c r="A8" s="19" t="s">
        <v>2</v>
      </c>
      <c r="B8" s="12">
        <v>10</v>
      </c>
      <c r="C8" s="6">
        <f t="shared" ref="C8:C15" si="1">IF(B$2=0,0,B8/B$2)</f>
        <v>0.52631578947368418</v>
      </c>
      <c r="E8" s="27" t="s">
        <v>67</v>
      </c>
      <c r="F8" s="24" t="s">
        <v>23</v>
      </c>
      <c r="G8" s="12">
        <v>10</v>
      </c>
      <c r="H8" s="88">
        <f>IF(B$20=0,0,G8/B$20)</f>
        <v>0.17241379310344829</v>
      </c>
      <c r="I8" s="58">
        <v>1</v>
      </c>
      <c r="K8" s="74">
        <v>6</v>
      </c>
      <c r="L8" s="119">
        <v>175.8</v>
      </c>
      <c r="M8" s="117">
        <v>1784.2074563850756</v>
      </c>
      <c r="O8" s="107"/>
      <c r="P8" s="85"/>
      <c r="Q8" s="108"/>
      <c r="R8" s="70"/>
    </row>
    <row r="9" spans="1:18" x14ac:dyDescent="0.4">
      <c r="A9" s="19" t="s">
        <v>3</v>
      </c>
      <c r="B9" s="12">
        <v>5</v>
      </c>
      <c r="C9" s="6">
        <f t="shared" si="1"/>
        <v>0.26315789473684209</v>
      </c>
      <c r="E9" s="27" t="s">
        <v>65</v>
      </c>
      <c r="F9" s="24" t="s">
        <v>21</v>
      </c>
      <c r="G9" s="12">
        <v>8</v>
      </c>
      <c r="H9" s="88">
        <f>IF(B$20=0,0,G9/B$20)</f>
        <v>0.13793103448275862</v>
      </c>
      <c r="I9" s="58">
        <v>3</v>
      </c>
      <c r="K9" s="74">
        <v>7</v>
      </c>
      <c r="L9" s="119">
        <v>124.60000000000001</v>
      </c>
      <c r="M9" s="117">
        <v>1774.2582116467652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1"/>
        <v>0.21052631578947367</v>
      </c>
      <c r="E10" s="27" t="s">
        <v>89</v>
      </c>
      <c r="F10" s="24" t="s">
        <v>44</v>
      </c>
      <c r="G10" s="12">
        <v>7</v>
      </c>
      <c r="H10" s="88">
        <f>IF(B$20=0,0,G10/B$20)</f>
        <v>0.1206896551724138</v>
      </c>
      <c r="I10" s="58">
        <v>5</v>
      </c>
      <c r="K10" s="74">
        <v>8</v>
      </c>
      <c r="L10" s="119">
        <v>86.300000000000011</v>
      </c>
      <c r="M10" s="117">
        <v>1766.6906623768846</v>
      </c>
      <c r="O10" s="73" t="s">
        <v>151</v>
      </c>
      <c r="P10" s="82">
        <f>IF(Q10=0,0,R10/Q10)</f>
        <v>9.5888888888888868</v>
      </c>
      <c r="Q10" s="76">
        <v>9</v>
      </c>
      <c r="R10" s="67">
        <v>86.299999999999983</v>
      </c>
    </row>
    <row r="11" spans="1:18" x14ac:dyDescent="0.4">
      <c r="A11" s="20" t="s">
        <v>184</v>
      </c>
      <c r="B11" s="109">
        <f>IF(B8=0,0,C11/B8)</f>
        <v>38.089999999999996</v>
      </c>
      <c r="C11" s="110">
        <v>380.9</v>
      </c>
      <c r="E11" s="27" t="s">
        <v>70</v>
      </c>
      <c r="F11" s="24" t="s">
        <v>25</v>
      </c>
      <c r="G11" s="12">
        <v>6</v>
      </c>
      <c r="H11" s="88">
        <f>IF(B$20=0,0,G11/B$20)</f>
        <v>0.10344827586206896</v>
      </c>
      <c r="I11" s="58">
        <v>5</v>
      </c>
      <c r="K11" s="74">
        <v>9</v>
      </c>
      <c r="L11" s="119">
        <v>65.100000000000009</v>
      </c>
      <c r="M11" s="117">
        <v>1762.2465184026232</v>
      </c>
      <c r="O11" s="74" t="s">
        <v>152</v>
      </c>
      <c r="P11" s="83">
        <f>IF(Q11=0,0,R11/Q11)</f>
        <v>14.983333333333336</v>
      </c>
      <c r="Q11" s="77">
        <v>6</v>
      </c>
      <c r="R11" s="68">
        <v>89.90000000000002</v>
      </c>
    </row>
    <row r="12" spans="1:18" x14ac:dyDescent="0.4">
      <c r="A12" s="20" t="s">
        <v>185</v>
      </c>
      <c r="B12" s="109">
        <f>IF(B9=0,0,C12/B9)</f>
        <v>-6.8</v>
      </c>
      <c r="C12" s="110">
        <v>-34</v>
      </c>
      <c r="E12" s="27" t="s">
        <v>81</v>
      </c>
      <c r="F12" s="24" t="s">
        <v>36</v>
      </c>
      <c r="G12" s="12">
        <v>5</v>
      </c>
      <c r="H12" s="88">
        <f>IF(B$20=0,0,G12/B$20)</f>
        <v>8.6206896551724144E-2</v>
      </c>
      <c r="I12" s="58">
        <v>1</v>
      </c>
      <c r="K12" s="74">
        <v>10</v>
      </c>
      <c r="L12" s="119">
        <v>60.500000000000007</v>
      </c>
      <c r="M12" s="117">
        <v>1760.5890392922074</v>
      </c>
      <c r="O12" s="75" t="s">
        <v>153</v>
      </c>
      <c r="P12" s="84">
        <f>IF(Q12=0,0,R12/Q12)</f>
        <v>10.15</v>
      </c>
      <c r="Q12" s="78">
        <v>4</v>
      </c>
      <c r="R12" s="69">
        <v>40.6</v>
      </c>
    </row>
    <row r="13" spans="1:18" x14ac:dyDescent="0.4">
      <c r="A13" s="20" t="s">
        <v>186</v>
      </c>
      <c r="B13" s="109">
        <f>IF(B10=0,0,C13/B10)</f>
        <v>-32.524999999999999</v>
      </c>
      <c r="C13" s="110">
        <v>-130.1</v>
      </c>
      <c r="E13" s="27" t="s">
        <v>83</v>
      </c>
      <c r="F13" s="24" t="s">
        <v>38</v>
      </c>
      <c r="G13" s="12">
        <v>5</v>
      </c>
      <c r="H13" s="88">
        <f>IF(B$20=0,0,G13/B$20)</f>
        <v>8.6206896551724144E-2</v>
      </c>
      <c r="I13" s="58">
        <v>1</v>
      </c>
      <c r="K13" s="74">
        <v>11</v>
      </c>
      <c r="L13" s="119">
        <v>41.100000000000009</v>
      </c>
      <c r="M13" s="117">
        <v>1756.0315050564541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-0.41166666666666768</v>
      </c>
      <c r="C14" s="126"/>
      <c r="E14" s="27" t="s">
        <v>86</v>
      </c>
      <c r="F14" s="24" t="s">
        <v>41</v>
      </c>
      <c r="G14" s="12">
        <v>5</v>
      </c>
      <c r="H14" s="88">
        <f>IF(B$20=0,0,G14/B$20)</f>
        <v>8.6206896551724144E-2</v>
      </c>
      <c r="I14" s="58">
        <v>2</v>
      </c>
      <c r="K14" s="74">
        <v>12</v>
      </c>
      <c r="L14" s="119">
        <v>98.9</v>
      </c>
      <c r="M14" s="117">
        <v>1765.3973160261153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5.2631578947368418E-2</v>
      </c>
      <c r="E15" s="27" t="s">
        <v>71</v>
      </c>
      <c r="F15" s="24" t="s">
        <v>26</v>
      </c>
      <c r="G15" s="12">
        <v>3</v>
      </c>
      <c r="H15" s="88">
        <f>IF(B$20=0,0,G15/B$20)</f>
        <v>5.1724137931034482E-2</v>
      </c>
      <c r="I15" s="58">
        <v>4</v>
      </c>
      <c r="K15" s="74">
        <v>13</v>
      </c>
      <c r="L15" s="119">
        <v>119.10000000000001</v>
      </c>
      <c r="M15" s="117">
        <v>1767.9389321299586</v>
      </c>
      <c r="O15" s="73" t="s">
        <v>197</v>
      </c>
      <c r="P15" s="82">
        <f>IF(Q15=0,0,R15/Q15)</f>
        <v>59.266666666666673</v>
      </c>
      <c r="Q15" s="76">
        <v>3</v>
      </c>
      <c r="R15" s="67">
        <v>177.8</v>
      </c>
    </row>
    <row r="16" spans="1:18" x14ac:dyDescent="0.4">
      <c r="A16" s="22" t="s">
        <v>121</v>
      </c>
      <c r="B16" s="15">
        <v>60</v>
      </c>
      <c r="C16" s="10">
        <f>IF(B$3=0,0,B16/B$3)</f>
        <v>0.39215686274509803</v>
      </c>
      <c r="E16" s="27" t="s">
        <v>78</v>
      </c>
      <c r="F16" s="24" t="s">
        <v>33</v>
      </c>
      <c r="G16" s="12">
        <v>3</v>
      </c>
      <c r="H16" s="88">
        <f>IF(B$20=0,0,G16/B$20)</f>
        <v>5.1724137931034482E-2</v>
      </c>
      <c r="I16" s="58">
        <v>2</v>
      </c>
      <c r="K16" s="74">
        <v>14</v>
      </c>
      <c r="L16" s="119">
        <v>162.4</v>
      </c>
      <c r="M16" s="117">
        <v>1774.6232985371789</v>
      </c>
      <c r="O16" s="74" t="s">
        <v>194</v>
      </c>
      <c r="P16" s="83">
        <f>IF(Q16=0,0,R16/Q16)</f>
        <v>27.379999999999995</v>
      </c>
      <c r="Q16" s="77">
        <v>10</v>
      </c>
      <c r="R16" s="68">
        <v>273.79999999999995</v>
      </c>
    </row>
    <row r="17" spans="1:18" x14ac:dyDescent="0.4">
      <c r="A17" s="19" t="s">
        <v>118</v>
      </c>
      <c r="B17" s="12">
        <v>20</v>
      </c>
      <c r="C17" s="6">
        <f>IF(B$3=0,0,B17/B$3)</f>
        <v>0.13071895424836602</v>
      </c>
      <c r="E17" s="27" t="s">
        <v>88</v>
      </c>
      <c r="F17" s="24" t="s">
        <v>43</v>
      </c>
      <c r="G17" s="12">
        <v>1</v>
      </c>
      <c r="H17" s="88">
        <f>IF(B$20=0,0,G17/B$20)</f>
        <v>1.7241379310344827E-2</v>
      </c>
      <c r="I17" s="58">
        <v>1</v>
      </c>
      <c r="K17" s="74">
        <v>15</v>
      </c>
      <c r="L17" s="119">
        <v>219.2</v>
      </c>
      <c r="M17" s="117">
        <v>1783.6975587459558</v>
      </c>
      <c r="O17" s="74" t="s">
        <v>192</v>
      </c>
      <c r="P17" s="83">
        <f>IF(Q17=0,0,R17/Q17)</f>
        <v>10.899999999999999</v>
      </c>
      <c r="Q17" s="77">
        <v>16</v>
      </c>
      <c r="R17" s="68">
        <v>174.39999999999998</v>
      </c>
    </row>
    <row r="18" spans="1:18" x14ac:dyDescent="0.4">
      <c r="A18" s="18" t="s">
        <v>123</v>
      </c>
      <c r="B18" s="11">
        <f>B24</f>
        <v>34</v>
      </c>
      <c r="C18" s="5">
        <f>IF(B$16=0,0,B18/B$16)</f>
        <v>0.56666666666666665</v>
      </c>
      <c r="E18" s="27" t="s">
        <v>91</v>
      </c>
      <c r="F18" s="24" t="s">
        <v>46</v>
      </c>
      <c r="G18" s="12">
        <v>1</v>
      </c>
      <c r="H18" s="88">
        <f>IF(B$20=0,0,G18/B$20)</f>
        <v>1.7241379310344827E-2</v>
      </c>
      <c r="I18" s="58">
        <v>2</v>
      </c>
      <c r="K18" s="74">
        <v>16</v>
      </c>
      <c r="L18" s="119">
        <v>207.6</v>
      </c>
      <c r="M18" s="117">
        <v>1780.40537339348</v>
      </c>
      <c r="O18" s="74" t="s">
        <v>163</v>
      </c>
      <c r="P18" s="83">
        <f>IF(Q18=0,0,R18/Q18)</f>
        <v>2.7111111111111104</v>
      </c>
      <c r="Q18" s="77">
        <v>9</v>
      </c>
      <c r="R18" s="68">
        <v>24.399999999999991</v>
      </c>
    </row>
    <row r="19" spans="1:18" x14ac:dyDescent="0.4">
      <c r="A19" s="18" t="s">
        <v>124</v>
      </c>
      <c r="B19" s="11">
        <f>B25</f>
        <v>9</v>
      </c>
      <c r="C19" s="5">
        <f>IF(B$17=0,0,B19/B$17)</f>
        <v>0.45</v>
      </c>
      <c r="E19" s="27" t="s">
        <v>93</v>
      </c>
      <c r="F19" s="24" t="s">
        <v>48</v>
      </c>
      <c r="G19" s="12">
        <v>1</v>
      </c>
      <c r="H19" s="88">
        <f>IF(B$20=0,0,G19/B$20)</f>
        <v>1.7241379310344827E-2</v>
      </c>
      <c r="I19" s="58">
        <v>1</v>
      </c>
      <c r="K19" s="74">
        <v>17</v>
      </c>
      <c r="L19" s="119">
        <v>209.2</v>
      </c>
      <c r="M19" s="117">
        <v>1779.5089411531192</v>
      </c>
    </row>
    <row r="20" spans="1:18" x14ac:dyDescent="0.4">
      <c r="A20" s="18" t="s">
        <v>10</v>
      </c>
      <c r="B20" s="11">
        <f>B23+B22</f>
        <v>58</v>
      </c>
      <c r="C20" s="5">
        <f>IF(B$3=0,0,B20/B$3)</f>
        <v>0.37908496732026142</v>
      </c>
      <c r="E20" s="27" t="s">
        <v>98</v>
      </c>
      <c r="F20" s="24" t="s">
        <v>53</v>
      </c>
      <c r="G20" s="12">
        <v>1</v>
      </c>
      <c r="H20" s="88">
        <f>IF(B$20=0,0,G20/B$20)</f>
        <v>1.7241379310344827E-2</v>
      </c>
      <c r="I20" s="58">
        <v>1</v>
      </c>
      <c r="K20" s="74">
        <v>18</v>
      </c>
      <c r="L20" s="119">
        <v>194.39999999999998</v>
      </c>
      <c r="M20" s="117">
        <v>1775.6658875062005</v>
      </c>
    </row>
    <row r="21" spans="1:18" x14ac:dyDescent="0.4">
      <c r="A21" s="19" t="s">
        <v>13</v>
      </c>
      <c r="B21" s="12">
        <v>25</v>
      </c>
      <c r="C21" s="6">
        <f>IF(B$3=0,0,B21/B$3)</f>
        <v>0.16339869281045752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216.79999999999998</v>
      </c>
      <c r="M21" s="117">
        <v>1778.5418921811633</v>
      </c>
    </row>
    <row r="22" spans="1:18" x14ac:dyDescent="0.4">
      <c r="A22" s="19" t="s">
        <v>12</v>
      </c>
      <c r="B22" s="12">
        <v>30</v>
      </c>
      <c r="C22" s="6">
        <f>IF(B$20=0,0,B22/B$20)</f>
        <v>0.51724137931034486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28</v>
      </c>
      <c r="C23" s="6">
        <f>IF(B$20=0,0,B23/B$20)</f>
        <v>0.48275862068965519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34</v>
      </c>
      <c r="C24" s="6">
        <f>IF(B$20=0,0,B24/B$20)</f>
        <v>0.58620689655172409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9</v>
      </c>
      <c r="C25" s="6">
        <f>IF(B$20=0,0,B25/B$20)</f>
        <v>0.15517241379310345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182</v>
      </c>
      <c r="B26" s="12">
        <v>15</v>
      </c>
      <c r="C26" s="6">
        <f>IF(B$20=0,0,B26/B$20)</f>
        <v>0.25862068965517243</v>
      </c>
      <c r="E26" s="27" t="s">
        <v>79</v>
      </c>
      <c r="F26" s="24" t="s">
        <v>34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9108.6206896551721</v>
      </c>
      <c r="C27" s="8">
        <v>528300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9102.0408163265311</v>
      </c>
      <c r="C28" s="96">
        <v>446000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9144.4444444444453</v>
      </c>
      <c r="C29" s="96">
        <v>82300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-8608</v>
      </c>
      <c r="C30" s="96">
        <v>-215200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158</v>
      </c>
      <c r="B32" s="12">
        <v>21</v>
      </c>
      <c r="C32" s="90">
        <v>4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4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101500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2">IF(B$20=0,0,B37/B$20)</f>
        <v>0.10344827586206896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7</v>
      </c>
      <c r="C38" s="6">
        <f t="shared" si="2"/>
        <v>0.1206896551724138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9</v>
      </c>
      <c r="C39" s="6">
        <f t="shared" si="2"/>
        <v>0.15517241379310345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10</v>
      </c>
      <c r="C40" s="6">
        <f t="shared" si="2"/>
        <v>0.17241379310344829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13</v>
      </c>
      <c r="C41" s="6">
        <f t="shared" si="2"/>
        <v>0.22413793103448276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5</v>
      </c>
      <c r="C42" s="6">
        <f t="shared" si="2"/>
        <v>8.6206896551724144E-2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1.7241379310344827E-2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1.7241379310344827E-2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4</v>
      </c>
      <c r="C45" s="6">
        <f t="shared" si="2"/>
        <v>6.8965517241379309E-2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3.4482758620689655E-2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4611C-BD76-4636-9CCD-DA8E3F58B838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72</v>
      </c>
      <c r="F2" s="23" t="s">
        <v>27</v>
      </c>
      <c r="G2" s="11">
        <v>2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1463.4239467393418</v>
      </c>
      <c r="O2" s="73" t="s">
        <v>128</v>
      </c>
      <c r="P2" s="79">
        <f t="shared" ref="P2:P7" si="0">IF(Q2=0,0,R2/Q2)</f>
        <v>-7666.666666666667</v>
      </c>
      <c r="Q2" s="76">
        <v>3</v>
      </c>
      <c r="R2" s="63">
        <v>-23000</v>
      </c>
    </row>
    <row r="3" spans="1:18" x14ac:dyDescent="0.4">
      <c r="A3" s="19" t="s">
        <v>8</v>
      </c>
      <c r="B3" s="135">
        <v>17</v>
      </c>
      <c r="C3" s="136"/>
      <c r="E3" s="27" t="s">
        <v>159</v>
      </c>
      <c r="F3" s="24" t="s">
        <v>160</v>
      </c>
      <c r="G3" s="12">
        <v>1</v>
      </c>
      <c r="H3" s="88">
        <f>IF(B$20=0,0,G3/B$20)</f>
        <v>0.5</v>
      </c>
      <c r="I3" s="58">
        <v>1</v>
      </c>
      <c r="K3" s="74">
        <v>1</v>
      </c>
      <c r="L3" s="119">
        <v>-46</v>
      </c>
      <c r="M3" s="117">
        <v>1455.3634030589058</v>
      </c>
      <c r="O3" s="74" t="s">
        <v>129</v>
      </c>
      <c r="P3" s="80">
        <f t="shared" si="0"/>
        <v>-12733.333333333334</v>
      </c>
      <c r="Q3" s="77">
        <v>3</v>
      </c>
      <c r="R3" s="64">
        <v>-38200</v>
      </c>
    </row>
    <row r="4" spans="1:18" x14ac:dyDescent="0.4">
      <c r="A4" s="19" t="s">
        <v>6</v>
      </c>
      <c r="B4" s="137">
        <v>-113.4</v>
      </c>
      <c r="C4" s="138"/>
      <c r="E4" s="27" t="s">
        <v>64</v>
      </c>
      <c r="F4" s="24" t="s">
        <v>20</v>
      </c>
      <c r="G4" s="12">
        <v>0</v>
      </c>
      <c r="H4" s="88">
        <f>IF(B$20=0,0,G4/B$20)</f>
        <v>0</v>
      </c>
      <c r="I4" s="58">
        <v>6</v>
      </c>
      <c r="K4" s="74">
        <v>2</v>
      </c>
      <c r="L4" s="119">
        <v>-96.9</v>
      </c>
      <c r="M4" s="117">
        <v>1447.1172226405524</v>
      </c>
      <c r="O4" s="74" t="s">
        <v>130</v>
      </c>
      <c r="P4" s="80">
        <f t="shared" si="0"/>
        <v>-5200</v>
      </c>
      <c r="Q4" s="77">
        <v>2</v>
      </c>
      <c r="R4" s="64">
        <v>-10400</v>
      </c>
    </row>
    <row r="5" spans="1:18" x14ac:dyDescent="0.4">
      <c r="A5" s="19" t="s">
        <v>7</v>
      </c>
      <c r="B5" s="125">
        <f>IF(B$2=0,0,B$4/B$2)</f>
        <v>-37.800000000000004</v>
      </c>
      <c r="C5" s="126"/>
      <c r="E5" s="27" t="s">
        <v>65</v>
      </c>
      <c r="F5" s="24" t="s">
        <v>21</v>
      </c>
      <c r="G5" s="12">
        <v>0</v>
      </c>
      <c r="H5" s="88">
        <f>IF(B$20=0,0,G5/B$20)</f>
        <v>0</v>
      </c>
      <c r="I5" s="58">
        <v>6</v>
      </c>
      <c r="K5" s="74">
        <v>3</v>
      </c>
      <c r="L5" s="119">
        <v>-113.4</v>
      </c>
      <c r="M5" s="117">
        <v>1445.1125193047092</v>
      </c>
      <c r="O5" s="74" t="s">
        <v>131</v>
      </c>
      <c r="P5" s="80">
        <f t="shared" si="0"/>
        <v>-1900</v>
      </c>
      <c r="Q5" s="77">
        <v>2</v>
      </c>
      <c r="R5" s="64">
        <v>-3800</v>
      </c>
    </row>
    <row r="6" spans="1:18" x14ac:dyDescent="0.4">
      <c r="A6" s="19" t="s">
        <v>195</v>
      </c>
      <c r="B6" s="129">
        <v>1445.1125193047092</v>
      </c>
      <c r="C6" s="130"/>
      <c r="E6" s="27" t="s">
        <v>66</v>
      </c>
      <c r="F6" s="24" t="s">
        <v>22</v>
      </c>
      <c r="G6" s="12">
        <v>0</v>
      </c>
      <c r="H6" s="88">
        <f>IF(B$20=0,0,G6/B$20)</f>
        <v>0</v>
      </c>
      <c r="I6" s="58">
        <v>6</v>
      </c>
      <c r="O6" s="74" t="s">
        <v>132</v>
      </c>
      <c r="P6" s="80">
        <f t="shared" si="0"/>
        <v>-4000</v>
      </c>
      <c r="Q6" s="77">
        <v>2</v>
      </c>
      <c r="R6" s="64">
        <v>-8000</v>
      </c>
    </row>
    <row r="7" spans="1:18" x14ac:dyDescent="0.4">
      <c r="A7" s="19" t="s">
        <v>1</v>
      </c>
      <c r="B7" s="139">
        <f>IF(B$2=0,0,(B$8*1+B$9*2+B$10*3)/B$2)</f>
        <v>3</v>
      </c>
      <c r="C7" s="140"/>
      <c r="E7" s="27" t="s">
        <v>67</v>
      </c>
      <c r="F7" s="24" t="s">
        <v>23</v>
      </c>
      <c r="G7" s="12">
        <v>0</v>
      </c>
      <c r="H7" s="88">
        <f>IF(B$20=0,0,G7/B$20)</f>
        <v>0</v>
      </c>
      <c r="I7" s="58">
        <v>5</v>
      </c>
      <c r="O7" s="75" t="s">
        <v>133</v>
      </c>
      <c r="P7" s="81">
        <f t="shared" si="0"/>
        <v>0</v>
      </c>
      <c r="Q7" s="78">
        <v>1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68</v>
      </c>
      <c r="F8" s="24" t="s">
        <v>12</v>
      </c>
      <c r="G8" s="12">
        <v>0</v>
      </c>
      <c r="H8" s="88">
        <f>IF(B$20=0,0,G8/B$20)</f>
        <v>0</v>
      </c>
      <c r="I8" s="58">
        <v>6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0</v>
      </c>
      <c r="H9" s="88">
        <f>IF(B$20=0,0,G9/B$20)</f>
        <v>0</v>
      </c>
      <c r="I9" s="58">
        <v>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1</v>
      </c>
      <c r="E10" s="27" t="s">
        <v>70</v>
      </c>
      <c r="F10" s="24" t="s">
        <v>25</v>
      </c>
      <c r="G10" s="12">
        <v>0</v>
      </c>
      <c r="H10" s="88">
        <f>IF(B$20=0,0,G10/B$20)</f>
        <v>0</v>
      </c>
      <c r="I10" s="58">
        <v>6</v>
      </c>
      <c r="O10" s="73" t="s">
        <v>151</v>
      </c>
      <c r="P10" s="82">
        <f>IF(Q10=0,0,R10/Q10)</f>
        <v>-50.9</v>
      </c>
      <c r="Q10" s="76">
        <v>1</v>
      </c>
      <c r="R10" s="67">
        <v>-50.9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5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1</v>
      </c>
      <c r="O12" s="75" t="s">
        <v>153</v>
      </c>
      <c r="P12" s="84">
        <f>IF(Q12=0,0,R12/Q12)</f>
        <v>-31.25</v>
      </c>
      <c r="Q12" s="78">
        <v>2</v>
      </c>
      <c r="R12" s="69">
        <v>-62.5</v>
      </c>
    </row>
    <row r="13" spans="1:18" x14ac:dyDescent="0.4">
      <c r="A13" s="20" t="s">
        <v>186</v>
      </c>
      <c r="B13" s="109">
        <f>IF(B10=0,0,C13/B10)</f>
        <v>-37.800000000000004</v>
      </c>
      <c r="C13" s="110">
        <v>-113.4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-12.600000000000001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0.66666666666666663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-54.133333333333326</v>
      </c>
      <c r="Q15" s="76">
        <v>3</v>
      </c>
      <c r="R15" s="67">
        <v>-162.39999999999998</v>
      </c>
    </row>
    <row r="16" spans="1:18" x14ac:dyDescent="0.4">
      <c r="A16" s="22" t="s">
        <v>121</v>
      </c>
      <c r="B16" s="15">
        <v>1</v>
      </c>
      <c r="C16" s="10">
        <f>IF(B$3=0,0,B16/B$3)</f>
        <v>5.8823529411764705E-2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-59.266666666666673</v>
      </c>
      <c r="Q16" s="77">
        <v>3</v>
      </c>
      <c r="R16" s="68">
        <v>-177.8</v>
      </c>
    </row>
    <row r="17" spans="1:9" x14ac:dyDescent="0.4">
      <c r="A17" s="19" t="s">
        <v>118</v>
      </c>
      <c r="B17" s="12">
        <v>4</v>
      </c>
      <c r="C17" s="6">
        <f>IF(B$3=0,0,B17/B$3)</f>
        <v>0.23529411764705882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4</v>
      </c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3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0.11764705882352941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5</v>
      </c>
    </row>
    <row r="21" spans="1:9" x14ac:dyDescent="0.4">
      <c r="A21" s="19" t="s">
        <v>13</v>
      </c>
      <c r="B21" s="12">
        <v>7</v>
      </c>
      <c r="C21" s="6">
        <f>IF(B$3=0,0,B21/B$3)</f>
        <v>0.41176470588235292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4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181</v>
      </c>
      <c r="B25" s="12">
        <v>2</v>
      </c>
      <c r="C25" s="6">
        <f>IF(B$20=0,0,B25/B$20)</f>
        <v>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5</v>
      </c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1600</v>
      </c>
      <c r="C27" s="8">
        <v>3200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6</v>
      </c>
    </row>
    <row r="29" spans="1:9" x14ac:dyDescent="0.4">
      <c r="A29" s="20" t="s">
        <v>166</v>
      </c>
      <c r="B29" s="95">
        <f>IF(B$19=0,0,C29/B$19)</f>
        <v>1600</v>
      </c>
      <c r="C29" s="96">
        <v>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164</v>
      </c>
      <c r="B30" s="95">
        <f>IF(B$21=0,0,C30/B$21)</f>
        <v>-8314.2857142857138</v>
      </c>
      <c r="C30" s="96">
        <v>-58200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4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1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28500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167</v>
      </c>
      <c r="B38" s="12">
        <v>1</v>
      </c>
      <c r="C38" s="6">
        <f t="shared" si="2"/>
        <v>0.5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AD1F4-1524-4E79-B65D-479A325F4F85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16</v>
      </c>
      <c r="C2" s="134"/>
      <c r="E2" s="26" t="s">
        <v>66</v>
      </c>
      <c r="F2" s="23" t="s">
        <v>22</v>
      </c>
      <c r="G2" s="11">
        <v>44</v>
      </c>
      <c r="H2" s="87">
        <f>IF(B$20=0,0,G2/B$20)</f>
        <v>1.1891891891891893</v>
      </c>
      <c r="I2" s="57">
        <v>1</v>
      </c>
      <c r="K2" s="73">
        <v>0</v>
      </c>
      <c r="L2" s="118">
        <v>0</v>
      </c>
      <c r="M2" s="116">
        <v>1606.4452616651972</v>
      </c>
      <c r="O2" s="73" t="s">
        <v>128</v>
      </c>
      <c r="P2" s="79">
        <f t="shared" ref="P2:P7" si="0">IF(Q2=0,0,R2/Q2)</f>
        <v>-450</v>
      </c>
      <c r="Q2" s="76">
        <v>16</v>
      </c>
      <c r="R2" s="63">
        <v>-7200</v>
      </c>
    </row>
    <row r="3" spans="1:18" x14ac:dyDescent="0.4">
      <c r="A3" s="19" t="s">
        <v>8</v>
      </c>
      <c r="B3" s="135">
        <v>136</v>
      </c>
      <c r="C3" s="136"/>
      <c r="E3" s="27" t="s">
        <v>159</v>
      </c>
      <c r="F3" s="24" t="s">
        <v>160</v>
      </c>
      <c r="G3" s="12">
        <v>17</v>
      </c>
      <c r="H3" s="88">
        <f>IF(B$20=0,0,G3/B$20)</f>
        <v>0.45945945945945948</v>
      </c>
      <c r="I3" s="58">
        <v>3</v>
      </c>
      <c r="K3" s="74">
        <v>1</v>
      </c>
      <c r="L3" s="119">
        <v>3.6</v>
      </c>
      <c r="M3" s="117">
        <v>1607.210590095206</v>
      </c>
      <c r="O3" s="74" t="s">
        <v>129</v>
      </c>
      <c r="P3" s="80">
        <f t="shared" si="0"/>
        <v>-193.75</v>
      </c>
      <c r="Q3" s="77">
        <v>16</v>
      </c>
      <c r="R3" s="64">
        <v>-3100</v>
      </c>
    </row>
    <row r="4" spans="1:18" x14ac:dyDescent="0.4">
      <c r="A4" s="19" t="s">
        <v>6</v>
      </c>
      <c r="B4" s="137">
        <v>-22.000000000000007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0.43243243243243246</v>
      </c>
      <c r="I4" s="58">
        <v>5</v>
      </c>
      <c r="K4" s="74">
        <v>2</v>
      </c>
      <c r="L4" s="119">
        <v>-14.500000000000002</v>
      </c>
      <c r="M4" s="117">
        <v>1604.2813265546349</v>
      </c>
      <c r="O4" s="74" t="s">
        <v>130</v>
      </c>
      <c r="P4" s="80">
        <f t="shared" si="0"/>
        <v>693.33333333333337</v>
      </c>
      <c r="Q4" s="77">
        <v>15</v>
      </c>
      <c r="R4" s="64">
        <v>10400</v>
      </c>
    </row>
    <row r="5" spans="1:18" x14ac:dyDescent="0.4">
      <c r="A5" s="19" t="s">
        <v>7</v>
      </c>
      <c r="B5" s="125">
        <f>IF(B$2=0,0,B$4/B$2)</f>
        <v>-1.3750000000000004</v>
      </c>
      <c r="C5" s="126"/>
      <c r="E5" s="27" t="s">
        <v>72</v>
      </c>
      <c r="F5" s="24" t="s">
        <v>27</v>
      </c>
      <c r="G5" s="12">
        <v>16</v>
      </c>
      <c r="H5" s="88">
        <f>IF(B$20=0,0,G5/B$20)</f>
        <v>0.43243243243243246</v>
      </c>
      <c r="I5" s="58">
        <v>5</v>
      </c>
      <c r="K5" s="74">
        <v>3</v>
      </c>
      <c r="L5" s="119">
        <v>-60.5</v>
      </c>
      <c r="M5" s="117">
        <v>1596.3476385953072</v>
      </c>
      <c r="O5" s="74" t="s">
        <v>131</v>
      </c>
      <c r="P5" s="80">
        <f t="shared" si="0"/>
        <v>-2813.3333333333335</v>
      </c>
      <c r="Q5" s="77">
        <v>15</v>
      </c>
      <c r="R5" s="64">
        <v>-42200</v>
      </c>
    </row>
    <row r="6" spans="1:18" x14ac:dyDescent="0.4">
      <c r="A6" s="19" t="s">
        <v>195</v>
      </c>
      <c r="B6" s="129">
        <v>1603.1325771234135</v>
      </c>
      <c r="C6" s="130"/>
      <c r="E6" s="27" t="s">
        <v>68</v>
      </c>
      <c r="F6" s="24" t="s">
        <v>12</v>
      </c>
      <c r="G6" s="12">
        <v>11</v>
      </c>
      <c r="H6" s="88">
        <f>IF(B$20=0,0,G6/B$20)</f>
        <v>0.29729729729729731</v>
      </c>
      <c r="I6" s="58">
        <v>5</v>
      </c>
      <c r="K6" s="74">
        <v>4</v>
      </c>
      <c r="L6" s="119">
        <v>-7.8999999999999986</v>
      </c>
      <c r="M6" s="117">
        <v>1606.2095527637355</v>
      </c>
      <c r="O6" s="74" t="s">
        <v>132</v>
      </c>
      <c r="P6" s="80">
        <f t="shared" si="0"/>
        <v>2815.3846153846152</v>
      </c>
      <c r="Q6" s="77">
        <v>13</v>
      </c>
      <c r="R6" s="64">
        <v>36600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0.16216216216216217</v>
      </c>
      <c r="I7" s="58">
        <v>3</v>
      </c>
      <c r="K7" s="74">
        <v>5</v>
      </c>
      <c r="L7" s="119">
        <v>-20.7</v>
      </c>
      <c r="M7" s="117">
        <v>1604.2402954471531</v>
      </c>
      <c r="O7" s="75" t="s">
        <v>133</v>
      </c>
      <c r="P7" s="81">
        <f t="shared" si="0"/>
        <v>-1945.4545454545455</v>
      </c>
      <c r="Q7" s="78">
        <v>11</v>
      </c>
      <c r="R7" s="65">
        <v>-21400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0.3125</v>
      </c>
      <c r="E8" s="27" t="s">
        <v>65</v>
      </c>
      <c r="F8" s="24" t="s">
        <v>21</v>
      </c>
      <c r="G8" s="12">
        <v>5</v>
      </c>
      <c r="H8" s="88">
        <f>IF(B$20=0,0,G8/B$20)</f>
        <v>0.13513513513513514</v>
      </c>
      <c r="I8" s="58">
        <v>4</v>
      </c>
      <c r="K8" s="74">
        <v>6</v>
      </c>
      <c r="L8" s="119">
        <v>7.6000000000000014</v>
      </c>
      <c r="M8" s="117">
        <v>1609.6808536744702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0.375</v>
      </c>
      <c r="E9" s="27" t="s">
        <v>69</v>
      </c>
      <c r="F9" s="24" t="s">
        <v>24</v>
      </c>
      <c r="G9" s="12">
        <v>5</v>
      </c>
      <c r="H9" s="88">
        <f>IF(B$20=0,0,G9/B$20)</f>
        <v>0.13513513513513514</v>
      </c>
      <c r="I9" s="58">
        <v>5</v>
      </c>
      <c r="K9" s="74">
        <v>7</v>
      </c>
      <c r="L9" s="119">
        <v>36.5</v>
      </c>
      <c r="M9" s="117">
        <v>1614.9687685524234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0.3125</v>
      </c>
      <c r="E10" s="27" t="s">
        <v>70</v>
      </c>
      <c r="F10" s="24" t="s">
        <v>25</v>
      </c>
      <c r="G10" s="12">
        <v>5</v>
      </c>
      <c r="H10" s="88">
        <f>IF(B$20=0,0,G10/B$20)</f>
        <v>0.13513513513513514</v>
      </c>
      <c r="I10" s="58">
        <v>2</v>
      </c>
      <c r="K10" s="74">
        <v>8</v>
      </c>
      <c r="L10" s="119">
        <v>35.9</v>
      </c>
      <c r="M10" s="117">
        <v>1614.6689559411088</v>
      </c>
      <c r="O10" s="73" t="s">
        <v>151</v>
      </c>
      <c r="P10" s="82">
        <f>IF(Q10=0,0,R10/Q10)</f>
        <v>-3.8250000000000006</v>
      </c>
      <c r="Q10" s="76">
        <v>4</v>
      </c>
      <c r="R10" s="67">
        <v>-15.300000000000002</v>
      </c>
    </row>
    <row r="11" spans="1:18" x14ac:dyDescent="0.4">
      <c r="A11" s="20" t="s">
        <v>184</v>
      </c>
      <c r="B11" s="109">
        <f>IF(B8=0,0,C11/B8)</f>
        <v>35.840000000000003</v>
      </c>
      <c r="C11" s="110">
        <v>179.20000000000002</v>
      </c>
      <c r="E11" s="27" t="s">
        <v>67</v>
      </c>
      <c r="F11" s="24" t="s">
        <v>23</v>
      </c>
      <c r="G11" s="12">
        <v>4</v>
      </c>
      <c r="H11" s="88">
        <f>IF(B$20=0,0,G11/B$20)</f>
        <v>0.10810810810810811</v>
      </c>
      <c r="I11" s="58">
        <v>3</v>
      </c>
      <c r="K11" s="74">
        <v>9</v>
      </c>
      <c r="L11" s="119">
        <v>-3.3000000000000043</v>
      </c>
      <c r="M11" s="117">
        <v>1607.4229422054623</v>
      </c>
      <c r="O11" s="74" t="s">
        <v>152</v>
      </c>
      <c r="P11" s="83">
        <f>IF(Q11=0,0,R11/Q11)</f>
        <v>-14.425000000000001</v>
      </c>
      <c r="Q11" s="77">
        <v>4</v>
      </c>
      <c r="R11" s="68">
        <v>-57.7</v>
      </c>
    </row>
    <row r="12" spans="1:18" x14ac:dyDescent="0.4">
      <c r="A12" s="20" t="s">
        <v>185</v>
      </c>
      <c r="B12" s="109">
        <f>IF(B9=0,0,C12/B9)</f>
        <v>-3.2000000000000006</v>
      </c>
      <c r="C12" s="110">
        <v>-19.200000000000003</v>
      </c>
      <c r="E12" s="27" t="s">
        <v>71</v>
      </c>
      <c r="F12" s="24" t="s">
        <v>26</v>
      </c>
      <c r="G12" s="12">
        <v>3</v>
      </c>
      <c r="H12" s="88">
        <f>IF(B$20=0,0,G12/B$20)</f>
        <v>8.1081081081081086E-2</v>
      </c>
      <c r="I12" s="58">
        <v>2</v>
      </c>
      <c r="K12" s="74">
        <v>10</v>
      </c>
      <c r="L12" s="119">
        <v>-0.90000000000000435</v>
      </c>
      <c r="M12" s="117">
        <v>1607.7084045522295</v>
      </c>
      <c r="O12" s="75" t="s">
        <v>153</v>
      </c>
      <c r="P12" s="84">
        <f>IF(Q12=0,0,R12/Q12)</f>
        <v>6.3749999999999982</v>
      </c>
      <c r="Q12" s="78">
        <v>8</v>
      </c>
      <c r="R12" s="69">
        <v>50.999999999999986</v>
      </c>
    </row>
    <row r="13" spans="1:18" x14ac:dyDescent="0.4">
      <c r="A13" s="20" t="s">
        <v>186</v>
      </c>
      <c r="B13" s="109">
        <f>IF(B10=0,0,C13/B10)</f>
        <v>-36.4</v>
      </c>
      <c r="C13" s="110">
        <v>-182</v>
      </c>
      <c r="E13" s="27" t="s">
        <v>81</v>
      </c>
      <c r="F13" s="24" t="s">
        <v>36</v>
      </c>
      <c r="G13" s="12">
        <v>3</v>
      </c>
      <c r="H13" s="88">
        <f>IF(B$20=0,0,G13/B$20)</f>
        <v>8.1081081081081086E-2</v>
      </c>
      <c r="I13" s="58">
        <v>2</v>
      </c>
      <c r="K13" s="74">
        <v>11</v>
      </c>
      <c r="L13" s="119">
        <v>-3.4000000000000044</v>
      </c>
      <c r="M13" s="117">
        <v>1607.1101541249161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-1.2533333333333327</v>
      </c>
      <c r="C14" s="126"/>
      <c r="E14" s="27" t="s">
        <v>78</v>
      </c>
      <c r="F14" s="24" t="s">
        <v>33</v>
      </c>
      <c r="G14" s="12">
        <v>2</v>
      </c>
      <c r="H14" s="88">
        <f>IF(B$20=0,0,G14/B$20)</f>
        <v>5.4054054054054057E-2</v>
      </c>
      <c r="I14" s="58">
        <v>1</v>
      </c>
      <c r="K14" s="74">
        <v>12</v>
      </c>
      <c r="L14" s="119">
        <v>-12.700000000000005</v>
      </c>
      <c r="M14" s="117">
        <v>1605.2914932001665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0.125</v>
      </c>
      <c r="E15" s="27" t="s">
        <v>83</v>
      </c>
      <c r="F15" s="24" t="s">
        <v>38</v>
      </c>
      <c r="G15" s="12">
        <v>2</v>
      </c>
      <c r="H15" s="88">
        <f>IF(B$20=0,0,G15/B$20)</f>
        <v>5.4054054054054057E-2</v>
      </c>
      <c r="I15" s="58">
        <v>2</v>
      </c>
      <c r="K15" s="74">
        <v>13</v>
      </c>
      <c r="L15" s="119">
        <v>-58.7</v>
      </c>
      <c r="M15" s="117">
        <v>1596.8777442409655</v>
      </c>
      <c r="O15" s="73" t="s">
        <v>194</v>
      </c>
      <c r="P15" s="82">
        <f>IF(Q15=0,0,R15/Q15)</f>
        <v>9.25</v>
      </c>
      <c r="Q15" s="76">
        <v>10</v>
      </c>
      <c r="R15" s="67">
        <v>92.5</v>
      </c>
    </row>
    <row r="16" spans="1:18" x14ac:dyDescent="0.4">
      <c r="A16" s="22" t="s">
        <v>121</v>
      </c>
      <c r="B16" s="15">
        <v>38</v>
      </c>
      <c r="C16" s="10">
        <f>IF(B$3=0,0,B16/B$3)</f>
        <v>0.27941176470588236</v>
      </c>
      <c r="E16" s="27" t="s">
        <v>74</v>
      </c>
      <c r="F16" s="24" t="s">
        <v>29</v>
      </c>
      <c r="G16" s="12">
        <v>1</v>
      </c>
      <c r="H16" s="88">
        <f>IF(B$20=0,0,G16/B$20)</f>
        <v>2.7027027027027029E-2</v>
      </c>
      <c r="I16" s="58">
        <v>1</v>
      </c>
      <c r="K16" s="74">
        <v>14</v>
      </c>
      <c r="L16" s="119">
        <v>-32.700000000000003</v>
      </c>
      <c r="M16" s="117">
        <v>1601.4744777755197</v>
      </c>
      <c r="O16" s="74" t="s">
        <v>163</v>
      </c>
      <c r="P16" s="83">
        <f>IF(Q16=0,0,R16/Q16)</f>
        <v>2.6499999999999995</v>
      </c>
      <c r="Q16" s="77">
        <v>6</v>
      </c>
      <c r="R16" s="68">
        <v>15.899999999999997</v>
      </c>
    </row>
    <row r="17" spans="1:18" x14ac:dyDescent="0.4">
      <c r="A17" s="19" t="s">
        <v>118</v>
      </c>
      <c r="B17" s="12">
        <v>34</v>
      </c>
      <c r="C17" s="6">
        <f>IF(B$3=0,0,B17/B$3)</f>
        <v>0.25</v>
      </c>
      <c r="E17" s="27" t="s">
        <v>79</v>
      </c>
      <c r="F17" s="24" t="s">
        <v>34</v>
      </c>
      <c r="G17" s="12">
        <v>1</v>
      </c>
      <c r="H17" s="88">
        <f>IF(B$20=0,0,G17/B$20)</f>
        <v>2.7027027027027029E-2</v>
      </c>
      <c r="I17" s="58">
        <v>1</v>
      </c>
      <c r="K17" s="74">
        <v>15</v>
      </c>
      <c r="L17" s="119">
        <v>10.699999999999996</v>
      </c>
      <c r="M17" s="117">
        <v>1609.1756309088667</v>
      </c>
      <c r="O17" s="74" t="s">
        <v>126</v>
      </c>
      <c r="P17" s="83">
        <f>IF(Q17=0,0,R17/Q17)</f>
        <v>-10.9</v>
      </c>
      <c r="Q17" s="77">
        <v>16</v>
      </c>
      <c r="R17" s="68">
        <v>-174.4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0.42105263157894735</v>
      </c>
      <c r="E18" s="27" t="s">
        <v>155</v>
      </c>
      <c r="F18" s="24" t="s">
        <v>156</v>
      </c>
      <c r="G18" s="12">
        <v>1</v>
      </c>
      <c r="H18" s="88">
        <f>IF(B$20=0,0,G18/B$20)</f>
        <v>2.7027027027027029E-2</v>
      </c>
      <c r="I18" s="58">
        <v>2</v>
      </c>
      <c r="K18" s="74">
        <v>16</v>
      </c>
      <c r="L18" s="119">
        <v>-22.000000000000007</v>
      </c>
      <c r="M18" s="117">
        <v>1603.1325771234135</v>
      </c>
    </row>
    <row r="19" spans="1:18" x14ac:dyDescent="0.4">
      <c r="A19" s="18" t="s">
        <v>124</v>
      </c>
      <c r="B19" s="11">
        <f>B25</f>
        <v>12</v>
      </c>
      <c r="C19" s="5">
        <f>IF(B$17=0,0,B19/B$17)</f>
        <v>0.35294117647058826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37</v>
      </c>
      <c r="C20" s="5">
        <f>IF(B$3=0,0,B20/B$3)</f>
        <v>0.27205882352941174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1</v>
      </c>
    </row>
    <row r="21" spans="1:18" x14ac:dyDescent="0.4">
      <c r="A21" s="19" t="s">
        <v>13</v>
      </c>
      <c r="B21" s="12">
        <v>10</v>
      </c>
      <c r="C21" s="6">
        <f>IF(B$3=0,0,B21/B$3)</f>
        <v>7.3529411764705885E-2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16</v>
      </c>
      <c r="C22" s="6">
        <f>IF(B$20=0,0,B22/B$20)</f>
        <v>0.43243243243243246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21</v>
      </c>
      <c r="C23" s="6">
        <f>IF(B$20=0,0,B23/B$20)</f>
        <v>0.56756756756756754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16</v>
      </c>
      <c r="C24" s="6">
        <f>IF(B$20=0,0,B24/B$20)</f>
        <v>0.43243243243243246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12</v>
      </c>
      <c r="C25" s="6">
        <f>IF(B$20=0,0,B25/B$20)</f>
        <v>0.32432432432432434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182</v>
      </c>
      <c r="B26" s="12">
        <v>9</v>
      </c>
      <c r="C26" s="6">
        <f>IF(B$20=0,0,B26/B$20)</f>
        <v>0.24324324324324326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8529.72972972973</v>
      </c>
      <c r="C27" s="8">
        <v>315600</v>
      </c>
      <c r="E27" s="27" t="s">
        <v>86</v>
      </c>
      <c r="F27" s="24" t="s">
        <v>41</v>
      </c>
      <c r="G27" s="12">
        <v>0</v>
      </c>
      <c r="H27" s="88">
        <f>IF(B$20=0,0,G27/B$20)</f>
        <v>0</v>
      </c>
      <c r="I27" s="58">
        <v>5</v>
      </c>
    </row>
    <row r="28" spans="1:18" x14ac:dyDescent="0.4">
      <c r="A28" s="20" t="s">
        <v>165</v>
      </c>
      <c r="B28" s="95">
        <f>IF($B$20-B$19=0,0,C28/($B$20-B$19))</f>
        <v>9548</v>
      </c>
      <c r="C28" s="96">
        <v>238700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6408.333333333333</v>
      </c>
      <c r="C29" s="96">
        <v>76900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-10520</v>
      </c>
      <c r="C30" s="96">
        <v>-105200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27</v>
      </c>
      <c r="C32" s="90">
        <v>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77600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5.4054054054054057E-2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9</v>
      </c>
      <c r="C38" s="6">
        <f t="shared" si="2"/>
        <v>0.24324324324324326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7</v>
      </c>
      <c r="C39" s="6">
        <f t="shared" si="2"/>
        <v>0.1891891891891892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0.10810810810810811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4</v>
      </c>
      <c r="C41" s="6">
        <f t="shared" si="2"/>
        <v>0.10810810810810811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3</v>
      </c>
      <c r="C42" s="6">
        <f t="shared" si="2"/>
        <v>8.1081081081081086E-2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4</v>
      </c>
      <c r="C43" s="6">
        <f t="shared" si="2"/>
        <v>0.10810810810810811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2"/>
        <v>5.4054054054054057E-2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2</v>
      </c>
      <c r="C45" s="6">
        <f t="shared" si="2"/>
        <v>5.4054054054054057E-2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BF4FC-07FB-4FAD-96BA-4ECC311E613F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194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</v>
      </c>
      <c r="C2" s="134"/>
      <c r="E2" s="26" t="s">
        <v>64</v>
      </c>
      <c r="F2" s="23" t="s">
        <v>20</v>
      </c>
      <c r="G2" s="11">
        <v>13</v>
      </c>
      <c r="H2" s="87">
        <f>IF(B$20=0,0,G2/B$20)</f>
        <v>0.76470588235294112</v>
      </c>
      <c r="I2" s="57">
        <v>1</v>
      </c>
      <c r="K2" s="73">
        <v>0</v>
      </c>
      <c r="L2" s="118">
        <v>0</v>
      </c>
      <c r="M2" s="116">
        <v>1377.1480089618358</v>
      </c>
      <c r="O2" s="73" t="s">
        <v>128</v>
      </c>
      <c r="P2" s="79">
        <f t="shared" ref="P2:P7" si="0">IF(Q2=0,0,R2/Q2)</f>
        <v>-2690</v>
      </c>
      <c r="Q2" s="76">
        <v>10</v>
      </c>
      <c r="R2" s="63">
        <v>-26900</v>
      </c>
    </row>
    <row r="3" spans="1:18" x14ac:dyDescent="0.4">
      <c r="A3" s="19" t="s">
        <v>8</v>
      </c>
      <c r="B3" s="135">
        <v>87</v>
      </c>
      <c r="C3" s="136"/>
      <c r="E3" s="27" t="s">
        <v>72</v>
      </c>
      <c r="F3" s="24" t="s">
        <v>27</v>
      </c>
      <c r="G3" s="12">
        <v>10</v>
      </c>
      <c r="H3" s="88">
        <f>IF(B$20=0,0,G3/B$20)</f>
        <v>0.58823529411764708</v>
      </c>
      <c r="I3" s="58">
        <v>2</v>
      </c>
      <c r="K3" s="74">
        <v>1</v>
      </c>
      <c r="L3" s="119">
        <v>-24.3</v>
      </c>
      <c r="M3" s="117">
        <v>1374.2551209080648</v>
      </c>
      <c r="O3" s="74" t="s">
        <v>129</v>
      </c>
      <c r="P3" s="80">
        <f t="shared" si="0"/>
        <v>-5830</v>
      </c>
      <c r="Q3" s="77">
        <v>10</v>
      </c>
      <c r="R3" s="64">
        <v>-58300</v>
      </c>
    </row>
    <row r="4" spans="1:18" x14ac:dyDescent="0.4">
      <c r="A4" s="19" t="s">
        <v>6</v>
      </c>
      <c r="B4" s="137">
        <v>-122.10000000000001</v>
      </c>
      <c r="C4" s="138"/>
      <c r="E4" s="27" t="s">
        <v>159</v>
      </c>
      <c r="F4" s="24" t="s">
        <v>160</v>
      </c>
      <c r="G4" s="12">
        <v>8</v>
      </c>
      <c r="H4" s="88">
        <f>IF(B$20=0,0,G4/B$20)</f>
        <v>0.47058823529411764</v>
      </c>
      <c r="I4" s="58">
        <v>2</v>
      </c>
      <c r="K4" s="74">
        <v>2</v>
      </c>
      <c r="L4" s="119">
        <v>-4.3000000000000007</v>
      </c>
      <c r="M4" s="117">
        <v>1379.1075901826164</v>
      </c>
      <c r="O4" s="74" t="s">
        <v>130</v>
      </c>
      <c r="P4" s="80">
        <f t="shared" si="0"/>
        <v>-180</v>
      </c>
      <c r="Q4" s="77">
        <v>10</v>
      </c>
      <c r="R4" s="64">
        <v>-1800</v>
      </c>
    </row>
    <row r="5" spans="1:18" x14ac:dyDescent="0.4">
      <c r="A5" s="19" t="s">
        <v>7</v>
      </c>
      <c r="B5" s="125">
        <f>IF(B$2=0,0,B$4/B$2)</f>
        <v>-12.21</v>
      </c>
      <c r="C5" s="126"/>
      <c r="E5" s="27" t="s">
        <v>66</v>
      </c>
      <c r="F5" s="24" t="s">
        <v>22</v>
      </c>
      <c r="G5" s="12">
        <v>7</v>
      </c>
      <c r="H5" s="88">
        <f>IF(B$20=0,0,G5/B$20)</f>
        <v>0.41176470588235292</v>
      </c>
      <c r="I5" s="58">
        <v>5</v>
      </c>
      <c r="K5" s="74">
        <v>3</v>
      </c>
      <c r="L5" s="119">
        <v>-22.900000000000002</v>
      </c>
      <c r="M5" s="117">
        <v>1376.9829446415206</v>
      </c>
      <c r="O5" s="74" t="s">
        <v>131</v>
      </c>
      <c r="P5" s="80">
        <f t="shared" si="0"/>
        <v>2780</v>
      </c>
      <c r="Q5" s="77">
        <v>10</v>
      </c>
      <c r="R5" s="64">
        <v>27800</v>
      </c>
    </row>
    <row r="6" spans="1:18" x14ac:dyDescent="0.4">
      <c r="A6" s="19" t="s">
        <v>195</v>
      </c>
      <c r="B6" s="129">
        <v>1368.0956002333121</v>
      </c>
      <c r="C6" s="130"/>
      <c r="E6" s="27" t="s">
        <v>65</v>
      </c>
      <c r="F6" s="24" t="s">
        <v>21</v>
      </c>
      <c r="G6" s="12">
        <v>6</v>
      </c>
      <c r="H6" s="88">
        <f>IF(B$20=0,0,G6/B$20)</f>
        <v>0.35294117647058826</v>
      </c>
      <c r="I6" s="58">
        <v>1</v>
      </c>
      <c r="K6" s="74">
        <v>4</v>
      </c>
      <c r="L6" s="119">
        <v>-45.5</v>
      </c>
      <c r="M6" s="117">
        <v>1374.1510469736716</v>
      </c>
      <c r="O6" s="74" t="s">
        <v>132</v>
      </c>
      <c r="P6" s="80">
        <f t="shared" si="0"/>
        <v>-5400</v>
      </c>
      <c r="Q6" s="77">
        <v>9</v>
      </c>
      <c r="R6" s="64">
        <v>-48600</v>
      </c>
    </row>
    <row r="7" spans="1:18" x14ac:dyDescent="0.4">
      <c r="A7" s="19" t="s">
        <v>1</v>
      </c>
      <c r="B7" s="139">
        <f>IF(B$2=0,0,(B$8*1+B$9*2+B$10*3)/B$2)</f>
        <v>2.4</v>
      </c>
      <c r="C7" s="140"/>
      <c r="E7" s="27" t="s">
        <v>68</v>
      </c>
      <c r="F7" s="24" t="s">
        <v>12</v>
      </c>
      <c r="G7" s="12">
        <v>6</v>
      </c>
      <c r="H7" s="88">
        <f>IF(B$20=0,0,G7/B$20)</f>
        <v>0.35294117647058826</v>
      </c>
      <c r="I7" s="58">
        <v>3</v>
      </c>
      <c r="K7" s="74">
        <v>5</v>
      </c>
      <c r="L7" s="119">
        <v>-86.3</v>
      </c>
      <c r="M7" s="117">
        <v>1368.0601406918295</v>
      </c>
      <c r="O7" s="75" t="s">
        <v>133</v>
      </c>
      <c r="P7" s="81">
        <f t="shared" si="0"/>
        <v>3212.5</v>
      </c>
      <c r="Q7" s="78">
        <v>8</v>
      </c>
      <c r="R7" s="65">
        <v>25700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0.2</v>
      </c>
      <c r="E8" s="27" t="s">
        <v>69</v>
      </c>
      <c r="F8" s="24" t="s">
        <v>24</v>
      </c>
      <c r="G8" s="12">
        <v>5</v>
      </c>
      <c r="H8" s="88">
        <f>IF(B$20=0,0,G8/B$20)</f>
        <v>0.29411764705882354</v>
      </c>
      <c r="I8" s="58">
        <v>1</v>
      </c>
      <c r="K8" s="74">
        <v>6</v>
      </c>
      <c r="L8" s="119">
        <v>-133.80000000000001</v>
      </c>
      <c r="M8" s="117">
        <v>1360.7997798476786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0.2</v>
      </c>
      <c r="E9" s="27" t="s">
        <v>89</v>
      </c>
      <c r="F9" s="24" t="s">
        <v>44</v>
      </c>
      <c r="G9" s="12">
        <v>3</v>
      </c>
      <c r="H9" s="88">
        <f>IF(B$20=0,0,G9/B$20)</f>
        <v>0.17647058823529413</v>
      </c>
      <c r="I9" s="58">
        <v>2</v>
      </c>
      <c r="K9" s="74">
        <v>7</v>
      </c>
      <c r="L9" s="119">
        <v>-76.200000000000017</v>
      </c>
      <c r="M9" s="117">
        <v>1372.5009811685925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</v>
      </c>
      <c r="C10" s="7">
        <f t="shared" si="1"/>
        <v>0.6</v>
      </c>
      <c r="E10" s="27" t="s">
        <v>70</v>
      </c>
      <c r="F10" s="24" t="s">
        <v>25</v>
      </c>
      <c r="G10" s="12">
        <v>2</v>
      </c>
      <c r="H10" s="88">
        <f>IF(B$20=0,0,G10/B$20)</f>
        <v>0.11764705882352941</v>
      </c>
      <c r="I10" s="58">
        <v>4</v>
      </c>
      <c r="K10" s="74">
        <v>8</v>
      </c>
      <c r="L10" s="119">
        <v>-103.80000000000001</v>
      </c>
      <c r="M10" s="117">
        <v>1368.7959752815809</v>
      </c>
      <c r="O10" s="73" t="s">
        <v>151</v>
      </c>
      <c r="P10" s="82">
        <f>IF(Q10=0,0,R10/Q10)</f>
        <v>8.4000000000000021</v>
      </c>
      <c r="Q10" s="76">
        <v>2</v>
      </c>
      <c r="R10" s="67">
        <v>16.800000000000004</v>
      </c>
    </row>
    <row r="11" spans="1:18" x14ac:dyDescent="0.4">
      <c r="A11" s="20" t="s">
        <v>184</v>
      </c>
      <c r="B11" s="109">
        <f>IF(B8=0,0,C11/B8)</f>
        <v>38.799999999999997</v>
      </c>
      <c r="C11" s="110">
        <v>77.599999999999994</v>
      </c>
      <c r="E11" s="27" t="s">
        <v>86</v>
      </c>
      <c r="F11" s="24" t="s">
        <v>41</v>
      </c>
      <c r="G11" s="12">
        <v>2</v>
      </c>
      <c r="H11" s="88">
        <f>IF(B$20=0,0,G11/B$20)</f>
        <v>0.11764705882352941</v>
      </c>
      <c r="I11" s="58">
        <v>1</v>
      </c>
      <c r="K11" s="74">
        <v>9</v>
      </c>
      <c r="L11" s="119">
        <v>-132.4</v>
      </c>
      <c r="M11" s="117">
        <v>1364.9331994298914</v>
      </c>
      <c r="O11" s="74" t="s">
        <v>152</v>
      </c>
      <c r="P11" s="83">
        <f>IF(Q11=0,0,R11/Q11)</f>
        <v>-22.4</v>
      </c>
      <c r="Q11" s="77">
        <v>5</v>
      </c>
      <c r="R11" s="68">
        <v>-111.99999999999999</v>
      </c>
    </row>
    <row r="12" spans="1:18" x14ac:dyDescent="0.4">
      <c r="A12" s="20" t="s">
        <v>185</v>
      </c>
      <c r="B12" s="109">
        <f>IF(B9=0,0,C12/B9)</f>
        <v>-4.1500000000000004</v>
      </c>
      <c r="C12" s="110">
        <v>-8.3000000000000007</v>
      </c>
      <c r="E12" s="27" t="s">
        <v>81</v>
      </c>
      <c r="F12" s="24" t="s">
        <v>36</v>
      </c>
      <c r="G12" s="12">
        <v>1</v>
      </c>
      <c r="H12" s="88">
        <f>IF(B$20=0,0,G12/B$20)</f>
        <v>5.8823529411764705E-2</v>
      </c>
      <c r="I12" s="58">
        <v>4</v>
      </c>
      <c r="K12" s="74">
        <v>10</v>
      </c>
      <c r="L12" s="119">
        <v>-122.10000000000001</v>
      </c>
      <c r="M12" s="117">
        <v>1368.0956002333121</v>
      </c>
      <c r="O12" s="75" t="s">
        <v>153</v>
      </c>
      <c r="P12" s="84">
        <f>IF(Q12=0,0,R12/Q12)</f>
        <v>-8.9666666666666668</v>
      </c>
      <c r="Q12" s="78">
        <v>3</v>
      </c>
      <c r="R12" s="69">
        <v>-26.900000000000002</v>
      </c>
    </row>
    <row r="13" spans="1:18" x14ac:dyDescent="0.4">
      <c r="A13" s="20" t="s">
        <v>186</v>
      </c>
      <c r="B13" s="109">
        <f>IF(B10=0,0,C13/B10)</f>
        <v>-31.899999999999995</v>
      </c>
      <c r="C13" s="110">
        <v>-191.39999999999998</v>
      </c>
      <c r="E13" s="27" t="s">
        <v>90</v>
      </c>
      <c r="F13" s="24" t="s">
        <v>45</v>
      </c>
      <c r="G13" s="12">
        <v>1</v>
      </c>
      <c r="H13" s="88">
        <f>IF(B$20=0,0,G13/B$20)</f>
        <v>5.8823529411764705E-2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0.91666666666666785</v>
      </c>
      <c r="C14" s="126"/>
      <c r="E14" s="27" t="s">
        <v>91</v>
      </c>
      <c r="F14" s="24" t="s">
        <v>46</v>
      </c>
      <c r="G14" s="12">
        <v>1</v>
      </c>
      <c r="H14" s="88">
        <f>IF(B$20=0,0,G14/B$20)</f>
        <v>5.8823529411764705E-2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0.1</v>
      </c>
      <c r="E15" s="27" t="s">
        <v>155</v>
      </c>
      <c r="F15" s="24" t="s">
        <v>156</v>
      </c>
      <c r="G15" s="12">
        <v>1</v>
      </c>
      <c r="H15" s="88">
        <f>IF(B$20=0,0,G15/B$20)</f>
        <v>5.8823529411764705E-2</v>
      </c>
      <c r="I15" s="58">
        <v>1</v>
      </c>
      <c r="O15" s="73" t="s">
        <v>192</v>
      </c>
      <c r="P15" s="82">
        <f>IF(Q15=0,0,R15/Q15)</f>
        <v>-9.25</v>
      </c>
      <c r="Q15" s="76">
        <v>10</v>
      </c>
      <c r="R15" s="67">
        <v>-92.5</v>
      </c>
    </row>
    <row r="16" spans="1:18" x14ac:dyDescent="0.4">
      <c r="A16" s="22" t="s">
        <v>121</v>
      </c>
      <c r="B16" s="15">
        <v>29</v>
      </c>
      <c r="C16" s="10">
        <f>IF(B$3=0,0,B16/B$3)</f>
        <v>0.33333333333333331</v>
      </c>
      <c r="E16" s="27" t="s">
        <v>67</v>
      </c>
      <c r="F16" s="24" t="s">
        <v>23</v>
      </c>
      <c r="G16" s="12">
        <v>0</v>
      </c>
      <c r="H16" s="88">
        <f>IF(B$20=0,0,G16/B$20)</f>
        <v>0</v>
      </c>
      <c r="I16" s="58">
        <v>5</v>
      </c>
      <c r="O16" s="74" t="s">
        <v>126</v>
      </c>
      <c r="P16" s="83">
        <f>IF(Q16=0,0,R16/Q16)</f>
        <v>-27.380000000000003</v>
      </c>
      <c r="Q16" s="77">
        <v>10</v>
      </c>
      <c r="R16" s="68">
        <v>-273.8</v>
      </c>
    </row>
    <row r="17" spans="1:9" x14ac:dyDescent="0.4">
      <c r="A17" s="19" t="s">
        <v>118</v>
      </c>
      <c r="B17" s="12">
        <v>14</v>
      </c>
      <c r="C17" s="6">
        <f>IF(B$3=0,0,B17/B$3)</f>
        <v>0.16091954022988506</v>
      </c>
      <c r="E17" s="27" t="s">
        <v>71</v>
      </c>
      <c r="F17" s="24" t="s">
        <v>26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14</v>
      </c>
      <c r="C18" s="5">
        <f>IF(B$16=0,0,B18/B$16)</f>
        <v>0.48275862068965519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0.14285714285714285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3</v>
      </c>
    </row>
    <row r="20" spans="1:9" x14ac:dyDescent="0.4">
      <c r="A20" s="18" t="s">
        <v>10</v>
      </c>
      <c r="B20" s="11">
        <f>B23+B22</f>
        <v>17</v>
      </c>
      <c r="C20" s="5">
        <f>IF(B$3=0,0,B20/B$3)</f>
        <v>0.19540229885057472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17</v>
      </c>
      <c r="C21" s="6">
        <f>IF(B$3=0,0,B21/B$3)</f>
        <v>0.19540229885057472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7</v>
      </c>
      <c r="C22" s="6">
        <f>IF(B$20=0,0,B22/B$20)</f>
        <v>0.41176470588235292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10</v>
      </c>
      <c r="C23" s="6">
        <f>IF(B$20=0,0,B23/B$20)</f>
        <v>0.58823529411764708</v>
      </c>
      <c r="E23" s="27" t="s">
        <v>78</v>
      </c>
      <c r="F23" s="24" t="s">
        <v>33</v>
      </c>
      <c r="G23" s="12">
        <v>0</v>
      </c>
      <c r="H23" s="88">
        <f>IF(B$20=0,0,G23/B$20)</f>
        <v>0</v>
      </c>
      <c r="I23" s="58">
        <v>4</v>
      </c>
    </row>
    <row r="24" spans="1:9" x14ac:dyDescent="0.4">
      <c r="A24" s="19" t="s">
        <v>183</v>
      </c>
      <c r="B24" s="12">
        <v>14</v>
      </c>
      <c r="C24" s="6">
        <f>IF(B$20=0,0,B24/B$20)</f>
        <v>0.82352941176470584</v>
      </c>
      <c r="E24" s="27" t="s">
        <v>79</v>
      </c>
      <c r="F24" s="24" t="s">
        <v>34</v>
      </c>
      <c r="G24" s="12">
        <v>0</v>
      </c>
      <c r="H24" s="88">
        <f>IF(B$20=0,0,G24/B$20)</f>
        <v>0</v>
      </c>
      <c r="I24" s="58">
        <v>3</v>
      </c>
    </row>
    <row r="25" spans="1:9" x14ac:dyDescent="0.4">
      <c r="A25" s="19" t="s">
        <v>181</v>
      </c>
      <c r="B25" s="12">
        <v>2</v>
      </c>
      <c r="C25" s="6">
        <f>IF(B$20=0,0,B25/B$20)</f>
        <v>0.11764705882352941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182</v>
      </c>
      <c r="B26" s="12">
        <v>1</v>
      </c>
      <c r="C26" s="6">
        <f>IF(B$20=0,0,B26/B$20)</f>
        <v>5.8823529411764705E-2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10558.823529411764</v>
      </c>
      <c r="C27" s="8">
        <v>179500</v>
      </c>
      <c r="E27" s="27" t="s">
        <v>83</v>
      </c>
      <c r="F27" s="24" t="s">
        <v>38</v>
      </c>
      <c r="G27" s="12">
        <v>0</v>
      </c>
      <c r="H27" s="88">
        <f>IF(B$20=0,0,G27/B$20)</f>
        <v>0</v>
      </c>
      <c r="I27" s="58">
        <v>4</v>
      </c>
    </row>
    <row r="28" spans="1:9" x14ac:dyDescent="0.4">
      <c r="A28" s="20" t="s">
        <v>165</v>
      </c>
      <c r="B28" s="95">
        <f>IF($B$20-B$19=0,0,C28/($B$20-B$19))</f>
        <v>11300</v>
      </c>
      <c r="C28" s="96">
        <v>169500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166</v>
      </c>
      <c r="B29" s="95">
        <f>IF(B$19=0,0,C29/B$19)</f>
        <v>5000</v>
      </c>
      <c r="C29" s="96">
        <v>10000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164</v>
      </c>
      <c r="B30" s="95">
        <f>IF(B$21=0,0,C30/B$21)</f>
        <v>-5435.2941176470586</v>
      </c>
      <c r="C30" s="96">
        <v>-92400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2</v>
      </c>
      <c r="C31" s="90">
        <v>1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</row>
    <row r="32" spans="1:9" x14ac:dyDescent="0.4">
      <c r="A32" s="19" t="s">
        <v>158</v>
      </c>
      <c r="B32" s="12">
        <v>17</v>
      </c>
      <c r="C32" s="90">
        <v>6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4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82600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0.11764705882352941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1</v>
      </c>
      <c r="C39" s="6">
        <f t="shared" si="2"/>
        <v>5.8823529411764705E-2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2"/>
        <v>0.35294117647058826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3</v>
      </c>
      <c r="C41" s="6">
        <f t="shared" si="2"/>
        <v>0.17647058823529413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2</v>
      </c>
      <c r="C42" s="6">
        <f t="shared" si="2"/>
        <v>0.11764705882352941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5.8823529411764705E-2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5.8823529411764705E-2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2"/>
        <v>5.8823529411764705E-2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C0563-58B6-4E70-B18F-E658AD464E2B}">
  <sheetPr codeName="Sheet16"/>
  <dimension ref="A1:Q1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194</v>
      </c>
      <c r="B1" s="34" t="s">
        <v>194</v>
      </c>
      <c r="C1" s="34" t="s">
        <v>194</v>
      </c>
      <c r="D1" s="35" t="s">
        <v>194</v>
      </c>
      <c r="E1" s="34" t="s">
        <v>194</v>
      </c>
      <c r="F1" s="34" t="s">
        <v>194</v>
      </c>
      <c r="G1" s="34" t="s">
        <v>194</v>
      </c>
      <c r="H1" s="34" t="s">
        <v>194</v>
      </c>
      <c r="I1" s="34" t="s">
        <v>194</v>
      </c>
      <c r="J1" s="34" t="s">
        <v>194</v>
      </c>
      <c r="K1" s="34" t="s">
        <v>194</v>
      </c>
      <c r="L1" s="34" t="s">
        <v>194</v>
      </c>
      <c r="M1" s="34" t="s">
        <v>194</v>
      </c>
      <c r="N1" s="34" t="s">
        <v>194</v>
      </c>
      <c r="O1" s="34" t="s">
        <v>194</v>
      </c>
      <c r="P1" s="34" t="s">
        <v>194</v>
      </c>
      <c r="Q1" s="34" t="s">
        <v>194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-24.3</v>
      </c>
      <c r="C4" s="30">
        <v>-24.3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16000</v>
      </c>
      <c r="J4" s="32">
        <v>-5800</v>
      </c>
      <c r="K4" s="31">
        <v>0</v>
      </c>
      <c r="L4" s="31">
        <v>0.1</v>
      </c>
      <c r="M4" s="31">
        <v>0.1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-4.3000000000000007</v>
      </c>
      <c r="C5" s="30">
        <v>-2.1500000000000004</v>
      </c>
      <c r="D5" s="35">
        <v>2</v>
      </c>
      <c r="E5" s="31">
        <v>0.5</v>
      </c>
      <c r="F5" s="31">
        <v>0.5</v>
      </c>
      <c r="G5" s="31">
        <v>0.11764705882352941</v>
      </c>
      <c r="H5" s="31">
        <v>0.23529411764705882</v>
      </c>
      <c r="I5" s="32">
        <v>20000</v>
      </c>
      <c r="J5" s="32">
        <v>-5700</v>
      </c>
      <c r="K5" s="31">
        <v>0</v>
      </c>
      <c r="L5" s="31">
        <v>0.23529411764705882</v>
      </c>
      <c r="M5" s="31">
        <v>5.8823529411764705E-2</v>
      </c>
      <c r="N5" s="31">
        <v>0.5</v>
      </c>
      <c r="O5" s="31">
        <v>0</v>
      </c>
      <c r="P5" s="31">
        <v>0.5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</v>
      </c>
      <c r="E6" s="31">
        <v>0.33333333333333331</v>
      </c>
      <c r="F6" s="31">
        <v>0.33333333333333331</v>
      </c>
      <c r="G6" s="31">
        <v>0.14285714285714285</v>
      </c>
      <c r="H6" s="31">
        <v>0.32142857142857145</v>
      </c>
      <c r="I6" s="32">
        <v>13400</v>
      </c>
      <c r="J6" s="32">
        <v>-4900</v>
      </c>
      <c r="K6" s="31">
        <v>0</v>
      </c>
      <c r="L6" s="31">
        <v>0.25</v>
      </c>
      <c r="M6" s="31">
        <v>0.14285714285714285</v>
      </c>
      <c r="N6" s="31">
        <v>0.42857142857142855</v>
      </c>
      <c r="O6" s="31">
        <v>0.25</v>
      </c>
      <c r="P6" s="31">
        <v>0.25</v>
      </c>
    </row>
    <row r="7" spans="1:17" x14ac:dyDescent="0.4">
      <c r="A7" s="33">
        <v>4</v>
      </c>
      <c r="B7" s="30">
        <v>-45.5</v>
      </c>
      <c r="C7" s="30">
        <v>-11.375</v>
      </c>
      <c r="D7" s="35">
        <v>2.25</v>
      </c>
      <c r="E7" s="31">
        <v>0.25</v>
      </c>
      <c r="F7" s="31">
        <v>0.5</v>
      </c>
      <c r="G7" s="31">
        <v>0.1388888888888889</v>
      </c>
      <c r="H7" s="31">
        <v>0.25</v>
      </c>
      <c r="I7" s="32">
        <v>12260</v>
      </c>
      <c r="J7" s="32">
        <v>-4900</v>
      </c>
      <c r="K7" s="31">
        <v>0</v>
      </c>
      <c r="L7" s="31">
        <v>0.30555555555555558</v>
      </c>
      <c r="M7" s="31">
        <v>0.16666666666666666</v>
      </c>
      <c r="N7" s="31">
        <v>0.36363636363636365</v>
      </c>
      <c r="O7" s="31">
        <v>0.16666666666666666</v>
      </c>
      <c r="P7" s="31">
        <v>0.2</v>
      </c>
    </row>
    <row r="8" spans="1:17" x14ac:dyDescent="0.4">
      <c r="A8" s="33">
        <v>5</v>
      </c>
      <c r="B8" s="30">
        <v>-86.3</v>
      </c>
      <c r="C8" s="30">
        <v>-17.259999999999998</v>
      </c>
      <c r="D8" s="35">
        <v>2.4</v>
      </c>
      <c r="E8" s="31">
        <v>0.2</v>
      </c>
      <c r="F8" s="31">
        <v>0.6</v>
      </c>
      <c r="G8" s="31">
        <v>0.15217391304347827</v>
      </c>
      <c r="H8" s="31">
        <v>0.2608695652173913</v>
      </c>
      <c r="I8" s="32">
        <v>12085.714285714286</v>
      </c>
      <c r="J8" s="32">
        <v>-5058.333333333333</v>
      </c>
      <c r="K8" s="31">
        <v>0</v>
      </c>
      <c r="L8" s="31">
        <v>0.30434782608695654</v>
      </c>
      <c r="M8" s="31">
        <v>0.21739130434782608</v>
      </c>
      <c r="N8" s="31">
        <v>0.42857142857142855</v>
      </c>
      <c r="O8" s="31">
        <v>0.1</v>
      </c>
      <c r="P8" s="31">
        <v>0.2857142857142857</v>
      </c>
    </row>
    <row r="9" spans="1:17" x14ac:dyDescent="0.4">
      <c r="A9" s="33">
        <v>6</v>
      </c>
      <c r="B9" s="30">
        <v>-133.80000000000001</v>
      </c>
      <c r="C9" s="30">
        <v>-22.3</v>
      </c>
      <c r="D9" s="35">
        <v>2.5</v>
      </c>
      <c r="E9" s="31">
        <v>0.16666666666666666</v>
      </c>
      <c r="F9" s="31">
        <v>0.66666666666666663</v>
      </c>
      <c r="G9" s="31">
        <v>0.13207547169811321</v>
      </c>
      <c r="H9" s="31">
        <v>0.22641509433962265</v>
      </c>
      <c r="I9" s="32">
        <v>12085.714285714286</v>
      </c>
      <c r="J9" s="32">
        <v>-5058.333333333333</v>
      </c>
      <c r="K9" s="31">
        <v>0.16666666666666666</v>
      </c>
      <c r="L9" s="31">
        <v>0.28301886792452829</v>
      </c>
      <c r="M9" s="31">
        <v>0.18867924528301888</v>
      </c>
      <c r="N9" s="31">
        <v>0.4</v>
      </c>
      <c r="O9" s="31">
        <v>0.1</v>
      </c>
      <c r="P9" s="31">
        <v>0.2857142857142857</v>
      </c>
    </row>
    <row r="10" spans="1:17" x14ac:dyDescent="0.4">
      <c r="A10" s="33">
        <v>7</v>
      </c>
      <c r="B10" s="30">
        <v>-76.200000000000017</v>
      </c>
      <c r="C10" s="30">
        <v>-10.885714285714288</v>
      </c>
      <c r="D10" s="35">
        <v>2.2857142857142856</v>
      </c>
      <c r="E10" s="31">
        <v>0.2857142857142857</v>
      </c>
      <c r="F10" s="31">
        <v>0.5714285714285714</v>
      </c>
      <c r="G10" s="31">
        <v>0.18032786885245902</v>
      </c>
      <c r="H10" s="31">
        <v>0.21311475409836064</v>
      </c>
      <c r="I10" s="32">
        <v>12209.09090909091</v>
      </c>
      <c r="J10" s="32">
        <v>-4869.2307692307695</v>
      </c>
      <c r="K10" s="31">
        <v>0.14285714285714285</v>
      </c>
      <c r="L10" s="31">
        <v>0.32786885245901637</v>
      </c>
      <c r="M10" s="31">
        <v>0.16393442622950818</v>
      </c>
      <c r="N10" s="31">
        <v>0.45</v>
      </c>
      <c r="O10" s="31">
        <v>0.1</v>
      </c>
      <c r="P10" s="31">
        <v>0.36363636363636365</v>
      </c>
    </row>
    <row r="11" spans="1:17" x14ac:dyDescent="0.4">
      <c r="A11" s="33">
        <v>8</v>
      </c>
      <c r="B11" s="30">
        <v>-103.80000000000001</v>
      </c>
      <c r="C11" s="30">
        <v>-12.975000000000001</v>
      </c>
      <c r="D11" s="35">
        <v>2.375</v>
      </c>
      <c r="E11" s="31">
        <v>0.25</v>
      </c>
      <c r="F11" s="31">
        <v>0.625</v>
      </c>
      <c r="G11" s="31">
        <v>0.18309859154929578</v>
      </c>
      <c r="H11" s="31">
        <v>0.18309859154929578</v>
      </c>
      <c r="I11" s="32">
        <v>11246.153846153846</v>
      </c>
      <c r="J11" s="32">
        <v>-4869.2307692307695</v>
      </c>
      <c r="K11" s="31">
        <v>0.125</v>
      </c>
      <c r="L11" s="31">
        <v>0.30985915492957744</v>
      </c>
      <c r="M11" s="31">
        <v>0.15492957746478872</v>
      </c>
      <c r="N11" s="31">
        <v>0.5</v>
      </c>
      <c r="O11" s="31">
        <v>9.0909090909090912E-2</v>
      </c>
      <c r="P11" s="31">
        <v>0.38461538461538464</v>
      </c>
    </row>
    <row r="12" spans="1:17" x14ac:dyDescent="0.4">
      <c r="A12" s="33">
        <v>9</v>
      </c>
      <c r="B12" s="30">
        <v>-132.4</v>
      </c>
      <c r="C12" s="30">
        <v>-14.711111111111112</v>
      </c>
      <c r="D12" s="35">
        <v>2.4444444444444446</v>
      </c>
      <c r="E12" s="31">
        <v>0.22222222222222221</v>
      </c>
      <c r="F12" s="31">
        <v>0.66666666666666663</v>
      </c>
      <c r="G12" s="31">
        <v>0.16666666666666666</v>
      </c>
      <c r="H12" s="31">
        <v>0.20512820512820512</v>
      </c>
      <c r="I12" s="32">
        <v>11246.153846153846</v>
      </c>
      <c r="J12" s="32">
        <v>-5025</v>
      </c>
      <c r="K12" s="31">
        <v>0.1111111111111111</v>
      </c>
      <c r="L12" s="31">
        <v>0.30769230769230771</v>
      </c>
      <c r="M12" s="31">
        <v>0.16666666666666666</v>
      </c>
      <c r="N12" s="31">
        <v>0.45833333333333331</v>
      </c>
      <c r="O12" s="31">
        <v>7.6923076923076927E-2</v>
      </c>
      <c r="P12" s="31">
        <v>0.38461538461538464</v>
      </c>
    </row>
    <row r="13" spans="1:17" x14ac:dyDescent="0.4">
      <c r="A13" s="33">
        <v>10</v>
      </c>
      <c r="B13" s="30">
        <v>-122.10000000000001</v>
      </c>
      <c r="C13" s="30">
        <v>-12.21</v>
      </c>
      <c r="D13" s="35">
        <v>2.4</v>
      </c>
      <c r="E13" s="31">
        <v>0.2</v>
      </c>
      <c r="F13" s="31">
        <v>0.6</v>
      </c>
      <c r="G13" s="31">
        <v>0.19540229885057472</v>
      </c>
      <c r="H13" s="31">
        <v>0.19540229885057472</v>
      </c>
      <c r="I13" s="32">
        <v>10558.823529411764</v>
      </c>
      <c r="J13" s="32">
        <v>-5435.2941176470586</v>
      </c>
      <c r="K13" s="31">
        <v>0.1</v>
      </c>
      <c r="L13" s="31">
        <v>0.33333333333333331</v>
      </c>
      <c r="M13" s="31">
        <v>0.16091954022988506</v>
      </c>
      <c r="N13" s="31">
        <v>0.48275862068965519</v>
      </c>
      <c r="O13" s="31">
        <v>0.14285714285714285</v>
      </c>
      <c r="P13" s="31">
        <v>0.41176470588235292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6B0-F418-4DD3-8FFD-502C07F244DC}">
  <sheetPr codeName="Sheet14"/>
  <dimension ref="A1:Q1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3.6</v>
      </c>
      <c r="C4" s="30">
        <v>3.6</v>
      </c>
      <c r="D4" s="35">
        <v>2</v>
      </c>
      <c r="E4" s="31">
        <v>0</v>
      </c>
      <c r="F4" s="31">
        <v>0</v>
      </c>
      <c r="G4" s="31">
        <v>0.25</v>
      </c>
      <c r="H4" s="31">
        <v>0.125</v>
      </c>
      <c r="I4" s="32">
        <v>10400</v>
      </c>
      <c r="J4" s="32">
        <v>-8000</v>
      </c>
      <c r="K4" s="31">
        <v>0</v>
      </c>
      <c r="L4" s="31">
        <v>0.125</v>
      </c>
      <c r="M4" s="31">
        <v>0.125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-14.500000000000002</v>
      </c>
      <c r="C5" s="30">
        <v>-7.2500000000000009</v>
      </c>
      <c r="D5" s="35">
        <v>2.5</v>
      </c>
      <c r="E5" s="31">
        <v>0</v>
      </c>
      <c r="F5" s="31">
        <v>0.5</v>
      </c>
      <c r="G5" s="31">
        <v>0.23529411764705882</v>
      </c>
      <c r="H5" s="31">
        <v>5.8823529411764705E-2</v>
      </c>
      <c r="I5" s="32">
        <v>9650</v>
      </c>
      <c r="J5" s="32">
        <v>-8000</v>
      </c>
      <c r="K5" s="31">
        <v>0</v>
      </c>
      <c r="L5" s="31">
        <v>0.11764705882352941</v>
      </c>
      <c r="M5" s="31">
        <v>0.29411764705882354</v>
      </c>
      <c r="N5" s="31">
        <v>0.5</v>
      </c>
      <c r="O5" s="31">
        <v>0.4</v>
      </c>
      <c r="P5" s="31">
        <v>0.5</v>
      </c>
    </row>
    <row r="6" spans="1:17" x14ac:dyDescent="0.4">
      <c r="A6" s="33">
        <v>3</v>
      </c>
      <c r="B6" s="30">
        <v>-60.5</v>
      </c>
      <c r="C6" s="30">
        <v>-20.166666666666668</v>
      </c>
      <c r="D6" s="35">
        <v>2.6666666666666665</v>
      </c>
      <c r="E6" s="31">
        <v>0</v>
      </c>
      <c r="F6" s="31">
        <v>0.66666666666666663</v>
      </c>
      <c r="G6" s="31">
        <v>0.19047619047619047</v>
      </c>
      <c r="H6" s="31">
        <v>4.7619047619047616E-2</v>
      </c>
      <c r="I6" s="32">
        <v>9650</v>
      </c>
      <c r="J6" s="32">
        <v>-8000</v>
      </c>
      <c r="K6" s="31">
        <v>0.33333333333333331</v>
      </c>
      <c r="L6" s="31">
        <v>9.5238095238095233E-2</v>
      </c>
      <c r="M6" s="31">
        <v>0.33333333333333331</v>
      </c>
      <c r="N6" s="31">
        <v>0.5</v>
      </c>
      <c r="O6" s="31">
        <v>0.2857142857142857</v>
      </c>
      <c r="P6" s="31">
        <v>0.5</v>
      </c>
    </row>
    <row r="7" spans="1:17" x14ac:dyDescent="0.4">
      <c r="A7" s="33">
        <v>4</v>
      </c>
      <c r="B7" s="30">
        <v>-7.8999999999999986</v>
      </c>
      <c r="C7" s="30">
        <v>-1.9749999999999996</v>
      </c>
      <c r="D7" s="35">
        <v>2.25</v>
      </c>
      <c r="E7" s="31">
        <v>0.25</v>
      </c>
      <c r="F7" s="31">
        <v>0.5</v>
      </c>
      <c r="G7" s="31">
        <v>0.33333333333333331</v>
      </c>
      <c r="H7" s="31">
        <v>3.3333333333333333E-2</v>
      </c>
      <c r="I7" s="32">
        <v>7620</v>
      </c>
      <c r="J7" s="32">
        <v>-8000</v>
      </c>
      <c r="K7" s="31">
        <v>0.25</v>
      </c>
      <c r="L7" s="31">
        <v>0.13333333333333333</v>
      </c>
      <c r="M7" s="31">
        <v>0.4</v>
      </c>
      <c r="N7" s="31">
        <v>0.75</v>
      </c>
      <c r="O7" s="31">
        <v>0.33333333333333331</v>
      </c>
      <c r="P7" s="31">
        <v>0.4</v>
      </c>
    </row>
    <row r="8" spans="1:17" x14ac:dyDescent="0.4">
      <c r="A8" s="33">
        <v>5</v>
      </c>
      <c r="B8" s="30">
        <v>-20.7</v>
      </c>
      <c r="C8" s="30">
        <v>-4.1399999999999997</v>
      </c>
      <c r="D8" s="35">
        <v>2.2000000000000002</v>
      </c>
      <c r="E8" s="31">
        <v>0.2</v>
      </c>
      <c r="F8" s="31">
        <v>0.4</v>
      </c>
      <c r="G8" s="31">
        <v>0.27500000000000002</v>
      </c>
      <c r="H8" s="31">
        <v>0.05</v>
      </c>
      <c r="I8" s="32">
        <v>7109.090909090909</v>
      </c>
      <c r="J8" s="32">
        <v>-5000</v>
      </c>
      <c r="K8" s="31">
        <v>0.2</v>
      </c>
      <c r="L8" s="31">
        <v>0.17499999999999999</v>
      </c>
      <c r="M8" s="31">
        <v>0.32500000000000001</v>
      </c>
      <c r="N8" s="31">
        <v>0.5714285714285714</v>
      </c>
      <c r="O8" s="31">
        <v>0.30769230769230771</v>
      </c>
      <c r="P8" s="31">
        <v>0.36363636363636365</v>
      </c>
    </row>
    <row r="9" spans="1:17" x14ac:dyDescent="0.4">
      <c r="A9" s="33">
        <v>6</v>
      </c>
      <c r="B9" s="30">
        <v>7.6000000000000014</v>
      </c>
      <c r="C9" s="30">
        <v>1.2666666666666668</v>
      </c>
      <c r="D9" s="35">
        <v>2</v>
      </c>
      <c r="E9" s="31">
        <v>0.33333333333333331</v>
      </c>
      <c r="F9" s="31">
        <v>0.33333333333333331</v>
      </c>
      <c r="G9" s="31">
        <v>0.30612244897959184</v>
      </c>
      <c r="H9" s="31">
        <v>6.1224489795918366E-2</v>
      </c>
      <c r="I9" s="32">
        <v>7786.666666666667</v>
      </c>
      <c r="J9" s="32">
        <v>-5066.666666666667</v>
      </c>
      <c r="K9" s="31">
        <v>0.16666666666666666</v>
      </c>
      <c r="L9" s="31">
        <v>0.18367346938775511</v>
      </c>
      <c r="M9" s="31">
        <v>0.26530612244897961</v>
      </c>
      <c r="N9" s="31">
        <v>0.66666666666666663</v>
      </c>
      <c r="O9" s="31">
        <v>0.30769230769230771</v>
      </c>
      <c r="P9" s="31">
        <v>0.4</v>
      </c>
    </row>
    <row r="10" spans="1:17" x14ac:dyDescent="0.4">
      <c r="A10" s="33">
        <v>7</v>
      </c>
      <c r="B10" s="30">
        <v>36.5</v>
      </c>
      <c r="C10" s="30">
        <v>5.2142857142857144</v>
      </c>
      <c r="D10" s="35">
        <v>1.8571428571428572</v>
      </c>
      <c r="E10" s="31">
        <v>0.42857142857142855</v>
      </c>
      <c r="F10" s="31">
        <v>0.2857142857142857</v>
      </c>
      <c r="G10" s="31">
        <v>0.32203389830508472</v>
      </c>
      <c r="H10" s="31">
        <v>5.0847457627118647E-2</v>
      </c>
      <c r="I10" s="32">
        <v>8168.4210526315792</v>
      </c>
      <c r="J10" s="32">
        <v>-5066.666666666667</v>
      </c>
      <c r="K10" s="31">
        <v>0.14285714285714285</v>
      </c>
      <c r="L10" s="31">
        <v>0.22033898305084745</v>
      </c>
      <c r="M10" s="31">
        <v>0.25423728813559321</v>
      </c>
      <c r="N10" s="31">
        <v>0.69230769230769229</v>
      </c>
      <c r="O10" s="31">
        <v>0.26666666666666666</v>
      </c>
      <c r="P10" s="31">
        <v>0.31578947368421051</v>
      </c>
    </row>
    <row r="11" spans="1:17" x14ac:dyDescent="0.4">
      <c r="A11" s="33">
        <v>8</v>
      </c>
      <c r="B11" s="30">
        <v>35.9</v>
      </c>
      <c r="C11" s="30">
        <v>4.4874999999999998</v>
      </c>
      <c r="D11" s="35">
        <v>1.875</v>
      </c>
      <c r="E11" s="31">
        <v>0.375</v>
      </c>
      <c r="F11" s="31">
        <v>0.25</v>
      </c>
      <c r="G11" s="31">
        <v>0.30303030303030304</v>
      </c>
      <c r="H11" s="31">
        <v>4.5454545454545456E-2</v>
      </c>
      <c r="I11" s="32">
        <v>8145</v>
      </c>
      <c r="J11" s="32">
        <v>-5066.666666666667</v>
      </c>
      <c r="K11" s="31">
        <v>0.125</v>
      </c>
      <c r="L11" s="31">
        <v>0.22727272727272727</v>
      </c>
      <c r="M11" s="31">
        <v>0.25757575757575757</v>
      </c>
      <c r="N11" s="31">
        <v>0.6</v>
      </c>
      <c r="O11" s="31">
        <v>0.29411764705882354</v>
      </c>
      <c r="P11" s="31">
        <v>0.3</v>
      </c>
    </row>
    <row r="12" spans="1:17" x14ac:dyDescent="0.4">
      <c r="A12" s="33">
        <v>9</v>
      </c>
      <c r="B12" s="30">
        <v>-3.3000000000000043</v>
      </c>
      <c r="C12" s="30">
        <v>-0.36666666666666714</v>
      </c>
      <c r="D12" s="35">
        <v>2</v>
      </c>
      <c r="E12" s="31">
        <v>0.33333333333333331</v>
      </c>
      <c r="F12" s="31">
        <v>0.33333333333333331</v>
      </c>
      <c r="G12" s="31">
        <v>0.2857142857142857</v>
      </c>
      <c r="H12" s="31">
        <v>6.4935064935064929E-2</v>
      </c>
      <c r="I12" s="32">
        <v>7759.090909090909</v>
      </c>
      <c r="J12" s="32">
        <v>-6160</v>
      </c>
      <c r="K12" s="31">
        <v>0.1111111111111111</v>
      </c>
      <c r="L12" s="31">
        <v>0.23376623376623376</v>
      </c>
      <c r="M12" s="31">
        <v>0.27272727272727271</v>
      </c>
      <c r="N12" s="31">
        <v>0.5</v>
      </c>
      <c r="O12" s="31">
        <v>0.33333333333333331</v>
      </c>
      <c r="P12" s="31">
        <v>0.27272727272727271</v>
      </c>
    </row>
    <row r="13" spans="1:17" x14ac:dyDescent="0.4">
      <c r="A13" s="33">
        <v>10</v>
      </c>
      <c r="B13" s="30">
        <v>-0.90000000000000435</v>
      </c>
      <c r="C13" s="30">
        <v>-9.0000000000000441E-2</v>
      </c>
      <c r="D13" s="35">
        <v>2</v>
      </c>
      <c r="E13" s="31">
        <v>0.3</v>
      </c>
      <c r="F13" s="31">
        <v>0.3</v>
      </c>
      <c r="G13" s="31">
        <v>0.28235294117647058</v>
      </c>
      <c r="H13" s="31">
        <v>7.0588235294117646E-2</v>
      </c>
      <c r="I13" s="32">
        <v>7829.166666666667</v>
      </c>
      <c r="J13" s="32">
        <v>-6200</v>
      </c>
      <c r="K13" s="31">
        <v>0.1</v>
      </c>
      <c r="L13" s="31">
        <v>0.25882352941176473</v>
      </c>
      <c r="M13" s="31">
        <v>0.25882352941176473</v>
      </c>
      <c r="N13" s="31">
        <v>0.5</v>
      </c>
      <c r="O13" s="31">
        <v>0.31818181818181818</v>
      </c>
      <c r="P13" s="31">
        <v>0.29166666666666669</v>
      </c>
    </row>
    <row r="14" spans="1:17" x14ac:dyDescent="0.4">
      <c r="A14" s="33">
        <v>11</v>
      </c>
      <c r="B14" s="30">
        <v>-3.4000000000000044</v>
      </c>
      <c r="C14" s="30">
        <v>-0.30909090909090947</v>
      </c>
      <c r="D14" s="35">
        <v>2</v>
      </c>
      <c r="E14" s="31">
        <v>0.27272727272727271</v>
      </c>
      <c r="F14" s="31">
        <v>0.27272727272727271</v>
      </c>
      <c r="G14" s="31">
        <v>0.27368421052631581</v>
      </c>
      <c r="H14" s="31">
        <v>7.3684210526315783E-2</v>
      </c>
      <c r="I14" s="32">
        <v>8611.538461538461</v>
      </c>
      <c r="J14" s="32">
        <v>-7885.7142857142853</v>
      </c>
      <c r="K14" s="31">
        <v>9.0909090909090912E-2</v>
      </c>
      <c r="L14" s="31">
        <v>0.28421052631578947</v>
      </c>
      <c r="M14" s="31">
        <v>0.23157894736842105</v>
      </c>
      <c r="N14" s="31">
        <v>0.44444444444444442</v>
      </c>
      <c r="O14" s="31">
        <v>0.31818181818181818</v>
      </c>
      <c r="P14" s="31">
        <v>0.34615384615384615</v>
      </c>
    </row>
    <row r="15" spans="1:17" x14ac:dyDescent="0.4">
      <c r="A15" s="33">
        <v>12</v>
      </c>
      <c r="B15" s="30">
        <v>-12.700000000000005</v>
      </c>
      <c r="C15" s="30">
        <v>-1.0583333333333338</v>
      </c>
      <c r="D15" s="35">
        <v>2</v>
      </c>
      <c r="E15" s="31">
        <v>0.25</v>
      </c>
      <c r="F15" s="31">
        <v>0.25</v>
      </c>
      <c r="G15" s="31">
        <v>0.27450980392156865</v>
      </c>
      <c r="H15" s="31">
        <v>6.8627450980392163E-2</v>
      </c>
      <c r="I15" s="32">
        <v>8325</v>
      </c>
      <c r="J15" s="32">
        <v>-7885.7142857142853</v>
      </c>
      <c r="K15" s="31">
        <v>8.3333333333333329E-2</v>
      </c>
      <c r="L15" s="31">
        <v>0.26470588235294118</v>
      </c>
      <c r="M15" s="31">
        <v>0.25490196078431371</v>
      </c>
      <c r="N15" s="31">
        <v>0.44444444444444442</v>
      </c>
      <c r="O15" s="31">
        <v>0.34615384615384615</v>
      </c>
      <c r="P15" s="31">
        <v>0.39285714285714285</v>
      </c>
    </row>
    <row r="16" spans="1:17" x14ac:dyDescent="0.4">
      <c r="A16" s="33">
        <v>13</v>
      </c>
      <c r="B16" s="30">
        <v>-58.7</v>
      </c>
      <c r="C16" s="30">
        <v>-4.5153846153846153</v>
      </c>
      <c r="D16" s="35">
        <v>2.0769230769230771</v>
      </c>
      <c r="E16" s="31">
        <v>0.23076923076923078</v>
      </c>
      <c r="F16" s="31">
        <v>0.30769230769230771</v>
      </c>
      <c r="G16" s="31">
        <v>0.26363636363636361</v>
      </c>
      <c r="H16" s="31">
        <v>7.2727272727272724E-2</v>
      </c>
      <c r="I16" s="32">
        <v>8313.7931034482754</v>
      </c>
      <c r="J16" s="32">
        <v>-9150</v>
      </c>
      <c r="K16" s="31">
        <v>0.15384615384615385</v>
      </c>
      <c r="L16" s="31">
        <v>0.27272727272727271</v>
      </c>
      <c r="M16" s="31">
        <v>0.24545454545454545</v>
      </c>
      <c r="N16" s="31">
        <v>0.4</v>
      </c>
      <c r="O16" s="31">
        <v>0.33333333333333331</v>
      </c>
      <c r="P16" s="31">
        <v>0.41379310344827586</v>
      </c>
    </row>
    <row r="17" spans="1:16" x14ac:dyDescent="0.4">
      <c r="A17" s="33">
        <v>14</v>
      </c>
      <c r="B17" s="30">
        <v>-32.700000000000003</v>
      </c>
      <c r="C17" s="30">
        <v>-2.3357142857142859</v>
      </c>
      <c r="D17" s="35">
        <v>2</v>
      </c>
      <c r="E17" s="31">
        <v>0.2857142857142857</v>
      </c>
      <c r="F17" s="31">
        <v>0.2857142857142857</v>
      </c>
      <c r="G17" s="31">
        <v>0.25833333333333336</v>
      </c>
      <c r="H17" s="31">
        <v>6.6666666666666666E-2</v>
      </c>
      <c r="I17" s="32">
        <v>8680.645161290322</v>
      </c>
      <c r="J17" s="32">
        <v>-9150</v>
      </c>
      <c r="K17" s="31">
        <v>0.14285714285714285</v>
      </c>
      <c r="L17" s="31">
        <v>0.29166666666666669</v>
      </c>
      <c r="M17" s="31">
        <v>0.24166666666666667</v>
      </c>
      <c r="N17" s="31">
        <v>0.4</v>
      </c>
      <c r="O17" s="31">
        <v>0.31034482758620691</v>
      </c>
      <c r="P17" s="31">
        <v>0.45161290322580644</v>
      </c>
    </row>
    <row r="18" spans="1:16" x14ac:dyDescent="0.4">
      <c r="A18" s="33">
        <v>15</v>
      </c>
      <c r="B18" s="30">
        <v>10.699999999999996</v>
      </c>
      <c r="C18" s="30">
        <v>0.71333333333333304</v>
      </c>
      <c r="D18" s="35">
        <v>1.9333333333333333</v>
      </c>
      <c r="E18" s="31">
        <v>0.33333333333333331</v>
      </c>
      <c r="F18" s="31">
        <v>0.26666666666666666</v>
      </c>
      <c r="G18" s="31">
        <v>0.26771653543307089</v>
      </c>
      <c r="H18" s="31">
        <v>6.2992125984251968E-2</v>
      </c>
      <c r="I18" s="32">
        <v>8735.2941176470595</v>
      </c>
      <c r="J18" s="32">
        <v>-9150</v>
      </c>
      <c r="K18" s="31">
        <v>0.13333333333333333</v>
      </c>
      <c r="L18" s="31">
        <v>0.27559055118110237</v>
      </c>
      <c r="M18" s="31">
        <v>0.24409448818897639</v>
      </c>
      <c r="N18" s="31">
        <v>0.4</v>
      </c>
      <c r="O18" s="31">
        <v>0.35483870967741937</v>
      </c>
      <c r="P18" s="31">
        <v>0.41176470588235292</v>
      </c>
    </row>
    <row r="19" spans="1:16" x14ac:dyDescent="0.4">
      <c r="A19" s="33">
        <v>16</v>
      </c>
      <c r="B19" s="30">
        <v>-22.000000000000007</v>
      </c>
      <c r="C19" s="30">
        <v>-1.3750000000000004</v>
      </c>
      <c r="D19" s="35">
        <v>2</v>
      </c>
      <c r="E19" s="31">
        <v>0.3125</v>
      </c>
      <c r="F19" s="31">
        <v>0.3125</v>
      </c>
      <c r="G19" s="31">
        <v>0.27205882352941174</v>
      </c>
      <c r="H19" s="31">
        <v>7.3529411764705885E-2</v>
      </c>
      <c r="I19" s="32">
        <v>8529.72972972973</v>
      </c>
      <c r="J19" s="32">
        <v>-10520</v>
      </c>
      <c r="K19" s="31">
        <v>0.125</v>
      </c>
      <c r="L19" s="31">
        <v>0.27941176470588236</v>
      </c>
      <c r="M19" s="31">
        <v>0.25</v>
      </c>
      <c r="N19" s="31">
        <v>0.42105263157894735</v>
      </c>
      <c r="O19" s="31">
        <v>0.35294117647058826</v>
      </c>
      <c r="P19" s="31">
        <v>0.43243243243243246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DE0F1-CB14-4CF4-9CEE-1ABCE94EF900}">
  <sheetPr codeName="Sheet12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197</v>
      </c>
      <c r="B1" s="34" t="s">
        <v>197</v>
      </c>
      <c r="C1" s="34" t="s">
        <v>197</v>
      </c>
      <c r="D1" s="35" t="s">
        <v>197</v>
      </c>
      <c r="E1" s="34" t="s">
        <v>197</v>
      </c>
      <c r="F1" s="34" t="s">
        <v>197</v>
      </c>
      <c r="G1" s="34" t="s">
        <v>197</v>
      </c>
      <c r="H1" s="34" t="s">
        <v>197</v>
      </c>
      <c r="I1" s="34" t="s">
        <v>197</v>
      </c>
      <c r="J1" s="34" t="s">
        <v>197</v>
      </c>
      <c r="K1" s="34" t="s">
        <v>197</v>
      </c>
      <c r="L1" s="34" t="s">
        <v>197</v>
      </c>
      <c r="M1" s="34" t="s">
        <v>197</v>
      </c>
      <c r="N1" s="34" t="s">
        <v>197</v>
      </c>
      <c r="O1" s="34" t="s">
        <v>197</v>
      </c>
      <c r="P1" s="34" t="s">
        <v>197</v>
      </c>
      <c r="Q1" s="34" t="s">
        <v>197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-46</v>
      </c>
      <c r="C4" s="30">
        <v>-46</v>
      </c>
      <c r="D4" s="35">
        <v>3</v>
      </c>
      <c r="E4" s="31">
        <v>0</v>
      </c>
      <c r="F4" s="31">
        <v>1</v>
      </c>
      <c r="G4" s="31">
        <v>0</v>
      </c>
      <c r="H4" s="31">
        <v>0.5</v>
      </c>
      <c r="I4" s="32">
        <v>0</v>
      </c>
      <c r="J4" s="32">
        <v>-7000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-96.9</v>
      </c>
      <c r="C5" s="30">
        <v>-48.45</v>
      </c>
      <c r="D5" s="35">
        <v>3</v>
      </c>
      <c r="E5" s="31">
        <v>0</v>
      </c>
      <c r="F5" s="31">
        <v>1</v>
      </c>
      <c r="G5" s="31">
        <v>0</v>
      </c>
      <c r="H5" s="31">
        <v>0.54545454545454541</v>
      </c>
      <c r="I5" s="32">
        <v>0</v>
      </c>
      <c r="J5" s="32">
        <v>-8833.3333333333339</v>
      </c>
      <c r="K5" s="31">
        <v>1</v>
      </c>
      <c r="L5" s="31">
        <v>9.0909090909090912E-2</v>
      </c>
      <c r="M5" s="31">
        <v>9.0909090909090912E-2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-113.4</v>
      </c>
      <c r="C6" s="30">
        <v>-37.800000000000004</v>
      </c>
      <c r="D6" s="35">
        <v>3</v>
      </c>
      <c r="E6" s="31">
        <v>0</v>
      </c>
      <c r="F6" s="31">
        <v>1</v>
      </c>
      <c r="G6" s="31">
        <v>0.11764705882352941</v>
      </c>
      <c r="H6" s="31">
        <v>0.41176470588235292</v>
      </c>
      <c r="I6" s="32">
        <v>1600</v>
      </c>
      <c r="J6" s="32">
        <v>-8314.2857142857138</v>
      </c>
      <c r="K6" s="31">
        <v>0.66666666666666663</v>
      </c>
      <c r="L6" s="31">
        <v>5.8823529411764705E-2</v>
      </c>
      <c r="M6" s="31">
        <v>0.23529411764705882</v>
      </c>
      <c r="N6" s="31">
        <v>0</v>
      </c>
      <c r="O6" s="31">
        <v>0.5</v>
      </c>
      <c r="P6" s="31">
        <v>0.5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13DDA-7AE5-47B0-AC2C-489942235A8D}">
  <sheetPr codeName="Sheet10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0.33333333333333331</v>
      </c>
      <c r="H4" s="31">
        <v>0.16666666666666666</v>
      </c>
      <c r="I4" s="32">
        <v>6500</v>
      </c>
      <c r="J4" s="32">
        <v>-9600</v>
      </c>
      <c r="K4" s="31">
        <v>0</v>
      </c>
      <c r="L4" s="31">
        <v>0.16666666666666666</v>
      </c>
      <c r="M4" s="31">
        <v>0.5</v>
      </c>
      <c r="N4" s="31">
        <v>1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42.6</v>
      </c>
      <c r="C5" s="30">
        <v>21.3</v>
      </c>
      <c r="D5" s="35">
        <v>1.5</v>
      </c>
      <c r="E5" s="31">
        <v>0.5</v>
      </c>
      <c r="F5" s="31">
        <v>0</v>
      </c>
      <c r="G5" s="31">
        <v>0.54545454545454541</v>
      </c>
      <c r="H5" s="31">
        <v>9.0909090909090912E-2</v>
      </c>
      <c r="I5" s="32">
        <v>8833.3333333333339</v>
      </c>
      <c r="J5" s="32">
        <v>-9600</v>
      </c>
      <c r="K5" s="31">
        <v>0</v>
      </c>
      <c r="L5" s="31">
        <v>0.54545454545454541</v>
      </c>
      <c r="M5" s="31">
        <v>0.27272727272727271</v>
      </c>
      <c r="N5" s="31">
        <v>0.83333333333333337</v>
      </c>
      <c r="O5" s="31">
        <v>0.33333333333333331</v>
      </c>
      <c r="P5" s="31">
        <v>0.16666666666666666</v>
      </c>
    </row>
    <row r="6" spans="1:17" x14ac:dyDescent="0.4">
      <c r="A6" s="33">
        <v>3</v>
      </c>
      <c r="B6" s="30">
        <v>64.400000000000006</v>
      </c>
      <c r="C6" s="30">
        <v>21.466666666666669</v>
      </c>
      <c r="D6" s="35">
        <v>1.3333333333333333</v>
      </c>
      <c r="E6" s="31">
        <v>0.66666666666666663</v>
      </c>
      <c r="F6" s="31">
        <v>0</v>
      </c>
      <c r="G6" s="31">
        <v>0.47058823529411764</v>
      </c>
      <c r="H6" s="31">
        <v>0.17647058823529413</v>
      </c>
      <c r="I6" s="32">
        <v>9625</v>
      </c>
      <c r="J6" s="32">
        <v>-6433.333333333333</v>
      </c>
      <c r="K6" s="31">
        <v>0</v>
      </c>
      <c r="L6" s="31">
        <v>0.52941176470588236</v>
      </c>
      <c r="M6" s="31">
        <v>0.23529411764705882</v>
      </c>
      <c r="N6" s="31">
        <v>0.66666666666666663</v>
      </c>
      <c r="O6" s="31">
        <v>0.5</v>
      </c>
      <c r="P6" s="31">
        <v>0.25</v>
      </c>
    </row>
    <row r="7" spans="1:17" x14ac:dyDescent="0.4">
      <c r="A7" s="33">
        <v>4</v>
      </c>
      <c r="B7" s="30">
        <v>82.4</v>
      </c>
      <c r="C7" s="30">
        <v>20.6</v>
      </c>
      <c r="D7" s="35">
        <v>1.25</v>
      </c>
      <c r="E7" s="31">
        <v>0.75</v>
      </c>
      <c r="F7" s="31">
        <v>0</v>
      </c>
      <c r="G7" s="31">
        <v>0.48</v>
      </c>
      <c r="H7" s="31">
        <v>0.12</v>
      </c>
      <c r="I7" s="32">
        <v>8266.6666666666661</v>
      </c>
      <c r="J7" s="32">
        <v>-6433.333333333333</v>
      </c>
      <c r="K7" s="31">
        <v>0</v>
      </c>
      <c r="L7" s="31">
        <v>0.44</v>
      </c>
      <c r="M7" s="31">
        <v>0.16</v>
      </c>
      <c r="N7" s="31">
        <v>0.72727272727272729</v>
      </c>
      <c r="O7" s="31">
        <v>0.5</v>
      </c>
      <c r="P7" s="31">
        <v>0.41666666666666669</v>
      </c>
    </row>
    <row r="8" spans="1:17" x14ac:dyDescent="0.4">
      <c r="A8" s="33">
        <v>5</v>
      </c>
      <c r="B8" s="30">
        <v>99.300000000000011</v>
      </c>
      <c r="C8" s="30">
        <v>19.860000000000003</v>
      </c>
      <c r="D8" s="35">
        <v>1.2</v>
      </c>
      <c r="E8" s="31">
        <v>0.8</v>
      </c>
      <c r="F8" s="31">
        <v>0</v>
      </c>
      <c r="G8" s="31">
        <v>0.47058823529411764</v>
      </c>
      <c r="H8" s="31">
        <v>0.17647058823529413</v>
      </c>
      <c r="I8" s="32">
        <v>8700</v>
      </c>
      <c r="J8" s="32">
        <v>-8183.333333333333</v>
      </c>
      <c r="K8" s="31">
        <v>0</v>
      </c>
      <c r="L8" s="31">
        <v>0.35294117647058826</v>
      </c>
      <c r="M8" s="31">
        <v>0.23529411764705882</v>
      </c>
      <c r="N8" s="31">
        <v>0.75</v>
      </c>
      <c r="O8" s="31">
        <v>0.5</v>
      </c>
      <c r="P8" s="31">
        <v>0.5</v>
      </c>
    </row>
    <row r="9" spans="1:17" x14ac:dyDescent="0.4">
      <c r="A9" s="33">
        <v>6</v>
      </c>
      <c r="B9" s="30">
        <v>175.8</v>
      </c>
      <c r="C9" s="30">
        <v>29.3</v>
      </c>
      <c r="D9" s="35">
        <v>1.1666666666666667</v>
      </c>
      <c r="E9" s="31">
        <v>0.83333333333333337</v>
      </c>
      <c r="F9" s="31">
        <v>0</v>
      </c>
      <c r="G9" s="31">
        <v>0.5</v>
      </c>
      <c r="H9" s="31">
        <v>0.15789473684210525</v>
      </c>
      <c r="I9" s="32">
        <v>10694.736842105263</v>
      </c>
      <c r="J9" s="32">
        <v>-8183.333333333333</v>
      </c>
      <c r="K9" s="31">
        <v>0</v>
      </c>
      <c r="L9" s="31">
        <v>0.34210526315789475</v>
      </c>
      <c r="M9" s="31">
        <v>0.21052631578947367</v>
      </c>
      <c r="N9" s="31">
        <v>0.76923076923076927</v>
      </c>
      <c r="O9" s="31">
        <v>0.5</v>
      </c>
      <c r="P9" s="31">
        <v>0.57894736842105265</v>
      </c>
    </row>
    <row r="10" spans="1:17" x14ac:dyDescent="0.4">
      <c r="A10" s="33">
        <v>7</v>
      </c>
      <c r="B10" s="30">
        <v>124.60000000000001</v>
      </c>
      <c r="C10" s="30">
        <v>17.8</v>
      </c>
      <c r="D10" s="35">
        <v>1.4285714285714286</v>
      </c>
      <c r="E10" s="31">
        <v>0.7142857142857143</v>
      </c>
      <c r="F10" s="31">
        <v>0.14285714285714285</v>
      </c>
      <c r="G10" s="31">
        <v>0.44680851063829785</v>
      </c>
      <c r="H10" s="31">
        <v>0.21276595744680851</v>
      </c>
      <c r="I10" s="32">
        <v>10180.952380952382</v>
      </c>
      <c r="J10" s="32">
        <v>-9190</v>
      </c>
      <c r="K10" s="31">
        <v>0.14285714285714285</v>
      </c>
      <c r="L10" s="31">
        <v>0.34042553191489361</v>
      </c>
      <c r="M10" s="31">
        <v>0.19148936170212766</v>
      </c>
      <c r="N10" s="31">
        <v>0.625</v>
      </c>
      <c r="O10" s="31">
        <v>0.44444444444444442</v>
      </c>
      <c r="P10" s="31">
        <v>0.52380952380952384</v>
      </c>
    </row>
    <row r="11" spans="1:17" x14ac:dyDescent="0.4">
      <c r="A11" s="33">
        <v>8</v>
      </c>
      <c r="B11" s="30">
        <v>86.300000000000011</v>
      </c>
      <c r="C11" s="30">
        <v>10.787500000000001</v>
      </c>
      <c r="D11" s="35">
        <v>1.625</v>
      </c>
      <c r="E11" s="31">
        <v>0.625</v>
      </c>
      <c r="F11" s="31">
        <v>0.25</v>
      </c>
      <c r="G11" s="31">
        <v>0.42105263157894735</v>
      </c>
      <c r="H11" s="31">
        <v>0.24561403508771928</v>
      </c>
      <c r="I11" s="32">
        <v>9133.3333333333339</v>
      </c>
      <c r="J11" s="32">
        <v>-7971.4285714285716</v>
      </c>
      <c r="K11" s="31">
        <v>0.125</v>
      </c>
      <c r="L11" s="31">
        <v>0.33333333333333331</v>
      </c>
      <c r="M11" s="31">
        <v>0.19298245614035087</v>
      </c>
      <c r="N11" s="31">
        <v>0.63157894736842102</v>
      </c>
      <c r="O11" s="31">
        <v>0.36363636363636365</v>
      </c>
      <c r="P11" s="31">
        <v>0.5</v>
      </c>
    </row>
    <row r="12" spans="1:17" x14ac:dyDescent="0.4">
      <c r="A12" s="33">
        <v>9</v>
      </c>
      <c r="B12" s="30">
        <v>65.100000000000009</v>
      </c>
      <c r="C12" s="30">
        <v>7.2333333333333343</v>
      </c>
      <c r="D12" s="35">
        <v>1.7777777777777777</v>
      </c>
      <c r="E12" s="31">
        <v>0.55555555555555558</v>
      </c>
      <c r="F12" s="31">
        <v>0.33333333333333331</v>
      </c>
      <c r="G12" s="31">
        <v>0.39393939393939392</v>
      </c>
      <c r="H12" s="31">
        <v>0.21212121212121213</v>
      </c>
      <c r="I12" s="32">
        <v>9076.9230769230762</v>
      </c>
      <c r="J12" s="32">
        <v>-7971.4285714285716</v>
      </c>
      <c r="K12" s="31">
        <v>0.1111111111111111</v>
      </c>
      <c r="L12" s="31">
        <v>0.31818181818181818</v>
      </c>
      <c r="M12" s="31">
        <v>0.16666666666666666</v>
      </c>
      <c r="N12" s="31">
        <v>0.61904761904761907</v>
      </c>
      <c r="O12" s="31">
        <v>0.36363636363636365</v>
      </c>
      <c r="P12" s="31">
        <v>0.5</v>
      </c>
    </row>
    <row r="13" spans="1:17" x14ac:dyDescent="0.4">
      <c r="A13" s="33">
        <v>10</v>
      </c>
      <c r="B13" s="30">
        <v>60.500000000000007</v>
      </c>
      <c r="C13" s="30">
        <v>6.0500000000000007</v>
      </c>
      <c r="D13" s="35">
        <v>1.8</v>
      </c>
      <c r="E13" s="31">
        <v>0.5</v>
      </c>
      <c r="F13" s="31">
        <v>0.3</v>
      </c>
      <c r="G13" s="31">
        <v>0.38157894736842107</v>
      </c>
      <c r="H13" s="31">
        <v>0.22368421052631579</v>
      </c>
      <c r="I13" s="32">
        <v>9379.310344827587</v>
      </c>
      <c r="J13" s="32">
        <v>-8482.3529411764703</v>
      </c>
      <c r="K13" s="31">
        <v>0.1</v>
      </c>
      <c r="L13" s="31">
        <v>0.31578947368421051</v>
      </c>
      <c r="M13" s="31">
        <v>0.17105263157894737</v>
      </c>
      <c r="N13" s="31">
        <v>0.58333333333333337</v>
      </c>
      <c r="O13" s="31">
        <v>0.38461538461538464</v>
      </c>
      <c r="P13" s="31">
        <v>0.55172413793103448</v>
      </c>
    </row>
    <row r="14" spans="1:17" x14ac:dyDescent="0.4">
      <c r="A14" s="33">
        <v>11</v>
      </c>
      <c r="B14" s="30">
        <v>41.100000000000009</v>
      </c>
      <c r="C14" s="30">
        <v>3.7363636363636372</v>
      </c>
      <c r="D14" s="35">
        <v>1.9090909090909092</v>
      </c>
      <c r="E14" s="31">
        <v>0.45454545454545453</v>
      </c>
      <c r="F14" s="31">
        <v>0.36363636363636365</v>
      </c>
      <c r="G14" s="31">
        <v>0.38554216867469882</v>
      </c>
      <c r="H14" s="31">
        <v>0.21686746987951808</v>
      </c>
      <c r="I14" s="32">
        <v>8956.25</v>
      </c>
      <c r="J14" s="32">
        <v>-9344.4444444444453</v>
      </c>
      <c r="K14" s="31">
        <v>9.0909090909090912E-2</v>
      </c>
      <c r="L14" s="31">
        <v>0.30120481927710846</v>
      </c>
      <c r="M14" s="31">
        <v>0.18072289156626506</v>
      </c>
      <c r="N14" s="31">
        <v>0.6</v>
      </c>
      <c r="O14" s="31">
        <v>0.46666666666666667</v>
      </c>
      <c r="P14" s="31">
        <v>0.53125</v>
      </c>
    </row>
    <row r="15" spans="1:17" x14ac:dyDescent="0.4">
      <c r="A15" s="33">
        <v>12</v>
      </c>
      <c r="B15" s="30">
        <v>98.9</v>
      </c>
      <c r="C15" s="30">
        <v>8.2416666666666671</v>
      </c>
      <c r="D15" s="35">
        <v>1.8333333333333333</v>
      </c>
      <c r="E15" s="31">
        <v>0.5</v>
      </c>
      <c r="F15" s="31">
        <v>0.33333333333333331</v>
      </c>
      <c r="G15" s="31">
        <v>0.41489361702127658</v>
      </c>
      <c r="H15" s="31">
        <v>0.19148936170212766</v>
      </c>
      <c r="I15" s="32">
        <v>8356.4102564102559</v>
      </c>
      <c r="J15" s="32">
        <v>-9344.4444444444453</v>
      </c>
      <c r="K15" s="31">
        <v>8.3333333333333329E-2</v>
      </c>
      <c r="L15" s="31">
        <v>0.31914893617021278</v>
      </c>
      <c r="M15" s="31">
        <v>0.15957446808510639</v>
      </c>
      <c r="N15" s="31">
        <v>0.66666666666666663</v>
      </c>
      <c r="O15" s="31">
        <v>0.46666666666666667</v>
      </c>
      <c r="P15" s="31">
        <v>0.51282051282051277</v>
      </c>
    </row>
    <row r="16" spans="1:17" x14ac:dyDescent="0.4">
      <c r="A16" s="33">
        <v>13</v>
      </c>
      <c r="B16" s="30">
        <v>119.10000000000001</v>
      </c>
      <c r="C16" s="30">
        <v>9.1615384615384627</v>
      </c>
      <c r="D16" s="35">
        <v>1.7692307692307692</v>
      </c>
      <c r="E16" s="31">
        <v>0.53846153846153844</v>
      </c>
      <c r="F16" s="31">
        <v>0.30769230769230771</v>
      </c>
      <c r="G16" s="31">
        <v>0.41176470588235292</v>
      </c>
      <c r="H16" s="31">
        <v>0.19607843137254902</v>
      </c>
      <c r="I16" s="32">
        <v>8380.9523809523816</v>
      </c>
      <c r="J16" s="32">
        <v>-9055</v>
      </c>
      <c r="K16" s="31">
        <v>7.6923076923076927E-2</v>
      </c>
      <c r="L16" s="31">
        <v>0.3235294117647059</v>
      </c>
      <c r="M16" s="31">
        <v>0.16666666666666666</v>
      </c>
      <c r="N16" s="31">
        <v>0.69696969696969702</v>
      </c>
      <c r="O16" s="31">
        <v>0.41176470588235292</v>
      </c>
      <c r="P16" s="31">
        <v>0.52380952380952384</v>
      </c>
    </row>
    <row r="17" spans="1:16" x14ac:dyDescent="0.4">
      <c r="A17" s="33">
        <v>14</v>
      </c>
      <c r="B17" s="30">
        <v>162.4</v>
      </c>
      <c r="C17" s="30">
        <v>11.6</v>
      </c>
      <c r="D17" s="35">
        <v>1.7142857142857142</v>
      </c>
      <c r="E17" s="31">
        <v>0.5714285714285714</v>
      </c>
      <c r="F17" s="31">
        <v>0.2857142857142857</v>
      </c>
      <c r="G17" s="31">
        <v>0.41964285714285715</v>
      </c>
      <c r="H17" s="31">
        <v>0.17857142857142858</v>
      </c>
      <c r="I17" s="32">
        <v>8523.4042553191484</v>
      </c>
      <c r="J17" s="32">
        <v>-9055</v>
      </c>
      <c r="K17" s="31">
        <v>7.1428571428571425E-2</v>
      </c>
      <c r="L17" s="31">
        <v>0.3392857142857143</v>
      </c>
      <c r="M17" s="31">
        <v>0.16071428571428573</v>
      </c>
      <c r="N17" s="31">
        <v>0.68421052631578949</v>
      </c>
      <c r="O17" s="31">
        <v>0.44444444444444442</v>
      </c>
      <c r="P17" s="31">
        <v>0.51063829787234039</v>
      </c>
    </row>
    <row r="18" spans="1:16" x14ac:dyDescent="0.4">
      <c r="A18" s="33">
        <v>15</v>
      </c>
      <c r="B18" s="30">
        <v>219.2</v>
      </c>
      <c r="C18" s="30">
        <v>14.613333333333333</v>
      </c>
      <c r="D18" s="35">
        <v>1.6666666666666667</v>
      </c>
      <c r="E18" s="31">
        <v>0.6</v>
      </c>
      <c r="F18" s="31">
        <v>0.26666666666666666</v>
      </c>
      <c r="G18" s="31">
        <v>0.42016806722689076</v>
      </c>
      <c r="H18" s="31">
        <v>0.16806722689075632</v>
      </c>
      <c r="I18" s="32">
        <v>9052</v>
      </c>
      <c r="J18" s="32">
        <v>-9055</v>
      </c>
      <c r="K18" s="31">
        <v>6.6666666666666666E-2</v>
      </c>
      <c r="L18" s="31">
        <v>0.33613445378151263</v>
      </c>
      <c r="M18" s="31">
        <v>0.15966386554621848</v>
      </c>
      <c r="N18" s="31">
        <v>0.7</v>
      </c>
      <c r="O18" s="31">
        <v>0.42105263157894735</v>
      </c>
      <c r="P18" s="31">
        <v>0.54</v>
      </c>
    </row>
    <row r="19" spans="1:16" x14ac:dyDescent="0.4">
      <c r="A19" s="33">
        <v>16</v>
      </c>
      <c r="B19" s="30">
        <v>207.6</v>
      </c>
      <c r="C19" s="30">
        <v>12.975</v>
      </c>
      <c r="D19" s="35">
        <v>1.6875</v>
      </c>
      <c r="E19" s="31">
        <v>0.5625</v>
      </c>
      <c r="F19" s="31">
        <v>0.25</v>
      </c>
      <c r="G19" s="31">
        <v>0.40944881889763779</v>
      </c>
      <c r="H19" s="31">
        <v>0.16535433070866143</v>
      </c>
      <c r="I19" s="32">
        <v>8984.6153846153848</v>
      </c>
      <c r="J19" s="32">
        <v>-8990.4761904761908</v>
      </c>
      <c r="K19" s="31">
        <v>6.25E-2</v>
      </c>
      <c r="L19" s="31">
        <v>0.3543307086614173</v>
      </c>
      <c r="M19" s="31">
        <v>0.14960629921259844</v>
      </c>
      <c r="N19" s="31">
        <v>0.66666666666666663</v>
      </c>
      <c r="O19" s="31">
        <v>0.42105263157894735</v>
      </c>
      <c r="P19" s="31">
        <v>0.53846153846153844</v>
      </c>
    </row>
    <row r="20" spans="1:16" x14ac:dyDescent="0.4">
      <c r="A20" s="33">
        <v>17</v>
      </c>
      <c r="B20" s="30">
        <v>209.2</v>
      </c>
      <c r="C20" s="30">
        <v>12.305882352941175</v>
      </c>
      <c r="D20" s="35">
        <v>1.7058823529411764</v>
      </c>
      <c r="E20" s="31">
        <v>0.52941176470588236</v>
      </c>
      <c r="F20" s="31">
        <v>0.23529411764705882</v>
      </c>
      <c r="G20" s="31">
        <v>0.39416058394160586</v>
      </c>
      <c r="H20" s="31">
        <v>0.16058394160583941</v>
      </c>
      <c r="I20" s="32">
        <v>9170.3703703703704</v>
      </c>
      <c r="J20" s="32">
        <v>-8759.0909090909099</v>
      </c>
      <c r="K20" s="31">
        <v>5.8823529411764705E-2</v>
      </c>
      <c r="L20" s="31">
        <v>0.39416058394160586</v>
      </c>
      <c r="M20" s="31">
        <v>0.13868613138686131</v>
      </c>
      <c r="N20" s="31">
        <v>0.59259259259259256</v>
      </c>
      <c r="O20" s="31">
        <v>0.42105263157894735</v>
      </c>
      <c r="P20" s="31">
        <v>0.55555555555555558</v>
      </c>
    </row>
    <row r="21" spans="1:16" x14ac:dyDescent="0.4">
      <c r="A21" s="33">
        <v>18</v>
      </c>
      <c r="B21" s="30">
        <v>194.39999999999998</v>
      </c>
      <c r="C21" s="30">
        <v>10.799999999999999</v>
      </c>
      <c r="D21" s="35">
        <v>1.7222222222222223</v>
      </c>
      <c r="E21" s="31">
        <v>0.5</v>
      </c>
      <c r="F21" s="31">
        <v>0.22222222222222221</v>
      </c>
      <c r="G21" s="31">
        <v>0.3888888888888889</v>
      </c>
      <c r="H21" s="31">
        <v>0.16666666666666666</v>
      </c>
      <c r="I21" s="32">
        <v>9005.3571428571431</v>
      </c>
      <c r="J21" s="32">
        <v>-8858.3333333333339</v>
      </c>
      <c r="K21" s="31">
        <v>5.5555555555555552E-2</v>
      </c>
      <c r="L21" s="31">
        <v>0.40277777777777779</v>
      </c>
      <c r="M21" s="31">
        <v>0.13194444444444445</v>
      </c>
      <c r="N21" s="31">
        <v>0.58620689655172409</v>
      </c>
      <c r="O21" s="31">
        <v>0.42105263157894735</v>
      </c>
      <c r="P21" s="31">
        <v>0.5357142857142857</v>
      </c>
    </row>
    <row r="22" spans="1:16" x14ac:dyDescent="0.4">
      <c r="A22" s="33">
        <v>19</v>
      </c>
      <c r="B22" s="30">
        <v>216.79999999999998</v>
      </c>
      <c r="C22" s="30">
        <v>11.410526315789474</v>
      </c>
      <c r="D22" s="35">
        <v>1.6842105263157894</v>
      </c>
      <c r="E22" s="31">
        <v>0.52631578947368418</v>
      </c>
      <c r="F22" s="31">
        <v>0.21052631578947367</v>
      </c>
      <c r="G22" s="31">
        <v>0.37908496732026142</v>
      </c>
      <c r="H22" s="31">
        <v>0.16339869281045752</v>
      </c>
      <c r="I22" s="32">
        <v>9108.6206896551721</v>
      </c>
      <c r="J22" s="32">
        <v>-8608</v>
      </c>
      <c r="K22" s="31">
        <v>5.2631578947368418E-2</v>
      </c>
      <c r="L22" s="31">
        <v>0.39215686274509803</v>
      </c>
      <c r="M22" s="31">
        <v>0.13071895424836602</v>
      </c>
      <c r="N22" s="31">
        <v>0.56666666666666665</v>
      </c>
      <c r="O22" s="31">
        <v>0.45</v>
      </c>
      <c r="P22" s="31">
        <v>0.51724137931034486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39E71-2732-436E-A817-5A21C92EFEF7}">
  <sheetPr codeName="Sheet8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50.6</v>
      </c>
      <c r="C4" s="30">
        <v>50.6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11866.666666666666</v>
      </c>
      <c r="J4" s="32">
        <v>0</v>
      </c>
      <c r="K4" s="31">
        <v>0</v>
      </c>
      <c r="L4" s="31">
        <v>0.33333333333333331</v>
      </c>
      <c r="M4" s="31">
        <v>0.16666666666666666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54.300000000000004</v>
      </c>
      <c r="C5" s="30">
        <v>27.150000000000002</v>
      </c>
      <c r="D5" s="35">
        <v>1.5</v>
      </c>
      <c r="E5" s="31">
        <v>0.5</v>
      </c>
      <c r="F5" s="31">
        <v>0</v>
      </c>
      <c r="G5" s="31">
        <v>0.36363636363636365</v>
      </c>
      <c r="H5" s="31">
        <v>0</v>
      </c>
      <c r="I5" s="32">
        <v>10825</v>
      </c>
      <c r="J5" s="32">
        <v>0</v>
      </c>
      <c r="K5" s="31">
        <v>0</v>
      </c>
      <c r="L5" s="31">
        <v>0.36363636363636365</v>
      </c>
      <c r="M5" s="31">
        <v>0.27272727272727271</v>
      </c>
      <c r="N5" s="31">
        <v>0.5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49.000000000000007</v>
      </c>
      <c r="C6" s="30">
        <v>16.333333333333336</v>
      </c>
      <c r="D6" s="35">
        <v>1.6666666666666667</v>
      </c>
      <c r="E6" s="31">
        <v>0.33333333333333331</v>
      </c>
      <c r="F6" s="31">
        <v>0</v>
      </c>
      <c r="G6" s="31">
        <v>0.35294117647058826</v>
      </c>
      <c r="H6" s="31">
        <v>5.8823529411764705E-2</v>
      </c>
      <c r="I6" s="32">
        <v>9366.6666666666661</v>
      </c>
      <c r="J6" s="32">
        <v>-12000</v>
      </c>
      <c r="K6" s="31">
        <v>0</v>
      </c>
      <c r="L6" s="31">
        <v>0.41176470588235292</v>
      </c>
      <c r="M6" s="31">
        <v>0.29411764705882354</v>
      </c>
      <c r="N6" s="31">
        <v>0.42857142857142855</v>
      </c>
      <c r="O6" s="31">
        <v>0.4</v>
      </c>
      <c r="P6" s="31">
        <v>0.33333333333333331</v>
      </c>
    </row>
    <row r="7" spans="1:17" x14ac:dyDescent="0.4">
      <c r="A7" s="33">
        <v>4</v>
      </c>
      <c r="B7" s="30">
        <v>27.400000000000006</v>
      </c>
      <c r="C7" s="30">
        <v>6.8500000000000014</v>
      </c>
      <c r="D7" s="35">
        <v>2</v>
      </c>
      <c r="E7" s="31">
        <v>0.25</v>
      </c>
      <c r="F7" s="31">
        <v>0.25</v>
      </c>
      <c r="G7" s="31">
        <v>0.32</v>
      </c>
      <c r="H7" s="31">
        <v>0.08</v>
      </c>
      <c r="I7" s="32">
        <v>9025</v>
      </c>
      <c r="J7" s="32">
        <v>-10000</v>
      </c>
      <c r="K7" s="31">
        <v>0</v>
      </c>
      <c r="L7" s="31">
        <v>0.36</v>
      </c>
      <c r="M7" s="31">
        <v>0.28000000000000003</v>
      </c>
      <c r="N7" s="31">
        <v>0.44444444444444442</v>
      </c>
      <c r="O7" s="31">
        <v>0.2857142857142857</v>
      </c>
      <c r="P7" s="31">
        <v>0.375</v>
      </c>
    </row>
    <row r="8" spans="1:17" x14ac:dyDescent="0.4">
      <c r="A8" s="33">
        <v>5</v>
      </c>
      <c r="B8" s="30">
        <v>28.600000000000005</v>
      </c>
      <c r="C8" s="30">
        <v>5.7200000000000006</v>
      </c>
      <c r="D8" s="35">
        <v>2</v>
      </c>
      <c r="E8" s="31">
        <v>0.2</v>
      </c>
      <c r="F8" s="31">
        <v>0.2</v>
      </c>
      <c r="G8" s="31">
        <v>0.29411764705882354</v>
      </c>
      <c r="H8" s="31">
        <v>8.8235294117647065E-2</v>
      </c>
      <c r="I8" s="32">
        <v>9190</v>
      </c>
      <c r="J8" s="32">
        <v>-9333.3333333333339</v>
      </c>
      <c r="K8" s="31">
        <v>0</v>
      </c>
      <c r="L8" s="31">
        <v>0.3235294117647059</v>
      </c>
      <c r="M8" s="31">
        <v>0.29411764705882354</v>
      </c>
      <c r="N8" s="31">
        <v>0.45454545454545453</v>
      </c>
      <c r="O8" s="31">
        <v>0.3</v>
      </c>
      <c r="P8" s="31">
        <v>0.4</v>
      </c>
    </row>
    <row r="9" spans="1:17" x14ac:dyDescent="0.4">
      <c r="A9" s="33">
        <v>6</v>
      </c>
      <c r="B9" s="30">
        <v>-1.899999999999995</v>
      </c>
      <c r="C9" s="30">
        <v>-0.31666666666666582</v>
      </c>
      <c r="D9" s="35">
        <v>2</v>
      </c>
      <c r="E9" s="31">
        <v>0.16666666666666666</v>
      </c>
      <c r="F9" s="31">
        <v>0.16666666666666666</v>
      </c>
      <c r="G9" s="31">
        <v>0.26315789473684209</v>
      </c>
      <c r="H9" s="31">
        <v>7.8947368421052627E-2</v>
      </c>
      <c r="I9" s="32">
        <v>9190</v>
      </c>
      <c r="J9" s="32">
        <v>-9333.3333333333339</v>
      </c>
      <c r="K9" s="31">
        <v>0</v>
      </c>
      <c r="L9" s="31">
        <v>0.28947368421052633</v>
      </c>
      <c r="M9" s="31">
        <v>0.26315789473684209</v>
      </c>
      <c r="N9" s="31">
        <v>0.45454545454545453</v>
      </c>
      <c r="O9" s="31">
        <v>0.3</v>
      </c>
      <c r="P9" s="31">
        <v>0.4</v>
      </c>
    </row>
    <row r="10" spans="1:17" x14ac:dyDescent="0.4">
      <c r="A10" s="33">
        <v>7</v>
      </c>
      <c r="B10" s="30">
        <v>-3.2999999999999949</v>
      </c>
      <c r="C10" s="30">
        <v>-0.4714285714285707</v>
      </c>
      <c r="D10" s="35">
        <v>2</v>
      </c>
      <c r="E10" s="31">
        <v>0.14285714285714285</v>
      </c>
      <c r="F10" s="31">
        <v>0.14285714285714285</v>
      </c>
      <c r="G10" s="31">
        <v>0.25531914893617019</v>
      </c>
      <c r="H10" s="31">
        <v>0.1276595744680851</v>
      </c>
      <c r="I10" s="32">
        <v>9258.3333333333339</v>
      </c>
      <c r="J10" s="32">
        <v>-7233.333333333333</v>
      </c>
      <c r="K10" s="31">
        <v>0</v>
      </c>
      <c r="L10" s="31">
        <v>0.27659574468085107</v>
      </c>
      <c r="M10" s="31">
        <v>0.25531914893617019</v>
      </c>
      <c r="N10" s="31">
        <v>0.46153846153846156</v>
      </c>
      <c r="O10" s="31">
        <v>0.25</v>
      </c>
      <c r="P10" s="31">
        <v>0.33333333333333331</v>
      </c>
    </row>
    <row r="11" spans="1:17" x14ac:dyDescent="0.4">
      <c r="A11" s="33">
        <v>8</v>
      </c>
      <c r="B11" s="30">
        <v>47.800000000000004</v>
      </c>
      <c r="C11" s="30">
        <v>5.9750000000000005</v>
      </c>
      <c r="D11" s="35">
        <v>1.875</v>
      </c>
      <c r="E11" s="31">
        <v>0.25</v>
      </c>
      <c r="F11" s="31">
        <v>0.125</v>
      </c>
      <c r="G11" s="31">
        <v>0.31578947368421051</v>
      </c>
      <c r="H11" s="31">
        <v>0.12280701754385964</v>
      </c>
      <c r="I11" s="32">
        <v>8433.3333333333339</v>
      </c>
      <c r="J11" s="32">
        <v>-6385.7142857142853</v>
      </c>
      <c r="K11" s="31">
        <v>0</v>
      </c>
      <c r="L11" s="31">
        <v>0.2807017543859649</v>
      </c>
      <c r="M11" s="31">
        <v>0.22807017543859648</v>
      </c>
      <c r="N11" s="31">
        <v>0.5625</v>
      </c>
      <c r="O11" s="31">
        <v>0.30769230769230771</v>
      </c>
      <c r="P11" s="31">
        <v>0.3888888888888889</v>
      </c>
    </row>
    <row r="12" spans="1:17" x14ac:dyDescent="0.4">
      <c r="A12" s="33">
        <v>9</v>
      </c>
      <c r="B12" s="30">
        <v>40.700000000000003</v>
      </c>
      <c r="C12" s="30">
        <v>4.5222222222222221</v>
      </c>
      <c r="D12" s="35">
        <v>1.8888888888888888</v>
      </c>
      <c r="E12" s="31">
        <v>0.22222222222222221</v>
      </c>
      <c r="F12" s="31">
        <v>0.1111111111111111</v>
      </c>
      <c r="G12" s="31">
        <v>0.30303030303030304</v>
      </c>
      <c r="H12" s="31">
        <v>0.13636363636363635</v>
      </c>
      <c r="I12" s="32">
        <v>8655</v>
      </c>
      <c r="J12" s="32">
        <v>-6144.4444444444443</v>
      </c>
      <c r="K12" s="31">
        <v>0</v>
      </c>
      <c r="L12" s="31">
        <v>0.27272727272727271</v>
      </c>
      <c r="M12" s="31">
        <v>0.21212121212121213</v>
      </c>
      <c r="N12" s="31">
        <v>0.61111111111111116</v>
      </c>
      <c r="O12" s="31">
        <v>0.2857142857142857</v>
      </c>
      <c r="P12" s="31">
        <v>0.45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018D3-2321-4529-953B-8155CB61A109}">
  <sheetPr codeName="Sheet6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0.27777777777777779</v>
      </c>
      <c r="H4" s="31">
        <v>0.22222222222222221</v>
      </c>
      <c r="I4" s="32">
        <v>9720</v>
      </c>
      <c r="J4" s="32">
        <v>-7650</v>
      </c>
      <c r="K4" s="31">
        <v>0.33333333333333331</v>
      </c>
      <c r="L4" s="31">
        <v>0.16666666666666666</v>
      </c>
      <c r="M4" s="31">
        <v>0.22222222222222221</v>
      </c>
      <c r="N4" s="31">
        <v>1</v>
      </c>
      <c r="O4" s="31">
        <v>0.25</v>
      </c>
      <c r="P4" s="31">
        <v>0.2</v>
      </c>
    </row>
    <row r="5" spans="1:17" x14ac:dyDescent="0.4">
      <c r="A5" s="33">
        <v>2</v>
      </c>
      <c r="B5" s="30">
        <v>7.1054273576010019E-15</v>
      </c>
      <c r="C5" s="30">
        <v>1.1842378929335002E-15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0.21212121212121213</v>
      </c>
      <c r="I5" s="32">
        <v>9630</v>
      </c>
      <c r="J5" s="32">
        <v>-8942.8571428571431</v>
      </c>
      <c r="K5" s="31">
        <v>0.33333333333333331</v>
      </c>
      <c r="L5" s="31">
        <v>0.33333333333333331</v>
      </c>
      <c r="M5" s="31">
        <v>0.21212121212121213</v>
      </c>
      <c r="N5" s="31">
        <v>0.63636363636363635</v>
      </c>
      <c r="O5" s="31">
        <v>0.2857142857142857</v>
      </c>
      <c r="P5" s="31">
        <v>0.3</v>
      </c>
    </row>
    <row r="6" spans="1:17" x14ac:dyDescent="0.4">
      <c r="A6" s="33">
        <v>3</v>
      </c>
      <c r="B6" s="30">
        <v>7.1054273576010019E-15</v>
      </c>
      <c r="C6" s="30">
        <v>7.894919286223335E-16</v>
      </c>
      <c r="D6" s="35">
        <v>2</v>
      </c>
      <c r="E6" s="31">
        <v>0.33333333333333331</v>
      </c>
      <c r="F6" s="31">
        <v>0.33333333333333331</v>
      </c>
      <c r="G6" s="31">
        <v>0.31372549019607843</v>
      </c>
      <c r="H6" s="31">
        <v>0.21568627450980393</v>
      </c>
      <c r="I6" s="32">
        <v>8525</v>
      </c>
      <c r="J6" s="32">
        <v>-8136.363636363636</v>
      </c>
      <c r="K6" s="31">
        <v>0.22222222222222221</v>
      </c>
      <c r="L6" s="31">
        <v>0.33333333333333331</v>
      </c>
      <c r="M6" s="31">
        <v>0.25490196078431371</v>
      </c>
      <c r="N6" s="31">
        <v>0.52941176470588236</v>
      </c>
      <c r="O6" s="31">
        <v>0.46153846153846156</v>
      </c>
      <c r="P6" s="31">
        <v>0.3125</v>
      </c>
    </row>
    <row r="7" spans="1:17" x14ac:dyDescent="0.4">
      <c r="A7" s="33">
        <v>4</v>
      </c>
      <c r="B7" s="30">
        <v>7.1054273576010019E-15</v>
      </c>
      <c r="C7" s="30">
        <v>5.9211894646675012E-16</v>
      </c>
      <c r="D7" s="35">
        <v>2</v>
      </c>
      <c r="E7" s="31">
        <v>0.33333333333333331</v>
      </c>
      <c r="F7" s="31">
        <v>0.33333333333333331</v>
      </c>
      <c r="G7" s="31">
        <v>0.32</v>
      </c>
      <c r="H7" s="31">
        <v>0.17333333333333334</v>
      </c>
      <c r="I7" s="32">
        <v>8141.666666666667</v>
      </c>
      <c r="J7" s="32">
        <v>-8115.3846153846152</v>
      </c>
      <c r="K7" s="31">
        <v>0.16666666666666666</v>
      </c>
      <c r="L7" s="31">
        <v>0.29333333333333333</v>
      </c>
      <c r="M7" s="31">
        <v>0.21333333333333335</v>
      </c>
      <c r="N7" s="31">
        <v>0.59090909090909094</v>
      </c>
      <c r="O7" s="31">
        <v>0.375</v>
      </c>
      <c r="P7" s="31">
        <v>0.45833333333333331</v>
      </c>
    </row>
    <row r="8" spans="1:17" x14ac:dyDescent="0.4">
      <c r="A8" s="33">
        <v>5</v>
      </c>
      <c r="B8" s="30">
        <v>3.5527136788005009E-15</v>
      </c>
      <c r="C8" s="30">
        <v>2.3684757858670006E-16</v>
      </c>
      <c r="D8" s="35">
        <v>2</v>
      </c>
      <c r="E8" s="31">
        <v>0.33333333333333331</v>
      </c>
      <c r="F8" s="31">
        <v>0.33333333333333331</v>
      </c>
      <c r="G8" s="31">
        <v>0.31372549019607843</v>
      </c>
      <c r="H8" s="31">
        <v>0.16666666666666666</v>
      </c>
      <c r="I8" s="32">
        <v>8528.125</v>
      </c>
      <c r="J8" s="32">
        <v>-8429.4117647058829</v>
      </c>
      <c r="K8" s="31">
        <v>0.13333333333333333</v>
      </c>
      <c r="L8" s="31">
        <v>0.25490196078431371</v>
      </c>
      <c r="M8" s="31">
        <v>0.26470588235294118</v>
      </c>
      <c r="N8" s="31">
        <v>0.57692307692307687</v>
      </c>
      <c r="O8" s="31">
        <v>0.40740740740740738</v>
      </c>
      <c r="P8" s="31">
        <v>0.46875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0.30701754385964913</v>
      </c>
      <c r="H9" s="31">
        <v>0.14912280701754385</v>
      </c>
      <c r="I9" s="32">
        <v>9625.7142857142862</v>
      </c>
      <c r="J9" s="32">
        <v>-8429.4117647058829</v>
      </c>
      <c r="K9" s="31">
        <v>0.16666666666666666</v>
      </c>
      <c r="L9" s="31">
        <v>0.23684210526315788</v>
      </c>
      <c r="M9" s="31">
        <v>0.25438596491228072</v>
      </c>
      <c r="N9" s="31">
        <v>0.59259259259259256</v>
      </c>
      <c r="O9" s="31">
        <v>0.37931034482758619</v>
      </c>
      <c r="P9" s="31">
        <v>0.51428571428571423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0.31914893617021278</v>
      </c>
      <c r="H10" s="31">
        <v>0.1702127659574468</v>
      </c>
      <c r="I10" s="32">
        <v>8984.4444444444453</v>
      </c>
      <c r="J10" s="32">
        <v>-8395.8333333333339</v>
      </c>
      <c r="K10" s="31">
        <v>0.19047619047619047</v>
      </c>
      <c r="L10" s="31">
        <v>0.24113475177304963</v>
      </c>
      <c r="M10" s="31">
        <v>0.26241134751773049</v>
      </c>
      <c r="N10" s="31">
        <v>0.55882352941176472</v>
      </c>
      <c r="O10" s="31">
        <v>0.35135135135135137</v>
      </c>
      <c r="P10" s="31">
        <v>0.44444444444444442</v>
      </c>
    </row>
    <row r="11" spans="1:17" x14ac:dyDescent="0.4">
      <c r="A11" s="33">
        <v>8</v>
      </c>
      <c r="B11" s="30">
        <v>0</v>
      </c>
      <c r="C11" s="30">
        <v>0</v>
      </c>
      <c r="D11" s="35">
        <v>2</v>
      </c>
      <c r="E11" s="31">
        <v>0.33333333333333331</v>
      </c>
      <c r="F11" s="31">
        <v>0.33333333333333331</v>
      </c>
      <c r="G11" s="31">
        <v>0.32163742690058478</v>
      </c>
      <c r="H11" s="31">
        <v>0.17543859649122806</v>
      </c>
      <c r="I11" s="32">
        <v>8225.454545454546</v>
      </c>
      <c r="J11" s="32">
        <v>-7483.333333333333</v>
      </c>
      <c r="K11" s="31">
        <v>0.16666666666666666</v>
      </c>
      <c r="L11" s="31">
        <v>0.25146198830409355</v>
      </c>
      <c r="M11" s="31">
        <v>0.23976608187134502</v>
      </c>
      <c r="N11" s="31">
        <v>0.58139534883720934</v>
      </c>
      <c r="O11" s="31">
        <v>0.34146341463414637</v>
      </c>
      <c r="P11" s="31">
        <v>0.43636363636363634</v>
      </c>
    </row>
    <row r="12" spans="1:17" x14ac:dyDescent="0.4">
      <c r="A12" s="33">
        <v>9</v>
      </c>
      <c r="B12" s="30">
        <v>3.5527136788005009E-15</v>
      </c>
      <c r="C12" s="30">
        <v>1.3158198810372225E-16</v>
      </c>
      <c r="D12" s="35">
        <v>2</v>
      </c>
      <c r="E12" s="31">
        <v>0.33333333333333331</v>
      </c>
      <c r="F12" s="31">
        <v>0.33333333333333331</v>
      </c>
      <c r="G12" s="31">
        <v>0.31818181818181818</v>
      </c>
      <c r="H12" s="31">
        <v>0.16666666666666666</v>
      </c>
      <c r="I12" s="32">
        <v>8398.4126984126979</v>
      </c>
      <c r="J12" s="32">
        <v>-7281.818181818182</v>
      </c>
      <c r="K12" s="31">
        <v>0.14814814814814814</v>
      </c>
      <c r="L12" s="31">
        <v>0.24747474747474749</v>
      </c>
      <c r="M12" s="31">
        <v>0.21212121212121213</v>
      </c>
      <c r="N12" s="31">
        <v>0.61224489795918369</v>
      </c>
      <c r="O12" s="31">
        <v>0.33333333333333331</v>
      </c>
      <c r="P12" s="31">
        <v>0.46031746031746029</v>
      </c>
    </row>
    <row r="13" spans="1:17" x14ac:dyDescent="0.4">
      <c r="A13" s="33">
        <v>10</v>
      </c>
      <c r="B13" s="30">
        <v>1.7763568394002505E-15</v>
      </c>
      <c r="C13" s="30">
        <v>5.9211894646675015E-17</v>
      </c>
      <c r="D13" s="35">
        <v>2</v>
      </c>
      <c r="E13" s="31">
        <v>0.33333333333333331</v>
      </c>
      <c r="F13" s="31">
        <v>0.33333333333333331</v>
      </c>
      <c r="G13" s="31">
        <v>0.31140350877192985</v>
      </c>
      <c r="H13" s="31">
        <v>0.16228070175438597</v>
      </c>
      <c r="I13" s="32">
        <v>8725.352112676057</v>
      </c>
      <c r="J13" s="32">
        <v>-7532.4324324324325</v>
      </c>
      <c r="K13" s="31">
        <v>0.13333333333333333</v>
      </c>
      <c r="L13" s="31">
        <v>0.25</v>
      </c>
      <c r="M13" s="31">
        <v>0.20614035087719298</v>
      </c>
      <c r="N13" s="31">
        <v>0.61403508771929827</v>
      </c>
      <c r="O13" s="31">
        <v>0.31914893617021278</v>
      </c>
      <c r="P13" s="31">
        <v>0.46478873239436619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0.30522088353413657</v>
      </c>
      <c r="H14" s="31">
        <v>0.1646586345381526</v>
      </c>
      <c r="I14" s="32">
        <v>8760.5263157894733</v>
      </c>
      <c r="J14" s="32">
        <v>-7797.5609756097565</v>
      </c>
      <c r="K14" s="31">
        <v>0.12121212121212122</v>
      </c>
      <c r="L14" s="31">
        <v>0.25301204819277107</v>
      </c>
      <c r="M14" s="31">
        <v>0.20481927710843373</v>
      </c>
      <c r="N14" s="31">
        <v>0.58730158730158732</v>
      </c>
      <c r="O14" s="31">
        <v>0.35294117647058826</v>
      </c>
      <c r="P14" s="31">
        <v>0.44736842105263158</v>
      </c>
    </row>
    <row r="15" spans="1:17" x14ac:dyDescent="0.4">
      <c r="A15" s="33">
        <v>12</v>
      </c>
      <c r="B15" s="30">
        <v>-7.1054273576010019E-15</v>
      </c>
      <c r="C15" s="30">
        <v>-1.9737298215558337E-16</v>
      </c>
      <c r="D15" s="35">
        <v>2</v>
      </c>
      <c r="E15" s="31">
        <v>0.33333333333333331</v>
      </c>
      <c r="F15" s="31">
        <v>0.33333333333333331</v>
      </c>
      <c r="G15" s="31">
        <v>0.30851063829787234</v>
      </c>
      <c r="H15" s="31">
        <v>0.1702127659574468</v>
      </c>
      <c r="I15" s="32">
        <v>8350.5747126436781</v>
      </c>
      <c r="J15" s="32">
        <v>-7429.166666666667</v>
      </c>
      <c r="K15" s="31">
        <v>0.1111111111111111</v>
      </c>
      <c r="L15" s="31">
        <v>0.26241134751773049</v>
      </c>
      <c r="M15" s="31">
        <v>0.20567375886524822</v>
      </c>
      <c r="N15" s="31">
        <v>0.58108108108108103</v>
      </c>
      <c r="O15" s="31">
        <v>0.36206896551724138</v>
      </c>
      <c r="P15" s="31">
        <v>0.42528735632183906</v>
      </c>
    </row>
    <row r="16" spans="1:17" x14ac:dyDescent="0.4">
      <c r="A16" s="33">
        <v>13</v>
      </c>
      <c r="B16" s="30">
        <v>-1.0658141036401503E-14</v>
      </c>
      <c r="C16" s="30">
        <v>-2.7328566760003855E-16</v>
      </c>
      <c r="D16" s="35">
        <v>2</v>
      </c>
      <c r="E16" s="31">
        <v>0.33333333333333331</v>
      </c>
      <c r="F16" s="31">
        <v>0.33333333333333331</v>
      </c>
      <c r="G16" s="31">
        <v>0.30392156862745096</v>
      </c>
      <c r="H16" s="31">
        <v>0.16666666666666666</v>
      </c>
      <c r="I16" s="32">
        <v>8360.2150537634407</v>
      </c>
      <c r="J16" s="32">
        <v>-7370.588235294118</v>
      </c>
      <c r="K16" s="31">
        <v>0.10256410256410256</v>
      </c>
      <c r="L16" s="31">
        <v>0.27777777777777779</v>
      </c>
      <c r="M16" s="31">
        <v>0.20588235294117646</v>
      </c>
      <c r="N16" s="31">
        <v>0.57647058823529407</v>
      </c>
      <c r="O16" s="31">
        <v>0.33333333333333331</v>
      </c>
      <c r="P16" s="31">
        <v>0.43010752688172044</v>
      </c>
    </row>
    <row r="17" spans="1:16" x14ac:dyDescent="0.4">
      <c r="A17" s="33">
        <v>14</v>
      </c>
      <c r="B17" s="30">
        <v>-1.4210854715202004E-14</v>
      </c>
      <c r="C17" s="30">
        <v>-3.3835368369528578E-16</v>
      </c>
      <c r="D17" s="35">
        <v>2</v>
      </c>
      <c r="E17" s="31">
        <v>0.33333333333333331</v>
      </c>
      <c r="F17" s="31">
        <v>0.33333333333333331</v>
      </c>
      <c r="G17" s="31">
        <v>0.30357142857142855</v>
      </c>
      <c r="H17" s="31">
        <v>0.16369047619047619</v>
      </c>
      <c r="I17" s="32">
        <v>8680.3921568627447</v>
      </c>
      <c r="J17" s="32">
        <v>-7463.636363636364</v>
      </c>
      <c r="K17" s="31">
        <v>9.5238095238095233E-2</v>
      </c>
      <c r="L17" s="31">
        <v>0.29166666666666669</v>
      </c>
      <c r="M17" s="31">
        <v>0.20238095238095238</v>
      </c>
      <c r="N17" s="31">
        <v>0.56122448979591832</v>
      </c>
      <c r="O17" s="31">
        <v>0.3235294117647059</v>
      </c>
      <c r="P17" s="31">
        <v>0.44117647058823528</v>
      </c>
    </row>
    <row r="18" spans="1:16" x14ac:dyDescent="0.4">
      <c r="A18" s="33">
        <v>15</v>
      </c>
      <c r="B18" s="30">
        <v>-1.4210854715202004E-14</v>
      </c>
      <c r="C18" s="30">
        <v>-3.1579677144893343E-16</v>
      </c>
      <c r="D18" s="35">
        <v>2</v>
      </c>
      <c r="E18" s="31">
        <v>0.33333333333333331</v>
      </c>
      <c r="F18" s="31">
        <v>0.33333333333333331</v>
      </c>
      <c r="G18" s="31">
        <v>0.29971988795518206</v>
      </c>
      <c r="H18" s="31">
        <v>0.15406162464985995</v>
      </c>
      <c r="I18" s="32">
        <v>8846.7289719626169</v>
      </c>
      <c r="J18" s="32">
        <v>-7463.636363636364</v>
      </c>
      <c r="K18" s="31">
        <v>0.1111111111111111</v>
      </c>
      <c r="L18" s="31">
        <v>0.28291316526610644</v>
      </c>
      <c r="M18" s="31">
        <v>0.20448179271708683</v>
      </c>
      <c r="N18" s="31">
        <v>0.5643564356435643</v>
      </c>
      <c r="O18" s="31">
        <v>0.32876712328767121</v>
      </c>
      <c r="P18" s="31">
        <v>0.46728971962616822</v>
      </c>
    </row>
    <row r="19" spans="1:16" x14ac:dyDescent="0.4">
      <c r="A19" s="33">
        <v>16</v>
      </c>
      <c r="B19" s="30">
        <v>-1.2434497875801753E-14</v>
      </c>
      <c r="C19" s="30">
        <v>-2.5905203907920321E-16</v>
      </c>
      <c r="D19" s="35">
        <v>2</v>
      </c>
      <c r="E19" s="31">
        <v>0.33333333333333331</v>
      </c>
      <c r="F19" s="31">
        <v>0.33333333333333331</v>
      </c>
      <c r="G19" s="31">
        <v>0.29921259842519687</v>
      </c>
      <c r="H19" s="31">
        <v>0.15223097112860892</v>
      </c>
      <c r="I19" s="32">
        <v>8937.7192982456145</v>
      </c>
      <c r="J19" s="32">
        <v>-7565.5172413793107</v>
      </c>
      <c r="K19" s="31">
        <v>0.125</v>
      </c>
      <c r="L19" s="31">
        <v>0.29921259842519687</v>
      </c>
      <c r="M19" s="31">
        <v>0.1942257217847769</v>
      </c>
      <c r="N19" s="31">
        <v>0.54385964912280704</v>
      </c>
      <c r="O19" s="31">
        <v>0.32432432432432434</v>
      </c>
      <c r="P19" s="31">
        <v>0.47368421052631576</v>
      </c>
    </row>
    <row r="20" spans="1:16" x14ac:dyDescent="0.4">
      <c r="A20" s="33">
        <v>17</v>
      </c>
      <c r="B20" s="30">
        <v>-1.5543122344752192E-14</v>
      </c>
      <c r="C20" s="30">
        <v>-3.0476710479906258E-16</v>
      </c>
      <c r="D20" s="35">
        <v>2</v>
      </c>
      <c r="E20" s="31">
        <v>0.33333333333333331</v>
      </c>
      <c r="F20" s="31">
        <v>0.33333333333333331</v>
      </c>
      <c r="G20" s="31">
        <v>0.29197080291970801</v>
      </c>
      <c r="H20" s="31">
        <v>0.14355231143552311</v>
      </c>
      <c r="I20" s="32">
        <v>9056.6666666666661</v>
      </c>
      <c r="J20" s="32">
        <v>-7503.3898305084749</v>
      </c>
      <c r="K20" s="31">
        <v>0.11764705882352941</v>
      </c>
      <c r="L20" s="31">
        <v>0.31630170316301703</v>
      </c>
      <c r="M20" s="31">
        <v>0.18734793187347931</v>
      </c>
      <c r="N20" s="31">
        <v>0.52307692307692311</v>
      </c>
      <c r="O20" s="31">
        <v>0.31168831168831168</v>
      </c>
      <c r="P20" s="31">
        <v>0.49166666666666664</v>
      </c>
    </row>
    <row r="21" spans="1:16" x14ac:dyDescent="0.4">
      <c r="A21" s="33">
        <v>18</v>
      </c>
      <c r="B21" s="30">
        <v>-1.7763568394002505E-14</v>
      </c>
      <c r="C21" s="30">
        <v>-3.2895497025930562E-16</v>
      </c>
      <c r="D21" s="35">
        <v>2</v>
      </c>
      <c r="E21" s="31">
        <v>0.33333333333333331</v>
      </c>
      <c r="F21" s="31">
        <v>0.33333333333333331</v>
      </c>
      <c r="G21" s="31">
        <v>0.28935185185185186</v>
      </c>
      <c r="H21" s="31">
        <v>0.14814814814814814</v>
      </c>
      <c r="I21" s="32">
        <v>8990.4</v>
      </c>
      <c r="J21" s="32">
        <v>-7495.3125</v>
      </c>
      <c r="K21" s="31">
        <v>0.1111111111111111</v>
      </c>
      <c r="L21" s="31">
        <v>0.31481481481481483</v>
      </c>
      <c r="M21" s="31">
        <v>0.1875</v>
      </c>
      <c r="N21" s="31">
        <v>0.51470588235294112</v>
      </c>
      <c r="O21" s="31">
        <v>0.32098765432098764</v>
      </c>
      <c r="P21" s="31">
        <v>0.47199999999999998</v>
      </c>
    </row>
    <row r="22" spans="1:16" x14ac:dyDescent="0.4">
      <c r="A22" s="33">
        <v>19</v>
      </c>
      <c r="B22" s="30">
        <v>-2.1316282072803006E-14</v>
      </c>
      <c r="C22" s="30">
        <v>-3.739698609263685E-16</v>
      </c>
      <c r="D22" s="35">
        <v>2</v>
      </c>
      <c r="E22" s="31">
        <v>0.33333333333333331</v>
      </c>
      <c r="F22" s="31">
        <v>0.33333333333333331</v>
      </c>
      <c r="G22" s="31">
        <v>0.29193899782135074</v>
      </c>
      <c r="H22" s="31">
        <v>0.14814814814814814</v>
      </c>
      <c r="I22" s="32">
        <v>8952.9850746268658</v>
      </c>
      <c r="J22" s="32">
        <v>-7739.7058823529414</v>
      </c>
      <c r="K22" s="31">
        <v>0.10526315789473684</v>
      </c>
      <c r="L22" s="31">
        <v>0.31808278867102396</v>
      </c>
      <c r="M22" s="31">
        <v>0.18736383442265794</v>
      </c>
      <c r="N22" s="31">
        <v>0.51369863013698636</v>
      </c>
      <c r="O22" s="31">
        <v>0.33720930232558138</v>
      </c>
      <c r="P22" s="31">
        <v>0.47014925373134331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441</vt:i4>
      </vt:variant>
    </vt:vector>
  </HeadingPairs>
  <TitlesOfParts>
    <vt:vector size="473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だいち</vt:lpstr>
      <vt:lpstr>ともき</vt:lpstr>
      <vt:lpstr>ただ</vt:lpstr>
      <vt:lpstr>りくと</vt:lpstr>
      <vt:lpstr>りくと2</vt:lpstr>
      <vt:lpstr>ただ2</vt:lpstr>
      <vt:lpstr>ともき2</vt:lpstr>
      <vt:lpstr>だいち2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ただ!アガリ数</vt:lpstr>
      <vt:lpstr>ともき!アガリ数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ただ!アガリ率</vt:lpstr>
      <vt:lpstr>ともき!アガリ率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ただ!ダマアガリ数</vt:lpstr>
      <vt:lpstr>ともき!ダマアガリ数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ただ!ダマアガリ率</vt:lpstr>
      <vt:lpstr>ともき!ダマアガリ率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ただ!チョンボ数</vt:lpstr>
      <vt:lpstr>ともき!チョンボ数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ただ!チョンボ率</vt:lpstr>
      <vt:lpstr>ともき!チョンボ率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ただ!ツモ数</vt:lpstr>
      <vt:lpstr>ともき!ツモ数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ただ!ツモ率</vt:lpstr>
      <vt:lpstr>ともき!ツモ率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ただ!トップ数</vt:lpstr>
      <vt:lpstr>ともき!トップ数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ただ!トップ率</vt:lpstr>
      <vt:lpstr>ともき!トップ率</vt:lpstr>
      <vt:lpstr>りくと!トップ率</vt:lpstr>
      <vt:lpstr>れんたろう!トップ率</vt:lpstr>
      <vt:lpstr>全体!トップ率</vt:lpstr>
      <vt:lpstr>だいち!バランス</vt:lpstr>
      <vt:lpstr>ただ!バランス</vt:lpstr>
      <vt:lpstr>ともき!バランス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ただ!ふっとび数</vt:lpstr>
      <vt:lpstr>ともき!ふっとび数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ただ!ふっとび率</vt:lpstr>
      <vt:lpstr>ともき!ふっとび率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ただ!ラス数</vt:lpstr>
      <vt:lpstr>ともき!ラス数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ただ!ラス率</vt:lpstr>
      <vt:lpstr>ともき!ラス率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ただ!リーチアガリ数</vt:lpstr>
      <vt:lpstr>ともき!リーチアガリ数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ただ!リーチアガリ率</vt:lpstr>
      <vt:lpstr>ともき!リーチアガリ率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ただ!リーチ数</vt:lpstr>
      <vt:lpstr>ともき!リーチ数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ただ!リーチ成功数</vt:lpstr>
      <vt:lpstr>ともき!リーチ成功数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ただ!リーチ成功率</vt:lpstr>
      <vt:lpstr>ともき!リーチ成功率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ただ!リーチ率</vt:lpstr>
      <vt:lpstr>ともき!リーチ率</vt:lpstr>
      <vt:lpstr>りくと!リーチ率</vt:lpstr>
      <vt:lpstr>れんたろう!リーチ率</vt:lpstr>
      <vt:lpstr>全体!リーチ率</vt:lpstr>
      <vt:lpstr>だいち!レーティング</vt:lpstr>
      <vt:lpstr>ただ!レーティング</vt:lpstr>
      <vt:lpstr>ともき!レーティング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だいち!ロン数</vt:lpstr>
      <vt:lpstr>ただ!ロン数</vt:lpstr>
      <vt:lpstr>ともき!ロン数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ただ!ロン率</vt:lpstr>
      <vt:lpstr>ともき!ロン率</vt:lpstr>
      <vt:lpstr>りくと!ロン率</vt:lpstr>
      <vt:lpstr>れんたろう!ロン率</vt:lpstr>
      <vt:lpstr>全体!ロン率</vt:lpstr>
      <vt:lpstr>だいち!一位スコア</vt:lpstr>
      <vt:lpstr>ただ!一位スコア</vt:lpstr>
      <vt:lpstr>ともき!一位スコア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ただ!一位通算スコア</vt:lpstr>
      <vt:lpstr>ともき!一位通算スコア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ただ!一翻数</vt:lpstr>
      <vt:lpstr>ともき!一翻数</vt:lpstr>
      <vt:lpstr>りくと!一翻数</vt:lpstr>
      <vt:lpstr>れんたろう!一翻数</vt:lpstr>
      <vt:lpstr>全体!一翻数</vt:lpstr>
      <vt:lpstr>一翻数</vt:lpstr>
      <vt:lpstr>だいち!一翻率</vt:lpstr>
      <vt:lpstr>ただ!一翻率</vt:lpstr>
      <vt:lpstr>ともき!一翻率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ただ!現行連続アガリ</vt:lpstr>
      <vt:lpstr>ともき!現行連続アガリ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ただ!現行連続無放銃</vt:lpstr>
      <vt:lpstr>ともき!現行連続無放銃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ただ!最高点</vt:lpstr>
      <vt:lpstr>ともき!最高点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ただ!最大ドラ数</vt:lpstr>
      <vt:lpstr>ともき!最大ドラ数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ただ!最大点数</vt:lpstr>
      <vt:lpstr>ともき!最大点数</vt:lpstr>
      <vt:lpstr>りくと!最大点数</vt:lpstr>
      <vt:lpstr>れんたろう!最大点数</vt:lpstr>
      <vt:lpstr>全体!最大点数</vt:lpstr>
      <vt:lpstr>だいち!三位スコア</vt:lpstr>
      <vt:lpstr>ただ!三位スコア</vt:lpstr>
      <vt:lpstr>ともき!三位スコア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ただ!三位通算スコア</vt:lpstr>
      <vt:lpstr>ともき!三位通算スコア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ただ!総局数</vt:lpstr>
      <vt:lpstr>ともき!総局数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ただ!対戦数</vt:lpstr>
      <vt:lpstr>ともき!対戦数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ただ!通算アガリ点</vt:lpstr>
      <vt:lpstr>ともき!通算アガリ点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ただ!通算スコア</vt:lpstr>
      <vt:lpstr>ともき!通算スコア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ただ!通算副露アガリ点</vt:lpstr>
      <vt:lpstr>ともき!通算副露アガリ点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ただ!通算放銃点</vt:lpstr>
      <vt:lpstr>ともき!通算放銃点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ただ!通算門前アガリ点</vt:lpstr>
      <vt:lpstr>ともき!通算門前アガリ点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ただ!二位スコア</vt:lpstr>
      <vt:lpstr>ともき!二位スコア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ただ!二位数</vt:lpstr>
      <vt:lpstr>ともき!二位数</vt:lpstr>
      <vt:lpstr>りくと!二位数</vt:lpstr>
      <vt:lpstr>れんたろう!二位数</vt:lpstr>
      <vt:lpstr>全体!二位数</vt:lpstr>
      <vt:lpstr>だいち!二位通算スコア</vt:lpstr>
      <vt:lpstr>ただ!二位通算スコア</vt:lpstr>
      <vt:lpstr>ともき!二位通算スコア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ただ!二位率</vt:lpstr>
      <vt:lpstr>ともき!二位率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ただ!副露アガリ数</vt:lpstr>
      <vt:lpstr>ともき!副露アガリ数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ただ!副露アガリ点</vt:lpstr>
      <vt:lpstr>ともき!副露アガリ点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ただ!副露アガリ率</vt:lpstr>
      <vt:lpstr>ともき!副露アガリ率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ただ!副露数</vt:lpstr>
      <vt:lpstr>ともき!副露数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ただ!副露成功数</vt:lpstr>
      <vt:lpstr>ともき!副露成功数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ただ!副露成功率</vt:lpstr>
      <vt:lpstr>ともき!副露成功率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ただ!副露率</vt:lpstr>
      <vt:lpstr>ともき!副露率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ただ!平均アガリ点</vt:lpstr>
      <vt:lpstr>ともき!平均アガリ点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ただ!平均スコア</vt:lpstr>
      <vt:lpstr>ともき!平均スコア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ただ!平均順位</vt:lpstr>
      <vt:lpstr>ともき!平均順位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ただ!平均放銃点</vt:lpstr>
      <vt:lpstr>ともき!平均放銃点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ただ!放銃数</vt:lpstr>
      <vt:lpstr>ともき!放銃数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ただ!放銃率</vt:lpstr>
      <vt:lpstr>ともき!放銃率</vt:lpstr>
      <vt:lpstr>りくと!放銃率</vt:lpstr>
      <vt:lpstr>れんたろう!放銃率</vt:lpstr>
      <vt:lpstr>全体!放銃率</vt:lpstr>
      <vt:lpstr>Template1!名前</vt:lpstr>
      <vt:lpstr>だいち!名前</vt:lpstr>
      <vt:lpstr>ただ!名前</vt:lpstr>
      <vt:lpstr>ともき!名前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ただ!門前アガリ点</vt:lpstr>
      <vt:lpstr>ともき!門前アガリ点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ただ!連続アガリ</vt:lpstr>
      <vt:lpstr>ともき!連続アガリ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ただ!連続無放銃</vt:lpstr>
      <vt:lpstr>ともき!連続無放銃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2022-03-13T14:10:05Z</dcterms:modified>
</cp:coreProperties>
</file>