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専攻科\対局\"/>
    </mc:Choice>
  </mc:AlternateContent>
  <xr:revisionPtr revIDLastSave="0" documentId="13_ncr:1_{D177F562-939C-4CE9-9D84-2E943D70BF81}" xr6:coauthVersionLast="47" xr6:coauthVersionMax="47" xr10:uidLastSave="{00000000-0000-0000-0000-000000000000}"/>
  <bookViews>
    <workbookView xWindow="-120" yWindow="-120" windowWidth="29040" windowHeight="15990" activeTab="6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25" l="1"/>
  <c r="E9" i="25"/>
  <c r="E8" i="25"/>
  <c r="D8" i="25" s="1"/>
  <c r="E7" i="25"/>
  <c r="E6" i="25"/>
  <c r="D6" i="25" s="1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2" i="25"/>
  <c r="C12" i="25"/>
  <c r="B12" i="25"/>
  <c r="A12" i="25"/>
  <c r="T11" i="25"/>
  <c r="W11" i="25" s="1"/>
  <c r="O11" i="25"/>
  <c r="V11" i="25" s="1"/>
  <c r="J11" i="25"/>
  <c r="U11" i="25" s="1"/>
  <c r="D11" i="25"/>
  <c r="C11" i="25"/>
  <c r="B11" i="25"/>
  <c r="A11" i="25"/>
  <c r="T10" i="25"/>
  <c r="W10" i="25" s="1"/>
  <c r="O10" i="25"/>
  <c r="V10" i="25" s="1"/>
  <c r="J10" i="25"/>
  <c r="U10" i="25" s="1"/>
  <c r="T9" i="25"/>
  <c r="W9" i="25" s="1"/>
  <c r="O9" i="25"/>
  <c r="J9" i="25"/>
  <c r="D9" i="25"/>
  <c r="C9" i="25"/>
  <c r="B9" i="25"/>
  <c r="A9" i="25"/>
  <c r="D7" i="25"/>
  <c r="T5" i="25"/>
  <c r="T6" i="25" s="1"/>
  <c r="O5" i="25"/>
  <c r="O6" i="25" s="1"/>
  <c r="J5" i="25"/>
  <c r="J6" i="25" s="1"/>
  <c r="D5" i="25"/>
  <c r="T4" i="25"/>
  <c r="O4" i="25"/>
  <c r="J4" i="25"/>
  <c r="W3" i="25"/>
  <c r="V3" i="25"/>
  <c r="U3" i="25"/>
  <c r="W2" i="25"/>
  <c r="V2" i="25"/>
  <c r="U2" i="25"/>
  <c r="BO1" i="25"/>
  <c r="AT1" i="25"/>
  <c r="Y1" i="25"/>
  <c r="E8" i="24"/>
  <c r="E7" i="24"/>
  <c r="D7" i="24" s="1"/>
  <c r="E6" i="24"/>
  <c r="E5" i="24"/>
  <c r="C5" i="24" s="1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T11" i="24"/>
  <c r="W11" i="24" s="1"/>
  <c r="O11" i="24"/>
  <c r="V11" i="24" s="1"/>
  <c r="J11" i="24"/>
  <c r="U11" i="24" s="1"/>
  <c r="D11" i="24"/>
  <c r="C11" i="24"/>
  <c r="B11" i="24"/>
  <c r="A11" i="24"/>
  <c r="C10" i="24"/>
  <c r="D10" i="24"/>
  <c r="D9" i="24"/>
  <c r="C9" i="24"/>
  <c r="D8" i="24"/>
  <c r="C6" i="24"/>
  <c r="D6" i="24"/>
  <c r="T4" i="24"/>
  <c r="W4" i="24" s="1"/>
  <c r="O4" i="24"/>
  <c r="O5" i="24" s="1"/>
  <c r="J4" i="24"/>
  <c r="J5" i="24" s="1"/>
  <c r="W3" i="24"/>
  <c r="V3" i="24"/>
  <c r="U3" i="24"/>
  <c r="W2" i="24"/>
  <c r="V2" i="24"/>
  <c r="U2" i="24"/>
  <c r="BO1" i="24"/>
  <c r="AT1" i="24"/>
  <c r="Y1" i="24"/>
  <c r="D11" i="23"/>
  <c r="E10" i="23"/>
  <c r="E9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D8" i="23"/>
  <c r="J5" i="23"/>
  <c r="J6" i="23" s="1"/>
  <c r="C5" i="23"/>
  <c r="D5" i="23"/>
  <c r="T4" i="23"/>
  <c r="T5" i="23" s="1"/>
  <c r="O4" i="23"/>
  <c r="O5" i="23" s="1"/>
  <c r="J4" i="23"/>
  <c r="W3" i="23"/>
  <c r="V3" i="23"/>
  <c r="U3" i="23"/>
  <c r="W2" i="23"/>
  <c r="V2" i="23"/>
  <c r="U2" i="23"/>
  <c r="BO1" i="23"/>
  <c r="AT1" i="23"/>
  <c r="Y1" i="23"/>
  <c r="E11" i="22"/>
  <c r="C11" i="22" s="1"/>
  <c r="E10" i="22"/>
  <c r="E9" i="22"/>
  <c r="E8" i="22"/>
  <c r="E7" i="22"/>
  <c r="D7" i="22"/>
  <c r="E6" i="22"/>
  <c r="E5" i="22"/>
  <c r="B5" i="22" s="1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O11" i="22"/>
  <c r="J11" i="22"/>
  <c r="U11" i="22" s="1"/>
  <c r="D11" i="22"/>
  <c r="B11" i="22"/>
  <c r="A11" i="22"/>
  <c r="D9" i="22"/>
  <c r="D8" i="22"/>
  <c r="C8" i="22"/>
  <c r="T4" i="22"/>
  <c r="T5" i="22" s="1"/>
  <c r="O4" i="22"/>
  <c r="O5" i="22" s="1"/>
  <c r="J4" i="22"/>
  <c r="J5" i="22" s="1"/>
  <c r="W3" i="22"/>
  <c r="V3" i="22"/>
  <c r="U3" i="22"/>
  <c r="W2" i="22"/>
  <c r="V2" i="22"/>
  <c r="U2" i="22"/>
  <c r="BO1" i="22"/>
  <c r="AT1" i="22"/>
  <c r="Y1" i="22"/>
  <c r="D11" i="21"/>
  <c r="E10" i="21"/>
  <c r="E9" i="21"/>
  <c r="D9" i="21" s="1"/>
  <c r="E8" i="21"/>
  <c r="E7" i="21"/>
  <c r="D7" i="21" s="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0" i="21"/>
  <c r="D8" i="21"/>
  <c r="C7" i="21"/>
  <c r="T5" i="21"/>
  <c r="D5" i="21"/>
  <c r="C5" i="21"/>
  <c r="B5" i="21"/>
  <c r="A5" i="21" s="1"/>
  <c r="T4" i="21"/>
  <c r="J4" i="21"/>
  <c r="O4" i="21" s="1"/>
  <c r="O5" i="21" s="1"/>
  <c r="W3" i="21"/>
  <c r="V3" i="21"/>
  <c r="U3" i="21"/>
  <c r="W2" i="21"/>
  <c r="V2" i="21"/>
  <c r="U2" i="21"/>
  <c r="BO1" i="21"/>
  <c r="AT1" i="21"/>
  <c r="Y1" i="21"/>
  <c r="D12" i="20"/>
  <c r="E11" i="20"/>
  <c r="E10" i="20"/>
  <c r="D10" i="20" s="1"/>
  <c r="E9" i="20"/>
  <c r="E8" i="20"/>
  <c r="D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9" i="20"/>
  <c r="D7" i="20"/>
  <c r="D6" i="20"/>
  <c r="B5" i="20"/>
  <c r="D5" i="20"/>
  <c r="C5" i="20"/>
  <c r="T4" i="20"/>
  <c r="T5" i="20" s="1"/>
  <c r="O4" i="20"/>
  <c r="O5" i="20" s="1"/>
  <c r="J4" i="20"/>
  <c r="J5" i="20" s="1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C10" i="25" l="1"/>
  <c r="B10" i="25"/>
  <c r="A10" i="25" s="1"/>
  <c r="D10" i="25"/>
  <c r="U9" i="25"/>
  <c r="V9" i="25"/>
  <c r="W4" i="25"/>
  <c r="U4" i="25"/>
  <c r="V4" i="25"/>
  <c r="J7" i="25"/>
  <c r="U6" i="25"/>
  <c r="O7" i="25"/>
  <c r="V6" i="25"/>
  <c r="W6" i="25"/>
  <c r="T7" i="25"/>
  <c r="C7" i="25"/>
  <c r="B5" i="25"/>
  <c r="A5" i="25" s="1"/>
  <c r="V5" i="25"/>
  <c r="U5" i="25"/>
  <c r="C5" i="25"/>
  <c r="C6" i="25" s="1"/>
  <c r="W5" i="25"/>
  <c r="C8" i="25"/>
  <c r="B6" i="25"/>
  <c r="D5" i="24"/>
  <c r="B5" i="24"/>
  <c r="J6" i="24"/>
  <c r="U5" i="24"/>
  <c r="O6" i="24"/>
  <c r="V5" i="24"/>
  <c r="B6" i="24"/>
  <c r="B7" i="24" s="1"/>
  <c r="U4" i="24"/>
  <c r="V4" i="24"/>
  <c r="T5" i="24"/>
  <c r="C8" i="24"/>
  <c r="A5" i="24"/>
  <c r="C7" i="24"/>
  <c r="D9" i="23"/>
  <c r="T6" i="23"/>
  <c r="W5" i="23"/>
  <c r="D10" i="23"/>
  <c r="O6" i="23"/>
  <c r="V5" i="23"/>
  <c r="J7" i="23"/>
  <c r="U4" i="23"/>
  <c r="C6" i="23"/>
  <c r="C7" i="23" s="1"/>
  <c r="C8" i="23" s="1"/>
  <c r="C9" i="23" s="1"/>
  <c r="C10" i="23" s="1"/>
  <c r="C11" i="23" s="1"/>
  <c r="V4" i="23"/>
  <c r="D6" i="23"/>
  <c r="D7" i="23" s="1"/>
  <c r="W4" i="23"/>
  <c r="U5" i="23"/>
  <c r="B5" i="23"/>
  <c r="B6" i="23" s="1"/>
  <c r="V11" i="22"/>
  <c r="W11" i="22"/>
  <c r="C7" i="22"/>
  <c r="D5" i="22"/>
  <c r="T6" i="22"/>
  <c r="W5" i="22"/>
  <c r="B7" i="22"/>
  <c r="U5" i="22"/>
  <c r="J6" i="22"/>
  <c r="O6" i="22"/>
  <c r="V5" i="22"/>
  <c r="C10" i="22"/>
  <c r="C5" i="22"/>
  <c r="D10" i="22"/>
  <c r="B6" i="22"/>
  <c r="U4" i="22"/>
  <c r="C6" i="22"/>
  <c r="V4" i="22"/>
  <c r="D6" i="22"/>
  <c r="C9" i="22"/>
  <c r="W4" i="22"/>
  <c r="A5" i="22"/>
  <c r="C11" i="21"/>
  <c r="W4" i="21"/>
  <c r="U4" i="21"/>
  <c r="O6" i="21"/>
  <c r="W5" i="21"/>
  <c r="B7" i="21"/>
  <c r="T6" i="21"/>
  <c r="C8" i="21"/>
  <c r="C10" i="21"/>
  <c r="B6" i="21"/>
  <c r="A6" i="21" s="1"/>
  <c r="J5" i="21"/>
  <c r="V5" i="21" s="1"/>
  <c r="C6" i="21"/>
  <c r="V4" i="21"/>
  <c r="D6" i="21"/>
  <c r="C9" i="21"/>
  <c r="C12" i="20"/>
  <c r="C10" i="20"/>
  <c r="O6" i="20"/>
  <c r="V5" i="20"/>
  <c r="J6" i="20"/>
  <c r="U5" i="20"/>
  <c r="T6" i="20"/>
  <c r="W5" i="20"/>
  <c r="C11" i="20"/>
  <c r="U4" i="20"/>
  <c r="C6" i="20"/>
  <c r="D11" i="20"/>
  <c r="B6" i="20"/>
  <c r="B7" i="20" s="1"/>
  <c r="V4" i="20"/>
  <c r="C9" i="20"/>
  <c r="W4" i="20"/>
  <c r="C8" i="20"/>
  <c r="A5" i="20"/>
  <c r="A6" i="20" s="1"/>
  <c r="C7" i="20"/>
  <c r="W3" i="19"/>
  <c r="V3" i="19"/>
  <c r="U3" i="19"/>
  <c r="O8" i="25" l="1"/>
  <c r="V7" i="25"/>
  <c r="A6" i="25"/>
  <c r="J8" i="25"/>
  <c r="U7" i="25"/>
  <c r="B7" i="25"/>
  <c r="A7" i="25" s="1"/>
  <c r="W7" i="25"/>
  <c r="T8" i="25"/>
  <c r="B8" i="24"/>
  <c r="O7" i="24"/>
  <c r="A7" i="24"/>
  <c r="A8" i="24" s="1"/>
  <c r="T6" i="24"/>
  <c r="W5" i="24"/>
  <c r="J7" i="24"/>
  <c r="A6" i="24"/>
  <c r="A5" i="23"/>
  <c r="B7" i="23"/>
  <c r="V6" i="23"/>
  <c r="O7" i="23"/>
  <c r="U6" i="23"/>
  <c r="T7" i="23"/>
  <c r="W6" i="23"/>
  <c r="A6" i="23"/>
  <c r="J8" i="23"/>
  <c r="V6" i="22"/>
  <c r="O7" i="22"/>
  <c r="T7" i="22"/>
  <c r="W6" i="22"/>
  <c r="J7" i="22"/>
  <c r="U6" i="22"/>
  <c r="A6" i="22"/>
  <c r="A7" i="22" s="1"/>
  <c r="B8" i="22"/>
  <c r="O7" i="21"/>
  <c r="A7" i="21"/>
  <c r="J6" i="21"/>
  <c r="U5" i="21"/>
  <c r="B8" i="21"/>
  <c r="A8" i="21" s="1"/>
  <c r="T7" i="21"/>
  <c r="A8" i="20"/>
  <c r="B8" i="20"/>
  <c r="A7" i="20"/>
  <c r="J7" i="20"/>
  <c r="U6" i="20"/>
  <c r="T7" i="20"/>
  <c r="W6" i="20"/>
  <c r="O7" i="20"/>
  <c r="V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W9" i="19" s="1"/>
  <c r="O9" i="19"/>
  <c r="J9" i="19"/>
  <c r="U9" i="19" s="1"/>
  <c r="D9" i="19"/>
  <c r="C9" i="19"/>
  <c r="B9" i="19"/>
  <c r="A9" i="19" s="1"/>
  <c r="T8" i="19"/>
  <c r="O8" i="19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8" i="25" l="1"/>
  <c r="W8" i="25"/>
  <c r="V8" i="25"/>
  <c r="B8" i="25"/>
  <c r="A8" i="25" s="1"/>
  <c r="T7" i="24"/>
  <c r="U7" i="24" s="1"/>
  <c r="W6" i="24"/>
  <c r="U6" i="24"/>
  <c r="V6" i="24"/>
  <c r="O8" i="24"/>
  <c r="B9" i="24"/>
  <c r="J8" i="24"/>
  <c r="T8" i="23"/>
  <c r="W7" i="23"/>
  <c r="V7" i="23"/>
  <c r="O8" i="23"/>
  <c r="U7" i="23"/>
  <c r="B8" i="23"/>
  <c r="J9" i="23"/>
  <c r="A7" i="23"/>
  <c r="A8" i="22"/>
  <c r="J8" i="22"/>
  <c r="U7" i="22"/>
  <c r="W7" i="22"/>
  <c r="T8" i="22"/>
  <c r="B9" i="22"/>
  <c r="O8" i="22"/>
  <c r="V7" i="22"/>
  <c r="U6" i="21"/>
  <c r="J7" i="21"/>
  <c r="W6" i="21"/>
  <c r="O8" i="21"/>
  <c r="V7" i="21"/>
  <c r="T8" i="21"/>
  <c r="V6" i="21"/>
  <c r="B9" i="21"/>
  <c r="A9" i="21"/>
  <c r="O8" i="20"/>
  <c r="V7" i="20"/>
  <c r="T8" i="20"/>
  <c r="W7" i="20"/>
  <c r="J8" i="20"/>
  <c r="U7" i="20"/>
  <c r="B9" i="20"/>
  <c r="U12" i="19"/>
  <c r="V12" i="19"/>
  <c r="W12" i="19"/>
  <c r="U11" i="19"/>
  <c r="W11" i="19"/>
  <c r="V11" i="19"/>
  <c r="U10" i="19"/>
  <c r="W10" i="19"/>
  <c r="V10" i="19"/>
  <c r="V9" i="19"/>
  <c r="V8" i="19"/>
  <c r="W8" i="19"/>
  <c r="V7" i="19"/>
  <c r="W7" i="19"/>
  <c r="U6" i="19"/>
  <c r="C6" i="19"/>
  <c r="W4" i="19"/>
  <c r="V6" i="19"/>
  <c r="W6" i="19"/>
  <c r="U4" i="19"/>
  <c r="V4" i="19"/>
  <c r="T5" i="19"/>
  <c r="J5" i="19"/>
  <c r="O5" i="19"/>
  <c r="T8" i="24" l="1"/>
  <c r="U8" i="24" s="1"/>
  <c r="W7" i="24"/>
  <c r="B10" i="24"/>
  <c r="O9" i="24"/>
  <c r="V7" i="24"/>
  <c r="A9" i="24"/>
  <c r="A10" i="24" s="1"/>
  <c r="J9" i="24"/>
  <c r="B9" i="23"/>
  <c r="O9" i="23"/>
  <c r="V8" i="23"/>
  <c r="J10" i="23"/>
  <c r="A8" i="23"/>
  <c r="U8" i="23"/>
  <c r="T9" i="23"/>
  <c r="W8" i="23"/>
  <c r="O9" i="22"/>
  <c r="V8" i="22"/>
  <c r="B10" i="22"/>
  <c r="A9" i="22"/>
  <c r="A10" i="22" s="1"/>
  <c r="J9" i="22"/>
  <c r="U8" i="22"/>
  <c r="W8" i="22"/>
  <c r="T9" i="22"/>
  <c r="O9" i="21"/>
  <c r="B10" i="21"/>
  <c r="A10" i="21" s="1"/>
  <c r="J8" i="21"/>
  <c r="U7" i="21"/>
  <c r="W7" i="21"/>
  <c r="T9" i="21"/>
  <c r="V8" i="20"/>
  <c r="O9" i="20"/>
  <c r="B10" i="20"/>
  <c r="A9" i="20"/>
  <c r="J9" i="20"/>
  <c r="U8" i="20"/>
  <c r="T9" i="20"/>
  <c r="W8" i="20"/>
  <c r="V5" i="19"/>
  <c r="U5" i="19"/>
  <c r="W5" i="19"/>
  <c r="J10" i="24" l="1"/>
  <c r="V8" i="24"/>
  <c r="O10" i="24"/>
  <c r="T9" i="24"/>
  <c r="V9" i="24" s="1"/>
  <c r="W8" i="24"/>
  <c r="U9" i="23"/>
  <c r="J11" i="23"/>
  <c r="O10" i="23"/>
  <c r="V9" i="23"/>
  <c r="B10" i="23"/>
  <c r="A10" i="23" s="1"/>
  <c r="T10" i="23"/>
  <c r="W9" i="23"/>
  <c r="A9" i="23"/>
  <c r="U9" i="22"/>
  <c r="J10" i="22"/>
  <c r="T10" i="22"/>
  <c r="W9" i="22"/>
  <c r="O10" i="22"/>
  <c r="V9" i="22"/>
  <c r="J9" i="21"/>
  <c r="U8" i="21"/>
  <c r="W8" i="21"/>
  <c r="V8" i="21"/>
  <c r="T10" i="21"/>
  <c r="B11" i="21"/>
  <c r="A11" i="21" s="1"/>
  <c r="O10" i="21"/>
  <c r="V9" i="21"/>
  <c r="A10" i="20"/>
  <c r="U9" i="20"/>
  <c r="J10" i="20"/>
  <c r="B11" i="20"/>
  <c r="T10" i="20"/>
  <c r="W9" i="20"/>
  <c r="O10" i="20"/>
  <c r="V9" i="20"/>
  <c r="T10" i="24" l="1"/>
  <c r="W10" i="24" s="1"/>
  <c r="W9" i="24"/>
  <c r="V10" i="24"/>
  <c r="U9" i="24"/>
  <c r="T11" i="23"/>
  <c r="W10" i="23"/>
  <c r="B11" i="23"/>
  <c r="A11" i="23" s="1"/>
  <c r="O11" i="23"/>
  <c r="V11" i="23" s="1"/>
  <c r="V10" i="23"/>
  <c r="U10" i="23"/>
  <c r="W10" i="22"/>
  <c r="V10" i="22"/>
  <c r="U10" i="22"/>
  <c r="O11" i="21"/>
  <c r="J10" i="21"/>
  <c r="U9" i="21"/>
  <c r="W10" i="21"/>
  <c r="T11" i="21"/>
  <c r="W9" i="21"/>
  <c r="O11" i="20"/>
  <c r="V10" i="20"/>
  <c r="T11" i="20"/>
  <c r="W10" i="20"/>
  <c r="B12" i="20"/>
  <c r="A12" i="20" s="1"/>
  <c r="A11" i="20"/>
  <c r="J11" i="20"/>
  <c r="U10" i="20"/>
  <c r="U10" i="24" l="1"/>
  <c r="W11" i="23"/>
  <c r="U11" i="23"/>
  <c r="J11" i="21"/>
  <c r="U11" i="21" s="1"/>
  <c r="U10" i="21"/>
  <c r="V10" i="21"/>
  <c r="O12" i="20"/>
  <c r="V11" i="20"/>
  <c r="J12" i="20"/>
  <c r="U11" i="20"/>
  <c r="W11" i="20"/>
  <c r="T12" i="20"/>
  <c r="V11" i="21" l="1"/>
  <c r="W11" i="21"/>
  <c r="V12" i="20"/>
  <c r="W12" i="20"/>
  <c r="U12" i="20"/>
</calcChain>
</file>

<file path=xl/sharedStrings.xml><?xml version="1.0" encoding="utf-8"?>
<sst xmlns="http://schemas.openxmlformats.org/spreadsheetml/2006/main" count="1118" uniqueCount="209">
  <si>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</si>
  <si>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</si>
  <si>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</si>
  <si>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</si>
  <si>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</si>
  <si>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</si>
  <si>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</si>
  <si>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</si>
  <si>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</si>
  <si>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</si>
  <si>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</si>
  <si>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</si>
  <si>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</si>
  <si>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</si>
  <si>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</si>
  <si>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</si>
  <si>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</si>
  <si>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</si>
  <si>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</si>
  <si>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</si>
  <si>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</si>
  <si>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</si>
  <si>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</si>
  <si>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</si>
  <si>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</si>
  <si>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</si>
  <si>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</si>
  <si>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</si>
  <si>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</si>
  <si>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</si>
  <si>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</si>
  <si>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</si>
  <si>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</si>
  <si>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</si>
  <si>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</si>
  <si>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</si>
  <si>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</si>
  <si>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</si>
  <si>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</si>
  <si>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</si>
  <si>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</si>
  <si>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</si>
  <si>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</si>
  <si>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</si>
  <si>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</si>
  <si>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</si>
  <si>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</si>
  <si>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</si>
  <si>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</si>
  <si>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</si>
  <si>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</si>
  <si>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</si>
  <si>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</si>
  <si>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</si>
  <si>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</si>
  <si>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</si>
  <si>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</si>
  <si>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</si>
  <si>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</si>
  <si>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</si>
  <si>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</si>
  <si>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</si>
  <si>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</si>
  <si>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</si>
  <si>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</si>
  <si>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</si>
  <si>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</si>
  <si>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</si>
  <si>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</si>
  <si>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</si>
  <si>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</si>
  <si>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</si>
  <si>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</si>
  <si>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</si>
  <si>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</si>
  <si>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</si>
  <si>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</si>
  <si>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</si>
  <si>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</si>
  <si>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</si>
  <si>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</si>
  <si>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</si>
  <si>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</si>
  <si>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</si>
  <si>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</si>
  <si>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</si>
  <si>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</si>
  <si>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</si>
  <si>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</si>
  <si>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</si>
  <si>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</si>
  <si>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</si>
  <si>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</si>
  <si>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</si>
  <si>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</si>
  <si>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</si>
  <si>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</si>
  <si>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</si>
  <si>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</si>
  <si>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</si>
  <si>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</si>
  <si>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</si>
  <si>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</si>
  <si>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</si>
  <si>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</si>
  <si>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</si>
  <si>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</si>
  <si>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</si>
  <si>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</si>
  <si>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</si>
  <si>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</si>
  <si>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</si>
  <si>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</si>
  <si>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</si>
  <si>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</si>
  <si>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</si>
  <si>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</si>
  <si>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</si>
  <si>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</si>
  <si>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</si>
  <si>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</si>
  <si>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</si>
  <si>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</si>
  <si>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</si>
  <si>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</si>
  <si>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</si>
  <si>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</si>
  <si>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</si>
  <si>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</si>
  <si>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</si>
  <si>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</si>
  <si>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</si>
  <si>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</si>
  <si>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</si>
  <si>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</si>
  <si>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</si>
  <si>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</si>
  <si>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</si>
  <si>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</si>
  <si>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</si>
  <si>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</si>
  <si>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</si>
  <si>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</si>
  <si>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</si>
  <si>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</si>
  <si>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</si>
  <si>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</si>
  <si>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</si>
  <si>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</si>
  <si>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</si>
  <si>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</si>
  <si>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</si>
  <si>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</si>
  <si>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</si>
  <si>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</si>
  <si>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</si>
  <si>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</si>
  <si>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</si>
  <si>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</si>
  <si>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</si>
  <si>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</si>
  <si>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</si>
  <si>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</si>
  <si>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</si>
  <si>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</si>
  <si>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</si>
  <si>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</si>
  <si>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</si>
  <si>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</si>
  <si>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</si>
  <si>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</si>
  <si>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</si>
  <si>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</si>
  <si>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</si>
  <si>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</si>
  <si>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</si>
  <si>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</si>
  <si>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</si>
  <si>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</si>
  <si>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</si>
  <si>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</si>
  <si>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</si>
  <si>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</si>
  <si>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</si>
  <si>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</si>
  <si>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</si>
  <si>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</si>
  <si>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</si>
  <si>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</si>
  <si>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</si>
  <si>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</si>
  <si>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</si>
  <si>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れんたろう</t>
    <phoneticPr fontId="1"/>
  </si>
  <si>
    <t>だいち</t>
  </si>
  <si>
    <t>だいち</t>
    <phoneticPr fontId="1"/>
  </si>
  <si>
    <t>ただ</t>
  </si>
  <si>
    <t>ただ</t>
    <phoneticPr fontId="1"/>
  </si>
  <si>
    <t>放銃</t>
  </si>
  <si>
    <t>ロン</t>
  </si>
  <si>
    <t>01</t>
  </si>
  <si>
    <t>52</t>
  </si>
  <si>
    <t>ツモ支払</t>
  </si>
  <si>
    <t>ツモ</t>
  </si>
  <si>
    <t>02</t>
  </si>
  <si>
    <t>*</t>
  </si>
  <si>
    <t>T</t>
  </si>
  <si>
    <t>N</t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</si>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</sst>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198</v>
      </c>
      <c r="Q4" s="9">
        <v>5800</v>
      </c>
      <c r="R4" s="9"/>
      <c r="S4" s="48">
        <v>0</v>
      </c>
      <c r="T4" s="21">
        <f>IF(COUNTA($F4,$K4,$P4)&gt;0,T3+SUM(Q4:S4),"")</f>
        <v>40800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-25.8</v>
      </c>
      <c r="W4" s="55">
        <f>IF($T4="","",ROUND(($T4-$T$3)/1000,1)+(_xlfn.RANK.AVG($T4,($J4,$O4,$T4),1)-2)*20)</f>
        <v>25.8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199</v>
      </c>
      <c r="BV4" s="41" t="s">
        <v>83</v>
      </c>
      <c r="BW4" s="41" t="s">
        <v>200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ただ</v>
      </c>
      <c r="F5" s="8" t="s">
        <v>201</v>
      </c>
      <c r="G5" s="9">
        <v>-6000</v>
      </c>
      <c r="H5" s="9"/>
      <c r="I5" s="48">
        <v>-500</v>
      </c>
      <c r="J5" s="21">
        <f t="shared" ref="J5:J30" si="2">IF(COUNTA($F5,$K5,$P5)&gt;0,J4+SUM(G5:I5),"")</f>
        <v>28500</v>
      </c>
      <c r="K5" s="8" t="s">
        <v>201</v>
      </c>
      <c r="L5" s="9">
        <v>-6000</v>
      </c>
      <c r="M5" s="9"/>
      <c r="N5" s="48">
        <v>-500</v>
      </c>
      <c r="O5" s="21">
        <f t="shared" ref="O5:O30" si="3">IF(COUNTA($F5,$K5,$P5)&gt;0,O4+SUM(L5:N5),"")</f>
        <v>22700</v>
      </c>
      <c r="P5" s="8" t="s">
        <v>202</v>
      </c>
      <c r="Q5" s="9">
        <v>12000</v>
      </c>
      <c r="R5" s="9"/>
      <c r="S5" s="48">
        <v>1000</v>
      </c>
      <c r="T5" s="21">
        <f t="shared" ref="T5:T30" si="4">IF(COUNTA($F5,$K5,$P5)&gt;0,T4+SUM(Q5:S5),"")</f>
        <v>53800</v>
      </c>
      <c r="U5" s="53">
        <f>IF($J5="","",ROUND(($J5-$J$3)/1000,1)+(_xlfn.RANK.AVG($J5,($J5,$O5,$T5),1)-2)*20)</f>
        <v>-6.5</v>
      </c>
      <c r="V5" s="54">
        <f>IF($O5="","",ROUND(($O5-$O$3)/1000,1)+(_xlfn.RANK.AVG($O5,($J5,$O5,$T5),1)-2)*20)</f>
        <v>-32.299999999999997</v>
      </c>
      <c r="W5" s="55">
        <f>IF($T5="","",ROUND(($T5-$T$3)/1000,1)+(_xlfn.RANK.AVG($T5,($J5,$O5,$T5),1)-2)*20)</f>
        <v>38.799999999999997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40</v>
      </c>
      <c r="BU5" s="40" t="s">
        <v>199</v>
      </c>
      <c r="BV5" s="41" t="s">
        <v>82</v>
      </c>
      <c r="BW5" s="41" t="s">
        <v>203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IF($P$1="","",$P$1)</f>
        <v>ただ</v>
      </c>
      <c r="F6" s="8" t="s">
        <v>197</v>
      </c>
      <c r="G6" s="9">
        <v>-8000</v>
      </c>
      <c r="H6" s="9"/>
      <c r="I6" s="48">
        <v>-2000</v>
      </c>
      <c r="J6" s="21">
        <f t="shared" si="2"/>
        <v>18500</v>
      </c>
      <c r="K6" s="8" t="s">
        <v>198</v>
      </c>
      <c r="L6" s="9">
        <v>8000</v>
      </c>
      <c r="M6" s="9"/>
      <c r="N6" s="48">
        <v>2000</v>
      </c>
      <c r="O6" s="21">
        <f t="shared" si="3"/>
        <v>32700</v>
      </c>
      <c r="P6" s="8"/>
      <c r="Q6" s="9"/>
      <c r="R6" s="9"/>
      <c r="S6" s="48"/>
      <c r="T6" s="21">
        <f t="shared" si="4"/>
        <v>53800</v>
      </c>
      <c r="U6" s="53">
        <f>IF($J6="","",ROUND(($J6-$J$3)/1000,1)+(_xlfn.RANK.AVG($J6,($J6,$O6,$T6),1)-2)*20)</f>
        <v>-36.5</v>
      </c>
      <c r="V6" s="54">
        <f>IF($O6="","",ROUND(($O6-$O$3)/1000,1)+(_xlfn.RANK.AVG($O6,($J6,$O6,$T6),1)-2)*20)</f>
        <v>-2.2999999999999998</v>
      </c>
      <c r="W6" s="55">
        <f>IF($T6="","",ROUND(($T6-$T$3)/1000,1)+(_xlfn.RANK.AVG($T6,($J6,$O6,$T6),1)-2)*20)</f>
        <v>38.799999999999997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40</v>
      </c>
      <c r="AZ6" s="40" t="s">
        <v>92</v>
      </c>
      <c r="BA6" s="41" t="s">
        <v>200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/>
      <c r="G7" s="9"/>
      <c r="H7" s="9"/>
      <c r="I7" s="48"/>
      <c r="J7" s="21">
        <f t="shared" si="2"/>
        <v>18500</v>
      </c>
      <c r="K7" s="8" t="s">
        <v>197</v>
      </c>
      <c r="L7" s="9">
        <v>-8000</v>
      </c>
      <c r="M7" s="9"/>
      <c r="N7" s="48">
        <v>0</v>
      </c>
      <c r="O7" s="21">
        <f t="shared" si="3"/>
        <v>24700</v>
      </c>
      <c r="P7" s="8" t="s">
        <v>198</v>
      </c>
      <c r="Q7" s="9">
        <v>8000</v>
      </c>
      <c r="R7" s="9"/>
      <c r="S7" s="48">
        <v>0</v>
      </c>
      <c r="T7" s="21">
        <f t="shared" si="4"/>
        <v>61800</v>
      </c>
      <c r="U7" s="53">
        <f>IF($J7="","",ROUND(($J7-$J$3)/1000,1)+(_xlfn.RANK.AVG($J7,($J7,$O7,$T7),1)-2)*20)</f>
        <v>-36.5</v>
      </c>
      <c r="V7" s="54">
        <f>IF($O7="","",ROUND(($O7-$O$3)/1000,1)+(_xlfn.RANK.AVG($O7,($J7,$O7,$T7),1)-2)*20)</f>
        <v>-10.3</v>
      </c>
      <c r="W7" s="55">
        <f>IF($T7="","",ROUND(($T7-$T$3)/1000,1)+(_xlfn.RANK.AVG($T7,($J7,$O7,$T7),1)-2)*20)</f>
        <v>46.8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199</v>
      </c>
      <c r="BV7" s="41" t="s">
        <v>200</v>
      </c>
      <c r="BW7" s="41" t="s">
        <v>79</v>
      </c>
      <c r="BX7" s="41" t="s">
        <v>86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/>
      <c r="G8" s="9"/>
      <c r="H8" s="9"/>
      <c r="I8" s="48"/>
      <c r="J8" s="21">
        <f t="shared" si="2"/>
        <v>18500</v>
      </c>
      <c r="K8" s="8" t="s">
        <v>198</v>
      </c>
      <c r="L8" s="9">
        <v>18000</v>
      </c>
      <c r="M8" s="9"/>
      <c r="N8" s="48">
        <v>0</v>
      </c>
      <c r="O8" s="21">
        <f t="shared" si="3"/>
        <v>42700</v>
      </c>
      <c r="P8" s="8" t="s">
        <v>197</v>
      </c>
      <c r="Q8" s="9">
        <v>-18000</v>
      </c>
      <c r="R8" s="9"/>
      <c r="S8" s="48">
        <v>0</v>
      </c>
      <c r="T8" s="21">
        <f t="shared" si="4"/>
        <v>43800</v>
      </c>
      <c r="U8" s="53">
        <f>IF($J8="","",ROUND(($J8-$J$3)/1000,1)+(_xlfn.RANK.AVG($J8,($J8,$O8,$T8),1)-2)*20)</f>
        <v>-36.5</v>
      </c>
      <c r="V8" s="54">
        <f>IF($O8="","",ROUND(($O8-$O$3)/1000,1)+(_xlfn.RANK.AVG($O8,($J8,$O8,$T8),1)-2)*20)</f>
        <v>7.7</v>
      </c>
      <c r="W8" s="55">
        <f>IF($T8="","",ROUND(($T8-$T$3)/1000,1)+(_xlfn.RANK.AVG($T8,($J8,$O8,$T8),1)-2)*20)</f>
        <v>28.8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204</v>
      </c>
      <c r="AZ8" s="40" t="s">
        <v>199</v>
      </c>
      <c r="BA8" s="41" t="s">
        <v>102</v>
      </c>
      <c r="BB8" s="41" t="s">
        <v>200</v>
      </c>
      <c r="BC8" s="41" t="s">
        <v>200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IF($K$1="","",$K$1)</f>
        <v>だいち</v>
      </c>
      <c r="F9" s="8" t="s">
        <v>197</v>
      </c>
      <c r="G9" s="9">
        <v>-5200</v>
      </c>
      <c r="H9" s="9"/>
      <c r="I9" s="48">
        <v>-1000</v>
      </c>
      <c r="J9" s="21">
        <f t="shared" si="2"/>
        <v>12300</v>
      </c>
      <c r="K9" s="8"/>
      <c r="L9" s="9"/>
      <c r="M9" s="9"/>
      <c r="N9" s="48"/>
      <c r="O9" s="21">
        <f t="shared" si="3"/>
        <v>42700</v>
      </c>
      <c r="P9" s="8" t="s">
        <v>198</v>
      </c>
      <c r="Q9" s="9">
        <v>5200</v>
      </c>
      <c r="R9" s="9"/>
      <c r="S9" s="48">
        <v>1000</v>
      </c>
      <c r="T9" s="21">
        <f t="shared" si="4"/>
        <v>50000</v>
      </c>
      <c r="U9" s="53">
        <f>IF($J9="","",ROUND(($J9-$J$3)/1000,1)+(_xlfn.RANK.AVG($J9,($J9,$O9,$T9),1)-2)*20)</f>
        <v>-42.7</v>
      </c>
      <c r="V9" s="54">
        <f>IF($O9="","",ROUND(($O9-$O$3)/1000,1)+(_xlfn.RANK.AVG($O9,($J9,$O9,$T9),1)-2)*20)</f>
        <v>7.7</v>
      </c>
      <c r="W9" s="55">
        <f>IF($T9="","",ROUND(($T9-$T$3)/1000,1)+(_xlfn.RANK.AVG($T9,($J9,$O9,$T9),1)-2)*20)</f>
        <v>35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199</v>
      </c>
      <c r="BV9" s="41" t="s">
        <v>203</v>
      </c>
      <c r="BW9" s="41" t="s">
        <v>200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IF($P$1="","",$P$1)</f>
        <v>ただ</v>
      </c>
      <c r="F10" s="8" t="s">
        <v>207</v>
      </c>
      <c r="G10" s="9">
        <v>3000</v>
      </c>
      <c r="H10" s="9">
        <v>-1000</v>
      </c>
      <c r="I10" s="48"/>
      <c r="J10" s="21">
        <f t="shared" si="2"/>
        <v>14300</v>
      </c>
      <c r="K10" s="8" t="s">
        <v>207</v>
      </c>
      <c r="L10" s="9">
        <v>-1500</v>
      </c>
      <c r="M10" s="9"/>
      <c r="N10" s="48"/>
      <c r="O10" s="21">
        <f t="shared" si="3"/>
        <v>41200</v>
      </c>
      <c r="P10" s="8" t="s">
        <v>207</v>
      </c>
      <c r="Q10" s="9">
        <v>-1500</v>
      </c>
      <c r="R10" s="9"/>
      <c r="S10" s="48"/>
      <c r="T10" s="21">
        <f t="shared" si="4"/>
        <v>48500</v>
      </c>
      <c r="U10" s="53">
        <f>IF($J10="","",ROUND(($J10-$J$3)/1000,1)+(_xlfn.RANK.AVG($J10,($J10,$O10,$T10),1)-2)*20)</f>
        <v>-40.700000000000003</v>
      </c>
      <c r="V10" s="54">
        <f>IF($O10="","",ROUND(($O10-$O$3)/1000,1)+(_xlfn.RANK.AVG($O10,($J10,$O10,$T10),1)-2)*20)</f>
        <v>6.2</v>
      </c>
      <c r="W10" s="55">
        <f>IF($T10="","",ROUND(($T10-$T$3)/1000,1)+(_xlfn.RANK.AVG($T10,($J10,$O10,$T10),1)-2)*20)</f>
        <v>33.5</v>
      </c>
      <c r="Y10" s="8" t="s">
        <v>205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206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206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1</v>
      </c>
      <c r="E11" s="4" t="str">
        <f>IF($F$1="","",$F$1)</f>
        <v>れんたろう</v>
      </c>
      <c r="F11" s="8" t="s">
        <v>197</v>
      </c>
      <c r="G11" s="9">
        <v>-12000</v>
      </c>
      <c r="H11" s="9"/>
      <c r="I11" s="48">
        <v>-1000</v>
      </c>
      <c r="J11" s="21">
        <f t="shared" si="2"/>
        <v>1300</v>
      </c>
      <c r="K11" s="8" t="s">
        <v>198</v>
      </c>
      <c r="L11" s="9">
        <v>12000</v>
      </c>
      <c r="M11" s="9">
        <v>1000</v>
      </c>
      <c r="N11" s="48">
        <v>1000</v>
      </c>
      <c r="O11" s="21">
        <f t="shared" si="3"/>
        <v>55200</v>
      </c>
      <c r="P11" s="8"/>
      <c r="Q11" s="9"/>
      <c r="R11" s="9"/>
      <c r="S11" s="48"/>
      <c r="T11" s="21">
        <f t="shared" si="4"/>
        <v>48500</v>
      </c>
      <c r="U11" s="53">
        <f>IF($J11="","",ROUND(($J11-$J$3)/1000,1)+(_xlfn.RANK.AVG($J11,($J11,$O11,$T11),1)-2)*20)</f>
        <v>-53.7</v>
      </c>
      <c r="V11" s="54">
        <f>IF($O11="","",ROUND(($O11-$O$3)/1000,1)+(_xlfn.RANK.AVG($O11,($J11,$O11,$T11),1)-2)*20)</f>
        <v>40.200000000000003</v>
      </c>
      <c r="W11" s="55">
        <f>IF($T11="","",ROUND(($T11-$T$3)/1000,1)+(_xlfn.RANK.AVG($T11,($J11,$O11,$T11),1)-2)*20)</f>
        <v>13.5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7</v>
      </c>
      <c r="AY11" s="30" t="s">
        <v>204</v>
      </c>
      <c r="AZ11" s="40" t="s">
        <v>98</v>
      </c>
      <c r="BA11" s="41" t="s">
        <v>86</v>
      </c>
      <c r="BB11" s="41" t="s">
        <v>86</v>
      </c>
      <c r="BC11" s="41" t="s">
        <v>104</v>
      </c>
      <c r="BD11" s="41" t="s">
        <v>200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IF($K$1="","",$K$1)</f>
        <v>だいち</v>
      </c>
      <c r="F12" s="8" t="s">
        <v>201</v>
      </c>
      <c r="G12" s="9">
        <v>-2400</v>
      </c>
      <c r="H12" s="9"/>
      <c r="I12" s="48">
        <v>0</v>
      </c>
      <c r="J12" s="21">
        <f t="shared" si="2"/>
        <v>-1100</v>
      </c>
      <c r="K12" s="8" t="s">
        <v>202</v>
      </c>
      <c r="L12" s="9">
        <v>4800</v>
      </c>
      <c r="M12" s="9"/>
      <c r="N12" s="48">
        <v>0</v>
      </c>
      <c r="O12" s="21">
        <f t="shared" si="3"/>
        <v>60000</v>
      </c>
      <c r="P12" s="8" t="s">
        <v>201</v>
      </c>
      <c r="Q12" s="9">
        <v>-2400</v>
      </c>
      <c r="R12" s="9"/>
      <c r="S12" s="48">
        <v>0</v>
      </c>
      <c r="T12" s="21">
        <f t="shared" si="4"/>
        <v>46100</v>
      </c>
      <c r="U12" s="53">
        <f>IF($J12="","",ROUND(($J12-$J$3)/1000,1)+(_xlfn.RANK.AVG($J12,($J12,$O12,$T12),1)-2)*20)</f>
        <v>-56.1</v>
      </c>
      <c r="V12" s="54">
        <f>IF($O12="","",ROUND(($O12-$O$3)/1000,1)+(_xlfn.RANK.AVG($O12,($J12,$O12,$T12),1)-2)*20)</f>
        <v>45</v>
      </c>
      <c r="W12" s="55">
        <f>IF($T12="","",ROUND(($T12-$T$3)/1000,1)+(_xlfn.RANK.AVG($T12,($J12,$O12,$T12),1)-2)*20)</f>
        <v>11.1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3</v>
      </c>
      <c r="AY12" s="30">
        <v>25</v>
      </c>
      <c r="AZ12" s="40" t="s">
        <v>82</v>
      </c>
      <c r="BA12" s="41" t="s">
        <v>101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3DCED78-8572-488C-B91D-4C4C67CFA446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CFF70-1474-46B3-AD6C-33B9D7312AD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198</v>
      </c>
      <c r="G4" s="9">
        <v>16000</v>
      </c>
      <c r="H4" s="9"/>
      <c r="I4" s="48">
        <v>0</v>
      </c>
      <c r="J4" s="21">
        <f>IF(COUNTA($F4,$K4,$P4)&gt;0,J3+SUM(G4:I4),"")</f>
        <v>51000</v>
      </c>
      <c r="K4" s="8" t="s">
        <v>197</v>
      </c>
      <c r="L4" s="9">
        <v>-16000</v>
      </c>
      <c r="M4" s="9"/>
      <c r="N4" s="48">
        <v>0</v>
      </c>
      <c r="O4" s="21">
        <f>IF(COUNTA($F4,$K4,$P4)&gt;0,O3+SUM(L4:N4),"")</f>
        <v>19000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36</v>
      </c>
      <c r="V4" s="54">
        <f>IF($O4="","",ROUND(($O4-$O$3)/1000,1)+(_xlfn.RANK.AVG($O4,($J4,$O4,$T4),1)-2)*20)</f>
        <v>-36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8</v>
      </c>
      <c r="AD4" s="30" t="s">
        <v>204</v>
      </c>
      <c r="AE4" s="40" t="s">
        <v>199</v>
      </c>
      <c r="AF4" s="41" t="s">
        <v>200</v>
      </c>
      <c r="AG4" s="41" t="s">
        <v>106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ただ</v>
      </c>
      <c r="F5" s="8"/>
      <c r="G5" s="9"/>
      <c r="H5" s="9"/>
      <c r="I5" s="48"/>
      <c r="J5" s="21">
        <f t="shared" ref="J5:J30" si="2">IF(COUNTA($F5,$K5,$P5)&gt;0,J4+SUM(G5:I5),"")</f>
        <v>51000</v>
      </c>
      <c r="K5" s="8" t="s">
        <v>197</v>
      </c>
      <c r="L5" s="9">
        <v>-5800</v>
      </c>
      <c r="M5" s="9"/>
      <c r="N5" s="48">
        <v>0</v>
      </c>
      <c r="O5" s="21">
        <f t="shared" ref="O5:O30" si="3">IF(COUNTA($F5,$K5,$P5)&gt;0,O4+SUM(L5:N5),"")</f>
        <v>13200</v>
      </c>
      <c r="P5" s="8" t="s">
        <v>198</v>
      </c>
      <c r="Q5" s="9">
        <v>5800</v>
      </c>
      <c r="R5" s="9"/>
      <c r="S5" s="48">
        <v>0</v>
      </c>
      <c r="T5" s="21">
        <f t="shared" ref="T5:T30" si="4">IF(COUNTA($F5,$K5,$P5)&gt;0,T4+SUM(Q5:S5),"")</f>
        <v>40800</v>
      </c>
      <c r="U5" s="53">
        <f>IF($J5="","",ROUND(($J5-$J$3)/1000,1)+(_xlfn.RANK.AVG($J5,($J5,$O5,$T5),1)-2)*20)</f>
        <v>36</v>
      </c>
      <c r="V5" s="54">
        <f>IF($O5="","",ROUND(($O5-$O$3)/1000,1)+(_xlfn.RANK.AVG($O5,($J5,$O5,$T5),1)-2)*20)</f>
        <v>-41.8</v>
      </c>
      <c r="W5" s="55">
        <f>IF($T5="","",ROUND(($T5-$T$3)/1000,1)+(_xlfn.RANK.AVG($T5,($J5,$O5,$T5),1)-2)*20)</f>
        <v>5.8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30</v>
      </c>
      <c r="BU5" s="40" t="s">
        <v>86</v>
      </c>
      <c r="BV5" s="41" t="s">
        <v>104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ただ</v>
      </c>
      <c r="F6" s="8" t="s">
        <v>197</v>
      </c>
      <c r="G6" s="9">
        <v>-12000</v>
      </c>
      <c r="H6" s="9"/>
      <c r="I6" s="48">
        <v>-1000</v>
      </c>
      <c r="J6" s="21">
        <f t="shared" si="2"/>
        <v>38000</v>
      </c>
      <c r="K6" s="8" t="s">
        <v>198</v>
      </c>
      <c r="L6" s="9">
        <v>12000</v>
      </c>
      <c r="M6" s="9"/>
      <c r="N6" s="48">
        <v>1000</v>
      </c>
      <c r="O6" s="21">
        <f t="shared" si="3"/>
        <v>26200</v>
      </c>
      <c r="P6" s="8"/>
      <c r="Q6" s="9"/>
      <c r="R6" s="9"/>
      <c r="S6" s="48"/>
      <c r="T6" s="21">
        <f t="shared" si="4"/>
        <v>40800</v>
      </c>
      <c r="U6" s="53">
        <f>IF($J6="","",ROUND(($J6-$J$3)/1000,1)+(_xlfn.RANK.AVG($J6,($J6,$O6,$T6),1)-2)*20)</f>
        <v>3</v>
      </c>
      <c r="V6" s="54">
        <f>IF($O6="","",ROUND(($O6-$O$3)/1000,1)+(_xlfn.RANK.AVG($O6,($J6,$O6,$T6),1)-2)*20)</f>
        <v>-28.8</v>
      </c>
      <c r="W6" s="55">
        <f>IF($T6="","",ROUND(($T6-$T$3)/1000,1)+(_xlfn.RANK.AVG($T6,($J6,$O6,$T6),1)-2)*20)</f>
        <v>25.8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204</v>
      </c>
      <c r="AZ6" s="40" t="s">
        <v>199</v>
      </c>
      <c r="BA6" s="41" t="s">
        <v>200</v>
      </c>
      <c r="BB6" s="41" t="s">
        <v>200</v>
      </c>
      <c r="BC6" s="41" t="s">
        <v>79</v>
      </c>
      <c r="BD6" s="41" t="s">
        <v>79</v>
      </c>
      <c r="BE6" s="41" t="s">
        <v>80</v>
      </c>
      <c r="BF6" s="41" t="s">
        <v>80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202</v>
      </c>
      <c r="G7" s="9">
        <v>12000</v>
      </c>
      <c r="H7" s="9">
        <v>1000</v>
      </c>
      <c r="I7" s="48">
        <v>0</v>
      </c>
      <c r="J7" s="21">
        <f t="shared" si="2"/>
        <v>51000</v>
      </c>
      <c r="K7" s="8" t="s">
        <v>201</v>
      </c>
      <c r="L7" s="9">
        <v>-6000</v>
      </c>
      <c r="M7" s="9">
        <v>-1000</v>
      </c>
      <c r="N7" s="48">
        <v>0</v>
      </c>
      <c r="O7" s="21">
        <f t="shared" si="3"/>
        <v>19200</v>
      </c>
      <c r="P7" s="8" t="s">
        <v>201</v>
      </c>
      <c r="Q7" s="9">
        <v>-6000</v>
      </c>
      <c r="R7" s="9"/>
      <c r="S7" s="48">
        <v>0</v>
      </c>
      <c r="T7" s="21">
        <f t="shared" si="4"/>
        <v>34800</v>
      </c>
      <c r="U7" s="53">
        <f>IF($J7="","",ROUND(($J7-$J$3)/1000,1)+(_xlfn.RANK.AVG($J7,($J7,$O7,$T7),1)-2)*20)</f>
        <v>36</v>
      </c>
      <c r="V7" s="54">
        <f>IF($O7="","",ROUND(($O7-$O$3)/1000,1)+(_xlfn.RANK.AVG($O7,($J7,$O7,$T7),1)-2)*20)</f>
        <v>-35.799999999999997</v>
      </c>
      <c r="W7" s="55">
        <f>IF($T7="","",ROUND(($T7-$T$3)/1000,1)+(_xlfn.RANK.AVG($T7,($J7,$O7,$T7),1)-2)*20)</f>
        <v>-0.2</v>
      </c>
      <c r="Y7" s="8"/>
      <c r="Z7" s="34"/>
      <c r="AA7" s="26"/>
      <c r="AB7" s="26">
        <v>1</v>
      </c>
      <c r="AC7" s="26">
        <v>4</v>
      </c>
      <c r="AD7" s="30">
        <v>40</v>
      </c>
      <c r="AE7" s="40" t="s">
        <v>86</v>
      </c>
      <c r="AF7" s="41" t="s">
        <v>86</v>
      </c>
      <c r="AG7" s="41" t="s">
        <v>200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IF($F$1="","",$F$1)</f>
        <v>れんたろう</v>
      </c>
      <c r="F8" s="8"/>
      <c r="G8" s="9"/>
      <c r="H8" s="9"/>
      <c r="I8" s="48"/>
      <c r="J8" s="21">
        <f t="shared" si="2"/>
        <v>51000</v>
      </c>
      <c r="K8" s="8" t="s">
        <v>198</v>
      </c>
      <c r="L8" s="9">
        <v>12000</v>
      </c>
      <c r="M8" s="9"/>
      <c r="N8" s="48">
        <v>1000</v>
      </c>
      <c r="O8" s="21">
        <f t="shared" si="3"/>
        <v>32200</v>
      </c>
      <c r="P8" s="8" t="s">
        <v>197</v>
      </c>
      <c r="Q8" s="9">
        <v>-12000</v>
      </c>
      <c r="R8" s="9"/>
      <c r="S8" s="48">
        <v>-1000</v>
      </c>
      <c r="T8" s="21">
        <f t="shared" si="4"/>
        <v>21800</v>
      </c>
      <c r="U8" s="53">
        <f>IF($J8="","",ROUND(($J8-$J$3)/1000,1)+(_xlfn.RANK.AVG($J8,($J8,$O8,$T8),1)-2)*20)</f>
        <v>36</v>
      </c>
      <c r="V8" s="54">
        <f>IF($O8="","",ROUND(($O8-$O$3)/1000,1)+(_xlfn.RANK.AVG($O8,($J8,$O8,$T8),1)-2)*20)</f>
        <v>-2.8</v>
      </c>
      <c r="W8" s="55">
        <f>IF($T8="","",ROUND(($T8-$T$3)/1000,1)+(_xlfn.RANK.AVG($T8,($J8,$O8,$T8),1)-2)*20)</f>
        <v>-33.200000000000003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7</v>
      </c>
      <c r="AY8" s="30" t="s">
        <v>204</v>
      </c>
      <c r="AZ8" s="40" t="s">
        <v>104</v>
      </c>
      <c r="BA8" s="41" t="s">
        <v>86</v>
      </c>
      <c r="BB8" s="41" t="s">
        <v>86</v>
      </c>
      <c r="BC8" s="41" t="s">
        <v>200</v>
      </c>
      <c r="BD8" s="41" t="s">
        <v>79</v>
      </c>
      <c r="BE8" s="41" t="s">
        <v>79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198</v>
      </c>
      <c r="G9" s="9">
        <v>2000</v>
      </c>
      <c r="H9" s="9"/>
      <c r="I9" s="48">
        <v>0</v>
      </c>
      <c r="J9" s="21">
        <f t="shared" si="2"/>
        <v>53000</v>
      </c>
      <c r="K9" s="8" t="s">
        <v>197</v>
      </c>
      <c r="L9" s="9">
        <v>-2000</v>
      </c>
      <c r="M9" s="9"/>
      <c r="N9" s="48">
        <v>0</v>
      </c>
      <c r="O9" s="21">
        <f t="shared" si="3"/>
        <v>30200</v>
      </c>
      <c r="P9" s="8"/>
      <c r="Q9" s="9"/>
      <c r="R9" s="9"/>
      <c r="S9" s="48"/>
      <c r="T9" s="21">
        <f t="shared" si="4"/>
        <v>21800</v>
      </c>
      <c r="U9" s="53">
        <f>IF($J9="","",ROUND(($J9-$J$3)/1000,1)+(_xlfn.RANK.AVG($J9,($J9,$O9,$T9),1)-2)*20)</f>
        <v>38</v>
      </c>
      <c r="V9" s="54">
        <f>IF($O9="","",ROUND(($O9-$O$3)/1000,1)+(_xlfn.RANK.AVG($O9,($J9,$O9,$T9),1)-2)*20)</f>
        <v>-4.8</v>
      </c>
      <c r="W9" s="55">
        <f>IF($T9="","",ROUND(($T9-$T$3)/1000,1)+(_xlfn.RANK.AVG($T9,($J9,$O9,$T9),1)-2)*20)</f>
        <v>-33.200000000000003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86</v>
      </c>
      <c r="AF9" s="41" t="s">
        <v>200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ただ</v>
      </c>
      <c r="F10" s="8" t="s">
        <v>197</v>
      </c>
      <c r="G10" s="9">
        <v>-2600</v>
      </c>
      <c r="H10" s="9">
        <v>-1000</v>
      </c>
      <c r="I10" s="48">
        <v>0</v>
      </c>
      <c r="J10" s="21">
        <f t="shared" si="2"/>
        <v>49400</v>
      </c>
      <c r="K10" s="8" t="s">
        <v>198</v>
      </c>
      <c r="L10" s="9">
        <v>2600</v>
      </c>
      <c r="M10" s="9">
        <v>1000</v>
      </c>
      <c r="N10" s="48">
        <v>0</v>
      </c>
      <c r="O10" s="21">
        <f t="shared" si="3"/>
        <v>33800</v>
      </c>
      <c r="P10" s="8"/>
      <c r="Q10" s="9"/>
      <c r="R10" s="9"/>
      <c r="S10" s="48"/>
      <c r="T10" s="21">
        <f t="shared" si="4"/>
        <v>21800</v>
      </c>
      <c r="U10" s="53">
        <f>IF($J10="","",ROUND(($J10-$J$3)/1000,1)+(_xlfn.RANK.AVG($J10,($J10,$O10,$T10),1)-2)*20)</f>
        <v>34.4</v>
      </c>
      <c r="V10" s="54">
        <f>IF($O10="","",ROUND(($O10-$O$3)/1000,1)+(_xlfn.RANK.AVG($O10,($J10,$O10,$T10),1)-2)*20)</f>
        <v>-1.2</v>
      </c>
      <c r="W10" s="55">
        <f>IF($T10="","",ROUND(($T10-$T$3)/1000,1)+(_xlfn.RANK.AVG($T10,($J10,$O10,$T10),1)-2)*20)</f>
        <v>-33.200000000000003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40</v>
      </c>
      <c r="AZ10" s="40" t="s">
        <v>86</v>
      </c>
      <c r="BA10" s="41" t="s">
        <v>200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IF($F$1="","",$F$1)</f>
        <v>れんたろう</v>
      </c>
      <c r="F11" s="8" t="s">
        <v>197</v>
      </c>
      <c r="G11" s="9">
        <v>-2600</v>
      </c>
      <c r="H11" s="9">
        <v>-1000</v>
      </c>
      <c r="I11" s="48">
        <v>0</v>
      </c>
      <c r="J11" s="21">
        <f t="shared" si="2"/>
        <v>45800</v>
      </c>
      <c r="K11" s="8"/>
      <c r="L11" s="9"/>
      <c r="M11" s="9"/>
      <c r="N11" s="48"/>
      <c r="O11" s="21">
        <f t="shared" si="3"/>
        <v>33800</v>
      </c>
      <c r="P11" s="8" t="s">
        <v>198</v>
      </c>
      <c r="Q11" s="9">
        <v>2600</v>
      </c>
      <c r="R11" s="9">
        <v>1000</v>
      </c>
      <c r="S11" s="48">
        <v>0</v>
      </c>
      <c r="T11" s="21">
        <f t="shared" si="4"/>
        <v>25400</v>
      </c>
      <c r="U11" s="53">
        <f>IF($J11="","",ROUND(($J11-$J$3)/1000,1)+(_xlfn.RANK.AVG($J11,($J11,$O11,$T11),1)-2)*20)</f>
        <v>30.8</v>
      </c>
      <c r="V11" s="54">
        <f>IF($O11="","",ROUND(($O11-$O$3)/1000,1)+(_xlfn.RANK.AVG($O11,($J11,$O11,$T11),1)-2)*20)</f>
        <v>-1.2</v>
      </c>
      <c r="W11" s="55">
        <f>IF($T11="","",ROUND(($T11-$T$3)/1000,1)+(_xlfn.RANK.AVG($T11,($J11,$O11,$T11),1)-2)*20)</f>
        <v>-29.6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40</v>
      </c>
      <c r="BU11" s="40" t="s">
        <v>199</v>
      </c>
      <c r="BV11" s="41" t="s">
        <v>200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434D1BD8-25B9-4D23-846A-00F1E443DA4E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78D2EE14-DE70-4C96-96F9-336EB52B09AC}">
      <formula1>"ロン,ツモ,放銃,ツモ支払,流局,チョンボ"</formula1>
    </dataValidation>
    <dataValidation type="list" allowBlank="1" showInputMessage="1" showErrorMessage="1" sqref="E4:E30" xr:uid="{373A4AAD-92B8-4FC1-ADB8-EB1FF6942C3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FC805-C373-4DA4-B83A-119B71B09944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197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198</v>
      </c>
      <c r="Q4" s="9">
        <v>8000</v>
      </c>
      <c r="R4" s="9">
        <v>1000</v>
      </c>
      <c r="S4" s="48">
        <v>0</v>
      </c>
      <c r="T4" s="21">
        <f>IF(COUNTA($F4,$K4,$P4)&gt;0,T3+SUM(Q4:S4),"")</f>
        <v>44000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29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204</v>
      </c>
      <c r="BU4" s="40" t="s">
        <v>84</v>
      </c>
      <c r="BV4" s="41" t="s">
        <v>79</v>
      </c>
      <c r="BW4" s="41" t="s">
        <v>200</v>
      </c>
      <c r="BX4" s="41" t="s">
        <v>86</v>
      </c>
      <c r="BY4" s="41" t="s">
        <v>199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IF($E5="","",IF(OR($F4="流局",$F4="チョンボ"),D4+($H4+$M4+$R4)/-1000,0))</f>
        <v>0</v>
      </c>
      <c r="E5" s="4" t="str">
        <f>IF($K$1="","",$K$1)</f>
        <v>れんたろう</v>
      </c>
      <c r="F5" s="8"/>
      <c r="G5" s="9"/>
      <c r="H5" s="9"/>
      <c r="I5" s="48"/>
      <c r="J5" s="21">
        <f t="shared" ref="J5:J30" si="1">IF(COUNTA($F5,$K5,$P5)&gt;0,J4+SUM(G5:I5),"")</f>
        <v>27000</v>
      </c>
      <c r="K5" s="8" t="s">
        <v>198</v>
      </c>
      <c r="L5" s="9">
        <v>12000</v>
      </c>
      <c r="M5" s="9"/>
      <c r="N5" s="48">
        <v>0</v>
      </c>
      <c r="O5" s="21">
        <f t="shared" ref="O5:O30" si="2">IF(COUNTA($F5,$K5,$P5)&gt;0,O4+SUM(L5:N5),"")</f>
        <v>46000</v>
      </c>
      <c r="P5" s="8" t="s">
        <v>197</v>
      </c>
      <c r="Q5" s="9">
        <v>-12000</v>
      </c>
      <c r="R5" s="9"/>
      <c r="S5" s="48">
        <v>0</v>
      </c>
      <c r="T5" s="21">
        <f t="shared" ref="T5:T30" si="3">IF(COUNTA($F5,$K5,$P5)&gt;0,T4+SUM(Q5:S5),"")</f>
        <v>32000</v>
      </c>
      <c r="U5" s="53">
        <f>IF($J5="","",ROUND(($J5-$J$3)/1000,1)+(_xlfn.RANK.AVG($J5,($J5,$O5,$T5),1)-2)*20)</f>
        <v>-28</v>
      </c>
      <c r="V5" s="54">
        <f>IF($O5="","",ROUND(($O5-$O$3)/1000,1)+(_xlfn.RANK.AVG($O5,($J5,$O5,$T5),1)-2)*20)</f>
        <v>31</v>
      </c>
      <c r="W5" s="55">
        <f>IF($T5="","",ROUND(($T5-$T$3)/1000,1)+(_xlfn.RANK.AVG($T5,($J5,$O5,$T5),1)-2)*20)</f>
        <v>-3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204</v>
      </c>
      <c r="AZ5" s="40" t="s">
        <v>199</v>
      </c>
      <c r="BA5" s="41" t="s">
        <v>203</v>
      </c>
      <c r="BB5" s="41" t="s">
        <v>200</v>
      </c>
      <c r="BC5" s="41" t="s">
        <v>101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4">IF($E6="","",IF($E5=$E6,B5,IF(B5=3,1,B5+1)))</f>
        <v>2</v>
      </c>
      <c r="C6" s="18">
        <f t="shared" ref="C6:C30" si="5">IF($E6="","",IF($F5="チョンボ",C5,IF(OR($E5=$E6,$F5="流局"),C5+1,0)))</f>
        <v>1</v>
      </c>
      <c r="D6" s="18">
        <f t="shared" ref="D6:D30" si="6">IF($E6="","",IF(OR($F5="流局",$F5="チョンボ"),D5+($H5+$M5+$R5)/-1000,0))</f>
        <v>0</v>
      </c>
      <c r="E6" s="4" t="str">
        <f>IF($K$1="","",$K$1)</f>
        <v>れんたろう</v>
      </c>
      <c r="F6" s="8" t="s">
        <v>201</v>
      </c>
      <c r="G6" s="9">
        <v>-3000</v>
      </c>
      <c r="H6" s="9"/>
      <c r="I6" s="48">
        <v>-500</v>
      </c>
      <c r="J6" s="21">
        <f t="shared" si="1"/>
        <v>23500</v>
      </c>
      <c r="K6" s="8" t="s">
        <v>201</v>
      </c>
      <c r="L6" s="9">
        <v>-5000</v>
      </c>
      <c r="M6" s="9"/>
      <c r="N6" s="48">
        <v>-500</v>
      </c>
      <c r="O6" s="21">
        <f t="shared" si="2"/>
        <v>40500</v>
      </c>
      <c r="P6" s="8" t="s">
        <v>202</v>
      </c>
      <c r="Q6" s="9">
        <v>8000</v>
      </c>
      <c r="R6" s="9"/>
      <c r="S6" s="48">
        <v>1000</v>
      </c>
      <c r="T6" s="21">
        <f t="shared" si="3"/>
        <v>41000</v>
      </c>
      <c r="U6" s="53">
        <f>IF($J6="","",ROUND(($J6-$J$3)/1000,1)+(_xlfn.RANK.AVG($J6,($J6,$O6,$T6),1)-2)*20)</f>
        <v>-31.5</v>
      </c>
      <c r="V6" s="54">
        <f>IF($O6="","",ROUND(($O6-$O$3)/1000,1)+(_xlfn.RANK.AVG($O6,($J6,$O6,$T6),1)-2)*20)</f>
        <v>5.5</v>
      </c>
      <c r="W6" s="55">
        <f>IF($T6="","",ROUND(($T6-$T$3)/1000,1)+(_xlfn.RANK.AVG($T6,($J6,$O6,$T6),1)-2)*20)</f>
        <v>26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204</v>
      </c>
      <c r="BU6" s="40" t="s">
        <v>82</v>
      </c>
      <c r="BV6" s="41" t="s">
        <v>101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4"/>
        <v>3</v>
      </c>
      <c r="C7" s="18">
        <f t="shared" si="5"/>
        <v>0</v>
      </c>
      <c r="D7" s="18">
        <f t="shared" si="6"/>
        <v>0</v>
      </c>
      <c r="E7" s="4" t="str">
        <f>IF($P$1="","",$P$1)</f>
        <v>ただ</v>
      </c>
      <c r="F7" s="8"/>
      <c r="G7" s="9"/>
      <c r="H7" s="9"/>
      <c r="I7" s="48"/>
      <c r="J7" s="21">
        <f t="shared" si="1"/>
        <v>23500</v>
      </c>
      <c r="K7" s="8" t="s">
        <v>198</v>
      </c>
      <c r="L7" s="9">
        <v>8000</v>
      </c>
      <c r="M7" s="9">
        <v>1000</v>
      </c>
      <c r="N7" s="48">
        <v>0</v>
      </c>
      <c r="O7" s="21">
        <f t="shared" si="2"/>
        <v>49500</v>
      </c>
      <c r="P7" s="8" t="s">
        <v>197</v>
      </c>
      <c r="Q7" s="9">
        <v>-8000</v>
      </c>
      <c r="R7" s="9">
        <v>-1000</v>
      </c>
      <c r="S7" s="48">
        <v>0</v>
      </c>
      <c r="T7" s="21">
        <f t="shared" si="3"/>
        <v>32000</v>
      </c>
      <c r="U7" s="53">
        <f>IF($J7="","",ROUND(($J7-$J$3)/1000,1)+(_xlfn.RANK.AVG($J7,($J7,$O7,$T7),1)-2)*20)</f>
        <v>-31.5</v>
      </c>
      <c r="V7" s="54">
        <f>IF($O7="","",ROUND(($O7-$O$3)/1000,1)+(_xlfn.RANK.AVG($O7,($J7,$O7,$T7),1)-2)*20)</f>
        <v>34.5</v>
      </c>
      <c r="W7" s="55">
        <f>IF($T7="","",ROUND(($T7-$T$3)/1000,1)+(_xlfn.RANK.AVG($T7,($J7,$O7,$T7),1)-2)*20)</f>
        <v>-3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204</v>
      </c>
      <c r="AZ7" s="40" t="s">
        <v>199</v>
      </c>
      <c r="BA7" s="41" t="s">
        <v>79</v>
      </c>
      <c r="BB7" s="41" t="s">
        <v>80</v>
      </c>
      <c r="BC7" s="41" t="s">
        <v>83</v>
      </c>
      <c r="BD7" s="41" t="s">
        <v>200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4"/>
        <v>1</v>
      </c>
      <c r="C8" s="18">
        <f t="shared" si="5"/>
        <v>0</v>
      </c>
      <c r="D8" s="18">
        <f t="shared" si="6"/>
        <v>0</v>
      </c>
      <c r="E8" s="4" t="str">
        <f>IF($F$1="","",$F$1)</f>
        <v>だいち</v>
      </c>
      <c r="F8" s="8" t="s">
        <v>201</v>
      </c>
      <c r="G8" s="9">
        <v>-1700</v>
      </c>
      <c r="H8" s="9"/>
      <c r="I8" s="48">
        <v>0</v>
      </c>
      <c r="J8" s="21">
        <f t="shared" si="1"/>
        <v>21800</v>
      </c>
      <c r="K8" s="8" t="s">
        <v>202</v>
      </c>
      <c r="L8" s="9">
        <v>2800</v>
      </c>
      <c r="M8" s="9"/>
      <c r="N8" s="48">
        <v>0</v>
      </c>
      <c r="O8" s="21">
        <f t="shared" si="2"/>
        <v>52300</v>
      </c>
      <c r="P8" s="8" t="s">
        <v>201</v>
      </c>
      <c r="Q8" s="9">
        <v>-1100</v>
      </c>
      <c r="R8" s="9"/>
      <c r="S8" s="48">
        <v>0</v>
      </c>
      <c r="T8" s="21">
        <f t="shared" si="3"/>
        <v>30900</v>
      </c>
      <c r="U8" s="53">
        <f>IF($J8="","",ROUND(($J8-$J$3)/1000,1)+(_xlfn.RANK.AVG($J8,($J8,$O8,$T8),1)-2)*20)</f>
        <v>-33.200000000000003</v>
      </c>
      <c r="V8" s="54">
        <f>IF($O8="","",ROUND(($O8-$O$3)/1000,1)+(_xlfn.RANK.AVG($O8,($J8,$O8,$T8),1)-2)*20)</f>
        <v>37.299999999999997</v>
      </c>
      <c r="W8" s="55">
        <f>IF($T8="","",ROUND(($T8-$T$3)/1000,1)+(_xlfn.RANK.AVG($T8,($J8,$O8,$T8),1)-2)*20)</f>
        <v>-4.0999999999999996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199</v>
      </c>
      <c r="BA8" s="41" t="s">
        <v>82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4"/>
        <v>2</v>
      </c>
      <c r="C9" s="18">
        <f t="shared" si="5"/>
        <v>0</v>
      </c>
      <c r="D9" s="18">
        <f t="shared" si="6"/>
        <v>0</v>
      </c>
      <c r="E9" s="4" t="str">
        <f>IF($K$1="","",$K$1)</f>
        <v>れんたろう</v>
      </c>
      <c r="F9" s="8" t="s">
        <v>197</v>
      </c>
      <c r="G9" s="9">
        <v>-12000</v>
      </c>
      <c r="H9" s="9">
        <v>-1000</v>
      </c>
      <c r="I9" s="48">
        <v>0</v>
      </c>
      <c r="J9" s="21">
        <f t="shared" si="1"/>
        <v>8800</v>
      </c>
      <c r="K9" s="8"/>
      <c r="L9" s="9"/>
      <c r="M9" s="9">
        <v>-1000</v>
      </c>
      <c r="N9" s="48"/>
      <c r="O9" s="21">
        <f t="shared" si="2"/>
        <v>51300</v>
      </c>
      <c r="P9" s="8" t="s">
        <v>198</v>
      </c>
      <c r="Q9" s="9">
        <v>12000</v>
      </c>
      <c r="R9" s="9">
        <v>2000</v>
      </c>
      <c r="S9" s="48">
        <v>0</v>
      </c>
      <c r="T9" s="21">
        <f t="shared" si="3"/>
        <v>44900</v>
      </c>
      <c r="U9" s="53">
        <f>IF($J9="","",ROUND(($J9-$J$3)/1000,1)+(_xlfn.RANK.AVG($J9,($J9,$O9,$T9),1)-2)*20)</f>
        <v>-46.2</v>
      </c>
      <c r="V9" s="54">
        <f>IF($O9="","",ROUND(($O9-$O$3)/1000,1)+(_xlfn.RANK.AVG($O9,($J9,$O9,$T9),1)-2)*20)</f>
        <v>36.299999999999997</v>
      </c>
      <c r="W9" s="55">
        <f>IF($T9="","",ROUND(($T9-$T$3)/1000,1)+(_xlfn.RANK.AVG($T9,($J9,$O9,$T9),1)-2)*20)</f>
        <v>9.9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6</v>
      </c>
      <c r="BT9" s="30" t="s">
        <v>204</v>
      </c>
      <c r="BU9" s="40" t="s">
        <v>85</v>
      </c>
      <c r="BV9" s="41" t="s">
        <v>200</v>
      </c>
      <c r="BW9" s="41" t="s">
        <v>79</v>
      </c>
      <c r="BX9" s="41" t="s">
        <v>79</v>
      </c>
      <c r="BY9" s="41" t="s">
        <v>79</v>
      </c>
      <c r="BZ9" s="41" t="s">
        <v>84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4"/>
        <v>3</v>
      </c>
      <c r="C10" s="18">
        <f t="shared" si="5"/>
        <v>0</v>
      </c>
      <c r="D10" s="18">
        <f t="shared" si="6"/>
        <v>0</v>
      </c>
      <c r="E10" s="4" t="str">
        <f>IF($P$1="","",$P$1)</f>
        <v>ただ</v>
      </c>
      <c r="F10" s="8"/>
      <c r="G10" s="9"/>
      <c r="H10" s="9"/>
      <c r="I10" s="48"/>
      <c r="J10" s="21">
        <f t="shared" si="1"/>
        <v>8800</v>
      </c>
      <c r="K10" s="8" t="s">
        <v>198</v>
      </c>
      <c r="L10" s="9">
        <v>5200</v>
      </c>
      <c r="M10" s="9"/>
      <c r="N10" s="48">
        <v>0</v>
      </c>
      <c r="O10" s="21">
        <f t="shared" si="2"/>
        <v>56500</v>
      </c>
      <c r="P10" s="8" t="s">
        <v>197</v>
      </c>
      <c r="Q10" s="9">
        <v>-5200</v>
      </c>
      <c r="R10" s="9"/>
      <c r="S10" s="48">
        <v>0</v>
      </c>
      <c r="T10" s="21">
        <f t="shared" si="3"/>
        <v>39700</v>
      </c>
      <c r="U10" s="53">
        <f>IF($J10="","",ROUND(($J10-$J$3)/1000,1)+(_xlfn.RANK.AVG($J10,($J10,$O10,$T10),1)-2)*20)</f>
        <v>-46.2</v>
      </c>
      <c r="V10" s="54">
        <f>IF($O10="","",ROUND(($O10-$O$3)/1000,1)+(_xlfn.RANK.AVG($O10,($J10,$O10,$T10),1)-2)*20)</f>
        <v>41.5</v>
      </c>
      <c r="W10" s="55">
        <f>IF($T10="","",ROUND(($T10-$T$3)/1000,1)+(_xlfn.RANK.AVG($T10,($J10,$O10,$T10),1)-2)*20)</f>
        <v>4.7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40</v>
      </c>
      <c r="AZ10" s="40" t="s">
        <v>86</v>
      </c>
      <c r="BA10" s="41" t="s">
        <v>79</v>
      </c>
      <c r="BB10" s="41" t="s">
        <v>79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4"/>
        <v/>
      </c>
      <c r="C11" s="18" t="str">
        <f t="shared" si="5"/>
        <v/>
      </c>
      <c r="D11" s="18" t="str">
        <f t="shared" si="6"/>
        <v/>
      </c>
      <c r="E11" s="4"/>
      <c r="F11" s="8"/>
      <c r="G11" s="9"/>
      <c r="H11" s="9"/>
      <c r="I11" s="48"/>
      <c r="J11" s="21" t="str">
        <f t="shared" si="1"/>
        <v/>
      </c>
      <c r="K11" s="8"/>
      <c r="L11" s="9"/>
      <c r="M11" s="9"/>
      <c r="N11" s="48"/>
      <c r="O11" s="21" t="str">
        <f t="shared" si="2"/>
        <v/>
      </c>
      <c r="P11" s="8"/>
      <c r="Q11" s="9"/>
      <c r="R11" s="9"/>
      <c r="S11" s="48"/>
      <c r="T11" s="21" t="str">
        <f t="shared" si="3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48"/>
      <c r="J12" s="21" t="str">
        <f t="shared" si="1"/>
        <v/>
      </c>
      <c r="K12" s="8"/>
      <c r="L12" s="9"/>
      <c r="M12" s="9"/>
      <c r="N12" s="48"/>
      <c r="O12" s="21" t="str">
        <f t="shared" si="2"/>
        <v/>
      </c>
      <c r="P12" s="8"/>
      <c r="Q12" s="9"/>
      <c r="R12" s="9"/>
      <c r="S12" s="48"/>
      <c r="T12" s="21" t="str">
        <f t="shared" si="3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48"/>
      <c r="J13" s="21" t="str">
        <f t="shared" si="1"/>
        <v/>
      </c>
      <c r="K13" s="8"/>
      <c r="L13" s="9"/>
      <c r="M13" s="9"/>
      <c r="N13" s="48"/>
      <c r="O13" s="21" t="str">
        <f t="shared" si="2"/>
        <v/>
      </c>
      <c r="P13" s="8"/>
      <c r="Q13" s="9"/>
      <c r="R13" s="9"/>
      <c r="S13" s="48"/>
      <c r="T13" s="21" t="str">
        <f t="shared" si="3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48"/>
      <c r="J14" s="21" t="str">
        <f t="shared" si="1"/>
        <v/>
      </c>
      <c r="K14" s="8"/>
      <c r="L14" s="9"/>
      <c r="M14" s="9"/>
      <c r="N14" s="48"/>
      <c r="O14" s="21" t="str">
        <f t="shared" si="2"/>
        <v/>
      </c>
      <c r="P14" s="8"/>
      <c r="Q14" s="9"/>
      <c r="R14" s="9"/>
      <c r="S14" s="48"/>
      <c r="T14" s="21" t="str">
        <f t="shared" si="3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48"/>
      <c r="J15" s="21" t="str">
        <f t="shared" si="1"/>
        <v/>
      </c>
      <c r="K15" s="8"/>
      <c r="L15" s="9"/>
      <c r="M15" s="9"/>
      <c r="N15" s="48"/>
      <c r="O15" s="21" t="str">
        <f t="shared" si="2"/>
        <v/>
      </c>
      <c r="P15" s="8"/>
      <c r="Q15" s="9"/>
      <c r="R15" s="9"/>
      <c r="S15" s="48"/>
      <c r="T15" s="21" t="str">
        <f t="shared" si="3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48"/>
      <c r="J16" s="21" t="str">
        <f t="shared" si="1"/>
        <v/>
      </c>
      <c r="K16" s="8"/>
      <c r="L16" s="9"/>
      <c r="M16" s="9"/>
      <c r="N16" s="48"/>
      <c r="O16" s="21" t="str">
        <f t="shared" si="2"/>
        <v/>
      </c>
      <c r="P16" s="8"/>
      <c r="Q16" s="9"/>
      <c r="R16" s="9"/>
      <c r="S16" s="48"/>
      <c r="T16" s="21" t="str">
        <f t="shared" si="3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48"/>
      <c r="J17" s="21" t="str">
        <f t="shared" si="1"/>
        <v/>
      </c>
      <c r="K17" s="8"/>
      <c r="L17" s="9"/>
      <c r="M17" s="9"/>
      <c r="N17" s="48"/>
      <c r="O17" s="21" t="str">
        <f t="shared" si="2"/>
        <v/>
      </c>
      <c r="P17" s="8"/>
      <c r="Q17" s="9"/>
      <c r="R17" s="9"/>
      <c r="S17" s="48"/>
      <c r="T17" s="21" t="str">
        <f t="shared" si="3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48"/>
      <c r="J18" s="21" t="str">
        <f t="shared" si="1"/>
        <v/>
      </c>
      <c r="K18" s="8"/>
      <c r="L18" s="9"/>
      <c r="M18" s="9"/>
      <c r="N18" s="48"/>
      <c r="O18" s="21" t="str">
        <f t="shared" si="2"/>
        <v/>
      </c>
      <c r="P18" s="8"/>
      <c r="Q18" s="9"/>
      <c r="R18" s="9"/>
      <c r="S18" s="48"/>
      <c r="T18" s="21" t="str">
        <f t="shared" si="3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48"/>
      <c r="J19" s="21" t="str">
        <f t="shared" si="1"/>
        <v/>
      </c>
      <c r="K19" s="8"/>
      <c r="L19" s="9"/>
      <c r="M19" s="9"/>
      <c r="N19" s="48"/>
      <c r="O19" s="21" t="str">
        <f t="shared" si="2"/>
        <v/>
      </c>
      <c r="P19" s="8"/>
      <c r="Q19" s="9"/>
      <c r="R19" s="9"/>
      <c r="S19" s="48"/>
      <c r="T19" s="21" t="str">
        <f t="shared" si="3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48"/>
      <c r="J20" s="21" t="str">
        <f t="shared" si="1"/>
        <v/>
      </c>
      <c r="K20" s="8"/>
      <c r="L20" s="9"/>
      <c r="M20" s="9"/>
      <c r="N20" s="48"/>
      <c r="O20" s="21" t="str">
        <f t="shared" si="2"/>
        <v/>
      </c>
      <c r="P20" s="8"/>
      <c r="Q20" s="9"/>
      <c r="R20" s="9"/>
      <c r="S20" s="48"/>
      <c r="T20" s="21" t="str">
        <f t="shared" si="3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48"/>
      <c r="J21" s="21" t="str">
        <f t="shared" si="1"/>
        <v/>
      </c>
      <c r="K21" s="8"/>
      <c r="L21" s="9"/>
      <c r="M21" s="9"/>
      <c r="N21" s="48"/>
      <c r="O21" s="21" t="str">
        <f t="shared" si="2"/>
        <v/>
      </c>
      <c r="P21" s="8"/>
      <c r="Q21" s="9"/>
      <c r="R21" s="9"/>
      <c r="S21" s="48"/>
      <c r="T21" s="21" t="str">
        <f t="shared" si="3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48"/>
      <c r="J22" s="21" t="str">
        <f t="shared" si="1"/>
        <v/>
      </c>
      <c r="K22" s="8"/>
      <c r="L22" s="9"/>
      <c r="M22" s="9"/>
      <c r="N22" s="48"/>
      <c r="O22" s="21" t="str">
        <f t="shared" si="2"/>
        <v/>
      </c>
      <c r="P22" s="8"/>
      <c r="Q22" s="9"/>
      <c r="R22" s="9"/>
      <c r="S22" s="48"/>
      <c r="T22" s="21" t="str">
        <f t="shared" si="3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48"/>
      <c r="J23" s="21" t="str">
        <f t="shared" si="1"/>
        <v/>
      </c>
      <c r="K23" s="8"/>
      <c r="L23" s="9"/>
      <c r="M23" s="9"/>
      <c r="N23" s="48"/>
      <c r="O23" s="21" t="str">
        <f t="shared" si="2"/>
        <v/>
      </c>
      <c r="P23" s="8"/>
      <c r="Q23" s="9"/>
      <c r="R23" s="9"/>
      <c r="S23" s="48"/>
      <c r="T23" s="21" t="str">
        <f t="shared" si="3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48"/>
      <c r="J24" s="21" t="str">
        <f t="shared" si="1"/>
        <v/>
      </c>
      <c r="K24" s="8"/>
      <c r="L24" s="9"/>
      <c r="M24" s="9"/>
      <c r="N24" s="48"/>
      <c r="O24" s="21" t="str">
        <f t="shared" si="2"/>
        <v/>
      </c>
      <c r="P24" s="8"/>
      <c r="Q24" s="9"/>
      <c r="R24" s="9"/>
      <c r="S24" s="48"/>
      <c r="T24" s="21" t="str">
        <f t="shared" si="3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48"/>
      <c r="J25" s="21" t="str">
        <f t="shared" si="1"/>
        <v/>
      </c>
      <c r="K25" s="8"/>
      <c r="L25" s="9"/>
      <c r="M25" s="9"/>
      <c r="N25" s="48"/>
      <c r="O25" s="21" t="str">
        <f t="shared" si="2"/>
        <v/>
      </c>
      <c r="P25" s="8"/>
      <c r="Q25" s="9"/>
      <c r="R25" s="9"/>
      <c r="S25" s="48"/>
      <c r="T25" s="21" t="str">
        <f t="shared" si="3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48"/>
      <c r="J26" s="21" t="str">
        <f t="shared" si="1"/>
        <v/>
      </c>
      <c r="K26" s="8"/>
      <c r="L26" s="9"/>
      <c r="M26" s="9"/>
      <c r="N26" s="48"/>
      <c r="O26" s="21" t="str">
        <f t="shared" si="2"/>
        <v/>
      </c>
      <c r="P26" s="8"/>
      <c r="Q26" s="9"/>
      <c r="R26" s="9"/>
      <c r="S26" s="48"/>
      <c r="T26" s="21" t="str">
        <f t="shared" si="3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48"/>
      <c r="J27" s="21" t="str">
        <f t="shared" si="1"/>
        <v/>
      </c>
      <c r="K27" s="8"/>
      <c r="L27" s="9"/>
      <c r="M27" s="9"/>
      <c r="N27" s="48"/>
      <c r="O27" s="21" t="str">
        <f t="shared" si="2"/>
        <v/>
      </c>
      <c r="P27" s="8"/>
      <c r="Q27" s="9"/>
      <c r="R27" s="9"/>
      <c r="S27" s="48"/>
      <c r="T27" s="21" t="str">
        <f t="shared" si="3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48"/>
      <c r="J28" s="21" t="str">
        <f t="shared" si="1"/>
        <v/>
      </c>
      <c r="K28" s="8"/>
      <c r="L28" s="9"/>
      <c r="M28" s="9"/>
      <c r="N28" s="48"/>
      <c r="O28" s="21" t="str">
        <f t="shared" si="2"/>
        <v/>
      </c>
      <c r="P28" s="8"/>
      <c r="Q28" s="9"/>
      <c r="R28" s="9"/>
      <c r="S28" s="48"/>
      <c r="T28" s="21" t="str">
        <f t="shared" si="3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48"/>
      <c r="J29" s="21" t="str">
        <f t="shared" si="1"/>
        <v/>
      </c>
      <c r="K29" s="8"/>
      <c r="L29" s="9"/>
      <c r="M29" s="9"/>
      <c r="N29" s="48"/>
      <c r="O29" s="21" t="str">
        <f t="shared" si="2"/>
        <v/>
      </c>
      <c r="P29" s="8"/>
      <c r="Q29" s="9"/>
      <c r="R29" s="9"/>
      <c r="S29" s="48"/>
      <c r="T29" s="21" t="str">
        <f t="shared" si="3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49"/>
      <c r="J30" s="22" t="str">
        <f t="shared" si="1"/>
        <v/>
      </c>
      <c r="K30" s="10"/>
      <c r="L30" s="11"/>
      <c r="M30" s="11"/>
      <c r="N30" s="49"/>
      <c r="O30" s="22" t="str">
        <f t="shared" si="2"/>
        <v/>
      </c>
      <c r="P30" s="10"/>
      <c r="Q30" s="11"/>
      <c r="R30" s="11"/>
      <c r="S30" s="49"/>
      <c r="T30" s="22" t="str">
        <f t="shared" si="3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51EB06D1-2C84-42D9-9D84-2B062E1CCE9F}">
      <formula1>$U$2:$W$2</formula1>
    </dataValidation>
    <dataValidation type="list" showInputMessage="1" showErrorMessage="1" sqref="K4:K30 P4:P30 F4:F30" xr:uid="{41CB44FE-14CD-41A5-BA81-4466D36EC654}">
      <formula1>"ロン,ツモ,放銃,ツモ支払,流局,チョンボ"</formula1>
    </dataValidation>
    <dataValidation type="list" allowBlank="1" showInputMessage="1" sqref="F1:T1" xr:uid="{B65BB981-D09E-48B1-BFF4-4BD3C3B45F78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40987-9546-4D95-85D1-FF0471CFB82B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201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202</v>
      </c>
      <c r="L4" s="9">
        <v>2100</v>
      </c>
      <c r="M4" s="9"/>
      <c r="N4" s="48">
        <v>0</v>
      </c>
      <c r="O4" s="21">
        <f>IF(COUNTA($F4,$K4,$P4)&gt;0,O3+SUM(L4:N4),"")</f>
        <v>37100</v>
      </c>
      <c r="P4" s="8" t="s">
        <v>201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IF($J4="","",ROUND(($J4-$J$3)/1000,1)+(_xlfn.RANK.AVG($J4,($J4,$O4,$T4),1)-2)*20)</f>
        <v>-21.3</v>
      </c>
      <c r="V4" s="54">
        <f>IF($O4="","",ROUND(($O4-$O$3)/1000,1)+(_xlfn.RANK.AVG($O4,($J4,$O4,$T4),1)-2)*20)</f>
        <v>22.1</v>
      </c>
      <c r="W4" s="55">
        <f>IF($T4="","",ROUND(($T4-$T$3)/1000,1)+(_xlfn.RANK.AVG($T4,($J4,$O4,$T4),1)-2)*20)</f>
        <v>-0.8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30</v>
      </c>
      <c r="AZ4" s="40" t="s">
        <v>199</v>
      </c>
      <c r="BA4" s="41" t="s">
        <v>82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IF($E5="","",IF(OR($F4="流局",$F4="チョンボ"),D4+($H4+$M4+$R4)/-1000,0))</f>
        <v>0</v>
      </c>
      <c r="E5" s="4" t="str">
        <f>IF($K$1="","",$K$1)</f>
        <v>れんたろう</v>
      </c>
      <c r="F5" s="8" t="s">
        <v>207</v>
      </c>
      <c r="G5" s="9">
        <v>-3000</v>
      </c>
      <c r="H5" s="9"/>
      <c r="I5" s="48"/>
      <c r="J5" s="21">
        <f t="shared" ref="J5:J30" si="1">IF(COUNTA($F5,$K5,$P5)&gt;0,J4+SUM(G5:I5),"")</f>
        <v>30700</v>
      </c>
      <c r="K5" s="8" t="s">
        <v>207</v>
      </c>
      <c r="L5" s="9">
        <v>1500</v>
      </c>
      <c r="M5" s="9"/>
      <c r="N5" s="48"/>
      <c r="O5" s="21">
        <f t="shared" ref="O5:O30" si="2">IF(COUNTA($F5,$K5,$P5)&gt;0,O4+SUM(L5:N5),"")</f>
        <v>38600</v>
      </c>
      <c r="P5" s="8" t="s">
        <v>207</v>
      </c>
      <c r="Q5" s="9">
        <v>1500</v>
      </c>
      <c r="R5" s="9">
        <v>-1000</v>
      </c>
      <c r="S5" s="48"/>
      <c r="T5" s="21">
        <f t="shared" ref="T5:T30" si="3">IF(COUNTA($F5,$K5,$P5)&gt;0,T4+SUM(Q5:S5),"")</f>
        <v>34700</v>
      </c>
      <c r="U5" s="53">
        <f>IF($J5="","",ROUND(($J5-$J$3)/1000,1)+(_xlfn.RANK.AVG($J5,($J5,$O5,$T5),1)-2)*20)</f>
        <v>-24.3</v>
      </c>
      <c r="V5" s="54">
        <f>IF($O5="","",ROUND(($O5-$O$3)/1000,1)+(_xlfn.RANK.AVG($O5,($J5,$O5,$T5),1)-2)*20)</f>
        <v>23.6</v>
      </c>
      <c r="W5" s="55">
        <f>IF($T5="","",ROUND(($T5-$T$3)/1000,1)+(_xlfn.RANK.AVG($T5,($J5,$O5,$T5),1)-2)*20)</f>
        <v>-0.3</v>
      </c>
      <c r="Y5" s="8" t="s">
        <v>206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205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4">IF($E6="","",IF($E5=$E6,B5,IF(B5=3,1,B5+1)))</f>
        <v>2</v>
      </c>
      <c r="C6" s="18">
        <f t="shared" ref="C6:C30" si="5">IF($E6="","",IF($F5="チョンボ",C5,IF(OR($E5=$E6,$F5="流局"),C5+1,0)))</f>
        <v>1</v>
      </c>
      <c r="D6" s="18">
        <f t="shared" ref="D6:D30" si="6">IF($E6="","",IF(OR($F5="流局",$F5="チョンボ"),D5+($H5+$M5+$R5)/-1000,0))</f>
        <v>1</v>
      </c>
      <c r="E6" s="4" t="str">
        <f>IF($K$1="","",$K$1)</f>
        <v>れんたろう</v>
      </c>
      <c r="F6" s="8" t="s">
        <v>208</v>
      </c>
      <c r="G6" s="9">
        <v>5000</v>
      </c>
      <c r="H6" s="9"/>
      <c r="I6" s="48"/>
      <c r="J6" s="21">
        <f t="shared" si="1"/>
        <v>35700</v>
      </c>
      <c r="K6" s="8" t="s">
        <v>208</v>
      </c>
      <c r="L6" s="9">
        <v>-10000</v>
      </c>
      <c r="M6" s="9"/>
      <c r="N6" s="48"/>
      <c r="O6" s="21">
        <f t="shared" si="2"/>
        <v>28600</v>
      </c>
      <c r="P6" s="8" t="s">
        <v>208</v>
      </c>
      <c r="Q6" s="9">
        <v>5000</v>
      </c>
      <c r="R6" s="9"/>
      <c r="S6" s="48"/>
      <c r="T6" s="21">
        <f t="shared" si="3"/>
        <v>39700</v>
      </c>
      <c r="U6" s="53">
        <f>IF($J6="","",ROUND(($J6-$J$3)/1000,1)+(_xlfn.RANK.AVG($J6,($J6,$O6,$T6),1)-2)*20)</f>
        <v>0.7</v>
      </c>
      <c r="V6" s="54">
        <f>IF($O6="","",ROUND(($O6-$O$3)/1000,1)+(_xlfn.RANK.AVG($O6,($J6,$O6,$T6),1)-2)*20)</f>
        <v>-26.4</v>
      </c>
      <c r="W6" s="55">
        <f>IF($T6="","",ROUND(($T6-$T$3)/1000,1)+(_xlfn.RANK.AVG($T6,($J6,$O6,$T6),1)-2)*20)</f>
        <v>24.7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>
        <v>1</v>
      </c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4"/>
        <v>3</v>
      </c>
      <c r="C7" s="18">
        <f t="shared" si="5"/>
        <v>1</v>
      </c>
      <c r="D7" s="18">
        <f t="shared" si="6"/>
        <v>1</v>
      </c>
      <c r="E7" s="4" t="str">
        <f>IF($P$1="","",$P$1)</f>
        <v>ただ</v>
      </c>
      <c r="F7" s="8"/>
      <c r="G7" s="9"/>
      <c r="H7" s="9"/>
      <c r="I7" s="48"/>
      <c r="J7" s="21">
        <f t="shared" si="1"/>
        <v>35700</v>
      </c>
      <c r="K7" s="8" t="s">
        <v>197</v>
      </c>
      <c r="L7" s="9">
        <v>-12000</v>
      </c>
      <c r="M7" s="9"/>
      <c r="N7" s="48">
        <v>-1000</v>
      </c>
      <c r="O7" s="21">
        <f t="shared" si="2"/>
        <v>15600</v>
      </c>
      <c r="P7" s="8" t="s">
        <v>198</v>
      </c>
      <c r="Q7" s="9">
        <v>12000</v>
      </c>
      <c r="R7" s="9">
        <v>1000</v>
      </c>
      <c r="S7" s="48">
        <v>1000</v>
      </c>
      <c r="T7" s="21">
        <f t="shared" si="3"/>
        <v>53700</v>
      </c>
      <c r="U7" s="53">
        <f>IF($J7="","",ROUND(($J7-$J$3)/1000,1)+(_xlfn.RANK.AVG($J7,($J7,$O7,$T7),1)-2)*20)</f>
        <v>0.7</v>
      </c>
      <c r="V7" s="54">
        <f>IF($O7="","",ROUND(($O7-$O$3)/1000,1)+(_xlfn.RANK.AVG($O7,($J7,$O7,$T7),1)-2)*20)</f>
        <v>-39.4</v>
      </c>
      <c r="W7" s="55">
        <f>IF($T7="","",ROUND(($T7-$T$3)/1000,1)+(_xlfn.RANK.AVG($T7,($J7,$O7,$T7),1)-2)*20)</f>
        <v>38.700000000000003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5</v>
      </c>
      <c r="BT7" s="30" t="s">
        <v>204</v>
      </c>
      <c r="BU7" s="40" t="s">
        <v>79</v>
      </c>
      <c r="BV7" s="41" t="s">
        <v>79</v>
      </c>
      <c r="BW7" s="41" t="s">
        <v>84</v>
      </c>
      <c r="BX7" s="41" t="s">
        <v>80</v>
      </c>
      <c r="BY7" s="41" t="s">
        <v>200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4"/>
        <v>3</v>
      </c>
      <c r="C8" s="18">
        <f t="shared" si="5"/>
        <v>2</v>
      </c>
      <c r="D8" s="18">
        <f t="shared" si="6"/>
        <v>0</v>
      </c>
      <c r="E8" s="4" t="str">
        <f>IF($P$1="","",$P$1)</f>
        <v>ただ</v>
      </c>
      <c r="F8" s="8" t="s">
        <v>207</v>
      </c>
      <c r="G8" s="9">
        <v>0</v>
      </c>
      <c r="H8" s="9"/>
      <c r="I8" s="48"/>
      <c r="J8" s="21">
        <f t="shared" si="1"/>
        <v>35700</v>
      </c>
      <c r="K8" s="8" t="s">
        <v>207</v>
      </c>
      <c r="L8" s="9">
        <v>0</v>
      </c>
      <c r="M8" s="9"/>
      <c r="N8" s="48"/>
      <c r="O8" s="21">
        <f t="shared" si="2"/>
        <v>15600</v>
      </c>
      <c r="P8" s="8" t="s">
        <v>207</v>
      </c>
      <c r="Q8" s="9">
        <v>0</v>
      </c>
      <c r="R8" s="9"/>
      <c r="S8" s="48"/>
      <c r="T8" s="21">
        <f t="shared" si="3"/>
        <v>53700</v>
      </c>
      <c r="U8" s="53">
        <f>IF($J8="","",ROUND(($J8-$J$3)/1000,1)+(_xlfn.RANK.AVG($J8,($J8,$O8,$T8),1)-2)*20)</f>
        <v>0.7</v>
      </c>
      <c r="V8" s="54">
        <f>IF($O8="","",ROUND(($O8-$O$3)/1000,1)+(_xlfn.RANK.AVG($O8,($J8,$O8,$T8),1)-2)*20)</f>
        <v>-39.4</v>
      </c>
      <c r="W8" s="55">
        <f>IF($T8="","",ROUND(($T8-$T$3)/1000,1)+(_xlfn.RANK.AVG($T8,($J8,$O8,$T8),1)-2)*20)</f>
        <v>38.700000000000003</v>
      </c>
      <c r="Y8" s="8" t="s">
        <v>206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206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206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4"/>
        <v>1</v>
      </c>
      <c r="C9" s="18">
        <f t="shared" si="5"/>
        <v>3</v>
      </c>
      <c r="D9" s="18">
        <f t="shared" si="6"/>
        <v>0</v>
      </c>
      <c r="E9" s="4" t="str">
        <f>IF($F$1="","",$F$1)</f>
        <v>だいち</v>
      </c>
      <c r="F9" s="8" t="s">
        <v>207</v>
      </c>
      <c r="G9" s="9">
        <v>1500</v>
      </c>
      <c r="H9" s="9">
        <v>-1000</v>
      </c>
      <c r="I9" s="48"/>
      <c r="J9" s="21">
        <f t="shared" si="1"/>
        <v>36200</v>
      </c>
      <c r="K9" s="8" t="s">
        <v>207</v>
      </c>
      <c r="L9" s="9">
        <v>1500</v>
      </c>
      <c r="M9" s="9">
        <v>-1000</v>
      </c>
      <c r="N9" s="48"/>
      <c r="O9" s="21">
        <f t="shared" si="2"/>
        <v>16100</v>
      </c>
      <c r="P9" s="8" t="s">
        <v>207</v>
      </c>
      <c r="Q9" s="9">
        <v>-3000</v>
      </c>
      <c r="R9" s="9"/>
      <c r="S9" s="48"/>
      <c r="T9" s="21">
        <f t="shared" si="3"/>
        <v>50700</v>
      </c>
      <c r="U9" s="53">
        <f>IF($J9="","",ROUND(($J9-$J$3)/1000,1)+(_xlfn.RANK.AVG($J9,($J9,$O9,$T9),1)-2)*20)</f>
        <v>1.2</v>
      </c>
      <c r="V9" s="54">
        <f>IF($O9="","",ROUND(($O9-$O$3)/1000,1)+(_xlfn.RANK.AVG($O9,($J9,$O9,$T9),1)-2)*20)</f>
        <v>-38.9</v>
      </c>
      <c r="W9" s="55">
        <f>IF($T9="","",ROUND(($T9-$T$3)/1000,1)+(_xlfn.RANK.AVG($T9,($J9,$O9,$T9),1)-2)*20)</f>
        <v>35.700000000000003</v>
      </c>
      <c r="Y9" s="8" t="s">
        <v>205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206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4"/>
        <v>1</v>
      </c>
      <c r="C10" s="18">
        <f t="shared" si="5"/>
        <v>4</v>
      </c>
      <c r="D10" s="18">
        <f t="shared" si="6"/>
        <v>2</v>
      </c>
      <c r="E10" s="4" t="str">
        <f>IF($F$1="","",$F$1)</f>
        <v>だいち</v>
      </c>
      <c r="F10" s="8" t="s">
        <v>198</v>
      </c>
      <c r="G10" s="9">
        <v>12000</v>
      </c>
      <c r="H10" s="9">
        <v>2000</v>
      </c>
      <c r="I10" s="48">
        <v>4000</v>
      </c>
      <c r="J10" s="21">
        <f t="shared" si="1"/>
        <v>54200</v>
      </c>
      <c r="K10" s="8" t="s">
        <v>197</v>
      </c>
      <c r="L10" s="9">
        <v>-12000</v>
      </c>
      <c r="M10" s="9"/>
      <c r="N10" s="48">
        <v>-4000</v>
      </c>
      <c r="O10" s="21">
        <f t="shared" si="2"/>
        <v>100</v>
      </c>
      <c r="P10" s="8"/>
      <c r="Q10" s="9"/>
      <c r="R10" s="9"/>
      <c r="S10" s="48"/>
      <c r="T10" s="21">
        <f t="shared" si="3"/>
        <v>50700</v>
      </c>
      <c r="U10" s="53">
        <f>IF($J10="","",ROUND(($J10-$J$3)/1000,1)+(_xlfn.RANK.AVG($J10,($J10,$O10,$T10),1)-2)*20)</f>
        <v>39.200000000000003</v>
      </c>
      <c r="V10" s="54">
        <f>IF($O10="","",ROUND(($O10-$O$3)/1000,1)+(_xlfn.RANK.AVG($O10,($J10,$O10,$T10),1)-2)*20)</f>
        <v>-54.9</v>
      </c>
      <c r="W10" s="55">
        <f>IF($T10="","",ROUND(($T10-$T$3)/1000,1)+(_xlfn.RANK.AVG($T10,($J10,$O10,$T10),1)-2)*20)</f>
        <v>15.7</v>
      </c>
      <c r="Y10" s="8"/>
      <c r="Z10" s="34"/>
      <c r="AA10" s="26"/>
      <c r="AB10" s="26">
        <v>1</v>
      </c>
      <c r="AC10" s="26">
        <v>4</v>
      </c>
      <c r="AD10" s="30">
        <v>40</v>
      </c>
      <c r="AE10" s="40" t="s">
        <v>104</v>
      </c>
      <c r="AF10" s="41" t="s">
        <v>86</v>
      </c>
      <c r="AG10" s="41" t="s">
        <v>86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4"/>
        <v>1</v>
      </c>
      <c r="C11" s="18">
        <f t="shared" si="5"/>
        <v>5</v>
      </c>
      <c r="D11" s="18">
        <f t="shared" si="6"/>
        <v>0</v>
      </c>
      <c r="E11" s="4" t="str">
        <f>IF($F$1="","",$F$1)</f>
        <v>だいち</v>
      </c>
      <c r="F11" s="8" t="s">
        <v>202</v>
      </c>
      <c r="G11" s="9">
        <v>3000</v>
      </c>
      <c r="H11" s="9"/>
      <c r="I11" s="48">
        <v>5000</v>
      </c>
      <c r="J11" s="21">
        <f t="shared" si="1"/>
        <v>62200</v>
      </c>
      <c r="K11" s="8" t="s">
        <v>201</v>
      </c>
      <c r="L11" s="9">
        <v>-1500</v>
      </c>
      <c r="M11" s="9"/>
      <c r="N11" s="48">
        <v>-2500</v>
      </c>
      <c r="O11" s="21">
        <f t="shared" si="2"/>
        <v>-3900</v>
      </c>
      <c r="P11" s="8" t="s">
        <v>201</v>
      </c>
      <c r="Q11" s="9">
        <v>-1500</v>
      </c>
      <c r="R11" s="9"/>
      <c r="S11" s="48">
        <v>-2500</v>
      </c>
      <c r="T11" s="21">
        <f t="shared" si="3"/>
        <v>46700</v>
      </c>
      <c r="U11" s="53">
        <f>IF($J11="","",ROUND(($J11-$J$3)/1000,1)+(_xlfn.RANK.AVG($J11,($J11,$O11,$T11),1)-2)*20)</f>
        <v>47.2</v>
      </c>
      <c r="V11" s="54">
        <f>IF($O11="","",ROUND(($O11-$O$3)/1000,1)+(_xlfn.RANK.AVG($O11,($J11,$O11,$T11),1)-2)*20)</f>
        <v>-58.9</v>
      </c>
      <c r="W11" s="55">
        <f>IF($T11="","",ROUND(($T11-$T$3)/1000,1)+(_xlfn.RANK.AVG($T11,($J11,$O11,$T11),1)-2)*20)</f>
        <v>11.7</v>
      </c>
      <c r="Y11" s="8"/>
      <c r="Z11" s="34"/>
      <c r="AA11" s="26">
        <v>1</v>
      </c>
      <c r="AB11" s="26"/>
      <c r="AC11" s="26">
        <v>2</v>
      </c>
      <c r="AD11" s="30">
        <v>30</v>
      </c>
      <c r="AE11" s="40" t="s">
        <v>199</v>
      </c>
      <c r="AF11" s="41" t="s">
        <v>82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48"/>
      <c r="J12" s="21" t="str">
        <f t="shared" si="1"/>
        <v/>
      </c>
      <c r="K12" s="8"/>
      <c r="L12" s="9"/>
      <c r="M12" s="9"/>
      <c r="N12" s="48"/>
      <c r="O12" s="21" t="str">
        <f t="shared" si="2"/>
        <v/>
      </c>
      <c r="P12" s="8"/>
      <c r="Q12" s="9"/>
      <c r="R12" s="9"/>
      <c r="S12" s="48"/>
      <c r="T12" s="21" t="str">
        <f t="shared" si="3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48"/>
      <c r="J13" s="21" t="str">
        <f t="shared" si="1"/>
        <v/>
      </c>
      <c r="K13" s="8"/>
      <c r="L13" s="9"/>
      <c r="M13" s="9"/>
      <c r="N13" s="48"/>
      <c r="O13" s="21" t="str">
        <f t="shared" si="2"/>
        <v/>
      </c>
      <c r="P13" s="8"/>
      <c r="Q13" s="9"/>
      <c r="R13" s="9"/>
      <c r="S13" s="48"/>
      <c r="T13" s="21" t="str">
        <f t="shared" si="3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48"/>
      <c r="J14" s="21" t="str">
        <f t="shared" si="1"/>
        <v/>
      </c>
      <c r="K14" s="8"/>
      <c r="L14" s="9"/>
      <c r="M14" s="9"/>
      <c r="N14" s="48"/>
      <c r="O14" s="21" t="str">
        <f t="shared" si="2"/>
        <v/>
      </c>
      <c r="P14" s="8"/>
      <c r="Q14" s="9"/>
      <c r="R14" s="9"/>
      <c r="S14" s="48"/>
      <c r="T14" s="21" t="str">
        <f t="shared" si="3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48"/>
      <c r="J15" s="21" t="str">
        <f t="shared" si="1"/>
        <v/>
      </c>
      <c r="K15" s="8"/>
      <c r="L15" s="9"/>
      <c r="M15" s="9"/>
      <c r="N15" s="48"/>
      <c r="O15" s="21" t="str">
        <f t="shared" si="2"/>
        <v/>
      </c>
      <c r="P15" s="8"/>
      <c r="Q15" s="9"/>
      <c r="R15" s="9"/>
      <c r="S15" s="48"/>
      <c r="T15" s="21" t="str">
        <f t="shared" si="3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48"/>
      <c r="J16" s="21" t="str">
        <f t="shared" si="1"/>
        <v/>
      </c>
      <c r="K16" s="8"/>
      <c r="L16" s="9"/>
      <c r="M16" s="9"/>
      <c r="N16" s="48"/>
      <c r="O16" s="21" t="str">
        <f t="shared" si="2"/>
        <v/>
      </c>
      <c r="P16" s="8"/>
      <c r="Q16" s="9"/>
      <c r="R16" s="9"/>
      <c r="S16" s="48"/>
      <c r="T16" s="21" t="str">
        <f t="shared" si="3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48"/>
      <c r="J17" s="21" t="str">
        <f t="shared" si="1"/>
        <v/>
      </c>
      <c r="K17" s="8"/>
      <c r="L17" s="9"/>
      <c r="M17" s="9"/>
      <c r="N17" s="48"/>
      <c r="O17" s="21" t="str">
        <f t="shared" si="2"/>
        <v/>
      </c>
      <c r="P17" s="8"/>
      <c r="Q17" s="9"/>
      <c r="R17" s="9"/>
      <c r="S17" s="48"/>
      <c r="T17" s="21" t="str">
        <f t="shared" si="3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48"/>
      <c r="J18" s="21" t="str">
        <f t="shared" si="1"/>
        <v/>
      </c>
      <c r="K18" s="8"/>
      <c r="L18" s="9"/>
      <c r="M18" s="9"/>
      <c r="N18" s="48"/>
      <c r="O18" s="21" t="str">
        <f t="shared" si="2"/>
        <v/>
      </c>
      <c r="P18" s="8"/>
      <c r="Q18" s="9"/>
      <c r="R18" s="9"/>
      <c r="S18" s="48"/>
      <c r="T18" s="21" t="str">
        <f t="shared" si="3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48"/>
      <c r="J19" s="21" t="str">
        <f t="shared" si="1"/>
        <v/>
      </c>
      <c r="K19" s="8"/>
      <c r="L19" s="9"/>
      <c r="M19" s="9"/>
      <c r="N19" s="48"/>
      <c r="O19" s="21" t="str">
        <f t="shared" si="2"/>
        <v/>
      </c>
      <c r="P19" s="8"/>
      <c r="Q19" s="9"/>
      <c r="R19" s="9"/>
      <c r="S19" s="48"/>
      <c r="T19" s="21" t="str">
        <f t="shared" si="3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48"/>
      <c r="J20" s="21" t="str">
        <f t="shared" si="1"/>
        <v/>
      </c>
      <c r="K20" s="8"/>
      <c r="L20" s="9"/>
      <c r="M20" s="9"/>
      <c r="N20" s="48"/>
      <c r="O20" s="21" t="str">
        <f t="shared" si="2"/>
        <v/>
      </c>
      <c r="P20" s="8"/>
      <c r="Q20" s="9"/>
      <c r="R20" s="9"/>
      <c r="S20" s="48"/>
      <c r="T20" s="21" t="str">
        <f t="shared" si="3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48"/>
      <c r="J21" s="21" t="str">
        <f t="shared" si="1"/>
        <v/>
      </c>
      <c r="K21" s="8"/>
      <c r="L21" s="9"/>
      <c r="M21" s="9"/>
      <c r="N21" s="48"/>
      <c r="O21" s="21" t="str">
        <f t="shared" si="2"/>
        <v/>
      </c>
      <c r="P21" s="8"/>
      <c r="Q21" s="9"/>
      <c r="R21" s="9"/>
      <c r="S21" s="48"/>
      <c r="T21" s="21" t="str">
        <f t="shared" si="3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48"/>
      <c r="J22" s="21" t="str">
        <f t="shared" si="1"/>
        <v/>
      </c>
      <c r="K22" s="8"/>
      <c r="L22" s="9"/>
      <c r="M22" s="9"/>
      <c r="N22" s="48"/>
      <c r="O22" s="21" t="str">
        <f t="shared" si="2"/>
        <v/>
      </c>
      <c r="P22" s="8"/>
      <c r="Q22" s="9"/>
      <c r="R22" s="9"/>
      <c r="S22" s="48"/>
      <c r="T22" s="21" t="str">
        <f t="shared" si="3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48"/>
      <c r="J23" s="21" t="str">
        <f t="shared" si="1"/>
        <v/>
      </c>
      <c r="K23" s="8"/>
      <c r="L23" s="9"/>
      <c r="M23" s="9"/>
      <c r="N23" s="48"/>
      <c r="O23" s="21" t="str">
        <f t="shared" si="2"/>
        <v/>
      </c>
      <c r="P23" s="8"/>
      <c r="Q23" s="9"/>
      <c r="R23" s="9"/>
      <c r="S23" s="48"/>
      <c r="T23" s="21" t="str">
        <f t="shared" si="3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48"/>
      <c r="J24" s="21" t="str">
        <f t="shared" si="1"/>
        <v/>
      </c>
      <c r="K24" s="8"/>
      <c r="L24" s="9"/>
      <c r="M24" s="9"/>
      <c r="N24" s="48"/>
      <c r="O24" s="21" t="str">
        <f t="shared" si="2"/>
        <v/>
      </c>
      <c r="P24" s="8"/>
      <c r="Q24" s="9"/>
      <c r="R24" s="9"/>
      <c r="S24" s="48"/>
      <c r="T24" s="21" t="str">
        <f t="shared" si="3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48"/>
      <c r="J25" s="21" t="str">
        <f t="shared" si="1"/>
        <v/>
      </c>
      <c r="K25" s="8"/>
      <c r="L25" s="9"/>
      <c r="M25" s="9"/>
      <c r="N25" s="48"/>
      <c r="O25" s="21" t="str">
        <f t="shared" si="2"/>
        <v/>
      </c>
      <c r="P25" s="8"/>
      <c r="Q25" s="9"/>
      <c r="R25" s="9"/>
      <c r="S25" s="48"/>
      <c r="T25" s="21" t="str">
        <f t="shared" si="3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48"/>
      <c r="J26" s="21" t="str">
        <f t="shared" si="1"/>
        <v/>
      </c>
      <c r="K26" s="8"/>
      <c r="L26" s="9"/>
      <c r="M26" s="9"/>
      <c r="N26" s="48"/>
      <c r="O26" s="21" t="str">
        <f t="shared" si="2"/>
        <v/>
      </c>
      <c r="P26" s="8"/>
      <c r="Q26" s="9"/>
      <c r="R26" s="9"/>
      <c r="S26" s="48"/>
      <c r="T26" s="21" t="str">
        <f t="shared" si="3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48"/>
      <c r="J27" s="21" t="str">
        <f t="shared" si="1"/>
        <v/>
      </c>
      <c r="K27" s="8"/>
      <c r="L27" s="9"/>
      <c r="M27" s="9"/>
      <c r="N27" s="48"/>
      <c r="O27" s="21" t="str">
        <f t="shared" si="2"/>
        <v/>
      </c>
      <c r="P27" s="8"/>
      <c r="Q27" s="9"/>
      <c r="R27" s="9"/>
      <c r="S27" s="48"/>
      <c r="T27" s="21" t="str">
        <f t="shared" si="3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48"/>
      <c r="J28" s="21" t="str">
        <f t="shared" si="1"/>
        <v/>
      </c>
      <c r="K28" s="8"/>
      <c r="L28" s="9"/>
      <c r="M28" s="9"/>
      <c r="N28" s="48"/>
      <c r="O28" s="21" t="str">
        <f t="shared" si="2"/>
        <v/>
      </c>
      <c r="P28" s="8"/>
      <c r="Q28" s="9"/>
      <c r="R28" s="9"/>
      <c r="S28" s="48"/>
      <c r="T28" s="21" t="str">
        <f t="shared" si="3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48"/>
      <c r="J29" s="21" t="str">
        <f t="shared" si="1"/>
        <v/>
      </c>
      <c r="K29" s="8"/>
      <c r="L29" s="9"/>
      <c r="M29" s="9"/>
      <c r="N29" s="48"/>
      <c r="O29" s="21" t="str">
        <f t="shared" si="2"/>
        <v/>
      </c>
      <c r="P29" s="8"/>
      <c r="Q29" s="9"/>
      <c r="R29" s="9"/>
      <c r="S29" s="48"/>
      <c r="T29" s="21" t="str">
        <f t="shared" si="3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49"/>
      <c r="J30" s="22" t="str">
        <f t="shared" si="1"/>
        <v/>
      </c>
      <c r="K30" s="10"/>
      <c r="L30" s="11"/>
      <c r="M30" s="11"/>
      <c r="N30" s="49"/>
      <c r="O30" s="22" t="str">
        <f t="shared" si="2"/>
        <v/>
      </c>
      <c r="P30" s="10"/>
      <c r="Q30" s="11"/>
      <c r="R30" s="11"/>
      <c r="S30" s="49"/>
      <c r="T30" s="22" t="str">
        <f t="shared" si="3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28328C9B-D97E-4AB9-A6B8-AE5DF1B426E6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EB74ADF9-BDF4-4EE9-910F-82AB5651D44C}">
      <formula1>"ロン,ツモ,放銃,ツモ支払,流局,チョンボ"</formula1>
    </dataValidation>
    <dataValidation type="list" allowBlank="1" showInputMessage="1" showErrorMessage="1" sqref="E4:E30" xr:uid="{8315859A-E6C4-4D87-8C84-6FD26E59F88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91FB6-2658-45F2-90C8-3660D6E4851E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201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202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201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-16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-16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204</v>
      </c>
      <c r="AZ4" s="40" t="s">
        <v>82</v>
      </c>
      <c r="BA4" s="41" t="s">
        <v>200</v>
      </c>
      <c r="BB4" s="41" t="s">
        <v>79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>IF($E5="","",IF(OR($F4="流局",$F4="チョンボ"),D4+($H4+$M4+$R4)/-1000,0))</f>
        <v>0</v>
      </c>
      <c r="E5" s="4" t="str">
        <f>IF($K$1="","",$K$1)</f>
        <v>だいち</v>
      </c>
      <c r="F5" s="8" t="s">
        <v>198</v>
      </c>
      <c r="G5" s="9">
        <v>1300</v>
      </c>
      <c r="H5" s="9">
        <v>2000</v>
      </c>
      <c r="I5" s="48">
        <v>1000</v>
      </c>
      <c r="J5" s="21">
        <f t="shared" ref="J5:J30" si="1">IF(COUNTA($F5,$K5,$P5)&gt;0,J4+SUM(G5:I5),"")</f>
        <v>33300</v>
      </c>
      <c r="K5" s="8" t="s">
        <v>197</v>
      </c>
      <c r="L5" s="9">
        <v>-1300</v>
      </c>
      <c r="M5" s="9">
        <v>-1000</v>
      </c>
      <c r="N5" s="48">
        <v>-1000</v>
      </c>
      <c r="O5" s="21">
        <f t="shared" ref="O5:O30" si="2">IF(COUNTA($F5,$K5,$P5)&gt;0,O4+SUM(L5:N5),"")</f>
        <v>43700</v>
      </c>
      <c r="P5" s="8"/>
      <c r="Q5" s="9"/>
      <c r="R5" s="9">
        <v>-1000</v>
      </c>
      <c r="S5" s="48"/>
      <c r="T5" s="21">
        <f t="shared" ref="T5:T30" si="3">IF(COUNTA($F5,$K5,$P5)&gt;0,T4+SUM(Q5:S5),"")</f>
        <v>28000</v>
      </c>
      <c r="U5" s="53">
        <f>IF($J5="","",ROUND(($J5-$J$3)/1000,1)+(_xlfn.RANK.AVG($J5,($J5,$O5,$T5),1)-2)*20)</f>
        <v>-1.7</v>
      </c>
      <c r="V5" s="54">
        <f>IF($O5="","",ROUND(($O5-$O$3)/1000,1)+(_xlfn.RANK.AVG($O5,($J5,$O5,$T5),1)-2)*20)</f>
        <v>28.7</v>
      </c>
      <c r="W5" s="55">
        <f>IF($T5="","",ROUND(($T5-$T$3)/1000,1)+(_xlfn.RANK.AVG($T5,($J5,$O5,$T5),1)-2)*20)</f>
        <v>-27</v>
      </c>
      <c r="Y5" s="8"/>
      <c r="Z5" s="34"/>
      <c r="AA5" s="26"/>
      <c r="AB5" s="26"/>
      <c r="AC5" s="26">
        <v>1</v>
      </c>
      <c r="AD5" s="30">
        <v>40</v>
      </c>
      <c r="AE5" s="40" t="s">
        <v>86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4">IF($E6="","",IF($E5=$E6,B5,IF(B5=3,1,B5+1)))</f>
        <v>2</v>
      </c>
      <c r="C6" s="18">
        <f t="shared" ref="C6:C30" si="5">IF($E6="","",IF($F5="チョンボ",C5,IF(OR($E5=$E6,$F5="流局"),C5+1,0)))</f>
        <v>0</v>
      </c>
      <c r="D6" s="18">
        <f t="shared" ref="D6:D30" si="6">IF($E6="","",IF(OR($F5="流局",$F5="チョンボ"),D5+($H5+$M5+$R5)/-1000,0))</f>
        <v>0</v>
      </c>
      <c r="E6" s="4" t="str">
        <f>IF($P$1="","",$P$1)</f>
        <v>れんたろう</v>
      </c>
      <c r="F6" s="8" t="s">
        <v>198</v>
      </c>
      <c r="G6" s="9">
        <v>5200</v>
      </c>
      <c r="H6" s="9"/>
      <c r="I6" s="48">
        <v>0</v>
      </c>
      <c r="J6" s="21">
        <f t="shared" si="1"/>
        <v>38500</v>
      </c>
      <c r="K6" s="8"/>
      <c r="L6" s="9"/>
      <c r="M6" s="9"/>
      <c r="N6" s="48"/>
      <c r="O6" s="21">
        <f t="shared" si="2"/>
        <v>43700</v>
      </c>
      <c r="P6" s="8" t="s">
        <v>197</v>
      </c>
      <c r="Q6" s="9">
        <v>-5200</v>
      </c>
      <c r="R6" s="9"/>
      <c r="S6" s="48">
        <v>0</v>
      </c>
      <c r="T6" s="21">
        <f t="shared" si="3"/>
        <v>22800</v>
      </c>
      <c r="U6" s="53">
        <f>IF($J6="","",ROUND(($J6-$J$3)/1000,1)+(_xlfn.RANK.AVG($J6,($J6,$O6,$T6),1)-2)*20)</f>
        <v>3.5</v>
      </c>
      <c r="V6" s="54">
        <f>IF($O6="","",ROUND(($O6-$O$3)/1000,1)+(_xlfn.RANK.AVG($O6,($J6,$O6,$T6),1)-2)*20)</f>
        <v>28.7</v>
      </c>
      <c r="W6" s="55">
        <f>IF($T6="","",ROUND(($T6-$T$3)/1000,1)+(_xlfn.RANK.AVG($T6,($J6,$O6,$T6),1)-2)*20)</f>
        <v>-32.200000000000003</v>
      </c>
      <c r="Y6" s="8"/>
      <c r="Z6" s="34"/>
      <c r="AA6" s="26"/>
      <c r="AB6" s="26">
        <v>1</v>
      </c>
      <c r="AC6" s="26">
        <v>3</v>
      </c>
      <c r="AD6" s="30">
        <v>40</v>
      </c>
      <c r="AE6" s="40" t="s">
        <v>86</v>
      </c>
      <c r="AF6" s="41" t="s">
        <v>86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4"/>
        <v>3</v>
      </c>
      <c r="C7" s="18">
        <f t="shared" si="5"/>
        <v>0</v>
      </c>
      <c r="D7" s="18">
        <f t="shared" si="6"/>
        <v>0</v>
      </c>
      <c r="E7" s="4" t="str">
        <f>IF($F$1="","",$F$1)</f>
        <v>ただ</v>
      </c>
      <c r="F7" s="8" t="s">
        <v>201</v>
      </c>
      <c r="G7" s="9">
        <v>-1300</v>
      </c>
      <c r="H7" s="9"/>
      <c r="I7" s="48">
        <v>0</v>
      </c>
      <c r="J7" s="21">
        <f t="shared" si="1"/>
        <v>37200</v>
      </c>
      <c r="K7" s="8" t="s">
        <v>202</v>
      </c>
      <c r="L7" s="9">
        <v>2100</v>
      </c>
      <c r="M7" s="9"/>
      <c r="N7" s="48">
        <v>0</v>
      </c>
      <c r="O7" s="21">
        <f t="shared" si="2"/>
        <v>45800</v>
      </c>
      <c r="P7" s="8" t="s">
        <v>201</v>
      </c>
      <c r="Q7" s="9">
        <v>-800</v>
      </c>
      <c r="R7" s="9"/>
      <c r="S7" s="48">
        <v>0</v>
      </c>
      <c r="T7" s="21">
        <f t="shared" si="3"/>
        <v>22000</v>
      </c>
      <c r="U7" s="53">
        <f>IF($J7="","",ROUND(($J7-$J$3)/1000,1)+(_xlfn.RANK.AVG($J7,($J7,$O7,$T7),1)-2)*20)</f>
        <v>2.2000000000000002</v>
      </c>
      <c r="V7" s="54">
        <f>IF($O7="","",ROUND(($O7-$O$3)/1000,1)+(_xlfn.RANK.AVG($O7,($J7,$O7,$T7),1)-2)*20)</f>
        <v>30.8</v>
      </c>
      <c r="W7" s="55">
        <f>IF($T7="","",ROUND(($T7-$T$3)/1000,1)+(_xlfn.RANK.AVG($T7,($J7,$O7,$T7),1)-2)*20)</f>
        <v>-33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200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4"/>
        <v>1</v>
      </c>
      <c r="C8" s="18">
        <f t="shared" si="5"/>
        <v>0</v>
      </c>
      <c r="D8" s="18">
        <f t="shared" si="6"/>
        <v>0</v>
      </c>
      <c r="E8" s="4" t="str">
        <f>IF($K$1="","",$K$1)</f>
        <v>だいち</v>
      </c>
      <c r="F8" s="8" t="s">
        <v>202</v>
      </c>
      <c r="G8" s="9">
        <v>5300</v>
      </c>
      <c r="H8" s="9"/>
      <c r="I8" s="48">
        <v>0</v>
      </c>
      <c r="J8" s="21">
        <f t="shared" si="1"/>
        <v>42500</v>
      </c>
      <c r="K8" s="8" t="s">
        <v>201</v>
      </c>
      <c r="L8" s="9">
        <v>-3300</v>
      </c>
      <c r="M8" s="9"/>
      <c r="N8" s="48">
        <v>0</v>
      </c>
      <c r="O8" s="21">
        <f t="shared" si="2"/>
        <v>42500</v>
      </c>
      <c r="P8" s="8" t="s">
        <v>201</v>
      </c>
      <c r="Q8" s="9">
        <v>-2000</v>
      </c>
      <c r="R8" s="9"/>
      <c r="S8" s="48">
        <v>0</v>
      </c>
      <c r="T8" s="21">
        <f t="shared" si="3"/>
        <v>20000</v>
      </c>
      <c r="U8" s="53">
        <f>IF($J8="","",ROUND(($J8-$J$3)/1000,1)+(_xlfn.RANK.AVG($J8,($J8,$O8,$T8),1)-2)*20)</f>
        <v>17.5</v>
      </c>
      <c r="V8" s="54">
        <f>IF($O8="","",ROUND(($O8-$O$3)/1000,1)+(_xlfn.RANK.AVG($O8,($J8,$O8,$T8),1)-2)*20)</f>
        <v>17.5</v>
      </c>
      <c r="W8" s="55">
        <f>IF($T8="","",ROUND(($T8-$T$3)/1000,1)+(_xlfn.RANK.AVG($T8,($J8,$O8,$T8),1)-2)*20)</f>
        <v>-35</v>
      </c>
      <c r="Y8" s="8"/>
      <c r="Z8" s="34"/>
      <c r="AA8" s="26">
        <v>1</v>
      </c>
      <c r="AB8" s="26"/>
      <c r="AC8" s="26">
        <v>4</v>
      </c>
      <c r="AD8" s="30">
        <v>20</v>
      </c>
      <c r="AE8" s="40" t="s">
        <v>199</v>
      </c>
      <c r="AF8" s="41" t="s">
        <v>82</v>
      </c>
      <c r="AG8" s="41" t="s">
        <v>83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4"/>
        <v>2</v>
      </c>
      <c r="C9" s="18">
        <f t="shared" si="5"/>
        <v>0</v>
      </c>
      <c r="D9" s="18">
        <f t="shared" si="6"/>
        <v>0</v>
      </c>
      <c r="E9" s="4" t="str">
        <f>IF($P$1="","",$P$1)</f>
        <v>れんたろう</v>
      </c>
      <c r="F9" s="8" t="s">
        <v>202</v>
      </c>
      <c r="G9" s="9">
        <v>7700</v>
      </c>
      <c r="H9" s="9"/>
      <c r="I9" s="48">
        <v>0</v>
      </c>
      <c r="J9" s="21">
        <f t="shared" si="1"/>
        <v>50200</v>
      </c>
      <c r="K9" s="8" t="s">
        <v>201</v>
      </c>
      <c r="L9" s="9">
        <v>-2900</v>
      </c>
      <c r="M9" s="9"/>
      <c r="N9" s="48">
        <v>0</v>
      </c>
      <c r="O9" s="21">
        <f t="shared" si="2"/>
        <v>39600</v>
      </c>
      <c r="P9" s="8" t="s">
        <v>201</v>
      </c>
      <c r="Q9" s="9">
        <v>-4800</v>
      </c>
      <c r="R9" s="9"/>
      <c r="S9" s="48">
        <v>0</v>
      </c>
      <c r="T9" s="21">
        <f t="shared" si="3"/>
        <v>15200</v>
      </c>
      <c r="U9" s="53">
        <f>IF($J9="","",ROUND(($J9-$J$3)/1000,1)+(_xlfn.RANK.AVG($J9,($J9,$O9,$T9),1)-2)*20)</f>
        <v>35.200000000000003</v>
      </c>
      <c r="V9" s="54">
        <f>IF($O9="","",ROUND(($O9-$O$3)/1000,1)+(_xlfn.RANK.AVG($O9,($J9,$O9,$T9),1)-2)*20)</f>
        <v>4.5999999999999996</v>
      </c>
      <c r="W9" s="55">
        <f>IF($T9="","",ROUND(($T9-$T$3)/1000,1)+(_xlfn.RANK.AVG($T9,($J9,$O9,$T9),1)-2)*20)</f>
        <v>-39.799999999999997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199</v>
      </c>
      <c r="AF9" s="41" t="s">
        <v>82</v>
      </c>
      <c r="AG9" s="41" t="s">
        <v>79</v>
      </c>
      <c r="AH9" s="41" t="s">
        <v>200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4"/>
        <v>3</v>
      </c>
      <c r="C10" s="18">
        <f t="shared" si="5"/>
        <v>0</v>
      </c>
      <c r="D10" s="18">
        <f t="shared" si="6"/>
        <v>0</v>
      </c>
      <c r="E10" s="4" t="str">
        <f>IF($F$1="","",$F$1)</f>
        <v>ただ</v>
      </c>
      <c r="F10" s="8" t="s">
        <v>201</v>
      </c>
      <c r="G10" s="9">
        <v>-1700</v>
      </c>
      <c r="H10" s="9">
        <v>-1000</v>
      </c>
      <c r="I10" s="48">
        <v>0</v>
      </c>
      <c r="J10" s="21">
        <f t="shared" si="1"/>
        <v>47500</v>
      </c>
      <c r="K10" s="8" t="s">
        <v>202</v>
      </c>
      <c r="L10" s="9">
        <v>2800</v>
      </c>
      <c r="M10" s="9">
        <v>2000</v>
      </c>
      <c r="N10" s="48">
        <v>0</v>
      </c>
      <c r="O10" s="21">
        <f t="shared" si="2"/>
        <v>44400</v>
      </c>
      <c r="P10" s="8" t="s">
        <v>201</v>
      </c>
      <c r="Q10" s="9">
        <v>-1100</v>
      </c>
      <c r="R10" s="9">
        <v>-1000</v>
      </c>
      <c r="S10" s="48">
        <v>0</v>
      </c>
      <c r="T10" s="21">
        <f t="shared" si="3"/>
        <v>13100</v>
      </c>
      <c r="U10" s="53">
        <f>IF($J10="","",ROUND(($J10-$J$3)/1000,1)+(_xlfn.RANK.AVG($J10,($J10,$O10,$T10),1)-2)*20)</f>
        <v>32.5</v>
      </c>
      <c r="V10" s="54">
        <f>IF($O10="","",ROUND(($O10-$O$3)/1000,1)+(_xlfn.RANK.AVG($O10,($J10,$O10,$T10),1)-2)*20)</f>
        <v>9.4</v>
      </c>
      <c r="W10" s="55">
        <f>IF($T10="","",ROUND(($T10-$T$3)/1000,1)+(_xlfn.RANK.AVG($T10,($J10,$O10,$T10),1)-2)*20)</f>
        <v>-41.9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40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4"/>
        <v/>
      </c>
      <c r="C11" s="18" t="str">
        <f t="shared" si="5"/>
        <v/>
      </c>
      <c r="D11" s="18" t="str">
        <f t="shared" si="6"/>
        <v/>
      </c>
      <c r="E11" s="4"/>
      <c r="F11" s="8"/>
      <c r="G11" s="9"/>
      <c r="H11" s="9"/>
      <c r="I11" s="48"/>
      <c r="J11" s="21" t="str">
        <f t="shared" si="1"/>
        <v/>
      </c>
      <c r="K11" s="8"/>
      <c r="L11" s="9"/>
      <c r="M11" s="9"/>
      <c r="N11" s="48"/>
      <c r="O11" s="21" t="str">
        <f t="shared" si="2"/>
        <v/>
      </c>
      <c r="P11" s="8"/>
      <c r="Q11" s="9"/>
      <c r="R11" s="9"/>
      <c r="S11" s="48"/>
      <c r="T11" s="21" t="str">
        <f t="shared" si="3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48"/>
      <c r="J12" s="21" t="str">
        <f t="shared" si="1"/>
        <v/>
      </c>
      <c r="K12" s="8"/>
      <c r="L12" s="9"/>
      <c r="M12" s="9"/>
      <c r="N12" s="48"/>
      <c r="O12" s="21" t="str">
        <f t="shared" si="2"/>
        <v/>
      </c>
      <c r="P12" s="8"/>
      <c r="Q12" s="9"/>
      <c r="R12" s="9"/>
      <c r="S12" s="48"/>
      <c r="T12" s="21" t="str">
        <f t="shared" si="3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48"/>
      <c r="J13" s="21" t="str">
        <f t="shared" si="1"/>
        <v/>
      </c>
      <c r="K13" s="8"/>
      <c r="L13" s="9"/>
      <c r="M13" s="9"/>
      <c r="N13" s="48"/>
      <c r="O13" s="21" t="str">
        <f t="shared" si="2"/>
        <v/>
      </c>
      <c r="P13" s="8"/>
      <c r="Q13" s="9"/>
      <c r="R13" s="9"/>
      <c r="S13" s="48"/>
      <c r="T13" s="21" t="str">
        <f t="shared" si="3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48"/>
      <c r="J14" s="21" t="str">
        <f t="shared" si="1"/>
        <v/>
      </c>
      <c r="K14" s="8"/>
      <c r="L14" s="9"/>
      <c r="M14" s="9"/>
      <c r="N14" s="48"/>
      <c r="O14" s="21" t="str">
        <f t="shared" si="2"/>
        <v/>
      </c>
      <c r="P14" s="8"/>
      <c r="Q14" s="9"/>
      <c r="R14" s="9"/>
      <c r="S14" s="48"/>
      <c r="T14" s="21" t="str">
        <f t="shared" si="3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48"/>
      <c r="J15" s="21" t="str">
        <f t="shared" si="1"/>
        <v/>
      </c>
      <c r="K15" s="8"/>
      <c r="L15" s="9"/>
      <c r="M15" s="9"/>
      <c r="N15" s="48"/>
      <c r="O15" s="21" t="str">
        <f t="shared" si="2"/>
        <v/>
      </c>
      <c r="P15" s="8"/>
      <c r="Q15" s="9"/>
      <c r="R15" s="9"/>
      <c r="S15" s="48"/>
      <c r="T15" s="21" t="str">
        <f t="shared" si="3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48"/>
      <c r="J16" s="21" t="str">
        <f t="shared" si="1"/>
        <v/>
      </c>
      <c r="K16" s="8"/>
      <c r="L16" s="9"/>
      <c r="M16" s="9"/>
      <c r="N16" s="48"/>
      <c r="O16" s="21" t="str">
        <f t="shared" si="2"/>
        <v/>
      </c>
      <c r="P16" s="8"/>
      <c r="Q16" s="9"/>
      <c r="R16" s="9"/>
      <c r="S16" s="48"/>
      <c r="T16" s="21" t="str">
        <f t="shared" si="3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48"/>
      <c r="J17" s="21" t="str">
        <f t="shared" si="1"/>
        <v/>
      </c>
      <c r="K17" s="8"/>
      <c r="L17" s="9"/>
      <c r="M17" s="9"/>
      <c r="N17" s="48"/>
      <c r="O17" s="21" t="str">
        <f t="shared" si="2"/>
        <v/>
      </c>
      <c r="P17" s="8"/>
      <c r="Q17" s="9"/>
      <c r="R17" s="9"/>
      <c r="S17" s="48"/>
      <c r="T17" s="21" t="str">
        <f t="shared" si="3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48"/>
      <c r="J18" s="21" t="str">
        <f t="shared" si="1"/>
        <v/>
      </c>
      <c r="K18" s="8"/>
      <c r="L18" s="9"/>
      <c r="M18" s="9"/>
      <c r="N18" s="48"/>
      <c r="O18" s="21" t="str">
        <f t="shared" si="2"/>
        <v/>
      </c>
      <c r="P18" s="8"/>
      <c r="Q18" s="9"/>
      <c r="R18" s="9"/>
      <c r="S18" s="48"/>
      <c r="T18" s="21" t="str">
        <f t="shared" si="3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48"/>
      <c r="J19" s="21" t="str">
        <f t="shared" si="1"/>
        <v/>
      </c>
      <c r="K19" s="8"/>
      <c r="L19" s="9"/>
      <c r="M19" s="9"/>
      <c r="N19" s="48"/>
      <c r="O19" s="21" t="str">
        <f t="shared" si="2"/>
        <v/>
      </c>
      <c r="P19" s="8"/>
      <c r="Q19" s="9"/>
      <c r="R19" s="9"/>
      <c r="S19" s="48"/>
      <c r="T19" s="21" t="str">
        <f t="shared" si="3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48"/>
      <c r="J20" s="21" t="str">
        <f t="shared" si="1"/>
        <v/>
      </c>
      <c r="K20" s="8"/>
      <c r="L20" s="9"/>
      <c r="M20" s="9"/>
      <c r="N20" s="48"/>
      <c r="O20" s="21" t="str">
        <f t="shared" si="2"/>
        <v/>
      </c>
      <c r="P20" s="8"/>
      <c r="Q20" s="9"/>
      <c r="R20" s="9"/>
      <c r="S20" s="48"/>
      <c r="T20" s="21" t="str">
        <f t="shared" si="3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48"/>
      <c r="J21" s="21" t="str">
        <f t="shared" si="1"/>
        <v/>
      </c>
      <c r="K21" s="8"/>
      <c r="L21" s="9"/>
      <c r="M21" s="9"/>
      <c r="N21" s="48"/>
      <c r="O21" s="21" t="str">
        <f t="shared" si="2"/>
        <v/>
      </c>
      <c r="P21" s="8"/>
      <c r="Q21" s="9"/>
      <c r="R21" s="9"/>
      <c r="S21" s="48"/>
      <c r="T21" s="21" t="str">
        <f t="shared" si="3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48"/>
      <c r="J22" s="21" t="str">
        <f t="shared" si="1"/>
        <v/>
      </c>
      <c r="K22" s="8"/>
      <c r="L22" s="9"/>
      <c r="M22" s="9"/>
      <c r="N22" s="48"/>
      <c r="O22" s="21" t="str">
        <f t="shared" si="2"/>
        <v/>
      </c>
      <c r="P22" s="8"/>
      <c r="Q22" s="9"/>
      <c r="R22" s="9"/>
      <c r="S22" s="48"/>
      <c r="T22" s="21" t="str">
        <f t="shared" si="3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48"/>
      <c r="J23" s="21" t="str">
        <f t="shared" si="1"/>
        <v/>
      </c>
      <c r="K23" s="8"/>
      <c r="L23" s="9"/>
      <c r="M23" s="9"/>
      <c r="N23" s="48"/>
      <c r="O23" s="21" t="str">
        <f t="shared" si="2"/>
        <v/>
      </c>
      <c r="P23" s="8"/>
      <c r="Q23" s="9"/>
      <c r="R23" s="9"/>
      <c r="S23" s="48"/>
      <c r="T23" s="21" t="str">
        <f t="shared" si="3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48"/>
      <c r="J24" s="21" t="str">
        <f t="shared" si="1"/>
        <v/>
      </c>
      <c r="K24" s="8"/>
      <c r="L24" s="9"/>
      <c r="M24" s="9"/>
      <c r="N24" s="48"/>
      <c r="O24" s="21" t="str">
        <f t="shared" si="2"/>
        <v/>
      </c>
      <c r="P24" s="8"/>
      <c r="Q24" s="9"/>
      <c r="R24" s="9"/>
      <c r="S24" s="48"/>
      <c r="T24" s="21" t="str">
        <f t="shared" si="3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48"/>
      <c r="J25" s="21" t="str">
        <f t="shared" si="1"/>
        <v/>
      </c>
      <c r="K25" s="8"/>
      <c r="L25" s="9"/>
      <c r="M25" s="9"/>
      <c r="N25" s="48"/>
      <c r="O25" s="21" t="str">
        <f t="shared" si="2"/>
        <v/>
      </c>
      <c r="P25" s="8"/>
      <c r="Q25" s="9"/>
      <c r="R25" s="9"/>
      <c r="S25" s="48"/>
      <c r="T25" s="21" t="str">
        <f t="shared" si="3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48"/>
      <c r="J26" s="21" t="str">
        <f t="shared" si="1"/>
        <v/>
      </c>
      <c r="K26" s="8"/>
      <c r="L26" s="9"/>
      <c r="M26" s="9"/>
      <c r="N26" s="48"/>
      <c r="O26" s="21" t="str">
        <f t="shared" si="2"/>
        <v/>
      </c>
      <c r="P26" s="8"/>
      <c r="Q26" s="9"/>
      <c r="R26" s="9"/>
      <c r="S26" s="48"/>
      <c r="T26" s="21" t="str">
        <f t="shared" si="3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48"/>
      <c r="J27" s="21" t="str">
        <f t="shared" si="1"/>
        <v/>
      </c>
      <c r="K27" s="8"/>
      <c r="L27" s="9"/>
      <c r="M27" s="9"/>
      <c r="N27" s="48"/>
      <c r="O27" s="21" t="str">
        <f t="shared" si="2"/>
        <v/>
      </c>
      <c r="P27" s="8"/>
      <c r="Q27" s="9"/>
      <c r="R27" s="9"/>
      <c r="S27" s="48"/>
      <c r="T27" s="21" t="str">
        <f t="shared" si="3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48"/>
      <c r="J28" s="21" t="str">
        <f t="shared" si="1"/>
        <v/>
      </c>
      <c r="K28" s="8"/>
      <c r="L28" s="9"/>
      <c r="M28" s="9"/>
      <c r="N28" s="48"/>
      <c r="O28" s="21" t="str">
        <f t="shared" si="2"/>
        <v/>
      </c>
      <c r="P28" s="8"/>
      <c r="Q28" s="9"/>
      <c r="R28" s="9"/>
      <c r="S28" s="48"/>
      <c r="T28" s="21" t="str">
        <f t="shared" si="3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48"/>
      <c r="J29" s="21" t="str">
        <f t="shared" si="1"/>
        <v/>
      </c>
      <c r="K29" s="8"/>
      <c r="L29" s="9"/>
      <c r="M29" s="9"/>
      <c r="N29" s="48"/>
      <c r="O29" s="21" t="str">
        <f t="shared" si="2"/>
        <v/>
      </c>
      <c r="P29" s="8"/>
      <c r="Q29" s="9"/>
      <c r="R29" s="9"/>
      <c r="S29" s="48"/>
      <c r="T29" s="21" t="str">
        <f t="shared" si="3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49"/>
      <c r="J30" s="22" t="str">
        <f t="shared" si="1"/>
        <v/>
      </c>
      <c r="K30" s="10"/>
      <c r="L30" s="11"/>
      <c r="M30" s="11"/>
      <c r="N30" s="49"/>
      <c r="O30" s="22" t="str">
        <f t="shared" si="2"/>
        <v/>
      </c>
      <c r="P30" s="10"/>
      <c r="Q30" s="11"/>
      <c r="R30" s="11"/>
      <c r="S30" s="49"/>
      <c r="T30" s="22" t="str">
        <f t="shared" si="3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3B2437D5-63C5-4E14-B5D1-4EC134250689}">
      <formula1>$U$2:$W$2</formula1>
    </dataValidation>
    <dataValidation type="list" showInputMessage="1" showErrorMessage="1" sqref="K4:K30 P4:P30 F4:F30" xr:uid="{D4CCF946-9207-459D-891E-ABBD3226815D}">
      <formula1>"ロン,ツモ,放銃,ツモ支払,流局,チョンボ"</formula1>
    </dataValidation>
    <dataValidation type="list" allowBlank="1" showInputMessage="1" sqref="F1:T1" xr:uid="{276F9127-E997-4A65-840F-565C34F8E90C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04597-0275-4C8B-BF76-F997D657D55A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5</v>
      </c>
      <c r="BT4" s="30" t="s">
        <v>204</v>
      </c>
      <c r="BU4" s="40" t="s">
        <v>98</v>
      </c>
      <c r="BV4" s="41" t="s">
        <v>86</v>
      </c>
      <c r="BW4" s="41" t="s">
        <v>104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IF($E5="","",IF(OR($F4="流局",$F4="チョンボ"),D4+($H4+$M4+$R4)/-1000,0))</f>
        <v>0</v>
      </c>
      <c r="E5" s="4" t="str">
        <f>IF($P$1="","",$P$1)</f>
        <v>れんたろう</v>
      </c>
      <c r="F5" s="8" t="s">
        <v>197</v>
      </c>
      <c r="G5" s="9">
        <v>-18000</v>
      </c>
      <c r="H5" s="9"/>
      <c r="I5" s="48">
        <v>0</v>
      </c>
      <c r="J5" s="21">
        <f t="shared" ref="J5:J30" si="1">IF(COUNTA($F5,$K5,$P5)&gt;0,J4+SUM(G5:I5),"")</f>
        <v>9000</v>
      </c>
      <c r="K5" s="8"/>
      <c r="L5" s="9"/>
      <c r="M5" s="9"/>
      <c r="N5" s="48"/>
      <c r="O5" s="21">
        <f t="shared" ref="O5:O30" si="2">IF(COUNTA($F5,$K5,$P5)&gt;0,O4+SUM(L5:N5),"")</f>
        <v>35000</v>
      </c>
      <c r="P5" s="8" t="s">
        <v>198</v>
      </c>
      <c r="Q5" s="9">
        <v>18000</v>
      </c>
      <c r="R5" s="9"/>
      <c r="S5" s="48">
        <v>0</v>
      </c>
      <c r="T5" s="21">
        <f t="shared" ref="T5:T30" si="3">IF(COUNTA($F5,$K5,$P5)&gt;0,T4+SUM(Q5:S5),"")</f>
        <v>61000</v>
      </c>
      <c r="U5" s="53">
        <f>IF($J5="","",ROUND(($J5-$J$3)/1000,1)+(_xlfn.RANK.AVG($J5,($J5,$O5,$T5),1)-2)*20)</f>
        <v>-46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46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204</v>
      </c>
      <c r="BU5" s="40" t="s">
        <v>199</v>
      </c>
      <c r="BV5" s="41" t="s">
        <v>83</v>
      </c>
      <c r="BW5" s="41" t="s">
        <v>84</v>
      </c>
      <c r="BX5" s="41" t="s">
        <v>200</v>
      </c>
      <c r="BY5" s="41" t="s">
        <v>80</v>
      </c>
      <c r="BZ5" s="41" t="s">
        <v>80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4">IF($E6="","",IF($E5=$E6,B5,IF(B5=3,1,B5+1)))</f>
        <v>2</v>
      </c>
      <c r="C6" s="18">
        <f t="shared" ref="C6:C30" si="5">IF($E6="","",IF($F5="チョンボ",C5,IF(OR($E5=$E6,$F5="流局"),C5+1,0)))</f>
        <v>1</v>
      </c>
      <c r="D6" s="18">
        <f t="shared" ref="D6:D30" si="6">IF($E6="","",IF(OR($F5="流局",$F5="チョンボ"),D5+($H5+$M5+$R5)/-1000,0))</f>
        <v>0</v>
      </c>
      <c r="E6" s="4" t="str">
        <f>IF($P$1="","",$P$1)</f>
        <v>れんたろう</v>
      </c>
      <c r="F6" s="8"/>
      <c r="G6" s="9"/>
      <c r="H6" s="9">
        <v>-1000</v>
      </c>
      <c r="I6" s="48"/>
      <c r="J6" s="21">
        <f t="shared" si="1"/>
        <v>8000</v>
      </c>
      <c r="K6" s="8" t="s">
        <v>197</v>
      </c>
      <c r="L6" s="9">
        <v>-11600</v>
      </c>
      <c r="M6" s="9"/>
      <c r="N6" s="48">
        <v>-1000</v>
      </c>
      <c r="O6" s="21">
        <f t="shared" si="2"/>
        <v>22400</v>
      </c>
      <c r="P6" s="8" t="s">
        <v>198</v>
      </c>
      <c r="Q6" s="9">
        <v>11600</v>
      </c>
      <c r="R6" s="9">
        <v>1000</v>
      </c>
      <c r="S6" s="48">
        <v>1000</v>
      </c>
      <c r="T6" s="21">
        <f t="shared" si="3"/>
        <v>74600</v>
      </c>
      <c r="U6" s="53">
        <f>IF($J6="","",ROUND(($J6-$J$3)/1000,1)+(_xlfn.RANK.AVG($J6,($J6,$O6,$T6),1)-2)*20)</f>
        <v>-47</v>
      </c>
      <c r="V6" s="54">
        <f>IF($O6="","",ROUND(($O6-$O$3)/1000,1)+(_xlfn.RANK.AVG($O6,($J6,$O6,$T6),1)-2)*20)</f>
        <v>-12.6</v>
      </c>
      <c r="W6" s="55">
        <f>IF($T6="","",ROUND(($T6-$T$3)/1000,1)+(_xlfn.RANK.AVG($T6,($J6,$O6,$T6),1)-2)*20)</f>
        <v>59.6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199</v>
      </c>
      <c r="BV6" s="41" t="s">
        <v>83</v>
      </c>
      <c r="BW6" s="41" t="s">
        <v>92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4"/>
        <v>2</v>
      </c>
      <c r="C7" s="18">
        <f t="shared" si="5"/>
        <v>2</v>
      </c>
      <c r="D7" s="18">
        <f t="shared" si="6"/>
        <v>0</v>
      </c>
      <c r="E7" s="4" t="str">
        <f>IF($P$1="","",$P$1)</f>
        <v>れんたろう</v>
      </c>
      <c r="F7" s="8"/>
      <c r="G7" s="9"/>
      <c r="H7" s="9"/>
      <c r="I7" s="48"/>
      <c r="J7" s="21">
        <f t="shared" si="1"/>
        <v>8000</v>
      </c>
      <c r="K7" s="8" t="s">
        <v>197</v>
      </c>
      <c r="L7" s="9">
        <v>-18000</v>
      </c>
      <c r="M7" s="9">
        <v>-1000</v>
      </c>
      <c r="N7" s="48">
        <v>-2000</v>
      </c>
      <c r="O7" s="21">
        <f t="shared" si="2"/>
        <v>1400</v>
      </c>
      <c r="P7" s="8" t="s">
        <v>198</v>
      </c>
      <c r="Q7" s="9">
        <v>18000</v>
      </c>
      <c r="R7" s="9">
        <v>1000</v>
      </c>
      <c r="S7" s="48">
        <v>2000</v>
      </c>
      <c r="T7" s="21">
        <f t="shared" si="3"/>
        <v>95600</v>
      </c>
      <c r="U7" s="53">
        <f>IF($J7="","",ROUND(($J7-$J$3)/1000,1)+(_xlfn.RANK.AVG($J7,($J7,$O7,$T7),1)-2)*20)</f>
        <v>-27</v>
      </c>
      <c r="V7" s="54">
        <f>IF($O7="","",ROUND(($O7-$O$3)/1000,1)+(_xlfn.RANK.AVG($O7,($J7,$O7,$T7),1)-2)*20)</f>
        <v>-53.6</v>
      </c>
      <c r="W7" s="55">
        <f>IF($T7="","",ROUND(($T7-$T$3)/1000,1)+(_xlfn.RANK.AVG($T7,($J7,$O7,$T7),1)-2)*20)</f>
        <v>80.599999999999994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7</v>
      </c>
      <c r="BT7" s="30" t="s">
        <v>204</v>
      </c>
      <c r="BU7" s="40" t="s">
        <v>106</v>
      </c>
      <c r="BV7" s="41" t="s">
        <v>79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4"/>
        <v>2</v>
      </c>
      <c r="C8" s="18">
        <f t="shared" si="5"/>
        <v>3</v>
      </c>
      <c r="D8" s="18">
        <f t="shared" si="6"/>
        <v>0</v>
      </c>
      <c r="E8" s="4" t="str">
        <f>IF($P$1="","",$P$1)</f>
        <v>れんたろう</v>
      </c>
      <c r="F8" s="8" t="s">
        <v>201</v>
      </c>
      <c r="G8" s="9">
        <v>-12000</v>
      </c>
      <c r="H8" s="9"/>
      <c r="I8" s="48">
        <v>-1500</v>
      </c>
      <c r="J8" s="21">
        <f t="shared" si="1"/>
        <v>-5500</v>
      </c>
      <c r="K8" s="8" t="s">
        <v>202</v>
      </c>
      <c r="L8" s="9">
        <v>32000</v>
      </c>
      <c r="M8" s="9"/>
      <c r="N8" s="48">
        <v>3000</v>
      </c>
      <c r="O8" s="21">
        <f t="shared" si="2"/>
        <v>36400</v>
      </c>
      <c r="P8" s="8" t="s">
        <v>201</v>
      </c>
      <c r="Q8" s="9">
        <v>-20000</v>
      </c>
      <c r="R8" s="9"/>
      <c r="S8" s="48">
        <v>-1500</v>
      </c>
      <c r="T8" s="21">
        <f t="shared" si="3"/>
        <v>74100</v>
      </c>
      <c r="U8" s="53">
        <f>IF($J8="","",ROUND(($J8-$J$3)/1000,1)+(_xlfn.RANK.AVG($J8,($J8,$O8,$T8),1)-2)*20)</f>
        <v>-60.5</v>
      </c>
      <c r="V8" s="54">
        <f>IF($O8="","",ROUND(($O8-$O$3)/1000,1)+(_xlfn.RANK.AVG($O8,($J8,$O8,$T8),1)-2)*20)</f>
        <v>1.4</v>
      </c>
      <c r="W8" s="55">
        <f>IF($T8="","",ROUND(($T8-$T$3)/1000,1)+(_xlfn.RANK.AVG($T8,($J8,$O8,$T8),1)-2)*20)</f>
        <v>59.1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13</v>
      </c>
      <c r="AY8" s="30" t="s">
        <v>204</v>
      </c>
      <c r="AZ8" s="40" t="s">
        <v>107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4"/>
        <v/>
      </c>
      <c r="C9" s="18" t="str">
        <f t="shared" si="5"/>
        <v/>
      </c>
      <c r="D9" s="18" t="str">
        <f t="shared" si="6"/>
        <v/>
      </c>
      <c r="E9" s="4"/>
      <c r="F9" s="8"/>
      <c r="G9" s="9"/>
      <c r="H9" s="9"/>
      <c r="I9" s="48"/>
      <c r="J9" s="21" t="str">
        <f t="shared" si="1"/>
        <v/>
      </c>
      <c r="K9" s="8"/>
      <c r="L9" s="9"/>
      <c r="M9" s="9"/>
      <c r="N9" s="48"/>
      <c r="O9" s="21" t="str">
        <f t="shared" si="2"/>
        <v/>
      </c>
      <c r="P9" s="8"/>
      <c r="Q9" s="9"/>
      <c r="R9" s="9"/>
      <c r="S9" s="48"/>
      <c r="T9" s="21" t="str">
        <f t="shared" si="3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4"/>
        <v/>
      </c>
      <c r="C10" s="18" t="str">
        <f t="shared" si="5"/>
        <v/>
      </c>
      <c r="D10" s="18" t="str">
        <f t="shared" si="6"/>
        <v/>
      </c>
      <c r="E10" s="4"/>
      <c r="F10" s="8"/>
      <c r="G10" s="9"/>
      <c r="H10" s="9"/>
      <c r="I10" s="48"/>
      <c r="J10" s="21" t="str">
        <f t="shared" si="1"/>
        <v/>
      </c>
      <c r="K10" s="8"/>
      <c r="L10" s="9"/>
      <c r="M10" s="9"/>
      <c r="N10" s="48"/>
      <c r="O10" s="21" t="str">
        <f t="shared" si="2"/>
        <v/>
      </c>
      <c r="P10" s="8"/>
      <c r="Q10" s="9"/>
      <c r="R10" s="9"/>
      <c r="S10" s="48"/>
      <c r="T10" s="21" t="str">
        <f t="shared" si="3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4"/>
        <v/>
      </c>
      <c r="C11" s="18" t="str">
        <f t="shared" si="5"/>
        <v/>
      </c>
      <c r="D11" s="18" t="str">
        <f t="shared" si="6"/>
        <v/>
      </c>
      <c r="E11" s="4"/>
      <c r="F11" s="8"/>
      <c r="G11" s="9"/>
      <c r="H11" s="9"/>
      <c r="I11" s="48"/>
      <c r="J11" s="21" t="str">
        <f t="shared" si="1"/>
        <v/>
      </c>
      <c r="K11" s="8"/>
      <c r="L11" s="9"/>
      <c r="M11" s="9"/>
      <c r="N11" s="48"/>
      <c r="O11" s="21" t="str">
        <f t="shared" si="2"/>
        <v/>
      </c>
      <c r="P11" s="8"/>
      <c r="Q11" s="9"/>
      <c r="R11" s="9"/>
      <c r="S11" s="48"/>
      <c r="T11" s="21" t="str">
        <f t="shared" si="3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48"/>
      <c r="J12" s="21" t="str">
        <f t="shared" si="1"/>
        <v/>
      </c>
      <c r="K12" s="8"/>
      <c r="L12" s="9"/>
      <c r="M12" s="9"/>
      <c r="N12" s="48"/>
      <c r="O12" s="21" t="str">
        <f t="shared" si="2"/>
        <v/>
      </c>
      <c r="P12" s="8"/>
      <c r="Q12" s="9"/>
      <c r="R12" s="9"/>
      <c r="S12" s="48"/>
      <c r="T12" s="21" t="str">
        <f t="shared" si="3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48"/>
      <c r="J13" s="21" t="str">
        <f t="shared" si="1"/>
        <v/>
      </c>
      <c r="K13" s="8"/>
      <c r="L13" s="9"/>
      <c r="M13" s="9"/>
      <c r="N13" s="48"/>
      <c r="O13" s="21" t="str">
        <f t="shared" si="2"/>
        <v/>
      </c>
      <c r="P13" s="8"/>
      <c r="Q13" s="9"/>
      <c r="R13" s="9"/>
      <c r="S13" s="48"/>
      <c r="T13" s="21" t="str">
        <f t="shared" si="3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48"/>
      <c r="J14" s="21" t="str">
        <f t="shared" si="1"/>
        <v/>
      </c>
      <c r="K14" s="8"/>
      <c r="L14" s="9"/>
      <c r="M14" s="9"/>
      <c r="N14" s="48"/>
      <c r="O14" s="21" t="str">
        <f t="shared" si="2"/>
        <v/>
      </c>
      <c r="P14" s="8"/>
      <c r="Q14" s="9"/>
      <c r="R14" s="9"/>
      <c r="S14" s="48"/>
      <c r="T14" s="21" t="str">
        <f t="shared" si="3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48"/>
      <c r="J15" s="21" t="str">
        <f t="shared" si="1"/>
        <v/>
      </c>
      <c r="K15" s="8"/>
      <c r="L15" s="9"/>
      <c r="M15" s="9"/>
      <c r="N15" s="48"/>
      <c r="O15" s="21" t="str">
        <f t="shared" si="2"/>
        <v/>
      </c>
      <c r="P15" s="8"/>
      <c r="Q15" s="9"/>
      <c r="R15" s="9"/>
      <c r="S15" s="48"/>
      <c r="T15" s="21" t="str">
        <f t="shared" si="3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48"/>
      <c r="J16" s="21" t="str">
        <f t="shared" si="1"/>
        <v/>
      </c>
      <c r="K16" s="8"/>
      <c r="L16" s="9"/>
      <c r="M16" s="9"/>
      <c r="N16" s="48"/>
      <c r="O16" s="21" t="str">
        <f t="shared" si="2"/>
        <v/>
      </c>
      <c r="P16" s="8"/>
      <c r="Q16" s="9"/>
      <c r="R16" s="9"/>
      <c r="S16" s="48"/>
      <c r="T16" s="21" t="str">
        <f t="shared" si="3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48"/>
      <c r="J17" s="21" t="str">
        <f t="shared" si="1"/>
        <v/>
      </c>
      <c r="K17" s="8"/>
      <c r="L17" s="9"/>
      <c r="M17" s="9"/>
      <c r="N17" s="48"/>
      <c r="O17" s="21" t="str">
        <f t="shared" si="2"/>
        <v/>
      </c>
      <c r="P17" s="8"/>
      <c r="Q17" s="9"/>
      <c r="R17" s="9"/>
      <c r="S17" s="48"/>
      <c r="T17" s="21" t="str">
        <f t="shared" si="3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48"/>
      <c r="J18" s="21" t="str">
        <f t="shared" si="1"/>
        <v/>
      </c>
      <c r="K18" s="8"/>
      <c r="L18" s="9"/>
      <c r="M18" s="9"/>
      <c r="N18" s="48"/>
      <c r="O18" s="21" t="str">
        <f t="shared" si="2"/>
        <v/>
      </c>
      <c r="P18" s="8"/>
      <c r="Q18" s="9"/>
      <c r="R18" s="9"/>
      <c r="S18" s="48"/>
      <c r="T18" s="21" t="str">
        <f t="shared" si="3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48"/>
      <c r="J19" s="21" t="str">
        <f t="shared" si="1"/>
        <v/>
      </c>
      <c r="K19" s="8"/>
      <c r="L19" s="9"/>
      <c r="M19" s="9"/>
      <c r="N19" s="48"/>
      <c r="O19" s="21" t="str">
        <f t="shared" si="2"/>
        <v/>
      </c>
      <c r="P19" s="8"/>
      <c r="Q19" s="9"/>
      <c r="R19" s="9"/>
      <c r="S19" s="48"/>
      <c r="T19" s="21" t="str">
        <f t="shared" si="3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48"/>
      <c r="J20" s="21" t="str">
        <f t="shared" si="1"/>
        <v/>
      </c>
      <c r="K20" s="8"/>
      <c r="L20" s="9"/>
      <c r="M20" s="9"/>
      <c r="N20" s="48"/>
      <c r="O20" s="21" t="str">
        <f t="shared" si="2"/>
        <v/>
      </c>
      <c r="P20" s="8"/>
      <c r="Q20" s="9"/>
      <c r="R20" s="9"/>
      <c r="S20" s="48"/>
      <c r="T20" s="21" t="str">
        <f t="shared" si="3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48"/>
      <c r="J21" s="21" t="str">
        <f t="shared" si="1"/>
        <v/>
      </c>
      <c r="K21" s="8"/>
      <c r="L21" s="9"/>
      <c r="M21" s="9"/>
      <c r="N21" s="48"/>
      <c r="O21" s="21" t="str">
        <f t="shared" si="2"/>
        <v/>
      </c>
      <c r="P21" s="8"/>
      <c r="Q21" s="9"/>
      <c r="R21" s="9"/>
      <c r="S21" s="48"/>
      <c r="T21" s="21" t="str">
        <f t="shared" si="3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48"/>
      <c r="J22" s="21" t="str">
        <f t="shared" si="1"/>
        <v/>
      </c>
      <c r="K22" s="8"/>
      <c r="L22" s="9"/>
      <c r="M22" s="9"/>
      <c r="N22" s="48"/>
      <c r="O22" s="21" t="str">
        <f t="shared" si="2"/>
        <v/>
      </c>
      <c r="P22" s="8"/>
      <c r="Q22" s="9"/>
      <c r="R22" s="9"/>
      <c r="S22" s="48"/>
      <c r="T22" s="21" t="str">
        <f t="shared" si="3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48"/>
      <c r="J23" s="21" t="str">
        <f t="shared" si="1"/>
        <v/>
      </c>
      <c r="K23" s="8"/>
      <c r="L23" s="9"/>
      <c r="M23" s="9"/>
      <c r="N23" s="48"/>
      <c r="O23" s="21" t="str">
        <f t="shared" si="2"/>
        <v/>
      </c>
      <c r="P23" s="8"/>
      <c r="Q23" s="9"/>
      <c r="R23" s="9"/>
      <c r="S23" s="48"/>
      <c r="T23" s="21" t="str">
        <f t="shared" si="3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48"/>
      <c r="J24" s="21" t="str">
        <f t="shared" si="1"/>
        <v/>
      </c>
      <c r="K24" s="8"/>
      <c r="L24" s="9"/>
      <c r="M24" s="9"/>
      <c r="N24" s="48"/>
      <c r="O24" s="21" t="str">
        <f t="shared" si="2"/>
        <v/>
      </c>
      <c r="P24" s="8"/>
      <c r="Q24" s="9"/>
      <c r="R24" s="9"/>
      <c r="S24" s="48"/>
      <c r="T24" s="21" t="str">
        <f t="shared" si="3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48"/>
      <c r="J25" s="21" t="str">
        <f t="shared" si="1"/>
        <v/>
      </c>
      <c r="K25" s="8"/>
      <c r="L25" s="9"/>
      <c r="M25" s="9"/>
      <c r="N25" s="48"/>
      <c r="O25" s="21" t="str">
        <f t="shared" si="2"/>
        <v/>
      </c>
      <c r="P25" s="8"/>
      <c r="Q25" s="9"/>
      <c r="R25" s="9"/>
      <c r="S25" s="48"/>
      <c r="T25" s="21" t="str">
        <f t="shared" si="3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48"/>
      <c r="J26" s="21" t="str">
        <f t="shared" si="1"/>
        <v/>
      </c>
      <c r="K26" s="8"/>
      <c r="L26" s="9"/>
      <c r="M26" s="9"/>
      <c r="N26" s="48"/>
      <c r="O26" s="21" t="str">
        <f t="shared" si="2"/>
        <v/>
      </c>
      <c r="P26" s="8"/>
      <c r="Q26" s="9"/>
      <c r="R26" s="9"/>
      <c r="S26" s="48"/>
      <c r="T26" s="21" t="str">
        <f t="shared" si="3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48"/>
      <c r="J27" s="21" t="str">
        <f t="shared" si="1"/>
        <v/>
      </c>
      <c r="K27" s="8"/>
      <c r="L27" s="9"/>
      <c r="M27" s="9"/>
      <c r="N27" s="48"/>
      <c r="O27" s="21" t="str">
        <f t="shared" si="2"/>
        <v/>
      </c>
      <c r="P27" s="8"/>
      <c r="Q27" s="9"/>
      <c r="R27" s="9"/>
      <c r="S27" s="48"/>
      <c r="T27" s="21" t="str">
        <f t="shared" si="3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48"/>
      <c r="J28" s="21" t="str">
        <f t="shared" si="1"/>
        <v/>
      </c>
      <c r="K28" s="8"/>
      <c r="L28" s="9"/>
      <c r="M28" s="9"/>
      <c r="N28" s="48"/>
      <c r="O28" s="21" t="str">
        <f t="shared" si="2"/>
        <v/>
      </c>
      <c r="P28" s="8"/>
      <c r="Q28" s="9"/>
      <c r="R28" s="9"/>
      <c r="S28" s="48"/>
      <c r="T28" s="21" t="str">
        <f t="shared" si="3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48"/>
      <c r="J29" s="21" t="str">
        <f t="shared" si="1"/>
        <v/>
      </c>
      <c r="K29" s="8"/>
      <c r="L29" s="9"/>
      <c r="M29" s="9"/>
      <c r="N29" s="48"/>
      <c r="O29" s="21" t="str">
        <f t="shared" si="2"/>
        <v/>
      </c>
      <c r="P29" s="8"/>
      <c r="Q29" s="9"/>
      <c r="R29" s="9"/>
      <c r="S29" s="48"/>
      <c r="T29" s="21" t="str">
        <f t="shared" si="3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49"/>
      <c r="J30" s="22" t="str">
        <f t="shared" si="1"/>
        <v/>
      </c>
      <c r="K30" s="10"/>
      <c r="L30" s="11"/>
      <c r="M30" s="11"/>
      <c r="N30" s="49"/>
      <c r="O30" s="22" t="str">
        <f t="shared" si="2"/>
        <v/>
      </c>
      <c r="P30" s="10"/>
      <c r="Q30" s="11"/>
      <c r="R30" s="11"/>
      <c r="S30" s="49"/>
      <c r="T30" s="22" t="str">
        <f t="shared" si="3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549EF3BD-7410-42F9-AE6E-9927E7C6D069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58A74081-1315-4FA4-ADB8-DCF581AE5886}">
      <formula1>"ロン,ツモ,放銃,ツモ支払,流局,チョンボ"</formula1>
    </dataValidation>
    <dataValidation type="list" allowBlank="1" showInputMessage="1" showErrorMessage="1" sqref="E4:E30" xr:uid="{FABC5960-CCA9-49F8-9BBA-E98CFC08D38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C0EE5-797A-49BA-A39D-D4B7BB35636B}">
  <sheetPr codeName="Sheet16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196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197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28</v>
      </c>
      <c r="W4" s="55">
        <f>IF($T4="","",ROUND(($T4-$T$3)/1000,1)+(_xlfn.RANK.AVG($T4,($J4,$O4,$T4),1)-2)*20)</f>
        <v>-28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40</v>
      </c>
      <c r="AZ4" s="40" t="s">
        <v>98</v>
      </c>
      <c r="BA4" s="41" t="s">
        <v>86</v>
      </c>
      <c r="BB4" s="41" t="s">
        <v>200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1">IF(COUNTA($F5,$K5,$P5)&gt;0,J4+SUM(G5:I5),"")</f>
        <v>35000</v>
      </c>
      <c r="K5" s="8" t="s">
        <v>198</v>
      </c>
      <c r="L5" s="9">
        <v>4800</v>
      </c>
      <c r="M5" s="9"/>
      <c r="N5" s="48">
        <v>0</v>
      </c>
      <c r="O5" s="21">
        <f t="shared" ref="O5:O30" si="2">IF(COUNTA($F5,$K5,$P5)&gt;0,O4+SUM(L5:N5),"")</f>
        <v>47800</v>
      </c>
      <c r="P5" s="8" t="s">
        <v>197</v>
      </c>
      <c r="Q5" s="9">
        <v>-4800</v>
      </c>
      <c r="R5" s="9"/>
      <c r="S5" s="48">
        <v>0</v>
      </c>
      <c r="T5" s="21">
        <f t="shared" ref="T5:T30" si="3">IF(COUNTA($F5,$K5,$P5)&gt;0,T4+SUM(Q5:S5),"")</f>
        <v>22200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32.799999999999997</v>
      </c>
      <c r="W5" s="55">
        <f>IF($T5="","",ROUND(($T5-$T$3)/1000,1)+(_xlfn.RANK.AVG($T5,($J5,$O5,$T5),1)-2)*20)</f>
        <v>-32.799999999999997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50</v>
      </c>
      <c r="AZ5" s="40" t="s">
        <v>86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4">IF($E6="","",IF($E5=$E6,B5,IF(B5=3,1,B5+1)))</f>
        <v>2</v>
      </c>
      <c r="C6" s="18">
        <f t="shared" ref="C6:C30" si="5">IF($E6="","",IF($F5="チョンボ",C5,IF(OR($E5=$E6,$F5="流局"),C5+1,0)))</f>
        <v>1</v>
      </c>
      <c r="D6" s="18">
        <f t="shared" ref="D6:D30" si="6">IF($E6="","",IF(OR($F5="流局",$F5="チョンボ"),D5+($H5+$M5+$R5)/-1000,0))</f>
        <v>0</v>
      </c>
      <c r="E6" s="4" t="str">
        <f>IF($K$1="","",$K$1)</f>
        <v>だいち</v>
      </c>
      <c r="F6" s="8" t="s">
        <v>207</v>
      </c>
      <c r="G6" s="9">
        <v>-1500</v>
      </c>
      <c r="H6" s="9"/>
      <c r="I6" s="48"/>
      <c r="J6" s="21">
        <f t="shared" si="1"/>
        <v>33500</v>
      </c>
      <c r="K6" s="8" t="s">
        <v>207</v>
      </c>
      <c r="L6" s="9">
        <v>3000</v>
      </c>
      <c r="M6" s="9">
        <v>-1000</v>
      </c>
      <c r="N6" s="48"/>
      <c r="O6" s="21">
        <f t="shared" si="2"/>
        <v>49800</v>
      </c>
      <c r="P6" s="8" t="s">
        <v>207</v>
      </c>
      <c r="Q6" s="9">
        <v>-1500</v>
      </c>
      <c r="R6" s="9"/>
      <c r="S6" s="48"/>
      <c r="T6" s="21">
        <f t="shared" si="3"/>
        <v>20700</v>
      </c>
      <c r="U6" s="53">
        <f>IF($J6="","",ROUND(($J6-$J$3)/1000,1)+(_xlfn.RANK.AVG($J6,($J6,$O6,$T6),1)-2)*20)</f>
        <v>-1.5</v>
      </c>
      <c r="V6" s="54">
        <f>IF($O6="","",ROUND(($O6-$O$3)/1000,1)+(_xlfn.RANK.AVG($O6,($J6,$O6,$T6),1)-2)*20)</f>
        <v>34.799999999999997</v>
      </c>
      <c r="W6" s="55">
        <f>IF($T6="","",ROUND(($T6-$T$3)/1000,1)+(_xlfn.RANK.AVG($T6,($J6,$O6,$T6),1)-2)*20)</f>
        <v>-34.299999999999997</v>
      </c>
      <c r="Y6" s="8" t="s">
        <v>206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205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206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4"/>
        <v>2</v>
      </c>
      <c r="C7" s="18">
        <f t="shared" si="5"/>
        <v>2</v>
      </c>
      <c r="D7" s="18">
        <f t="shared" si="6"/>
        <v>1</v>
      </c>
      <c r="E7" s="4" t="str">
        <f>IF($K$1="","",$K$1)</f>
        <v>だいち</v>
      </c>
      <c r="F7" s="8" t="s">
        <v>201</v>
      </c>
      <c r="G7" s="9">
        <v>-9000</v>
      </c>
      <c r="H7" s="9">
        <v>-1000</v>
      </c>
      <c r="I7" s="48">
        <v>-1000</v>
      </c>
      <c r="J7" s="21">
        <f t="shared" si="1"/>
        <v>22500</v>
      </c>
      <c r="K7" s="8" t="s">
        <v>202</v>
      </c>
      <c r="L7" s="9">
        <v>18000</v>
      </c>
      <c r="M7" s="9">
        <v>2000</v>
      </c>
      <c r="N7" s="48">
        <v>2000</v>
      </c>
      <c r="O7" s="21">
        <f t="shared" si="2"/>
        <v>71800</v>
      </c>
      <c r="P7" s="8" t="s">
        <v>201</v>
      </c>
      <c r="Q7" s="9">
        <v>-9000</v>
      </c>
      <c r="R7" s="9"/>
      <c r="S7" s="48">
        <v>-1000</v>
      </c>
      <c r="T7" s="21">
        <f t="shared" si="3"/>
        <v>10700</v>
      </c>
      <c r="U7" s="53">
        <f>IF($J7="","",ROUND(($J7-$J$3)/1000,1)+(_xlfn.RANK.AVG($J7,($J7,$O7,$T7),1)-2)*20)</f>
        <v>-12.5</v>
      </c>
      <c r="V7" s="54">
        <f>IF($O7="","",ROUND(($O7-$O$3)/1000,1)+(_xlfn.RANK.AVG($O7,($J7,$O7,$T7),1)-2)*20)</f>
        <v>56.8</v>
      </c>
      <c r="W7" s="55">
        <f>IF($T7="","",ROUND(($T7-$T$3)/1000,1)+(_xlfn.RANK.AVG($T7,($J7,$O7,$T7),1)-2)*20)</f>
        <v>-44.3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7</v>
      </c>
      <c r="AY7" s="30" t="s">
        <v>204</v>
      </c>
      <c r="AZ7" s="40" t="s">
        <v>82</v>
      </c>
      <c r="BA7" s="41" t="s">
        <v>101</v>
      </c>
      <c r="BB7" s="41" t="s">
        <v>200</v>
      </c>
      <c r="BC7" s="41" t="s">
        <v>200</v>
      </c>
      <c r="BD7" s="41" t="s">
        <v>79</v>
      </c>
      <c r="BE7" s="41" t="s">
        <v>79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4"/>
        <v>2</v>
      </c>
      <c r="C8" s="18">
        <f t="shared" si="5"/>
        <v>3</v>
      </c>
      <c r="D8" s="18">
        <f t="shared" si="6"/>
        <v>0</v>
      </c>
      <c r="E8" s="4" t="str">
        <f>IF($K$1="","",$K$1)</f>
        <v>だいち</v>
      </c>
      <c r="F8" s="8"/>
      <c r="G8" s="9"/>
      <c r="H8" s="9"/>
      <c r="I8" s="48"/>
      <c r="J8" s="21">
        <f t="shared" si="1"/>
        <v>22500</v>
      </c>
      <c r="K8" s="8" t="s">
        <v>198</v>
      </c>
      <c r="L8" s="9">
        <v>7700</v>
      </c>
      <c r="M8" s="9"/>
      <c r="N8" s="48">
        <v>3000</v>
      </c>
      <c r="O8" s="21">
        <f t="shared" si="2"/>
        <v>82500</v>
      </c>
      <c r="P8" s="8" t="s">
        <v>197</v>
      </c>
      <c r="Q8" s="9">
        <v>-7700</v>
      </c>
      <c r="R8" s="9"/>
      <c r="S8" s="48">
        <v>-3000</v>
      </c>
      <c r="T8" s="21">
        <f t="shared" si="3"/>
        <v>0</v>
      </c>
      <c r="U8" s="53">
        <f>IF($J8="","",ROUND(($J8-$J$3)/1000,1)+(_xlfn.RANK.AVG($J8,($J8,$O8,$T8),1)-2)*20)</f>
        <v>-12.5</v>
      </c>
      <c r="V8" s="54">
        <f>IF($O8="","",ROUND(($O8-$O$3)/1000,1)+(_xlfn.RANK.AVG($O8,($J8,$O8,$T8),1)-2)*20)</f>
        <v>67.5</v>
      </c>
      <c r="W8" s="55">
        <f>IF($T8="","",ROUND(($T8-$T$3)/1000,1)+(_xlfn.RANK.AVG($T8,($J8,$O8,$T8),1)-2)*20)</f>
        <v>-55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40</v>
      </c>
      <c r="AZ8" s="40" t="s">
        <v>104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4"/>
        <v>2</v>
      </c>
      <c r="C9" s="18">
        <f t="shared" si="5"/>
        <v>4</v>
      </c>
      <c r="D9" s="18">
        <f t="shared" si="6"/>
        <v>0</v>
      </c>
      <c r="E9" s="4" t="str">
        <f>IF($K$1="","",$K$1)</f>
        <v>だいち</v>
      </c>
      <c r="F9" s="8" t="s">
        <v>198</v>
      </c>
      <c r="G9" s="9">
        <v>12000</v>
      </c>
      <c r="H9" s="9"/>
      <c r="I9" s="48">
        <v>4000</v>
      </c>
      <c r="J9" s="21">
        <f t="shared" si="1"/>
        <v>38500</v>
      </c>
      <c r="K9" s="8"/>
      <c r="L9" s="9"/>
      <c r="M9" s="9"/>
      <c r="N9" s="48"/>
      <c r="O9" s="21">
        <f t="shared" si="2"/>
        <v>82500</v>
      </c>
      <c r="P9" s="8" t="s">
        <v>197</v>
      </c>
      <c r="Q9" s="9">
        <v>-12000</v>
      </c>
      <c r="R9" s="9"/>
      <c r="S9" s="48">
        <v>-4000</v>
      </c>
      <c r="T9" s="21">
        <f t="shared" si="3"/>
        <v>-16000</v>
      </c>
      <c r="U9" s="53">
        <f>IF($J9="","",ROUND(($J9-$J$3)/1000,1)+(_xlfn.RANK.AVG($J9,($J9,$O9,$T9),1)-2)*20)</f>
        <v>3.5</v>
      </c>
      <c r="V9" s="54">
        <f>IF($O9="","",ROUND(($O9-$O$3)/1000,1)+(_xlfn.RANK.AVG($O9,($J9,$O9,$T9),1)-2)*20)</f>
        <v>67.5</v>
      </c>
      <c r="W9" s="55">
        <f>IF($T9="","",ROUND(($T9-$T$3)/1000,1)+(_xlfn.RANK.AVG($T9,($J9,$O9,$T9),1)-2)*20)</f>
        <v>-71</v>
      </c>
      <c r="Y9" s="8"/>
      <c r="Z9" s="34"/>
      <c r="AA9" s="26">
        <v>1</v>
      </c>
      <c r="AB9" s="26"/>
      <c r="AC9" s="26">
        <v>7</v>
      </c>
      <c r="AD9" s="30" t="s">
        <v>204</v>
      </c>
      <c r="AE9" s="40" t="s">
        <v>199</v>
      </c>
      <c r="AF9" s="41" t="s">
        <v>93</v>
      </c>
      <c r="AG9" s="41" t="s">
        <v>84</v>
      </c>
      <c r="AH9" s="41" t="s">
        <v>80</v>
      </c>
      <c r="AI9" s="41" t="s">
        <v>80</v>
      </c>
      <c r="AJ9" s="41" t="s">
        <v>86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4"/>
        <v>3</v>
      </c>
      <c r="C10" s="18">
        <f t="shared" si="5"/>
        <v>0</v>
      </c>
      <c r="D10" s="18">
        <f t="shared" si="6"/>
        <v>0</v>
      </c>
      <c r="E10" s="4" t="str">
        <f>IF($P$1="","",$P$1)</f>
        <v>れんたろう</v>
      </c>
      <c r="F10" s="8"/>
      <c r="G10" s="9"/>
      <c r="H10" s="9"/>
      <c r="I10" s="48"/>
      <c r="J10" s="21" t="str">
        <f t="shared" si="1"/>
        <v/>
      </c>
      <c r="K10" s="8"/>
      <c r="L10" s="9"/>
      <c r="M10" s="9"/>
      <c r="N10" s="48"/>
      <c r="O10" s="21" t="str">
        <f t="shared" si="2"/>
        <v/>
      </c>
      <c r="P10" s="8"/>
      <c r="Q10" s="9"/>
      <c r="R10" s="9"/>
      <c r="S10" s="48"/>
      <c r="T10" s="21" t="str">
        <f t="shared" si="3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4"/>
        <v/>
      </c>
      <c r="C11" s="18" t="str">
        <f t="shared" si="5"/>
        <v/>
      </c>
      <c r="D11" s="18" t="str">
        <f t="shared" si="6"/>
        <v/>
      </c>
      <c r="E11" s="4"/>
      <c r="F11" s="8"/>
      <c r="G11" s="9"/>
      <c r="H11" s="9"/>
      <c r="I11" s="48"/>
      <c r="J11" s="21" t="str">
        <f t="shared" si="1"/>
        <v/>
      </c>
      <c r="K11" s="8"/>
      <c r="L11" s="9"/>
      <c r="M11" s="9"/>
      <c r="N11" s="48"/>
      <c r="O11" s="21" t="str">
        <f t="shared" si="2"/>
        <v/>
      </c>
      <c r="P11" s="8"/>
      <c r="Q11" s="9"/>
      <c r="R11" s="9"/>
      <c r="S11" s="48"/>
      <c r="T11" s="21" t="str">
        <f t="shared" si="3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48"/>
      <c r="J12" s="21" t="str">
        <f t="shared" si="1"/>
        <v/>
      </c>
      <c r="K12" s="8"/>
      <c r="L12" s="9"/>
      <c r="M12" s="9"/>
      <c r="N12" s="48"/>
      <c r="O12" s="21" t="str">
        <f t="shared" si="2"/>
        <v/>
      </c>
      <c r="P12" s="8"/>
      <c r="Q12" s="9"/>
      <c r="R12" s="9"/>
      <c r="S12" s="48"/>
      <c r="T12" s="21" t="str">
        <f t="shared" si="3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48"/>
      <c r="J13" s="21" t="str">
        <f t="shared" si="1"/>
        <v/>
      </c>
      <c r="K13" s="8"/>
      <c r="L13" s="9"/>
      <c r="M13" s="9"/>
      <c r="N13" s="48"/>
      <c r="O13" s="21" t="str">
        <f t="shared" si="2"/>
        <v/>
      </c>
      <c r="P13" s="8"/>
      <c r="Q13" s="9"/>
      <c r="R13" s="9"/>
      <c r="S13" s="48"/>
      <c r="T13" s="21" t="str">
        <f t="shared" si="3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48"/>
      <c r="J14" s="21" t="str">
        <f t="shared" si="1"/>
        <v/>
      </c>
      <c r="K14" s="8"/>
      <c r="L14" s="9"/>
      <c r="M14" s="9"/>
      <c r="N14" s="48"/>
      <c r="O14" s="21" t="str">
        <f t="shared" si="2"/>
        <v/>
      </c>
      <c r="P14" s="8"/>
      <c r="Q14" s="9"/>
      <c r="R14" s="9"/>
      <c r="S14" s="48"/>
      <c r="T14" s="21" t="str">
        <f t="shared" si="3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48"/>
      <c r="J15" s="21" t="str">
        <f t="shared" si="1"/>
        <v/>
      </c>
      <c r="K15" s="8"/>
      <c r="L15" s="9"/>
      <c r="M15" s="9"/>
      <c r="N15" s="48"/>
      <c r="O15" s="21" t="str">
        <f t="shared" si="2"/>
        <v/>
      </c>
      <c r="P15" s="8"/>
      <c r="Q15" s="9"/>
      <c r="R15" s="9"/>
      <c r="S15" s="48"/>
      <c r="T15" s="21" t="str">
        <f t="shared" si="3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48"/>
      <c r="J16" s="21" t="str">
        <f t="shared" si="1"/>
        <v/>
      </c>
      <c r="K16" s="8"/>
      <c r="L16" s="9"/>
      <c r="M16" s="9"/>
      <c r="N16" s="48"/>
      <c r="O16" s="21" t="str">
        <f t="shared" si="2"/>
        <v/>
      </c>
      <c r="P16" s="8"/>
      <c r="Q16" s="9"/>
      <c r="R16" s="9"/>
      <c r="S16" s="48"/>
      <c r="T16" s="21" t="str">
        <f t="shared" si="3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48"/>
      <c r="J17" s="21" t="str">
        <f t="shared" si="1"/>
        <v/>
      </c>
      <c r="K17" s="8"/>
      <c r="L17" s="9"/>
      <c r="M17" s="9"/>
      <c r="N17" s="48"/>
      <c r="O17" s="21" t="str">
        <f t="shared" si="2"/>
        <v/>
      </c>
      <c r="P17" s="8"/>
      <c r="Q17" s="9"/>
      <c r="R17" s="9"/>
      <c r="S17" s="48"/>
      <c r="T17" s="21" t="str">
        <f t="shared" si="3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48"/>
      <c r="J18" s="21" t="str">
        <f t="shared" si="1"/>
        <v/>
      </c>
      <c r="K18" s="8"/>
      <c r="L18" s="9"/>
      <c r="M18" s="9"/>
      <c r="N18" s="48"/>
      <c r="O18" s="21" t="str">
        <f t="shared" si="2"/>
        <v/>
      </c>
      <c r="P18" s="8"/>
      <c r="Q18" s="9"/>
      <c r="R18" s="9"/>
      <c r="S18" s="48"/>
      <c r="T18" s="21" t="str">
        <f t="shared" si="3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48"/>
      <c r="J19" s="21" t="str">
        <f t="shared" si="1"/>
        <v/>
      </c>
      <c r="K19" s="8"/>
      <c r="L19" s="9"/>
      <c r="M19" s="9"/>
      <c r="N19" s="48"/>
      <c r="O19" s="21" t="str">
        <f t="shared" si="2"/>
        <v/>
      </c>
      <c r="P19" s="8"/>
      <c r="Q19" s="9"/>
      <c r="R19" s="9"/>
      <c r="S19" s="48"/>
      <c r="T19" s="21" t="str">
        <f t="shared" si="3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48"/>
      <c r="J20" s="21" t="str">
        <f t="shared" si="1"/>
        <v/>
      </c>
      <c r="K20" s="8"/>
      <c r="L20" s="9"/>
      <c r="M20" s="9"/>
      <c r="N20" s="48"/>
      <c r="O20" s="21" t="str">
        <f t="shared" si="2"/>
        <v/>
      </c>
      <c r="P20" s="8"/>
      <c r="Q20" s="9"/>
      <c r="R20" s="9"/>
      <c r="S20" s="48"/>
      <c r="T20" s="21" t="str">
        <f t="shared" si="3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48"/>
      <c r="J21" s="21" t="str">
        <f t="shared" si="1"/>
        <v/>
      </c>
      <c r="K21" s="8"/>
      <c r="L21" s="9"/>
      <c r="M21" s="9"/>
      <c r="N21" s="48"/>
      <c r="O21" s="21" t="str">
        <f t="shared" si="2"/>
        <v/>
      </c>
      <c r="P21" s="8"/>
      <c r="Q21" s="9"/>
      <c r="R21" s="9"/>
      <c r="S21" s="48"/>
      <c r="T21" s="21" t="str">
        <f t="shared" si="3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48"/>
      <c r="J22" s="21" t="str">
        <f t="shared" si="1"/>
        <v/>
      </c>
      <c r="K22" s="8"/>
      <c r="L22" s="9"/>
      <c r="M22" s="9"/>
      <c r="N22" s="48"/>
      <c r="O22" s="21" t="str">
        <f t="shared" si="2"/>
        <v/>
      </c>
      <c r="P22" s="8"/>
      <c r="Q22" s="9"/>
      <c r="R22" s="9"/>
      <c r="S22" s="48"/>
      <c r="T22" s="21" t="str">
        <f t="shared" si="3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48"/>
      <c r="J23" s="21" t="str">
        <f t="shared" si="1"/>
        <v/>
      </c>
      <c r="K23" s="8"/>
      <c r="L23" s="9"/>
      <c r="M23" s="9"/>
      <c r="N23" s="48"/>
      <c r="O23" s="21" t="str">
        <f t="shared" si="2"/>
        <v/>
      </c>
      <c r="P23" s="8"/>
      <c r="Q23" s="9"/>
      <c r="R23" s="9"/>
      <c r="S23" s="48"/>
      <c r="T23" s="21" t="str">
        <f t="shared" si="3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48"/>
      <c r="J24" s="21" t="str">
        <f t="shared" si="1"/>
        <v/>
      </c>
      <c r="K24" s="8"/>
      <c r="L24" s="9"/>
      <c r="M24" s="9"/>
      <c r="N24" s="48"/>
      <c r="O24" s="21" t="str">
        <f t="shared" si="2"/>
        <v/>
      </c>
      <c r="P24" s="8"/>
      <c r="Q24" s="9"/>
      <c r="R24" s="9"/>
      <c r="S24" s="48"/>
      <c r="T24" s="21" t="str">
        <f t="shared" si="3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48"/>
      <c r="J25" s="21" t="str">
        <f t="shared" si="1"/>
        <v/>
      </c>
      <c r="K25" s="8"/>
      <c r="L25" s="9"/>
      <c r="M25" s="9"/>
      <c r="N25" s="48"/>
      <c r="O25" s="21" t="str">
        <f t="shared" si="2"/>
        <v/>
      </c>
      <c r="P25" s="8"/>
      <c r="Q25" s="9"/>
      <c r="R25" s="9"/>
      <c r="S25" s="48"/>
      <c r="T25" s="21" t="str">
        <f t="shared" si="3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48"/>
      <c r="J26" s="21" t="str">
        <f t="shared" si="1"/>
        <v/>
      </c>
      <c r="K26" s="8"/>
      <c r="L26" s="9"/>
      <c r="M26" s="9"/>
      <c r="N26" s="48"/>
      <c r="O26" s="21" t="str">
        <f t="shared" si="2"/>
        <v/>
      </c>
      <c r="P26" s="8"/>
      <c r="Q26" s="9"/>
      <c r="R26" s="9"/>
      <c r="S26" s="48"/>
      <c r="T26" s="21" t="str">
        <f t="shared" si="3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48"/>
      <c r="J27" s="21" t="str">
        <f t="shared" si="1"/>
        <v/>
      </c>
      <c r="K27" s="8"/>
      <c r="L27" s="9"/>
      <c r="M27" s="9"/>
      <c r="N27" s="48"/>
      <c r="O27" s="21" t="str">
        <f t="shared" si="2"/>
        <v/>
      </c>
      <c r="P27" s="8"/>
      <c r="Q27" s="9"/>
      <c r="R27" s="9"/>
      <c r="S27" s="48"/>
      <c r="T27" s="21" t="str">
        <f t="shared" si="3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48"/>
      <c r="J28" s="21" t="str">
        <f t="shared" si="1"/>
        <v/>
      </c>
      <c r="K28" s="8"/>
      <c r="L28" s="9"/>
      <c r="M28" s="9"/>
      <c r="N28" s="48"/>
      <c r="O28" s="21" t="str">
        <f t="shared" si="2"/>
        <v/>
      </c>
      <c r="P28" s="8"/>
      <c r="Q28" s="9"/>
      <c r="R28" s="9"/>
      <c r="S28" s="48"/>
      <c r="T28" s="21" t="str">
        <f t="shared" si="3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48"/>
      <c r="J29" s="21" t="str">
        <f t="shared" si="1"/>
        <v/>
      </c>
      <c r="K29" s="8"/>
      <c r="L29" s="9"/>
      <c r="M29" s="9"/>
      <c r="N29" s="48"/>
      <c r="O29" s="21" t="str">
        <f t="shared" si="2"/>
        <v/>
      </c>
      <c r="P29" s="8"/>
      <c r="Q29" s="9"/>
      <c r="R29" s="9"/>
      <c r="S29" s="48"/>
      <c r="T29" s="21" t="str">
        <f t="shared" si="3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49"/>
      <c r="J30" s="22" t="str">
        <f t="shared" si="1"/>
        <v/>
      </c>
      <c r="K30" s="10"/>
      <c r="L30" s="11"/>
      <c r="M30" s="11"/>
      <c r="N30" s="49"/>
      <c r="O30" s="22" t="str">
        <f t="shared" si="2"/>
        <v/>
      </c>
      <c r="P30" s="10"/>
      <c r="Q30" s="11"/>
      <c r="R30" s="11"/>
      <c r="S30" s="49"/>
      <c r="T30" s="22" t="str">
        <f t="shared" si="3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DC8887B5-FEEB-4F8E-92A9-056DA63CB5AF}">
      <formula1>$U$2:$W$2</formula1>
    </dataValidation>
    <dataValidation type="list" showInputMessage="1" showErrorMessage="1" sqref="K4:K30 P4:P30 F4:F30" xr:uid="{85305E2C-DE66-41A6-81E8-EE53BB455EC6}">
      <formula1>"ロン,ツモ,放銃,ツモ支払,流局,チョンボ"</formula1>
    </dataValidation>
    <dataValidation type="list" allowBlank="1" showInputMessage="1" sqref="F1:T1" xr:uid="{E5F831B7-3EC7-4FDE-A405-A796C68B7747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cp:lastPrinted>2018-10-03T09:15:05Z</cp:lastPrinted>
  <dcterms:created xsi:type="dcterms:W3CDTF">2018-10-02T11:54:05Z</dcterms:created>
  <dcterms:modified xsi:type="dcterms:W3CDTF">2023-01-04T07:54:50Z</dcterms:modified>
</cp:coreProperties>
</file>