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専攻科\対局\"/>
    </mc:Choice>
  </mc:AlternateContent>
  <xr:revisionPtr revIDLastSave="0" documentId="13_ncr:1_{988C5E67-5624-478E-ADAD-A29F221644E8}" xr6:coauthVersionLast="47" xr6:coauthVersionMax="47" xr10:uidLastSave="{00000000-0000-0000-0000-000000000000}"/>
  <bookViews>
    <workbookView xWindow="-120" yWindow="-120" windowWidth="29040" windowHeight="15990" activeTab="6" xr2:uid="{4CDB34E1-560F-4998-ABAB-D6F7F2862621}"/>
  </bookViews>
  <sheets>
    <sheet name="Sheet1" sheetId="19" r:id="rId1"/>
    <sheet name="Sheet2" sheetId="20" r:id="rId2"/>
    <sheet name="Sheet3" sheetId="21" r:id="rId3"/>
    <sheet name="Sheet4" sheetId="22" r:id="rId4"/>
    <sheet name="Sheet5" sheetId="23" r:id="rId5"/>
    <sheet name="Sheet6" sheetId="24" r:id="rId6"/>
    <sheet name="Sheet7" sheetId="25" r:id="rId7"/>
    <sheet name="役一覧" sheetId="15" state="hidden" r:id="rId8"/>
    <sheet name="点数表(親ロン)" sheetId="4" state="hidden" r:id="rId9"/>
    <sheet name="点数表(親ツモ)" sheetId="9" state="hidden" r:id="rId10"/>
    <sheet name="点数表(子→親)" sheetId="7" state="hidden" r:id="rId11"/>
    <sheet name="点数表(子ロン)" sheetId="3" state="hidden" r:id="rId12"/>
    <sheet name="点数表(子ツモ)" sheetId="10" state="hidden" r:id="rId13"/>
    <sheet name="点数表(子→子)" sheetId="5" state="hidden" r:id="rId14"/>
    <sheet name="点数表(親→子)" sheetId="6" state="hidden" r:id="rId1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9" i="25" l="1"/>
  <c r="E8" i="25"/>
  <c r="E7" i="25"/>
  <c r="E6" i="25"/>
  <c r="E5" i="25"/>
  <c r="B5" i="25" s="1"/>
  <c r="T30" i="25"/>
  <c r="W30" i="25" s="1"/>
  <c r="O30" i="25"/>
  <c r="V30" i="25" s="1"/>
  <c r="J30" i="25"/>
  <c r="U30" i="25" s="1"/>
  <c r="D30" i="25"/>
  <c r="C30" i="25"/>
  <c r="B30" i="25"/>
  <c r="A30" i="25"/>
  <c r="T29" i="25"/>
  <c r="W29" i="25" s="1"/>
  <c r="O29" i="25"/>
  <c r="V29" i="25" s="1"/>
  <c r="J29" i="25"/>
  <c r="U29" i="25" s="1"/>
  <c r="D29" i="25"/>
  <c r="C29" i="25"/>
  <c r="B29" i="25"/>
  <c r="A29" i="25"/>
  <c r="T28" i="25"/>
  <c r="W28" i="25" s="1"/>
  <c r="O28" i="25"/>
  <c r="V28" i="25" s="1"/>
  <c r="J28" i="25"/>
  <c r="U28" i="25" s="1"/>
  <c r="D28" i="25"/>
  <c r="C28" i="25"/>
  <c r="B28" i="25"/>
  <c r="A28" i="25"/>
  <c r="T27" i="25"/>
  <c r="W27" i="25" s="1"/>
  <c r="O27" i="25"/>
  <c r="V27" i="25" s="1"/>
  <c r="J27" i="25"/>
  <c r="U27" i="25" s="1"/>
  <c r="D27" i="25"/>
  <c r="C27" i="25"/>
  <c r="B27" i="25"/>
  <c r="A27" i="25"/>
  <c r="T26" i="25"/>
  <c r="W26" i="25" s="1"/>
  <c r="O26" i="25"/>
  <c r="V26" i="25" s="1"/>
  <c r="J26" i="25"/>
  <c r="U26" i="25" s="1"/>
  <c r="D26" i="25"/>
  <c r="C26" i="25"/>
  <c r="B26" i="25"/>
  <c r="A26" i="25"/>
  <c r="T25" i="25"/>
  <c r="W25" i="25" s="1"/>
  <c r="O25" i="25"/>
  <c r="V25" i="25" s="1"/>
  <c r="J25" i="25"/>
  <c r="U25" i="25" s="1"/>
  <c r="D25" i="25"/>
  <c r="C25" i="25"/>
  <c r="B25" i="25"/>
  <c r="A25" i="25"/>
  <c r="T24" i="25"/>
  <c r="W24" i="25" s="1"/>
  <c r="O24" i="25"/>
  <c r="V24" i="25" s="1"/>
  <c r="J24" i="25"/>
  <c r="U24" i="25" s="1"/>
  <c r="D24" i="25"/>
  <c r="C24" i="25"/>
  <c r="B24" i="25"/>
  <c r="A24" i="25"/>
  <c r="T23" i="25"/>
  <c r="W23" i="25" s="1"/>
  <c r="O23" i="25"/>
  <c r="V23" i="25" s="1"/>
  <c r="J23" i="25"/>
  <c r="U23" i="25" s="1"/>
  <c r="D23" i="25"/>
  <c r="C23" i="25"/>
  <c r="B23" i="25"/>
  <c r="A23" i="25"/>
  <c r="T22" i="25"/>
  <c r="W22" i="25" s="1"/>
  <c r="O22" i="25"/>
  <c r="V22" i="25" s="1"/>
  <c r="J22" i="25"/>
  <c r="U22" i="25" s="1"/>
  <c r="D22" i="25"/>
  <c r="C22" i="25"/>
  <c r="B22" i="25"/>
  <c r="A22" i="25"/>
  <c r="T21" i="25"/>
  <c r="W21" i="25" s="1"/>
  <c r="O21" i="25"/>
  <c r="V21" i="25" s="1"/>
  <c r="J21" i="25"/>
  <c r="U21" i="25" s="1"/>
  <c r="D21" i="25"/>
  <c r="C21" i="25"/>
  <c r="B21" i="25"/>
  <c r="A21" i="25"/>
  <c r="T20" i="25"/>
  <c r="W20" i="25" s="1"/>
  <c r="O20" i="25"/>
  <c r="V20" i="25" s="1"/>
  <c r="J20" i="25"/>
  <c r="U20" i="25" s="1"/>
  <c r="D20" i="25"/>
  <c r="C20" i="25"/>
  <c r="B20" i="25"/>
  <c r="A20" i="25"/>
  <c r="T19" i="25"/>
  <c r="W19" i="25" s="1"/>
  <c r="O19" i="25"/>
  <c r="V19" i="25" s="1"/>
  <c r="J19" i="25"/>
  <c r="U19" i="25" s="1"/>
  <c r="D19" i="25"/>
  <c r="C19" i="25"/>
  <c r="B19" i="25"/>
  <c r="A19" i="25"/>
  <c r="T18" i="25"/>
  <c r="W18" i="25" s="1"/>
  <c r="O18" i="25"/>
  <c r="V18" i="25" s="1"/>
  <c r="J18" i="25"/>
  <c r="U18" i="25" s="1"/>
  <c r="D18" i="25"/>
  <c r="C18" i="25"/>
  <c r="B18" i="25"/>
  <c r="A18" i="25"/>
  <c r="T17" i="25"/>
  <c r="W17" i="25" s="1"/>
  <c r="O17" i="25"/>
  <c r="V17" i="25" s="1"/>
  <c r="J17" i="25"/>
  <c r="U17" i="25" s="1"/>
  <c r="D17" i="25"/>
  <c r="C17" i="25"/>
  <c r="B17" i="25"/>
  <c r="A17" i="25"/>
  <c r="T16" i="25"/>
  <c r="W16" i="25" s="1"/>
  <c r="O16" i="25"/>
  <c r="V16" i="25" s="1"/>
  <c r="J16" i="25"/>
  <c r="U16" i="25" s="1"/>
  <c r="D16" i="25"/>
  <c r="C16" i="25"/>
  <c r="B16" i="25"/>
  <c r="A16" i="25"/>
  <c r="T15" i="25"/>
  <c r="W15" i="25" s="1"/>
  <c r="O15" i="25"/>
  <c r="V15" i="25" s="1"/>
  <c r="J15" i="25"/>
  <c r="U15" i="25" s="1"/>
  <c r="D15" i="25"/>
  <c r="C15" i="25"/>
  <c r="B15" i="25"/>
  <c r="A15" i="25"/>
  <c r="C14" i="25"/>
  <c r="D13" i="25"/>
  <c r="C12" i="25"/>
  <c r="C13" i="25" s="1"/>
  <c r="D11" i="25"/>
  <c r="C11" i="25"/>
  <c r="D9" i="25"/>
  <c r="D8" i="25"/>
  <c r="C6" i="25"/>
  <c r="T5" i="25"/>
  <c r="T6" i="25" s="1"/>
  <c r="T4" i="25"/>
  <c r="W4" i="25" s="1"/>
  <c r="O4" i="25"/>
  <c r="O5" i="25" s="1"/>
  <c r="J4" i="25"/>
  <c r="J5" i="25" s="1"/>
  <c r="W3" i="25"/>
  <c r="V3" i="25"/>
  <c r="U3" i="25"/>
  <c r="W2" i="25"/>
  <c r="V2" i="25"/>
  <c r="U2" i="25"/>
  <c r="BO1" i="25"/>
  <c r="AT1" i="25"/>
  <c r="Y1" i="25"/>
  <c r="E14" i="24"/>
  <c r="E13" i="24"/>
  <c r="D13" i="24" s="1"/>
  <c r="E12" i="24"/>
  <c r="E11" i="24"/>
  <c r="D11" i="24" s="1"/>
  <c r="E10" i="24"/>
  <c r="E9" i="24"/>
  <c r="E8" i="24"/>
  <c r="E7" i="24"/>
  <c r="E6" i="24"/>
  <c r="E5" i="24"/>
  <c r="T30" i="24"/>
  <c r="W30" i="24" s="1"/>
  <c r="O30" i="24"/>
  <c r="V30" i="24" s="1"/>
  <c r="J30" i="24"/>
  <c r="U30" i="24" s="1"/>
  <c r="D30" i="24"/>
  <c r="C30" i="24"/>
  <c r="B30" i="24"/>
  <c r="A30" i="24"/>
  <c r="T29" i="24"/>
  <c r="W29" i="24" s="1"/>
  <c r="O29" i="24"/>
  <c r="V29" i="24" s="1"/>
  <c r="J29" i="24"/>
  <c r="U29" i="24" s="1"/>
  <c r="D29" i="24"/>
  <c r="C29" i="24"/>
  <c r="B29" i="24"/>
  <c r="A29" i="24"/>
  <c r="T28" i="24"/>
  <c r="W28" i="24" s="1"/>
  <c r="O28" i="24"/>
  <c r="V28" i="24" s="1"/>
  <c r="J28" i="24"/>
  <c r="U28" i="24" s="1"/>
  <c r="D28" i="24"/>
  <c r="C28" i="24"/>
  <c r="B28" i="24"/>
  <c r="A28" i="24"/>
  <c r="T27" i="24"/>
  <c r="W27" i="24" s="1"/>
  <c r="O27" i="24"/>
  <c r="V27" i="24" s="1"/>
  <c r="J27" i="24"/>
  <c r="U27" i="24" s="1"/>
  <c r="D27" i="24"/>
  <c r="C27" i="24"/>
  <c r="B27" i="24"/>
  <c r="A27" i="24"/>
  <c r="T26" i="24"/>
  <c r="W26" i="24" s="1"/>
  <c r="O26" i="24"/>
  <c r="V26" i="24" s="1"/>
  <c r="J26" i="24"/>
  <c r="U26" i="24" s="1"/>
  <c r="D26" i="24"/>
  <c r="C26" i="24"/>
  <c r="B26" i="24"/>
  <c r="A26" i="24"/>
  <c r="T25" i="24"/>
  <c r="W25" i="24" s="1"/>
  <c r="O25" i="24"/>
  <c r="V25" i="24" s="1"/>
  <c r="J25" i="24"/>
  <c r="U25" i="24" s="1"/>
  <c r="D25" i="24"/>
  <c r="C25" i="24"/>
  <c r="B25" i="24"/>
  <c r="A25" i="24"/>
  <c r="T24" i="24"/>
  <c r="W24" i="24" s="1"/>
  <c r="O24" i="24"/>
  <c r="V24" i="24" s="1"/>
  <c r="J24" i="24"/>
  <c r="U24" i="24" s="1"/>
  <c r="D24" i="24"/>
  <c r="C24" i="24"/>
  <c r="B24" i="24"/>
  <c r="A24" i="24"/>
  <c r="T23" i="24"/>
  <c r="W23" i="24" s="1"/>
  <c r="O23" i="24"/>
  <c r="V23" i="24" s="1"/>
  <c r="J23" i="24"/>
  <c r="U23" i="24" s="1"/>
  <c r="D23" i="24"/>
  <c r="C23" i="24"/>
  <c r="B23" i="24"/>
  <c r="A23" i="24"/>
  <c r="T22" i="24"/>
  <c r="W22" i="24" s="1"/>
  <c r="O22" i="24"/>
  <c r="V22" i="24" s="1"/>
  <c r="J22" i="24"/>
  <c r="U22" i="24" s="1"/>
  <c r="D22" i="24"/>
  <c r="C22" i="24"/>
  <c r="B22" i="24"/>
  <c r="A22" i="24"/>
  <c r="T21" i="24"/>
  <c r="W21" i="24" s="1"/>
  <c r="O21" i="24"/>
  <c r="V21" i="24" s="1"/>
  <c r="J21" i="24"/>
  <c r="U21" i="24" s="1"/>
  <c r="D21" i="24"/>
  <c r="C21" i="24"/>
  <c r="B21" i="24"/>
  <c r="A21" i="24"/>
  <c r="T20" i="24"/>
  <c r="W20" i="24" s="1"/>
  <c r="O20" i="24"/>
  <c r="V20" i="24" s="1"/>
  <c r="J20" i="24"/>
  <c r="U20" i="24" s="1"/>
  <c r="D20" i="24"/>
  <c r="C20" i="24"/>
  <c r="B20" i="24"/>
  <c r="A20" i="24"/>
  <c r="T19" i="24"/>
  <c r="W19" i="24" s="1"/>
  <c r="O19" i="24"/>
  <c r="V19" i="24" s="1"/>
  <c r="J19" i="24"/>
  <c r="U19" i="24" s="1"/>
  <c r="D19" i="24"/>
  <c r="C19" i="24"/>
  <c r="B19" i="24"/>
  <c r="A19" i="24"/>
  <c r="T18" i="24"/>
  <c r="W18" i="24" s="1"/>
  <c r="O18" i="24"/>
  <c r="V18" i="24" s="1"/>
  <c r="J18" i="24"/>
  <c r="U18" i="24" s="1"/>
  <c r="D18" i="24"/>
  <c r="C18" i="24"/>
  <c r="B18" i="24"/>
  <c r="A18" i="24"/>
  <c r="T17" i="24"/>
  <c r="W17" i="24" s="1"/>
  <c r="O17" i="24"/>
  <c r="V17" i="24" s="1"/>
  <c r="J17" i="24"/>
  <c r="U17" i="24" s="1"/>
  <c r="D17" i="24"/>
  <c r="C17" i="24"/>
  <c r="B17" i="24"/>
  <c r="A17" i="24"/>
  <c r="T16" i="24"/>
  <c r="W16" i="24" s="1"/>
  <c r="O16" i="24"/>
  <c r="V16" i="24" s="1"/>
  <c r="J16" i="24"/>
  <c r="U16" i="24" s="1"/>
  <c r="D16" i="24"/>
  <c r="C16" i="24"/>
  <c r="B16" i="24"/>
  <c r="A16" i="24"/>
  <c r="T15" i="24"/>
  <c r="W15" i="24" s="1"/>
  <c r="O15" i="24"/>
  <c r="V15" i="24" s="1"/>
  <c r="J15" i="24"/>
  <c r="U15" i="24" s="1"/>
  <c r="D15" i="24"/>
  <c r="C15" i="24"/>
  <c r="B15" i="24"/>
  <c r="A15" i="24" s="1"/>
  <c r="T14" i="24"/>
  <c r="O14" i="24"/>
  <c r="J14" i="24"/>
  <c r="D14" i="24"/>
  <c r="C14" i="24"/>
  <c r="B14" i="24"/>
  <c r="A14" i="24" s="1"/>
  <c r="T13" i="24"/>
  <c r="O13" i="24"/>
  <c r="J13" i="24"/>
  <c r="U13" i="24" s="1"/>
  <c r="C13" i="24"/>
  <c r="B13" i="24"/>
  <c r="A13" i="24" s="1"/>
  <c r="D12" i="24"/>
  <c r="C12" i="24"/>
  <c r="D10" i="24"/>
  <c r="C10" i="24"/>
  <c r="C8" i="24"/>
  <c r="D7" i="24"/>
  <c r="D5" i="24"/>
  <c r="T4" i="24"/>
  <c r="T5" i="24" s="1"/>
  <c r="O4" i="24"/>
  <c r="O5" i="24" s="1"/>
  <c r="J4" i="24"/>
  <c r="J5" i="24" s="1"/>
  <c r="W3" i="24"/>
  <c r="V3" i="24"/>
  <c r="U3" i="24"/>
  <c r="W2" i="24"/>
  <c r="V2" i="24"/>
  <c r="U2" i="24"/>
  <c r="BO1" i="24"/>
  <c r="AT1" i="24"/>
  <c r="Y1" i="24"/>
  <c r="C5" i="25" l="1"/>
  <c r="D5" i="25"/>
  <c r="T7" i="25"/>
  <c r="J6" i="25"/>
  <c r="U5" i="25"/>
  <c r="O6" i="25"/>
  <c r="V5" i="25"/>
  <c r="V4" i="25"/>
  <c r="D6" i="25"/>
  <c r="D14" i="25"/>
  <c r="B7" i="25"/>
  <c r="B8" i="25" s="1"/>
  <c r="A5" i="25"/>
  <c r="C7" i="25"/>
  <c r="C8" i="25" s="1"/>
  <c r="C9" i="25" s="1"/>
  <c r="D12" i="25"/>
  <c r="D7" i="25"/>
  <c r="C10" i="25"/>
  <c r="W5" i="25"/>
  <c r="D10" i="25"/>
  <c r="B6" i="25"/>
  <c r="A6" i="25" s="1"/>
  <c r="U4" i="25"/>
  <c r="W14" i="24"/>
  <c r="U14" i="24"/>
  <c r="V14" i="24"/>
  <c r="W13" i="24"/>
  <c r="V13" i="24"/>
  <c r="C11" i="24"/>
  <c r="U4" i="24"/>
  <c r="J6" i="24"/>
  <c r="U5" i="24"/>
  <c r="V5" i="24"/>
  <c r="O6" i="24"/>
  <c r="T6" i="24"/>
  <c r="W5" i="24"/>
  <c r="D8" i="24"/>
  <c r="C6" i="24"/>
  <c r="C7" i="24" s="1"/>
  <c r="V4" i="24"/>
  <c r="D6" i="24"/>
  <c r="C9" i="24"/>
  <c r="W4" i="24"/>
  <c r="D9" i="24"/>
  <c r="B5" i="24"/>
  <c r="A5" i="24" s="1"/>
  <c r="C5" i="24"/>
  <c r="D13" i="23"/>
  <c r="E12" i="23"/>
  <c r="E11" i="23"/>
  <c r="E10" i="23"/>
  <c r="E9" i="23"/>
  <c r="E8" i="23"/>
  <c r="E7" i="23"/>
  <c r="D7" i="23" s="1"/>
  <c r="E6" i="23"/>
  <c r="E5" i="23"/>
  <c r="T30" i="23"/>
  <c r="W30" i="23" s="1"/>
  <c r="O30" i="23"/>
  <c r="V30" i="23" s="1"/>
  <c r="J30" i="23"/>
  <c r="U30" i="23" s="1"/>
  <c r="D30" i="23"/>
  <c r="C30" i="23"/>
  <c r="B30" i="23"/>
  <c r="A30" i="23"/>
  <c r="T29" i="23"/>
  <c r="W29" i="23" s="1"/>
  <c r="O29" i="23"/>
  <c r="V29" i="23" s="1"/>
  <c r="J29" i="23"/>
  <c r="U29" i="23" s="1"/>
  <c r="D29" i="23"/>
  <c r="C29" i="23"/>
  <c r="B29" i="23"/>
  <c r="A29" i="23"/>
  <c r="T28" i="23"/>
  <c r="W28" i="23" s="1"/>
  <c r="O28" i="23"/>
  <c r="V28" i="23" s="1"/>
  <c r="J28" i="23"/>
  <c r="U28" i="23" s="1"/>
  <c r="D28" i="23"/>
  <c r="C28" i="23"/>
  <c r="B28" i="23"/>
  <c r="A28" i="23"/>
  <c r="T27" i="23"/>
  <c r="W27" i="23" s="1"/>
  <c r="O27" i="23"/>
  <c r="V27" i="23" s="1"/>
  <c r="J27" i="23"/>
  <c r="U27" i="23" s="1"/>
  <c r="D27" i="23"/>
  <c r="C27" i="23"/>
  <c r="B27" i="23"/>
  <c r="A27" i="23"/>
  <c r="T26" i="23"/>
  <c r="W26" i="23" s="1"/>
  <c r="O26" i="23"/>
  <c r="V26" i="23" s="1"/>
  <c r="J26" i="23"/>
  <c r="U26" i="23" s="1"/>
  <c r="D26" i="23"/>
  <c r="C26" i="23"/>
  <c r="B26" i="23"/>
  <c r="A26" i="23"/>
  <c r="T25" i="23"/>
  <c r="W25" i="23" s="1"/>
  <c r="O25" i="23"/>
  <c r="V25" i="23" s="1"/>
  <c r="J25" i="23"/>
  <c r="U25" i="23" s="1"/>
  <c r="D25" i="23"/>
  <c r="C25" i="23"/>
  <c r="B25" i="23"/>
  <c r="A25" i="23"/>
  <c r="T24" i="23"/>
  <c r="W24" i="23" s="1"/>
  <c r="O24" i="23"/>
  <c r="V24" i="23" s="1"/>
  <c r="J24" i="23"/>
  <c r="U24" i="23" s="1"/>
  <c r="D24" i="23"/>
  <c r="C24" i="23"/>
  <c r="B24" i="23"/>
  <c r="A24" i="23"/>
  <c r="T23" i="23"/>
  <c r="W23" i="23" s="1"/>
  <c r="O23" i="23"/>
  <c r="V23" i="23" s="1"/>
  <c r="J23" i="23"/>
  <c r="U23" i="23" s="1"/>
  <c r="D23" i="23"/>
  <c r="C23" i="23"/>
  <c r="B23" i="23"/>
  <c r="A23" i="23"/>
  <c r="T22" i="23"/>
  <c r="W22" i="23" s="1"/>
  <c r="O22" i="23"/>
  <c r="V22" i="23" s="1"/>
  <c r="J22" i="23"/>
  <c r="U22" i="23" s="1"/>
  <c r="D22" i="23"/>
  <c r="C22" i="23"/>
  <c r="B22" i="23"/>
  <c r="A22" i="23"/>
  <c r="T21" i="23"/>
  <c r="W21" i="23" s="1"/>
  <c r="O21" i="23"/>
  <c r="V21" i="23" s="1"/>
  <c r="J21" i="23"/>
  <c r="U21" i="23" s="1"/>
  <c r="D21" i="23"/>
  <c r="C21" i="23"/>
  <c r="B21" i="23"/>
  <c r="A21" i="23"/>
  <c r="T20" i="23"/>
  <c r="W20" i="23" s="1"/>
  <c r="O20" i="23"/>
  <c r="V20" i="23" s="1"/>
  <c r="J20" i="23"/>
  <c r="U20" i="23" s="1"/>
  <c r="D20" i="23"/>
  <c r="C20" i="23"/>
  <c r="B20" i="23"/>
  <c r="A20" i="23"/>
  <c r="T19" i="23"/>
  <c r="W19" i="23" s="1"/>
  <c r="O19" i="23"/>
  <c r="V19" i="23" s="1"/>
  <c r="J19" i="23"/>
  <c r="U19" i="23" s="1"/>
  <c r="D19" i="23"/>
  <c r="C19" i="23"/>
  <c r="B19" i="23"/>
  <c r="A19" i="23"/>
  <c r="T18" i="23"/>
  <c r="W18" i="23" s="1"/>
  <c r="O18" i="23"/>
  <c r="V18" i="23" s="1"/>
  <c r="J18" i="23"/>
  <c r="U18" i="23" s="1"/>
  <c r="D18" i="23"/>
  <c r="C18" i="23"/>
  <c r="B18" i="23"/>
  <c r="A18" i="23"/>
  <c r="T17" i="23"/>
  <c r="W17" i="23" s="1"/>
  <c r="O17" i="23"/>
  <c r="V17" i="23" s="1"/>
  <c r="J17" i="23"/>
  <c r="U17" i="23" s="1"/>
  <c r="D17" i="23"/>
  <c r="C17" i="23"/>
  <c r="B17" i="23"/>
  <c r="A17" i="23"/>
  <c r="D16" i="23"/>
  <c r="D15" i="23"/>
  <c r="D14" i="23"/>
  <c r="C11" i="23"/>
  <c r="D11" i="23"/>
  <c r="D10" i="23"/>
  <c r="C10" i="23"/>
  <c r="D8" i="23"/>
  <c r="T7" i="23"/>
  <c r="T8" i="23" s="1"/>
  <c r="T6" i="23"/>
  <c r="O6" i="23"/>
  <c r="O7" i="23" s="1"/>
  <c r="B6" i="23"/>
  <c r="D6" i="23"/>
  <c r="C6" i="23"/>
  <c r="T5" i="23"/>
  <c r="O5" i="23"/>
  <c r="J5" i="23"/>
  <c r="A5" i="23"/>
  <c r="D5" i="23"/>
  <c r="C5" i="23"/>
  <c r="B5" i="23"/>
  <c r="T4" i="23"/>
  <c r="O4" i="23"/>
  <c r="J4" i="23"/>
  <c r="W3" i="23"/>
  <c r="V3" i="23"/>
  <c r="U3" i="23"/>
  <c r="W2" i="23"/>
  <c r="V2" i="23"/>
  <c r="U2" i="23"/>
  <c r="BO1" i="23"/>
  <c r="AT1" i="23"/>
  <c r="Y1" i="23"/>
  <c r="E16" i="22"/>
  <c r="B16" i="22" s="1"/>
  <c r="E15" i="22"/>
  <c r="A15" i="22" s="1"/>
  <c r="E14" i="22"/>
  <c r="C14" i="22" s="1"/>
  <c r="E13" i="22"/>
  <c r="D13" i="22" s="1"/>
  <c r="E12" i="22"/>
  <c r="E11" i="22"/>
  <c r="B11" i="22" s="1"/>
  <c r="A11" i="22" s="1"/>
  <c r="E10" i="22"/>
  <c r="C10" i="22" s="1"/>
  <c r="E9" i="22"/>
  <c r="E8" i="22"/>
  <c r="E7" i="22"/>
  <c r="E6" i="22"/>
  <c r="E5" i="22"/>
  <c r="T30" i="22"/>
  <c r="W30" i="22" s="1"/>
  <c r="O30" i="22"/>
  <c r="V30" i="22" s="1"/>
  <c r="J30" i="22"/>
  <c r="U30" i="22" s="1"/>
  <c r="D30" i="22"/>
  <c r="C30" i="22"/>
  <c r="B30" i="22"/>
  <c r="A30" i="22"/>
  <c r="T29" i="22"/>
  <c r="W29" i="22" s="1"/>
  <c r="O29" i="22"/>
  <c r="V29" i="22" s="1"/>
  <c r="J29" i="22"/>
  <c r="U29" i="22" s="1"/>
  <c r="D29" i="22"/>
  <c r="C29" i="22"/>
  <c r="B29" i="22"/>
  <c r="A29" i="22"/>
  <c r="T28" i="22"/>
  <c r="W28" i="22" s="1"/>
  <c r="O28" i="22"/>
  <c r="V28" i="22" s="1"/>
  <c r="J28" i="22"/>
  <c r="U28" i="22" s="1"/>
  <c r="D28" i="22"/>
  <c r="C28" i="22"/>
  <c r="B28" i="22"/>
  <c r="A28" i="22"/>
  <c r="T27" i="22"/>
  <c r="W27" i="22" s="1"/>
  <c r="O27" i="22"/>
  <c r="V27" i="22" s="1"/>
  <c r="J27" i="22"/>
  <c r="U27" i="22" s="1"/>
  <c r="D27" i="22"/>
  <c r="C27" i="22"/>
  <c r="B27" i="22"/>
  <c r="A27" i="22"/>
  <c r="T26" i="22"/>
  <c r="W26" i="22" s="1"/>
  <c r="O26" i="22"/>
  <c r="V26" i="22" s="1"/>
  <c r="J26" i="22"/>
  <c r="U26" i="22" s="1"/>
  <c r="D26" i="22"/>
  <c r="C26" i="22"/>
  <c r="B26" i="22"/>
  <c r="A26" i="22"/>
  <c r="T25" i="22"/>
  <c r="W25" i="22" s="1"/>
  <c r="O25" i="22"/>
  <c r="V25" i="22" s="1"/>
  <c r="J25" i="22"/>
  <c r="U25" i="22" s="1"/>
  <c r="D25" i="22"/>
  <c r="C25" i="22"/>
  <c r="B25" i="22"/>
  <c r="A25" i="22"/>
  <c r="T24" i="22"/>
  <c r="W24" i="22" s="1"/>
  <c r="O24" i="22"/>
  <c r="V24" i="22" s="1"/>
  <c r="J24" i="22"/>
  <c r="U24" i="22" s="1"/>
  <c r="D24" i="22"/>
  <c r="C24" i="22"/>
  <c r="B24" i="22"/>
  <c r="A24" i="22"/>
  <c r="T23" i="22"/>
  <c r="W23" i="22" s="1"/>
  <c r="O23" i="22"/>
  <c r="V23" i="22" s="1"/>
  <c r="J23" i="22"/>
  <c r="U23" i="22" s="1"/>
  <c r="D23" i="22"/>
  <c r="C23" i="22"/>
  <c r="B23" i="22"/>
  <c r="A23" i="22"/>
  <c r="T22" i="22"/>
  <c r="W22" i="22" s="1"/>
  <c r="O22" i="22"/>
  <c r="V22" i="22" s="1"/>
  <c r="J22" i="22"/>
  <c r="U22" i="22" s="1"/>
  <c r="D22" i="22"/>
  <c r="C22" i="22"/>
  <c r="B22" i="22"/>
  <c r="A22" i="22"/>
  <c r="T21" i="22"/>
  <c r="W21" i="22" s="1"/>
  <c r="O21" i="22"/>
  <c r="V21" i="22" s="1"/>
  <c r="J21" i="22"/>
  <c r="U21" i="22" s="1"/>
  <c r="D21" i="22"/>
  <c r="C21" i="22"/>
  <c r="B21" i="22"/>
  <c r="A21" i="22"/>
  <c r="T20" i="22"/>
  <c r="W20" i="22" s="1"/>
  <c r="O20" i="22"/>
  <c r="V20" i="22" s="1"/>
  <c r="J20" i="22"/>
  <c r="U20" i="22" s="1"/>
  <c r="D20" i="22"/>
  <c r="C20" i="22"/>
  <c r="B20" i="22"/>
  <c r="A20" i="22"/>
  <c r="T19" i="22"/>
  <c r="W19" i="22" s="1"/>
  <c r="O19" i="22"/>
  <c r="V19" i="22" s="1"/>
  <c r="J19" i="22"/>
  <c r="U19" i="22" s="1"/>
  <c r="D19" i="22"/>
  <c r="C19" i="22"/>
  <c r="B19" i="22"/>
  <c r="A19" i="22"/>
  <c r="T18" i="22"/>
  <c r="W18" i="22" s="1"/>
  <c r="O18" i="22"/>
  <c r="V18" i="22" s="1"/>
  <c r="J18" i="22"/>
  <c r="U18" i="22" s="1"/>
  <c r="D18" i="22"/>
  <c r="C18" i="22"/>
  <c r="B18" i="22"/>
  <c r="A18" i="22"/>
  <c r="T17" i="22"/>
  <c r="W17" i="22" s="1"/>
  <c r="O17" i="22"/>
  <c r="V17" i="22" s="1"/>
  <c r="J17" i="22"/>
  <c r="U17" i="22" s="1"/>
  <c r="D17" i="22"/>
  <c r="C17" i="22"/>
  <c r="B17" i="22"/>
  <c r="A17" i="22"/>
  <c r="T16" i="22"/>
  <c r="O16" i="22"/>
  <c r="J16" i="22"/>
  <c r="D16" i="22"/>
  <c r="C16" i="22"/>
  <c r="T15" i="22"/>
  <c r="O15" i="22"/>
  <c r="V15" i="22" s="1"/>
  <c r="J15" i="22"/>
  <c r="C15" i="22"/>
  <c r="B15" i="22"/>
  <c r="T14" i="22"/>
  <c r="O14" i="22"/>
  <c r="J14" i="22"/>
  <c r="D14" i="22"/>
  <c r="T13" i="22"/>
  <c r="O13" i="22"/>
  <c r="J13" i="22"/>
  <c r="T12" i="22"/>
  <c r="O12" i="22"/>
  <c r="J12" i="22"/>
  <c r="U12" i="22" s="1"/>
  <c r="D12" i="22"/>
  <c r="C12" i="22"/>
  <c r="B12" i="22"/>
  <c r="A12" i="22"/>
  <c r="T11" i="22"/>
  <c r="O11" i="22"/>
  <c r="J11" i="22"/>
  <c r="C11" i="22"/>
  <c r="C9" i="22"/>
  <c r="D9" i="22"/>
  <c r="D8" i="22"/>
  <c r="D7" i="22"/>
  <c r="D6" i="22"/>
  <c r="B5" i="22"/>
  <c r="D5" i="22"/>
  <c r="C5" i="22"/>
  <c r="T4" i="22"/>
  <c r="O4" i="22"/>
  <c r="O5" i="22" s="1"/>
  <c r="J4" i="22"/>
  <c r="J5" i="22" s="1"/>
  <c r="W3" i="22"/>
  <c r="V3" i="22"/>
  <c r="U3" i="22"/>
  <c r="W2" i="22"/>
  <c r="V2" i="22"/>
  <c r="U2" i="22"/>
  <c r="BO1" i="22"/>
  <c r="AT1" i="22"/>
  <c r="Y1" i="22"/>
  <c r="E10" i="21"/>
  <c r="E9" i="21"/>
  <c r="E8" i="21"/>
  <c r="E7" i="21"/>
  <c r="E6" i="21"/>
  <c r="B6" i="21" s="1"/>
  <c r="E5" i="21"/>
  <c r="B5" i="21" s="1"/>
  <c r="A5" i="21" s="1"/>
  <c r="T30" i="21"/>
  <c r="W30" i="21" s="1"/>
  <c r="O30" i="21"/>
  <c r="V30" i="21" s="1"/>
  <c r="J30" i="21"/>
  <c r="U30" i="21" s="1"/>
  <c r="D30" i="21"/>
  <c r="C30" i="21"/>
  <c r="B30" i="21"/>
  <c r="A30" i="21"/>
  <c r="T29" i="21"/>
  <c r="W29" i="21" s="1"/>
  <c r="O29" i="21"/>
  <c r="V29" i="21" s="1"/>
  <c r="J29" i="21"/>
  <c r="U29" i="21" s="1"/>
  <c r="D29" i="21"/>
  <c r="C29" i="21"/>
  <c r="B29" i="21"/>
  <c r="A29" i="21"/>
  <c r="T28" i="21"/>
  <c r="W28" i="21" s="1"/>
  <c r="O28" i="21"/>
  <c r="V28" i="21" s="1"/>
  <c r="J28" i="21"/>
  <c r="U28" i="21" s="1"/>
  <c r="D28" i="21"/>
  <c r="C28" i="21"/>
  <c r="B28" i="21"/>
  <c r="A28" i="21"/>
  <c r="T27" i="21"/>
  <c r="W27" i="21" s="1"/>
  <c r="O27" i="21"/>
  <c r="V27" i="21" s="1"/>
  <c r="J27" i="21"/>
  <c r="U27" i="21" s="1"/>
  <c r="D27" i="21"/>
  <c r="C27" i="21"/>
  <c r="B27" i="21"/>
  <c r="A27" i="21"/>
  <c r="T26" i="21"/>
  <c r="W26" i="21" s="1"/>
  <c r="O26" i="21"/>
  <c r="V26" i="21" s="1"/>
  <c r="J26" i="21"/>
  <c r="U26" i="21" s="1"/>
  <c r="D26" i="21"/>
  <c r="C26" i="21"/>
  <c r="B26" i="21"/>
  <c r="A26" i="21"/>
  <c r="T25" i="21"/>
  <c r="W25" i="21" s="1"/>
  <c r="O25" i="21"/>
  <c r="V25" i="21" s="1"/>
  <c r="J25" i="21"/>
  <c r="U25" i="21" s="1"/>
  <c r="D25" i="21"/>
  <c r="C25" i="21"/>
  <c r="B25" i="21"/>
  <c r="A25" i="21"/>
  <c r="T24" i="21"/>
  <c r="W24" i="21" s="1"/>
  <c r="O24" i="21"/>
  <c r="V24" i="21" s="1"/>
  <c r="J24" i="21"/>
  <c r="U24" i="21" s="1"/>
  <c r="D24" i="21"/>
  <c r="C24" i="21"/>
  <c r="B24" i="21"/>
  <c r="A24" i="21"/>
  <c r="T23" i="21"/>
  <c r="W23" i="21" s="1"/>
  <c r="O23" i="21"/>
  <c r="V23" i="21" s="1"/>
  <c r="J23" i="21"/>
  <c r="U23" i="21" s="1"/>
  <c r="D23" i="21"/>
  <c r="C23" i="21"/>
  <c r="B23" i="21"/>
  <c r="A23" i="21"/>
  <c r="T22" i="21"/>
  <c r="W22" i="21" s="1"/>
  <c r="O22" i="21"/>
  <c r="V22" i="21" s="1"/>
  <c r="J22" i="21"/>
  <c r="U22" i="21" s="1"/>
  <c r="D22" i="21"/>
  <c r="C22" i="21"/>
  <c r="B22" i="21"/>
  <c r="A22" i="21"/>
  <c r="T21" i="21"/>
  <c r="W21" i="21" s="1"/>
  <c r="O21" i="21"/>
  <c r="V21" i="21" s="1"/>
  <c r="J21" i="21"/>
  <c r="U21" i="21" s="1"/>
  <c r="D21" i="21"/>
  <c r="C21" i="21"/>
  <c r="B21" i="21"/>
  <c r="A21" i="21"/>
  <c r="T20" i="21"/>
  <c r="W20" i="21" s="1"/>
  <c r="O20" i="21"/>
  <c r="V20" i="21" s="1"/>
  <c r="J20" i="21"/>
  <c r="U20" i="21" s="1"/>
  <c r="D20" i="21"/>
  <c r="C20" i="21"/>
  <c r="B20" i="21"/>
  <c r="A20" i="21"/>
  <c r="T19" i="21"/>
  <c r="W19" i="21" s="1"/>
  <c r="O19" i="21"/>
  <c r="V19" i="21" s="1"/>
  <c r="J19" i="21"/>
  <c r="U19" i="21" s="1"/>
  <c r="D19" i="21"/>
  <c r="C19" i="21"/>
  <c r="B19" i="21"/>
  <c r="A19" i="21"/>
  <c r="T18" i="21"/>
  <c r="W18" i="21" s="1"/>
  <c r="O18" i="21"/>
  <c r="V18" i="21" s="1"/>
  <c r="J18" i="21"/>
  <c r="U18" i="21" s="1"/>
  <c r="D18" i="21"/>
  <c r="C18" i="21"/>
  <c r="B18" i="21"/>
  <c r="A18" i="21"/>
  <c r="T17" i="21"/>
  <c r="W17" i="21" s="1"/>
  <c r="O17" i="21"/>
  <c r="V17" i="21" s="1"/>
  <c r="J17" i="21"/>
  <c r="U17" i="21" s="1"/>
  <c r="D17" i="21"/>
  <c r="C17" i="21"/>
  <c r="B17" i="21"/>
  <c r="A17" i="21"/>
  <c r="T16" i="21"/>
  <c r="W16" i="21" s="1"/>
  <c r="O16" i="21"/>
  <c r="V16" i="21" s="1"/>
  <c r="J16" i="21"/>
  <c r="U16" i="21" s="1"/>
  <c r="D16" i="21"/>
  <c r="C16" i="21"/>
  <c r="B16" i="21"/>
  <c r="A16" i="21"/>
  <c r="T15" i="21"/>
  <c r="W15" i="21" s="1"/>
  <c r="O15" i="21"/>
  <c r="V15" i="21" s="1"/>
  <c r="J15" i="21"/>
  <c r="U15" i="21" s="1"/>
  <c r="D15" i="21"/>
  <c r="C15" i="21"/>
  <c r="B15" i="21"/>
  <c r="A15" i="21"/>
  <c r="T14" i="21"/>
  <c r="W14" i="21" s="1"/>
  <c r="O14" i="21"/>
  <c r="V14" i="21" s="1"/>
  <c r="J14" i="21"/>
  <c r="U14" i="21" s="1"/>
  <c r="D14" i="21"/>
  <c r="C14" i="21"/>
  <c r="B14" i="21"/>
  <c r="A14" i="21"/>
  <c r="T13" i="21"/>
  <c r="W13" i="21" s="1"/>
  <c r="O13" i="21"/>
  <c r="V13" i="21" s="1"/>
  <c r="J13" i="21"/>
  <c r="U13" i="21" s="1"/>
  <c r="D13" i="21"/>
  <c r="C13" i="21"/>
  <c r="B13" i="21"/>
  <c r="A13" i="21"/>
  <c r="T12" i="21"/>
  <c r="W12" i="21" s="1"/>
  <c r="O12" i="21"/>
  <c r="V12" i="21" s="1"/>
  <c r="J12" i="21"/>
  <c r="U12" i="21" s="1"/>
  <c r="D12" i="21"/>
  <c r="C12" i="21"/>
  <c r="B12" i="21"/>
  <c r="A12" i="21"/>
  <c r="T11" i="21"/>
  <c r="W11" i="21" s="1"/>
  <c r="O11" i="21"/>
  <c r="V11" i="21" s="1"/>
  <c r="J11" i="21"/>
  <c r="U11" i="21" s="1"/>
  <c r="D11" i="21"/>
  <c r="C11" i="21"/>
  <c r="B11" i="21"/>
  <c r="A11" i="21" s="1"/>
  <c r="T10" i="21"/>
  <c r="O10" i="21"/>
  <c r="J10" i="21"/>
  <c r="D10" i="21"/>
  <c r="C10" i="21"/>
  <c r="B10" i="21"/>
  <c r="A10" i="21" s="1"/>
  <c r="T9" i="21"/>
  <c r="O9" i="21"/>
  <c r="J9" i="21"/>
  <c r="D9" i="21"/>
  <c r="C9" i="21"/>
  <c r="B9" i="21"/>
  <c r="A9" i="21" s="1"/>
  <c r="D8" i="21"/>
  <c r="T7" i="21"/>
  <c r="T8" i="21" s="1"/>
  <c r="C7" i="21"/>
  <c r="D7" i="21"/>
  <c r="T6" i="21"/>
  <c r="O6" i="21"/>
  <c r="O7" i="21" s="1"/>
  <c r="T5" i="21"/>
  <c r="O5" i="21"/>
  <c r="J5" i="21"/>
  <c r="T4" i="21"/>
  <c r="O4" i="21"/>
  <c r="J4" i="21"/>
  <c r="W3" i="21"/>
  <c r="V3" i="21"/>
  <c r="U3" i="21"/>
  <c r="W2" i="21"/>
  <c r="V2" i="21"/>
  <c r="U2" i="21"/>
  <c r="BO1" i="21"/>
  <c r="AT1" i="21"/>
  <c r="Y1" i="21"/>
  <c r="E8" i="20"/>
  <c r="E7" i="20"/>
  <c r="E6" i="20"/>
  <c r="E5" i="20"/>
  <c r="B5" i="20" s="1"/>
  <c r="A5" i="20" s="1"/>
  <c r="T30" i="20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T16" i="20"/>
  <c r="W16" i="20" s="1"/>
  <c r="O16" i="20"/>
  <c r="V16" i="20" s="1"/>
  <c r="J16" i="20"/>
  <c r="U16" i="20" s="1"/>
  <c r="D16" i="20"/>
  <c r="C16" i="20"/>
  <c r="B16" i="20"/>
  <c r="A16" i="20"/>
  <c r="T15" i="20"/>
  <c r="W15" i="20" s="1"/>
  <c r="O15" i="20"/>
  <c r="V15" i="20" s="1"/>
  <c r="J15" i="20"/>
  <c r="U15" i="20" s="1"/>
  <c r="D15" i="20"/>
  <c r="C15" i="20"/>
  <c r="B15" i="20"/>
  <c r="A15" i="20"/>
  <c r="T14" i="20"/>
  <c r="W14" i="20" s="1"/>
  <c r="O14" i="20"/>
  <c r="V14" i="20" s="1"/>
  <c r="J14" i="20"/>
  <c r="U14" i="20" s="1"/>
  <c r="D14" i="20"/>
  <c r="C14" i="20"/>
  <c r="B14" i="20"/>
  <c r="A14" i="20"/>
  <c r="D13" i="20"/>
  <c r="D12" i="20"/>
  <c r="C10" i="20"/>
  <c r="D10" i="20"/>
  <c r="D9" i="20"/>
  <c r="D7" i="20"/>
  <c r="D8" i="20" s="1"/>
  <c r="T6" i="20"/>
  <c r="T7" i="20" s="1"/>
  <c r="D6" i="20"/>
  <c r="T5" i="20"/>
  <c r="O5" i="20"/>
  <c r="O6" i="20" s="1"/>
  <c r="C5" i="20"/>
  <c r="T4" i="20"/>
  <c r="O4" i="20"/>
  <c r="J4" i="20"/>
  <c r="W3" i="20"/>
  <c r="V3" i="20"/>
  <c r="U3" i="20"/>
  <c r="W2" i="20"/>
  <c r="V2" i="20"/>
  <c r="U2" i="20"/>
  <c r="BO1" i="20"/>
  <c r="AT1" i="20"/>
  <c r="Y1" i="20"/>
  <c r="E13" i="19"/>
  <c r="E12" i="19"/>
  <c r="E11" i="19"/>
  <c r="E10" i="19"/>
  <c r="E9" i="19"/>
  <c r="E8" i="19"/>
  <c r="E7" i="19"/>
  <c r="E6" i="19"/>
  <c r="E5" i="19"/>
  <c r="B9" i="25" l="1"/>
  <c r="O7" i="25"/>
  <c r="V6" i="25"/>
  <c r="A7" i="25"/>
  <c r="J7" i="25"/>
  <c r="U6" i="25"/>
  <c r="W6" i="25"/>
  <c r="T8" i="25"/>
  <c r="A8" i="25"/>
  <c r="O7" i="24"/>
  <c r="V6" i="24"/>
  <c r="J7" i="24"/>
  <c r="U6" i="24"/>
  <c r="B6" i="24"/>
  <c r="A6" i="24" s="1"/>
  <c r="T7" i="24"/>
  <c r="W6" i="24"/>
  <c r="D9" i="23"/>
  <c r="V5" i="23"/>
  <c r="U4" i="23"/>
  <c r="V4" i="23"/>
  <c r="W5" i="23"/>
  <c r="O8" i="23"/>
  <c r="B7" i="23"/>
  <c r="A7" i="23" s="1"/>
  <c r="T9" i="23"/>
  <c r="C12" i="23"/>
  <c r="W4" i="23"/>
  <c r="U5" i="23"/>
  <c r="J6" i="23"/>
  <c r="V6" i="23" s="1"/>
  <c r="C7" i="23"/>
  <c r="D12" i="23"/>
  <c r="C13" i="23"/>
  <c r="C14" i="23" s="1"/>
  <c r="C15" i="23" s="1"/>
  <c r="C16" i="23" s="1"/>
  <c r="A6" i="23"/>
  <c r="C8" i="23"/>
  <c r="C9" i="23" s="1"/>
  <c r="W16" i="22"/>
  <c r="U16" i="22"/>
  <c r="V16" i="22"/>
  <c r="A16" i="22"/>
  <c r="U15" i="22"/>
  <c r="W15" i="22"/>
  <c r="D15" i="22"/>
  <c r="W14" i="22"/>
  <c r="U14" i="22"/>
  <c r="V14" i="22"/>
  <c r="B14" i="22"/>
  <c r="A14" i="22" s="1"/>
  <c r="W13" i="22"/>
  <c r="U13" i="22"/>
  <c r="V13" i="22"/>
  <c r="B13" i="22"/>
  <c r="A13" i="22" s="1"/>
  <c r="C13" i="22"/>
  <c r="W12" i="22"/>
  <c r="V12" i="22"/>
  <c r="U11" i="22"/>
  <c r="V11" i="22"/>
  <c r="W11" i="22"/>
  <c r="D11" i="22"/>
  <c r="D10" i="22"/>
  <c r="W4" i="22"/>
  <c r="J6" i="22"/>
  <c r="O6" i="22"/>
  <c r="U4" i="22"/>
  <c r="C6" i="22"/>
  <c r="V4" i="22"/>
  <c r="T5" i="22"/>
  <c r="U5" i="22" s="1"/>
  <c r="B6" i="22"/>
  <c r="A6" i="22" s="1"/>
  <c r="B7" i="22"/>
  <c r="B8" i="22" s="1"/>
  <c r="A5" i="22"/>
  <c r="C7" i="22"/>
  <c r="C8" i="22"/>
  <c r="U10" i="21"/>
  <c r="V10" i="21"/>
  <c r="W10" i="21"/>
  <c r="V9" i="21"/>
  <c r="W9" i="21"/>
  <c r="U9" i="21"/>
  <c r="D6" i="21"/>
  <c r="C6" i="21"/>
  <c r="C5" i="21"/>
  <c r="D5" i="21"/>
  <c r="V4" i="21"/>
  <c r="W4" i="21"/>
  <c r="W5" i="21"/>
  <c r="U4" i="21"/>
  <c r="O8" i="21"/>
  <c r="B7" i="21"/>
  <c r="A7" i="21" s="1"/>
  <c r="U5" i="21"/>
  <c r="J6" i="21"/>
  <c r="V6" i="21" s="1"/>
  <c r="V5" i="21"/>
  <c r="B8" i="21"/>
  <c r="A6" i="21"/>
  <c r="C8" i="21"/>
  <c r="D5" i="20"/>
  <c r="V4" i="20"/>
  <c r="W4" i="20"/>
  <c r="O7" i="20"/>
  <c r="B6" i="20"/>
  <c r="T8" i="20"/>
  <c r="A6" i="20"/>
  <c r="C11" i="20"/>
  <c r="U4" i="20"/>
  <c r="J5" i="20"/>
  <c r="C6" i="20"/>
  <c r="D11" i="20"/>
  <c r="C12" i="20"/>
  <c r="C13" i="20" s="1"/>
  <c r="C7" i="20"/>
  <c r="C8" i="20" s="1"/>
  <c r="C9" i="20" s="1"/>
  <c r="V5" i="20"/>
  <c r="W3" i="19"/>
  <c r="V3" i="19"/>
  <c r="U3" i="19"/>
  <c r="O8" i="25" l="1"/>
  <c r="V7" i="25"/>
  <c r="W7" i="25"/>
  <c r="B10" i="25"/>
  <c r="T9" i="25"/>
  <c r="A9" i="25"/>
  <c r="J8" i="25"/>
  <c r="W8" i="25" s="1"/>
  <c r="U7" i="25"/>
  <c r="W7" i="24"/>
  <c r="T8" i="24"/>
  <c r="J8" i="24"/>
  <c r="U7" i="24"/>
  <c r="B7" i="24"/>
  <c r="O8" i="24"/>
  <c r="V7" i="24"/>
  <c r="W6" i="23"/>
  <c r="J7" i="23"/>
  <c r="U6" i="23"/>
  <c r="T10" i="23"/>
  <c r="B8" i="23"/>
  <c r="O9" i="23"/>
  <c r="V5" i="22"/>
  <c r="B9" i="22"/>
  <c r="W5" i="22"/>
  <c r="T6" i="22"/>
  <c r="O7" i="22"/>
  <c r="V6" i="22"/>
  <c r="A7" i="22"/>
  <c r="A8" i="22" s="1"/>
  <c r="U6" i="22"/>
  <c r="J7" i="22"/>
  <c r="A8" i="21"/>
  <c r="J7" i="21"/>
  <c r="U6" i="21"/>
  <c r="W6" i="21"/>
  <c r="O8" i="20"/>
  <c r="W5" i="20"/>
  <c r="J6" i="20"/>
  <c r="U5" i="20"/>
  <c r="T9" i="20"/>
  <c r="B7" i="20"/>
  <c r="T30" i="19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O13" i="19"/>
  <c r="J13" i="19"/>
  <c r="D13" i="19"/>
  <c r="C13" i="19"/>
  <c r="B13" i="19"/>
  <c r="A13" i="19"/>
  <c r="T12" i="19"/>
  <c r="O12" i="19"/>
  <c r="J12" i="19"/>
  <c r="D12" i="19"/>
  <c r="C12" i="19"/>
  <c r="B12" i="19"/>
  <c r="A12" i="19"/>
  <c r="T11" i="19"/>
  <c r="O11" i="19"/>
  <c r="J11" i="19"/>
  <c r="D11" i="19"/>
  <c r="C11" i="19"/>
  <c r="B11" i="19"/>
  <c r="A11" i="19" s="1"/>
  <c r="T10" i="19"/>
  <c r="O10" i="19"/>
  <c r="J10" i="19"/>
  <c r="U10" i="19" s="1"/>
  <c r="D10" i="19"/>
  <c r="C10" i="19"/>
  <c r="B10" i="19"/>
  <c r="A10" i="19" s="1"/>
  <c r="T9" i="19"/>
  <c r="O9" i="19"/>
  <c r="J9" i="19"/>
  <c r="D9" i="19"/>
  <c r="C9" i="19"/>
  <c r="B9" i="19"/>
  <c r="A9" i="19" s="1"/>
  <c r="T8" i="19"/>
  <c r="W8" i="19" s="1"/>
  <c r="O8" i="19"/>
  <c r="J8" i="19"/>
  <c r="D8" i="19"/>
  <c r="C8" i="19"/>
  <c r="B8" i="19"/>
  <c r="A8" i="19" s="1"/>
  <c r="T7" i="19"/>
  <c r="O7" i="19"/>
  <c r="J7" i="19"/>
  <c r="D7" i="19"/>
  <c r="C7" i="19"/>
  <c r="B7" i="19"/>
  <c r="A7" i="19" s="1"/>
  <c r="T6" i="19"/>
  <c r="O6" i="19"/>
  <c r="J6" i="19"/>
  <c r="U6" i="19" s="1"/>
  <c r="B6" i="19"/>
  <c r="A6" i="19" s="1"/>
  <c r="D5" i="19"/>
  <c r="D6" i="19" s="1"/>
  <c r="C5" i="19"/>
  <c r="B5" i="19"/>
  <c r="A5" i="19" s="1"/>
  <c r="T4" i="19"/>
  <c r="O4" i="19"/>
  <c r="J4" i="19"/>
  <c r="W2" i="19"/>
  <c r="V2" i="19"/>
  <c r="U2" i="19"/>
  <c r="BO1" i="19"/>
  <c r="AT1" i="19"/>
  <c r="Y1" i="19"/>
  <c r="B11" i="25" l="1"/>
  <c r="T10" i="25"/>
  <c r="A10" i="25"/>
  <c r="J9" i="25"/>
  <c r="W9" i="25" s="1"/>
  <c r="U8" i="25"/>
  <c r="O9" i="25"/>
  <c r="V8" i="25"/>
  <c r="T9" i="24"/>
  <c r="W8" i="24"/>
  <c r="O9" i="24"/>
  <c r="V8" i="24"/>
  <c r="B8" i="24"/>
  <c r="A7" i="24"/>
  <c r="J9" i="24"/>
  <c r="U8" i="24"/>
  <c r="J8" i="23"/>
  <c r="U7" i="23"/>
  <c r="V7" i="23"/>
  <c r="W7" i="23"/>
  <c r="O10" i="23"/>
  <c r="B9" i="23"/>
  <c r="T11" i="23"/>
  <c r="A8" i="23"/>
  <c r="O8" i="22"/>
  <c r="T7" i="22"/>
  <c r="U7" i="22" s="1"/>
  <c r="W6" i="22"/>
  <c r="B10" i="22"/>
  <c r="A10" i="22" s="1"/>
  <c r="J8" i="22"/>
  <c r="A9" i="22"/>
  <c r="J8" i="21"/>
  <c r="U7" i="21"/>
  <c r="V7" i="21"/>
  <c r="W7" i="21"/>
  <c r="O9" i="20"/>
  <c r="B8" i="20"/>
  <c r="A8" i="20" s="1"/>
  <c r="A7" i="20"/>
  <c r="T10" i="20"/>
  <c r="J7" i="20"/>
  <c r="U6" i="20"/>
  <c r="W6" i="20"/>
  <c r="V6" i="20"/>
  <c r="V13" i="19"/>
  <c r="W13" i="19"/>
  <c r="U13" i="19"/>
  <c r="U12" i="19"/>
  <c r="W12" i="19"/>
  <c r="V12" i="19"/>
  <c r="U11" i="19"/>
  <c r="W11" i="19"/>
  <c r="V11" i="19"/>
  <c r="W10" i="19"/>
  <c r="V10" i="19"/>
  <c r="W9" i="19"/>
  <c r="U9" i="19"/>
  <c r="V9" i="19"/>
  <c r="U8" i="19"/>
  <c r="V8" i="19"/>
  <c r="V7" i="19"/>
  <c r="U7" i="19"/>
  <c r="W7" i="19"/>
  <c r="C6" i="19"/>
  <c r="W4" i="19"/>
  <c r="V6" i="19"/>
  <c r="W6" i="19"/>
  <c r="U4" i="19"/>
  <c r="V4" i="19"/>
  <c r="T5" i="19"/>
  <c r="J5" i="19"/>
  <c r="O5" i="19"/>
  <c r="T11" i="25" l="1"/>
  <c r="O10" i="25"/>
  <c r="V9" i="25"/>
  <c r="B12" i="25"/>
  <c r="J10" i="25"/>
  <c r="U9" i="25"/>
  <c r="A11" i="25"/>
  <c r="A8" i="24"/>
  <c r="B9" i="24"/>
  <c r="A9" i="24" s="1"/>
  <c r="V9" i="24"/>
  <c r="O10" i="24"/>
  <c r="J10" i="24"/>
  <c r="U9" i="24"/>
  <c r="T10" i="24"/>
  <c r="W9" i="24"/>
  <c r="J9" i="23"/>
  <c r="U8" i="23"/>
  <c r="W8" i="23"/>
  <c r="V8" i="23"/>
  <c r="B10" i="23"/>
  <c r="T12" i="23"/>
  <c r="A9" i="23"/>
  <c r="O11" i="23"/>
  <c r="J9" i="22"/>
  <c r="T8" i="22"/>
  <c r="W7" i="22"/>
  <c r="V7" i="22"/>
  <c r="O9" i="22"/>
  <c r="V8" i="22"/>
  <c r="U8" i="21"/>
  <c r="W8" i="21"/>
  <c r="V8" i="21"/>
  <c r="O10" i="20"/>
  <c r="U7" i="20"/>
  <c r="J8" i="20"/>
  <c r="W7" i="20"/>
  <c r="V7" i="20"/>
  <c r="T11" i="20"/>
  <c r="B9" i="20"/>
  <c r="A9" i="20" s="1"/>
  <c r="V5" i="19"/>
  <c r="U5" i="19"/>
  <c r="W5" i="19"/>
  <c r="J11" i="25" l="1"/>
  <c r="U10" i="25"/>
  <c r="B13" i="25"/>
  <c r="O11" i="25"/>
  <c r="V10" i="25"/>
  <c r="A12" i="25"/>
  <c r="W10" i="25"/>
  <c r="T12" i="25"/>
  <c r="W11" i="25"/>
  <c r="T11" i="24"/>
  <c r="W10" i="24"/>
  <c r="J11" i="24"/>
  <c r="U10" i="24"/>
  <c r="O11" i="24"/>
  <c r="V10" i="24"/>
  <c r="B10" i="24"/>
  <c r="A10" i="24" s="1"/>
  <c r="A10" i="23"/>
  <c r="J10" i="23"/>
  <c r="U9" i="23"/>
  <c r="W9" i="23"/>
  <c r="V9" i="23"/>
  <c r="O12" i="23"/>
  <c r="T13" i="23"/>
  <c r="B11" i="23"/>
  <c r="A11" i="23" s="1"/>
  <c r="W8" i="22"/>
  <c r="T9" i="22"/>
  <c r="O10" i="22"/>
  <c r="V9" i="22"/>
  <c r="U8" i="22"/>
  <c r="J10" i="22"/>
  <c r="U9" i="22"/>
  <c r="B10" i="20"/>
  <c r="O11" i="20"/>
  <c r="T12" i="20"/>
  <c r="J9" i="20"/>
  <c r="U8" i="20"/>
  <c r="W8" i="20"/>
  <c r="V8" i="20"/>
  <c r="B14" i="25" l="1"/>
  <c r="T13" i="25"/>
  <c r="J12" i="25"/>
  <c r="U11" i="25"/>
  <c r="O12" i="25"/>
  <c r="V11" i="25"/>
  <c r="A13" i="25"/>
  <c r="A14" i="25" s="1"/>
  <c r="T12" i="24"/>
  <c r="W12" i="24" s="1"/>
  <c r="W11" i="24"/>
  <c r="B11" i="24"/>
  <c r="A11" i="24" s="1"/>
  <c r="O12" i="24"/>
  <c r="V11" i="24"/>
  <c r="J12" i="24"/>
  <c r="U11" i="24"/>
  <c r="U10" i="23"/>
  <c r="J11" i="23"/>
  <c r="W10" i="23"/>
  <c r="V10" i="23"/>
  <c r="B12" i="23"/>
  <c r="T14" i="23"/>
  <c r="O13" i="23"/>
  <c r="T10" i="22"/>
  <c r="W9" i="22"/>
  <c r="B11" i="20"/>
  <c r="A10" i="20"/>
  <c r="U9" i="20"/>
  <c r="J10" i="20"/>
  <c r="W9" i="20"/>
  <c r="V9" i="20"/>
  <c r="T13" i="20"/>
  <c r="O12" i="20"/>
  <c r="O13" i="25" l="1"/>
  <c r="V12" i="25"/>
  <c r="J13" i="25"/>
  <c r="U12" i="25"/>
  <c r="W12" i="25"/>
  <c r="T14" i="25"/>
  <c r="U12" i="24"/>
  <c r="V12" i="24"/>
  <c r="B12" i="24"/>
  <c r="A12" i="24" s="1"/>
  <c r="U11" i="23"/>
  <c r="J12" i="23"/>
  <c r="W11" i="23"/>
  <c r="V11" i="23"/>
  <c r="O14" i="23"/>
  <c r="T15" i="23"/>
  <c r="B13" i="23"/>
  <c r="A12" i="23"/>
  <c r="W10" i="22"/>
  <c r="V10" i="22"/>
  <c r="U10" i="22"/>
  <c r="A11" i="20"/>
  <c r="O13" i="20"/>
  <c r="B12" i="20"/>
  <c r="J11" i="20"/>
  <c r="U10" i="20"/>
  <c r="W10" i="20"/>
  <c r="V10" i="20"/>
  <c r="O14" i="25" l="1"/>
  <c r="V13" i="25"/>
  <c r="W13" i="25"/>
  <c r="J14" i="25"/>
  <c r="U14" i="25" s="1"/>
  <c r="U13" i="25"/>
  <c r="B14" i="23"/>
  <c r="J13" i="23"/>
  <c r="U12" i="23"/>
  <c r="W12" i="23"/>
  <c r="V12" i="23"/>
  <c r="A13" i="23"/>
  <c r="T16" i="23"/>
  <c r="O15" i="23"/>
  <c r="B13" i="20"/>
  <c r="A13" i="20" s="1"/>
  <c r="J12" i="20"/>
  <c r="U11" i="20"/>
  <c r="W11" i="20"/>
  <c r="V11" i="20"/>
  <c r="A12" i="20"/>
  <c r="W14" i="25" l="1"/>
  <c r="V14" i="25"/>
  <c r="A14" i="23"/>
  <c r="J14" i="23"/>
  <c r="U13" i="23"/>
  <c r="W13" i="23"/>
  <c r="V13" i="23"/>
  <c r="B15" i="23"/>
  <c r="A15" i="23"/>
  <c r="O16" i="23"/>
  <c r="J13" i="20"/>
  <c r="U12" i="20"/>
  <c r="W12" i="20"/>
  <c r="V12" i="20"/>
  <c r="J15" i="23" l="1"/>
  <c r="U14" i="23"/>
  <c r="W14" i="23"/>
  <c r="V14" i="23"/>
  <c r="B16" i="23"/>
  <c r="A16" i="23" s="1"/>
  <c r="U13" i="20"/>
  <c r="W13" i="20"/>
  <c r="V13" i="20"/>
  <c r="J16" i="23" l="1"/>
  <c r="U15" i="23"/>
  <c r="W15" i="23"/>
  <c r="V15" i="23"/>
  <c r="U16" i="23" l="1"/>
  <c r="W16" i="23"/>
  <c r="V16" i="23"/>
</calcChain>
</file>

<file path=xl/sharedStrings.xml><?xml version="1.0" encoding="utf-8"?>
<sst xmlns="http://schemas.openxmlformats.org/spreadsheetml/2006/main" count="1184" uniqueCount="208">
  <si>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</si>
  <si>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</si>
  <si>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</si>
  <si>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</si>
  <si>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</si>
  <si>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</si>
  <si>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</si>
  <si>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</si>
  <si>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</si>
  <si>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</si>
  <si>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</si>
  <si>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</si>
  <si>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</si>
  <si>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</si>
  <si>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</si>
  <si>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</si>
  <si>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</si>
  <si>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</si>
  <si>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</si>
  <si>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</si>
  <si>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</si>
  <si>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</si>
  <si>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</si>
  <si>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</si>
  <si>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</si>
  <si>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</si>
  <si>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</si>
  <si>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</si>
  <si>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</si>
  <si>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</si>
  <si>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</si>
  <si>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</si>
  <si>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</si>
  <si>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</si>
  <si>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</si>
  <si>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</si>
  <si>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</si>
  <si>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</si>
  <si>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</si>
  <si>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</si>
  <si>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</si>
  <si>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</si>
  <si>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</si>
  <si>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</si>
  <si>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</si>
  <si>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</si>
  <si>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</si>
  <si>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</si>
  <si>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</si>
  <si>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</si>
  <si>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</si>
  <si>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</si>
  <si>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</si>
  <si>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</si>
  <si>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</si>
  <si>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</si>
  <si>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</si>
  <si>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</si>
  <si>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</si>
  <si>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</si>
  <si>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</si>
  <si>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</si>
  <si>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</si>
  <si>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</si>
  <si>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</si>
  <si>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</si>
  <si>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</si>
  <si>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</si>
  <si>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</si>
  <si>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</si>
  <si>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</si>
  <si>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</si>
  <si>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</si>
  <si>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</si>
  <si>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</si>
  <si>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</si>
  <si>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</si>
  <si>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</si>
  <si>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</si>
  <si>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</si>
  <si>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</si>
  <si>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</si>
  <si>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</si>
  <si>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</si>
  <si>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</si>
  <si>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</si>
  <si>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</si>
  <si>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</si>
  <si>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</si>
  <si>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</si>
  <si>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</si>
  <si>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</si>
  <si>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</si>
  <si>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</si>
  <si>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</si>
  <si>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</si>
  <si>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</si>
  <si>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</si>
  <si>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</si>
  <si>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</si>
  <si>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</si>
  <si>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</si>
  <si>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</si>
  <si>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</si>
  <si>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</si>
  <si>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</si>
  <si>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</si>
  <si>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</si>
  <si>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</si>
  <si>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</si>
  <si>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</si>
  <si>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</si>
  <si>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</si>
  <si>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</si>
  <si>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</si>
  <si>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</si>
  <si>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</si>
  <si>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</si>
  <si>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</si>
  <si>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</si>
  <si>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</si>
  <si>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</si>
  <si>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</si>
  <si>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</si>
  <si>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</si>
  <si>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</si>
  <si>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</si>
  <si>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</si>
  <si>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</si>
  <si>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</si>
  <si>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</si>
  <si>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</si>
  <si>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</si>
  <si>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</si>
  <si>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</si>
  <si>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</si>
  <si>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</si>
  <si>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</si>
  <si>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</si>
  <si>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</si>
  <si>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</si>
  <si>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</si>
  <si>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</si>
  <si>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</si>
  <si>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</si>
  <si>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</si>
  <si>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</si>
  <si>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</si>
  <si>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</si>
  <si>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</si>
  <si>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</si>
  <si>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</si>
  <si>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</si>
  <si>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</si>
  <si>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</si>
  <si>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</si>
  <si>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</si>
  <si>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</si>
  <si>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</si>
  <si>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</si>
  <si>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</si>
  <si>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</si>
  <si>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</si>
  <si>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</si>
  <si>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</si>
  <si>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</si>
  <si>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</si>
  <si>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</si>
  <si>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</si>
  <si>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</si>
  <si>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</si>
  <si>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</si>
  <si>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</si>
  <si>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</si>
  <si>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</si>
  <si>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</si>
  <si>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</si>
  <si>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</si>
  <si>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</si>
  <si>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</si>
  <si>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</si>
  <si>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</si>
  <si>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</si>
  <si>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</si>
  <si>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</si>
  <si>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</si>
  <si>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</si>
  <si>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</si>
  <si>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</si>
  <si>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</si>
  <si>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</si>
  <si>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_</t>
    <phoneticPr fontId="1"/>
  </si>
  <si>
    <t>だいち</t>
    <phoneticPr fontId="1"/>
  </si>
  <si>
    <t>ただ</t>
    <phoneticPr fontId="1"/>
  </si>
  <si>
    <t>ぱぱ</t>
  </si>
  <si>
    <t>ぱぱ</t>
    <phoneticPr fontId="1"/>
  </si>
  <si>
    <t>ツモ支払</t>
  </si>
  <si>
    <t>ツモ</t>
  </si>
  <si>
    <t>*</t>
  </si>
  <si>
    <t>52</t>
  </si>
  <si>
    <t>ロン</t>
  </si>
  <si>
    <t>放銃</t>
  </si>
  <si>
    <t>01</t>
  </si>
  <si>
    <t>02</t>
  </si>
  <si>
    <t>N</t>
  </si>
  <si>
    <t>T</t>
  </si>
  <si>
    <t>流局</t>
    <phoneticPr fontId="1"/>
  </si>
  <si>
    <t>流局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</si>
</sst>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3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</cellXfs>
  <cellStyles count="1">
    <cellStyle name="標準" xfId="0" builtinId="0"/>
  </cellStyles>
  <dxfs count="3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192</v>
      </c>
      <c r="G1" s="73"/>
      <c r="H1" s="73"/>
      <c r="I1" s="74"/>
      <c r="J1" s="75"/>
      <c r="K1" s="72" t="s">
        <v>193</v>
      </c>
      <c r="L1" s="73"/>
      <c r="M1" s="73"/>
      <c r="N1" s="74"/>
      <c r="O1" s="75"/>
      <c r="P1" s="72" t="s">
        <v>195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だいち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ただ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ぱぱ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だいち</v>
      </c>
      <c r="V2" s="64" t="str">
        <f>$K$1</f>
        <v>ただ</v>
      </c>
      <c r="W2" s="16" t="str">
        <f>$P$1</f>
        <v>ぱぱ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194</v>
      </c>
      <c r="F4" s="8" t="s">
        <v>196</v>
      </c>
      <c r="G4" s="9">
        <v>-18000</v>
      </c>
      <c r="H4" s="9"/>
      <c r="I4" s="48">
        <v>0</v>
      </c>
      <c r="J4" s="21">
        <f>IF(COUNTA($F4,$K4,$P4)&gt;0,J3+SUM(G4:I4),"")</f>
        <v>17000</v>
      </c>
      <c r="K4" s="8" t="s">
        <v>196</v>
      </c>
      <c r="L4" s="9">
        <v>-18000</v>
      </c>
      <c r="M4" s="9"/>
      <c r="N4" s="48">
        <v>0</v>
      </c>
      <c r="O4" s="21">
        <f>IF(COUNTA($F4,$K4,$P4)&gt;0,O3+SUM(L4:N4),"")</f>
        <v>17000</v>
      </c>
      <c r="P4" s="8" t="s">
        <v>197</v>
      </c>
      <c r="Q4" s="9">
        <v>36000</v>
      </c>
      <c r="R4" s="9"/>
      <c r="S4" s="48">
        <v>0</v>
      </c>
      <c r="T4" s="21">
        <f>IF(COUNTA($F4,$K4,$P4)&gt;0,T3+SUM(Q4:S4),"")</f>
        <v>71000</v>
      </c>
      <c r="U4" s="53">
        <f>IF($J4="","",ROUND(($J4-$J$3)/1000,1)+(_xlfn.RANK.AVG($J4,($J4,$O4,$T4),1)-2)*20)</f>
        <v>-28</v>
      </c>
      <c r="V4" s="54">
        <f>IF($O4="","",ROUND(($O4-$O$3)/1000,1)+(_xlfn.RANK.AVG($O4,($J4,$O4,$T4),1)-2)*20)</f>
        <v>-28</v>
      </c>
      <c r="W4" s="55">
        <f>IF($T4="","",ROUND(($T4-$T$3)/1000,1)+(_xlfn.RANK.AVG($T4,($J4,$O4,$T4),1)-2)*20)</f>
        <v>56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>
        <v>1</v>
      </c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>
        <v>11</v>
      </c>
      <c r="BT4" s="30" t="s">
        <v>198</v>
      </c>
      <c r="BU4" s="40" t="s">
        <v>82</v>
      </c>
      <c r="BV4" s="41" t="s">
        <v>106</v>
      </c>
      <c r="BW4" s="41" t="s">
        <v>102</v>
      </c>
      <c r="BX4" s="41" t="s">
        <v>199</v>
      </c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tr">
        <f>IF($P$1="","",$P$1)</f>
        <v>ぱぱ</v>
      </c>
      <c r="F5" s="8" t="s">
        <v>200</v>
      </c>
      <c r="G5" s="9">
        <v>2600</v>
      </c>
      <c r="H5" s="9"/>
      <c r="I5" s="48">
        <v>1000</v>
      </c>
      <c r="J5" s="21">
        <f t="shared" ref="J5:J30" si="2">IF(COUNTA($F5,$K5,$P5)&gt;0,J4+SUM(G5:I5),"")</f>
        <v>20600</v>
      </c>
      <c r="K5" s="8" t="s">
        <v>201</v>
      </c>
      <c r="L5" s="9">
        <v>-2600</v>
      </c>
      <c r="M5" s="9"/>
      <c r="N5" s="48">
        <v>-1000</v>
      </c>
      <c r="O5" s="21">
        <f t="shared" ref="O5:O30" si="3">IF(COUNTA($F5,$K5,$P5)&gt;0,O4+SUM(L5:N5),"")</f>
        <v>13400</v>
      </c>
      <c r="P5" s="8"/>
      <c r="Q5" s="9"/>
      <c r="R5" s="9"/>
      <c r="S5" s="48"/>
      <c r="T5" s="21">
        <f t="shared" ref="T5:T30" si="4">IF(COUNTA($F5,$K5,$P5)&gt;0,T4+SUM(Q5:S5),"")</f>
        <v>71000</v>
      </c>
      <c r="U5" s="53">
        <f>IF($J5="","",ROUND(($J5-$J$3)/1000,1)+(_xlfn.RANK.AVG($J5,($J5,$O5,$T5),1)-2)*20)</f>
        <v>-14.4</v>
      </c>
      <c r="V5" s="54">
        <f>IF($O5="","",ROUND(($O5-$O$3)/1000,1)+(_xlfn.RANK.AVG($O5,($J5,$O5,$T5),1)-2)*20)</f>
        <v>-41.6</v>
      </c>
      <c r="W5" s="55">
        <f>IF($T5="","",ROUND(($T5-$T$3)/1000,1)+(_xlfn.RANK.AVG($T5,($J5,$O5,$T5),1)-2)*20)</f>
        <v>56</v>
      </c>
      <c r="Y5" s="8"/>
      <c r="Z5" s="34"/>
      <c r="AA5" s="26"/>
      <c r="AB5" s="26">
        <v>1</v>
      </c>
      <c r="AC5" s="26">
        <v>2</v>
      </c>
      <c r="AD5" s="30">
        <v>40</v>
      </c>
      <c r="AE5" s="40" t="s">
        <v>86</v>
      </c>
      <c r="AF5" s="41" t="s">
        <v>86</v>
      </c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>
        <v>1</v>
      </c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tr">
        <f>IF($F$1="","",$F$1)</f>
        <v>だいち</v>
      </c>
      <c r="F6" s="8" t="s">
        <v>200</v>
      </c>
      <c r="G6" s="9">
        <v>3900</v>
      </c>
      <c r="H6" s="9"/>
      <c r="I6" s="48">
        <v>0</v>
      </c>
      <c r="J6" s="21">
        <f t="shared" si="2"/>
        <v>24500</v>
      </c>
      <c r="K6" s="8" t="s">
        <v>201</v>
      </c>
      <c r="L6" s="9">
        <v>-3900</v>
      </c>
      <c r="M6" s="9"/>
      <c r="N6" s="48">
        <v>0</v>
      </c>
      <c r="O6" s="21">
        <f t="shared" si="3"/>
        <v>9500</v>
      </c>
      <c r="P6" s="8"/>
      <c r="Q6" s="9"/>
      <c r="R6" s="9"/>
      <c r="S6" s="48"/>
      <c r="T6" s="21">
        <f t="shared" si="4"/>
        <v>71000</v>
      </c>
      <c r="U6" s="53">
        <f>IF($J6="","",ROUND(($J6-$J$3)/1000,1)+(_xlfn.RANK.AVG($J6,($J6,$O6,$T6),1)-2)*20)</f>
        <v>-10.5</v>
      </c>
      <c r="V6" s="54">
        <f>IF($O6="","",ROUND(($O6-$O$3)/1000,1)+(_xlfn.RANK.AVG($O6,($J6,$O6,$T6),1)-2)*20)</f>
        <v>-45.5</v>
      </c>
      <c r="W6" s="55">
        <f>IF($T6="","",ROUND(($T6-$T$3)/1000,1)+(_xlfn.RANK.AVG($T6,($J6,$O6,$T6),1)-2)*20)</f>
        <v>56</v>
      </c>
      <c r="Y6" s="8"/>
      <c r="Z6" s="34"/>
      <c r="AA6" s="26">
        <v>1</v>
      </c>
      <c r="AB6" s="26"/>
      <c r="AC6" s="26">
        <v>2</v>
      </c>
      <c r="AD6" s="30">
        <v>40</v>
      </c>
      <c r="AE6" s="40" t="s">
        <v>202</v>
      </c>
      <c r="AF6" s="41" t="s">
        <v>203</v>
      </c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2</v>
      </c>
      <c r="C7" s="18">
        <f t="shared" si="6"/>
        <v>1</v>
      </c>
      <c r="D7" s="18">
        <f t="shared" si="1"/>
        <v>0</v>
      </c>
      <c r="E7" s="4" t="str">
        <f>IF($F$1="","",$F$1)</f>
        <v>だいち</v>
      </c>
      <c r="F7" s="8" t="s">
        <v>206</v>
      </c>
      <c r="G7" s="9">
        <v>-1500</v>
      </c>
      <c r="H7" s="9"/>
      <c r="I7" s="48"/>
      <c r="J7" s="21">
        <f t="shared" si="2"/>
        <v>23000</v>
      </c>
      <c r="K7" s="8" t="s">
        <v>206</v>
      </c>
      <c r="L7" s="9">
        <v>3000</v>
      </c>
      <c r="M7" s="9"/>
      <c r="N7" s="48"/>
      <c r="O7" s="21">
        <f t="shared" si="3"/>
        <v>12500</v>
      </c>
      <c r="P7" s="8" t="s">
        <v>206</v>
      </c>
      <c r="Q7" s="9">
        <v>-1500</v>
      </c>
      <c r="R7" s="9"/>
      <c r="S7" s="48"/>
      <c r="T7" s="21">
        <f t="shared" si="4"/>
        <v>69500</v>
      </c>
      <c r="U7" s="53">
        <f>IF($J7="","",ROUND(($J7-$J$3)/1000,1)+(_xlfn.RANK.AVG($J7,($J7,$O7,$T7),1)-2)*20)</f>
        <v>-12</v>
      </c>
      <c r="V7" s="54">
        <f>IF($O7="","",ROUND(($O7-$O$3)/1000,1)+(_xlfn.RANK.AVG($O7,($J7,$O7,$T7),1)-2)*20)</f>
        <v>-42.5</v>
      </c>
      <c r="W7" s="55">
        <f>IF($T7="","",ROUND(($T7-$T$3)/1000,1)+(_xlfn.RANK.AVG($T7,($J7,$O7,$T7),1)-2)*20)</f>
        <v>54.5</v>
      </c>
      <c r="Y7" s="8" t="s">
        <v>204</v>
      </c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 t="s">
        <v>205</v>
      </c>
      <c r="AU7" s="34"/>
      <c r="AV7" s="26"/>
      <c r="AW7" s="26">
        <v>1</v>
      </c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 t="s">
        <v>204</v>
      </c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2</v>
      </c>
      <c r="D8" s="18">
        <f t="shared" si="1"/>
        <v>0</v>
      </c>
      <c r="E8" s="4" t="str">
        <f>IF($K$1="","",$K$1)</f>
        <v>ただ</v>
      </c>
      <c r="F8" s="8"/>
      <c r="G8" s="9"/>
      <c r="H8" s="9"/>
      <c r="I8" s="48"/>
      <c r="J8" s="21">
        <f t="shared" si="2"/>
        <v>23000</v>
      </c>
      <c r="K8" s="8" t="s">
        <v>200</v>
      </c>
      <c r="L8" s="9">
        <v>4800</v>
      </c>
      <c r="M8" s="9"/>
      <c r="N8" s="48">
        <v>2000</v>
      </c>
      <c r="O8" s="21">
        <f t="shared" si="3"/>
        <v>19300</v>
      </c>
      <c r="P8" s="8" t="s">
        <v>201</v>
      </c>
      <c r="Q8" s="9">
        <v>-4800</v>
      </c>
      <c r="R8" s="9"/>
      <c r="S8" s="48">
        <v>-2000</v>
      </c>
      <c r="T8" s="21">
        <f t="shared" si="4"/>
        <v>62700</v>
      </c>
      <c r="U8" s="53">
        <f>IF($J8="","",ROUND(($J8-$J$3)/1000,1)+(_xlfn.RANK.AVG($J8,($J8,$O8,$T8),1)-2)*20)</f>
        <v>-12</v>
      </c>
      <c r="V8" s="54">
        <f>IF($O8="","",ROUND(($O8-$O$3)/1000,1)+(_xlfn.RANK.AVG($O8,($J8,$O8,$T8),1)-2)*20)</f>
        <v>-35.700000000000003</v>
      </c>
      <c r="W8" s="55">
        <f>IF($T8="","",ROUND(($T8-$T$3)/1000,1)+(_xlfn.RANK.AVG($T8,($J8,$O8,$T8),1)-2)*20)</f>
        <v>47.7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>
        <v>3</v>
      </c>
      <c r="AY8" s="30">
        <v>25</v>
      </c>
      <c r="AZ8" s="40" t="s">
        <v>101</v>
      </c>
      <c r="BA8" s="41" t="s">
        <v>199</v>
      </c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東</v>
      </c>
      <c r="B9" s="18">
        <f t="shared" si="5"/>
        <v>3</v>
      </c>
      <c r="C9" s="18">
        <f t="shared" si="6"/>
        <v>3</v>
      </c>
      <c r="D9" s="18">
        <f t="shared" si="1"/>
        <v>0</v>
      </c>
      <c r="E9" s="4" t="str">
        <f>IF($K$1="","",$K$1)</f>
        <v>ただ</v>
      </c>
      <c r="F9" s="8" t="s">
        <v>200</v>
      </c>
      <c r="G9" s="9">
        <v>7700</v>
      </c>
      <c r="H9" s="9"/>
      <c r="I9" s="48">
        <v>3000</v>
      </c>
      <c r="J9" s="21">
        <f t="shared" si="2"/>
        <v>33700</v>
      </c>
      <c r="K9" s="8" t="s">
        <v>201</v>
      </c>
      <c r="L9" s="9">
        <v>-7700</v>
      </c>
      <c r="M9" s="9"/>
      <c r="N9" s="48">
        <v>-3000</v>
      </c>
      <c r="O9" s="21">
        <f t="shared" si="3"/>
        <v>8600</v>
      </c>
      <c r="P9" s="8"/>
      <c r="Q9" s="9"/>
      <c r="R9" s="9"/>
      <c r="S9" s="48"/>
      <c r="T9" s="21">
        <f t="shared" si="4"/>
        <v>62700</v>
      </c>
      <c r="U9" s="53">
        <f>IF($J9="","",ROUND(($J9-$J$3)/1000,1)+(_xlfn.RANK.AVG($J9,($J9,$O9,$T9),1)-2)*20)</f>
        <v>-1.3</v>
      </c>
      <c r="V9" s="54">
        <f>IF($O9="","",ROUND(($O9-$O$3)/1000,1)+(_xlfn.RANK.AVG($O9,($J9,$O9,$T9),1)-2)*20)</f>
        <v>-46.4</v>
      </c>
      <c r="W9" s="55">
        <f>IF($T9="","",ROUND(($T9-$T$3)/1000,1)+(_xlfn.RANK.AVG($T9,($J9,$O9,$T9),1)-2)*20)</f>
        <v>47.7</v>
      </c>
      <c r="Y9" s="8"/>
      <c r="Z9" s="34"/>
      <c r="AA9" s="26"/>
      <c r="AB9" s="26">
        <v>1</v>
      </c>
      <c r="AC9" s="26">
        <v>4</v>
      </c>
      <c r="AD9" s="30">
        <v>30</v>
      </c>
      <c r="AE9" s="40" t="s">
        <v>104</v>
      </c>
      <c r="AF9" s="41" t="s">
        <v>86</v>
      </c>
      <c r="AG9" s="41" t="s">
        <v>86</v>
      </c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1</v>
      </c>
      <c r="C10" s="18">
        <f t="shared" si="6"/>
        <v>0</v>
      </c>
      <c r="D10" s="18">
        <f t="shared" si="1"/>
        <v>0</v>
      </c>
      <c r="E10" s="4" t="str">
        <f>IF($P$1="","",$P$1)</f>
        <v>ぱぱ</v>
      </c>
      <c r="F10" s="8"/>
      <c r="G10" s="9"/>
      <c r="H10" s="9"/>
      <c r="I10" s="48"/>
      <c r="J10" s="21">
        <f t="shared" si="2"/>
        <v>33700</v>
      </c>
      <c r="K10" s="8" t="s">
        <v>200</v>
      </c>
      <c r="L10" s="9">
        <v>8000</v>
      </c>
      <c r="M10" s="9"/>
      <c r="N10" s="48">
        <v>0</v>
      </c>
      <c r="O10" s="21">
        <f t="shared" si="3"/>
        <v>16600</v>
      </c>
      <c r="P10" s="8" t="s">
        <v>201</v>
      </c>
      <c r="Q10" s="9">
        <v>-8000</v>
      </c>
      <c r="R10" s="9"/>
      <c r="S10" s="48">
        <v>0</v>
      </c>
      <c r="T10" s="21">
        <f t="shared" si="4"/>
        <v>54700</v>
      </c>
      <c r="U10" s="53">
        <f>IF($J10="","",ROUND(($J10-$J$3)/1000,1)+(_xlfn.RANK.AVG($J10,($J10,$O10,$T10),1)-2)*20)</f>
        <v>-1.3</v>
      </c>
      <c r="V10" s="54">
        <f>IF($O10="","",ROUND(($O10-$O$3)/1000,1)+(_xlfn.RANK.AVG($O10,($J10,$O10,$T10),1)-2)*20)</f>
        <v>-38.4</v>
      </c>
      <c r="W10" s="55">
        <f>IF($T10="","",ROUND(($T10-$T$3)/1000,1)+(_xlfn.RANK.AVG($T10,($J10,$O10,$T10),1)-2)*20)</f>
        <v>39.700000000000003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>
        <v>1</v>
      </c>
      <c r="AW10" s="26"/>
      <c r="AX10" s="26">
        <v>4</v>
      </c>
      <c r="AY10" s="30">
        <v>40</v>
      </c>
      <c r="AZ10" s="40" t="s">
        <v>202</v>
      </c>
      <c r="BA10" s="41" t="s">
        <v>199</v>
      </c>
      <c r="BB10" s="41" t="s">
        <v>199</v>
      </c>
      <c r="BC10" s="41" t="s">
        <v>79</v>
      </c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2</v>
      </c>
      <c r="C11" s="18">
        <f t="shared" si="6"/>
        <v>0</v>
      </c>
      <c r="D11" s="18">
        <f t="shared" si="1"/>
        <v>0</v>
      </c>
      <c r="E11" s="4" t="str">
        <f>IF($F$1="","",$F$1)</f>
        <v>だいち</v>
      </c>
      <c r="F11" s="8"/>
      <c r="G11" s="9"/>
      <c r="H11" s="9"/>
      <c r="I11" s="48"/>
      <c r="J11" s="21">
        <f t="shared" si="2"/>
        <v>33700</v>
      </c>
      <c r="K11" s="8" t="s">
        <v>201</v>
      </c>
      <c r="L11" s="9">
        <v>-8000</v>
      </c>
      <c r="M11" s="9"/>
      <c r="N11" s="48">
        <v>0</v>
      </c>
      <c r="O11" s="21">
        <f t="shared" si="3"/>
        <v>8600</v>
      </c>
      <c r="P11" s="8" t="s">
        <v>200</v>
      </c>
      <c r="Q11" s="9">
        <v>8000</v>
      </c>
      <c r="R11" s="9"/>
      <c r="S11" s="48">
        <v>0</v>
      </c>
      <c r="T11" s="21">
        <f t="shared" si="4"/>
        <v>62700</v>
      </c>
      <c r="U11" s="53">
        <f>IF($J11="","",ROUND(($J11-$J$3)/1000,1)+(_xlfn.RANK.AVG($J11,($J11,$O11,$T11),1)-2)*20)</f>
        <v>-1.3</v>
      </c>
      <c r="V11" s="54">
        <f>IF($O11="","",ROUND(($O11-$O$3)/1000,1)+(_xlfn.RANK.AVG($O11,($J11,$O11,$T11),1)-2)*20)</f>
        <v>-46.4</v>
      </c>
      <c r="W11" s="55">
        <f>IF($T11="","",ROUND(($T11-$T$3)/1000,1)+(_xlfn.RANK.AVG($T11,($J11,$O11,$T11),1)-2)*20)</f>
        <v>47.7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>
        <v>1</v>
      </c>
      <c r="BR11" s="26"/>
      <c r="BS11" s="26">
        <v>4</v>
      </c>
      <c r="BT11" s="30">
        <v>40</v>
      </c>
      <c r="BU11" s="40" t="s">
        <v>202</v>
      </c>
      <c r="BV11" s="41" t="s">
        <v>203</v>
      </c>
      <c r="BW11" s="41" t="s">
        <v>86</v>
      </c>
      <c r="BX11" s="41" t="s">
        <v>199</v>
      </c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3</v>
      </c>
      <c r="C12" s="18">
        <f t="shared" si="6"/>
        <v>0</v>
      </c>
      <c r="D12" s="18">
        <f t="shared" si="1"/>
        <v>0</v>
      </c>
      <c r="E12" s="4" t="str">
        <f>IF($K$1="","",$K$1)</f>
        <v>ただ</v>
      </c>
      <c r="F12" s="8"/>
      <c r="G12" s="9"/>
      <c r="H12" s="9"/>
      <c r="I12" s="48"/>
      <c r="J12" s="21">
        <f t="shared" si="2"/>
        <v>33700</v>
      </c>
      <c r="K12" s="8" t="s">
        <v>200</v>
      </c>
      <c r="L12" s="9">
        <v>12000</v>
      </c>
      <c r="M12" s="9">
        <v>1000</v>
      </c>
      <c r="N12" s="48">
        <v>0</v>
      </c>
      <c r="O12" s="21">
        <f t="shared" si="3"/>
        <v>21600</v>
      </c>
      <c r="P12" s="8" t="s">
        <v>201</v>
      </c>
      <c r="Q12" s="9">
        <v>-12000</v>
      </c>
      <c r="R12" s="9">
        <v>-1000</v>
      </c>
      <c r="S12" s="48">
        <v>0</v>
      </c>
      <c r="T12" s="21">
        <f t="shared" si="4"/>
        <v>49700</v>
      </c>
      <c r="U12" s="53">
        <f>IF($J12="","",ROUND(($J12-$J$3)/1000,1)+(_xlfn.RANK.AVG($J12,($J12,$O12,$T12),1)-2)*20)</f>
        <v>-1.3</v>
      </c>
      <c r="V12" s="54">
        <f>IF($O12="","",ROUND(($O12-$O$3)/1000,1)+(_xlfn.RANK.AVG($O12,($J12,$O12,$T12),1)-2)*20)</f>
        <v>-33.4</v>
      </c>
      <c r="W12" s="55">
        <f>IF($T12="","",ROUND(($T12-$T$3)/1000,1)+(_xlfn.RANK.AVG($T12,($J12,$O12,$T12),1)-2)*20)</f>
        <v>34.700000000000003</v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>
        <v>1</v>
      </c>
      <c r="AX12" s="26">
        <v>5</v>
      </c>
      <c r="AY12" s="30" t="s">
        <v>198</v>
      </c>
      <c r="AZ12" s="40" t="s">
        <v>104</v>
      </c>
      <c r="BA12" s="41" t="s">
        <v>86</v>
      </c>
      <c r="BB12" s="41" t="s">
        <v>79</v>
      </c>
      <c r="BC12" s="41" t="s">
        <v>79</v>
      </c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>
        <v>1</v>
      </c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>南</v>
      </c>
      <c r="B13" s="18">
        <f t="shared" si="5"/>
        <v>3</v>
      </c>
      <c r="C13" s="18">
        <f t="shared" si="6"/>
        <v>1</v>
      </c>
      <c r="D13" s="18">
        <f t="shared" si="1"/>
        <v>0</v>
      </c>
      <c r="E13" s="4" t="str">
        <f>IF($K$1="","",$K$1)</f>
        <v>ただ</v>
      </c>
      <c r="F13" s="8"/>
      <c r="G13" s="9"/>
      <c r="H13" s="9"/>
      <c r="I13" s="48"/>
      <c r="J13" s="21">
        <f t="shared" si="2"/>
        <v>33700</v>
      </c>
      <c r="K13" s="8" t="s">
        <v>201</v>
      </c>
      <c r="L13" s="9">
        <v>-2600</v>
      </c>
      <c r="M13" s="9"/>
      <c r="N13" s="48">
        <v>-1000</v>
      </c>
      <c r="O13" s="21">
        <f t="shared" si="3"/>
        <v>18000</v>
      </c>
      <c r="P13" s="8" t="s">
        <v>200</v>
      </c>
      <c r="Q13" s="9">
        <v>2600</v>
      </c>
      <c r="R13" s="9"/>
      <c r="S13" s="48">
        <v>1000</v>
      </c>
      <c r="T13" s="21">
        <f t="shared" si="4"/>
        <v>53300</v>
      </c>
      <c r="U13" s="53">
        <f>IF($J13="","",ROUND(($J13-$J$3)/1000,1)+(_xlfn.RANK.AVG($J13,($J13,$O13,$T13),1)-2)*20)</f>
        <v>-1.3</v>
      </c>
      <c r="V13" s="54">
        <f>IF($O13="","",ROUND(($O13-$O$3)/1000,1)+(_xlfn.RANK.AVG($O13,($J13,$O13,$T13),1)-2)*20)</f>
        <v>-37</v>
      </c>
      <c r="W13" s="55">
        <f>IF($T13="","",ROUND(($T13-$T$3)/1000,1)+(_xlfn.RANK.AVG($T13,($J13,$O13,$T13),1)-2)*20)</f>
        <v>38.299999999999997</v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>
        <v>1</v>
      </c>
      <c r="BR13" s="26"/>
      <c r="BS13" s="26">
        <v>2</v>
      </c>
      <c r="BT13" s="30">
        <v>40</v>
      </c>
      <c r="BU13" s="40" t="s">
        <v>202</v>
      </c>
      <c r="BV13" s="41" t="s">
        <v>86</v>
      </c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34" priority="5">
      <formula>IF(G4&lt;&gt;"",SUM($G4:$I4,$L4:$N4,$Q4:$S4)-$D4*1000+$D5*1000)</formula>
    </cfRule>
  </conditionalFormatting>
  <conditionalFormatting sqref="F1:G1 I1:L1 S1:T1 N1:Q1">
    <cfRule type="duplicateValues" dxfId="33" priority="4"/>
  </conditionalFormatting>
  <conditionalFormatting sqref="H1">
    <cfRule type="duplicateValues" dxfId="32" priority="3"/>
  </conditionalFormatting>
  <conditionalFormatting sqref="R1">
    <cfRule type="duplicateValues" dxfId="31" priority="2"/>
  </conditionalFormatting>
  <conditionalFormatting sqref="M1">
    <cfRule type="duplicateValues" dxfId="30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C29C4CD2-67B7-455D-9C87-A031A47223C0}">
      <formula1>"だいち,ただ,れんたろう,まっつん,いちかわ,わさび,やなぎ,たか,いっしー,たかの,りくと,のり,てんちゃん,ともき,ぱぱ,ほたに,ゆう,やがさき,あさひ,かわたつ,ちさと,がくと,かこたろう,"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116228-FF9A-420E-828D-B7311E2BF4DC}">
  <sheetPr codeName="Sheet11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192</v>
      </c>
      <c r="G1" s="73"/>
      <c r="H1" s="73"/>
      <c r="I1" s="74"/>
      <c r="J1" s="75"/>
      <c r="K1" s="72" t="s">
        <v>193</v>
      </c>
      <c r="L1" s="73"/>
      <c r="M1" s="73"/>
      <c r="N1" s="74"/>
      <c r="O1" s="75"/>
      <c r="P1" s="72" t="s">
        <v>195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だいち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ただ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ぱぱ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だいち</v>
      </c>
      <c r="V2" s="69" t="str">
        <f>$K$1</f>
        <v>ただ</v>
      </c>
      <c r="W2" s="16" t="str">
        <f>$P$1</f>
        <v>ぱぱ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193</v>
      </c>
      <c r="F4" s="8" t="s">
        <v>200</v>
      </c>
      <c r="G4" s="9">
        <v>8000</v>
      </c>
      <c r="H4" s="9"/>
      <c r="I4" s="48">
        <v>0</v>
      </c>
      <c r="J4" s="21">
        <f>IF(COUNTA($F4,$K4,$P4)&gt;0,J3+SUM(G4:I4),"")</f>
        <v>43000</v>
      </c>
      <c r="K4" s="8" t="s">
        <v>201</v>
      </c>
      <c r="L4" s="9">
        <v>-8000</v>
      </c>
      <c r="M4" s="9"/>
      <c r="N4" s="48">
        <v>0</v>
      </c>
      <c r="O4" s="21">
        <f>IF(COUNTA($F4,$K4,$P4)&gt;0,O3+SUM(L4:N4),"")</f>
        <v>27000</v>
      </c>
      <c r="P4" s="8"/>
      <c r="Q4" s="9"/>
      <c r="R4" s="9"/>
      <c r="S4" s="48"/>
      <c r="T4" s="21">
        <f>IF(COUNTA($F4,$K4,$P4)&gt;0,T3+SUM(Q4:S4),"")</f>
        <v>35000</v>
      </c>
      <c r="U4" s="53">
        <f>IF($J4="","",ROUND(($J4-$J$3)/1000,1)+(_xlfn.RANK.AVG($J4,($J4,$O4,$T4),1)-2)*20)</f>
        <v>28</v>
      </c>
      <c r="V4" s="54">
        <f>IF($O4="","",ROUND(($O4-$O$3)/1000,1)+(_xlfn.RANK.AVG($O4,($J4,$O4,$T4),1)-2)*20)</f>
        <v>-28</v>
      </c>
      <c r="W4" s="55">
        <f>IF($T4="","",ROUND(($T4-$T$3)/1000,1)+(_xlfn.RANK.AVG($T4,($J4,$O4,$T4),1)-2)*20)</f>
        <v>0</v>
      </c>
      <c r="Y4" s="8"/>
      <c r="Z4" s="34"/>
      <c r="AA4" s="26">
        <v>1</v>
      </c>
      <c r="AB4" s="26"/>
      <c r="AC4" s="26">
        <v>4</v>
      </c>
      <c r="AD4" s="30">
        <v>40</v>
      </c>
      <c r="AE4" s="40" t="s">
        <v>202</v>
      </c>
      <c r="AF4" s="41" t="s">
        <v>203</v>
      </c>
      <c r="AG4" s="41" t="s">
        <v>84</v>
      </c>
      <c r="AH4" s="41" t="s">
        <v>199</v>
      </c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IF($P$1="","",$P$1)</f>
        <v>ぱぱ</v>
      </c>
      <c r="F5" s="8" t="s">
        <v>196</v>
      </c>
      <c r="G5" s="9">
        <v>-12000</v>
      </c>
      <c r="H5" s="9"/>
      <c r="I5" s="48">
        <v>0</v>
      </c>
      <c r="J5" s="21">
        <f t="shared" ref="J5:J30" si="2">IF(COUNTA($F5,$K5,$P5)&gt;0,J4+SUM(G5:I5),"")</f>
        <v>31000</v>
      </c>
      <c r="K5" s="8" t="s">
        <v>196</v>
      </c>
      <c r="L5" s="9">
        <v>-12000</v>
      </c>
      <c r="M5" s="9"/>
      <c r="N5" s="48">
        <v>0</v>
      </c>
      <c r="O5" s="21">
        <f t="shared" ref="O5:O30" si="3">IF(COUNTA($F5,$K5,$P5)&gt;0,O4+SUM(L5:N5),"")</f>
        <v>15000</v>
      </c>
      <c r="P5" s="8" t="s">
        <v>197</v>
      </c>
      <c r="Q5" s="9">
        <v>24000</v>
      </c>
      <c r="R5" s="9"/>
      <c r="S5" s="48">
        <v>0</v>
      </c>
      <c r="T5" s="21">
        <f t="shared" ref="T5:T30" si="4">IF(COUNTA($F5,$K5,$P5)&gt;0,T4+SUM(Q5:S5),"")</f>
        <v>59000</v>
      </c>
      <c r="U5" s="53">
        <f>IF($J5="","",ROUND(($J5-$J$3)/1000,1)+(_xlfn.RANK.AVG($J5,($J5,$O5,$T5),1)-2)*20)</f>
        <v>-4</v>
      </c>
      <c r="V5" s="54">
        <f>IF($O5="","",ROUND(($O5-$O$3)/1000,1)+(_xlfn.RANK.AVG($O5,($J5,$O5,$T5),1)-2)*20)</f>
        <v>-40</v>
      </c>
      <c r="W5" s="55">
        <f>IF($T5="","",ROUND(($T5-$T$3)/1000,1)+(_xlfn.RANK.AVG($T5,($J5,$O5,$T5),1)-2)*20)</f>
        <v>44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>
        <v>9</v>
      </c>
      <c r="BT5" s="30" t="s">
        <v>198</v>
      </c>
      <c r="BU5" s="40" t="s">
        <v>202</v>
      </c>
      <c r="BV5" s="41" t="s">
        <v>82</v>
      </c>
      <c r="BW5" s="41" t="s">
        <v>79</v>
      </c>
      <c r="BX5" s="41" t="s">
        <v>79</v>
      </c>
      <c r="BY5" s="41" t="s">
        <v>79</v>
      </c>
      <c r="BZ5" s="41" t="s">
        <v>79</v>
      </c>
      <c r="CA5" s="41" t="s">
        <v>79</v>
      </c>
      <c r="CB5" s="41" t="s">
        <v>79</v>
      </c>
      <c r="CC5" s="41" t="s">
        <v>80</v>
      </c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tr">
        <f>IF($P$1="","",$P$1)</f>
        <v>ぱぱ</v>
      </c>
      <c r="F6" s="8" t="s">
        <v>201</v>
      </c>
      <c r="G6" s="9">
        <v>-7700</v>
      </c>
      <c r="H6" s="9">
        <v>-2000</v>
      </c>
      <c r="I6" s="48">
        <v>-1000</v>
      </c>
      <c r="J6" s="21">
        <f t="shared" si="2"/>
        <v>20300</v>
      </c>
      <c r="K6" s="8" t="s">
        <v>200</v>
      </c>
      <c r="L6" s="9">
        <v>7700</v>
      </c>
      <c r="M6" s="9">
        <v>3000</v>
      </c>
      <c r="N6" s="48">
        <v>1000</v>
      </c>
      <c r="O6" s="21">
        <f t="shared" si="3"/>
        <v>26700</v>
      </c>
      <c r="P6" s="8"/>
      <c r="Q6" s="9"/>
      <c r="R6" s="9">
        <v>-1000</v>
      </c>
      <c r="S6" s="48"/>
      <c r="T6" s="21">
        <f t="shared" si="4"/>
        <v>58000</v>
      </c>
      <c r="U6" s="53">
        <f>IF($J6="","",ROUND(($J6-$J$3)/1000,1)+(_xlfn.RANK.AVG($J6,($J6,$O6,$T6),1)-2)*20)</f>
        <v>-34.700000000000003</v>
      </c>
      <c r="V6" s="54">
        <f>IF($O6="","",ROUND(($O6-$O$3)/1000,1)+(_xlfn.RANK.AVG($O6,($J6,$O6,$T6),1)-2)*20)</f>
        <v>-8.3000000000000007</v>
      </c>
      <c r="W6" s="55">
        <f>IF($T6="","",ROUND(($T6-$T$3)/1000,1)+(_xlfn.RANK.AVG($T6,($J6,$O6,$T6),1)-2)*20)</f>
        <v>43</v>
      </c>
      <c r="Y6" s="8"/>
      <c r="Z6" s="34"/>
      <c r="AA6" s="26">
        <v>1</v>
      </c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>
        <v>4</v>
      </c>
      <c r="AY6" s="30">
        <v>30</v>
      </c>
      <c r="AZ6" s="40" t="s">
        <v>202</v>
      </c>
      <c r="BA6" s="41" t="s">
        <v>83</v>
      </c>
      <c r="BB6" s="41" t="s">
        <v>84</v>
      </c>
      <c r="BC6" s="41" t="s">
        <v>199</v>
      </c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tr">
        <f>IF($F$1="","",$F$1)</f>
        <v>だいち</v>
      </c>
      <c r="F7" s="8" t="s">
        <v>200</v>
      </c>
      <c r="G7" s="9">
        <v>7700</v>
      </c>
      <c r="H7" s="9"/>
      <c r="I7" s="48">
        <v>0</v>
      </c>
      <c r="J7" s="21">
        <f t="shared" si="2"/>
        <v>28000</v>
      </c>
      <c r="K7" s="8" t="s">
        <v>201</v>
      </c>
      <c r="L7" s="9">
        <v>-7700</v>
      </c>
      <c r="M7" s="9"/>
      <c r="N7" s="48">
        <v>0</v>
      </c>
      <c r="O7" s="21">
        <f t="shared" si="3"/>
        <v>19000</v>
      </c>
      <c r="P7" s="8"/>
      <c r="Q7" s="9"/>
      <c r="R7" s="9"/>
      <c r="S7" s="48"/>
      <c r="T7" s="21">
        <f t="shared" si="4"/>
        <v>58000</v>
      </c>
      <c r="U7" s="53">
        <f>IF($J7="","",ROUND(($J7-$J$3)/1000,1)+(_xlfn.RANK.AVG($J7,($J7,$O7,$T7),1)-2)*20)</f>
        <v>-7</v>
      </c>
      <c r="V7" s="54">
        <f>IF($O7="","",ROUND(($O7-$O$3)/1000,1)+(_xlfn.RANK.AVG($O7,($J7,$O7,$T7),1)-2)*20)</f>
        <v>-36</v>
      </c>
      <c r="W7" s="55">
        <f>IF($T7="","",ROUND(($T7-$T$3)/1000,1)+(_xlfn.RANK.AVG($T7,($J7,$O7,$T7),1)-2)*20)</f>
        <v>43</v>
      </c>
      <c r="Y7" s="8"/>
      <c r="Z7" s="34"/>
      <c r="AA7" s="26">
        <v>1</v>
      </c>
      <c r="AB7" s="26"/>
      <c r="AC7" s="26">
        <v>3</v>
      </c>
      <c r="AD7" s="30">
        <v>40</v>
      </c>
      <c r="AE7" s="40" t="s">
        <v>202</v>
      </c>
      <c r="AF7" s="41" t="s">
        <v>199</v>
      </c>
      <c r="AG7" s="41" t="s">
        <v>79</v>
      </c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1</v>
      </c>
      <c r="D8" s="18">
        <f t="shared" si="1"/>
        <v>0</v>
      </c>
      <c r="E8" s="4" t="str">
        <f>IF($F$1="","",$F$1)</f>
        <v>だいち</v>
      </c>
      <c r="F8" s="8" t="s">
        <v>196</v>
      </c>
      <c r="G8" s="9">
        <v>-7500</v>
      </c>
      <c r="H8" s="9"/>
      <c r="I8" s="48">
        <v>-500</v>
      </c>
      <c r="J8" s="21">
        <f t="shared" si="2"/>
        <v>20000</v>
      </c>
      <c r="K8" s="8" t="s">
        <v>197</v>
      </c>
      <c r="L8" s="9">
        <v>12000</v>
      </c>
      <c r="M8" s="9"/>
      <c r="N8" s="48">
        <v>1000</v>
      </c>
      <c r="O8" s="21">
        <f t="shared" si="3"/>
        <v>32000</v>
      </c>
      <c r="P8" s="8" t="s">
        <v>196</v>
      </c>
      <c r="Q8" s="9">
        <v>-4500</v>
      </c>
      <c r="R8" s="9"/>
      <c r="S8" s="48">
        <v>-500</v>
      </c>
      <c r="T8" s="21">
        <f t="shared" si="4"/>
        <v>53000</v>
      </c>
      <c r="U8" s="53">
        <f>IF($J8="","",ROUND(($J8-$J$3)/1000,1)+(_xlfn.RANK.AVG($J8,($J8,$O8,$T8),1)-2)*20)</f>
        <v>-35</v>
      </c>
      <c r="V8" s="54">
        <f>IF($O8="","",ROUND(($O8-$O$3)/1000,1)+(_xlfn.RANK.AVG($O8,($J8,$O8,$T8),1)-2)*20)</f>
        <v>-3</v>
      </c>
      <c r="W8" s="55">
        <f>IF($T8="","",ROUND(($T8-$T$3)/1000,1)+(_xlfn.RANK.AVG($T8,($J8,$O8,$T8),1)-2)*20)</f>
        <v>38</v>
      </c>
      <c r="Y8" s="8"/>
      <c r="Z8" s="34"/>
      <c r="AA8" s="26"/>
      <c r="AB8" s="26">
        <v>1</v>
      </c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>
        <v>1</v>
      </c>
      <c r="AW8" s="26"/>
      <c r="AX8" s="26">
        <v>6</v>
      </c>
      <c r="AY8" s="30" t="s">
        <v>198</v>
      </c>
      <c r="AZ8" s="40" t="s">
        <v>202</v>
      </c>
      <c r="BA8" s="41" t="s">
        <v>82</v>
      </c>
      <c r="BB8" s="41" t="s">
        <v>83</v>
      </c>
      <c r="BC8" s="41" t="s">
        <v>92</v>
      </c>
      <c r="BD8" s="41" t="s">
        <v>79</v>
      </c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/>
      </c>
      <c r="B9" s="18" t="str">
        <f t="shared" si="5"/>
        <v/>
      </c>
      <c r="C9" s="18" t="str">
        <f t="shared" si="6"/>
        <v/>
      </c>
      <c r="D9" s="18" t="str">
        <f t="shared" si="1"/>
        <v/>
      </c>
      <c r="E9" s="4"/>
      <c r="F9" s="8"/>
      <c r="G9" s="9"/>
      <c r="H9" s="9"/>
      <c r="I9" s="48"/>
      <c r="J9" s="21" t="str">
        <f t="shared" si="2"/>
        <v/>
      </c>
      <c r="K9" s="8"/>
      <c r="L9" s="9"/>
      <c r="M9" s="9"/>
      <c r="N9" s="48"/>
      <c r="O9" s="21" t="str">
        <f t="shared" si="3"/>
        <v/>
      </c>
      <c r="P9" s="8"/>
      <c r="Q9" s="9"/>
      <c r="R9" s="9"/>
      <c r="S9" s="48"/>
      <c r="T9" s="21" t="str">
        <f t="shared" si="4"/>
        <v/>
      </c>
      <c r="U9" s="53" t="str">
        <f>IF($J9="","",ROUND(($J9-$J$3)/1000,1)+(_xlfn.RANK.AVG($J9,($J9,$O9,$T9),1)-2)*20)</f>
        <v/>
      </c>
      <c r="V9" s="54" t="str">
        <f>IF($O9="","",ROUND(($O9-$O$3)/1000,1)+(_xlfn.RANK.AVG($O9,($J9,$O9,$T9),1)-2)*20)</f>
        <v/>
      </c>
      <c r="W9" s="55" t="str">
        <f>IF($T9="","",ROUND(($T9-$T$3)/1000,1)+(_xlfn.RANK.AVG($T9,($J9,$O9,$T9),1)-2)*20)</f>
        <v/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IF($J10="","",ROUND(($J10-$J$3)/1000,1)+(_xlfn.RANK.AVG($J10,($J10,$O10,$T10),1)-2)*20)</f>
        <v/>
      </c>
      <c r="V10" s="54" t="str">
        <f>IF($O10="","",ROUND(($O10-$O$3)/1000,1)+(_xlfn.RANK.AVG($O10,($J10,$O10,$T10),1)-2)*20)</f>
        <v/>
      </c>
      <c r="W10" s="55" t="str">
        <f>IF($T10="","",ROUND(($T10-$T$3)/1000,1)+(_xlfn.RANK.AVG($T10,($J10,$O10,$T10),1)-2)*20)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IF($J11="","",ROUND(($J11-$J$3)/1000,1)+(_xlfn.RANK.AVG($J11,($J11,$O11,$T11),1)-2)*20)</f>
        <v/>
      </c>
      <c r="V11" s="54" t="str">
        <f>IF($O11="","",ROUND(($O11-$O$3)/1000,1)+(_xlfn.RANK.AVG($O11,($J11,$O11,$T11),1)-2)*20)</f>
        <v/>
      </c>
      <c r="W11" s="55" t="str">
        <f>IF($T11="","",ROUND(($T11-$T$3)/1000,1)+(_xlfn.RANK.AVG($T11,($J11,$O11,$T11),1)-2)*20)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29" priority="5">
      <formula>IF(G4&lt;&gt;"",SUM($G4:$I4,$L4:$N4,$Q4:$S4)-$D4*1000+$D5*1000)</formula>
    </cfRule>
  </conditionalFormatting>
  <conditionalFormatting sqref="F1:G1 I1:L1 S1:T1 N1:Q1">
    <cfRule type="duplicateValues" dxfId="28" priority="4"/>
  </conditionalFormatting>
  <conditionalFormatting sqref="H1">
    <cfRule type="duplicateValues" dxfId="27" priority="3"/>
  </conditionalFormatting>
  <conditionalFormatting sqref="R1">
    <cfRule type="duplicateValues" dxfId="26" priority="2"/>
  </conditionalFormatting>
  <conditionalFormatting sqref="M1">
    <cfRule type="duplicateValues" dxfId="25" priority="1"/>
  </conditionalFormatting>
  <dataValidations count="3">
    <dataValidation type="list" allowBlank="1" showInputMessage="1" sqref="F1:T1" xr:uid="{F2BDF291-BC4B-4891-9ABF-FF39DBCA8559}">
      <formula1>"だいち,ただ,れんたろう,まっつん,いちかわ,わさび,やなぎ,たか,いっしー,たかの,りくと,のり,てんちゃん,ともき,ぱぱ,ほたに,ゆう,やがさき,あさひ,かわたつ,ちさと,がくと,かこたろう,"</formula1>
    </dataValidation>
    <dataValidation type="list" showInputMessage="1" showErrorMessage="1" sqref="K4:K30 P4:P30 F4:F30" xr:uid="{8C735BD5-FFE2-469E-A5CD-B4C19E8115B8}">
      <formula1>"ロン,ツモ,放銃,ツモ支払,流局,チョンボ"</formula1>
    </dataValidation>
    <dataValidation type="list" allowBlank="1" showInputMessage="1" showErrorMessage="1" sqref="E4:E30" xr:uid="{E71FADF4-8747-4265-A520-91A8D7E0167D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FEEEE7-9AD2-400A-AAB7-117108D535A7}">
  <sheetPr codeName="Sheet12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192</v>
      </c>
      <c r="G1" s="73"/>
      <c r="H1" s="73"/>
      <c r="I1" s="74"/>
      <c r="J1" s="75"/>
      <c r="K1" s="72" t="s">
        <v>193</v>
      </c>
      <c r="L1" s="73"/>
      <c r="M1" s="73"/>
      <c r="N1" s="74"/>
      <c r="O1" s="75"/>
      <c r="P1" s="72" t="s">
        <v>195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だいち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ただ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ぱぱ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だいち</v>
      </c>
      <c r="V2" s="69" t="str">
        <f>$K$1</f>
        <v>ただ</v>
      </c>
      <c r="W2" s="16" t="str">
        <f>$P$1</f>
        <v>ぱぱ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193</v>
      </c>
      <c r="F4" s="8"/>
      <c r="G4" s="9"/>
      <c r="H4" s="9"/>
      <c r="I4" s="48"/>
      <c r="J4" s="21">
        <f>IF(COUNTA($F4,$K4,$P4)&gt;0,J3+SUM(G4:I4),"")</f>
        <v>35000</v>
      </c>
      <c r="K4" s="8" t="s">
        <v>201</v>
      </c>
      <c r="L4" s="9">
        <v>-8000</v>
      </c>
      <c r="M4" s="9"/>
      <c r="N4" s="48">
        <v>0</v>
      </c>
      <c r="O4" s="21">
        <f>IF(COUNTA($F4,$K4,$P4)&gt;0,O3+SUM(L4:N4),"")</f>
        <v>27000</v>
      </c>
      <c r="P4" s="8" t="s">
        <v>200</v>
      </c>
      <c r="Q4" s="9">
        <v>8000</v>
      </c>
      <c r="R4" s="9"/>
      <c r="S4" s="48">
        <v>0</v>
      </c>
      <c r="T4" s="21">
        <f>IF(COUNTA($F4,$K4,$P4)&gt;0,T3+SUM(Q4:S4),"")</f>
        <v>43000</v>
      </c>
      <c r="U4" s="53">
        <f>IF($J4="","",ROUND(($J4-$J$3)/1000,1)+(_xlfn.RANK.AVG($J4,($J4,$O4,$T4),1)-2)*20)</f>
        <v>0</v>
      </c>
      <c r="V4" s="54">
        <f>IF($O4="","",ROUND(($O4-$O$3)/1000,1)+(_xlfn.RANK.AVG($O4,($J4,$O4,$T4),1)-2)*20)</f>
        <v>-28</v>
      </c>
      <c r="W4" s="55">
        <f>IF($T4="","",ROUND(($T4-$T$3)/1000,1)+(_xlfn.RANK.AVG($T4,($J4,$O4,$T4),1)-2)*20)</f>
        <v>28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>
        <v>5</v>
      </c>
      <c r="BT4" s="30" t="s">
        <v>198</v>
      </c>
      <c r="BU4" s="40" t="s">
        <v>202</v>
      </c>
      <c r="BV4" s="41" t="s">
        <v>83</v>
      </c>
      <c r="BW4" s="41" t="s">
        <v>203</v>
      </c>
      <c r="BX4" s="41" t="s">
        <v>80</v>
      </c>
      <c r="BY4" s="41" t="s">
        <v>199</v>
      </c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IF($P$1="","",$P$1)</f>
        <v>ぱぱ</v>
      </c>
      <c r="F5" s="8"/>
      <c r="G5" s="9"/>
      <c r="H5" s="9"/>
      <c r="I5" s="48"/>
      <c r="J5" s="21">
        <f t="shared" ref="J5:J30" si="2">IF(COUNTA($F5,$K5,$P5)&gt;0,J4+SUM(G5:I5),"")</f>
        <v>35000</v>
      </c>
      <c r="K5" s="8" t="s">
        <v>201</v>
      </c>
      <c r="L5" s="9">
        <v>-2900</v>
      </c>
      <c r="M5" s="9"/>
      <c r="N5" s="48">
        <v>0</v>
      </c>
      <c r="O5" s="21">
        <f t="shared" ref="O5:O30" si="3">IF(COUNTA($F5,$K5,$P5)&gt;0,O4+SUM(L5:N5),"")</f>
        <v>24100</v>
      </c>
      <c r="P5" s="8" t="s">
        <v>200</v>
      </c>
      <c r="Q5" s="9">
        <v>2900</v>
      </c>
      <c r="R5" s="9"/>
      <c r="S5" s="48">
        <v>0</v>
      </c>
      <c r="T5" s="21">
        <f t="shared" ref="T5:T30" si="4">IF(COUNTA($F5,$K5,$P5)&gt;0,T4+SUM(Q5:S5),"")</f>
        <v>45900</v>
      </c>
      <c r="U5" s="53">
        <f>IF($J5="","",ROUND(($J5-$J$3)/1000,1)+(_xlfn.RANK.AVG($J5,($J5,$O5,$T5),1)-2)*20)</f>
        <v>0</v>
      </c>
      <c r="V5" s="54">
        <f>IF($O5="","",ROUND(($O5-$O$3)/1000,1)+(_xlfn.RANK.AVG($O5,($J5,$O5,$T5),1)-2)*20)</f>
        <v>-30.9</v>
      </c>
      <c r="W5" s="55">
        <f>IF($T5="","",ROUND(($T5-$T$3)/1000,1)+(_xlfn.RANK.AVG($T5,($J5,$O5,$T5),1)-2)*20)</f>
        <v>30.9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>
        <v>1</v>
      </c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>
        <v>1</v>
      </c>
      <c r="BS5" s="26">
        <v>2</v>
      </c>
      <c r="BT5" s="30">
        <v>30</v>
      </c>
      <c r="BU5" s="40" t="s">
        <v>86</v>
      </c>
      <c r="BV5" s="41" t="s">
        <v>199</v>
      </c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tr">
        <f>IF($P$1="","",$P$1)</f>
        <v>ぱぱ</v>
      </c>
      <c r="F6" s="8" t="s">
        <v>200</v>
      </c>
      <c r="G6" s="9">
        <v>12000</v>
      </c>
      <c r="H6" s="9"/>
      <c r="I6" s="48">
        <v>1000</v>
      </c>
      <c r="J6" s="21">
        <f t="shared" si="2"/>
        <v>48000</v>
      </c>
      <c r="K6" s="8"/>
      <c r="L6" s="9"/>
      <c r="M6" s="9"/>
      <c r="N6" s="48"/>
      <c r="O6" s="21">
        <f t="shared" si="3"/>
        <v>24100</v>
      </c>
      <c r="P6" s="8" t="s">
        <v>201</v>
      </c>
      <c r="Q6" s="9">
        <v>-12000</v>
      </c>
      <c r="R6" s="9"/>
      <c r="S6" s="48">
        <v>-1000</v>
      </c>
      <c r="T6" s="21">
        <f t="shared" si="4"/>
        <v>32900</v>
      </c>
      <c r="U6" s="53">
        <f>IF($J6="","",ROUND(($J6-$J$3)/1000,1)+(_xlfn.RANK.AVG($J6,($J6,$O6,$T6),1)-2)*20)</f>
        <v>33</v>
      </c>
      <c r="V6" s="54">
        <f>IF($O6="","",ROUND(($O6-$O$3)/1000,1)+(_xlfn.RANK.AVG($O6,($J6,$O6,$T6),1)-2)*20)</f>
        <v>-30.9</v>
      </c>
      <c r="W6" s="55">
        <f>IF($T6="","",ROUND(($T6-$T$3)/1000,1)+(_xlfn.RANK.AVG($T6,($J6,$O6,$T6),1)-2)*20)</f>
        <v>-2.1</v>
      </c>
      <c r="Y6" s="8"/>
      <c r="Z6" s="34"/>
      <c r="AA6" s="26">
        <v>1</v>
      </c>
      <c r="AB6" s="26"/>
      <c r="AC6" s="26">
        <v>7</v>
      </c>
      <c r="AD6" s="30" t="s">
        <v>198</v>
      </c>
      <c r="AE6" s="40" t="s">
        <v>202</v>
      </c>
      <c r="AF6" s="41" t="s">
        <v>104</v>
      </c>
      <c r="AG6" s="41" t="s">
        <v>92</v>
      </c>
      <c r="AH6" s="41" t="s">
        <v>199</v>
      </c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tr">
        <f>IF($F$1="","",$F$1)</f>
        <v>だいち</v>
      </c>
      <c r="F7" s="8" t="s">
        <v>196</v>
      </c>
      <c r="G7" s="9">
        <v>-5000</v>
      </c>
      <c r="H7" s="9"/>
      <c r="I7" s="48">
        <v>0</v>
      </c>
      <c r="J7" s="21">
        <f t="shared" si="2"/>
        <v>43000</v>
      </c>
      <c r="K7" s="8" t="s">
        <v>196</v>
      </c>
      <c r="L7" s="9">
        <v>-3000</v>
      </c>
      <c r="M7" s="9"/>
      <c r="N7" s="48">
        <v>0</v>
      </c>
      <c r="O7" s="21">
        <f t="shared" si="3"/>
        <v>21100</v>
      </c>
      <c r="P7" s="8" t="s">
        <v>197</v>
      </c>
      <c r="Q7" s="9">
        <v>8000</v>
      </c>
      <c r="R7" s="9"/>
      <c r="S7" s="48">
        <v>0</v>
      </c>
      <c r="T7" s="21">
        <f t="shared" si="4"/>
        <v>40900</v>
      </c>
      <c r="U7" s="53">
        <f>IF($J7="","",ROUND(($J7-$J$3)/1000,1)+(_xlfn.RANK.AVG($J7,($J7,$O7,$T7),1)-2)*20)</f>
        <v>28</v>
      </c>
      <c r="V7" s="54">
        <f>IF($O7="","",ROUND(($O7-$O$3)/1000,1)+(_xlfn.RANK.AVG($O7,($J7,$O7,$T7),1)-2)*20)</f>
        <v>-33.9</v>
      </c>
      <c r="W7" s="55">
        <f>IF($T7="","",ROUND(($T7-$T$3)/1000,1)+(_xlfn.RANK.AVG($T7,($J7,$O7,$T7),1)-2)*20)</f>
        <v>5.9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>
        <v>1</v>
      </c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>
        <v>4</v>
      </c>
      <c r="BT7" s="30">
        <v>40</v>
      </c>
      <c r="BU7" s="40" t="s">
        <v>202</v>
      </c>
      <c r="BV7" s="41" t="s">
        <v>82</v>
      </c>
      <c r="BW7" s="41" t="s">
        <v>79</v>
      </c>
      <c r="BX7" s="41" t="s">
        <v>80</v>
      </c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tr">
        <f>IF($K$1="","",$K$1)</f>
        <v>ただ</v>
      </c>
      <c r="F8" s="8" t="s">
        <v>197</v>
      </c>
      <c r="G8" s="9">
        <v>2100</v>
      </c>
      <c r="H8" s="9">
        <v>1000</v>
      </c>
      <c r="I8" s="48">
        <v>0</v>
      </c>
      <c r="J8" s="21">
        <f t="shared" si="2"/>
        <v>46100</v>
      </c>
      <c r="K8" s="8" t="s">
        <v>196</v>
      </c>
      <c r="L8" s="9">
        <v>-1300</v>
      </c>
      <c r="M8" s="9"/>
      <c r="N8" s="48">
        <v>0</v>
      </c>
      <c r="O8" s="21">
        <f t="shared" si="3"/>
        <v>19800</v>
      </c>
      <c r="P8" s="8" t="s">
        <v>196</v>
      </c>
      <c r="Q8" s="9">
        <v>-800</v>
      </c>
      <c r="R8" s="9">
        <v>-1000</v>
      </c>
      <c r="S8" s="48">
        <v>0</v>
      </c>
      <c r="T8" s="21">
        <f t="shared" si="4"/>
        <v>39100</v>
      </c>
      <c r="U8" s="53">
        <f>IF($J8="","",ROUND(($J8-$J$3)/1000,1)+(_xlfn.RANK.AVG($J8,($J8,$O8,$T8),1)-2)*20)</f>
        <v>31.1</v>
      </c>
      <c r="V8" s="54">
        <f>IF($O8="","",ROUND(($O8-$O$3)/1000,1)+(_xlfn.RANK.AVG($O8,($J8,$O8,$T8),1)-2)*20)</f>
        <v>-35.200000000000003</v>
      </c>
      <c r="W8" s="55">
        <f>IF($T8="","",ROUND(($T8-$T$3)/1000,1)+(_xlfn.RANK.AVG($T8,($J8,$O8,$T8),1)-2)*20)</f>
        <v>4.0999999999999996</v>
      </c>
      <c r="Y8" s="8"/>
      <c r="Z8" s="34"/>
      <c r="AA8" s="26"/>
      <c r="AB8" s="26"/>
      <c r="AC8" s="26">
        <v>2</v>
      </c>
      <c r="AD8" s="30">
        <v>30</v>
      </c>
      <c r="AE8" s="40" t="s">
        <v>82</v>
      </c>
      <c r="AF8" s="41" t="s">
        <v>86</v>
      </c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>
        <v>1</v>
      </c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tr">
        <f>IF($P$1="","",$P$1)</f>
        <v>ぱぱ</v>
      </c>
      <c r="F9" s="8" t="s">
        <v>197</v>
      </c>
      <c r="G9" s="9">
        <v>2100</v>
      </c>
      <c r="H9" s="9"/>
      <c r="I9" s="48">
        <v>0</v>
      </c>
      <c r="J9" s="21">
        <f t="shared" si="2"/>
        <v>48200</v>
      </c>
      <c r="K9" s="8" t="s">
        <v>196</v>
      </c>
      <c r="L9" s="9">
        <v>-800</v>
      </c>
      <c r="M9" s="9"/>
      <c r="N9" s="48">
        <v>0</v>
      </c>
      <c r="O9" s="21">
        <f t="shared" si="3"/>
        <v>19000</v>
      </c>
      <c r="P9" s="8" t="s">
        <v>196</v>
      </c>
      <c r="Q9" s="9">
        <v>-1300</v>
      </c>
      <c r="R9" s="9"/>
      <c r="S9" s="48">
        <v>0</v>
      </c>
      <c r="T9" s="21">
        <f t="shared" si="4"/>
        <v>37800</v>
      </c>
      <c r="U9" s="53">
        <f>IF($J9="","",ROUND(($J9-$J$3)/1000,1)+(_xlfn.RANK.AVG($J9,($J9,$O9,$T9),1)-2)*20)</f>
        <v>33.200000000000003</v>
      </c>
      <c r="V9" s="54">
        <f>IF($O9="","",ROUND(($O9-$O$3)/1000,1)+(_xlfn.RANK.AVG($O9,($J9,$O9,$T9),1)-2)*20)</f>
        <v>-36</v>
      </c>
      <c r="W9" s="55">
        <f>IF($T9="","",ROUND(($T9-$T$3)/1000,1)+(_xlfn.RANK.AVG($T9,($J9,$O9,$T9),1)-2)*20)</f>
        <v>2.8</v>
      </c>
      <c r="Y9" s="8"/>
      <c r="Z9" s="34"/>
      <c r="AA9" s="26"/>
      <c r="AB9" s="26">
        <v>1</v>
      </c>
      <c r="AC9" s="26">
        <v>2</v>
      </c>
      <c r="AD9" s="30">
        <v>30</v>
      </c>
      <c r="AE9" s="40" t="s">
        <v>86</v>
      </c>
      <c r="AF9" s="41" t="s">
        <v>86</v>
      </c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3</v>
      </c>
      <c r="C10" s="18">
        <f t="shared" si="6"/>
        <v>0</v>
      </c>
      <c r="D10" s="18">
        <f t="shared" si="1"/>
        <v>0</v>
      </c>
      <c r="E10" s="4" t="str">
        <f>IF($F$1="","",$F$1)</f>
        <v>だいち</v>
      </c>
      <c r="F10" s="8" t="s">
        <v>200</v>
      </c>
      <c r="G10" s="9">
        <v>12000</v>
      </c>
      <c r="H10" s="9">
        <v>1000</v>
      </c>
      <c r="I10" s="48">
        <v>0</v>
      </c>
      <c r="J10" s="21">
        <f t="shared" si="2"/>
        <v>61200</v>
      </c>
      <c r="K10" s="8"/>
      <c r="L10" s="9"/>
      <c r="M10" s="9"/>
      <c r="N10" s="48"/>
      <c r="O10" s="21">
        <f t="shared" si="3"/>
        <v>19000</v>
      </c>
      <c r="P10" s="8" t="s">
        <v>201</v>
      </c>
      <c r="Q10" s="9">
        <v>-12000</v>
      </c>
      <c r="R10" s="9">
        <v>-1000</v>
      </c>
      <c r="S10" s="48">
        <v>0</v>
      </c>
      <c r="T10" s="21">
        <f t="shared" si="4"/>
        <v>24800</v>
      </c>
      <c r="U10" s="53">
        <f>IF($J10="","",ROUND(($J10-$J$3)/1000,1)+(_xlfn.RANK.AVG($J10,($J10,$O10,$T10),1)-2)*20)</f>
        <v>46.2</v>
      </c>
      <c r="V10" s="54">
        <f>IF($O10="","",ROUND(($O10-$O$3)/1000,1)+(_xlfn.RANK.AVG($O10,($J10,$O10,$T10),1)-2)*20)</f>
        <v>-36</v>
      </c>
      <c r="W10" s="55">
        <f>IF($T10="","",ROUND(($T10-$T$3)/1000,1)+(_xlfn.RANK.AVG($T10,($J10,$O10,$T10),1)-2)*20)</f>
        <v>-10.199999999999999</v>
      </c>
      <c r="Y10" s="8"/>
      <c r="Z10" s="34"/>
      <c r="AA10" s="26">
        <v>1</v>
      </c>
      <c r="AB10" s="26"/>
      <c r="AC10" s="26">
        <v>4</v>
      </c>
      <c r="AD10" s="30">
        <v>40</v>
      </c>
      <c r="AE10" s="40" t="s">
        <v>202</v>
      </c>
      <c r="AF10" s="41" t="s">
        <v>79</v>
      </c>
      <c r="AG10" s="41" t="s">
        <v>79</v>
      </c>
      <c r="AH10" s="41" t="s">
        <v>80</v>
      </c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>
        <v>1</v>
      </c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IF($J11="","",ROUND(($J11-$J$3)/1000,1)+(_xlfn.RANK.AVG($J11,($J11,$O11,$T11),1)-2)*20)</f>
        <v/>
      </c>
      <c r="V11" s="54" t="str">
        <f>IF($O11="","",ROUND(($O11-$O$3)/1000,1)+(_xlfn.RANK.AVG($O11,($J11,$O11,$T11),1)-2)*20)</f>
        <v/>
      </c>
      <c r="W11" s="55" t="str">
        <f>IF($T11="","",ROUND(($T11-$T$3)/1000,1)+(_xlfn.RANK.AVG($T11,($J11,$O11,$T11),1)-2)*20)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24" priority="5">
      <formula>IF(G4&lt;&gt;"",SUM($G4:$I4,$L4:$N4,$Q4:$S4)-$D4*1000+$D5*1000)</formula>
    </cfRule>
  </conditionalFormatting>
  <conditionalFormatting sqref="F1:G1 I1:L1 S1:T1 N1:Q1">
    <cfRule type="duplicateValues" dxfId="23" priority="4"/>
  </conditionalFormatting>
  <conditionalFormatting sqref="H1">
    <cfRule type="duplicateValues" dxfId="22" priority="3"/>
  </conditionalFormatting>
  <conditionalFormatting sqref="R1">
    <cfRule type="duplicateValues" dxfId="21" priority="2"/>
  </conditionalFormatting>
  <conditionalFormatting sqref="M1">
    <cfRule type="duplicateValues" dxfId="20" priority="1"/>
  </conditionalFormatting>
  <dataValidations count="3">
    <dataValidation type="list" allowBlank="1" showInputMessage="1" showErrorMessage="1" sqref="E4:E30" xr:uid="{2446EBF8-EFD5-478E-996C-DB7B2C8925EE}">
      <formula1>$U$2:$W$2</formula1>
    </dataValidation>
    <dataValidation type="list" showInputMessage="1" showErrorMessage="1" sqref="K4:K30 P4:P30 F4:F30" xr:uid="{ED5A81DB-D717-41A7-810D-0C8985172E5E}">
      <formula1>"ロン,ツモ,放銃,ツモ支払,流局,チョンボ"</formula1>
    </dataValidation>
    <dataValidation type="list" allowBlank="1" showInputMessage="1" sqref="F1:T1" xr:uid="{2856F0F5-2E3A-480A-80E4-23861D886323}">
      <formula1>"だいち,ただ,れんたろう,まっつん,いちかわ,わさび,やなぎ,たか,いっしー,たかの,りくと,のり,てんちゃん,ともき,ぱぱ,ほたに,ゆう,やがさき,あさひ,かわたつ,ちさと,がくと,かこたろう,"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91B53C-CFAA-40FE-B0D7-51EE422CFE91}">
  <sheetPr codeName="Sheet13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192</v>
      </c>
      <c r="G1" s="73"/>
      <c r="H1" s="73"/>
      <c r="I1" s="74"/>
      <c r="J1" s="75"/>
      <c r="K1" s="72" t="s">
        <v>193</v>
      </c>
      <c r="L1" s="73"/>
      <c r="M1" s="73"/>
      <c r="N1" s="74"/>
      <c r="O1" s="75"/>
      <c r="P1" s="72" t="s">
        <v>195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だいち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ただ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ぱぱ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だいち</v>
      </c>
      <c r="V2" s="69" t="str">
        <f>$K$1</f>
        <v>ただ</v>
      </c>
      <c r="W2" s="16" t="str">
        <f>$P$1</f>
        <v>ぱぱ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192</v>
      </c>
      <c r="F4" s="8" t="s">
        <v>207</v>
      </c>
      <c r="G4" s="9">
        <v>1500</v>
      </c>
      <c r="H4" s="9">
        <v>-1000</v>
      </c>
      <c r="I4" s="48"/>
      <c r="J4" s="21">
        <f>IF(COUNTA($F4,$K4,$P4)&gt;0,J3+SUM(G4:I4),"")</f>
        <v>35500</v>
      </c>
      <c r="K4" s="8" t="s">
        <v>207</v>
      </c>
      <c r="L4" s="9">
        <v>1500</v>
      </c>
      <c r="M4" s="9"/>
      <c r="N4" s="48"/>
      <c r="O4" s="21">
        <f>IF(COUNTA($F4,$K4,$P4)&gt;0,O3+SUM(L4:N4),"")</f>
        <v>36500</v>
      </c>
      <c r="P4" s="8" t="s">
        <v>207</v>
      </c>
      <c r="Q4" s="9">
        <v>-3000</v>
      </c>
      <c r="R4" s="9"/>
      <c r="S4" s="48"/>
      <c r="T4" s="21">
        <f>IF(COUNTA($F4,$K4,$P4)&gt;0,T3+SUM(Q4:S4),"")</f>
        <v>32000</v>
      </c>
      <c r="U4" s="53">
        <f>IF($J4="","",ROUND(($J4-$J$3)/1000,1)+(_xlfn.RANK.AVG($J4,($J4,$O4,$T4),1)-2)*20)</f>
        <v>0.5</v>
      </c>
      <c r="V4" s="54">
        <f>IF($O4="","",ROUND(($O4-$O$3)/1000,1)+(_xlfn.RANK.AVG($O4,($J4,$O4,$T4),1)-2)*20)</f>
        <v>21.5</v>
      </c>
      <c r="W4" s="55">
        <f>IF($T4="","",ROUND(($T4-$T$3)/1000,1)+(_xlfn.RANK.AVG($T4,($J4,$O4,$T4),1)-2)*20)</f>
        <v>-23</v>
      </c>
      <c r="Y4" s="8" t="s">
        <v>205</v>
      </c>
      <c r="Z4" s="34"/>
      <c r="AA4" s="26">
        <v>1</v>
      </c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 t="s">
        <v>205</v>
      </c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 t="s">
        <v>204</v>
      </c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1</v>
      </c>
      <c r="E5" s="4" t="str">
        <f>IF($F$1="","",$F$1)</f>
        <v>だいち</v>
      </c>
      <c r="F5" s="8"/>
      <c r="G5" s="9"/>
      <c r="H5" s="9"/>
      <c r="I5" s="48"/>
      <c r="J5" s="21">
        <f t="shared" ref="J5:J30" si="2">IF(COUNTA($F5,$K5,$P5)&gt;0,J4+SUM(G5:I5),"")</f>
        <v>35500</v>
      </c>
      <c r="K5" s="8" t="s">
        <v>201</v>
      </c>
      <c r="L5" s="9">
        <v>-8000</v>
      </c>
      <c r="M5" s="9"/>
      <c r="N5" s="48">
        <v>-1000</v>
      </c>
      <c r="O5" s="21">
        <f t="shared" ref="O5:O30" si="3">IF(COUNTA($F5,$K5,$P5)&gt;0,O4+SUM(L5:N5),"")</f>
        <v>27500</v>
      </c>
      <c r="P5" s="8" t="s">
        <v>200</v>
      </c>
      <c r="Q5" s="9">
        <v>8000</v>
      </c>
      <c r="R5" s="9">
        <v>1000</v>
      </c>
      <c r="S5" s="48">
        <v>1000</v>
      </c>
      <c r="T5" s="21">
        <f t="shared" ref="T5:T30" si="4">IF(COUNTA($F5,$K5,$P5)&gt;0,T4+SUM(Q5:S5),"")</f>
        <v>42000</v>
      </c>
      <c r="U5" s="53">
        <f>IF($J5="","",ROUND(($J5-$J$3)/1000,1)+(_xlfn.RANK.AVG($J5,($J5,$O5,$T5),1)-2)*20)</f>
        <v>0.5</v>
      </c>
      <c r="V5" s="54">
        <f>IF($O5="","",ROUND(($O5-$O$3)/1000,1)+(_xlfn.RANK.AVG($O5,($J5,$O5,$T5),1)-2)*20)</f>
        <v>-27.5</v>
      </c>
      <c r="W5" s="55">
        <f>IF($T5="","",ROUND(($T5-$T$3)/1000,1)+(_xlfn.RANK.AVG($T5,($J5,$O5,$T5),1)-2)*20)</f>
        <v>27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>
        <v>4</v>
      </c>
      <c r="BT5" s="30">
        <v>40</v>
      </c>
      <c r="BU5" s="40" t="s">
        <v>202</v>
      </c>
      <c r="BV5" s="41" t="s">
        <v>86</v>
      </c>
      <c r="BW5" s="41" t="s">
        <v>203</v>
      </c>
      <c r="BX5" s="41" t="s">
        <v>79</v>
      </c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tr">
        <f>IF($K$1="","",$K$1)</f>
        <v>ただ</v>
      </c>
      <c r="F6" s="8"/>
      <c r="G6" s="9"/>
      <c r="H6" s="9"/>
      <c r="I6" s="48"/>
      <c r="J6" s="21">
        <f t="shared" si="2"/>
        <v>35500</v>
      </c>
      <c r="K6" s="8" t="s">
        <v>201</v>
      </c>
      <c r="L6" s="9">
        <v>-3900</v>
      </c>
      <c r="M6" s="9"/>
      <c r="N6" s="48">
        <v>0</v>
      </c>
      <c r="O6" s="21">
        <f t="shared" si="3"/>
        <v>23600</v>
      </c>
      <c r="P6" s="8" t="s">
        <v>200</v>
      </c>
      <c r="Q6" s="9">
        <v>3900</v>
      </c>
      <c r="R6" s="9"/>
      <c r="S6" s="48">
        <v>0</v>
      </c>
      <c r="T6" s="21">
        <f t="shared" si="4"/>
        <v>45900</v>
      </c>
      <c r="U6" s="53">
        <f>IF($J6="","",ROUND(($J6-$J$3)/1000,1)+(_xlfn.RANK.AVG($J6,($J6,$O6,$T6),1)-2)*20)</f>
        <v>0.5</v>
      </c>
      <c r="V6" s="54">
        <f>IF($O6="","",ROUND(($O6-$O$3)/1000,1)+(_xlfn.RANK.AVG($O6,($J6,$O6,$T6),1)-2)*20)</f>
        <v>-31.4</v>
      </c>
      <c r="W6" s="55">
        <f>IF($T6="","",ROUND(($T6-$T$3)/1000,1)+(_xlfn.RANK.AVG($T6,($J6,$O6,$T6),1)-2)*20)</f>
        <v>30.9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>
        <v>1</v>
      </c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>
        <v>1</v>
      </c>
      <c r="BS6" s="26">
        <v>3</v>
      </c>
      <c r="BT6" s="30">
        <v>30</v>
      </c>
      <c r="BU6" s="40" t="s">
        <v>86</v>
      </c>
      <c r="BV6" s="41" t="s">
        <v>199</v>
      </c>
      <c r="BW6" s="41" t="s">
        <v>199</v>
      </c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tr">
        <f>IF($P$1="","",$P$1)</f>
        <v>ぱぱ</v>
      </c>
      <c r="F7" s="8" t="s">
        <v>200</v>
      </c>
      <c r="G7" s="9">
        <v>6400</v>
      </c>
      <c r="H7" s="9"/>
      <c r="I7" s="48">
        <v>0</v>
      </c>
      <c r="J7" s="21">
        <f t="shared" si="2"/>
        <v>41900</v>
      </c>
      <c r="K7" s="8"/>
      <c r="L7" s="9"/>
      <c r="M7" s="9"/>
      <c r="N7" s="48"/>
      <c r="O7" s="21">
        <f t="shared" si="3"/>
        <v>23600</v>
      </c>
      <c r="P7" s="8" t="s">
        <v>201</v>
      </c>
      <c r="Q7" s="9">
        <v>-6400</v>
      </c>
      <c r="R7" s="9"/>
      <c r="S7" s="48">
        <v>0</v>
      </c>
      <c r="T7" s="21">
        <f t="shared" si="4"/>
        <v>39500</v>
      </c>
      <c r="U7" s="53">
        <f>IF($J7="","",ROUND(($J7-$J$3)/1000,1)+(_xlfn.RANK.AVG($J7,($J7,$O7,$T7),1)-2)*20)</f>
        <v>26.9</v>
      </c>
      <c r="V7" s="54">
        <f>IF($O7="","",ROUND(($O7-$O$3)/1000,1)+(_xlfn.RANK.AVG($O7,($J7,$O7,$T7),1)-2)*20)</f>
        <v>-31.4</v>
      </c>
      <c r="W7" s="55">
        <f>IF($T7="","",ROUND(($T7-$T$3)/1000,1)+(_xlfn.RANK.AVG($T7,($J7,$O7,$T7),1)-2)*20)</f>
        <v>4.5</v>
      </c>
      <c r="Y7" s="8"/>
      <c r="Z7" s="34"/>
      <c r="AA7" s="26"/>
      <c r="AB7" s="26"/>
      <c r="AC7" s="26">
        <v>3</v>
      </c>
      <c r="AD7" s="30">
        <v>50</v>
      </c>
      <c r="AE7" s="40" t="s">
        <v>202</v>
      </c>
      <c r="AF7" s="41" t="s">
        <v>86</v>
      </c>
      <c r="AG7" s="41" t="s">
        <v>199</v>
      </c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>
        <v>1</v>
      </c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tr">
        <f>IF($F$1="","",$F$1)</f>
        <v>だいち</v>
      </c>
      <c r="F8" s="8" t="s">
        <v>207</v>
      </c>
      <c r="G8" s="9">
        <v>3000</v>
      </c>
      <c r="H8" s="9"/>
      <c r="I8" s="48"/>
      <c r="J8" s="21">
        <f t="shared" si="2"/>
        <v>44900</v>
      </c>
      <c r="K8" s="8" t="s">
        <v>207</v>
      </c>
      <c r="L8" s="9">
        <v>-1500</v>
      </c>
      <c r="M8" s="9"/>
      <c r="N8" s="48"/>
      <c r="O8" s="21">
        <f t="shared" si="3"/>
        <v>22100</v>
      </c>
      <c r="P8" s="8" t="s">
        <v>207</v>
      </c>
      <c r="Q8" s="9">
        <v>-1500</v>
      </c>
      <c r="R8" s="9"/>
      <c r="S8" s="48"/>
      <c r="T8" s="21">
        <f t="shared" si="4"/>
        <v>38000</v>
      </c>
      <c r="U8" s="53">
        <f>IF($J8="","",ROUND(($J8-$J$3)/1000,1)+(_xlfn.RANK.AVG($J8,($J8,$O8,$T8),1)-2)*20)</f>
        <v>29.9</v>
      </c>
      <c r="V8" s="54">
        <f>IF($O8="","",ROUND(($O8-$O$3)/1000,1)+(_xlfn.RANK.AVG($O8,($J8,$O8,$T8),1)-2)*20)</f>
        <v>-32.9</v>
      </c>
      <c r="W8" s="55">
        <f>IF($T8="","",ROUND(($T8-$T$3)/1000,1)+(_xlfn.RANK.AVG($T8,($J8,$O8,$T8),1)-2)*20)</f>
        <v>3</v>
      </c>
      <c r="Y8" s="8" t="s">
        <v>205</v>
      </c>
      <c r="Z8" s="34"/>
      <c r="AA8" s="26"/>
      <c r="AB8" s="26">
        <v>1</v>
      </c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 t="s">
        <v>204</v>
      </c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 t="s">
        <v>204</v>
      </c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1</v>
      </c>
      <c r="C9" s="18">
        <f t="shared" si="6"/>
        <v>1</v>
      </c>
      <c r="D9" s="18">
        <f t="shared" si="1"/>
        <v>0</v>
      </c>
      <c r="E9" s="4" t="str">
        <f>IF($F$1="","",$F$1)</f>
        <v>だいち</v>
      </c>
      <c r="F9" s="8" t="s">
        <v>196</v>
      </c>
      <c r="G9" s="9">
        <v>-700</v>
      </c>
      <c r="H9" s="9"/>
      <c r="I9" s="48">
        <v>-500</v>
      </c>
      <c r="J9" s="21">
        <f t="shared" si="2"/>
        <v>43700</v>
      </c>
      <c r="K9" s="8" t="s">
        <v>197</v>
      </c>
      <c r="L9" s="9">
        <v>1200</v>
      </c>
      <c r="M9" s="9"/>
      <c r="N9" s="48">
        <v>1000</v>
      </c>
      <c r="O9" s="21">
        <f t="shared" si="3"/>
        <v>24300</v>
      </c>
      <c r="P9" s="8" t="s">
        <v>196</v>
      </c>
      <c r="Q9" s="9">
        <v>-500</v>
      </c>
      <c r="R9" s="9"/>
      <c r="S9" s="48">
        <v>-500</v>
      </c>
      <c r="T9" s="21">
        <f t="shared" si="4"/>
        <v>37000</v>
      </c>
      <c r="U9" s="53">
        <f>IF($J9="","",ROUND(($J9-$J$3)/1000,1)+(_xlfn.RANK.AVG($J9,($J9,$O9,$T9),1)-2)*20)</f>
        <v>28.7</v>
      </c>
      <c r="V9" s="54">
        <f>IF($O9="","",ROUND(($O9-$O$3)/1000,1)+(_xlfn.RANK.AVG($O9,($J9,$O9,$T9),1)-2)*20)</f>
        <v>-30.7</v>
      </c>
      <c r="W9" s="55">
        <f>IF($T9="","",ROUND(($T9-$T$3)/1000,1)+(_xlfn.RANK.AVG($T9,($J9,$O9,$T9),1)-2)*20)</f>
        <v>2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>
        <v>1</v>
      </c>
      <c r="AY9" s="30">
        <v>30</v>
      </c>
      <c r="AZ9" s="40" t="s">
        <v>82</v>
      </c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2</v>
      </c>
      <c r="C10" s="18">
        <f t="shared" si="6"/>
        <v>0</v>
      </c>
      <c r="D10" s="18">
        <f t="shared" si="1"/>
        <v>0</v>
      </c>
      <c r="E10" s="4" t="str">
        <f>IF($K$1="","",$K$1)</f>
        <v>ただ</v>
      </c>
      <c r="F10" s="8"/>
      <c r="G10" s="9"/>
      <c r="H10" s="9"/>
      <c r="I10" s="48"/>
      <c r="J10" s="21">
        <f t="shared" si="2"/>
        <v>43700</v>
      </c>
      <c r="K10" s="8" t="s">
        <v>200</v>
      </c>
      <c r="L10" s="9">
        <v>12000</v>
      </c>
      <c r="M10" s="9"/>
      <c r="N10" s="48">
        <v>0</v>
      </c>
      <c r="O10" s="21">
        <f t="shared" si="3"/>
        <v>36300</v>
      </c>
      <c r="P10" s="8" t="s">
        <v>201</v>
      </c>
      <c r="Q10" s="9">
        <v>-12000</v>
      </c>
      <c r="R10" s="9"/>
      <c r="S10" s="48">
        <v>0</v>
      </c>
      <c r="T10" s="21">
        <f t="shared" si="4"/>
        <v>25000</v>
      </c>
      <c r="U10" s="53">
        <f>IF($J10="","",ROUND(($J10-$J$3)/1000,1)+(_xlfn.RANK.AVG($J10,($J10,$O10,$T10),1)-2)*20)</f>
        <v>28.7</v>
      </c>
      <c r="V10" s="54">
        <f>IF($O10="","",ROUND(($O10-$O$3)/1000,1)+(_xlfn.RANK.AVG($O10,($J10,$O10,$T10),1)-2)*20)</f>
        <v>1.3</v>
      </c>
      <c r="W10" s="55">
        <f>IF($T10="","",ROUND(($T10-$T$3)/1000,1)+(_xlfn.RANK.AVG($T10,($J10,$O10,$T10),1)-2)*20)</f>
        <v>-30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>
        <v>5</v>
      </c>
      <c r="AY10" s="30" t="s">
        <v>198</v>
      </c>
      <c r="AZ10" s="40" t="s">
        <v>104</v>
      </c>
      <c r="BA10" s="41" t="s">
        <v>84</v>
      </c>
      <c r="BB10" s="41" t="s">
        <v>199</v>
      </c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2</v>
      </c>
      <c r="C11" s="18">
        <f t="shared" si="6"/>
        <v>1</v>
      </c>
      <c r="D11" s="18">
        <f t="shared" si="1"/>
        <v>0</v>
      </c>
      <c r="E11" s="4" t="str">
        <f>IF($K$1="","",$K$1)</f>
        <v>ただ</v>
      </c>
      <c r="F11" s="8" t="s">
        <v>196</v>
      </c>
      <c r="G11" s="9">
        <v>-9000</v>
      </c>
      <c r="H11" s="9"/>
      <c r="I11" s="48">
        <v>-500</v>
      </c>
      <c r="J11" s="21">
        <f t="shared" si="2"/>
        <v>34200</v>
      </c>
      <c r="K11" s="8" t="s">
        <v>197</v>
      </c>
      <c r="L11" s="9">
        <v>18000</v>
      </c>
      <c r="M11" s="9"/>
      <c r="N11" s="48">
        <v>1000</v>
      </c>
      <c r="O11" s="21">
        <f t="shared" si="3"/>
        <v>55300</v>
      </c>
      <c r="P11" s="8" t="s">
        <v>196</v>
      </c>
      <c r="Q11" s="9">
        <v>-9000</v>
      </c>
      <c r="R11" s="9"/>
      <c r="S11" s="48">
        <v>-500</v>
      </c>
      <c r="T11" s="21">
        <f t="shared" si="4"/>
        <v>15500</v>
      </c>
      <c r="U11" s="53">
        <f>IF($J11="","",ROUND(($J11-$J$3)/1000,1)+(_xlfn.RANK.AVG($J11,($J11,$O11,$T11),1)-2)*20)</f>
        <v>-0.8</v>
      </c>
      <c r="V11" s="54">
        <f>IF($O11="","",ROUND(($O11-$O$3)/1000,1)+(_xlfn.RANK.AVG($O11,($J11,$O11,$T11),1)-2)*20)</f>
        <v>40.299999999999997</v>
      </c>
      <c r="W11" s="55">
        <f>IF($T11="","",ROUND(($T11-$T$3)/1000,1)+(_xlfn.RANK.AVG($T11,($J11,$O11,$T11),1)-2)*20)</f>
        <v>-39.5</v>
      </c>
      <c r="Y11" s="8"/>
      <c r="Z11" s="34"/>
      <c r="AA11" s="26"/>
      <c r="AB11" s="26">
        <v>1</v>
      </c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>
        <v>1</v>
      </c>
      <c r="AX11" s="26">
        <v>6</v>
      </c>
      <c r="AY11" s="30" t="s">
        <v>198</v>
      </c>
      <c r="AZ11" s="40" t="s">
        <v>98</v>
      </c>
      <c r="BA11" s="41" t="s">
        <v>79</v>
      </c>
      <c r="BB11" s="41" t="s">
        <v>79</v>
      </c>
      <c r="BC11" s="41" t="s">
        <v>79</v>
      </c>
      <c r="BD11" s="41" t="s">
        <v>86</v>
      </c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2</v>
      </c>
      <c r="C12" s="18">
        <f t="shared" si="6"/>
        <v>2</v>
      </c>
      <c r="D12" s="18">
        <f t="shared" si="1"/>
        <v>0</v>
      </c>
      <c r="E12" s="4" t="str">
        <f>IF($K$1="","",$K$1)</f>
        <v>ただ</v>
      </c>
      <c r="F12" s="8" t="s">
        <v>201</v>
      </c>
      <c r="G12" s="9">
        <v>-7700</v>
      </c>
      <c r="H12" s="9"/>
      <c r="I12" s="48">
        <v>-2000</v>
      </c>
      <c r="J12" s="21">
        <f t="shared" si="2"/>
        <v>24500</v>
      </c>
      <c r="K12" s="8" t="s">
        <v>200</v>
      </c>
      <c r="L12" s="9">
        <v>7700</v>
      </c>
      <c r="M12" s="9"/>
      <c r="N12" s="48">
        <v>2000</v>
      </c>
      <c r="O12" s="21">
        <f t="shared" si="3"/>
        <v>65000</v>
      </c>
      <c r="P12" s="8"/>
      <c r="Q12" s="9"/>
      <c r="R12" s="9"/>
      <c r="S12" s="48"/>
      <c r="T12" s="21">
        <f t="shared" si="4"/>
        <v>15500</v>
      </c>
      <c r="U12" s="53">
        <f>IF($J12="","",ROUND(($J12-$J$3)/1000,1)+(_xlfn.RANK.AVG($J12,($J12,$O12,$T12),1)-2)*20)</f>
        <v>-10.5</v>
      </c>
      <c r="V12" s="54">
        <f>IF($O12="","",ROUND(($O12-$O$3)/1000,1)+(_xlfn.RANK.AVG($O12,($J12,$O12,$T12),1)-2)*20)</f>
        <v>50</v>
      </c>
      <c r="W12" s="55">
        <f>IF($T12="","",ROUND(($T12-$T$3)/1000,1)+(_xlfn.RANK.AVG($T12,($J12,$O12,$T12),1)-2)*20)</f>
        <v>-39.5</v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>
        <v>1</v>
      </c>
      <c r="AX12" s="26">
        <v>3</v>
      </c>
      <c r="AY12" s="30">
        <v>40</v>
      </c>
      <c r="AZ12" s="40" t="s">
        <v>86</v>
      </c>
      <c r="BA12" s="41" t="s">
        <v>86</v>
      </c>
      <c r="BB12" s="41" t="s">
        <v>199</v>
      </c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>南</v>
      </c>
      <c r="B13" s="18">
        <f t="shared" si="5"/>
        <v>2</v>
      </c>
      <c r="C13" s="18">
        <f t="shared" si="6"/>
        <v>3</v>
      </c>
      <c r="D13" s="18">
        <f t="shared" si="1"/>
        <v>0</v>
      </c>
      <c r="E13" s="4" t="str">
        <f>IF($K$1="","",$K$1)</f>
        <v>ただ</v>
      </c>
      <c r="F13" s="8" t="s">
        <v>207</v>
      </c>
      <c r="G13" s="9">
        <v>-1500</v>
      </c>
      <c r="H13" s="9"/>
      <c r="I13" s="48"/>
      <c r="J13" s="21">
        <f t="shared" si="2"/>
        <v>23000</v>
      </c>
      <c r="K13" s="8" t="s">
        <v>207</v>
      </c>
      <c r="L13" s="9">
        <v>3000</v>
      </c>
      <c r="M13" s="9">
        <v>-1000</v>
      </c>
      <c r="N13" s="48"/>
      <c r="O13" s="21">
        <f t="shared" si="3"/>
        <v>67000</v>
      </c>
      <c r="P13" s="8" t="s">
        <v>207</v>
      </c>
      <c r="Q13" s="9">
        <v>-1500</v>
      </c>
      <c r="R13" s="9"/>
      <c r="S13" s="48"/>
      <c r="T13" s="21">
        <f t="shared" si="4"/>
        <v>14000</v>
      </c>
      <c r="U13" s="53">
        <f>IF($J13="","",ROUND(($J13-$J$3)/1000,1)+(_xlfn.RANK.AVG($J13,($J13,$O13,$T13),1)-2)*20)</f>
        <v>-12</v>
      </c>
      <c r="V13" s="54">
        <f>IF($O13="","",ROUND(($O13-$O$3)/1000,1)+(_xlfn.RANK.AVG($O13,($J13,$O13,$T13),1)-2)*20)</f>
        <v>52</v>
      </c>
      <c r="W13" s="55">
        <f>IF($T13="","",ROUND(($T13-$T$3)/1000,1)+(_xlfn.RANK.AVG($T13,($J13,$O13,$T13),1)-2)*20)</f>
        <v>-41</v>
      </c>
      <c r="Y13" s="8" t="s">
        <v>204</v>
      </c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 t="s">
        <v>205</v>
      </c>
      <c r="AU13" s="34"/>
      <c r="AV13" s="26">
        <v>1</v>
      </c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 t="s">
        <v>204</v>
      </c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>南</v>
      </c>
      <c r="B14" s="18">
        <f t="shared" si="5"/>
        <v>2</v>
      </c>
      <c r="C14" s="18">
        <f t="shared" si="6"/>
        <v>4</v>
      </c>
      <c r="D14" s="18">
        <f t="shared" si="1"/>
        <v>1</v>
      </c>
      <c r="E14" s="4" t="str">
        <f>IF($K$1="","",$K$1)</f>
        <v>ただ</v>
      </c>
      <c r="F14" s="8" t="s">
        <v>201</v>
      </c>
      <c r="G14" s="9">
        <v>-11600</v>
      </c>
      <c r="H14" s="9"/>
      <c r="I14" s="48">
        <v>-4000</v>
      </c>
      <c r="J14" s="21">
        <f t="shared" si="2"/>
        <v>7400</v>
      </c>
      <c r="K14" s="8" t="s">
        <v>200</v>
      </c>
      <c r="L14" s="9">
        <v>11600</v>
      </c>
      <c r="M14" s="9">
        <v>1000</v>
      </c>
      <c r="N14" s="48">
        <v>4000</v>
      </c>
      <c r="O14" s="21">
        <f t="shared" si="3"/>
        <v>83600</v>
      </c>
      <c r="P14" s="8"/>
      <c r="Q14" s="9"/>
      <c r="R14" s="9"/>
      <c r="S14" s="48"/>
      <c r="T14" s="21">
        <f t="shared" si="4"/>
        <v>14000</v>
      </c>
      <c r="U14" s="53">
        <f>IF($J14="","",ROUND(($J14-$J$3)/1000,1)+(_xlfn.RANK.AVG($J14,($J14,$O14,$T14),1)-2)*20)</f>
        <v>-47.6</v>
      </c>
      <c r="V14" s="54">
        <f>IF($O14="","",ROUND(($O14-$O$3)/1000,1)+(_xlfn.RANK.AVG($O14,($J14,$O14,$T14),1)-2)*20)</f>
        <v>68.599999999999994</v>
      </c>
      <c r="W14" s="55">
        <f>IF($T14="","",ROUND(($T14-$T$3)/1000,1)+(_xlfn.RANK.AVG($T14,($J14,$O14,$T14),1)-2)*20)</f>
        <v>-21</v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>
        <v>1</v>
      </c>
      <c r="AX14" s="26">
        <v>4</v>
      </c>
      <c r="AY14" s="30">
        <v>30</v>
      </c>
      <c r="AZ14" s="40" t="s">
        <v>104</v>
      </c>
      <c r="BA14" s="41" t="s">
        <v>86</v>
      </c>
      <c r="BB14" s="41" t="s">
        <v>199</v>
      </c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>南</v>
      </c>
      <c r="B15" s="18">
        <f t="shared" si="5"/>
        <v>2</v>
      </c>
      <c r="C15" s="18">
        <f t="shared" si="6"/>
        <v>5</v>
      </c>
      <c r="D15" s="18">
        <f t="shared" si="1"/>
        <v>0</v>
      </c>
      <c r="E15" s="4" t="str">
        <f>IF($K$1="","",$K$1)</f>
        <v>ただ</v>
      </c>
      <c r="F15" s="8"/>
      <c r="G15" s="9"/>
      <c r="H15" s="9"/>
      <c r="I15" s="48"/>
      <c r="J15" s="21">
        <f t="shared" si="2"/>
        <v>7400</v>
      </c>
      <c r="K15" s="8" t="s">
        <v>200</v>
      </c>
      <c r="L15" s="9">
        <v>2900</v>
      </c>
      <c r="M15" s="9"/>
      <c r="N15" s="48">
        <v>5000</v>
      </c>
      <c r="O15" s="21">
        <f t="shared" si="3"/>
        <v>91500</v>
      </c>
      <c r="P15" s="8" t="s">
        <v>201</v>
      </c>
      <c r="Q15" s="9">
        <v>-2900</v>
      </c>
      <c r="R15" s="9"/>
      <c r="S15" s="48">
        <v>-5000</v>
      </c>
      <c r="T15" s="21">
        <f t="shared" si="4"/>
        <v>6100</v>
      </c>
      <c r="U15" s="53">
        <f>IF($J15="","",ROUND(($J15-$J$3)/1000,1)+(_xlfn.RANK.AVG($J15,($J15,$O15,$T15),1)-2)*20)</f>
        <v>-27.6</v>
      </c>
      <c r="V15" s="54">
        <f>IF($O15="","",ROUND(($O15-$O$3)/1000,1)+(_xlfn.RANK.AVG($O15,($J15,$O15,$T15),1)-2)*20)</f>
        <v>76.5</v>
      </c>
      <c r="W15" s="55">
        <f>IF($T15="","",ROUND(($T15-$T$3)/1000,1)+(_xlfn.RANK.AVG($T15,($J15,$O15,$T15),1)-2)*20)</f>
        <v>-48.9</v>
      </c>
      <c r="Y15" s="8"/>
      <c r="Z15" s="34"/>
      <c r="AA15" s="26"/>
      <c r="AB15" s="26">
        <v>1</v>
      </c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>
        <v>2</v>
      </c>
      <c r="AY15" s="30">
        <v>30</v>
      </c>
      <c r="AZ15" s="40" t="s">
        <v>83</v>
      </c>
      <c r="BA15" s="41" t="s">
        <v>199</v>
      </c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>
        <v>1</v>
      </c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>南</v>
      </c>
      <c r="B16" s="18">
        <f t="shared" si="5"/>
        <v>2</v>
      </c>
      <c r="C16" s="18">
        <f t="shared" si="6"/>
        <v>6</v>
      </c>
      <c r="D16" s="18">
        <f t="shared" si="1"/>
        <v>0</v>
      </c>
      <c r="E16" s="4" t="str">
        <f>IF($K$1="","",$K$1)</f>
        <v>ただ</v>
      </c>
      <c r="F16" s="8" t="s">
        <v>200</v>
      </c>
      <c r="G16" s="9">
        <v>2000</v>
      </c>
      <c r="H16" s="9"/>
      <c r="I16" s="48">
        <v>6000</v>
      </c>
      <c r="J16" s="21">
        <f t="shared" si="2"/>
        <v>15400</v>
      </c>
      <c r="K16" s="8"/>
      <c r="L16" s="9"/>
      <c r="M16" s="9"/>
      <c r="N16" s="48"/>
      <c r="O16" s="21">
        <f t="shared" si="3"/>
        <v>91500</v>
      </c>
      <c r="P16" s="8" t="s">
        <v>201</v>
      </c>
      <c r="Q16" s="9">
        <v>-2000</v>
      </c>
      <c r="R16" s="9"/>
      <c r="S16" s="48">
        <v>-6000</v>
      </c>
      <c r="T16" s="21">
        <f t="shared" si="4"/>
        <v>-1900</v>
      </c>
      <c r="U16" s="53">
        <f>IF($J16="","",ROUND(($J16-$J$3)/1000,1)+(_xlfn.RANK.AVG($J16,($J16,$O16,$T16),1)-2)*20)</f>
        <v>-19.600000000000001</v>
      </c>
      <c r="V16" s="54">
        <f>IF($O16="","",ROUND(($O16-$O$3)/1000,1)+(_xlfn.RANK.AVG($O16,($J16,$O16,$T16),1)-2)*20)</f>
        <v>76.5</v>
      </c>
      <c r="W16" s="55">
        <f>IF($T16="","",ROUND(($T16-$T$3)/1000,1)+(_xlfn.RANK.AVG($T16,($J16,$O16,$T16),1)-2)*20)</f>
        <v>-56.9</v>
      </c>
      <c r="Y16" s="8"/>
      <c r="Z16" s="34"/>
      <c r="AA16" s="26"/>
      <c r="AB16" s="26">
        <v>1</v>
      </c>
      <c r="AC16" s="26">
        <v>2</v>
      </c>
      <c r="AD16" s="30">
        <v>30</v>
      </c>
      <c r="AE16" s="40" t="s">
        <v>86</v>
      </c>
      <c r="AF16" s="41" t="s">
        <v>79</v>
      </c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>
        <v>1</v>
      </c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19" priority="5">
      <formula>IF(G4&lt;&gt;"",SUM($G4:$I4,$L4:$N4,$Q4:$S4)-$D4*1000+$D5*1000)</formula>
    </cfRule>
  </conditionalFormatting>
  <conditionalFormatting sqref="F1:G1 I1:L1 S1:T1 N1:Q1">
    <cfRule type="duplicateValues" dxfId="18" priority="4"/>
  </conditionalFormatting>
  <conditionalFormatting sqref="H1">
    <cfRule type="duplicateValues" dxfId="17" priority="3"/>
  </conditionalFormatting>
  <conditionalFormatting sqref="R1">
    <cfRule type="duplicateValues" dxfId="16" priority="2"/>
  </conditionalFormatting>
  <conditionalFormatting sqref="M1">
    <cfRule type="duplicateValues" dxfId="15" priority="1"/>
  </conditionalFormatting>
  <dataValidations count="3">
    <dataValidation type="list" allowBlank="1" showInputMessage="1" sqref="F1:T1" xr:uid="{7814F094-379F-4732-A063-050FFF7738A3}">
      <formula1>"だいち,ただ,れんたろう,まっつん,いちかわ,わさび,やなぎ,たか,いっしー,たかの,りくと,のり,てんちゃん,ともき,ぱぱ,ほたに,ゆう,やがさき,あさひ,かわたつ,ちさと,がくと,かこたろう,"</formula1>
    </dataValidation>
    <dataValidation type="list" showInputMessage="1" showErrorMessage="1" sqref="K4:K30 P4:P30 F4:F30" xr:uid="{F00FC4FD-66E6-4177-AA32-BFB4C8F83A94}">
      <formula1>"ロン,ツモ,放銃,ツモ支払,流局,チョンボ"</formula1>
    </dataValidation>
    <dataValidation type="list" allowBlank="1" showInputMessage="1" showErrorMessage="1" sqref="E4:E30" xr:uid="{C935A856-C134-402A-B965-B0106D513AA8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9CECB-AA6A-4FF8-8D65-79829CFBAD30}">
  <sheetPr codeName="Sheet14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192</v>
      </c>
      <c r="G1" s="73"/>
      <c r="H1" s="73"/>
      <c r="I1" s="74"/>
      <c r="J1" s="75"/>
      <c r="K1" s="72" t="s">
        <v>193</v>
      </c>
      <c r="L1" s="73"/>
      <c r="M1" s="73"/>
      <c r="N1" s="74"/>
      <c r="O1" s="75"/>
      <c r="P1" s="72" t="s">
        <v>195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だいち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ただ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ぱぱ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だいち</v>
      </c>
      <c r="V2" s="69" t="str">
        <f>$K$1</f>
        <v>ただ</v>
      </c>
      <c r="W2" s="16" t="str">
        <f>$P$1</f>
        <v>ぱぱ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195</v>
      </c>
      <c r="F4" s="8" t="s">
        <v>207</v>
      </c>
      <c r="G4" s="9">
        <v>0</v>
      </c>
      <c r="H4" s="9">
        <v>-1000</v>
      </c>
      <c r="I4" s="48"/>
      <c r="J4" s="21">
        <f>IF(COUNTA($F4,$K4,$P4)&gt;0,J3+SUM(G4:I4),"")</f>
        <v>34000</v>
      </c>
      <c r="K4" s="8" t="s">
        <v>207</v>
      </c>
      <c r="L4" s="9">
        <v>0</v>
      </c>
      <c r="M4" s="9"/>
      <c r="N4" s="48"/>
      <c r="O4" s="21">
        <f>IF(COUNTA($F4,$K4,$P4)&gt;0,O3+SUM(L4:N4),"")</f>
        <v>35000</v>
      </c>
      <c r="P4" s="8" t="s">
        <v>207</v>
      </c>
      <c r="Q4" s="9">
        <v>0</v>
      </c>
      <c r="R4" s="9"/>
      <c r="S4" s="48"/>
      <c r="T4" s="21">
        <f>IF(COUNTA($F4,$K4,$P4)&gt;0,T3+SUM(Q4:S4),"")</f>
        <v>35000</v>
      </c>
      <c r="U4" s="53">
        <f>IF($J4="","",ROUND(($J4-$J$3)/1000,1)+(_xlfn.RANK.AVG($J4,($J4,$O4,$T4),1)-2)*20)</f>
        <v>-21</v>
      </c>
      <c r="V4" s="54">
        <f>IF($O4="","",ROUND(($O4-$O$3)/1000,1)+(_xlfn.RANK.AVG($O4,($J4,$O4,$T4),1)-2)*20)</f>
        <v>10</v>
      </c>
      <c r="W4" s="55">
        <f>IF($T4="","",ROUND(($T4-$T$3)/1000,1)+(_xlfn.RANK.AVG($T4,($J4,$O4,$T4),1)-2)*20)</f>
        <v>10</v>
      </c>
      <c r="Y4" s="8" t="s">
        <v>205</v>
      </c>
      <c r="Z4" s="34"/>
      <c r="AA4" s="26">
        <v>1</v>
      </c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 t="s">
        <v>205</v>
      </c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 t="s">
        <v>205</v>
      </c>
      <c r="BP4" s="34"/>
      <c r="BQ4" s="26"/>
      <c r="BR4" s="26">
        <v>1</v>
      </c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1</v>
      </c>
      <c r="E5" s="4" t="str">
        <f>IF($P$1="","",$P$1)</f>
        <v>ぱぱ</v>
      </c>
      <c r="F5" s="8" t="s">
        <v>196</v>
      </c>
      <c r="G5" s="9">
        <v>-2900</v>
      </c>
      <c r="H5" s="9"/>
      <c r="I5" s="48">
        <v>-500</v>
      </c>
      <c r="J5" s="21">
        <f t="shared" ref="J5:J30" si="2">IF(COUNTA($F5,$K5,$P5)&gt;0,J4+SUM(G5:I5),"")</f>
        <v>30600</v>
      </c>
      <c r="K5" s="8" t="s">
        <v>197</v>
      </c>
      <c r="L5" s="9">
        <v>7700</v>
      </c>
      <c r="M5" s="9">
        <v>1000</v>
      </c>
      <c r="N5" s="48">
        <v>1000</v>
      </c>
      <c r="O5" s="21">
        <f t="shared" ref="O5:O30" si="3">IF(COUNTA($F5,$K5,$P5)&gt;0,O4+SUM(L5:N5),"")</f>
        <v>44700</v>
      </c>
      <c r="P5" s="8" t="s">
        <v>196</v>
      </c>
      <c r="Q5" s="9">
        <v>-4800</v>
      </c>
      <c r="R5" s="9"/>
      <c r="S5" s="48">
        <v>-500</v>
      </c>
      <c r="T5" s="21">
        <f t="shared" ref="T5:T30" si="4">IF(COUNTA($F5,$K5,$P5)&gt;0,T4+SUM(Q5:S5),"")</f>
        <v>29700</v>
      </c>
      <c r="U5" s="53">
        <f>IF($J5="","",ROUND(($J5-$J$3)/1000,1)+(_xlfn.RANK.AVG($J5,($J5,$O5,$T5),1)-2)*20)</f>
        <v>-4.4000000000000004</v>
      </c>
      <c r="V5" s="54">
        <f>IF($O5="","",ROUND(($O5-$O$3)/1000,1)+(_xlfn.RANK.AVG($O5,($J5,$O5,$T5),1)-2)*20)</f>
        <v>29.7</v>
      </c>
      <c r="W5" s="55">
        <f>IF($T5="","",ROUND(($T5-$T$3)/1000,1)+(_xlfn.RANK.AVG($T5,($J5,$O5,$T5),1)-2)*20)</f>
        <v>-25.3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>
        <v>4</v>
      </c>
      <c r="AY5" s="30">
        <v>30</v>
      </c>
      <c r="AZ5" s="40" t="s">
        <v>202</v>
      </c>
      <c r="BA5" s="41" t="s">
        <v>82</v>
      </c>
      <c r="BB5" s="41" t="s">
        <v>79</v>
      </c>
      <c r="BC5" s="41" t="s">
        <v>80</v>
      </c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>
        <v>1</v>
      </c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tr">
        <f>IF($F$1="","",$F$1)</f>
        <v>だいち</v>
      </c>
      <c r="F6" s="8" t="s">
        <v>200</v>
      </c>
      <c r="G6" s="9">
        <v>5800</v>
      </c>
      <c r="H6" s="9"/>
      <c r="I6" s="48">
        <v>0</v>
      </c>
      <c r="J6" s="21">
        <f t="shared" si="2"/>
        <v>36400</v>
      </c>
      <c r="K6" s="8"/>
      <c r="L6" s="9"/>
      <c r="M6" s="9"/>
      <c r="N6" s="48"/>
      <c r="O6" s="21">
        <f t="shared" si="3"/>
        <v>44700</v>
      </c>
      <c r="P6" s="8" t="s">
        <v>201</v>
      </c>
      <c r="Q6" s="9">
        <v>-5800</v>
      </c>
      <c r="R6" s="9"/>
      <c r="S6" s="48">
        <v>0</v>
      </c>
      <c r="T6" s="21">
        <f t="shared" si="4"/>
        <v>23900</v>
      </c>
      <c r="U6" s="53">
        <f>IF($J6="","",ROUND(($J6-$J$3)/1000,1)+(_xlfn.RANK.AVG($J6,($J6,$O6,$T6),1)-2)*20)</f>
        <v>1.4</v>
      </c>
      <c r="V6" s="54">
        <f>IF($O6="","",ROUND(($O6-$O$3)/1000,1)+(_xlfn.RANK.AVG($O6,($J6,$O6,$T6),1)-2)*20)</f>
        <v>29.7</v>
      </c>
      <c r="W6" s="55">
        <f>IF($T6="","",ROUND(($T6-$T$3)/1000,1)+(_xlfn.RANK.AVG($T6,($J6,$O6,$T6),1)-2)*20)</f>
        <v>-31.1</v>
      </c>
      <c r="Y6" s="8"/>
      <c r="Z6" s="34"/>
      <c r="AA6" s="26"/>
      <c r="AB6" s="26">
        <v>1</v>
      </c>
      <c r="AC6" s="26">
        <v>3</v>
      </c>
      <c r="AD6" s="30">
        <v>30</v>
      </c>
      <c r="AE6" s="40" t="s">
        <v>104</v>
      </c>
      <c r="AF6" s="41" t="s">
        <v>86</v>
      </c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2</v>
      </c>
      <c r="C7" s="18">
        <f t="shared" si="6"/>
        <v>1</v>
      </c>
      <c r="D7" s="18">
        <f t="shared" si="1"/>
        <v>0</v>
      </c>
      <c r="E7" s="4" t="str">
        <f>IF($F$1="","",$F$1)</f>
        <v>だいち</v>
      </c>
      <c r="F7" s="8" t="s">
        <v>196</v>
      </c>
      <c r="G7" s="9">
        <v>-1300</v>
      </c>
      <c r="H7" s="9"/>
      <c r="I7" s="48">
        <v>-500</v>
      </c>
      <c r="J7" s="21">
        <f t="shared" si="2"/>
        <v>34600</v>
      </c>
      <c r="K7" s="8" t="s">
        <v>196</v>
      </c>
      <c r="L7" s="9">
        <v>-800</v>
      </c>
      <c r="M7" s="9"/>
      <c r="N7" s="48">
        <v>-500</v>
      </c>
      <c r="O7" s="21">
        <f t="shared" si="3"/>
        <v>43400</v>
      </c>
      <c r="P7" s="8" t="s">
        <v>197</v>
      </c>
      <c r="Q7" s="9">
        <v>2100</v>
      </c>
      <c r="R7" s="9"/>
      <c r="S7" s="48">
        <v>1000</v>
      </c>
      <c r="T7" s="21">
        <f t="shared" si="4"/>
        <v>27000</v>
      </c>
      <c r="U7" s="53">
        <f>IF($J7="","",ROUND(($J7-$J$3)/1000,1)+(_xlfn.RANK.AVG($J7,($J7,$O7,$T7),1)-2)*20)</f>
        <v>-0.4</v>
      </c>
      <c r="V7" s="54">
        <f>IF($O7="","",ROUND(($O7-$O$3)/1000,1)+(_xlfn.RANK.AVG($O7,($J7,$O7,$T7),1)-2)*20)</f>
        <v>28.4</v>
      </c>
      <c r="W7" s="55">
        <f>IF($T7="","",ROUND(($T7-$T$3)/1000,1)+(_xlfn.RANK.AVG($T7,($J7,$O7,$T7),1)-2)*20)</f>
        <v>-28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>
        <v>1</v>
      </c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>
        <v>2</v>
      </c>
      <c r="BT7" s="30">
        <v>30</v>
      </c>
      <c r="BU7" s="40" t="s">
        <v>82</v>
      </c>
      <c r="BV7" s="41" t="s">
        <v>85</v>
      </c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0</v>
      </c>
      <c r="D8" s="18">
        <f t="shared" si="1"/>
        <v>0</v>
      </c>
      <c r="E8" s="4" t="str">
        <f>IF($K$1="","",$K$1)</f>
        <v>ただ</v>
      </c>
      <c r="F8" s="8" t="s">
        <v>200</v>
      </c>
      <c r="G8" s="9">
        <v>8000</v>
      </c>
      <c r="H8" s="9">
        <v>1000</v>
      </c>
      <c r="I8" s="48">
        <v>0</v>
      </c>
      <c r="J8" s="21">
        <f t="shared" si="2"/>
        <v>43600</v>
      </c>
      <c r="K8" s="8" t="s">
        <v>201</v>
      </c>
      <c r="L8" s="9">
        <v>-8000</v>
      </c>
      <c r="M8" s="9"/>
      <c r="N8" s="48">
        <v>0</v>
      </c>
      <c r="O8" s="21">
        <f t="shared" si="3"/>
        <v>35400</v>
      </c>
      <c r="P8" s="8"/>
      <c r="Q8" s="9"/>
      <c r="R8" s="9">
        <v>-1000</v>
      </c>
      <c r="S8" s="48"/>
      <c r="T8" s="21">
        <f t="shared" si="4"/>
        <v>26000</v>
      </c>
      <c r="U8" s="53">
        <f>IF($J8="","",ROUND(($J8-$J$3)/1000,1)+(_xlfn.RANK.AVG($J8,($J8,$O8,$T8),1)-2)*20)</f>
        <v>28.6</v>
      </c>
      <c r="V8" s="54">
        <f>IF($O8="","",ROUND(($O8-$O$3)/1000,1)+(_xlfn.RANK.AVG($O8,($J8,$O8,$T8),1)-2)*20)</f>
        <v>0.4</v>
      </c>
      <c r="W8" s="55">
        <f>IF($T8="","",ROUND(($T8-$T$3)/1000,1)+(_xlfn.RANK.AVG($T8,($J8,$O8,$T8),1)-2)*20)</f>
        <v>-29</v>
      </c>
      <c r="Y8" s="8"/>
      <c r="Z8" s="34"/>
      <c r="AA8" s="26">
        <v>1</v>
      </c>
      <c r="AB8" s="26"/>
      <c r="AC8" s="26">
        <v>4</v>
      </c>
      <c r="AD8" s="30">
        <v>70</v>
      </c>
      <c r="AE8" s="40" t="s">
        <v>202</v>
      </c>
      <c r="AF8" s="41" t="s">
        <v>203</v>
      </c>
      <c r="AG8" s="41" t="s">
        <v>86</v>
      </c>
      <c r="AH8" s="41" t="s">
        <v>86</v>
      </c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>
        <v>1</v>
      </c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1</v>
      </c>
      <c r="C9" s="18">
        <f t="shared" si="6"/>
        <v>0</v>
      </c>
      <c r="D9" s="18">
        <f t="shared" si="1"/>
        <v>0</v>
      </c>
      <c r="E9" s="4" t="str">
        <f>IF($P$1="","",$P$1)</f>
        <v>ぱぱ</v>
      </c>
      <c r="F9" s="8" t="s">
        <v>200</v>
      </c>
      <c r="G9" s="9">
        <v>5200</v>
      </c>
      <c r="H9" s="9">
        <v>1000</v>
      </c>
      <c r="I9" s="48">
        <v>0</v>
      </c>
      <c r="J9" s="21">
        <f t="shared" si="2"/>
        <v>49800</v>
      </c>
      <c r="K9" s="8" t="s">
        <v>201</v>
      </c>
      <c r="L9" s="9">
        <v>-5200</v>
      </c>
      <c r="M9" s="9"/>
      <c r="N9" s="48">
        <v>0</v>
      </c>
      <c r="O9" s="21">
        <f t="shared" si="3"/>
        <v>30200</v>
      </c>
      <c r="P9" s="8"/>
      <c r="Q9" s="9"/>
      <c r="R9" s="9">
        <v>-1000</v>
      </c>
      <c r="S9" s="48"/>
      <c r="T9" s="21">
        <f t="shared" si="4"/>
        <v>25000</v>
      </c>
      <c r="U9" s="53">
        <f>IF($J9="","",ROUND(($J9-$J$3)/1000,1)+(_xlfn.RANK.AVG($J9,($J9,$O9,$T9),1)-2)*20)</f>
        <v>34.799999999999997</v>
      </c>
      <c r="V9" s="54">
        <f>IF($O9="","",ROUND(($O9-$O$3)/1000,1)+(_xlfn.RANK.AVG($O9,($J9,$O9,$T9),1)-2)*20)</f>
        <v>-4.8</v>
      </c>
      <c r="W9" s="55">
        <f>IF($T9="","",ROUND(($T9-$T$3)/1000,1)+(_xlfn.RANK.AVG($T9,($J9,$O9,$T9),1)-2)*20)</f>
        <v>-30</v>
      </c>
      <c r="Y9" s="8"/>
      <c r="Z9" s="34"/>
      <c r="AA9" s="26"/>
      <c r="AB9" s="26"/>
      <c r="AC9" s="26">
        <v>3</v>
      </c>
      <c r="AD9" s="30">
        <v>40</v>
      </c>
      <c r="AE9" s="40" t="s">
        <v>85</v>
      </c>
      <c r="AF9" s="41" t="s">
        <v>84</v>
      </c>
      <c r="AG9" s="41" t="s">
        <v>199</v>
      </c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2</v>
      </c>
      <c r="C10" s="18">
        <f t="shared" si="6"/>
        <v>0</v>
      </c>
      <c r="D10" s="18">
        <f t="shared" si="1"/>
        <v>0</v>
      </c>
      <c r="E10" s="4" t="str">
        <f>IF($F$1="","",$F$1)</f>
        <v>だいち</v>
      </c>
      <c r="F10" s="8" t="s">
        <v>200</v>
      </c>
      <c r="G10" s="9">
        <v>5800</v>
      </c>
      <c r="H10" s="9"/>
      <c r="I10" s="48">
        <v>0</v>
      </c>
      <c r="J10" s="21">
        <f t="shared" si="2"/>
        <v>55600</v>
      </c>
      <c r="K10" s="8" t="s">
        <v>201</v>
      </c>
      <c r="L10" s="9">
        <v>-5800</v>
      </c>
      <c r="M10" s="9"/>
      <c r="N10" s="48">
        <v>0</v>
      </c>
      <c r="O10" s="21">
        <f t="shared" si="3"/>
        <v>24400</v>
      </c>
      <c r="P10" s="8"/>
      <c r="Q10" s="9"/>
      <c r="R10" s="9"/>
      <c r="S10" s="48"/>
      <c r="T10" s="21">
        <f t="shared" si="4"/>
        <v>25000</v>
      </c>
      <c r="U10" s="53">
        <f>IF($J10="","",ROUND(($J10-$J$3)/1000,1)+(_xlfn.RANK.AVG($J10,($J10,$O10,$T10),1)-2)*20)</f>
        <v>40.6</v>
      </c>
      <c r="V10" s="54">
        <f>IF($O10="","",ROUND(($O10-$O$3)/1000,1)+(_xlfn.RANK.AVG($O10,($J10,$O10,$T10),1)-2)*20)</f>
        <v>-30.6</v>
      </c>
      <c r="W10" s="55">
        <f>IF($T10="","",ROUND(($T10-$T$3)/1000,1)+(_xlfn.RANK.AVG($T10,($J10,$O10,$T10),1)-2)*20)</f>
        <v>-10</v>
      </c>
      <c r="Y10" s="8"/>
      <c r="Z10" s="34"/>
      <c r="AA10" s="26"/>
      <c r="AB10" s="26">
        <v>1</v>
      </c>
      <c r="AC10" s="26">
        <v>3</v>
      </c>
      <c r="AD10" s="30">
        <v>30</v>
      </c>
      <c r="AE10" s="40" t="s">
        <v>86</v>
      </c>
      <c r="AF10" s="41" t="s">
        <v>104</v>
      </c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2</v>
      </c>
      <c r="C11" s="18">
        <f t="shared" si="6"/>
        <v>1</v>
      </c>
      <c r="D11" s="18">
        <f t="shared" si="1"/>
        <v>0</v>
      </c>
      <c r="E11" s="4" t="str">
        <f>IF($F$1="","",$F$1)</f>
        <v>だいち</v>
      </c>
      <c r="F11" s="8" t="s">
        <v>196</v>
      </c>
      <c r="G11" s="9">
        <v>-2500</v>
      </c>
      <c r="H11" s="9">
        <v>-1000</v>
      </c>
      <c r="I11" s="48">
        <v>-500</v>
      </c>
      <c r="J11" s="21">
        <f t="shared" si="2"/>
        <v>51600</v>
      </c>
      <c r="K11" s="8" t="s">
        <v>197</v>
      </c>
      <c r="L11" s="9">
        <v>4000</v>
      </c>
      <c r="M11" s="9">
        <v>1000</v>
      </c>
      <c r="N11" s="48">
        <v>1000</v>
      </c>
      <c r="O11" s="21">
        <f t="shared" si="3"/>
        <v>30400</v>
      </c>
      <c r="P11" s="8" t="s">
        <v>196</v>
      </c>
      <c r="Q11" s="9">
        <v>-1500</v>
      </c>
      <c r="R11" s="9"/>
      <c r="S11" s="48">
        <v>-500</v>
      </c>
      <c r="T11" s="21">
        <f t="shared" si="4"/>
        <v>23000</v>
      </c>
      <c r="U11" s="53">
        <f>IF($J11="","",ROUND(($J11-$J$3)/1000,1)+(_xlfn.RANK.AVG($J11,($J11,$O11,$T11),1)-2)*20)</f>
        <v>36.6</v>
      </c>
      <c r="V11" s="54">
        <f>IF($O11="","",ROUND(($O11-$O$3)/1000,1)+(_xlfn.RANK.AVG($O11,($J11,$O11,$T11),1)-2)*20)</f>
        <v>-4.5999999999999996</v>
      </c>
      <c r="W11" s="55">
        <f>IF($T11="","",ROUND(($T11-$T$3)/1000,1)+(_xlfn.RANK.AVG($T11,($J11,$O11,$T11),1)-2)*20)</f>
        <v>-32</v>
      </c>
      <c r="Y11" s="8"/>
      <c r="Z11" s="34"/>
      <c r="AA11" s="26">
        <v>1</v>
      </c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>
        <v>1</v>
      </c>
      <c r="AX11" s="26">
        <v>3</v>
      </c>
      <c r="AY11" s="30">
        <v>30</v>
      </c>
      <c r="AZ11" s="40" t="s">
        <v>86</v>
      </c>
      <c r="BA11" s="41" t="s">
        <v>79</v>
      </c>
      <c r="BB11" s="41" t="s">
        <v>199</v>
      </c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3</v>
      </c>
      <c r="C12" s="18">
        <f t="shared" si="6"/>
        <v>0</v>
      </c>
      <c r="D12" s="18">
        <f t="shared" si="1"/>
        <v>0</v>
      </c>
      <c r="E12" s="4" t="str">
        <f>IF($K$1="","",$K$1)</f>
        <v>ただ</v>
      </c>
      <c r="F12" s="8" t="s">
        <v>207</v>
      </c>
      <c r="G12" s="9">
        <v>-1500</v>
      </c>
      <c r="H12" s="9"/>
      <c r="I12" s="48"/>
      <c r="J12" s="21">
        <f t="shared" si="2"/>
        <v>50100</v>
      </c>
      <c r="K12" s="8" t="s">
        <v>207</v>
      </c>
      <c r="L12" s="9">
        <v>-1500</v>
      </c>
      <c r="M12" s="9"/>
      <c r="N12" s="48"/>
      <c r="O12" s="21">
        <f t="shared" si="3"/>
        <v>28900</v>
      </c>
      <c r="P12" s="8" t="s">
        <v>207</v>
      </c>
      <c r="Q12" s="9">
        <v>3000</v>
      </c>
      <c r="R12" s="9"/>
      <c r="S12" s="48"/>
      <c r="T12" s="21">
        <f t="shared" si="4"/>
        <v>26000</v>
      </c>
      <c r="U12" s="53">
        <f>IF($J12="","",ROUND(($J12-$J$3)/1000,1)+(_xlfn.RANK.AVG($J12,($J12,$O12,$T12),1)-2)*20)</f>
        <v>35.1</v>
      </c>
      <c r="V12" s="54">
        <f>IF($O12="","",ROUND(($O12-$O$3)/1000,1)+(_xlfn.RANK.AVG($O12,($J12,$O12,$T12),1)-2)*20)</f>
        <v>-6.1</v>
      </c>
      <c r="W12" s="55">
        <f>IF($T12="","",ROUND(($T12-$T$3)/1000,1)+(_xlfn.RANK.AVG($T12,($J12,$O12,$T12),1)-2)*20)</f>
        <v>-29</v>
      </c>
      <c r="Y12" s="8" t="s">
        <v>204</v>
      </c>
      <c r="Z12" s="34"/>
      <c r="AA12" s="26"/>
      <c r="AB12" s="26">
        <v>1</v>
      </c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 t="s">
        <v>204</v>
      </c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 t="s">
        <v>205</v>
      </c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3">
    <dataValidation type="list" allowBlank="1" showInputMessage="1" showErrorMessage="1" sqref="E4:E30" xr:uid="{B64466C0-FE89-49AB-A039-B1CF8A53F0FC}">
      <formula1>$U$2:$W$2</formula1>
    </dataValidation>
    <dataValidation type="list" showInputMessage="1" showErrorMessage="1" sqref="K4:K30 P4:P30 F4:F30" xr:uid="{C6D1583B-61CE-4FA2-944B-2E25BB9C08EC}">
      <formula1>"ロン,ツモ,放銃,ツモ支払,流局,チョンボ"</formula1>
    </dataValidation>
    <dataValidation type="list" allowBlank="1" showInputMessage="1" sqref="F1:T1" xr:uid="{D6F7DD92-27A9-408C-B196-4EB9742762EB}">
      <formula1>"だいち,ただ,れんたろう,まっつん,いちかわ,わさび,やなぎ,たか,いっしー,たかの,りくと,のり,てんちゃん,ともき,ぱぱ,ほたに,ゆう,やがさき,あさひ,かわたつ,ちさと,がくと,かこたろう,"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FA4280-B0F2-45AF-9CC6-D20F75C51E25}">
  <sheetPr codeName="Sheet15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192</v>
      </c>
      <c r="G1" s="73"/>
      <c r="H1" s="73"/>
      <c r="I1" s="74"/>
      <c r="J1" s="75"/>
      <c r="K1" s="72" t="s">
        <v>193</v>
      </c>
      <c r="L1" s="73"/>
      <c r="M1" s="73"/>
      <c r="N1" s="74"/>
      <c r="O1" s="75"/>
      <c r="P1" s="72" t="s">
        <v>195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だいち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ただ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ぱぱ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だいち</v>
      </c>
      <c r="V2" s="69" t="str">
        <f>$K$1</f>
        <v>ただ</v>
      </c>
      <c r="W2" s="16" t="str">
        <f>$P$1</f>
        <v>ぱぱ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192</v>
      </c>
      <c r="F4" s="8" t="s">
        <v>196</v>
      </c>
      <c r="G4" s="9">
        <v>-2500</v>
      </c>
      <c r="H4" s="9">
        <v>-1000</v>
      </c>
      <c r="I4" s="48">
        <v>0</v>
      </c>
      <c r="J4" s="21">
        <f>IF(COUNTA($F4,$K4,$P4)&gt;0,J3+SUM(G4:I4),"")</f>
        <v>31500</v>
      </c>
      <c r="K4" s="8" t="s">
        <v>197</v>
      </c>
      <c r="L4" s="9">
        <v>4000</v>
      </c>
      <c r="M4" s="9">
        <v>3000</v>
      </c>
      <c r="N4" s="48">
        <v>0</v>
      </c>
      <c r="O4" s="21">
        <f>IF(COUNTA($F4,$K4,$P4)&gt;0,O3+SUM(L4:N4),"")</f>
        <v>42000</v>
      </c>
      <c r="P4" s="8" t="s">
        <v>196</v>
      </c>
      <c r="Q4" s="9">
        <v>-1500</v>
      </c>
      <c r="R4" s="9">
        <v>-2000</v>
      </c>
      <c r="S4" s="48">
        <v>0</v>
      </c>
      <c r="T4" s="21">
        <f>IF(COUNTA($F4,$K4,$P4)&gt;0,T3+SUM(Q4:S4),"")</f>
        <v>31500</v>
      </c>
      <c r="U4" s="53">
        <f>IF($J4="","",ROUND(($J4-$J$3)/1000,1)+(_xlfn.RANK.AVG($J4,($J4,$O4,$T4),1)-2)*20)</f>
        <v>-13.5</v>
      </c>
      <c r="V4" s="54">
        <f>IF($O4="","",ROUND(($O4-$O$3)/1000,1)+(_xlfn.RANK.AVG($O4,($J4,$O4,$T4),1)-2)*20)</f>
        <v>27</v>
      </c>
      <c r="W4" s="55">
        <f>IF($T4="","",ROUND(($T4-$T$3)/1000,1)+(_xlfn.RANK.AVG($T4,($J4,$O4,$T4),1)-2)*20)</f>
        <v>-13.5</v>
      </c>
      <c r="Y4" s="8"/>
      <c r="Z4" s="34"/>
      <c r="AA4" s="26">
        <v>1</v>
      </c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>
        <v>3</v>
      </c>
      <c r="AY4" s="30">
        <v>30</v>
      </c>
      <c r="AZ4" s="40" t="s">
        <v>202</v>
      </c>
      <c r="BA4" s="41" t="s">
        <v>82</v>
      </c>
      <c r="BB4" s="41" t="s">
        <v>79</v>
      </c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IF($K$1="","",$K$1)</f>
        <v>ただ</v>
      </c>
      <c r="F5" s="8"/>
      <c r="G5" s="9"/>
      <c r="H5" s="9"/>
      <c r="I5" s="48"/>
      <c r="J5" s="21">
        <f t="shared" ref="J5:J30" si="2">IF(COUNTA($F5,$K5,$P5)&gt;0,J4+SUM(G5:I5),"")</f>
        <v>31500</v>
      </c>
      <c r="K5" s="8" t="s">
        <v>201</v>
      </c>
      <c r="L5" s="9">
        <v>-7700</v>
      </c>
      <c r="M5" s="9"/>
      <c r="N5" s="48">
        <v>0</v>
      </c>
      <c r="O5" s="21">
        <f t="shared" ref="O5:O30" si="3">IF(COUNTA($F5,$K5,$P5)&gt;0,O4+SUM(L5:N5),"")</f>
        <v>34300</v>
      </c>
      <c r="P5" s="8" t="s">
        <v>200</v>
      </c>
      <c r="Q5" s="9">
        <v>7700</v>
      </c>
      <c r="R5" s="9"/>
      <c r="S5" s="48">
        <v>0</v>
      </c>
      <c r="T5" s="21">
        <f t="shared" ref="T5:T30" si="4">IF(COUNTA($F5,$K5,$P5)&gt;0,T4+SUM(Q5:S5),"")</f>
        <v>39200</v>
      </c>
      <c r="U5" s="53">
        <f>IF($J5="","",ROUND(($J5-$J$3)/1000,1)+(_xlfn.RANK.AVG($J5,($J5,$O5,$T5),1)-2)*20)</f>
        <v>-23.5</v>
      </c>
      <c r="V5" s="54">
        <f>IF($O5="","",ROUND(($O5-$O$3)/1000,1)+(_xlfn.RANK.AVG($O5,($J5,$O5,$T5),1)-2)*20)</f>
        <v>-0.7</v>
      </c>
      <c r="W5" s="55">
        <f>IF($T5="","",ROUND(($T5-$T$3)/1000,1)+(_xlfn.RANK.AVG($T5,($J5,$O5,$T5),1)-2)*20)</f>
        <v>24.2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>
        <v>4</v>
      </c>
      <c r="BT5" s="30">
        <v>30</v>
      </c>
      <c r="BU5" s="40" t="s">
        <v>202</v>
      </c>
      <c r="BV5" s="41" t="s">
        <v>83</v>
      </c>
      <c r="BW5" s="41" t="s">
        <v>84</v>
      </c>
      <c r="BX5" s="41" t="s">
        <v>85</v>
      </c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tr">
        <f>IF($P$1="","",$P$1)</f>
        <v>ぱぱ</v>
      </c>
      <c r="F6" s="8" t="s">
        <v>207</v>
      </c>
      <c r="G6" s="9">
        <v>1500</v>
      </c>
      <c r="H6" s="9">
        <v>-1000</v>
      </c>
      <c r="I6" s="48"/>
      <c r="J6" s="21">
        <f t="shared" si="2"/>
        <v>32000</v>
      </c>
      <c r="K6" s="8" t="s">
        <v>207</v>
      </c>
      <c r="L6" s="9">
        <v>-3000</v>
      </c>
      <c r="M6" s="9"/>
      <c r="N6" s="48"/>
      <c r="O6" s="21">
        <f t="shared" si="3"/>
        <v>31300</v>
      </c>
      <c r="P6" s="8" t="s">
        <v>207</v>
      </c>
      <c r="Q6" s="9">
        <v>1500</v>
      </c>
      <c r="R6" s="9"/>
      <c r="S6" s="48"/>
      <c r="T6" s="21">
        <f t="shared" si="4"/>
        <v>40700</v>
      </c>
      <c r="U6" s="53">
        <f>IF($J6="","",ROUND(($J6-$J$3)/1000,1)+(_xlfn.RANK.AVG($J6,($J6,$O6,$T6),1)-2)*20)</f>
        <v>-3</v>
      </c>
      <c r="V6" s="54">
        <f>IF($O6="","",ROUND(($O6-$O$3)/1000,1)+(_xlfn.RANK.AVG($O6,($J6,$O6,$T6),1)-2)*20)</f>
        <v>-23.7</v>
      </c>
      <c r="W6" s="55">
        <f>IF($T6="","",ROUND(($T6-$T$3)/1000,1)+(_xlfn.RANK.AVG($T6,($J6,$O6,$T6),1)-2)*20)</f>
        <v>25.7</v>
      </c>
      <c r="Y6" s="8" t="s">
        <v>205</v>
      </c>
      <c r="Z6" s="34"/>
      <c r="AA6" s="26">
        <v>1</v>
      </c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 t="s">
        <v>204</v>
      </c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 t="s">
        <v>205</v>
      </c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1</v>
      </c>
      <c r="D7" s="18">
        <f t="shared" si="1"/>
        <v>1</v>
      </c>
      <c r="E7" s="4" t="str">
        <f>IF($P$1="","",$P$1)</f>
        <v>ぱぱ</v>
      </c>
      <c r="F7" s="8"/>
      <c r="G7" s="9"/>
      <c r="H7" s="9"/>
      <c r="I7" s="48"/>
      <c r="J7" s="21">
        <f t="shared" si="2"/>
        <v>32000</v>
      </c>
      <c r="K7" s="8" t="s">
        <v>201</v>
      </c>
      <c r="L7" s="9">
        <v>-12000</v>
      </c>
      <c r="M7" s="9"/>
      <c r="N7" s="48">
        <v>-1000</v>
      </c>
      <c r="O7" s="21">
        <f t="shared" si="3"/>
        <v>18300</v>
      </c>
      <c r="P7" s="8" t="s">
        <v>200</v>
      </c>
      <c r="Q7" s="9">
        <v>12000</v>
      </c>
      <c r="R7" s="9">
        <v>1000</v>
      </c>
      <c r="S7" s="48">
        <v>1000</v>
      </c>
      <c r="T7" s="21">
        <f t="shared" si="4"/>
        <v>54700</v>
      </c>
      <c r="U7" s="53">
        <f>IF($J7="","",ROUND(($J7-$J$3)/1000,1)+(_xlfn.RANK.AVG($J7,($J7,$O7,$T7),1)-2)*20)</f>
        <v>-3</v>
      </c>
      <c r="V7" s="54">
        <f>IF($O7="","",ROUND(($O7-$O$3)/1000,1)+(_xlfn.RANK.AVG($O7,($J7,$O7,$T7),1)-2)*20)</f>
        <v>-36.700000000000003</v>
      </c>
      <c r="W7" s="55">
        <f>IF($T7="","",ROUND(($T7-$T$3)/1000,1)+(_xlfn.RANK.AVG($T7,($J7,$O7,$T7),1)-2)*20)</f>
        <v>39.700000000000003</v>
      </c>
      <c r="Y7" s="8"/>
      <c r="Z7" s="34"/>
      <c r="AA7" s="26"/>
      <c r="AB7" s="26">
        <v>1</v>
      </c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>
        <v>1</v>
      </c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>
        <v>5</v>
      </c>
      <c r="BT7" s="30" t="s">
        <v>198</v>
      </c>
      <c r="BU7" s="40" t="s">
        <v>202</v>
      </c>
      <c r="BV7" s="41" t="s">
        <v>84</v>
      </c>
      <c r="BW7" s="41" t="s">
        <v>79</v>
      </c>
      <c r="BX7" s="41" t="s">
        <v>79</v>
      </c>
      <c r="BY7" s="41" t="s">
        <v>80</v>
      </c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2</v>
      </c>
      <c r="D8" s="18">
        <f t="shared" si="1"/>
        <v>0</v>
      </c>
      <c r="E8" s="4" t="str">
        <f>IF($P$1="","",$P$1)</f>
        <v>ぱぱ</v>
      </c>
      <c r="F8" s="8" t="s">
        <v>201</v>
      </c>
      <c r="G8" s="9">
        <v>-18000</v>
      </c>
      <c r="H8" s="9"/>
      <c r="I8" s="48">
        <v>-2000</v>
      </c>
      <c r="J8" s="21">
        <f t="shared" si="2"/>
        <v>12000</v>
      </c>
      <c r="K8" s="8"/>
      <c r="L8" s="9"/>
      <c r="M8" s="9">
        <v>-1000</v>
      </c>
      <c r="N8" s="48"/>
      <c r="O8" s="21">
        <f t="shared" si="3"/>
        <v>17300</v>
      </c>
      <c r="P8" s="8" t="s">
        <v>200</v>
      </c>
      <c r="Q8" s="9">
        <v>18000</v>
      </c>
      <c r="R8" s="9">
        <v>1000</v>
      </c>
      <c r="S8" s="48">
        <v>2000</v>
      </c>
      <c r="T8" s="21">
        <f t="shared" si="4"/>
        <v>75700</v>
      </c>
      <c r="U8" s="53">
        <f>IF($J8="","",ROUND(($J8-$J$3)/1000,1)+(_xlfn.RANK.AVG($J8,($J8,$O8,$T8),1)-2)*20)</f>
        <v>-43</v>
      </c>
      <c r="V8" s="54">
        <f>IF($O8="","",ROUND(($O8-$O$3)/1000,1)+(_xlfn.RANK.AVG($O8,($J8,$O8,$T8),1)-2)*20)</f>
        <v>-17.7</v>
      </c>
      <c r="W8" s="55">
        <f>IF($T8="","",ROUND(($T8-$T$3)/1000,1)+(_xlfn.RANK.AVG($T8,($J8,$O8,$T8),1)-2)*20)</f>
        <v>60.7</v>
      </c>
      <c r="Y8" s="8"/>
      <c r="Z8" s="34"/>
      <c r="AA8" s="26"/>
      <c r="AB8" s="26">
        <v>1</v>
      </c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>
        <v>1</v>
      </c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>
        <v>6</v>
      </c>
      <c r="BT8" s="30" t="s">
        <v>198</v>
      </c>
      <c r="BU8" s="40" t="s">
        <v>96</v>
      </c>
      <c r="BV8" s="41" t="s">
        <v>98</v>
      </c>
      <c r="BW8" s="41" t="s">
        <v>79</v>
      </c>
      <c r="BX8" s="41" t="s">
        <v>79</v>
      </c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東</v>
      </c>
      <c r="B9" s="18">
        <f t="shared" si="5"/>
        <v>3</v>
      </c>
      <c r="C9" s="18">
        <f t="shared" si="6"/>
        <v>3</v>
      </c>
      <c r="D9" s="18">
        <f t="shared" si="1"/>
        <v>0</v>
      </c>
      <c r="E9" s="4" t="str">
        <f>IF($P$1="","",$P$1)</f>
        <v>ぱぱ</v>
      </c>
      <c r="F9" s="8" t="s">
        <v>197</v>
      </c>
      <c r="G9" s="9">
        <v>12000</v>
      </c>
      <c r="H9" s="9"/>
      <c r="I9" s="48">
        <v>3000</v>
      </c>
      <c r="J9" s="21">
        <f t="shared" si="2"/>
        <v>27000</v>
      </c>
      <c r="K9" s="8" t="s">
        <v>196</v>
      </c>
      <c r="L9" s="9">
        <v>-4500</v>
      </c>
      <c r="M9" s="9"/>
      <c r="N9" s="48">
        <v>-1500</v>
      </c>
      <c r="O9" s="21">
        <f t="shared" si="3"/>
        <v>11300</v>
      </c>
      <c r="P9" s="8" t="s">
        <v>196</v>
      </c>
      <c r="Q9" s="9">
        <v>-7500</v>
      </c>
      <c r="R9" s="9"/>
      <c r="S9" s="48">
        <v>-1500</v>
      </c>
      <c r="T9" s="21">
        <f t="shared" si="4"/>
        <v>66700</v>
      </c>
      <c r="U9" s="53">
        <f>IF($J9="","",ROUND(($J9-$J$3)/1000,1)+(_xlfn.RANK.AVG($J9,($J9,$O9,$T9),1)-2)*20)</f>
        <v>-8</v>
      </c>
      <c r="V9" s="54">
        <f>IF($O9="","",ROUND(($O9-$O$3)/1000,1)+(_xlfn.RANK.AVG($O9,($J9,$O9,$T9),1)-2)*20)</f>
        <v>-43.7</v>
      </c>
      <c r="W9" s="55">
        <f>IF($T9="","",ROUND(($T9-$T$3)/1000,1)+(_xlfn.RANK.AVG($T9,($J9,$O9,$T9),1)-2)*20)</f>
        <v>51.7</v>
      </c>
      <c r="Y9" s="8"/>
      <c r="Z9" s="34"/>
      <c r="AA9" s="26"/>
      <c r="AB9" s="26"/>
      <c r="AC9" s="26">
        <v>7</v>
      </c>
      <c r="AD9" s="30" t="s">
        <v>198</v>
      </c>
      <c r="AE9" s="40" t="s">
        <v>82</v>
      </c>
      <c r="AF9" s="41" t="s">
        <v>85</v>
      </c>
      <c r="AG9" s="41" t="s">
        <v>84</v>
      </c>
      <c r="AH9" s="41" t="s">
        <v>199</v>
      </c>
      <c r="AI9" s="41" t="s">
        <v>199</v>
      </c>
      <c r="AJ9" s="41" t="s">
        <v>79</v>
      </c>
      <c r="AK9" s="41" t="s">
        <v>79</v>
      </c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>
        <v>1</v>
      </c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1</v>
      </c>
      <c r="C10" s="18">
        <f t="shared" si="6"/>
        <v>0</v>
      </c>
      <c r="D10" s="18">
        <f t="shared" si="1"/>
        <v>0</v>
      </c>
      <c r="E10" s="4" t="str">
        <f>IF($F$1="","",$F$1)</f>
        <v>だいち</v>
      </c>
      <c r="F10" s="8" t="s">
        <v>196</v>
      </c>
      <c r="G10" s="9">
        <v>-7500</v>
      </c>
      <c r="H10" s="9"/>
      <c r="I10" s="48">
        <v>0</v>
      </c>
      <c r="J10" s="21">
        <f t="shared" si="2"/>
        <v>19500</v>
      </c>
      <c r="K10" s="8" t="s">
        <v>197</v>
      </c>
      <c r="L10" s="9">
        <v>12000</v>
      </c>
      <c r="M10" s="9"/>
      <c r="N10" s="48">
        <v>0</v>
      </c>
      <c r="O10" s="21">
        <f t="shared" si="3"/>
        <v>23300</v>
      </c>
      <c r="P10" s="8" t="s">
        <v>196</v>
      </c>
      <c r="Q10" s="9">
        <v>-4500</v>
      </c>
      <c r="R10" s="9"/>
      <c r="S10" s="48">
        <v>0</v>
      </c>
      <c r="T10" s="21">
        <f t="shared" si="4"/>
        <v>62200</v>
      </c>
      <c r="U10" s="53">
        <f>IF($J10="","",ROUND(($J10-$J$3)/1000,1)+(_xlfn.RANK.AVG($J10,($J10,$O10,$T10),1)-2)*20)</f>
        <v>-35.5</v>
      </c>
      <c r="V10" s="54">
        <f>IF($O10="","",ROUND(($O10-$O$3)/1000,1)+(_xlfn.RANK.AVG($O10,($J10,$O10,$T10),1)-2)*20)</f>
        <v>-11.7</v>
      </c>
      <c r="W10" s="55">
        <f>IF($T10="","",ROUND(($T10-$T$3)/1000,1)+(_xlfn.RANK.AVG($T10,($J10,$O10,$T10),1)-2)*20)</f>
        <v>47.2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>
        <v>1</v>
      </c>
      <c r="AW10" s="26"/>
      <c r="AX10" s="26">
        <v>7</v>
      </c>
      <c r="AY10" s="30" t="s">
        <v>198</v>
      </c>
      <c r="AZ10" s="40" t="s">
        <v>202</v>
      </c>
      <c r="BA10" s="41" t="s">
        <v>82</v>
      </c>
      <c r="BB10" s="41" t="s">
        <v>203</v>
      </c>
      <c r="BC10" s="41" t="s">
        <v>79</v>
      </c>
      <c r="BD10" s="41" t="s">
        <v>79</v>
      </c>
      <c r="BE10" s="41" t="s">
        <v>79</v>
      </c>
      <c r="BF10" s="41" t="s">
        <v>80</v>
      </c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2</v>
      </c>
      <c r="C11" s="18">
        <f t="shared" si="6"/>
        <v>0</v>
      </c>
      <c r="D11" s="18">
        <f t="shared" si="1"/>
        <v>0</v>
      </c>
      <c r="E11" s="4" t="str">
        <f>IF($K$1="","",$K$1)</f>
        <v>ただ</v>
      </c>
      <c r="F11" s="8" t="s">
        <v>197</v>
      </c>
      <c r="G11" s="9">
        <v>4000</v>
      </c>
      <c r="H11" s="9"/>
      <c r="I11" s="48">
        <v>0</v>
      </c>
      <c r="J11" s="21">
        <f t="shared" si="2"/>
        <v>23500</v>
      </c>
      <c r="K11" s="8" t="s">
        <v>196</v>
      </c>
      <c r="L11" s="9">
        <v>-2500</v>
      </c>
      <c r="M11" s="9"/>
      <c r="N11" s="48">
        <v>0</v>
      </c>
      <c r="O11" s="21">
        <f t="shared" si="3"/>
        <v>20800</v>
      </c>
      <c r="P11" s="8" t="s">
        <v>196</v>
      </c>
      <c r="Q11" s="9">
        <v>-1500</v>
      </c>
      <c r="R11" s="9"/>
      <c r="S11" s="48">
        <v>0</v>
      </c>
      <c r="T11" s="21">
        <f t="shared" si="4"/>
        <v>60700</v>
      </c>
      <c r="U11" s="53">
        <f>IF($J11="","",ROUND(($J11-$J$3)/1000,1)+(_xlfn.RANK.AVG($J11,($J11,$O11,$T11),1)-2)*20)</f>
        <v>-11.5</v>
      </c>
      <c r="V11" s="54">
        <f>IF($O11="","",ROUND(($O11-$O$3)/1000,1)+(_xlfn.RANK.AVG($O11,($J11,$O11,$T11),1)-2)*20)</f>
        <v>-34.200000000000003</v>
      </c>
      <c r="W11" s="55">
        <f>IF($T11="","",ROUND(($T11-$T$3)/1000,1)+(_xlfn.RANK.AVG($T11,($J11,$O11,$T11),1)-2)*20)</f>
        <v>45.7</v>
      </c>
      <c r="Y11" s="8"/>
      <c r="Z11" s="34"/>
      <c r="AA11" s="26">
        <v>1</v>
      </c>
      <c r="AB11" s="26"/>
      <c r="AC11" s="26">
        <v>3</v>
      </c>
      <c r="AD11" s="30">
        <v>30</v>
      </c>
      <c r="AE11" s="40" t="s">
        <v>202</v>
      </c>
      <c r="AF11" s="41" t="s">
        <v>82</v>
      </c>
      <c r="AG11" s="41" t="s">
        <v>203</v>
      </c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3</v>
      </c>
      <c r="C12" s="18">
        <f t="shared" si="6"/>
        <v>0</v>
      </c>
      <c r="D12" s="18">
        <f t="shared" si="1"/>
        <v>0</v>
      </c>
      <c r="E12" s="4" t="str">
        <f>IF($P$1="","",$P$1)</f>
        <v>ぱぱ</v>
      </c>
      <c r="F12" s="8" t="s">
        <v>201</v>
      </c>
      <c r="G12" s="9">
        <v>-12000</v>
      </c>
      <c r="H12" s="9">
        <v>-1000</v>
      </c>
      <c r="I12" s="48">
        <v>0</v>
      </c>
      <c r="J12" s="21">
        <f t="shared" si="2"/>
        <v>10500</v>
      </c>
      <c r="K12" s="8"/>
      <c r="L12" s="9"/>
      <c r="M12" s="9"/>
      <c r="N12" s="48"/>
      <c r="O12" s="21">
        <f t="shared" si="3"/>
        <v>20800</v>
      </c>
      <c r="P12" s="8" t="s">
        <v>200</v>
      </c>
      <c r="Q12" s="9">
        <v>12000</v>
      </c>
      <c r="R12" s="9">
        <v>1000</v>
      </c>
      <c r="S12" s="48">
        <v>0</v>
      </c>
      <c r="T12" s="21">
        <f t="shared" si="4"/>
        <v>73700</v>
      </c>
      <c r="U12" s="53">
        <f>IF($J12="","",ROUND(($J12-$J$3)/1000,1)+(_xlfn.RANK.AVG($J12,($J12,$O12,$T12),1)-2)*20)</f>
        <v>-44.5</v>
      </c>
      <c r="V12" s="54">
        <f>IF($O12="","",ROUND(($O12-$O$3)/1000,1)+(_xlfn.RANK.AVG($O12,($J12,$O12,$T12),1)-2)*20)</f>
        <v>-14.2</v>
      </c>
      <c r="W12" s="55">
        <f>IF($T12="","",ROUND(($T12-$T$3)/1000,1)+(_xlfn.RANK.AVG($T12,($J12,$O12,$T12),1)-2)*20)</f>
        <v>58.7</v>
      </c>
      <c r="Y12" s="8"/>
      <c r="Z12" s="34"/>
      <c r="AA12" s="26">
        <v>1</v>
      </c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>
        <v>1</v>
      </c>
      <c r="BR12" s="26"/>
      <c r="BS12" s="26">
        <v>4</v>
      </c>
      <c r="BT12" s="30">
        <v>40</v>
      </c>
      <c r="BU12" s="40" t="s">
        <v>202</v>
      </c>
      <c r="BV12" s="41" t="s">
        <v>84</v>
      </c>
      <c r="BW12" s="41" t="s">
        <v>199</v>
      </c>
      <c r="BX12" s="41" t="s">
        <v>80</v>
      </c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>南</v>
      </c>
      <c r="B13" s="18">
        <f t="shared" si="5"/>
        <v>3</v>
      </c>
      <c r="C13" s="18">
        <f t="shared" si="6"/>
        <v>1</v>
      </c>
      <c r="D13" s="18">
        <f t="shared" si="1"/>
        <v>0</v>
      </c>
      <c r="E13" s="4" t="str">
        <f>IF($P$1="","",$P$1)</f>
        <v>ぱぱ</v>
      </c>
      <c r="F13" s="8" t="s">
        <v>196</v>
      </c>
      <c r="G13" s="9">
        <v>-9000</v>
      </c>
      <c r="H13" s="9"/>
      <c r="I13" s="48">
        <v>-500</v>
      </c>
      <c r="J13" s="21">
        <f t="shared" si="2"/>
        <v>1000</v>
      </c>
      <c r="K13" s="8" t="s">
        <v>196</v>
      </c>
      <c r="L13" s="9">
        <v>-9000</v>
      </c>
      <c r="M13" s="9"/>
      <c r="N13" s="48">
        <v>-500</v>
      </c>
      <c r="O13" s="21">
        <f t="shared" si="3"/>
        <v>11300</v>
      </c>
      <c r="P13" s="8" t="s">
        <v>197</v>
      </c>
      <c r="Q13" s="9">
        <v>18000</v>
      </c>
      <c r="R13" s="9"/>
      <c r="S13" s="48">
        <v>1000</v>
      </c>
      <c r="T13" s="21">
        <f t="shared" si="4"/>
        <v>92700</v>
      </c>
      <c r="U13" s="53">
        <f>IF($J13="","",ROUND(($J13-$J$3)/1000,1)+(_xlfn.RANK.AVG($J13,($J13,$O13,$T13),1)-2)*20)</f>
        <v>-54</v>
      </c>
      <c r="V13" s="54">
        <f>IF($O13="","",ROUND(($O13-$O$3)/1000,1)+(_xlfn.RANK.AVG($O13,($J13,$O13,$T13),1)-2)*20)</f>
        <v>-23.7</v>
      </c>
      <c r="W13" s="55">
        <f>IF($T13="","",ROUND(($T13-$T$3)/1000,1)+(_xlfn.RANK.AVG($T13,($J13,$O13,$T13),1)-2)*20)</f>
        <v>77.7</v>
      </c>
      <c r="Y13" s="8"/>
      <c r="Z13" s="34"/>
      <c r="AA13" s="26"/>
      <c r="AB13" s="26">
        <v>1</v>
      </c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>
        <v>1</v>
      </c>
      <c r="BR13" s="26"/>
      <c r="BS13" s="26">
        <v>6</v>
      </c>
      <c r="BT13" s="30" t="s">
        <v>198</v>
      </c>
      <c r="BU13" s="40" t="s">
        <v>202</v>
      </c>
      <c r="BV13" s="41" t="s">
        <v>82</v>
      </c>
      <c r="BW13" s="41" t="s">
        <v>84</v>
      </c>
      <c r="BX13" s="41" t="s">
        <v>199</v>
      </c>
      <c r="BY13" s="41" t="s">
        <v>199</v>
      </c>
      <c r="BZ13" s="41" t="s">
        <v>83</v>
      </c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>南</v>
      </c>
      <c r="B14" s="18">
        <f t="shared" si="5"/>
        <v>3</v>
      </c>
      <c r="C14" s="18">
        <f t="shared" si="6"/>
        <v>2</v>
      </c>
      <c r="D14" s="18">
        <f t="shared" si="1"/>
        <v>0</v>
      </c>
      <c r="E14" s="4" t="str">
        <f>IF($P$1="","",$P$1)</f>
        <v>ぱぱ</v>
      </c>
      <c r="F14" s="8" t="s">
        <v>196</v>
      </c>
      <c r="G14" s="9">
        <v>-24000</v>
      </c>
      <c r="H14" s="9"/>
      <c r="I14" s="48">
        <v>-1000</v>
      </c>
      <c r="J14" s="21">
        <f t="shared" si="2"/>
        <v>-24000</v>
      </c>
      <c r="K14" s="8" t="s">
        <v>196</v>
      </c>
      <c r="L14" s="9">
        <v>-24000</v>
      </c>
      <c r="M14" s="9"/>
      <c r="N14" s="48">
        <v>-1000</v>
      </c>
      <c r="O14" s="21">
        <f t="shared" si="3"/>
        <v>-13700</v>
      </c>
      <c r="P14" s="8" t="s">
        <v>197</v>
      </c>
      <c r="Q14" s="9">
        <v>48000</v>
      </c>
      <c r="R14" s="9"/>
      <c r="S14" s="48">
        <v>2000</v>
      </c>
      <c r="T14" s="21">
        <f t="shared" si="4"/>
        <v>142700</v>
      </c>
      <c r="U14" s="53">
        <f>IF($J14="","",ROUND(($J14-$J$3)/1000,1)+(_xlfn.RANK.AVG($J14,($J14,$O14,$T14),1)-2)*20)</f>
        <v>-79</v>
      </c>
      <c r="V14" s="54">
        <f>IF($O14="","",ROUND(($O14-$O$3)/1000,1)+(_xlfn.RANK.AVG($O14,($J14,$O14,$T14),1)-2)*20)</f>
        <v>-48.7</v>
      </c>
      <c r="W14" s="55">
        <f>IF($T14="","",ROUND(($T14-$T$3)/1000,1)+(_xlfn.RANK.AVG($T14,($J14,$O14,$T14),1)-2)*20)</f>
        <v>127.7</v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>
        <v>1</v>
      </c>
      <c r="BR14" s="26"/>
      <c r="BS14" s="26">
        <v>13</v>
      </c>
      <c r="BT14" s="30" t="s">
        <v>198</v>
      </c>
      <c r="BU14" s="40" t="s">
        <v>108</v>
      </c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3">
    <dataValidation type="list" allowBlank="1" showInputMessage="1" sqref="F1:T1" xr:uid="{06086065-9A18-4F58-A197-8D0A043B510F}">
      <formula1>"だいち,ただ,れんたろう,まっつん,いちかわ,わさび,やなぎ,たか,いっしー,たかの,りくと,のり,てんちゃん,ともき,ぱぱ,ほたに,ゆう,やがさき,あさひ,かわたつ,ちさと,がくと,かこたろう,"</formula1>
    </dataValidation>
    <dataValidation type="list" showInputMessage="1" showErrorMessage="1" sqref="K4:K30 P4:P30 F4:F30" xr:uid="{DD12AF33-A988-4B98-87AC-354FDCB24975}">
      <formula1>"ロン,ツモ,放銃,ツモ支払,流局,チョンボ"</formula1>
    </dataValidation>
    <dataValidation type="list" allowBlank="1" showInputMessage="1" showErrorMessage="1" sqref="E4:E30" xr:uid="{9E6C69A1-C155-47BF-9A6C-08C16BE1AE4A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622CFE-57FB-4667-BA51-85B3EBA5BC0D}">
  <sheetPr codeName="Sheet16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192</v>
      </c>
      <c r="G1" s="73"/>
      <c r="H1" s="73"/>
      <c r="I1" s="74"/>
      <c r="J1" s="75"/>
      <c r="K1" s="72" t="s">
        <v>193</v>
      </c>
      <c r="L1" s="73"/>
      <c r="M1" s="73"/>
      <c r="N1" s="74"/>
      <c r="O1" s="75"/>
      <c r="P1" s="72" t="s">
        <v>195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だいち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ただ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ぱぱ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だいち</v>
      </c>
      <c r="V2" s="69" t="str">
        <f>$K$1</f>
        <v>ただ</v>
      </c>
      <c r="W2" s="16" t="str">
        <f>$P$1</f>
        <v>ぱぱ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195</v>
      </c>
      <c r="F4" s="8" t="s">
        <v>200</v>
      </c>
      <c r="G4" s="9">
        <v>12000</v>
      </c>
      <c r="H4" s="9"/>
      <c r="I4" s="48">
        <v>0</v>
      </c>
      <c r="J4" s="21">
        <f>IF(COUNTA($F4,$K4,$P4)&gt;0,J3+SUM(G4:I4),"")</f>
        <v>47000</v>
      </c>
      <c r="K4" s="8"/>
      <c r="L4" s="9"/>
      <c r="M4" s="9"/>
      <c r="N4" s="48"/>
      <c r="O4" s="21">
        <f>IF(COUNTA($F4,$K4,$P4)&gt;0,O3+SUM(L4:N4),"")</f>
        <v>35000</v>
      </c>
      <c r="P4" s="8" t="s">
        <v>201</v>
      </c>
      <c r="Q4" s="9">
        <v>-12000</v>
      </c>
      <c r="R4" s="9"/>
      <c r="S4" s="48">
        <v>0</v>
      </c>
      <c r="T4" s="21">
        <f>IF(COUNTA($F4,$K4,$P4)&gt;0,T3+SUM(Q4:S4),"")</f>
        <v>23000</v>
      </c>
      <c r="U4" s="53">
        <f>IF($J4="","",ROUND(($J4-$J$3)/1000,1)+(_xlfn.RANK.AVG($J4,($J4,$O4,$T4),1)-2)*20)</f>
        <v>32</v>
      </c>
      <c r="V4" s="54">
        <f>IF($O4="","",ROUND(($O4-$O$3)/1000,1)+(_xlfn.RANK.AVG($O4,($J4,$O4,$T4),1)-2)*20)</f>
        <v>0</v>
      </c>
      <c r="W4" s="55">
        <f>IF($T4="","",ROUND(($T4-$T$3)/1000,1)+(_xlfn.RANK.AVG($T4,($J4,$O4,$T4),1)-2)*20)</f>
        <v>-32</v>
      </c>
      <c r="Y4" s="8"/>
      <c r="Z4" s="34"/>
      <c r="AA4" s="26">
        <v>1</v>
      </c>
      <c r="AB4" s="26"/>
      <c r="AC4" s="26">
        <v>6</v>
      </c>
      <c r="AD4" s="30" t="s">
        <v>198</v>
      </c>
      <c r="AE4" s="40" t="s">
        <v>202</v>
      </c>
      <c r="AF4" s="41" t="s">
        <v>104</v>
      </c>
      <c r="AG4" s="41" t="s">
        <v>86</v>
      </c>
      <c r="AH4" s="41" t="s">
        <v>199</v>
      </c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IF($F$1="","",$F$1)</f>
        <v>だいち</v>
      </c>
      <c r="F5" s="8" t="s">
        <v>200</v>
      </c>
      <c r="G5" s="9">
        <v>12000</v>
      </c>
      <c r="H5" s="9"/>
      <c r="I5" s="48">
        <v>0</v>
      </c>
      <c r="J5" s="21">
        <f t="shared" ref="J5:J30" si="2">IF(COUNTA($F5,$K5,$P5)&gt;0,J4+SUM(G5:I5),"")</f>
        <v>59000</v>
      </c>
      <c r="K5" s="8" t="s">
        <v>201</v>
      </c>
      <c r="L5" s="9">
        <v>-12000</v>
      </c>
      <c r="M5" s="9"/>
      <c r="N5" s="48">
        <v>0</v>
      </c>
      <c r="O5" s="21">
        <f t="shared" ref="O5:O30" si="3">IF(COUNTA($F5,$K5,$P5)&gt;0,O4+SUM(L5:N5),"")</f>
        <v>23000</v>
      </c>
      <c r="P5" s="8"/>
      <c r="Q5" s="9"/>
      <c r="R5" s="9"/>
      <c r="S5" s="48"/>
      <c r="T5" s="21">
        <f t="shared" ref="T5:T30" si="4">IF(COUNTA($F5,$K5,$P5)&gt;0,T4+SUM(Q5:S5),"")</f>
        <v>23000</v>
      </c>
      <c r="U5" s="53">
        <f>IF($J5="","",ROUND(($J5-$J$3)/1000,1)+(_xlfn.RANK.AVG($J5,($J5,$O5,$T5),1)-2)*20)</f>
        <v>44</v>
      </c>
      <c r="V5" s="54">
        <f>IF($O5="","",ROUND(($O5-$O$3)/1000,1)+(_xlfn.RANK.AVG($O5,($J5,$O5,$T5),1)-2)*20)</f>
        <v>-22</v>
      </c>
      <c r="W5" s="55">
        <f>IF($T5="","",ROUND(($T5-$T$3)/1000,1)+(_xlfn.RANK.AVG($T5,($J5,$O5,$T5),1)-2)*20)</f>
        <v>-22</v>
      </c>
      <c r="Y5" s="8"/>
      <c r="Z5" s="34"/>
      <c r="AA5" s="26"/>
      <c r="AB5" s="26"/>
      <c r="AC5" s="26">
        <v>5</v>
      </c>
      <c r="AD5" s="30" t="s">
        <v>198</v>
      </c>
      <c r="AE5" s="40" t="s">
        <v>101</v>
      </c>
      <c r="AF5" s="41" t="s">
        <v>79</v>
      </c>
      <c r="AG5" s="41" t="s">
        <v>79</v>
      </c>
      <c r="AH5" s="41" t="s">
        <v>199</v>
      </c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tr">
        <f>IF($F$1="","",$F$1)</f>
        <v>だいち</v>
      </c>
      <c r="F6" s="8" t="s">
        <v>197</v>
      </c>
      <c r="G6" s="9">
        <v>11600</v>
      </c>
      <c r="H6" s="9">
        <v>1000</v>
      </c>
      <c r="I6" s="48">
        <v>1000</v>
      </c>
      <c r="J6" s="21">
        <f t="shared" si="2"/>
        <v>72600</v>
      </c>
      <c r="K6" s="8" t="s">
        <v>196</v>
      </c>
      <c r="L6" s="9">
        <v>-5800</v>
      </c>
      <c r="M6" s="9"/>
      <c r="N6" s="48">
        <v>-500</v>
      </c>
      <c r="O6" s="21">
        <f t="shared" si="3"/>
        <v>16700</v>
      </c>
      <c r="P6" s="8" t="s">
        <v>196</v>
      </c>
      <c r="Q6" s="9">
        <v>-5800</v>
      </c>
      <c r="R6" s="9">
        <v>-1000</v>
      </c>
      <c r="S6" s="48">
        <v>-500</v>
      </c>
      <c r="T6" s="21">
        <f t="shared" si="4"/>
        <v>15700</v>
      </c>
      <c r="U6" s="53">
        <f>IF($J6="","",ROUND(($J6-$J$3)/1000,1)+(_xlfn.RANK.AVG($J6,($J6,$O6,$T6),1)-2)*20)</f>
        <v>57.6</v>
      </c>
      <c r="V6" s="54">
        <f>IF($O6="","",ROUND(($O6-$O$3)/1000,1)+(_xlfn.RANK.AVG($O6,($J6,$O6,$T6),1)-2)*20)</f>
        <v>-18.3</v>
      </c>
      <c r="W6" s="55">
        <f>IF($T6="","",ROUND(($T6-$T$3)/1000,1)+(_xlfn.RANK.AVG($T6,($J6,$O6,$T6),1)-2)*20)</f>
        <v>-39.299999999999997</v>
      </c>
      <c r="Y6" s="8"/>
      <c r="Z6" s="34"/>
      <c r="AA6" s="26">
        <v>1</v>
      </c>
      <c r="AB6" s="26"/>
      <c r="AC6" s="26">
        <v>4</v>
      </c>
      <c r="AD6" s="30">
        <v>30</v>
      </c>
      <c r="AE6" s="40" t="s">
        <v>202</v>
      </c>
      <c r="AF6" s="41" t="s">
        <v>82</v>
      </c>
      <c r="AG6" s="41" t="s">
        <v>85</v>
      </c>
      <c r="AH6" s="41" t="s">
        <v>199</v>
      </c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2</v>
      </c>
      <c r="C7" s="18">
        <f t="shared" si="6"/>
        <v>2</v>
      </c>
      <c r="D7" s="18">
        <f t="shared" si="1"/>
        <v>0</v>
      </c>
      <c r="E7" s="4" t="str">
        <f>IF($F$1="","",$F$1)</f>
        <v>だいち</v>
      </c>
      <c r="F7" s="8" t="s">
        <v>196</v>
      </c>
      <c r="G7" s="9">
        <v>-20000</v>
      </c>
      <c r="H7" s="9"/>
      <c r="I7" s="48">
        <v>-1000</v>
      </c>
      <c r="J7" s="21">
        <f t="shared" si="2"/>
        <v>51600</v>
      </c>
      <c r="K7" s="8" t="s">
        <v>196</v>
      </c>
      <c r="L7" s="9">
        <v>-12000</v>
      </c>
      <c r="M7" s="9"/>
      <c r="N7" s="48">
        <v>-1000</v>
      </c>
      <c r="O7" s="21">
        <f t="shared" si="3"/>
        <v>3700</v>
      </c>
      <c r="P7" s="8" t="s">
        <v>197</v>
      </c>
      <c r="Q7" s="9">
        <v>32000</v>
      </c>
      <c r="R7" s="9"/>
      <c r="S7" s="48">
        <v>2000</v>
      </c>
      <c r="T7" s="21">
        <f t="shared" si="4"/>
        <v>49700</v>
      </c>
      <c r="U7" s="53">
        <f>IF($J7="","",ROUND(($J7-$J$3)/1000,1)+(_xlfn.RANK.AVG($J7,($J7,$O7,$T7),1)-2)*20)</f>
        <v>36.6</v>
      </c>
      <c r="V7" s="54">
        <f>IF($O7="","",ROUND(($O7-$O$3)/1000,1)+(_xlfn.RANK.AVG($O7,($J7,$O7,$T7),1)-2)*20)</f>
        <v>-51.3</v>
      </c>
      <c r="W7" s="55">
        <f>IF($T7="","",ROUND(($T7-$T$3)/1000,1)+(_xlfn.RANK.AVG($T7,($J7,$O7,$T7),1)-2)*20)</f>
        <v>14.7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>
        <v>13</v>
      </c>
      <c r="BT7" s="30" t="s">
        <v>198</v>
      </c>
      <c r="BU7" s="40" t="s">
        <v>108</v>
      </c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0</v>
      </c>
      <c r="D8" s="18">
        <f t="shared" si="1"/>
        <v>0</v>
      </c>
      <c r="E8" s="4" t="str">
        <f>IF($K$1="","",$K$1)</f>
        <v>ただ</v>
      </c>
      <c r="F8" s="8" t="s">
        <v>197</v>
      </c>
      <c r="G8" s="9">
        <v>7700</v>
      </c>
      <c r="H8" s="9"/>
      <c r="I8" s="48">
        <v>0</v>
      </c>
      <c r="J8" s="21">
        <f t="shared" si="2"/>
        <v>59300</v>
      </c>
      <c r="K8" s="8" t="s">
        <v>196</v>
      </c>
      <c r="L8" s="9">
        <v>-4800</v>
      </c>
      <c r="M8" s="9"/>
      <c r="N8" s="48">
        <v>0</v>
      </c>
      <c r="O8" s="21">
        <f t="shared" si="3"/>
        <v>-1100</v>
      </c>
      <c r="P8" s="8" t="s">
        <v>196</v>
      </c>
      <c r="Q8" s="9">
        <v>-2900</v>
      </c>
      <c r="R8" s="9"/>
      <c r="S8" s="48">
        <v>0</v>
      </c>
      <c r="T8" s="21">
        <f t="shared" si="4"/>
        <v>46800</v>
      </c>
      <c r="U8" s="53">
        <f>IF($J8="","",ROUND(($J8-$J$3)/1000,1)+(_xlfn.RANK.AVG($J8,($J8,$O8,$T8),1)-2)*20)</f>
        <v>44.3</v>
      </c>
      <c r="V8" s="54">
        <f>IF($O8="","",ROUND(($O8-$O$3)/1000,1)+(_xlfn.RANK.AVG($O8,($J8,$O8,$T8),1)-2)*20)</f>
        <v>-56.1</v>
      </c>
      <c r="W8" s="55">
        <f>IF($T8="","",ROUND(($T8-$T$3)/1000,1)+(_xlfn.RANK.AVG($T8,($J8,$O8,$T8),1)-2)*20)</f>
        <v>11.8</v>
      </c>
      <c r="Y8" s="8"/>
      <c r="Z8" s="34"/>
      <c r="AA8" s="26">
        <v>1</v>
      </c>
      <c r="AB8" s="26"/>
      <c r="AC8" s="26">
        <v>4</v>
      </c>
      <c r="AD8" s="30">
        <v>30</v>
      </c>
      <c r="AE8" s="40" t="s">
        <v>202</v>
      </c>
      <c r="AF8" s="41" t="s">
        <v>82</v>
      </c>
      <c r="AG8" s="41" t="s">
        <v>79</v>
      </c>
      <c r="AH8" s="41" t="s">
        <v>80</v>
      </c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>
        <v>1</v>
      </c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1</v>
      </c>
      <c r="C9" s="18">
        <f t="shared" si="6"/>
        <v>0</v>
      </c>
      <c r="D9" s="18">
        <f t="shared" si="1"/>
        <v>0</v>
      </c>
      <c r="E9" s="4" t="str">
        <f>IF($P$1="","",$P$1)</f>
        <v>ぱぱ</v>
      </c>
      <c r="F9" s="8"/>
      <c r="G9" s="9"/>
      <c r="H9" s="9"/>
      <c r="I9" s="48"/>
      <c r="J9" s="21" t="str">
        <f t="shared" si="2"/>
        <v/>
      </c>
      <c r="K9" s="8"/>
      <c r="L9" s="9"/>
      <c r="M9" s="9"/>
      <c r="N9" s="48"/>
      <c r="O9" s="21" t="str">
        <f t="shared" si="3"/>
        <v/>
      </c>
      <c r="P9" s="8"/>
      <c r="Q9" s="9"/>
      <c r="R9" s="9"/>
      <c r="S9" s="48"/>
      <c r="T9" s="21" t="str">
        <f t="shared" si="4"/>
        <v/>
      </c>
      <c r="U9" s="53" t="str">
        <f>IF($J9="","",ROUND(($J9-$J$3)/1000,1)+(_xlfn.RANK.AVG($J9,($J9,$O9,$T9),1)-2)*20)</f>
        <v/>
      </c>
      <c r="V9" s="54" t="str">
        <f>IF($O9="","",ROUND(($O9-$O$3)/1000,1)+(_xlfn.RANK.AVG($O9,($J9,$O9,$T9),1)-2)*20)</f>
        <v/>
      </c>
      <c r="W9" s="55" t="str">
        <f>IF($T9="","",ROUND(($T9-$T$3)/1000,1)+(_xlfn.RANK.AVG($T9,($J9,$O9,$T9),1)-2)*20)</f>
        <v/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IF($J10="","",ROUND(($J10-$J$3)/1000,1)+(_xlfn.RANK.AVG($J10,($J10,$O10,$T10),1)-2)*20)</f>
        <v/>
      </c>
      <c r="V10" s="54" t="str">
        <f>IF($O10="","",ROUND(($O10-$O$3)/1000,1)+(_xlfn.RANK.AVG($O10,($J10,$O10,$T10),1)-2)*20)</f>
        <v/>
      </c>
      <c r="W10" s="55" t="str">
        <f>IF($T10="","",ROUND(($T10-$T$3)/1000,1)+(_xlfn.RANK.AVG($T10,($J10,$O10,$T10),1)-2)*20)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IF($J11="","",ROUND(($J11-$J$3)/1000,1)+(_xlfn.RANK.AVG($J11,($J11,$O11,$T11),1)-2)*20)</f>
        <v/>
      </c>
      <c r="V11" s="54" t="str">
        <f>IF($O11="","",ROUND(($O11-$O$3)/1000,1)+(_xlfn.RANK.AVG($O11,($J11,$O11,$T11),1)-2)*20)</f>
        <v/>
      </c>
      <c r="W11" s="55" t="str">
        <f>IF($T11="","",ROUND(($T11-$T$3)/1000,1)+(_xlfn.RANK.AVG($T11,($J11,$O11,$T11),1)-2)*20)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howErrorMessage="1" sqref="E4:E30" xr:uid="{EE2FEF91-B6C7-49D4-BAD5-8854CAC55DD9}">
      <formula1>$U$2:$W$2</formula1>
    </dataValidation>
    <dataValidation type="list" showInputMessage="1" showErrorMessage="1" sqref="K4:K30 P4:P30 F4:F30" xr:uid="{1BFCBB42-7B99-41D9-8A64-81C06B9B768E}">
      <formula1>"ロン,ツモ,放銃,ツモ支払,流局,チョンボ"</formula1>
    </dataValidation>
    <dataValidation type="list" allowBlank="1" showInputMessage="1" sqref="F1:T1" xr:uid="{06E50FBA-CD7D-4CB2-B50F-20EA426584F3}">
      <formula1>"だいち,ただ,れんたろう,まっつん,いちかわ,わさび,やなぎ,たか,いっしー,たかの,りくと,のり,てんちゃん,ともき,ぱぱ,ほたに,ゆう,やがさき,あさひ,かわたつ,ちさと,がくと,かこたろう,"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.75" x14ac:dyDescent="0.4"/>
  <cols>
    <col min="1" max="1" width="9" style="36" customWidth="1"/>
    <col min="2" max="2" width="6.5" style="36" customWidth="1"/>
    <col min="3" max="3" width="19.25" style="15" bestFit="1" customWidth="1"/>
    <col min="4" max="5" width="6.5" style="15" customWidth="1"/>
  </cols>
  <sheetData>
    <row r="1" spans="1:5" x14ac:dyDescent="0.4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">
      <c r="A6" s="36" t="s">
        <v>81</v>
      </c>
      <c r="B6" s="36" t="s">
        <v>191</v>
      </c>
      <c r="C6" s="15" t="s">
        <v>34</v>
      </c>
      <c r="D6" s="15">
        <v>1</v>
      </c>
      <c r="E6" s="15">
        <v>1</v>
      </c>
    </row>
    <row r="7" spans="1:5" x14ac:dyDescent="0.4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 x14ac:dyDescent="0.4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">
      <c r="A46" s="36" t="s">
        <v>121</v>
      </c>
      <c r="B46" s="36" t="s">
        <v>183</v>
      </c>
      <c r="C46" s="15" t="s">
        <v>71</v>
      </c>
      <c r="D46" s="15">
        <v>13</v>
      </c>
    </row>
    <row r="47" spans="1:5" x14ac:dyDescent="0.4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">
      <c r="A50" s="36" t="s">
        <v>125</v>
      </c>
      <c r="C50" s="15" t="s">
        <v>75</v>
      </c>
      <c r="D50" s="15">
        <v>13</v>
      </c>
    </row>
    <row r="51" spans="1:5" x14ac:dyDescent="0.4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15</vt:i4>
      </vt:variant>
    </vt:vector>
  </HeadingPairs>
  <TitlesOfParts>
    <vt:vector size="15" baseType="lpstr">
      <vt:lpstr>Sheet1</vt:lpstr>
      <vt:lpstr>Sheet2</vt:lpstr>
      <vt:lpstr>Sheet3</vt:lpstr>
      <vt:lpstr>Sheet4</vt:lpstr>
      <vt:lpstr>Sheet5</vt:lpstr>
      <vt:lpstr>Sheet6</vt:lpstr>
      <vt:lpstr>Sheet7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2022-05-07T08:08:07Z</dcterms:modified>
</cp:coreProperties>
</file>