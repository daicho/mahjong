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専攻科\対局\"/>
    </mc:Choice>
  </mc:AlternateContent>
  <xr:revisionPtr revIDLastSave="0" documentId="13_ncr:1_{03AC8104-5321-4D0C-9313-D6AD98268430}" xr6:coauthVersionLast="46" xr6:coauthVersionMax="46" xr10:uidLastSave="{00000000-0000-0000-0000-000000000000}"/>
  <bookViews>
    <workbookView xWindow="-120" yWindow="-120" windowWidth="29040" windowHeight="15990" activeTab="5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Sheet5" sheetId="23" r:id="rId5"/>
    <sheet name="Sheet6" sheetId="24" r:id="rId6"/>
    <sheet name="役一覧" sheetId="15" state="hidden" r:id="rId7"/>
    <sheet name="点数表(親ロン)" sheetId="4" state="hidden" r:id="rId8"/>
    <sheet name="点数表(親ツモ)" sheetId="9" state="hidden" r:id="rId9"/>
    <sheet name="点数表(子→親)" sheetId="7" state="hidden" r:id="rId10"/>
    <sheet name="点数表(子ロン)" sheetId="3" state="hidden" r:id="rId11"/>
    <sheet name="点数表(子ツモ)" sheetId="10" state="hidden" r:id="rId12"/>
    <sheet name="点数表(子→子)" sheetId="5" state="hidden" r:id="rId13"/>
    <sheet name="点数表(親→子)" sheetId="6" state="hidden" r:id="rId1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3" i="24" l="1"/>
  <c r="E12" i="24"/>
  <c r="E11" i="24"/>
  <c r="E10" i="24"/>
  <c r="E9" i="24"/>
  <c r="E8" i="24"/>
  <c r="E7" i="24"/>
  <c r="E6" i="24"/>
  <c r="E5" i="24"/>
  <c r="T30" i="24"/>
  <c r="W30" i="24" s="1"/>
  <c r="O30" i="24"/>
  <c r="V30" i="24" s="1"/>
  <c r="J30" i="24"/>
  <c r="U30" i="24" s="1"/>
  <c r="D30" i="24"/>
  <c r="C30" i="24"/>
  <c r="B30" i="24"/>
  <c r="A30" i="24"/>
  <c r="T29" i="24"/>
  <c r="W29" i="24" s="1"/>
  <c r="O29" i="24"/>
  <c r="V29" i="24" s="1"/>
  <c r="J29" i="24"/>
  <c r="U29" i="24" s="1"/>
  <c r="D29" i="24"/>
  <c r="C29" i="24"/>
  <c r="B29" i="24"/>
  <c r="A29" i="24"/>
  <c r="T28" i="24"/>
  <c r="W28" i="24" s="1"/>
  <c r="O28" i="24"/>
  <c r="V28" i="24" s="1"/>
  <c r="J28" i="24"/>
  <c r="U28" i="24" s="1"/>
  <c r="D28" i="24"/>
  <c r="C28" i="24"/>
  <c r="B28" i="24"/>
  <c r="A28" i="24"/>
  <c r="T27" i="24"/>
  <c r="W27" i="24" s="1"/>
  <c r="O27" i="24"/>
  <c r="V27" i="24" s="1"/>
  <c r="J27" i="24"/>
  <c r="U27" i="24" s="1"/>
  <c r="D27" i="24"/>
  <c r="C27" i="24"/>
  <c r="B27" i="24"/>
  <c r="A27" i="24"/>
  <c r="T26" i="24"/>
  <c r="W26" i="24" s="1"/>
  <c r="O26" i="24"/>
  <c r="V26" i="24" s="1"/>
  <c r="J26" i="24"/>
  <c r="U26" i="24" s="1"/>
  <c r="D26" i="24"/>
  <c r="C26" i="24"/>
  <c r="B26" i="24"/>
  <c r="A26" i="24"/>
  <c r="T25" i="24"/>
  <c r="W25" i="24" s="1"/>
  <c r="O25" i="24"/>
  <c r="V25" i="24" s="1"/>
  <c r="J25" i="24"/>
  <c r="U25" i="24" s="1"/>
  <c r="D25" i="24"/>
  <c r="C25" i="24"/>
  <c r="B25" i="24"/>
  <c r="A25" i="24"/>
  <c r="T24" i="24"/>
  <c r="W24" i="24" s="1"/>
  <c r="O24" i="24"/>
  <c r="V24" i="24" s="1"/>
  <c r="J24" i="24"/>
  <c r="U24" i="24" s="1"/>
  <c r="D24" i="24"/>
  <c r="C24" i="24"/>
  <c r="B24" i="24"/>
  <c r="A24" i="24"/>
  <c r="T23" i="24"/>
  <c r="W23" i="24" s="1"/>
  <c r="O23" i="24"/>
  <c r="V23" i="24" s="1"/>
  <c r="J23" i="24"/>
  <c r="U23" i="24" s="1"/>
  <c r="D23" i="24"/>
  <c r="C23" i="24"/>
  <c r="B23" i="24"/>
  <c r="A23" i="24"/>
  <c r="T22" i="24"/>
  <c r="W22" i="24" s="1"/>
  <c r="O22" i="24"/>
  <c r="V22" i="24" s="1"/>
  <c r="J22" i="24"/>
  <c r="U22" i="24" s="1"/>
  <c r="D22" i="24"/>
  <c r="C22" i="24"/>
  <c r="B22" i="24"/>
  <c r="A22" i="24"/>
  <c r="T21" i="24"/>
  <c r="W21" i="24" s="1"/>
  <c r="O21" i="24"/>
  <c r="V21" i="24" s="1"/>
  <c r="J21" i="24"/>
  <c r="U21" i="24" s="1"/>
  <c r="D21" i="24"/>
  <c r="C21" i="24"/>
  <c r="B21" i="24"/>
  <c r="A21" i="24"/>
  <c r="T20" i="24"/>
  <c r="W20" i="24" s="1"/>
  <c r="O20" i="24"/>
  <c r="V20" i="24" s="1"/>
  <c r="J20" i="24"/>
  <c r="U20" i="24" s="1"/>
  <c r="D20" i="24"/>
  <c r="C20" i="24"/>
  <c r="B20" i="24"/>
  <c r="A20" i="24"/>
  <c r="T19" i="24"/>
  <c r="W19" i="24" s="1"/>
  <c r="O19" i="24"/>
  <c r="V19" i="24" s="1"/>
  <c r="J19" i="24"/>
  <c r="U19" i="24" s="1"/>
  <c r="D19" i="24"/>
  <c r="C19" i="24"/>
  <c r="B19" i="24"/>
  <c r="A19" i="24"/>
  <c r="T18" i="24"/>
  <c r="W18" i="24" s="1"/>
  <c r="O18" i="24"/>
  <c r="V18" i="24" s="1"/>
  <c r="J18" i="24"/>
  <c r="U18" i="24" s="1"/>
  <c r="D18" i="24"/>
  <c r="C18" i="24"/>
  <c r="B18" i="24"/>
  <c r="A18" i="24"/>
  <c r="T17" i="24"/>
  <c r="W17" i="24" s="1"/>
  <c r="O17" i="24"/>
  <c r="V17" i="24" s="1"/>
  <c r="J17" i="24"/>
  <c r="U17" i="24" s="1"/>
  <c r="D17" i="24"/>
  <c r="C17" i="24"/>
  <c r="B17" i="24"/>
  <c r="A17" i="24"/>
  <c r="T16" i="24"/>
  <c r="W16" i="24" s="1"/>
  <c r="O16" i="24"/>
  <c r="V16" i="24" s="1"/>
  <c r="J16" i="24"/>
  <c r="U16" i="24" s="1"/>
  <c r="D16" i="24"/>
  <c r="C16" i="24"/>
  <c r="B16" i="24"/>
  <c r="A16" i="24"/>
  <c r="T15" i="24"/>
  <c r="W15" i="24" s="1"/>
  <c r="O15" i="24"/>
  <c r="V15" i="24" s="1"/>
  <c r="J15" i="24"/>
  <c r="U15" i="24" s="1"/>
  <c r="D15" i="24"/>
  <c r="C15" i="24"/>
  <c r="B15" i="24"/>
  <c r="A15" i="24"/>
  <c r="T14" i="24"/>
  <c r="W14" i="24" s="1"/>
  <c r="O14" i="24"/>
  <c r="V14" i="24" s="1"/>
  <c r="J14" i="24"/>
  <c r="U14" i="24" s="1"/>
  <c r="D14" i="24"/>
  <c r="C14" i="24"/>
  <c r="B14" i="24"/>
  <c r="A14" i="24"/>
  <c r="D13" i="24"/>
  <c r="C13" i="24"/>
  <c r="D12" i="24"/>
  <c r="C10" i="24"/>
  <c r="D10" i="24"/>
  <c r="D9" i="24"/>
  <c r="D8" i="24"/>
  <c r="C8" i="24"/>
  <c r="C9" i="24" s="1"/>
  <c r="T6" i="24"/>
  <c r="T7" i="24" s="1"/>
  <c r="C6" i="24"/>
  <c r="D6" i="24"/>
  <c r="T5" i="24"/>
  <c r="O5" i="24"/>
  <c r="O6" i="24" s="1"/>
  <c r="B5" i="24"/>
  <c r="D5" i="24"/>
  <c r="C5" i="24"/>
  <c r="T4" i="24"/>
  <c r="O4" i="24"/>
  <c r="J4" i="24"/>
  <c r="W3" i="24"/>
  <c r="V3" i="24"/>
  <c r="U3" i="24"/>
  <c r="W2" i="24"/>
  <c r="V2" i="24"/>
  <c r="U2" i="24"/>
  <c r="BO1" i="24"/>
  <c r="AT1" i="24"/>
  <c r="Y1" i="24"/>
  <c r="E13" i="23"/>
  <c r="E12" i="23"/>
  <c r="E11" i="23"/>
  <c r="E10" i="23"/>
  <c r="E9" i="23"/>
  <c r="E8" i="23"/>
  <c r="E7" i="23"/>
  <c r="E6" i="23"/>
  <c r="E5" i="23"/>
  <c r="T30" i="23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T15" i="23"/>
  <c r="W15" i="23" s="1"/>
  <c r="O15" i="23"/>
  <c r="V15" i="23" s="1"/>
  <c r="J15" i="23"/>
  <c r="U15" i="23" s="1"/>
  <c r="D15" i="23"/>
  <c r="C15" i="23"/>
  <c r="B15" i="23"/>
  <c r="A15" i="23"/>
  <c r="T14" i="23"/>
  <c r="W14" i="23" s="1"/>
  <c r="O14" i="23"/>
  <c r="V14" i="23" s="1"/>
  <c r="J14" i="23"/>
  <c r="U14" i="23" s="1"/>
  <c r="D14" i="23"/>
  <c r="C14" i="23"/>
  <c r="B14" i="23"/>
  <c r="A14" i="23" s="1"/>
  <c r="T13" i="23"/>
  <c r="O13" i="23"/>
  <c r="V13" i="23" s="1"/>
  <c r="J13" i="23"/>
  <c r="D13" i="23"/>
  <c r="C13" i="23"/>
  <c r="B13" i="23"/>
  <c r="A13" i="23"/>
  <c r="D12" i="23"/>
  <c r="D11" i="23"/>
  <c r="D10" i="23"/>
  <c r="D8" i="23"/>
  <c r="D7" i="23"/>
  <c r="C7" i="23"/>
  <c r="J6" i="23"/>
  <c r="J7" i="23" s="1"/>
  <c r="J5" i="23"/>
  <c r="C5" i="23"/>
  <c r="T4" i="23"/>
  <c r="T5" i="23" s="1"/>
  <c r="O4" i="23"/>
  <c r="O5" i="23" s="1"/>
  <c r="J4" i="23"/>
  <c r="W3" i="23"/>
  <c r="V3" i="23"/>
  <c r="U3" i="23"/>
  <c r="W2" i="23"/>
  <c r="V2" i="23"/>
  <c r="U2" i="23"/>
  <c r="BO1" i="23"/>
  <c r="AT1" i="23"/>
  <c r="Y1" i="23"/>
  <c r="E12" i="22"/>
  <c r="E10" i="22"/>
  <c r="E9" i="22"/>
  <c r="E8" i="22"/>
  <c r="E7" i="22"/>
  <c r="E6" i="22"/>
  <c r="E5" i="22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/>
  <c r="T13" i="22"/>
  <c r="W13" i="22" s="1"/>
  <c r="O13" i="22"/>
  <c r="V13" i="22" s="1"/>
  <c r="J13" i="22"/>
  <c r="U13" i="22" s="1"/>
  <c r="D13" i="22"/>
  <c r="C13" i="22"/>
  <c r="B13" i="22"/>
  <c r="A13" i="22" s="1"/>
  <c r="T12" i="22"/>
  <c r="O12" i="22"/>
  <c r="J12" i="22"/>
  <c r="D12" i="22"/>
  <c r="C12" i="22"/>
  <c r="B12" i="22"/>
  <c r="A12" i="22"/>
  <c r="T11" i="22"/>
  <c r="O11" i="22"/>
  <c r="J11" i="22"/>
  <c r="D11" i="22"/>
  <c r="C11" i="22"/>
  <c r="B11" i="22"/>
  <c r="A11" i="22" s="1"/>
  <c r="T10" i="22"/>
  <c r="O10" i="22"/>
  <c r="V10" i="22" s="1"/>
  <c r="J10" i="22"/>
  <c r="D10" i="22"/>
  <c r="C10" i="22"/>
  <c r="B10" i="22"/>
  <c r="A10" i="22" s="1"/>
  <c r="T9" i="22"/>
  <c r="O9" i="22"/>
  <c r="V9" i="22" s="1"/>
  <c r="J9" i="22"/>
  <c r="D9" i="22"/>
  <c r="C9" i="22"/>
  <c r="B9" i="22"/>
  <c r="A9" i="22"/>
  <c r="T8" i="22"/>
  <c r="W8" i="22" s="1"/>
  <c r="O8" i="22"/>
  <c r="V8" i="22" s="1"/>
  <c r="J8" i="22"/>
  <c r="D8" i="22"/>
  <c r="C8" i="22"/>
  <c r="B8" i="22"/>
  <c r="A8" i="22" s="1"/>
  <c r="C7" i="22"/>
  <c r="D7" i="22"/>
  <c r="B6" i="22"/>
  <c r="D6" i="22"/>
  <c r="C6" i="22"/>
  <c r="T5" i="22"/>
  <c r="T6" i="22" s="1"/>
  <c r="O5" i="22"/>
  <c r="O6" i="22" s="1"/>
  <c r="J5" i="22"/>
  <c r="J6" i="22" s="1"/>
  <c r="D5" i="22"/>
  <c r="C5" i="22"/>
  <c r="B5" i="22"/>
  <c r="A5" i="22" s="1"/>
  <c r="T4" i="22"/>
  <c r="O4" i="22"/>
  <c r="J4" i="22"/>
  <c r="W3" i="22"/>
  <c r="V3" i="22"/>
  <c r="U3" i="22"/>
  <c r="W2" i="22"/>
  <c r="V2" i="22"/>
  <c r="U2" i="22"/>
  <c r="BO1" i="22"/>
  <c r="AT1" i="22"/>
  <c r="Y1" i="22"/>
  <c r="E7" i="21"/>
  <c r="E6" i="21"/>
  <c r="E5" i="21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D12" i="21"/>
  <c r="D11" i="21"/>
  <c r="D10" i="21"/>
  <c r="C10" i="21"/>
  <c r="D9" i="21"/>
  <c r="T7" i="21"/>
  <c r="T8" i="21" s="1"/>
  <c r="D7" i="21"/>
  <c r="T6" i="21"/>
  <c r="O6" i="21"/>
  <c r="O7" i="21" s="1"/>
  <c r="D6" i="21"/>
  <c r="T5" i="21"/>
  <c r="O5" i="21"/>
  <c r="J5" i="21"/>
  <c r="D5" i="21"/>
  <c r="T4" i="21"/>
  <c r="O4" i="21"/>
  <c r="J4" i="21"/>
  <c r="C5" i="21"/>
  <c r="C6" i="21" s="1"/>
  <c r="W3" i="21"/>
  <c r="V3" i="21"/>
  <c r="U3" i="21"/>
  <c r="W2" i="21"/>
  <c r="V2" i="21"/>
  <c r="U2" i="21"/>
  <c r="BO1" i="21"/>
  <c r="AT1" i="21"/>
  <c r="Y1" i="21"/>
  <c r="D13" i="20"/>
  <c r="E12" i="20"/>
  <c r="E11" i="20"/>
  <c r="E10" i="20"/>
  <c r="E9" i="20"/>
  <c r="E8" i="20"/>
  <c r="E7" i="20"/>
  <c r="E6" i="20"/>
  <c r="E5" i="20"/>
  <c r="D5" i="20" s="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T12" i="20"/>
  <c r="O12" i="20"/>
  <c r="J12" i="20"/>
  <c r="D12" i="20"/>
  <c r="C12" i="20"/>
  <c r="B12" i="20"/>
  <c r="A12" i="20" s="1"/>
  <c r="C11" i="20"/>
  <c r="D11" i="20"/>
  <c r="D10" i="20"/>
  <c r="C10" i="20"/>
  <c r="D9" i="20"/>
  <c r="C7" i="20"/>
  <c r="D7" i="20"/>
  <c r="T6" i="20"/>
  <c r="D6" i="20"/>
  <c r="C6" i="20"/>
  <c r="T5" i="20"/>
  <c r="T4" i="20"/>
  <c r="O4" i="20"/>
  <c r="O5" i="20" s="1"/>
  <c r="J4" i="20"/>
  <c r="J5" i="20" s="1"/>
  <c r="E4" i="20"/>
  <c r="W3" i="20"/>
  <c r="V3" i="20"/>
  <c r="U3" i="20"/>
  <c r="W2" i="20"/>
  <c r="V2" i="20"/>
  <c r="U2" i="20"/>
  <c r="BO1" i="20"/>
  <c r="AT1" i="20"/>
  <c r="Y1" i="20"/>
  <c r="E11" i="19"/>
  <c r="E10" i="19"/>
  <c r="E9" i="19"/>
  <c r="E8" i="19"/>
  <c r="E7" i="19"/>
  <c r="E6" i="19"/>
  <c r="E5" i="19"/>
  <c r="W4" i="24" l="1"/>
  <c r="T8" i="24"/>
  <c r="O7" i="24"/>
  <c r="B6" i="24"/>
  <c r="A7" i="24" s="1"/>
  <c r="C11" i="24"/>
  <c r="U4" i="24"/>
  <c r="J5" i="24"/>
  <c r="V5" i="24" s="1"/>
  <c r="D11" i="24"/>
  <c r="V4" i="24"/>
  <c r="B7" i="24"/>
  <c r="C12" i="24"/>
  <c r="A5" i="24"/>
  <c r="C7" i="24"/>
  <c r="D7" i="24"/>
  <c r="U13" i="23"/>
  <c r="W13" i="23"/>
  <c r="J8" i="23"/>
  <c r="V5" i="23"/>
  <c r="U5" i="23"/>
  <c r="O6" i="23"/>
  <c r="U6" i="23" s="1"/>
  <c r="T6" i="23"/>
  <c r="W5" i="23"/>
  <c r="B7" i="23"/>
  <c r="B5" i="23"/>
  <c r="A5" i="23" s="1"/>
  <c r="D5" i="23"/>
  <c r="C8" i="23"/>
  <c r="C6" i="23"/>
  <c r="V4" i="23"/>
  <c r="D6" i="23"/>
  <c r="C9" i="23"/>
  <c r="C10" i="23" s="1"/>
  <c r="C11" i="23" s="1"/>
  <c r="C12" i="23"/>
  <c r="B6" i="23"/>
  <c r="U4" i="23"/>
  <c r="W4" i="23"/>
  <c r="D9" i="23"/>
  <c r="V12" i="22"/>
  <c r="U12" i="22"/>
  <c r="W12" i="22"/>
  <c r="U11" i="22"/>
  <c r="V11" i="22"/>
  <c r="W11" i="22"/>
  <c r="U10" i="22"/>
  <c r="W10" i="22"/>
  <c r="W9" i="22"/>
  <c r="U9" i="22"/>
  <c r="U8" i="22"/>
  <c r="V4" i="22"/>
  <c r="U4" i="22"/>
  <c r="W4" i="22"/>
  <c r="J7" i="22"/>
  <c r="U6" i="22"/>
  <c r="O7" i="22"/>
  <c r="V7" i="22" s="1"/>
  <c r="V6" i="22"/>
  <c r="W6" i="22"/>
  <c r="T7" i="22"/>
  <c r="B7" i="22"/>
  <c r="U5" i="22"/>
  <c r="V5" i="22"/>
  <c r="W5" i="22"/>
  <c r="A6" i="22"/>
  <c r="V5" i="21"/>
  <c r="V4" i="21"/>
  <c r="W5" i="21"/>
  <c r="W4" i="21"/>
  <c r="U4" i="21"/>
  <c r="O8" i="21"/>
  <c r="C7" i="21"/>
  <c r="T9" i="21"/>
  <c r="B5" i="21"/>
  <c r="A5" i="21" s="1"/>
  <c r="C8" i="21"/>
  <c r="D8" i="21"/>
  <c r="C11" i="21"/>
  <c r="C9" i="21"/>
  <c r="C12" i="21"/>
  <c r="U5" i="21"/>
  <c r="J6" i="21"/>
  <c r="V6" i="21" s="1"/>
  <c r="A13" i="20"/>
  <c r="B13" i="20"/>
  <c r="C13" i="20"/>
  <c r="U12" i="20"/>
  <c r="V12" i="20"/>
  <c r="W12" i="20"/>
  <c r="B5" i="20"/>
  <c r="A5" i="20" s="1"/>
  <c r="W5" i="20"/>
  <c r="J6" i="20"/>
  <c r="U5" i="20"/>
  <c r="O6" i="20"/>
  <c r="V5" i="20"/>
  <c r="W6" i="20"/>
  <c r="C5" i="20"/>
  <c r="B8" i="20"/>
  <c r="C8" i="20"/>
  <c r="B6" i="20"/>
  <c r="A6" i="20" s="1"/>
  <c r="D8" i="20"/>
  <c r="T7" i="20"/>
  <c r="V4" i="20"/>
  <c r="C9" i="20"/>
  <c r="U4" i="20"/>
  <c r="W4" i="20"/>
  <c r="B7" i="20"/>
  <c r="E4" i="19"/>
  <c r="A6" i="24" l="1"/>
  <c r="T9" i="24"/>
  <c r="O8" i="24"/>
  <c r="B8" i="24"/>
  <c r="A8" i="24" s="1"/>
  <c r="W5" i="24"/>
  <c r="J6" i="24"/>
  <c r="U5" i="24"/>
  <c r="B8" i="23"/>
  <c r="J9" i="23"/>
  <c r="W6" i="23"/>
  <c r="T7" i="23"/>
  <c r="O7" i="23"/>
  <c r="V6" i="23"/>
  <c r="A6" i="23"/>
  <c r="A7" i="23" s="1"/>
  <c r="A7" i="22"/>
  <c r="U7" i="22"/>
  <c r="W7" i="22"/>
  <c r="B6" i="21"/>
  <c r="J7" i="21"/>
  <c r="W6" i="21"/>
  <c r="U6" i="21"/>
  <c r="T10" i="21"/>
  <c r="A6" i="21"/>
  <c r="O9" i="21"/>
  <c r="A7" i="20"/>
  <c r="A8" i="20"/>
  <c r="B9" i="20"/>
  <c r="O7" i="20"/>
  <c r="V6" i="20"/>
  <c r="T8" i="20"/>
  <c r="J7" i="20"/>
  <c r="W7" i="20" s="1"/>
  <c r="U6" i="20"/>
  <c r="W3" i="19"/>
  <c r="V3" i="19"/>
  <c r="U3" i="19"/>
  <c r="U6" i="24" l="1"/>
  <c r="J7" i="24"/>
  <c r="W6" i="24"/>
  <c r="V6" i="24"/>
  <c r="T10" i="24"/>
  <c r="B9" i="24"/>
  <c r="A9" i="24" s="1"/>
  <c r="O9" i="24"/>
  <c r="O8" i="23"/>
  <c r="V7" i="23"/>
  <c r="U7" i="23"/>
  <c r="J10" i="23"/>
  <c r="B9" i="23"/>
  <c r="T8" i="23"/>
  <c r="W7" i="23"/>
  <c r="A8" i="23"/>
  <c r="A9" i="23" s="1"/>
  <c r="J8" i="21"/>
  <c r="U7" i="21"/>
  <c r="V7" i="21"/>
  <c r="W7" i="21"/>
  <c r="B7" i="21"/>
  <c r="O10" i="21"/>
  <c r="T11" i="21"/>
  <c r="A9" i="20"/>
  <c r="J8" i="20"/>
  <c r="U7" i="20"/>
  <c r="T9" i="20"/>
  <c r="O8" i="20"/>
  <c r="V7" i="20"/>
  <c r="B10" i="20"/>
  <c r="A10" i="20" s="1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O11" i="19"/>
  <c r="J11" i="19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U7" i="24" l="1"/>
  <c r="J8" i="24"/>
  <c r="W7" i="24"/>
  <c r="V7" i="24"/>
  <c r="B10" i="24"/>
  <c r="T11" i="24"/>
  <c r="O10" i="24"/>
  <c r="O9" i="23"/>
  <c r="V8" i="23"/>
  <c r="U8" i="23"/>
  <c r="T9" i="23"/>
  <c r="W8" i="23"/>
  <c r="B10" i="23"/>
  <c r="J11" i="23"/>
  <c r="T12" i="21"/>
  <c r="B8" i="21"/>
  <c r="A8" i="21" s="1"/>
  <c r="A7" i="21"/>
  <c r="O11" i="21"/>
  <c r="U8" i="21"/>
  <c r="J9" i="21"/>
  <c r="W8" i="21"/>
  <c r="V8" i="21"/>
  <c r="W8" i="20"/>
  <c r="O9" i="20"/>
  <c r="V8" i="20"/>
  <c r="B11" i="20"/>
  <c r="A11" i="20" s="1"/>
  <c r="T10" i="20"/>
  <c r="W9" i="20"/>
  <c r="J9" i="20"/>
  <c r="U8" i="20"/>
  <c r="U11" i="19"/>
  <c r="V11" i="19"/>
  <c r="W11" i="19"/>
  <c r="U10" i="19"/>
  <c r="U9" i="19"/>
  <c r="V9" i="19"/>
  <c r="W8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B11" i="24" l="1"/>
  <c r="A10" i="24"/>
  <c r="T12" i="24"/>
  <c r="J9" i="24"/>
  <c r="U8" i="24"/>
  <c r="W8" i="24"/>
  <c r="V8" i="24"/>
  <c r="O11" i="24"/>
  <c r="J12" i="23"/>
  <c r="O10" i="23"/>
  <c r="V9" i="23"/>
  <c r="U9" i="23"/>
  <c r="B11" i="23"/>
  <c r="A10" i="23"/>
  <c r="T10" i="23"/>
  <c r="W9" i="23"/>
  <c r="O12" i="21"/>
  <c r="A9" i="21"/>
  <c r="B9" i="21"/>
  <c r="J10" i="21"/>
  <c r="U9" i="21"/>
  <c r="W9" i="21"/>
  <c r="V9" i="21"/>
  <c r="V9" i="20"/>
  <c r="O10" i="20"/>
  <c r="J10" i="20"/>
  <c r="U9" i="20"/>
  <c r="T11" i="20"/>
  <c r="W5" i="19"/>
  <c r="V5" i="19"/>
  <c r="U5" i="19"/>
  <c r="A11" i="24" l="1"/>
  <c r="B12" i="24"/>
  <c r="A12" i="24" s="1"/>
  <c r="O12" i="24"/>
  <c r="U9" i="24"/>
  <c r="J10" i="24"/>
  <c r="W9" i="24"/>
  <c r="V9" i="24"/>
  <c r="T13" i="24"/>
  <c r="V10" i="23"/>
  <c r="O11" i="23"/>
  <c r="U10" i="23"/>
  <c r="W10" i="23"/>
  <c r="T11" i="23"/>
  <c r="B12" i="23"/>
  <c r="A12" i="23" s="1"/>
  <c r="A11" i="23"/>
  <c r="J11" i="21"/>
  <c r="U10" i="21"/>
  <c r="W10" i="21"/>
  <c r="V10" i="21"/>
  <c r="B10" i="21"/>
  <c r="A10" i="21" s="1"/>
  <c r="O11" i="20"/>
  <c r="V10" i="20"/>
  <c r="W10" i="20"/>
  <c r="U10" i="20"/>
  <c r="J11" i="20"/>
  <c r="W11" i="20" s="1"/>
  <c r="U10" i="24" l="1"/>
  <c r="J11" i="24"/>
  <c r="W10" i="24"/>
  <c r="V10" i="24"/>
  <c r="O13" i="24"/>
  <c r="B13" i="24"/>
  <c r="A13" i="24" s="1"/>
  <c r="T12" i="23"/>
  <c r="W11" i="23"/>
  <c r="O12" i="23"/>
  <c r="V11" i="23"/>
  <c r="U11" i="23"/>
  <c r="B11" i="21"/>
  <c r="A11" i="21"/>
  <c r="U11" i="21"/>
  <c r="J12" i="21"/>
  <c r="W11" i="21"/>
  <c r="V11" i="21"/>
  <c r="V11" i="20"/>
  <c r="U11" i="20"/>
  <c r="J12" i="24" l="1"/>
  <c r="U11" i="24"/>
  <c r="W11" i="24"/>
  <c r="V11" i="24"/>
  <c r="V12" i="23"/>
  <c r="U12" i="23"/>
  <c r="W12" i="23"/>
  <c r="U12" i="21"/>
  <c r="W12" i="21"/>
  <c r="V12" i="21"/>
  <c r="B12" i="21"/>
  <c r="A12" i="21" s="1"/>
  <c r="J13" i="24" l="1"/>
  <c r="U12" i="24"/>
  <c r="W12" i="24"/>
  <c r="V12" i="24"/>
  <c r="U13" i="24" l="1"/>
  <c r="W13" i="24"/>
  <c r="V13" i="24"/>
</calcChain>
</file>

<file path=xl/sharedStrings.xml><?xml version="1.0" encoding="utf-8"?>
<sst xmlns="http://schemas.openxmlformats.org/spreadsheetml/2006/main" count="1074" uniqueCount="209">
  <si>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</si>
  <si>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</si>
  <si>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</si>
  <si>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</si>
  <si>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</si>
  <si>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</si>
  <si>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</si>
  <si>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</si>
  <si>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</si>
  <si>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</si>
  <si>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</si>
  <si>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</si>
  <si>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</si>
  <si>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</si>
  <si>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</si>
  <si>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</si>
  <si>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</si>
  <si>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</si>
  <si>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</si>
  <si>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</si>
  <si>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</si>
  <si>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</si>
  <si>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</si>
  <si>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</si>
  <si>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</si>
  <si>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</si>
  <si>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</si>
  <si>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</si>
  <si>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</si>
  <si>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</si>
  <si>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</si>
  <si>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</si>
  <si>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</si>
  <si>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</si>
  <si>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</si>
  <si>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</si>
  <si>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</si>
  <si>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</si>
  <si>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</si>
  <si>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</si>
  <si>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</si>
  <si>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</si>
  <si>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</si>
  <si>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</si>
  <si>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</si>
  <si>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</si>
  <si>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</si>
  <si>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</si>
  <si>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</si>
  <si>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</si>
  <si>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</si>
  <si>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</si>
  <si>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</si>
  <si>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</si>
  <si>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</si>
  <si>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</si>
  <si>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</si>
  <si>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</si>
  <si>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</si>
  <si>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</si>
  <si>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</si>
  <si>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</si>
  <si>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</si>
  <si>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</si>
  <si>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</si>
  <si>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</si>
  <si>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</si>
  <si>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</si>
  <si>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</si>
  <si>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</si>
  <si>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</si>
  <si>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</si>
  <si>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</si>
  <si>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</si>
  <si>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</si>
  <si>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</si>
  <si>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</si>
  <si>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</si>
  <si>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</si>
  <si>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</si>
  <si>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</si>
  <si>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</si>
  <si>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</si>
  <si>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</si>
  <si>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</si>
  <si>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</si>
  <si>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</si>
  <si>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</si>
  <si>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</si>
  <si>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</si>
  <si>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</si>
  <si>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</si>
  <si>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</si>
  <si>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</si>
  <si>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</si>
  <si>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</si>
  <si>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</si>
  <si>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</si>
  <si>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</si>
  <si>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</si>
  <si>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</si>
  <si>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</si>
  <si>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</si>
  <si>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</si>
  <si>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</si>
  <si>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</si>
  <si>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</si>
  <si>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</si>
  <si>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</si>
  <si>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</si>
  <si>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</si>
  <si>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</si>
  <si>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</si>
  <si>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</si>
  <si>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</si>
  <si>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</si>
  <si>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</si>
  <si>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</si>
  <si>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</si>
  <si>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</si>
  <si>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</si>
  <si>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</si>
  <si>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</si>
  <si>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</si>
  <si>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</si>
  <si>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</si>
  <si>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</si>
  <si>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</si>
  <si>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</si>
  <si>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</si>
  <si>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</si>
  <si>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</si>
  <si>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</si>
  <si>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</si>
  <si>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</si>
  <si>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</si>
  <si>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</si>
  <si>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</si>
  <si>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</si>
  <si>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</si>
  <si>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</si>
  <si>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</si>
  <si>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</si>
  <si>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</si>
  <si>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</si>
  <si>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</si>
  <si>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</si>
  <si>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</si>
  <si>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</si>
  <si>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</si>
  <si>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</si>
  <si>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</si>
  <si>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</si>
  <si>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</si>
  <si>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</si>
  <si>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</si>
  <si>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</si>
  <si>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</si>
  <si>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</si>
  <si>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</si>
  <si>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</si>
  <si>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</si>
  <si>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</si>
  <si>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</si>
  <si>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</si>
  <si>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</si>
  <si>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</si>
  <si>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</si>
  <si>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</si>
  <si>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</si>
  <si>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</si>
  <si>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</si>
  <si>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</si>
  <si>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</si>
  <si>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</si>
  <si>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</si>
  <si>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</si>
  <si>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</si>
  <si>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</si>
  <si>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</si>
  <si>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</si>
  <si>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</si>
  <si>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</si>
  <si>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</si>
  <si>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</si>
  <si>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</si>
  <si>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</si>
  <si>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</si>
  <si>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</si>
  <si>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</si>
  <si>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</si>
  <si>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_</t>
    <phoneticPr fontId="1"/>
  </si>
  <si>
    <t>だいち</t>
  </si>
  <si>
    <t>だいち</t>
    <phoneticPr fontId="1"/>
  </si>
  <si>
    <t>ただ</t>
  </si>
  <si>
    <t>ただ</t>
    <phoneticPr fontId="1"/>
  </si>
  <si>
    <t>れんたろう</t>
  </si>
  <si>
    <t>れんたろう</t>
    <phoneticPr fontId="1"/>
  </si>
  <si>
    <t>ツモ</t>
  </si>
  <si>
    <t>ツモ支払</t>
  </si>
  <si>
    <t>*</t>
  </si>
  <si>
    <t>01</t>
  </si>
  <si>
    <t>52</t>
  </si>
  <si>
    <t>ロン</t>
  </si>
  <si>
    <t>放銃</t>
  </si>
  <si>
    <t>02</t>
  </si>
  <si>
    <t>N</t>
  </si>
  <si>
    <t>T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</si>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</sst>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3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193</v>
      </c>
      <c r="G1" s="73"/>
      <c r="H1" s="73"/>
      <c r="I1" s="74"/>
      <c r="J1" s="75"/>
      <c r="K1" s="72" t="s">
        <v>195</v>
      </c>
      <c r="L1" s="73"/>
      <c r="M1" s="73"/>
      <c r="N1" s="74"/>
      <c r="O1" s="75"/>
      <c r="P1" s="72" t="s">
        <v>197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ただ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れんたろう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ただ</v>
      </c>
      <c r="W2" s="16" t="str">
        <f>$P$1</f>
        <v>れんたろう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だいち</v>
      </c>
      <c r="F4" s="8" t="s">
        <v>198</v>
      </c>
      <c r="G4" s="9">
        <v>3000</v>
      </c>
      <c r="H4" s="9"/>
      <c r="I4" s="48">
        <v>0</v>
      </c>
      <c r="J4" s="21">
        <f>IF(COUNTA($F4,$K4,$P4)&gt;0,J3+SUM(G4:I4),"")</f>
        <v>38000</v>
      </c>
      <c r="K4" s="8" t="s">
        <v>199</v>
      </c>
      <c r="L4" s="9">
        <v>-1500</v>
      </c>
      <c r="M4" s="9"/>
      <c r="N4" s="48">
        <v>0</v>
      </c>
      <c r="O4" s="21">
        <f>IF(COUNTA($F4,$K4,$P4)&gt;0,O3+SUM(L4:N4),"")</f>
        <v>33500</v>
      </c>
      <c r="P4" s="8" t="s">
        <v>199</v>
      </c>
      <c r="Q4" s="9">
        <v>-1500</v>
      </c>
      <c r="R4" s="9"/>
      <c r="S4" s="48">
        <v>0</v>
      </c>
      <c r="T4" s="21">
        <f>IF(COUNTA($F4,$K4,$P4)&gt;0,T3+SUM(Q4:S4),"")</f>
        <v>33500</v>
      </c>
      <c r="U4" s="53">
        <f>IF($J4="","",ROUND(($J4-$J$3)/1000,1)+(_xlfn.RANK.AVG($J4,($J4,$O4,$T4),1)-2)*10)</f>
        <v>13</v>
      </c>
      <c r="V4" s="54">
        <f>IF($O4="","",ROUND(($O4-$O$3)/1000,1)+(_xlfn.RANK.AVG($O4,($J4,$O4,$T4),1)-2)*10)</f>
        <v>-6.5</v>
      </c>
      <c r="W4" s="55">
        <f>IF($T4="","",ROUND(($T4-$T$3)/1000,1)+(_xlfn.RANK.AVG($T4,($J4,$O4,$T4),1)-2)*10)</f>
        <v>-6.5</v>
      </c>
      <c r="Y4" s="8"/>
      <c r="Z4" s="34"/>
      <c r="AA4" s="26"/>
      <c r="AB4" s="26"/>
      <c r="AC4" s="26">
        <v>2</v>
      </c>
      <c r="AD4" s="30">
        <v>30</v>
      </c>
      <c r="AE4" s="40" t="s">
        <v>82</v>
      </c>
      <c r="AF4" s="41" t="s">
        <v>79</v>
      </c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だいち</v>
      </c>
      <c r="F5" s="8" t="s">
        <v>199</v>
      </c>
      <c r="G5" s="9">
        <v>-5000</v>
      </c>
      <c r="H5" s="9"/>
      <c r="I5" s="48">
        <v>-500</v>
      </c>
      <c r="J5" s="21">
        <f t="shared" ref="J5:J30" si="2">IF(COUNTA($F5,$K5,$P5)&gt;0,J4+SUM(G5:I5),"")</f>
        <v>32500</v>
      </c>
      <c r="K5" s="8" t="s">
        <v>199</v>
      </c>
      <c r="L5" s="9">
        <v>-3000</v>
      </c>
      <c r="M5" s="9"/>
      <c r="N5" s="48">
        <v>-500</v>
      </c>
      <c r="O5" s="21">
        <f t="shared" ref="O5:O30" si="3">IF(COUNTA($F5,$K5,$P5)&gt;0,O4+SUM(L5:N5),"")</f>
        <v>30000</v>
      </c>
      <c r="P5" s="8" t="s">
        <v>198</v>
      </c>
      <c r="Q5" s="9">
        <v>8000</v>
      </c>
      <c r="R5" s="9"/>
      <c r="S5" s="48">
        <v>1000</v>
      </c>
      <c r="T5" s="21">
        <f t="shared" ref="T5:T30" si="4">IF(COUNTA($F5,$K5,$P5)&gt;0,T4+SUM(Q5:S5),"")</f>
        <v>42500</v>
      </c>
      <c r="U5" s="53">
        <f>IF($J5="","",ROUND(($J5-$J$3)/1000,1)+(_xlfn.RANK.AVG($J5,($J5,$O5,$T5),1)-2)*10)</f>
        <v>-2.5</v>
      </c>
      <c r="V5" s="54">
        <f>IF($O5="","",ROUND(($O5-$O$3)/1000,1)+(_xlfn.RANK.AVG($O5,($J5,$O5,$T5),1)-2)*10)</f>
        <v>-15</v>
      </c>
      <c r="W5" s="55">
        <f>IF($T5="","",ROUND(($T5-$T$3)/1000,1)+(_xlfn.RANK.AVG($T5,($J5,$O5,$T5),1)-2)*10)</f>
        <v>17.5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5</v>
      </c>
      <c r="BT5" s="30" t="s">
        <v>200</v>
      </c>
      <c r="BU5" s="40" t="s">
        <v>201</v>
      </c>
      <c r="BV5" s="41" t="s">
        <v>82</v>
      </c>
      <c r="BW5" s="41" t="s">
        <v>83</v>
      </c>
      <c r="BX5" s="41" t="s">
        <v>79</v>
      </c>
      <c r="BY5" s="41" t="s">
        <v>202</v>
      </c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IF($K$1="","",$K$1)</f>
        <v>ただ</v>
      </c>
      <c r="F6" s="8" t="s">
        <v>199</v>
      </c>
      <c r="G6" s="9">
        <v>-9000</v>
      </c>
      <c r="H6" s="9"/>
      <c r="I6" s="48">
        <v>0</v>
      </c>
      <c r="J6" s="21">
        <f t="shared" si="2"/>
        <v>23500</v>
      </c>
      <c r="K6" s="8" t="s">
        <v>198</v>
      </c>
      <c r="L6" s="9">
        <v>18000</v>
      </c>
      <c r="M6" s="9"/>
      <c r="N6" s="48">
        <v>0</v>
      </c>
      <c r="O6" s="21">
        <f t="shared" si="3"/>
        <v>48000</v>
      </c>
      <c r="P6" s="8" t="s">
        <v>199</v>
      </c>
      <c r="Q6" s="9">
        <v>-9000</v>
      </c>
      <c r="R6" s="9"/>
      <c r="S6" s="48">
        <v>0</v>
      </c>
      <c r="T6" s="21">
        <f t="shared" si="4"/>
        <v>33500</v>
      </c>
      <c r="U6" s="53">
        <f>IF($J6="","",ROUND(($J6-$J$3)/1000,1)+(_xlfn.RANK.AVG($J6,($J6,$O6,$T6),1)-2)*10)</f>
        <v>-21.5</v>
      </c>
      <c r="V6" s="54">
        <f>IF($O6="","",ROUND(($O6-$O$3)/1000,1)+(_xlfn.RANK.AVG($O6,($J6,$O6,$T6),1)-2)*10)</f>
        <v>23</v>
      </c>
      <c r="W6" s="55">
        <f>IF($T6="","",ROUND(($T6-$T$3)/1000,1)+(_xlfn.RANK.AVG($T6,($J6,$O6,$T6),1)-2)*10)</f>
        <v>-1.5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6</v>
      </c>
      <c r="AY6" s="30" t="s">
        <v>200</v>
      </c>
      <c r="AZ6" s="40" t="s">
        <v>201</v>
      </c>
      <c r="BA6" s="41" t="s">
        <v>82</v>
      </c>
      <c r="BB6" s="41" t="s">
        <v>83</v>
      </c>
      <c r="BC6" s="41" t="s">
        <v>92</v>
      </c>
      <c r="BD6" s="41" t="s">
        <v>79</v>
      </c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tr">
        <f>IF($K$1="","",$K$1)</f>
        <v>ただ</v>
      </c>
      <c r="F7" s="8" t="s">
        <v>203</v>
      </c>
      <c r="G7" s="9">
        <v>8000</v>
      </c>
      <c r="H7" s="9"/>
      <c r="I7" s="48">
        <v>1000</v>
      </c>
      <c r="J7" s="21">
        <f t="shared" si="2"/>
        <v>32500</v>
      </c>
      <c r="K7" s="8"/>
      <c r="L7" s="9"/>
      <c r="M7" s="9"/>
      <c r="N7" s="48"/>
      <c r="O7" s="21">
        <f t="shared" si="3"/>
        <v>48000</v>
      </c>
      <c r="P7" s="8" t="s">
        <v>204</v>
      </c>
      <c r="Q7" s="9">
        <v>-8000</v>
      </c>
      <c r="R7" s="9"/>
      <c r="S7" s="48">
        <v>-1000</v>
      </c>
      <c r="T7" s="21">
        <f t="shared" si="4"/>
        <v>24500</v>
      </c>
      <c r="U7" s="53">
        <f>IF($J7="","",ROUND(($J7-$J$3)/1000,1)+(_xlfn.RANK.AVG($J7,($J7,$O7,$T7),1)-2)*10)</f>
        <v>-2.5</v>
      </c>
      <c r="V7" s="54">
        <f>IF($O7="","",ROUND(($O7-$O$3)/1000,1)+(_xlfn.RANK.AVG($O7,($J7,$O7,$T7),1)-2)*10)</f>
        <v>23</v>
      </c>
      <c r="W7" s="55">
        <f>IF($T7="","",ROUND(($T7-$T$3)/1000,1)+(_xlfn.RANK.AVG($T7,($J7,$O7,$T7),1)-2)*10)</f>
        <v>-20.5</v>
      </c>
      <c r="Y7" s="8"/>
      <c r="Z7" s="34"/>
      <c r="AA7" s="26">
        <v>1</v>
      </c>
      <c r="AB7" s="26"/>
      <c r="AC7" s="26">
        <v>4</v>
      </c>
      <c r="AD7" s="30">
        <v>40</v>
      </c>
      <c r="AE7" s="40" t="s">
        <v>201</v>
      </c>
      <c r="AF7" s="41" t="s">
        <v>205</v>
      </c>
      <c r="AG7" s="41" t="s">
        <v>79</v>
      </c>
      <c r="AH7" s="41" t="s">
        <v>202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tr">
        <f>IF($P$1="","",$P$1)</f>
        <v>れんたろう</v>
      </c>
      <c r="F8" s="8" t="s">
        <v>198</v>
      </c>
      <c r="G8" s="9">
        <v>3200</v>
      </c>
      <c r="H8" s="9"/>
      <c r="I8" s="48">
        <v>0</v>
      </c>
      <c r="J8" s="21">
        <f t="shared" si="2"/>
        <v>35700</v>
      </c>
      <c r="K8" s="8" t="s">
        <v>199</v>
      </c>
      <c r="L8" s="9">
        <v>-1200</v>
      </c>
      <c r="M8" s="9"/>
      <c r="N8" s="48">
        <v>0</v>
      </c>
      <c r="O8" s="21">
        <f t="shared" si="3"/>
        <v>46800</v>
      </c>
      <c r="P8" s="8" t="s">
        <v>199</v>
      </c>
      <c r="Q8" s="9">
        <v>-2000</v>
      </c>
      <c r="R8" s="9"/>
      <c r="S8" s="48">
        <v>0</v>
      </c>
      <c r="T8" s="21">
        <f t="shared" si="4"/>
        <v>22500</v>
      </c>
      <c r="U8" s="53">
        <f>IF($J8="","",ROUND(($J8-$J$3)/1000,1)+(_xlfn.RANK.AVG($J8,($J8,$O8,$T8),1)-2)*10)</f>
        <v>0.7</v>
      </c>
      <c r="V8" s="54">
        <f>IF($O8="","",ROUND(($O8-$O$3)/1000,1)+(_xlfn.RANK.AVG($O8,($J8,$O8,$T8),1)-2)*10)</f>
        <v>21.8</v>
      </c>
      <c r="W8" s="55">
        <f>IF($T8="","",ROUND(($T8-$T$3)/1000,1)+(_xlfn.RANK.AVG($T8,($J8,$O8,$T8),1)-2)*10)</f>
        <v>-22.5</v>
      </c>
      <c r="Y8" s="8"/>
      <c r="Z8" s="34"/>
      <c r="AA8" s="26"/>
      <c r="AB8" s="26"/>
      <c r="AC8" s="26">
        <v>3</v>
      </c>
      <c r="AD8" s="30">
        <v>25</v>
      </c>
      <c r="AE8" s="40" t="s">
        <v>82</v>
      </c>
      <c r="AF8" s="41" t="s">
        <v>101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tr">
        <f>IF($F$1="","",$F$1)</f>
        <v>だいち</v>
      </c>
      <c r="F9" s="8" t="s">
        <v>199</v>
      </c>
      <c r="G9" s="9">
        <v>-1700</v>
      </c>
      <c r="H9" s="9"/>
      <c r="I9" s="48">
        <v>0</v>
      </c>
      <c r="J9" s="21">
        <f t="shared" si="2"/>
        <v>34000</v>
      </c>
      <c r="K9" s="8" t="s">
        <v>198</v>
      </c>
      <c r="L9" s="9">
        <v>2800</v>
      </c>
      <c r="M9" s="9"/>
      <c r="N9" s="48">
        <v>0</v>
      </c>
      <c r="O9" s="21">
        <f t="shared" si="3"/>
        <v>49600</v>
      </c>
      <c r="P9" s="8" t="s">
        <v>199</v>
      </c>
      <c r="Q9" s="9">
        <v>-1100</v>
      </c>
      <c r="R9" s="9"/>
      <c r="S9" s="48">
        <v>0</v>
      </c>
      <c r="T9" s="21">
        <f t="shared" si="4"/>
        <v>21400</v>
      </c>
      <c r="U9" s="53">
        <f>IF($J9="","",ROUND(($J9-$J$3)/1000,1)+(_xlfn.RANK.AVG($J9,($J9,$O9,$T9),1)-2)*10)</f>
        <v>-1</v>
      </c>
      <c r="V9" s="54">
        <f>IF($O9="","",ROUND(($O9-$O$3)/1000,1)+(_xlfn.RANK.AVG($O9,($J9,$O9,$T9),1)-2)*10)</f>
        <v>24.6</v>
      </c>
      <c r="W9" s="55">
        <f>IF($T9="","",ROUND(($T9-$T$3)/1000,1)+(_xlfn.RANK.AVG($T9,($J9,$O9,$T9),1)-2)*10)</f>
        <v>-23.6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>
        <v>2</v>
      </c>
      <c r="AY9" s="30">
        <v>40</v>
      </c>
      <c r="AZ9" s="40" t="s">
        <v>82</v>
      </c>
      <c r="BA9" s="41" t="s">
        <v>79</v>
      </c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IF($K$1="","",$K$1)</f>
        <v>ただ</v>
      </c>
      <c r="F10" s="8"/>
      <c r="G10" s="9"/>
      <c r="H10" s="9"/>
      <c r="I10" s="48"/>
      <c r="J10" s="21">
        <f t="shared" si="2"/>
        <v>34000</v>
      </c>
      <c r="K10" s="8" t="s">
        <v>204</v>
      </c>
      <c r="L10" s="9">
        <v>-8000</v>
      </c>
      <c r="M10" s="9"/>
      <c r="N10" s="48">
        <v>0</v>
      </c>
      <c r="O10" s="21">
        <f t="shared" si="3"/>
        <v>41600</v>
      </c>
      <c r="P10" s="8" t="s">
        <v>203</v>
      </c>
      <c r="Q10" s="9">
        <v>8000</v>
      </c>
      <c r="R10" s="9"/>
      <c r="S10" s="48">
        <v>0</v>
      </c>
      <c r="T10" s="21">
        <f t="shared" si="4"/>
        <v>29400</v>
      </c>
      <c r="U10" s="53">
        <f>IF($J10="","",ROUND(($J10-$J$3)/1000,1)+(_xlfn.RANK.AVG($J10,($J10,$O10,$T10),1)-2)*10)</f>
        <v>-1</v>
      </c>
      <c r="V10" s="54">
        <f>IF($O10="","",ROUND(($O10-$O$3)/1000,1)+(_xlfn.RANK.AVG($O10,($J10,$O10,$T10),1)-2)*10)</f>
        <v>16.600000000000001</v>
      </c>
      <c r="W10" s="55">
        <f>IF($T10="","",ROUND(($T10-$T$3)/1000,1)+(_xlfn.RANK.AVG($T10,($J10,$O10,$T10),1)-2)*10)</f>
        <v>-15.6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>
        <v>4</v>
      </c>
      <c r="BT10" s="30">
        <v>40</v>
      </c>
      <c r="BU10" s="40" t="s">
        <v>104</v>
      </c>
      <c r="BV10" s="41" t="s">
        <v>84</v>
      </c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tr">
        <f>IF($P$1="","",$P$1)</f>
        <v>れんたろう</v>
      </c>
      <c r="F11" s="8" t="s">
        <v>198</v>
      </c>
      <c r="G11" s="9">
        <v>8000</v>
      </c>
      <c r="H11" s="9">
        <v>1000</v>
      </c>
      <c r="I11" s="48">
        <v>0</v>
      </c>
      <c r="J11" s="21">
        <f t="shared" si="2"/>
        <v>43000</v>
      </c>
      <c r="K11" s="8" t="s">
        <v>199</v>
      </c>
      <c r="L11" s="9">
        <v>-3000</v>
      </c>
      <c r="M11" s="9"/>
      <c r="N11" s="48">
        <v>0</v>
      </c>
      <c r="O11" s="21">
        <f t="shared" si="3"/>
        <v>38600</v>
      </c>
      <c r="P11" s="8" t="s">
        <v>199</v>
      </c>
      <c r="Q11" s="9">
        <v>-5000</v>
      </c>
      <c r="R11" s="9">
        <v>-1000</v>
      </c>
      <c r="S11" s="48">
        <v>0</v>
      </c>
      <c r="T11" s="21">
        <f t="shared" si="4"/>
        <v>23400</v>
      </c>
      <c r="U11" s="53">
        <f>IF($J11="","",ROUND(($J11-$J$3)/1000,1)+(_xlfn.RANK.AVG($J11,($J11,$O11,$T11),1)-2)*10)</f>
        <v>18</v>
      </c>
      <c r="V11" s="54">
        <f>IF($O11="","",ROUND(($O11-$O$3)/1000,1)+(_xlfn.RANK.AVG($O11,($J11,$O11,$T11),1)-2)*10)</f>
        <v>3.6</v>
      </c>
      <c r="W11" s="55">
        <f>IF($T11="","",ROUND(($T11-$T$3)/1000,1)+(_xlfn.RANK.AVG($T11,($J11,$O11,$T11),1)-2)*10)</f>
        <v>-21.6</v>
      </c>
      <c r="Y11" s="8"/>
      <c r="Z11" s="34"/>
      <c r="AA11" s="26">
        <v>1</v>
      </c>
      <c r="AB11" s="26"/>
      <c r="AC11" s="26">
        <v>4</v>
      </c>
      <c r="AD11" s="30">
        <v>40</v>
      </c>
      <c r="AE11" s="40" t="s">
        <v>201</v>
      </c>
      <c r="AF11" s="41" t="s">
        <v>82</v>
      </c>
      <c r="AG11" s="41" t="s">
        <v>205</v>
      </c>
      <c r="AH11" s="41" t="s">
        <v>79</v>
      </c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29" priority="5">
      <formula>IF(G4&lt;&gt;"",SUM($G4:$I4,$L4:$N4,$Q4:$S4)-$D4*1000+$D5*1000)</formula>
    </cfRule>
  </conditionalFormatting>
  <conditionalFormatting sqref="F1:G1 I1:L1 S1:T1 N1:Q1">
    <cfRule type="duplicateValues" dxfId="28" priority="4"/>
  </conditionalFormatting>
  <conditionalFormatting sqref="H1">
    <cfRule type="duplicateValues" dxfId="27" priority="3"/>
  </conditionalFormatting>
  <conditionalFormatting sqref="R1">
    <cfRule type="duplicateValues" dxfId="26" priority="2"/>
  </conditionalFormatting>
  <conditionalFormatting sqref="M1">
    <cfRule type="duplicateValues" dxfId="2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6283066C-29A2-4A67-AA6F-7637631EA065}">
      <formula1>"だいち,ただ,れんたろう,まっつん,いちかわ,わさび,やなぎ,たか,いっしー,たかの,りくと,のり,てんちゃん,ともき,ぱぱ,ほたに,ゆう,やがさき,あさひ,かわたつ,ちさと,がくと,かこたろう,"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82CBC-6C32-4787-AA02-1C026B3231BE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193</v>
      </c>
      <c r="G1" s="73"/>
      <c r="H1" s="73"/>
      <c r="I1" s="74"/>
      <c r="J1" s="75"/>
      <c r="K1" s="72" t="s">
        <v>197</v>
      </c>
      <c r="L1" s="73"/>
      <c r="M1" s="73"/>
      <c r="N1" s="74"/>
      <c r="O1" s="75"/>
      <c r="P1" s="72" t="s">
        <v>195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れんたろう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だいち</v>
      </c>
      <c r="V2" s="69" t="str">
        <f>$K$1</f>
        <v>れんたろう</v>
      </c>
      <c r="W2" s="16" t="str">
        <f>$P$1</f>
        <v>ただ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だいち</v>
      </c>
      <c r="F4" s="8" t="s">
        <v>199</v>
      </c>
      <c r="G4" s="9">
        <v>-4800</v>
      </c>
      <c r="H4" s="9"/>
      <c r="I4" s="48">
        <v>0</v>
      </c>
      <c r="J4" s="21">
        <f>IF(COUNTA($F4,$K4,$P4)&gt;0,J3+SUM(G4:I4),"")</f>
        <v>30200</v>
      </c>
      <c r="K4" s="8" t="s">
        <v>198</v>
      </c>
      <c r="L4" s="9">
        <v>7700</v>
      </c>
      <c r="M4" s="9"/>
      <c r="N4" s="48">
        <v>0</v>
      </c>
      <c r="O4" s="21">
        <f>IF(COUNTA($F4,$K4,$P4)&gt;0,O3+SUM(L4:N4),"")</f>
        <v>42700</v>
      </c>
      <c r="P4" s="8" t="s">
        <v>199</v>
      </c>
      <c r="Q4" s="9">
        <v>-2900</v>
      </c>
      <c r="R4" s="9"/>
      <c r="S4" s="48">
        <v>0</v>
      </c>
      <c r="T4" s="21">
        <f>IF(COUNTA($F4,$K4,$P4)&gt;0,T3+SUM(Q4:S4),"")</f>
        <v>32100</v>
      </c>
      <c r="U4" s="53">
        <f>IF($J4="","",ROUND(($J4-$J$3)/1000,1)+(_xlfn.RANK.AVG($J4,($J4,$O4,$T4),1)-2)*10)</f>
        <v>-14.8</v>
      </c>
      <c r="V4" s="54">
        <f>IF($O4="","",ROUND(($O4-$O$3)/1000,1)+(_xlfn.RANK.AVG($O4,($J4,$O4,$T4),1)-2)*10)</f>
        <v>17.7</v>
      </c>
      <c r="W4" s="55">
        <f>IF($T4="","",ROUND(($T4-$T$3)/1000,1)+(_xlfn.RANK.AVG($T4,($J4,$O4,$T4),1)-2)*10)</f>
        <v>-2.9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4</v>
      </c>
      <c r="AY4" s="30">
        <v>30</v>
      </c>
      <c r="AZ4" s="40" t="s">
        <v>201</v>
      </c>
      <c r="BA4" s="41" t="s">
        <v>82</v>
      </c>
      <c r="BB4" s="41" t="s">
        <v>205</v>
      </c>
      <c r="BC4" s="41" t="s">
        <v>85</v>
      </c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れんたろう</v>
      </c>
      <c r="F5" s="8" t="s">
        <v>208</v>
      </c>
      <c r="G5" s="9">
        <v>-1500</v>
      </c>
      <c r="H5" s="9"/>
      <c r="I5" s="48"/>
      <c r="J5" s="21">
        <f t="shared" ref="J5:J30" si="2">IF(COUNTA($F5,$K5,$P5)&gt;0,J4+SUM(G5:I5),"")</f>
        <v>28700</v>
      </c>
      <c r="K5" s="8" t="s">
        <v>208</v>
      </c>
      <c r="L5" s="9">
        <v>3000</v>
      </c>
      <c r="M5" s="9">
        <v>-2000</v>
      </c>
      <c r="N5" s="48"/>
      <c r="O5" s="21">
        <f t="shared" ref="O5:O30" si="3">IF(COUNTA($F5,$K5,$P5)&gt;0,O4+SUM(L5:N5),"")</f>
        <v>43700</v>
      </c>
      <c r="P5" s="8" t="s">
        <v>208</v>
      </c>
      <c r="Q5" s="9">
        <v>-1500</v>
      </c>
      <c r="R5" s="9"/>
      <c r="S5" s="48"/>
      <c r="T5" s="21">
        <f t="shared" ref="T5:T30" si="4">IF(COUNTA($F5,$K5,$P5)&gt;0,T4+SUM(Q5:S5),"")</f>
        <v>30600</v>
      </c>
      <c r="U5" s="53">
        <f>IF($J5="","",ROUND(($J5-$J$3)/1000,1)+(_xlfn.RANK.AVG($J5,($J5,$O5,$T5),1)-2)*10)</f>
        <v>-16.3</v>
      </c>
      <c r="V5" s="54">
        <f>IF($O5="","",ROUND(($O5-$O$3)/1000,1)+(_xlfn.RANK.AVG($O5,($J5,$O5,$T5),1)-2)*10)</f>
        <v>18.7</v>
      </c>
      <c r="W5" s="55">
        <f>IF($T5="","",ROUND(($T5-$T$3)/1000,1)+(_xlfn.RANK.AVG($T5,($J5,$O5,$T5),1)-2)*10)</f>
        <v>-4.4000000000000004</v>
      </c>
      <c r="Y5" s="8" t="s">
        <v>206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207</v>
      </c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206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2</v>
      </c>
      <c r="E6" s="4" t="str">
        <f>IF($K$1="","",$K$1)</f>
        <v>れんたろう</v>
      </c>
      <c r="F6" s="8" t="s">
        <v>204</v>
      </c>
      <c r="G6" s="9">
        <v>-12000</v>
      </c>
      <c r="H6" s="9"/>
      <c r="I6" s="48">
        <v>-1000</v>
      </c>
      <c r="J6" s="21">
        <f t="shared" si="2"/>
        <v>15700</v>
      </c>
      <c r="K6" s="8" t="s">
        <v>203</v>
      </c>
      <c r="L6" s="9">
        <v>12000</v>
      </c>
      <c r="M6" s="9">
        <v>2000</v>
      </c>
      <c r="N6" s="48">
        <v>1000</v>
      </c>
      <c r="O6" s="21">
        <f t="shared" si="3"/>
        <v>58700</v>
      </c>
      <c r="P6" s="8"/>
      <c r="Q6" s="9"/>
      <c r="R6" s="9"/>
      <c r="S6" s="48"/>
      <c r="T6" s="21">
        <f t="shared" si="4"/>
        <v>30600</v>
      </c>
      <c r="U6" s="53">
        <f>IF($J6="","",ROUND(($J6-$J$3)/1000,1)+(_xlfn.RANK.AVG($J6,($J6,$O6,$T6),1)-2)*10)</f>
        <v>-29.3</v>
      </c>
      <c r="V6" s="54">
        <f>IF($O6="","",ROUND(($O6-$O$3)/1000,1)+(_xlfn.RANK.AVG($O6,($J6,$O6,$T6),1)-2)*10)</f>
        <v>33.700000000000003</v>
      </c>
      <c r="W6" s="55">
        <f>IF($T6="","",ROUND(($T6-$T$3)/1000,1)+(_xlfn.RANK.AVG($T6,($J6,$O6,$T6),1)-2)*10)</f>
        <v>-4.4000000000000004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>
        <v>5</v>
      </c>
      <c r="AY6" s="30" t="s">
        <v>200</v>
      </c>
      <c r="AZ6" s="40" t="s">
        <v>86</v>
      </c>
      <c r="BA6" s="41" t="s">
        <v>202</v>
      </c>
      <c r="BB6" s="41" t="s">
        <v>79</v>
      </c>
      <c r="BC6" s="41" t="s">
        <v>79</v>
      </c>
      <c r="BD6" s="41" t="s">
        <v>79</v>
      </c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tr">
        <f>IF($K$1="","",$K$1)</f>
        <v>れんたろう</v>
      </c>
      <c r="F7" s="8" t="s">
        <v>198</v>
      </c>
      <c r="G7" s="9">
        <v>4000</v>
      </c>
      <c r="H7" s="9"/>
      <c r="I7" s="48">
        <v>2000</v>
      </c>
      <c r="J7" s="21">
        <f t="shared" si="2"/>
        <v>21700</v>
      </c>
      <c r="K7" s="8" t="s">
        <v>199</v>
      </c>
      <c r="L7" s="9">
        <v>-2500</v>
      </c>
      <c r="M7" s="9"/>
      <c r="N7" s="48">
        <v>-1000</v>
      </c>
      <c r="O7" s="21">
        <f t="shared" si="3"/>
        <v>55200</v>
      </c>
      <c r="P7" s="8" t="s">
        <v>199</v>
      </c>
      <c r="Q7" s="9">
        <v>-1500</v>
      </c>
      <c r="R7" s="9"/>
      <c r="S7" s="48">
        <v>-1000</v>
      </c>
      <c r="T7" s="21">
        <f t="shared" si="4"/>
        <v>28100</v>
      </c>
      <c r="U7" s="53">
        <f>IF($J7="","",ROUND(($J7-$J$3)/1000,1)+(_xlfn.RANK.AVG($J7,($J7,$O7,$T7),1)-2)*10)</f>
        <v>-23.3</v>
      </c>
      <c r="V7" s="54">
        <f>IF($O7="","",ROUND(($O7-$O$3)/1000,1)+(_xlfn.RANK.AVG($O7,($J7,$O7,$T7),1)-2)*10)</f>
        <v>30.2</v>
      </c>
      <c r="W7" s="55">
        <f>IF($T7="","",ROUND(($T7-$T$3)/1000,1)+(_xlfn.RANK.AVG($T7,($J7,$O7,$T7),1)-2)*10)</f>
        <v>-6.9</v>
      </c>
      <c r="Y7" s="8"/>
      <c r="Z7" s="34"/>
      <c r="AA7" s="26"/>
      <c r="AB7" s="26">
        <v>1</v>
      </c>
      <c r="AC7" s="26">
        <v>3</v>
      </c>
      <c r="AD7" s="30">
        <v>30</v>
      </c>
      <c r="AE7" s="40" t="s">
        <v>86</v>
      </c>
      <c r="AF7" s="41" t="s">
        <v>86</v>
      </c>
      <c r="AG7" s="41" t="s">
        <v>202</v>
      </c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tr">
        <f>IF($P$1="","",$P$1)</f>
        <v>ただ</v>
      </c>
      <c r="F8" s="8" t="s">
        <v>198</v>
      </c>
      <c r="G8" s="9">
        <v>12000</v>
      </c>
      <c r="H8" s="9"/>
      <c r="I8" s="48">
        <v>0</v>
      </c>
      <c r="J8" s="21">
        <f t="shared" si="2"/>
        <v>33700</v>
      </c>
      <c r="K8" s="8" t="s">
        <v>199</v>
      </c>
      <c r="L8" s="9">
        <v>-4500</v>
      </c>
      <c r="M8" s="9"/>
      <c r="N8" s="48">
        <v>0</v>
      </c>
      <c r="O8" s="21">
        <f t="shared" si="3"/>
        <v>50700</v>
      </c>
      <c r="P8" s="8" t="s">
        <v>199</v>
      </c>
      <c r="Q8" s="9">
        <v>-7500</v>
      </c>
      <c r="R8" s="9"/>
      <c r="S8" s="48">
        <v>0</v>
      </c>
      <c r="T8" s="21">
        <f t="shared" si="4"/>
        <v>20600</v>
      </c>
      <c r="U8" s="53">
        <f>IF($J8="","",ROUND(($J8-$J$3)/1000,1)+(_xlfn.RANK.AVG($J8,($J8,$O8,$T8),1)-2)*10)</f>
        <v>-1.3</v>
      </c>
      <c r="V8" s="54">
        <f>IF($O8="","",ROUND(($O8-$O$3)/1000,1)+(_xlfn.RANK.AVG($O8,($J8,$O8,$T8),1)-2)*10)</f>
        <v>25.7</v>
      </c>
      <c r="W8" s="55">
        <f>IF($T8="","",ROUND(($T8-$T$3)/1000,1)+(_xlfn.RANK.AVG($T8,($J8,$O8,$T8),1)-2)*10)</f>
        <v>-24.4</v>
      </c>
      <c r="Y8" s="8"/>
      <c r="Z8" s="34"/>
      <c r="AA8" s="26"/>
      <c r="AB8" s="26">
        <v>1</v>
      </c>
      <c r="AC8" s="26">
        <v>6</v>
      </c>
      <c r="AD8" s="30" t="s">
        <v>200</v>
      </c>
      <c r="AE8" s="40" t="s">
        <v>96</v>
      </c>
      <c r="AF8" s="41" t="s">
        <v>98</v>
      </c>
      <c r="AG8" s="41" t="s">
        <v>86</v>
      </c>
      <c r="AH8" s="41" t="s">
        <v>86</v>
      </c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tr">
        <f>IF($F$1="","",$F$1)</f>
        <v>だいち</v>
      </c>
      <c r="F9" s="8" t="s">
        <v>204</v>
      </c>
      <c r="G9" s="9">
        <v>-12000</v>
      </c>
      <c r="H9" s="9"/>
      <c r="I9" s="48">
        <v>0</v>
      </c>
      <c r="J9" s="21">
        <f t="shared" si="2"/>
        <v>21700</v>
      </c>
      <c r="K9" s="8"/>
      <c r="L9" s="9"/>
      <c r="M9" s="9"/>
      <c r="N9" s="48"/>
      <c r="O9" s="21">
        <f t="shared" si="3"/>
        <v>50700</v>
      </c>
      <c r="P9" s="8" t="s">
        <v>203</v>
      </c>
      <c r="Q9" s="9">
        <v>12000</v>
      </c>
      <c r="R9" s="9"/>
      <c r="S9" s="48">
        <v>0</v>
      </c>
      <c r="T9" s="21">
        <f t="shared" si="4"/>
        <v>32600</v>
      </c>
      <c r="U9" s="53">
        <f>IF($J9="","",ROUND(($J9-$J$3)/1000,1)+(_xlfn.RANK.AVG($J9,($J9,$O9,$T9),1)-2)*10)</f>
        <v>-23.3</v>
      </c>
      <c r="V9" s="54">
        <f>IF($O9="","",ROUND(($O9-$O$3)/1000,1)+(_xlfn.RANK.AVG($O9,($J9,$O9,$T9),1)-2)*10)</f>
        <v>25.7</v>
      </c>
      <c r="W9" s="55">
        <f>IF($T9="","",ROUND(($T9-$T$3)/1000,1)+(_xlfn.RANK.AVG($T9,($J9,$O9,$T9),1)-2)*10)</f>
        <v>-2.4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7</v>
      </c>
      <c r="BT9" s="30" t="s">
        <v>200</v>
      </c>
      <c r="BU9" s="40" t="s">
        <v>104</v>
      </c>
      <c r="BV9" s="41" t="s">
        <v>86</v>
      </c>
      <c r="BW9" s="41" t="s">
        <v>86</v>
      </c>
      <c r="BX9" s="41" t="s">
        <v>79</v>
      </c>
      <c r="BY9" s="41" t="s">
        <v>79</v>
      </c>
      <c r="BZ9" s="41" t="s">
        <v>79</v>
      </c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IF($K$1="","",$K$1)</f>
        <v>れんたろう</v>
      </c>
      <c r="F10" s="8" t="s">
        <v>203</v>
      </c>
      <c r="G10" s="9">
        <v>8000</v>
      </c>
      <c r="H10" s="9">
        <v>1000</v>
      </c>
      <c r="I10" s="48">
        <v>0</v>
      </c>
      <c r="J10" s="21">
        <f t="shared" si="2"/>
        <v>30700</v>
      </c>
      <c r="K10" s="8" t="s">
        <v>204</v>
      </c>
      <c r="L10" s="9">
        <v>-8000</v>
      </c>
      <c r="M10" s="9"/>
      <c r="N10" s="48">
        <v>0</v>
      </c>
      <c r="O10" s="21">
        <f t="shared" si="3"/>
        <v>42700</v>
      </c>
      <c r="P10" s="8"/>
      <c r="Q10" s="9"/>
      <c r="R10" s="9">
        <v>-1000</v>
      </c>
      <c r="S10" s="48"/>
      <c r="T10" s="21">
        <f t="shared" si="4"/>
        <v>31600</v>
      </c>
      <c r="U10" s="53">
        <f>IF($J10="","",ROUND(($J10-$J$3)/1000,1)+(_xlfn.RANK.AVG($J10,($J10,$O10,$T10),1)-2)*10)</f>
        <v>-14.3</v>
      </c>
      <c r="V10" s="54">
        <f>IF($O10="","",ROUND(($O10-$O$3)/1000,1)+(_xlfn.RANK.AVG($O10,($J10,$O10,$T10),1)-2)*10)</f>
        <v>17.7</v>
      </c>
      <c r="W10" s="55">
        <f>IF($T10="","",ROUND(($T10-$T$3)/1000,1)+(_xlfn.RANK.AVG($T10,($J10,$O10,$T10),1)-2)*10)</f>
        <v>-3.4</v>
      </c>
      <c r="Y10" s="8"/>
      <c r="Z10" s="34"/>
      <c r="AA10" s="26"/>
      <c r="AB10" s="26"/>
      <c r="AC10" s="26">
        <v>4</v>
      </c>
      <c r="AD10" s="30">
        <v>40</v>
      </c>
      <c r="AE10" s="40" t="s">
        <v>85</v>
      </c>
      <c r="AF10" s="41" t="s">
        <v>202</v>
      </c>
      <c r="AG10" s="41" t="s">
        <v>79</v>
      </c>
      <c r="AH10" s="41" t="s">
        <v>79</v>
      </c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tr">
        <f>IF($P$1="","",$P$1)</f>
        <v>ただ</v>
      </c>
      <c r="F11" s="8" t="s">
        <v>204</v>
      </c>
      <c r="G11" s="9">
        <v>-5800</v>
      </c>
      <c r="H11" s="9"/>
      <c r="I11" s="48">
        <v>0</v>
      </c>
      <c r="J11" s="21">
        <f t="shared" si="2"/>
        <v>24900</v>
      </c>
      <c r="K11" s="8"/>
      <c r="L11" s="9"/>
      <c r="M11" s="9"/>
      <c r="N11" s="48"/>
      <c r="O11" s="21">
        <f t="shared" si="3"/>
        <v>42700</v>
      </c>
      <c r="P11" s="8" t="s">
        <v>203</v>
      </c>
      <c r="Q11" s="9">
        <v>5800</v>
      </c>
      <c r="R11" s="9"/>
      <c r="S11" s="48">
        <v>0</v>
      </c>
      <c r="T11" s="21">
        <f t="shared" si="4"/>
        <v>37400</v>
      </c>
      <c r="U11" s="53">
        <f>IF($J11="","",ROUND(($J11-$J$3)/1000,1)+(_xlfn.RANK.AVG($J11,($J11,$O11,$T11),1)-2)*10)</f>
        <v>-20.100000000000001</v>
      </c>
      <c r="V11" s="54">
        <f>IF($O11="","",ROUND(($O11-$O$3)/1000,1)+(_xlfn.RANK.AVG($O11,($J11,$O11,$T11),1)-2)*10)</f>
        <v>17.7</v>
      </c>
      <c r="W11" s="55">
        <f>IF($T11="","",ROUND(($T11-$T$3)/1000,1)+(_xlfn.RANK.AVG($T11,($J11,$O11,$T11),1)-2)*10)</f>
        <v>2.4</v>
      </c>
      <c r="Y11" s="8"/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>
        <v>3</v>
      </c>
      <c r="BT11" s="30">
        <v>30</v>
      </c>
      <c r="BU11" s="40" t="s">
        <v>86</v>
      </c>
      <c r="BV11" s="41" t="s">
        <v>202</v>
      </c>
      <c r="BW11" s="41" t="s">
        <v>79</v>
      </c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1</v>
      </c>
      <c r="D12" s="18">
        <f t="shared" si="1"/>
        <v>0</v>
      </c>
      <c r="E12" s="4" t="str">
        <f>IF($P$1="","",$P$1)</f>
        <v>ただ</v>
      </c>
      <c r="F12" s="8" t="s">
        <v>198</v>
      </c>
      <c r="G12" s="9">
        <v>16000</v>
      </c>
      <c r="H12" s="9"/>
      <c r="I12" s="48">
        <v>1000</v>
      </c>
      <c r="J12" s="21">
        <f t="shared" si="2"/>
        <v>41900</v>
      </c>
      <c r="K12" s="8" t="s">
        <v>199</v>
      </c>
      <c r="L12" s="9">
        <v>-6000</v>
      </c>
      <c r="M12" s="9"/>
      <c r="N12" s="48">
        <v>-500</v>
      </c>
      <c r="O12" s="21">
        <f t="shared" si="3"/>
        <v>36200</v>
      </c>
      <c r="P12" s="8" t="s">
        <v>199</v>
      </c>
      <c r="Q12" s="9">
        <v>-10000</v>
      </c>
      <c r="R12" s="9"/>
      <c r="S12" s="48">
        <v>-500</v>
      </c>
      <c r="T12" s="21">
        <f t="shared" si="4"/>
        <v>26900</v>
      </c>
      <c r="U12" s="53">
        <f>IF($J12="","",ROUND(($J12-$J$3)/1000,1)+(_xlfn.RANK.AVG($J12,($J12,$O12,$T12),1)-2)*10)</f>
        <v>16.899999999999999</v>
      </c>
      <c r="V12" s="54">
        <f>IF($O12="","",ROUND(($O12-$O$3)/1000,1)+(_xlfn.RANK.AVG($O12,($J12,$O12,$T12),1)-2)*10)</f>
        <v>1.2</v>
      </c>
      <c r="W12" s="55">
        <f>IF($T12="","",ROUND(($T12-$T$3)/1000,1)+(_xlfn.RANK.AVG($T12,($J12,$O12,$T12),1)-2)*10)</f>
        <v>-18.100000000000001</v>
      </c>
      <c r="Y12" s="8"/>
      <c r="Z12" s="34"/>
      <c r="AA12" s="26">
        <v>1</v>
      </c>
      <c r="AB12" s="26"/>
      <c r="AC12" s="26">
        <v>9</v>
      </c>
      <c r="AD12" s="30" t="s">
        <v>200</v>
      </c>
      <c r="AE12" s="40" t="s">
        <v>201</v>
      </c>
      <c r="AF12" s="41" t="s">
        <v>82</v>
      </c>
      <c r="AG12" s="41" t="s">
        <v>205</v>
      </c>
      <c r="AH12" s="41" t="s">
        <v>104</v>
      </c>
      <c r="AI12" s="41" t="s">
        <v>92</v>
      </c>
      <c r="AJ12" s="41" t="s">
        <v>80</v>
      </c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3">
    <dataValidation type="list" allowBlank="1" showInputMessage="1" sqref="F1:T1" xr:uid="{297E1A0C-BBE6-4AB5-AD6C-117A7DC314DB}">
      <formula1>"だいち,ただ,れんたろう,まっつん,いちかわ,わさび,やなぎ,たか,いっしー,たかの,りくと,のり,てんちゃん,ともき,ぱぱ,ほたに,ゆう,やがさき,あさひ,かわたつ,ちさと,がくと,かこたろう,"</formula1>
    </dataValidation>
    <dataValidation type="list" showInputMessage="1" showErrorMessage="1" sqref="K4:K30 P4:P30 F4:F30" xr:uid="{69DA1D0E-7516-4CF7-B34C-F0F3452D0CBC}">
      <formula1>"ロン,ツモ,放銃,ツモ支払,流局,チョンボ"</formula1>
    </dataValidation>
    <dataValidation type="list" allowBlank="1" showInputMessage="1" showErrorMessage="1" sqref="E4:E30" xr:uid="{F27B7FD4-54B8-47AA-AF1E-C1A27189B88D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82E47-888D-47B2-A809-F3DD2B4C05EA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193</v>
      </c>
      <c r="G1" s="73"/>
      <c r="H1" s="73"/>
      <c r="I1" s="74"/>
      <c r="J1" s="75"/>
      <c r="K1" s="72" t="s">
        <v>197</v>
      </c>
      <c r="L1" s="73"/>
      <c r="M1" s="73"/>
      <c r="N1" s="74"/>
      <c r="O1" s="75"/>
      <c r="P1" s="72" t="s">
        <v>195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れんたろう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だいち</v>
      </c>
      <c r="V2" s="69" t="str">
        <f>$K$1</f>
        <v>れんたろう</v>
      </c>
      <c r="W2" s="16" t="str">
        <f>$P$1</f>
        <v>ただ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194</v>
      </c>
      <c r="F4" s="8" t="s">
        <v>198</v>
      </c>
      <c r="G4" s="9">
        <v>4000</v>
      </c>
      <c r="H4" s="9"/>
      <c r="I4" s="48">
        <v>0</v>
      </c>
      <c r="J4" s="21">
        <f>IF(COUNTA($F4,$K4,$P4)&gt;0,J3+SUM(G4:I4),"")</f>
        <v>39000</v>
      </c>
      <c r="K4" s="8" t="s">
        <v>199</v>
      </c>
      <c r="L4" s="9">
        <v>-1500</v>
      </c>
      <c r="M4" s="9"/>
      <c r="N4" s="48">
        <v>0</v>
      </c>
      <c r="O4" s="21">
        <f>IF(COUNTA($F4,$K4,$P4)&gt;0,O3+SUM(L4:N4),"")</f>
        <v>33500</v>
      </c>
      <c r="P4" s="8" t="s">
        <v>199</v>
      </c>
      <c r="Q4" s="9">
        <v>-2500</v>
      </c>
      <c r="R4" s="9"/>
      <c r="S4" s="48">
        <v>0</v>
      </c>
      <c r="T4" s="21">
        <f>IF(COUNTA($F4,$K4,$P4)&gt;0,T3+SUM(Q4:S4),"")</f>
        <v>32500</v>
      </c>
      <c r="U4" s="53">
        <f>IF($J4="","",ROUND(($J4-$J$3)/1000,1)+(_xlfn.RANK.AVG($J4,($J4,$O4,$T4),1)-2)*10)</f>
        <v>14</v>
      </c>
      <c r="V4" s="54">
        <f>IF($O4="","",ROUND(($O4-$O$3)/1000,1)+(_xlfn.RANK.AVG($O4,($J4,$O4,$T4),1)-2)*10)</f>
        <v>-1.5</v>
      </c>
      <c r="W4" s="55">
        <f>IF($T4="","",ROUND(($T4-$T$3)/1000,1)+(_xlfn.RANK.AVG($T4,($J4,$O4,$T4),1)-2)*10)</f>
        <v>-12.5</v>
      </c>
      <c r="Y4" s="8"/>
      <c r="Z4" s="34"/>
      <c r="AA4" s="26">
        <v>1</v>
      </c>
      <c r="AB4" s="26"/>
      <c r="AC4" s="26">
        <v>3</v>
      </c>
      <c r="AD4" s="30">
        <v>30</v>
      </c>
      <c r="AE4" s="40" t="s">
        <v>201</v>
      </c>
      <c r="AF4" s="41" t="s">
        <v>82</v>
      </c>
      <c r="AG4" s="41" t="s">
        <v>79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IF($F$1="","",$F$1)</f>
        <v>だいち</v>
      </c>
      <c r="F5" s="8" t="s">
        <v>198</v>
      </c>
      <c r="G5" s="9">
        <v>48000</v>
      </c>
      <c r="H5" s="9"/>
      <c r="I5" s="48">
        <v>0</v>
      </c>
      <c r="J5" s="21">
        <f t="shared" ref="J5:J30" si="2">IF(COUNTA($F5,$K5,$P5)&gt;0,J4+SUM(G5:I5),"")</f>
        <v>87000</v>
      </c>
      <c r="K5" s="8" t="s">
        <v>199</v>
      </c>
      <c r="L5" s="9">
        <v>-24000</v>
      </c>
      <c r="M5" s="9"/>
      <c r="N5" s="48">
        <v>0</v>
      </c>
      <c r="O5" s="21">
        <f t="shared" ref="O5:O30" si="3">IF(COUNTA($F5,$K5,$P5)&gt;0,O4+SUM(L5:N5),"")</f>
        <v>9500</v>
      </c>
      <c r="P5" s="8" t="s">
        <v>199</v>
      </c>
      <c r="Q5" s="9">
        <v>-24000</v>
      </c>
      <c r="R5" s="9"/>
      <c r="S5" s="48">
        <v>0</v>
      </c>
      <c r="T5" s="21">
        <f t="shared" ref="T5:T30" si="4">IF(COUNTA($F5,$K5,$P5)&gt;0,T4+SUM(Q5:S5),"")</f>
        <v>8500</v>
      </c>
      <c r="U5" s="53">
        <f>IF($J5="","",ROUND(($J5-$J$3)/1000,1)+(_xlfn.RANK.AVG($J5,($J5,$O5,$T5),1)-2)*10)</f>
        <v>62</v>
      </c>
      <c r="V5" s="54">
        <f>IF($O5="","",ROUND(($O5-$O$3)/1000,1)+(_xlfn.RANK.AVG($O5,($J5,$O5,$T5),1)-2)*10)</f>
        <v>-25.5</v>
      </c>
      <c r="W5" s="55">
        <f>IF($T5="","",ROUND(($T5-$T$3)/1000,1)+(_xlfn.RANK.AVG($T5,($J5,$O5,$T5),1)-2)*10)</f>
        <v>-36.5</v>
      </c>
      <c r="Y5" s="8"/>
      <c r="Z5" s="34"/>
      <c r="AA5" s="26"/>
      <c r="AB5" s="26"/>
      <c r="AC5" s="26">
        <v>13</v>
      </c>
      <c r="AD5" s="30" t="s">
        <v>200</v>
      </c>
      <c r="AE5" s="40" t="s">
        <v>108</v>
      </c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IF($F$1="","",$F$1)</f>
        <v>だいち</v>
      </c>
      <c r="F6" s="8" t="s">
        <v>198</v>
      </c>
      <c r="G6" s="9">
        <v>12000</v>
      </c>
      <c r="H6" s="9"/>
      <c r="I6" s="48">
        <v>1000</v>
      </c>
      <c r="J6" s="21">
        <f t="shared" si="2"/>
        <v>100000</v>
      </c>
      <c r="K6" s="8" t="s">
        <v>199</v>
      </c>
      <c r="L6" s="9">
        <v>-6000</v>
      </c>
      <c r="M6" s="9"/>
      <c r="N6" s="48">
        <v>-500</v>
      </c>
      <c r="O6" s="21">
        <f t="shared" si="3"/>
        <v>3000</v>
      </c>
      <c r="P6" s="8" t="s">
        <v>199</v>
      </c>
      <c r="Q6" s="9">
        <v>-6000</v>
      </c>
      <c r="R6" s="9"/>
      <c r="S6" s="48">
        <v>-500</v>
      </c>
      <c r="T6" s="21">
        <f t="shared" si="4"/>
        <v>2000</v>
      </c>
      <c r="U6" s="53">
        <f>IF($J6="","",ROUND(($J6-$J$3)/1000,1)+(_xlfn.RANK.AVG($J6,($J6,$O6,$T6),1)-2)*10)</f>
        <v>75</v>
      </c>
      <c r="V6" s="54">
        <f>IF($O6="","",ROUND(($O6-$O$3)/1000,1)+(_xlfn.RANK.AVG($O6,($J6,$O6,$T6),1)-2)*10)</f>
        <v>-32</v>
      </c>
      <c r="W6" s="55">
        <f>IF($T6="","",ROUND(($T6-$T$3)/1000,1)+(_xlfn.RANK.AVG($T6,($J6,$O6,$T6),1)-2)*10)</f>
        <v>-43</v>
      </c>
      <c r="Y6" s="8"/>
      <c r="Z6" s="34"/>
      <c r="AA6" s="26"/>
      <c r="AB6" s="26"/>
      <c r="AC6" s="26">
        <v>5</v>
      </c>
      <c r="AD6" s="30" t="s">
        <v>200</v>
      </c>
      <c r="AE6" s="40" t="s">
        <v>82</v>
      </c>
      <c r="AF6" s="41" t="s">
        <v>101</v>
      </c>
      <c r="AG6" s="41" t="s">
        <v>79</v>
      </c>
      <c r="AH6" s="41" t="s">
        <v>79</v>
      </c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tr">
        <f>IF($F$1="","",$F$1)</f>
        <v>だいち</v>
      </c>
      <c r="F7" s="8" t="s">
        <v>208</v>
      </c>
      <c r="G7" s="9">
        <v>1500</v>
      </c>
      <c r="H7" s="9"/>
      <c r="I7" s="48"/>
      <c r="J7" s="21">
        <f t="shared" si="2"/>
        <v>101500</v>
      </c>
      <c r="K7" s="8" t="s">
        <v>208</v>
      </c>
      <c r="L7" s="9">
        <v>1500</v>
      </c>
      <c r="M7" s="9"/>
      <c r="N7" s="48"/>
      <c r="O7" s="21">
        <f t="shared" si="3"/>
        <v>4500</v>
      </c>
      <c r="P7" s="8" t="s">
        <v>208</v>
      </c>
      <c r="Q7" s="9">
        <v>-3000</v>
      </c>
      <c r="R7" s="9"/>
      <c r="S7" s="48"/>
      <c r="T7" s="21">
        <f t="shared" si="4"/>
        <v>-1000</v>
      </c>
      <c r="U7" s="53">
        <f>IF($J7="","",ROUND(($J7-$J$3)/1000,1)+(_xlfn.RANK.AVG($J7,($J7,$O7,$T7),1)-2)*10)</f>
        <v>76.5</v>
      </c>
      <c r="V7" s="54">
        <f>IF($O7="","",ROUND(($O7-$O$3)/1000,1)+(_xlfn.RANK.AVG($O7,($J7,$O7,$T7),1)-2)*10)</f>
        <v>-30.5</v>
      </c>
      <c r="W7" s="55">
        <f>IF($T7="","",ROUND(($T7-$T$3)/1000,1)+(_xlfn.RANK.AVG($T7,($J7,$O7,$T7),1)-2)*10)</f>
        <v>-46</v>
      </c>
      <c r="Y7" s="8" t="s">
        <v>207</v>
      </c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207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206</v>
      </c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IF($J8="","",ROUND(($J8-$J$3)/1000,1)+(_xlfn.RANK.AVG($J8,($J8,$O8,$T8),1)-2)*10)</f>
        <v/>
      </c>
      <c r="V8" s="54" t="str">
        <f>IF($O8="","",ROUND(($O8-$O$3)/1000,1)+(_xlfn.RANK.AVG($O8,($J8,$O8,$T8),1)-2)*10)</f>
        <v/>
      </c>
      <c r="W8" s="55" t="str">
        <f>IF($T8="","",ROUND(($T8-$T$3)/1000,1)+(_xlfn.RANK.AVG($T8,($J8,$O8,$T8),1)-2)*10)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IF($J9="","",ROUND(($J9-$J$3)/1000,1)+(_xlfn.RANK.AVG($J9,($J9,$O9,$T9),1)-2)*10)</f>
        <v/>
      </c>
      <c r="V9" s="54" t="str">
        <f>IF($O9="","",ROUND(($O9-$O$3)/1000,1)+(_xlfn.RANK.AVG($O9,($J9,$O9,$T9),1)-2)*10)</f>
        <v/>
      </c>
      <c r="W9" s="55" t="str">
        <f>IF($T9="","",ROUND(($T9-$T$3)/1000,1)+(_xlfn.RANK.AVG($T9,($J9,$O9,$T9),1)-2)*10)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howErrorMessage="1" sqref="E4:E30" xr:uid="{BDA43C4A-0354-413C-8246-FABC514C5BD9}">
      <formula1>$U$2:$W$2</formula1>
    </dataValidation>
    <dataValidation type="list" showInputMessage="1" showErrorMessage="1" sqref="K4:K30 P4:P30 F4:F30" xr:uid="{5B212019-FBC0-429F-9EA1-3FA545A5346D}">
      <formula1>"ロン,ツモ,放銃,ツモ支払,流局,チョンボ"</formula1>
    </dataValidation>
    <dataValidation type="list" allowBlank="1" showInputMessage="1" sqref="F1:T1" xr:uid="{67884182-0ABA-4ED0-8678-69E613E75390}">
      <formula1>"だいち,ただ,れんたろう,まっつん,いちかわ,わさび,やなぎ,たか,いっしー,たかの,りくと,のり,てんちゃん,ともき,ぱぱ,ほたに,ゆう,やがさき,あさひ,かわたつ,ちさと,がくと,かこたろう,"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F52AD-B211-4C30-BAAE-41B87BF7A735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193</v>
      </c>
      <c r="G1" s="73"/>
      <c r="H1" s="73"/>
      <c r="I1" s="74"/>
      <c r="J1" s="75"/>
      <c r="K1" s="72" t="s">
        <v>197</v>
      </c>
      <c r="L1" s="73"/>
      <c r="M1" s="73"/>
      <c r="N1" s="74"/>
      <c r="O1" s="75"/>
      <c r="P1" s="72" t="s">
        <v>195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れんたろう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だいち</v>
      </c>
      <c r="V2" s="69" t="str">
        <f>$K$1</f>
        <v>れんたろう</v>
      </c>
      <c r="W2" s="16" t="str">
        <f>$P$1</f>
        <v>ただ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 t="s">
        <v>203</v>
      </c>
      <c r="G4" s="9">
        <v>9600</v>
      </c>
      <c r="H4" s="9">
        <v>1000</v>
      </c>
      <c r="I4" s="48">
        <v>0</v>
      </c>
      <c r="J4" s="21">
        <f>IF(COUNTA($F4,$K4,$P4)&gt;0,J3+SUM(G4:I4),"")</f>
        <v>45600</v>
      </c>
      <c r="K4" s="8" t="s">
        <v>204</v>
      </c>
      <c r="L4" s="9">
        <v>-9600</v>
      </c>
      <c r="M4" s="9">
        <v>-1000</v>
      </c>
      <c r="N4" s="48">
        <v>0</v>
      </c>
      <c r="O4" s="21">
        <f>IF(COUNTA($F4,$K4,$P4)&gt;0,O3+SUM(L4:N4),"")</f>
        <v>24400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IF($J4="","",ROUND(($J4-$J$3)/1000,1)+(_xlfn.RANK.AVG($J4,($J4,$O4,$T4),1)-2)*10)</f>
        <v>20.6</v>
      </c>
      <c r="V4" s="54">
        <f>IF($O4="","",ROUND(($O4-$O$3)/1000,1)+(_xlfn.RANK.AVG($O4,($J4,$O4,$T4),1)-2)*10)</f>
        <v>-20.6</v>
      </c>
      <c r="W4" s="55">
        <f>IF($T4="","",ROUND(($T4-$T$3)/1000,1)+(_xlfn.RANK.AVG($T4,($J4,$O4,$T4),1)-2)*10)</f>
        <v>0</v>
      </c>
      <c r="Y4" s="8"/>
      <c r="Z4" s="34"/>
      <c r="AA4" s="26"/>
      <c r="AB4" s="26"/>
      <c r="AC4" s="26">
        <v>4</v>
      </c>
      <c r="AD4" s="30">
        <v>25</v>
      </c>
      <c r="AE4" s="40" t="s">
        <v>101</v>
      </c>
      <c r="AF4" s="41" t="s">
        <v>79</v>
      </c>
      <c r="AG4" s="41" t="s">
        <v>79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だいち</v>
      </c>
      <c r="F5" s="8" t="s">
        <v>199</v>
      </c>
      <c r="G5" s="9">
        <v>-5000</v>
      </c>
      <c r="H5" s="9">
        <v>-1000</v>
      </c>
      <c r="I5" s="48">
        <v>-500</v>
      </c>
      <c r="J5" s="21">
        <f t="shared" ref="J5:J30" si="2">IF(COUNTA($F5,$K5,$P5)&gt;0,J4+SUM(G5:I5),"")</f>
        <v>39100</v>
      </c>
      <c r="K5" s="8" t="s">
        <v>199</v>
      </c>
      <c r="L5" s="9">
        <v>-3000</v>
      </c>
      <c r="M5" s="9"/>
      <c r="N5" s="48">
        <v>-500</v>
      </c>
      <c r="O5" s="21">
        <f t="shared" ref="O5:O30" si="3">IF(COUNTA($F5,$K5,$P5)&gt;0,O4+SUM(L5:N5),"")</f>
        <v>20900</v>
      </c>
      <c r="P5" s="8" t="s">
        <v>198</v>
      </c>
      <c r="Q5" s="9">
        <v>8000</v>
      </c>
      <c r="R5" s="9">
        <v>1000</v>
      </c>
      <c r="S5" s="48">
        <v>1000</v>
      </c>
      <c r="T5" s="21">
        <f t="shared" ref="T5:T30" si="4">IF(COUNTA($F5,$K5,$P5)&gt;0,T4+SUM(Q5:S5),"")</f>
        <v>45000</v>
      </c>
      <c r="U5" s="53">
        <f>IF($J5="","",ROUND(($J5-$J$3)/1000,1)+(_xlfn.RANK.AVG($J5,($J5,$O5,$T5),1)-2)*10)</f>
        <v>4.0999999999999996</v>
      </c>
      <c r="V5" s="54">
        <f>IF($O5="","",ROUND(($O5-$O$3)/1000,1)+(_xlfn.RANK.AVG($O5,($J5,$O5,$T5),1)-2)*10)</f>
        <v>-24.1</v>
      </c>
      <c r="W5" s="55">
        <f>IF($T5="","",ROUND(($T5-$T$3)/1000,1)+(_xlfn.RANK.AVG($T5,($J5,$O5,$T5),1)-2)*10)</f>
        <v>20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5</v>
      </c>
      <c r="BT5" s="30" t="s">
        <v>200</v>
      </c>
      <c r="BU5" s="40" t="s">
        <v>86</v>
      </c>
      <c r="BV5" s="41" t="s">
        <v>86</v>
      </c>
      <c r="BW5" s="41" t="s">
        <v>86</v>
      </c>
      <c r="BX5" s="41" t="s">
        <v>104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IF($K$1="","",$K$1)</f>
        <v>れんたろう</v>
      </c>
      <c r="F6" s="8" t="s">
        <v>199</v>
      </c>
      <c r="G6" s="9">
        <v>-500</v>
      </c>
      <c r="H6" s="9"/>
      <c r="I6" s="48">
        <v>0</v>
      </c>
      <c r="J6" s="21">
        <f t="shared" si="2"/>
        <v>38600</v>
      </c>
      <c r="K6" s="8" t="s">
        <v>199</v>
      </c>
      <c r="L6" s="9">
        <v>-700</v>
      </c>
      <c r="M6" s="9"/>
      <c r="N6" s="48">
        <v>0</v>
      </c>
      <c r="O6" s="21">
        <f t="shared" si="3"/>
        <v>20200</v>
      </c>
      <c r="P6" s="8" t="s">
        <v>198</v>
      </c>
      <c r="Q6" s="9">
        <v>1200</v>
      </c>
      <c r="R6" s="9"/>
      <c r="S6" s="48">
        <v>0</v>
      </c>
      <c r="T6" s="21">
        <f t="shared" si="4"/>
        <v>46200</v>
      </c>
      <c r="U6" s="53">
        <f>IF($J6="","",ROUND(($J6-$J$3)/1000,1)+(_xlfn.RANK.AVG($J6,($J6,$O6,$T6),1)-2)*10)</f>
        <v>3.6</v>
      </c>
      <c r="V6" s="54">
        <f>IF($O6="","",ROUND(($O6-$O$3)/1000,1)+(_xlfn.RANK.AVG($O6,($J6,$O6,$T6),1)-2)*10)</f>
        <v>-24.8</v>
      </c>
      <c r="W6" s="55">
        <f>IF($T6="","",ROUND(($T6-$T$3)/1000,1)+(_xlfn.RANK.AVG($T6,($J6,$O6,$T6),1)-2)*10)</f>
        <v>21.2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1</v>
      </c>
      <c r="BT6" s="30">
        <v>30</v>
      </c>
      <c r="BU6" s="40" t="s">
        <v>82</v>
      </c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IF($P$1="","",$P$1)</f>
        <v>ただ</v>
      </c>
      <c r="F7" s="8" t="s">
        <v>204</v>
      </c>
      <c r="G7" s="9">
        <v>-7700</v>
      </c>
      <c r="H7" s="9"/>
      <c r="I7" s="48">
        <v>0</v>
      </c>
      <c r="J7" s="21">
        <f t="shared" si="2"/>
        <v>30900</v>
      </c>
      <c r="K7" s="8"/>
      <c r="L7" s="9"/>
      <c r="M7" s="9"/>
      <c r="N7" s="48"/>
      <c r="O7" s="21">
        <f t="shared" si="3"/>
        <v>20200</v>
      </c>
      <c r="P7" s="8" t="s">
        <v>203</v>
      </c>
      <c r="Q7" s="9">
        <v>7700</v>
      </c>
      <c r="R7" s="9"/>
      <c r="S7" s="48">
        <v>0</v>
      </c>
      <c r="T7" s="21">
        <f t="shared" si="4"/>
        <v>53900</v>
      </c>
      <c r="U7" s="53">
        <f>IF($J7="","",ROUND(($J7-$J$3)/1000,1)+(_xlfn.RANK.AVG($J7,($J7,$O7,$T7),1)-2)*10)</f>
        <v>-4.0999999999999996</v>
      </c>
      <c r="V7" s="54">
        <f>IF($O7="","",ROUND(($O7-$O$3)/1000,1)+(_xlfn.RANK.AVG($O7,($J7,$O7,$T7),1)-2)*10)</f>
        <v>-24.8</v>
      </c>
      <c r="W7" s="55">
        <f>IF($T7="","",ROUND(($T7-$T$3)/1000,1)+(_xlfn.RANK.AVG($T7,($J7,$O7,$T7),1)-2)*10)</f>
        <v>28.9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3</v>
      </c>
      <c r="BT7" s="30">
        <v>40</v>
      </c>
      <c r="BU7" s="40" t="s">
        <v>201</v>
      </c>
      <c r="BV7" s="41" t="s">
        <v>202</v>
      </c>
      <c r="BW7" s="41" t="s">
        <v>79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tr">
        <f>IF($P$1="","",$P$1)</f>
        <v>ただ</v>
      </c>
      <c r="F8" s="8"/>
      <c r="G8" s="9"/>
      <c r="H8" s="9"/>
      <c r="I8" s="48"/>
      <c r="J8" s="21">
        <f t="shared" si="2"/>
        <v>30900</v>
      </c>
      <c r="K8" s="8" t="s">
        <v>204</v>
      </c>
      <c r="L8" s="9">
        <v>-4800</v>
      </c>
      <c r="M8" s="9"/>
      <c r="N8" s="48">
        <v>-1000</v>
      </c>
      <c r="O8" s="21">
        <f t="shared" si="3"/>
        <v>14400</v>
      </c>
      <c r="P8" s="8" t="s">
        <v>203</v>
      </c>
      <c r="Q8" s="9">
        <v>4800</v>
      </c>
      <c r="R8" s="9"/>
      <c r="S8" s="48">
        <v>1000</v>
      </c>
      <c r="T8" s="21">
        <f t="shared" si="4"/>
        <v>59700</v>
      </c>
      <c r="U8" s="53">
        <f>IF($J8="","",ROUND(($J8-$J$3)/1000,1)+(_xlfn.RANK.AVG($J8,($J8,$O8,$T8),1)-2)*10)</f>
        <v>-4.0999999999999996</v>
      </c>
      <c r="V8" s="54">
        <f>IF($O8="","",ROUND(($O8-$O$3)/1000,1)+(_xlfn.RANK.AVG($O8,($J8,$O8,$T8),1)-2)*10)</f>
        <v>-30.6</v>
      </c>
      <c r="W8" s="55">
        <f>IF($T8="","",ROUND(($T8-$T$3)/1000,1)+(_xlfn.RANK.AVG($T8,($J8,$O8,$T8),1)-2)*10)</f>
        <v>34.700000000000003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2</v>
      </c>
      <c r="BT8" s="30">
        <v>50</v>
      </c>
      <c r="BU8" s="40" t="s">
        <v>201</v>
      </c>
      <c r="BV8" s="41" t="s">
        <v>205</v>
      </c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2</v>
      </c>
      <c r="D9" s="18">
        <f t="shared" si="1"/>
        <v>0</v>
      </c>
      <c r="E9" s="4" t="str">
        <f>IF($P$1="","",$P$1)</f>
        <v>ただ</v>
      </c>
      <c r="F9" s="8" t="s">
        <v>204</v>
      </c>
      <c r="G9" s="9">
        <v>-3900</v>
      </c>
      <c r="H9" s="9"/>
      <c r="I9" s="48">
        <v>-2000</v>
      </c>
      <c r="J9" s="21">
        <f t="shared" si="2"/>
        <v>25000</v>
      </c>
      <c r="K9" s="8"/>
      <c r="L9" s="9"/>
      <c r="M9" s="9"/>
      <c r="N9" s="48"/>
      <c r="O9" s="21">
        <f t="shared" si="3"/>
        <v>14400</v>
      </c>
      <c r="P9" s="8" t="s">
        <v>203</v>
      </c>
      <c r="Q9" s="9">
        <v>3900</v>
      </c>
      <c r="R9" s="9"/>
      <c r="S9" s="48">
        <v>2000</v>
      </c>
      <c r="T9" s="21">
        <f t="shared" si="4"/>
        <v>65600</v>
      </c>
      <c r="U9" s="53">
        <f>IF($J9="","",ROUND(($J9-$J$3)/1000,1)+(_xlfn.RANK.AVG($J9,($J9,$O9,$T9),1)-2)*10)</f>
        <v>-10</v>
      </c>
      <c r="V9" s="54">
        <f>IF($O9="","",ROUND(($O9-$O$3)/1000,1)+(_xlfn.RANK.AVG($O9,($J9,$O9,$T9),1)-2)*10)</f>
        <v>-30.6</v>
      </c>
      <c r="W9" s="55">
        <f>IF($T9="","",ROUND(($T9-$T$3)/1000,1)+(_xlfn.RANK.AVG($T9,($J9,$O9,$T9),1)-2)*10)</f>
        <v>40.6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2</v>
      </c>
      <c r="BT9" s="30">
        <v>40</v>
      </c>
      <c r="BU9" s="40" t="s">
        <v>98</v>
      </c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3</v>
      </c>
      <c r="D10" s="18">
        <f t="shared" si="1"/>
        <v>0</v>
      </c>
      <c r="E10" s="4" t="str">
        <f>IF($P$1="","",$P$1)</f>
        <v>ただ</v>
      </c>
      <c r="F10" s="8" t="s">
        <v>204</v>
      </c>
      <c r="G10" s="9">
        <v>-15200</v>
      </c>
      <c r="H10" s="9">
        <v>-1000</v>
      </c>
      <c r="I10" s="48">
        <v>-3000</v>
      </c>
      <c r="J10" s="21">
        <f t="shared" si="2"/>
        <v>5800</v>
      </c>
      <c r="K10" s="8" t="s">
        <v>203</v>
      </c>
      <c r="L10" s="9">
        <v>3200</v>
      </c>
      <c r="M10" s="9">
        <v>1000</v>
      </c>
      <c r="N10" s="48">
        <v>3000</v>
      </c>
      <c r="O10" s="21">
        <f t="shared" si="3"/>
        <v>21600</v>
      </c>
      <c r="P10" s="8" t="s">
        <v>203</v>
      </c>
      <c r="Q10" s="9">
        <v>12000</v>
      </c>
      <c r="R10" s="9"/>
      <c r="S10" s="48"/>
      <c r="T10" s="21">
        <f t="shared" si="4"/>
        <v>77600</v>
      </c>
      <c r="U10" s="53">
        <f>IF($J10="","",ROUND(($J10-$J$3)/1000,1)+(_xlfn.RANK.AVG($J10,($J10,$O10,$T10),1)-2)*10)</f>
        <v>-39.200000000000003</v>
      </c>
      <c r="V10" s="54">
        <f>IF($O10="","",ROUND(($O10-$O$3)/1000,1)+(_xlfn.RANK.AVG($O10,($J10,$O10,$T10),1)-2)*10)</f>
        <v>-13.4</v>
      </c>
      <c r="W10" s="55">
        <f>IF($T10="","",ROUND(($T10-$T$3)/1000,1)+(_xlfn.RANK.AVG($T10,($J10,$O10,$T10),1)-2)*10)</f>
        <v>52.6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>
        <v>2</v>
      </c>
      <c r="AY10" s="30">
        <v>50</v>
      </c>
      <c r="AZ10" s="40" t="s">
        <v>86</v>
      </c>
      <c r="BA10" s="41" t="s">
        <v>84</v>
      </c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>
        <v>4</v>
      </c>
      <c r="BT10" s="30">
        <v>40</v>
      </c>
      <c r="BU10" s="40" t="s">
        <v>84</v>
      </c>
      <c r="BV10" s="41" t="s">
        <v>79</v>
      </c>
      <c r="BW10" s="41" t="s">
        <v>79</v>
      </c>
      <c r="BX10" s="41" t="s">
        <v>202</v>
      </c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東</v>
      </c>
      <c r="B11" s="18">
        <f t="shared" si="5"/>
        <v>3</v>
      </c>
      <c r="C11" s="18">
        <f t="shared" si="6"/>
        <v>4</v>
      </c>
      <c r="D11" s="18">
        <f t="shared" si="1"/>
        <v>0</v>
      </c>
      <c r="E11" s="4" t="s">
        <v>194</v>
      </c>
      <c r="F11" s="8" t="s">
        <v>203</v>
      </c>
      <c r="G11" s="9">
        <v>1000</v>
      </c>
      <c r="H11" s="9"/>
      <c r="I11" s="48">
        <v>4000</v>
      </c>
      <c r="J11" s="21">
        <f t="shared" si="2"/>
        <v>10800</v>
      </c>
      <c r="K11" s="8" t="s">
        <v>204</v>
      </c>
      <c r="L11" s="9">
        <v>-1000</v>
      </c>
      <c r="M11" s="9"/>
      <c r="N11" s="48">
        <v>-4000</v>
      </c>
      <c r="O11" s="21">
        <f t="shared" si="3"/>
        <v>16600</v>
      </c>
      <c r="P11" s="8"/>
      <c r="Q11" s="9"/>
      <c r="R11" s="9"/>
      <c r="S11" s="48"/>
      <c r="T11" s="21">
        <f t="shared" si="4"/>
        <v>77600</v>
      </c>
      <c r="U11" s="53">
        <f>IF($J11="","",ROUND(($J11-$J$3)/1000,1)+(_xlfn.RANK.AVG($J11,($J11,$O11,$T11),1)-2)*10)</f>
        <v>-34.200000000000003</v>
      </c>
      <c r="V11" s="54">
        <f>IF($O11="","",ROUND(($O11-$O$3)/1000,1)+(_xlfn.RANK.AVG($O11,($J11,$O11,$T11),1)-2)*10)</f>
        <v>-18.399999999999999</v>
      </c>
      <c r="W11" s="55">
        <f>IF($T11="","",ROUND(($T11-$T$3)/1000,1)+(_xlfn.RANK.AVG($T11,($J11,$O11,$T11),1)-2)*10)</f>
        <v>52.6</v>
      </c>
      <c r="Y11" s="8"/>
      <c r="Z11" s="34"/>
      <c r="AA11" s="26"/>
      <c r="AB11" s="26"/>
      <c r="AC11" s="26">
        <v>1</v>
      </c>
      <c r="AD11" s="30">
        <v>30</v>
      </c>
      <c r="AE11" s="40" t="s">
        <v>83</v>
      </c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1</v>
      </c>
      <c r="C12" s="18">
        <f t="shared" si="6"/>
        <v>0</v>
      </c>
      <c r="D12" s="18">
        <f t="shared" si="1"/>
        <v>0</v>
      </c>
      <c r="E12" s="4" t="str">
        <f>IF($F$1="","",$F$1)</f>
        <v>だいち</v>
      </c>
      <c r="F12" s="8" t="s">
        <v>204</v>
      </c>
      <c r="G12" s="9">
        <v>-16000</v>
      </c>
      <c r="H12" s="9">
        <v>-1000</v>
      </c>
      <c r="I12" s="48">
        <v>0</v>
      </c>
      <c r="J12" s="21">
        <f t="shared" si="2"/>
        <v>-6200</v>
      </c>
      <c r="K12" s="8" t="s">
        <v>203</v>
      </c>
      <c r="L12" s="9">
        <v>16000</v>
      </c>
      <c r="M12" s="9">
        <v>1000</v>
      </c>
      <c r="N12" s="48">
        <v>0</v>
      </c>
      <c r="O12" s="21">
        <f t="shared" si="3"/>
        <v>33600</v>
      </c>
      <c r="P12" s="8"/>
      <c r="Q12" s="9"/>
      <c r="R12" s="9"/>
      <c r="S12" s="48"/>
      <c r="T12" s="21">
        <f t="shared" si="4"/>
        <v>77600</v>
      </c>
      <c r="U12" s="53">
        <f>IF($J12="","",ROUND(($J12-$J$3)/1000,1)+(_xlfn.RANK.AVG($J12,($J12,$O12,$T12),1)-2)*10)</f>
        <v>-51.2</v>
      </c>
      <c r="V12" s="54">
        <f>IF($O12="","",ROUND(($O12-$O$3)/1000,1)+(_xlfn.RANK.AVG($O12,($J12,$O12,$T12),1)-2)*10)</f>
        <v>-1.4</v>
      </c>
      <c r="W12" s="55">
        <f>IF($T12="","",ROUND(($T12-$T$3)/1000,1)+(_xlfn.RANK.AVG($T12,($J12,$O12,$T12),1)-2)*10)</f>
        <v>52.6</v>
      </c>
      <c r="Y12" s="8"/>
      <c r="Z12" s="34"/>
      <c r="AA12" s="26">
        <v>1</v>
      </c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>
        <v>8</v>
      </c>
      <c r="AY12" s="30" t="s">
        <v>200</v>
      </c>
      <c r="AZ12" s="40" t="s">
        <v>201</v>
      </c>
      <c r="BA12" s="41" t="s">
        <v>205</v>
      </c>
      <c r="BB12" s="41" t="s">
        <v>83</v>
      </c>
      <c r="BC12" s="41" t="s">
        <v>85</v>
      </c>
      <c r="BD12" s="41" t="s">
        <v>84</v>
      </c>
      <c r="BE12" s="41" t="s">
        <v>202</v>
      </c>
      <c r="BF12" s="41" t="s">
        <v>79</v>
      </c>
      <c r="BG12" s="41" t="s">
        <v>79</v>
      </c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qref="F1:T1" xr:uid="{7BD794D5-AB89-48D1-8F2B-ED042F8EC9BC}">
      <formula1>"だいち,ただ,れんたろう,まっつん,いちかわ,わさび,やなぎ,たか,いっしー,たかの,りくと,のり,てんちゃん,ともき,ぱぱ,ほたに,ゆう,やがさき,あさひ,かわたつ,ちさと,がくと,かこたろう,"</formula1>
    </dataValidation>
    <dataValidation type="list" showInputMessage="1" showErrorMessage="1" sqref="K4:K30 P4:P30 F4:F30" xr:uid="{0C8D394F-B4A3-4BCC-8580-35C88FC1DB11}">
      <formula1>"ロン,ツモ,放銃,ツモ支払,流局,チョンボ"</formula1>
    </dataValidation>
    <dataValidation type="list" allowBlank="1" showInputMessage="1" showErrorMessage="1" sqref="E4:E30" xr:uid="{3AFAC83E-5724-4AE1-AC13-A7EA18C2846B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B385D-3481-452A-B8A6-F035A934C829}">
  <sheetPr codeName="Sheet14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197</v>
      </c>
      <c r="G1" s="73"/>
      <c r="H1" s="73"/>
      <c r="I1" s="74"/>
      <c r="J1" s="75"/>
      <c r="K1" s="72" t="s">
        <v>195</v>
      </c>
      <c r="L1" s="73"/>
      <c r="M1" s="73"/>
      <c r="N1" s="74"/>
      <c r="O1" s="75"/>
      <c r="P1" s="72" t="s">
        <v>193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れんたろう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ただ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だいち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れんたろう</v>
      </c>
      <c r="V2" s="69" t="str">
        <f>$K$1</f>
        <v>ただ</v>
      </c>
      <c r="W2" s="16" t="str">
        <f>$P$1</f>
        <v>だいち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196</v>
      </c>
      <c r="F4" s="8" t="s">
        <v>198</v>
      </c>
      <c r="G4" s="9">
        <v>12000</v>
      </c>
      <c r="H4" s="9"/>
      <c r="I4" s="48">
        <v>0</v>
      </c>
      <c r="J4" s="21">
        <f>IF(COUNTA($F4,$K4,$P4)&gt;0,J3+SUM(G4:I4),"")</f>
        <v>47000</v>
      </c>
      <c r="K4" s="8" t="s">
        <v>199</v>
      </c>
      <c r="L4" s="9">
        <v>-6000</v>
      </c>
      <c r="M4" s="9"/>
      <c r="N4" s="48">
        <v>0</v>
      </c>
      <c r="O4" s="21">
        <f>IF(COUNTA($F4,$K4,$P4)&gt;0,O3+SUM(L4:N4),"")</f>
        <v>29000</v>
      </c>
      <c r="P4" s="8" t="s">
        <v>199</v>
      </c>
      <c r="Q4" s="9">
        <v>-6000</v>
      </c>
      <c r="R4" s="9"/>
      <c r="S4" s="48">
        <v>0</v>
      </c>
      <c r="T4" s="21">
        <f>IF(COUNTA($F4,$K4,$P4)&gt;0,T3+SUM(Q4:S4),"")</f>
        <v>29000</v>
      </c>
      <c r="U4" s="53">
        <f>IF($J4="","",ROUND(($J4-$J$3)/1000,1)+(_xlfn.RANK.AVG($J4,($J4,$O4,$T4),1)-2)*10)</f>
        <v>22</v>
      </c>
      <c r="V4" s="54">
        <f>IF($O4="","",ROUND(($O4-$O$3)/1000,1)+(_xlfn.RANK.AVG($O4,($J4,$O4,$T4),1)-2)*10)</f>
        <v>-11</v>
      </c>
      <c r="W4" s="55">
        <f>IF($T4="","",ROUND(($T4-$T$3)/1000,1)+(_xlfn.RANK.AVG($T4,($J4,$O4,$T4),1)-2)*10)</f>
        <v>-11</v>
      </c>
      <c r="Y4" s="8"/>
      <c r="Z4" s="34"/>
      <c r="AA4" s="26"/>
      <c r="AB4" s="26">
        <v>1</v>
      </c>
      <c r="AC4" s="26">
        <v>5</v>
      </c>
      <c r="AD4" s="30" t="s">
        <v>200</v>
      </c>
      <c r="AE4" s="40" t="s">
        <v>202</v>
      </c>
      <c r="AF4" s="41" t="s">
        <v>79</v>
      </c>
      <c r="AG4" s="41" t="s">
        <v>79</v>
      </c>
      <c r="AH4" s="41" t="s">
        <v>79</v>
      </c>
      <c r="AI4" s="41" t="s">
        <v>86</v>
      </c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れんたろう</v>
      </c>
      <c r="F5" s="8" t="s">
        <v>198</v>
      </c>
      <c r="G5" s="9">
        <v>3000</v>
      </c>
      <c r="H5" s="9">
        <v>1000</v>
      </c>
      <c r="I5" s="48">
        <v>1000</v>
      </c>
      <c r="J5" s="21">
        <f t="shared" ref="J5:J30" si="2">IF(COUNTA($F5,$K5,$P5)&gt;0,J4+SUM(G5:I5),"")</f>
        <v>52000</v>
      </c>
      <c r="K5" s="8" t="s">
        <v>199</v>
      </c>
      <c r="L5" s="9">
        <v>-1500</v>
      </c>
      <c r="M5" s="9">
        <v>-1000</v>
      </c>
      <c r="N5" s="48">
        <v>-500</v>
      </c>
      <c r="O5" s="21">
        <f t="shared" ref="O5:O30" si="3">IF(COUNTA($F5,$K5,$P5)&gt;0,O4+SUM(L5:N5),"")</f>
        <v>26000</v>
      </c>
      <c r="P5" s="8" t="s">
        <v>199</v>
      </c>
      <c r="Q5" s="9">
        <v>-1500</v>
      </c>
      <c r="R5" s="9"/>
      <c r="S5" s="48">
        <v>-500</v>
      </c>
      <c r="T5" s="21">
        <f t="shared" ref="T5:T30" si="4">IF(COUNTA($F5,$K5,$P5)&gt;0,T4+SUM(Q5:S5),"")</f>
        <v>27000</v>
      </c>
      <c r="U5" s="53">
        <f>IF($J5="","",ROUND(($J5-$J$3)/1000,1)+(_xlfn.RANK.AVG($J5,($J5,$O5,$T5),1)-2)*10)</f>
        <v>27</v>
      </c>
      <c r="V5" s="54">
        <f>IF($O5="","",ROUND(($O5-$O$3)/1000,1)+(_xlfn.RANK.AVG($O5,($J5,$O5,$T5),1)-2)*10)</f>
        <v>-19</v>
      </c>
      <c r="W5" s="55">
        <f>IF($T5="","",ROUND(($T5-$T$3)/1000,1)+(_xlfn.RANK.AVG($T5,($J5,$O5,$T5),1)-2)*10)</f>
        <v>-8</v>
      </c>
      <c r="Y5" s="8"/>
      <c r="Z5" s="34"/>
      <c r="AA5" s="26">
        <v>1</v>
      </c>
      <c r="AB5" s="26"/>
      <c r="AC5" s="26">
        <v>2</v>
      </c>
      <c r="AD5" s="30">
        <v>30</v>
      </c>
      <c r="AE5" s="40" t="s">
        <v>82</v>
      </c>
      <c r="AF5" s="41" t="s">
        <v>201</v>
      </c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tr">
        <f>IF($F$1="","",$F$1)</f>
        <v>れんたろう</v>
      </c>
      <c r="F6" s="8" t="s">
        <v>199</v>
      </c>
      <c r="G6" s="9">
        <v>-1300</v>
      </c>
      <c r="H6" s="9"/>
      <c r="I6" s="48">
        <v>-1000</v>
      </c>
      <c r="J6" s="21">
        <f t="shared" si="2"/>
        <v>49700</v>
      </c>
      <c r="K6" s="8" t="s">
        <v>199</v>
      </c>
      <c r="L6" s="9">
        <v>-800</v>
      </c>
      <c r="M6" s="9"/>
      <c r="N6" s="48">
        <v>-1000</v>
      </c>
      <c r="O6" s="21">
        <f t="shared" si="3"/>
        <v>24200</v>
      </c>
      <c r="P6" s="8" t="s">
        <v>198</v>
      </c>
      <c r="Q6" s="9">
        <v>2100</v>
      </c>
      <c r="R6" s="9"/>
      <c r="S6" s="48">
        <v>2000</v>
      </c>
      <c r="T6" s="21">
        <f t="shared" si="4"/>
        <v>31100</v>
      </c>
      <c r="U6" s="53">
        <f>IF($J6="","",ROUND(($J6-$J$3)/1000,1)+(_xlfn.RANK.AVG($J6,($J6,$O6,$T6),1)-2)*10)</f>
        <v>24.7</v>
      </c>
      <c r="V6" s="54">
        <f>IF($O6="","",ROUND(($O6-$O$3)/1000,1)+(_xlfn.RANK.AVG($O6,($J6,$O6,$T6),1)-2)*10)</f>
        <v>-20.8</v>
      </c>
      <c r="W6" s="55">
        <f>IF($T6="","",ROUND(($T6-$T$3)/1000,1)+(_xlfn.RANK.AVG($T6,($J6,$O6,$T6),1)-2)*10)</f>
        <v>-3.9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2</v>
      </c>
      <c r="BT6" s="30">
        <v>30</v>
      </c>
      <c r="BU6" s="40" t="s">
        <v>82</v>
      </c>
      <c r="BV6" s="41" t="s">
        <v>202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tr">
        <f>IF($K$1="","",$K$1)</f>
        <v>ただ</v>
      </c>
      <c r="F7" s="8" t="s">
        <v>203</v>
      </c>
      <c r="G7" s="9">
        <v>8000</v>
      </c>
      <c r="H7" s="9">
        <v>1000</v>
      </c>
      <c r="I7" s="48">
        <v>0</v>
      </c>
      <c r="J7" s="21">
        <f t="shared" si="2"/>
        <v>58700</v>
      </c>
      <c r="K7" s="8"/>
      <c r="L7" s="9"/>
      <c r="M7" s="9">
        <v>-1000</v>
      </c>
      <c r="N7" s="48"/>
      <c r="O7" s="21">
        <f t="shared" si="3"/>
        <v>23200</v>
      </c>
      <c r="P7" s="8" t="s">
        <v>204</v>
      </c>
      <c r="Q7" s="9">
        <v>-8000</v>
      </c>
      <c r="R7" s="9"/>
      <c r="S7" s="48">
        <v>0</v>
      </c>
      <c r="T7" s="21">
        <f t="shared" si="4"/>
        <v>23100</v>
      </c>
      <c r="U7" s="53">
        <f>IF($J7="","",ROUND(($J7-$J$3)/1000,1)+(_xlfn.RANK.AVG($J7,($J7,$O7,$T7),1)-2)*10)</f>
        <v>33.700000000000003</v>
      </c>
      <c r="V7" s="54">
        <f>IF($O7="","",ROUND(($O7-$O$3)/1000,1)+(_xlfn.RANK.AVG($O7,($J7,$O7,$T7),1)-2)*10)</f>
        <v>-11.8</v>
      </c>
      <c r="W7" s="55">
        <f>IF($T7="","",ROUND(($T7-$T$3)/1000,1)+(_xlfn.RANK.AVG($T7,($J7,$O7,$T7),1)-2)*10)</f>
        <v>-21.9</v>
      </c>
      <c r="Y7" s="8"/>
      <c r="Z7" s="34"/>
      <c r="AA7" s="26">
        <v>1</v>
      </c>
      <c r="AB7" s="26"/>
      <c r="AC7" s="26">
        <v>5</v>
      </c>
      <c r="AD7" s="30" t="s">
        <v>200</v>
      </c>
      <c r="AE7" s="40" t="s">
        <v>201</v>
      </c>
      <c r="AF7" s="41" t="s">
        <v>83</v>
      </c>
      <c r="AG7" s="41" t="s">
        <v>85</v>
      </c>
      <c r="AH7" s="41" t="s">
        <v>80</v>
      </c>
      <c r="AI7" s="41" t="s">
        <v>79</v>
      </c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tr">
        <f>IF($P$1="","",$P$1)</f>
        <v>だいち</v>
      </c>
      <c r="F8" s="8"/>
      <c r="G8" s="9"/>
      <c r="H8" s="9"/>
      <c r="I8" s="48"/>
      <c r="J8" s="21">
        <f t="shared" si="2"/>
        <v>58700</v>
      </c>
      <c r="K8" s="8" t="s">
        <v>204</v>
      </c>
      <c r="L8" s="9">
        <v>-2000</v>
      </c>
      <c r="M8" s="9"/>
      <c r="N8" s="48">
        <v>0</v>
      </c>
      <c r="O8" s="21">
        <f t="shared" si="3"/>
        <v>21200</v>
      </c>
      <c r="P8" s="8" t="s">
        <v>203</v>
      </c>
      <c r="Q8" s="9">
        <v>2000</v>
      </c>
      <c r="R8" s="9"/>
      <c r="S8" s="48">
        <v>0</v>
      </c>
      <c r="T8" s="21">
        <f t="shared" si="4"/>
        <v>25100</v>
      </c>
      <c r="U8" s="53">
        <f>IF($J8="","",ROUND(($J8-$J$3)/1000,1)+(_xlfn.RANK.AVG($J8,($J8,$O8,$T8),1)-2)*10)</f>
        <v>33.700000000000003</v>
      </c>
      <c r="V8" s="54">
        <f>IF($O8="","",ROUND(($O8-$O$3)/1000,1)+(_xlfn.RANK.AVG($O8,($J8,$O8,$T8),1)-2)*10)</f>
        <v>-23.8</v>
      </c>
      <c r="W8" s="55">
        <f>IF($T8="","",ROUND(($T8-$T$3)/1000,1)+(_xlfn.RANK.AVG($T8,($J8,$O8,$T8),1)-2)*10)</f>
        <v>-9.9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1</v>
      </c>
      <c r="BT8" s="30">
        <v>40</v>
      </c>
      <c r="BU8" s="40" t="s">
        <v>201</v>
      </c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1</v>
      </c>
      <c r="D9" s="18">
        <f t="shared" si="1"/>
        <v>0</v>
      </c>
      <c r="E9" s="4" t="str">
        <f>IF($P$1="","",$P$1)</f>
        <v>だいち</v>
      </c>
      <c r="F9" s="8" t="s">
        <v>203</v>
      </c>
      <c r="G9" s="9">
        <v>7700</v>
      </c>
      <c r="H9" s="9"/>
      <c r="I9" s="48">
        <v>1000</v>
      </c>
      <c r="J9" s="21">
        <f t="shared" si="2"/>
        <v>67400</v>
      </c>
      <c r="K9" s="8"/>
      <c r="L9" s="9"/>
      <c r="M9" s="9"/>
      <c r="N9" s="48"/>
      <c r="O9" s="21">
        <f t="shared" si="3"/>
        <v>21200</v>
      </c>
      <c r="P9" s="8" t="s">
        <v>204</v>
      </c>
      <c r="Q9" s="9">
        <v>-7700</v>
      </c>
      <c r="R9" s="9"/>
      <c r="S9" s="48">
        <v>-1000</v>
      </c>
      <c r="T9" s="21">
        <f t="shared" si="4"/>
        <v>16400</v>
      </c>
      <c r="U9" s="53">
        <f>IF($J9="","",ROUND(($J9-$J$3)/1000,1)+(_xlfn.RANK.AVG($J9,($J9,$O9,$T9),1)-2)*10)</f>
        <v>42.4</v>
      </c>
      <c r="V9" s="54">
        <f>IF($O9="","",ROUND(($O9-$O$3)/1000,1)+(_xlfn.RANK.AVG($O9,($J9,$O9,$T9),1)-2)*10)</f>
        <v>-13.8</v>
      </c>
      <c r="W9" s="55">
        <f>IF($T9="","",ROUND(($T9-$T$3)/1000,1)+(_xlfn.RANK.AVG($T9,($J9,$O9,$T9),1)-2)*10)</f>
        <v>-28.6</v>
      </c>
      <c r="Y9" s="8"/>
      <c r="Z9" s="34"/>
      <c r="AA9" s="26">
        <v>1</v>
      </c>
      <c r="AB9" s="26"/>
      <c r="AC9" s="26">
        <v>4</v>
      </c>
      <c r="AD9" s="30">
        <v>30</v>
      </c>
      <c r="AE9" s="40" t="s">
        <v>201</v>
      </c>
      <c r="AF9" s="41" t="s">
        <v>83</v>
      </c>
      <c r="AG9" s="41" t="s">
        <v>84</v>
      </c>
      <c r="AH9" s="41" t="s">
        <v>79</v>
      </c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tr">
        <f>IF($F$1="","",$F$1)</f>
        <v>れんたろう</v>
      </c>
      <c r="F10" s="8" t="s">
        <v>203</v>
      </c>
      <c r="G10" s="9">
        <v>2000</v>
      </c>
      <c r="H10" s="9"/>
      <c r="I10" s="48">
        <v>0</v>
      </c>
      <c r="J10" s="21">
        <f t="shared" si="2"/>
        <v>69400</v>
      </c>
      <c r="K10" s="8"/>
      <c r="L10" s="9"/>
      <c r="M10" s="9"/>
      <c r="N10" s="48"/>
      <c r="O10" s="21">
        <f t="shared" si="3"/>
        <v>21200</v>
      </c>
      <c r="P10" s="8" t="s">
        <v>204</v>
      </c>
      <c r="Q10" s="9">
        <v>-2000</v>
      </c>
      <c r="R10" s="9"/>
      <c r="S10" s="48">
        <v>0</v>
      </c>
      <c r="T10" s="21">
        <f t="shared" si="4"/>
        <v>14400</v>
      </c>
      <c r="U10" s="53">
        <f>IF($J10="","",ROUND(($J10-$J$3)/1000,1)+(_xlfn.RANK.AVG($J10,($J10,$O10,$T10),1)-2)*10)</f>
        <v>44.4</v>
      </c>
      <c r="V10" s="54">
        <f>IF($O10="","",ROUND(($O10-$O$3)/1000,1)+(_xlfn.RANK.AVG($O10,($J10,$O10,$T10),1)-2)*10)</f>
        <v>-13.8</v>
      </c>
      <c r="W10" s="55">
        <f>IF($T10="","",ROUND(($T10-$T$3)/1000,1)+(_xlfn.RANK.AVG($T10,($J10,$O10,$T10),1)-2)*10)</f>
        <v>-30.6</v>
      </c>
      <c r="Y10" s="8"/>
      <c r="Z10" s="34"/>
      <c r="AA10" s="26"/>
      <c r="AB10" s="26"/>
      <c r="AC10" s="26">
        <v>1</v>
      </c>
      <c r="AD10" s="30">
        <v>40</v>
      </c>
      <c r="AE10" s="40" t="s">
        <v>201</v>
      </c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1</v>
      </c>
      <c r="D11" s="18">
        <f t="shared" si="1"/>
        <v>0</v>
      </c>
      <c r="E11" s="4" t="str">
        <f>IF($F$1="","",$F$1)</f>
        <v>れんたろう</v>
      </c>
      <c r="F11" s="8"/>
      <c r="G11" s="9"/>
      <c r="H11" s="9"/>
      <c r="I11" s="48"/>
      <c r="J11" s="21">
        <f t="shared" si="2"/>
        <v>69400</v>
      </c>
      <c r="K11" s="8" t="s">
        <v>203</v>
      </c>
      <c r="L11" s="9">
        <v>2000</v>
      </c>
      <c r="M11" s="9">
        <v>1000</v>
      </c>
      <c r="N11" s="48">
        <v>1000</v>
      </c>
      <c r="O11" s="21">
        <f t="shared" si="3"/>
        <v>25200</v>
      </c>
      <c r="P11" s="8" t="s">
        <v>204</v>
      </c>
      <c r="Q11" s="9">
        <v>-2000</v>
      </c>
      <c r="R11" s="9">
        <v>-1000</v>
      </c>
      <c r="S11" s="48">
        <v>-1000</v>
      </c>
      <c r="T11" s="21">
        <f t="shared" si="4"/>
        <v>10400</v>
      </c>
      <c r="U11" s="53">
        <f>IF($J11="","",ROUND(($J11-$J$3)/1000,1)+(_xlfn.RANK.AVG($J11,($J11,$O11,$T11),1)-2)*10)</f>
        <v>44.4</v>
      </c>
      <c r="V11" s="54">
        <f>IF($O11="","",ROUND(($O11-$O$3)/1000,1)+(_xlfn.RANK.AVG($O11,($J11,$O11,$T11),1)-2)*10)</f>
        <v>-9.8000000000000007</v>
      </c>
      <c r="W11" s="55">
        <f>IF($T11="","",ROUND(($T11-$T$3)/1000,1)+(_xlfn.RANK.AVG($T11,($J11,$O11,$T11),1)-2)*10)</f>
        <v>-34.6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2</v>
      </c>
      <c r="AY11" s="30">
        <v>30</v>
      </c>
      <c r="AZ11" s="40" t="s">
        <v>201</v>
      </c>
      <c r="BA11" s="41" t="s">
        <v>83</v>
      </c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tr">
        <f>IF($K$1="","",$K$1)</f>
        <v>ただ</v>
      </c>
      <c r="F12" s="8" t="s">
        <v>204</v>
      </c>
      <c r="G12" s="9">
        <v>-1300</v>
      </c>
      <c r="H12" s="9"/>
      <c r="I12" s="48">
        <v>0</v>
      </c>
      <c r="J12" s="21">
        <f t="shared" si="2"/>
        <v>68100</v>
      </c>
      <c r="K12" s="8"/>
      <c r="L12" s="9"/>
      <c r="M12" s="9"/>
      <c r="N12" s="48"/>
      <c r="O12" s="21">
        <f t="shared" si="3"/>
        <v>25200</v>
      </c>
      <c r="P12" s="8" t="s">
        <v>203</v>
      </c>
      <c r="Q12" s="9">
        <v>1300</v>
      </c>
      <c r="R12" s="9"/>
      <c r="S12" s="48">
        <v>0</v>
      </c>
      <c r="T12" s="21">
        <f t="shared" si="4"/>
        <v>11700</v>
      </c>
      <c r="U12" s="53">
        <f>IF($J12="","",ROUND(($J12-$J$3)/1000,1)+(_xlfn.RANK.AVG($J12,($J12,$O12,$T12),1)-2)*10)</f>
        <v>43.1</v>
      </c>
      <c r="V12" s="54">
        <f>IF($O12="","",ROUND(($O12-$O$3)/1000,1)+(_xlfn.RANK.AVG($O12,($J12,$O12,$T12),1)-2)*10)</f>
        <v>-9.8000000000000007</v>
      </c>
      <c r="W12" s="55">
        <f>IF($T12="","",ROUND(($T12-$T$3)/1000,1)+(_xlfn.RANK.AVG($T12,($J12,$O12,$T12),1)-2)*10)</f>
        <v>-33.299999999999997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>
        <v>1</v>
      </c>
      <c r="BT12" s="30">
        <v>40</v>
      </c>
      <c r="BU12" s="40" t="s">
        <v>201</v>
      </c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tr">
        <f>IF($P$1="","",$P$1)</f>
        <v>だいち</v>
      </c>
      <c r="F13" s="8" t="s">
        <v>198</v>
      </c>
      <c r="G13" s="9">
        <v>8000</v>
      </c>
      <c r="H13" s="9"/>
      <c r="I13" s="48">
        <v>0</v>
      </c>
      <c r="J13" s="21">
        <f t="shared" si="2"/>
        <v>76100</v>
      </c>
      <c r="K13" s="8" t="s">
        <v>199</v>
      </c>
      <c r="L13" s="9">
        <v>-3000</v>
      </c>
      <c r="M13" s="9"/>
      <c r="N13" s="48">
        <v>0</v>
      </c>
      <c r="O13" s="21">
        <f t="shared" si="3"/>
        <v>22200</v>
      </c>
      <c r="P13" s="8" t="s">
        <v>199</v>
      </c>
      <c r="Q13" s="9">
        <v>-5000</v>
      </c>
      <c r="R13" s="9"/>
      <c r="S13" s="48">
        <v>0</v>
      </c>
      <c r="T13" s="21">
        <f t="shared" si="4"/>
        <v>6700</v>
      </c>
      <c r="U13" s="53">
        <f>IF($J13="","",ROUND(($J13-$J$3)/1000,1)+(_xlfn.RANK.AVG($J13,($J13,$O13,$T13),1)-2)*10)</f>
        <v>51.1</v>
      </c>
      <c r="V13" s="54">
        <f>IF($O13="","",ROUND(($O13-$O$3)/1000,1)+(_xlfn.RANK.AVG($O13,($J13,$O13,$T13),1)-2)*10)</f>
        <v>-12.8</v>
      </c>
      <c r="W13" s="55">
        <f>IF($T13="","",ROUND(($T13-$T$3)/1000,1)+(_xlfn.RANK.AVG($T13,($J13,$O13,$T13),1)-2)*10)</f>
        <v>-38.299999999999997</v>
      </c>
      <c r="Y13" s="8"/>
      <c r="Z13" s="34"/>
      <c r="AA13" s="26"/>
      <c r="AB13" s="26"/>
      <c r="AC13" s="26">
        <v>5</v>
      </c>
      <c r="AD13" s="30" t="s">
        <v>200</v>
      </c>
      <c r="AE13" s="40" t="s">
        <v>82</v>
      </c>
      <c r="AF13" s="41" t="s">
        <v>104</v>
      </c>
      <c r="AG13" s="41" t="s">
        <v>86</v>
      </c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8660BE28-DE47-4352-8F54-DF4B57AB675A}">
      <formula1>$U$2:$W$2</formula1>
    </dataValidation>
    <dataValidation type="list" showInputMessage="1" showErrorMessage="1" sqref="K4:K30 P4:P30 F4:F30" xr:uid="{11667B91-2F2C-4EFB-B4AA-AD398FFD995E}">
      <formula1>"ロン,ツモ,放銃,ツモ支払,流局,チョンボ"</formula1>
    </dataValidation>
    <dataValidation type="list" allowBlank="1" showInputMessage="1" sqref="F1:T1" xr:uid="{736F2D9B-D2BF-4387-824F-042822C6C4CC}">
      <formula1>"だいち,ただ,れんたろう,まっつん,いちかわ,わさび,やなぎ,たか,いっしー,たかの,りくと,のり,てんちゃん,ともき,ぱぱ,ほたに,ゆう,やがさき,あさひ,かわたつ,ちさと,がくと,かこたろう,"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A44BD7-418D-4C4C-AC91-C3A23F41E6E4}">
  <sheetPr codeName="Sheet15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193</v>
      </c>
      <c r="G1" s="73"/>
      <c r="H1" s="73"/>
      <c r="I1" s="74"/>
      <c r="J1" s="75"/>
      <c r="K1" s="72" t="s">
        <v>197</v>
      </c>
      <c r="L1" s="73"/>
      <c r="M1" s="73"/>
      <c r="N1" s="74"/>
      <c r="O1" s="75"/>
      <c r="P1" s="72" t="s">
        <v>195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れんたろう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だいち</v>
      </c>
      <c r="V2" s="69" t="str">
        <f>$K$1</f>
        <v>れんたろう</v>
      </c>
      <c r="W2" s="16" t="str">
        <f>$P$1</f>
        <v>ただ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 t="s">
        <v>199</v>
      </c>
      <c r="G4" s="9">
        <v>-10000</v>
      </c>
      <c r="H4" s="9"/>
      <c r="I4" s="48">
        <v>0</v>
      </c>
      <c r="J4" s="21">
        <f>IF(COUNTA($F4,$K4,$P4)&gt;0,J3+SUM(G4:I4),"")</f>
        <v>25000</v>
      </c>
      <c r="K4" s="8" t="s">
        <v>199</v>
      </c>
      <c r="L4" s="9">
        <v>-6000</v>
      </c>
      <c r="M4" s="9"/>
      <c r="N4" s="48">
        <v>0</v>
      </c>
      <c r="O4" s="21">
        <f>IF(COUNTA($F4,$K4,$P4)&gt;0,O3+SUM(L4:N4),"")</f>
        <v>29000</v>
      </c>
      <c r="P4" s="8" t="s">
        <v>198</v>
      </c>
      <c r="Q4" s="9">
        <v>16000</v>
      </c>
      <c r="R4" s="9"/>
      <c r="S4" s="48">
        <v>0</v>
      </c>
      <c r="T4" s="21">
        <f>IF(COUNTA($F4,$K4,$P4)&gt;0,T3+SUM(Q4:S4),"")</f>
        <v>51000</v>
      </c>
      <c r="U4" s="53">
        <f>IF($J4="","",ROUND(($J4-$J$3)/1000,1)+(_xlfn.RANK.AVG($J4,($J4,$O4,$T4),1)-2)*10)</f>
        <v>-20</v>
      </c>
      <c r="V4" s="54">
        <f>IF($O4="","",ROUND(($O4-$O$3)/1000,1)+(_xlfn.RANK.AVG($O4,($J4,$O4,$T4),1)-2)*10)</f>
        <v>-6</v>
      </c>
      <c r="W4" s="55">
        <f>IF($T4="","",ROUND(($T4-$T$3)/1000,1)+(_xlfn.RANK.AVG($T4,($J4,$O4,$T4),1)-2)*10)</f>
        <v>26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9</v>
      </c>
      <c r="BT4" s="30" t="s">
        <v>200</v>
      </c>
      <c r="BU4" s="40" t="s">
        <v>201</v>
      </c>
      <c r="BV4" s="41" t="s">
        <v>82</v>
      </c>
      <c r="BW4" s="41" t="s">
        <v>92</v>
      </c>
      <c r="BX4" s="41" t="s">
        <v>79</v>
      </c>
      <c r="BY4" s="41" t="s">
        <v>79</v>
      </c>
      <c r="BZ4" s="41" t="s">
        <v>79</v>
      </c>
      <c r="CA4" s="41" t="s">
        <v>202</v>
      </c>
      <c r="CB4" s="41" t="s">
        <v>80</v>
      </c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れんたろう</v>
      </c>
      <c r="F5" s="8" t="s">
        <v>203</v>
      </c>
      <c r="G5" s="9">
        <v>5200</v>
      </c>
      <c r="H5" s="9"/>
      <c r="I5" s="48">
        <v>0</v>
      </c>
      <c r="J5" s="21">
        <f t="shared" ref="J5:J30" si="2">IF(COUNTA($F5,$K5,$P5)&gt;0,J4+SUM(G5:I5),"")</f>
        <v>30200</v>
      </c>
      <c r="K5" s="8"/>
      <c r="L5" s="9"/>
      <c r="M5" s="9"/>
      <c r="N5" s="48"/>
      <c r="O5" s="21">
        <f t="shared" ref="O5:O30" si="3">IF(COUNTA($F5,$K5,$P5)&gt;0,O4+SUM(L5:N5),"")</f>
        <v>29000</v>
      </c>
      <c r="P5" s="8" t="s">
        <v>204</v>
      </c>
      <c r="Q5" s="9">
        <v>-5200</v>
      </c>
      <c r="R5" s="9"/>
      <c r="S5" s="48">
        <v>0</v>
      </c>
      <c r="T5" s="21">
        <f t="shared" ref="T5:T30" si="4">IF(COUNTA($F5,$K5,$P5)&gt;0,T4+SUM(Q5:S5),"")</f>
        <v>45800</v>
      </c>
      <c r="U5" s="53">
        <f>IF($J5="","",ROUND(($J5-$J$3)/1000,1)+(_xlfn.RANK.AVG($J5,($J5,$O5,$T5),1)-2)*10)</f>
        <v>-4.8</v>
      </c>
      <c r="V5" s="54">
        <f>IF($O5="","",ROUND(($O5-$O$3)/1000,1)+(_xlfn.RANK.AVG($O5,($J5,$O5,$T5),1)-2)*10)</f>
        <v>-16</v>
      </c>
      <c r="W5" s="55">
        <f>IF($T5="","",ROUND(($T5-$T$3)/1000,1)+(_xlfn.RANK.AVG($T5,($J5,$O5,$T5),1)-2)*10)</f>
        <v>20.8</v>
      </c>
      <c r="Y5" s="8"/>
      <c r="Z5" s="34"/>
      <c r="AA5" s="26">
        <v>1</v>
      </c>
      <c r="AB5" s="26"/>
      <c r="AC5" s="26">
        <v>3</v>
      </c>
      <c r="AD5" s="30">
        <v>40</v>
      </c>
      <c r="AE5" s="40" t="s">
        <v>201</v>
      </c>
      <c r="AF5" s="41" t="s">
        <v>79</v>
      </c>
      <c r="AG5" s="41" t="s">
        <v>202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ただ</v>
      </c>
      <c r="F6" s="8"/>
      <c r="G6" s="9"/>
      <c r="H6" s="9"/>
      <c r="I6" s="48"/>
      <c r="J6" s="21">
        <f t="shared" si="2"/>
        <v>30200</v>
      </c>
      <c r="K6" s="8" t="s">
        <v>204</v>
      </c>
      <c r="L6" s="9">
        <v>-7700</v>
      </c>
      <c r="M6" s="9"/>
      <c r="N6" s="48">
        <v>0</v>
      </c>
      <c r="O6" s="21">
        <f t="shared" si="3"/>
        <v>21300</v>
      </c>
      <c r="P6" s="8" t="s">
        <v>203</v>
      </c>
      <c r="Q6" s="9">
        <v>7700</v>
      </c>
      <c r="R6" s="9"/>
      <c r="S6" s="48">
        <v>0</v>
      </c>
      <c r="T6" s="21">
        <f t="shared" si="4"/>
        <v>53500</v>
      </c>
      <c r="U6" s="53">
        <f>IF($J6="","",ROUND(($J6-$J$3)/1000,1)+(_xlfn.RANK.AVG($J6,($J6,$O6,$T6),1)-2)*10)</f>
        <v>-4.8</v>
      </c>
      <c r="V6" s="54">
        <f>IF($O6="","",ROUND(($O6-$O$3)/1000,1)+(_xlfn.RANK.AVG($O6,($J6,$O6,$T6),1)-2)*10)</f>
        <v>-23.7</v>
      </c>
      <c r="W6" s="55">
        <f>IF($T6="","",ROUND(($T6-$T$3)/1000,1)+(_xlfn.RANK.AVG($T6,($J6,$O6,$T6),1)-2)*10)</f>
        <v>28.5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3</v>
      </c>
      <c r="BT6" s="30">
        <v>40</v>
      </c>
      <c r="BU6" s="40" t="s">
        <v>79</v>
      </c>
      <c r="BV6" s="41" t="s">
        <v>79</v>
      </c>
      <c r="BW6" s="41" t="s">
        <v>84</v>
      </c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tr">
        <f>IF($P$1="","",$P$1)</f>
        <v>ただ</v>
      </c>
      <c r="F7" s="8" t="s">
        <v>199</v>
      </c>
      <c r="G7" s="9">
        <v>-6000</v>
      </c>
      <c r="H7" s="9"/>
      <c r="I7" s="48">
        <v>-500</v>
      </c>
      <c r="J7" s="21">
        <f t="shared" si="2"/>
        <v>23700</v>
      </c>
      <c r="K7" s="8" t="s">
        <v>199</v>
      </c>
      <c r="L7" s="9">
        <v>-6000</v>
      </c>
      <c r="M7" s="9"/>
      <c r="N7" s="48">
        <v>-500</v>
      </c>
      <c r="O7" s="21">
        <f t="shared" si="3"/>
        <v>14800</v>
      </c>
      <c r="P7" s="8" t="s">
        <v>198</v>
      </c>
      <c r="Q7" s="9">
        <v>12000</v>
      </c>
      <c r="R7" s="9"/>
      <c r="S7" s="48">
        <v>1000</v>
      </c>
      <c r="T7" s="21">
        <f t="shared" si="4"/>
        <v>66500</v>
      </c>
      <c r="U7" s="53">
        <f>IF($J7="","",ROUND(($J7-$J$3)/1000,1)+(_xlfn.RANK.AVG($J7,($J7,$O7,$T7),1)-2)*10)</f>
        <v>-11.3</v>
      </c>
      <c r="V7" s="54">
        <f>IF($O7="","",ROUND(($O7-$O$3)/1000,1)+(_xlfn.RANK.AVG($O7,($J7,$O7,$T7),1)-2)*10)</f>
        <v>-30.2</v>
      </c>
      <c r="W7" s="55">
        <f>IF($T7="","",ROUND(($T7-$T$3)/1000,1)+(_xlfn.RANK.AVG($T7,($J7,$O7,$T7),1)-2)*10)</f>
        <v>41.5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5</v>
      </c>
      <c r="BT7" s="30" t="s">
        <v>200</v>
      </c>
      <c r="BU7" s="40" t="s">
        <v>201</v>
      </c>
      <c r="BV7" s="41" t="s">
        <v>79</v>
      </c>
      <c r="BW7" s="41" t="s">
        <v>202</v>
      </c>
      <c r="BX7" s="41" t="s">
        <v>202</v>
      </c>
      <c r="BY7" s="41" t="s">
        <v>80</v>
      </c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2</v>
      </c>
      <c r="D8" s="18">
        <f t="shared" si="1"/>
        <v>0</v>
      </c>
      <c r="E8" s="4" t="str">
        <f>IF($P$1="","",$P$1)</f>
        <v>ただ</v>
      </c>
      <c r="F8" s="8" t="s">
        <v>199</v>
      </c>
      <c r="G8" s="9">
        <v>-2000</v>
      </c>
      <c r="H8" s="9"/>
      <c r="I8" s="48">
        <v>-1000</v>
      </c>
      <c r="J8" s="21">
        <f t="shared" si="2"/>
        <v>20700</v>
      </c>
      <c r="K8" s="8" t="s">
        <v>198</v>
      </c>
      <c r="L8" s="9">
        <v>5300</v>
      </c>
      <c r="M8" s="9"/>
      <c r="N8" s="48">
        <v>2000</v>
      </c>
      <c r="O8" s="21">
        <f t="shared" si="3"/>
        <v>22100</v>
      </c>
      <c r="P8" s="8" t="s">
        <v>199</v>
      </c>
      <c r="Q8" s="9">
        <v>-3300</v>
      </c>
      <c r="R8" s="9"/>
      <c r="S8" s="48">
        <v>-1000</v>
      </c>
      <c r="T8" s="21">
        <f t="shared" si="4"/>
        <v>62200</v>
      </c>
      <c r="U8" s="53">
        <f>IF($J8="","",ROUND(($J8-$J$3)/1000,1)+(_xlfn.RANK.AVG($J8,($J8,$O8,$T8),1)-2)*10)</f>
        <v>-24.3</v>
      </c>
      <c r="V8" s="54">
        <f>IF($O8="","",ROUND(($O8-$O$3)/1000,1)+(_xlfn.RANK.AVG($O8,($J8,$O8,$T8),1)-2)*10)</f>
        <v>-12.9</v>
      </c>
      <c r="W8" s="55">
        <f>IF($T8="","",ROUND(($T8-$T$3)/1000,1)+(_xlfn.RANK.AVG($T8,($J8,$O8,$T8),1)-2)*10)</f>
        <v>37.200000000000003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4</v>
      </c>
      <c r="AY8" s="30">
        <v>20</v>
      </c>
      <c r="AZ8" s="40" t="s">
        <v>201</v>
      </c>
      <c r="BA8" s="41" t="s">
        <v>82</v>
      </c>
      <c r="BB8" s="41" t="s">
        <v>83</v>
      </c>
      <c r="BC8" s="41" t="s">
        <v>80</v>
      </c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tr">
        <f>IF($F$1="","",$F$1)</f>
        <v>だいち</v>
      </c>
      <c r="F9" s="8" t="s">
        <v>198</v>
      </c>
      <c r="G9" s="9">
        <v>11600</v>
      </c>
      <c r="H9" s="9"/>
      <c r="I9" s="48">
        <v>0</v>
      </c>
      <c r="J9" s="21">
        <f t="shared" si="2"/>
        <v>32300</v>
      </c>
      <c r="K9" s="8" t="s">
        <v>199</v>
      </c>
      <c r="L9" s="9">
        <v>-5800</v>
      </c>
      <c r="M9" s="9"/>
      <c r="N9" s="48">
        <v>0</v>
      </c>
      <c r="O9" s="21">
        <f t="shared" si="3"/>
        <v>16300</v>
      </c>
      <c r="P9" s="8" t="s">
        <v>199</v>
      </c>
      <c r="Q9" s="9">
        <v>-5800</v>
      </c>
      <c r="R9" s="9"/>
      <c r="S9" s="48">
        <v>0</v>
      </c>
      <c r="T9" s="21">
        <f t="shared" si="4"/>
        <v>56400</v>
      </c>
      <c r="U9" s="53">
        <f>IF($J9="","",ROUND(($J9-$J$3)/1000,1)+(_xlfn.RANK.AVG($J9,($J9,$O9,$T9),1)-2)*10)</f>
        <v>-2.7</v>
      </c>
      <c r="V9" s="54">
        <f>IF($O9="","",ROUND(($O9-$O$3)/1000,1)+(_xlfn.RANK.AVG($O9,($J9,$O9,$T9),1)-2)*10)</f>
        <v>-28.7</v>
      </c>
      <c r="W9" s="55">
        <f>IF($T9="","",ROUND(($T9-$T$3)/1000,1)+(_xlfn.RANK.AVG($T9,($J9,$O9,$T9),1)-2)*10)</f>
        <v>31.4</v>
      </c>
      <c r="Y9" s="8"/>
      <c r="Z9" s="34"/>
      <c r="AA9" s="26"/>
      <c r="AB9" s="26"/>
      <c r="AC9" s="26">
        <v>4</v>
      </c>
      <c r="AD9" s="30">
        <v>30</v>
      </c>
      <c r="AE9" s="40" t="s">
        <v>104</v>
      </c>
      <c r="AF9" s="41" t="s">
        <v>82</v>
      </c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1</v>
      </c>
      <c r="D10" s="18">
        <f t="shared" si="1"/>
        <v>0</v>
      </c>
      <c r="E10" s="4" t="str">
        <f>IF($F$1="","",$F$1)</f>
        <v>だいち</v>
      </c>
      <c r="F10" s="8" t="s">
        <v>199</v>
      </c>
      <c r="G10" s="9">
        <v>-10000</v>
      </c>
      <c r="H10" s="9"/>
      <c r="I10" s="48">
        <v>-500</v>
      </c>
      <c r="J10" s="21">
        <f t="shared" si="2"/>
        <v>21800</v>
      </c>
      <c r="K10" s="8" t="s">
        <v>198</v>
      </c>
      <c r="L10" s="9">
        <v>16000</v>
      </c>
      <c r="M10" s="9"/>
      <c r="N10" s="48">
        <v>1000</v>
      </c>
      <c r="O10" s="21">
        <f t="shared" si="3"/>
        <v>33300</v>
      </c>
      <c r="P10" s="8" t="s">
        <v>199</v>
      </c>
      <c r="Q10" s="9">
        <v>-6000</v>
      </c>
      <c r="R10" s="9"/>
      <c r="S10" s="48">
        <v>-500</v>
      </c>
      <c r="T10" s="21">
        <f t="shared" si="4"/>
        <v>49900</v>
      </c>
      <c r="U10" s="53">
        <f>IF($J10="","",ROUND(($J10-$J$3)/1000,1)+(_xlfn.RANK.AVG($J10,($J10,$O10,$T10),1)-2)*10)</f>
        <v>-23.2</v>
      </c>
      <c r="V10" s="54">
        <f>IF($O10="","",ROUND(($O10-$O$3)/1000,1)+(_xlfn.RANK.AVG($O10,($J10,$O10,$T10),1)-2)*10)</f>
        <v>-1.7</v>
      </c>
      <c r="W10" s="55">
        <f>IF($T10="","",ROUND(($T10-$T$3)/1000,1)+(_xlfn.RANK.AVG($T10,($J10,$O10,$T10),1)-2)*10)</f>
        <v>24.9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8</v>
      </c>
      <c r="AY10" s="30" t="s">
        <v>200</v>
      </c>
      <c r="AZ10" s="40" t="s">
        <v>201</v>
      </c>
      <c r="BA10" s="41" t="s">
        <v>82</v>
      </c>
      <c r="BB10" s="41" t="s">
        <v>86</v>
      </c>
      <c r="BC10" s="41" t="s">
        <v>86</v>
      </c>
      <c r="BD10" s="41" t="s">
        <v>86</v>
      </c>
      <c r="BE10" s="41" t="s">
        <v>104</v>
      </c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tr">
        <f>IF($K$1="","",$K$1)</f>
        <v>れんたろう</v>
      </c>
      <c r="F11" s="8" t="s">
        <v>208</v>
      </c>
      <c r="G11" s="9">
        <v>3000</v>
      </c>
      <c r="H11" s="9">
        <v>-1000</v>
      </c>
      <c r="I11" s="48"/>
      <c r="J11" s="21">
        <f t="shared" si="2"/>
        <v>23800</v>
      </c>
      <c r="K11" s="8" t="s">
        <v>208</v>
      </c>
      <c r="L11" s="9">
        <v>-1500</v>
      </c>
      <c r="M11" s="9"/>
      <c r="N11" s="48"/>
      <c r="O11" s="21">
        <f t="shared" si="3"/>
        <v>31800</v>
      </c>
      <c r="P11" s="8" t="s">
        <v>208</v>
      </c>
      <c r="Q11" s="9">
        <v>-1500</v>
      </c>
      <c r="R11" s="9"/>
      <c r="S11" s="48"/>
      <c r="T11" s="21">
        <f t="shared" si="4"/>
        <v>48400</v>
      </c>
      <c r="U11" s="53">
        <f>IF($J11="","",ROUND(($J11-$J$3)/1000,1)+(_xlfn.RANK.AVG($J11,($J11,$O11,$T11),1)-2)*10)</f>
        <v>-21.2</v>
      </c>
      <c r="V11" s="54">
        <f>IF($O11="","",ROUND(($O11-$O$3)/1000,1)+(_xlfn.RANK.AVG($O11,($J11,$O11,$T11),1)-2)*10)</f>
        <v>-3.2</v>
      </c>
      <c r="W11" s="55">
        <f>IF($T11="","",ROUND(($T11-$T$3)/1000,1)+(_xlfn.RANK.AVG($T11,($J11,$O11,$T11),1)-2)*10)</f>
        <v>23.4</v>
      </c>
      <c r="Y11" s="8" t="s">
        <v>207</v>
      </c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206</v>
      </c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206</v>
      </c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1</v>
      </c>
      <c r="D12" s="18">
        <f t="shared" si="1"/>
        <v>1</v>
      </c>
      <c r="E12" s="4" t="str">
        <f>IF($P$1="","",$P$1)</f>
        <v>ただ</v>
      </c>
      <c r="F12" s="8"/>
      <c r="G12" s="9"/>
      <c r="H12" s="9"/>
      <c r="I12" s="48"/>
      <c r="J12" s="21">
        <f t="shared" si="2"/>
        <v>23800</v>
      </c>
      <c r="K12" s="8" t="s">
        <v>204</v>
      </c>
      <c r="L12" s="9">
        <v>-2900</v>
      </c>
      <c r="M12" s="9"/>
      <c r="N12" s="48">
        <v>-1000</v>
      </c>
      <c r="O12" s="21">
        <f t="shared" si="3"/>
        <v>27900</v>
      </c>
      <c r="P12" s="8" t="s">
        <v>203</v>
      </c>
      <c r="Q12" s="9">
        <v>2900</v>
      </c>
      <c r="R12" s="9">
        <v>1000</v>
      </c>
      <c r="S12" s="48">
        <v>1000</v>
      </c>
      <c r="T12" s="21">
        <f t="shared" si="4"/>
        <v>53300</v>
      </c>
      <c r="U12" s="53">
        <f>IF($J12="","",ROUND(($J12-$J$3)/1000,1)+(_xlfn.RANK.AVG($J12,($J12,$O12,$T12),1)-2)*10)</f>
        <v>-21.2</v>
      </c>
      <c r="V12" s="54">
        <f>IF($O12="","",ROUND(($O12-$O$3)/1000,1)+(_xlfn.RANK.AVG($O12,($J12,$O12,$T12),1)-2)*10)</f>
        <v>-7.1</v>
      </c>
      <c r="W12" s="55">
        <f>IF($T12="","",ROUND(($T12-$T$3)/1000,1)+(_xlfn.RANK.AVG($T12,($J12,$O12,$T12),1)-2)*10)</f>
        <v>28.3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>
        <v>2</v>
      </c>
      <c r="BT12" s="30">
        <v>30</v>
      </c>
      <c r="BU12" s="40" t="s">
        <v>83</v>
      </c>
      <c r="BV12" s="41" t="s">
        <v>79</v>
      </c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2</v>
      </c>
      <c r="D13" s="18">
        <f t="shared" si="1"/>
        <v>0</v>
      </c>
      <c r="E13" s="4" t="str">
        <f>IF($P$1="","",$P$1)</f>
        <v>ただ</v>
      </c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56A77748-3675-422B-8A95-C27D68BB97A5}">
      <formula1>"だいち,ただ,れんたろう,まっつん,いちかわ,わさび,やなぎ,たか,いっしー,たかの,りくと,のり,てんちゃん,ともき,ぱぱ,ほたに,ゆう,やがさき,あさひ,かわたつ,ちさと,がくと,かこたろう,"</formula1>
    </dataValidation>
    <dataValidation type="list" showInputMessage="1" showErrorMessage="1" sqref="K4:K30 P4:P30 F4:F30" xr:uid="{9156AB5A-C49D-4B33-B119-A3BA0AE3AD76}">
      <formula1>"ロン,ツモ,放銃,ツモ支払,流局,チョンボ"</formula1>
    </dataValidation>
    <dataValidation type="list" allowBlank="1" showInputMessage="1" showErrorMessage="1" sqref="E4:E30" xr:uid="{F4CCB584-AFF6-4529-A814-3B589004A6BF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B6" s="36" t="s">
        <v>191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14</vt:i4>
      </vt:variant>
    </vt:vector>
  </HeadingPairs>
  <TitlesOfParts>
    <vt:vector size="14" baseType="lpstr">
      <vt:lpstr>Sheet1</vt:lpstr>
      <vt:lpstr>Sheet2</vt:lpstr>
      <vt:lpstr>Sheet3</vt:lpstr>
      <vt:lpstr>Sheet4</vt:lpstr>
      <vt:lpstr>Sheet5</vt:lpstr>
      <vt:lpstr>Sheet6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2021-05-01T07:42:56Z</dcterms:modified>
</cp:coreProperties>
</file>