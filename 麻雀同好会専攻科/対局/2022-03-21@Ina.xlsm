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対局\"/>
    </mc:Choice>
  </mc:AlternateContent>
  <xr:revisionPtr revIDLastSave="0" documentId="13_ncr:1_{F9FC7F81-23A8-4401-8F0E-67C41E6C2492}" xr6:coauthVersionLast="47" xr6:coauthVersionMax="47" xr10:uidLastSave="{00000000-0000-0000-0000-000000000000}"/>
  <bookViews>
    <workbookView xWindow="-120" yWindow="-120" windowWidth="29040" windowHeight="15990" activeTab="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25" l="1"/>
  <c r="E16" i="25"/>
  <c r="E15" i="25"/>
  <c r="E14" i="25"/>
  <c r="E13" i="25"/>
  <c r="E12" i="25"/>
  <c r="E11" i="25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O16" i="25"/>
  <c r="J16" i="25"/>
  <c r="D16" i="25"/>
  <c r="C16" i="25"/>
  <c r="B16" i="25"/>
  <c r="A16" i="25" s="1"/>
  <c r="T15" i="25"/>
  <c r="O15" i="25"/>
  <c r="J15" i="25"/>
  <c r="U15" i="25" s="1"/>
  <c r="D15" i="25"/>
  <c r="C15" i="25"/>
  <c r="B15" i="25"/>
  <c r="A15" i="25"/>
  <c r="T14" i="25"/>
  <c r="O14" i="25"/>
  <c r="V14" i="25" s="1"/>
  <c r="J14" i="25"/>
  <c r="U14" i="25" s="1"/>
  <c r="D14" i="25"/>
  <c r="C14" i="25"/>
  <c r="B14" i="25"/>
  <c r="A14" i="25" s="1"/>
  <c r="T13" i="25"/>
  <c r="O13" i="25"/>
  <c r="J13" i="25"/>
  <c r="U13" i="25" s="1"/>
  <c r="D13" i="25"/>
  <c r="C13" i="25"/>
  <c r="B13" i="25"/>
  <c r="A13" i="25"/>
  <c r="T12" i="25"/>
  <c r="W12" i="25" s="1"/>
  <c r="O12" i="25"/>
  <c r="J12" i="25"/>
  <c r="D12" i="25"/>
  <c r="C12" i="25"/>
  <c r="B12" i="25"/>
  <c r="A12" i="25" s="1"/>
  <c r="D11" i="25"/>
  <c r="D10" i="25"/>
  <c r="D9" i="25"/>
  <c r="D7" i="25"/>
  <c r="B6" i="25"/>
  <c r="D6" i="25"/>
  <c r="C6" i="25"/>
  <c r="T5" i="25"/>
  <c r="T6" i="25" s="1"/>
  <c r="O5" i="25"/>
  <c r="O6" i="25" s="1"/>
  <c r="J5" i="25"/>
  <c r="J6" i="25" s="1"/>
  <c r="B5" i="25"/>
  <c r="A5" i="25" s="1"/>
  <c r="D5" i="25"/>
  <c r="C5" i="25"/>
  <c r="T4" i="25"/>
  <c r="O4" i="25"/>
  <c r="J4" i="25"/>
  <c r="U4" i="25" s="1"/>
  <c r="W3" i="25"/>
  <c r="V3" i="25"/>
  <c r="U3" i="25"/>
  <c r="W2" i="25"/>
  <c r="V2" i="25"/>
  <c r="U2" i="25"/>
  <c r="BO1" i="25"/>
  <c r="AT1" i="25"/>
  <c r="Y1" i="25"/>
  <c r="U16" i="25" l="1"/>
  <c r="V16" i="25"/>
  <c r="W16" i="25"/>
  <c r="V15" i="25"/>
  <c r="W15" i="25"/>
  <c r="W14" i="25"/>
  <c r="V13" i="25"/>
  <c r="W13" i="25"/>
  <c r="V12" i="25"/>
  <c r="U12" i="25"/>
  <c r="W4" i="25"/>
  <c r="V4" i="25"/>
  <c r="W6" i="25"/>
  <c r="T7" i="25"/>
  <c r="O7" i="25"/>
  <c r="V6" i="25"/>
  <c r="A7" i="25"/>
  <c r="B8" i="25"/>
  <c r="B9" i="25" s="1"/>
  <c r="J7" i="25"/>
  <c r="U6" i="25"/>
  <c r="B7" i="25"/>
  <c r="A6" i="25"/>
  <c r="C8" i="25"/>
  <c r="C9" i="25" s="1"/>
  <c r="D8" i="25"/>
  <c r="C11" i="25"/>
  <c r="U5" i="25"/>
  <c r="C7" i="25"/>
  <c r="V5" i="25"/>
  <c r="C10" i="25"/>
  <c r="W5" i="25"/>
  <c r="T30" i="24"/>
  <c r="W30" i="24" s="1"/>
  <c r="O30" i="24"/>
  <c r="V30" i="24" s="1"/>
  <c r="J30" i="24"/>
  <c r="U30" i="24" s="1"/>
  <c r="D30" i="24"/>
  <c r="C30" i="24"/>
  <c r="B30" i="24"/>
  <c r="A30" i="24"/>
  <c r="U29" i="24"/>
  <c r="T29" i="24"/>
  <c r="W29" i="24" s="1"/>
  <c r="O29" i="24"/>
  <c r="V29" i="24" s="1"/>
  <c r="J29" i="24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V27" i="24"/>
  <c r="T27" i="24"/>
  <c r="W27" i="24" s="1"/>
  <c r="O27" i="24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U25" i="24"/>
  <c r="T25" i="24"/>
  <c r="W25" i="24" s="1"/>
  <c r="O25" i="24"/>
  <c r="V25" i="24" s="1"/>
  <c r="J25" i="24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V23" i="24"/>
  <c r="T23" i="24"/>
  <c r="W23" i="24" s="1"/>
  <c r="O23" i="24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U21" i="24"/>
  <c r="T21" i="24"/>
  <c r="W21" i="24" s="1"/>
  <c r="O21" i="24"/>
  <c r="V21" i="24" s="1"/>
  <c r="J21" i="24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V19" i="24"/>
  <c r="T19" i="24"/>
  <c r="W19" i="24" s="1"/>
  <c r="O19" i="24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U17" i="24"/>
  <c r="T17" i="24"/>
  <c r="W17" i="24" s="1"/>
  <c r="O17" i="24"/>
  <c r="V17" i="24" s="1"/>
  <c r="J17" i="24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D13" i="24"/>
  <c r="D14" i="24" s="1"/>
  <c r="C13" i="24"/>
  <c r="C14" i="24" s="1"/>
  <c r="D10" i="24"/>
  <c r="D11" i="24" s="1"/>
  <c r="D9" i="24"/>
  <c r="T6" i="24"/>
  <c r="B6" i="24"/>
  <c r="D6" i="24"/>
  <c r="T5" i="24"/>
  <c r="D5" i="24"/>
  <c r="C5" i="24"/>
  <c r="C6" i="24" s="1"/>
  <c r="B5" i="24"/>
  <c r="A5" i="24" s="1"/>
  <c r="T4" i="24"/>
  <c r="O4" i="24"/>
  <c r="O5" i="24" s="1"/>
  <c r="J4" i="24"/>
  <c r="U4" i="24" s="1"/>
  <c r="W3" i="24"/>
  <c r="V3" i="24"/>
  <c r="U3" i="24"/>
  <c r="W2" i="24"/>
  <c r="V2" i="24"/>
  <c r="U2" i="24"/>
  <c r="BO1" i="24"/>
  <c r="AT1" i="24"/>
  <c r="Y1" i="24"/>
  <c r="E15" i="23"/>
  <c r="E14" i="23"/>
  <c r="E13" i="23"/>
  <c r="E12" i="23"/>
  <c r="E11" i="23"/>
  <c r="E10" i="23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 s="1"/>
  <c r="T15" i="23"/>
  <c r="O15" i="23"/>
  <c r="J15" i="23"/>
  <c r="D15" i="23"/>
  <c r="C15" i="23"/>
  <c r="B15" i="23"/>
  <c r="A15" i="23" s="1"/>
  <c r="T14" i="23"/>
  <c r="O14" i="23"/>
  <c r="V14" i="23" s="1"/>
  <c r="J14" i="23"/>
  <c r="D14" i="23"/>
  <c r="C14" i="23"/>
  <c r="B14" i="23"/>
  <c r="A14" i="23"/>
  <c r="T13" i="23"/>
  <c r="O13" i="23"/>
  <c r="J13" i="23"/>
  <c r="U13" i="23" s="1"/>
  <c r="D13" i="23"/>
  <c r="C13" i="23"/>
  <c r="B13" i="23"/>
  <c r="A13" i="23"/>
  <c r="T12" i="23"/>
  <c r="W12" i="23" s="1"/>
  <c r="O12" i="23"/>
  <c r="V12" i="23" s="1"/>
  <c r="J12" i="23"/>
  <c r="D12" i="23"/>
  <c r="C12" i="23"/>
  <c r="B12" i="23"/>
  <c r="A12" i="23" s="1"/>
  <c r="C11" i="23"/>
  <c r="D11" i="23"/>
  <c r="D10" i="23"/>
  <c r="C10" i="23"/>
  <c r="D9" i="23"/>
  <c r="T7" i="23"/>
  <c r="T8" i="23" s="1"/>
  <c r="C7" i="23"/>
  <c r="D7" i="23"/>
  <c r="T6" i="23"/>
  <c r="O6" i="23"/>
  <c r="O7" i="23" s="1"/>
  <c r="B6" i="23"/>
  <c r="D6" i="23"/>
  <c r="C6" i="23"/>
  <c r="T5" i="23"/>
  <c r="O5" i="23"/>
  <c r="J5" i="23"/>
  <c r="D5" i="23"/>
  <c r="C5" i="23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E11" i="22"/>
  <c r="E10" i="22"/>
  <c r="D10" i="22" s="1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C13" i="22"/>
  <c r="D12" i="22"/>
  <c r="C10" i="22"/>
  <c r="D9" i="22"/>
  <c r="D8" i="22"/>
  <c r="T6" i="22"/>
  <c r="T7" i="22" s="1"/>
  <c r="D6" i="22"/>
  <c r="T5" i="22"/>
  <c r="O5" i="22"/>
  <c r="O6" i="22" s="1"/>
  <c r="B5" i="22"/>
  <c r="A5" i="22" s="1"/>
  <c r="D5" i="22"/>
  <c r="C5" i="22"/>
  <c r="T4" i="22"/>
  <c r="O4" i="22"/>
  <c r="J4" i="22"/>
  <c r="W3" i="22"/>
  <c r="V3" i="22"/>
  <c r="U3" i="22"/>
  <c r="W2" i="22"/>
  <c r="V2" i="22"/>
  <c r="U2" i="22"/>
  <c r="BO1" i="22"/>
  <c r="AT1" i="22"/>
  <c r="Y1" i="22"/>
  <c r="D14" i="21"/>
  <c r="E13" i="21"/>
  <c r="E12" i="21"/>
  <c r="D12" i="21" s="1"/>
  <c r="E11" i="21"/>
  <c r="E10" i="21"/>
  <c r="D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T13" i="21"/>
  <c r="O13" i="21"/>
  <c r="J13" i="21"/>
  <c r="D13" i="21"/>
  <c r="C13" i="21"/>
  <c r="B13" i="21"/>
  <c r="A13" i="21" s="1"/>
  <c r="T12" i="21"/>
  <c r="O12" i="21"/>
  <c r="J12" i="21"/>
  <c r="D11" i="21"/>
  <c r="C11" i="21"/>
  <c r="C8" i="21"/>
  <c r="D8" i="21"/>
  <c r="O7" i="21"/>
  <c r="O8" i="21" s="1"/>
  <c r="D7" i="21"/>
  <c r="O6" i="21"/>
  <c r="J6" i="21"/>
  <c r="J7" i="21" s="1"/>
  <c r="D6" i="21"/>
  <c r="O5" i="21"/>
  <c r="J5" i="21"/>
  <c r="C5" i="21"/>
  <c r="T4" i="21"/>
  <c r="T5" i="21" s="1"/>
  <c r="O4" i="21"/>
  <c r="J4" i="21"/>
  <c r="W3" i="21"/>
  <c r="V3" i="21"/>
  <c r="U3" i="21"/>
  <c r="W2" i="21"/>
  <c r="V2" i="21"/>
  <c r="U2" i="21"/>
  <c r="BO1" i="21"/>
  <c r="AT1" i="21"/>
  <c r="Y1" i="21"/>
  <c r="E11" i="20"/>
  <c r="E10" i="20"/>
  <c r="E9" i="20"/>
  <c r="E8" i="20"/>
  <c r="E7" i="20"/>
  <c r="B10" i="25" l="1"/>
  <c r="T8" i="25"/>
  <c r="W7" i="25"/>
  <c r="J8" i="25"/>
  <c r="U7" i="25"/>
  <c r="A8" i="25"/>
  <c r="A9" i="25" s="1"/>
  <c r="O8" i="25"/>
  <c r="V7" i="25"/>
  <c r="O6" i="24"/>
  <c r="A6" i="24"/>
  <c r="T7" i="24"/>
  <c r="W4" i="24"/>
  <c r="B7" i="24"/>
  <c r="B8" i="24" s="1"/>
  <c r="J5" i="24"/>
  <c r="V5" i="24" s="1"/>
  <c r="V4" i="24"/>
  <c r="C7" i="24"/>
  <c r="D12" i="24"/>
  <c r="C15" i="24"/>
  <c r="D7" i="24"/>
  <c r="C10" i="24"/>
  <c r="C11" i="24" s="1"/>
  <c r="C12" i="24" s="1"/>
  <c r="D15" i="24"/>
  <c r="C8" i="24"/>
  <c r="C9" i="24" s="1"/>
  <c r="D8" i="24"/>
  <c r="V15" i="23"/>
  <c r="U15" i="23"/>
  <c r="W15" i="23"/>
  <c r="U14" i="23"/>
  <c r="W14" i="23"/>
  <c r="V13" i="23"/>
  <c r="W13" i="23"/>
  <c r="U12" i="23"/>
  <c r="V5" i="23"/>
  <c r="V4" i="23"/>
  <c r="W5" i="23"/>
  <c r="W4" i="23"/>
  <c r="U4" i="23"/>
  <c r="O8" i="23"/>
  <c r="T9" i="23"/>
  <c r="A6" i="23"/>
  <c r="C8" i="23"/>
  <c r="B8" i="23"/>
  <c r="D8" i="23"/>
  <c r="C9" i="23"/>
  <c r="B7" i="23"/>
  <c r="A8" i="23" s="1"/>
  <c r="U5" i="23"/>
  <c r="J6" i="23"/>
  <c r="V4" i="22"/>
  <c r="W4" i="22"/>
  <c r="T8" i="22"/>
  <c r="C8" i="22"/>
  <c r="C9" i="22" s="1"/>
  <c r="O7" i="22"/>
  <c r="B6" i="22"/>
  <c r="C11" i="22"/>
  <c r="U4" i="22"/>
  <c r="J5" i="22"/>
  <c r="V5" i="22" s="1"/>
  <c r="C6" i="22"/>
  <c r="D11" i="22"/>
  <c r="B7" i="22"/>
  <c r="C12" i="22"/>
  <c r="C7" i="22"/>
  <c r="D7" i="22"/>
  <c r="B14" i="21"/>
  <c r="A14" i="21" s="1"/>
  <c r="C14" i="21"/>
  <c r="W13" i="21"/>
  <c r="U13" i="21"/>
  <c r="V13" i="21"/>
  <c r="U12" i="21"/>
  <c r="V12" i="21"/>
  <c r="W12" i="21"/>
  <c r="A12" i="21"/>
  <c r="B12" i="21"/>
  <c r="C12" i="21"/>
  <c r="J8" i="21"/>
  <c r="V5" i="21"/>
  <c r="O9" i="21"/>
  <c r="T6" i="21"/>
  <c r="U5" i="21"/>
  <c r="W5" i="21"/>
  <c r="B6" i="21"/>
  <c r="A6" i="21" s="1"/>
  <c r="A5" i="21"/>
  <c r="B5" i="21"/>
  <c r="C10" i="21"/>
  <c r="D5" i="21"/>
  <c r="U4" i="21"/>
  <c r="C6" i="21"/>
  <c r="C7" i="21" s="1"/>
  <c r="V4" i="21"/>
  <c r="C9" i="21"/>
  <c r="W4" i="21"/>
  <c r="D9" i="21"/>
  <c r="E6" i="20"/>
  <c r="W4" i="20"/>
  <c r="V4" i="20"/>
  <c r="U4" i="20"/>
  <c r="U3" i="20"/>
  <c r="V3" i="20"/>
  <c r="W3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C9" i="20"/>
  <c r="D9" i="20"/>
  <c r="D8" i="20"/>
  <c r="C8" i="20"/>
  <c r="D7" i="20"/>
  <c r="D6" i="20"/>
  <c r="T5" i="20"/>
  <c r="T6" i="20" s="1"/>
  <c r="C5" i="20"/>
  <c r="D5" i="20"/>
  <c r="T4" i="20"/>
  <c r="O4" i="20"/>
  <c r="O5" i="20" s="1"/>
  <c r="J4" i="20"/>
  <c r="W2" i="20"/>
  <c r="V2" i="20"/>
  <c r="U2" i="20"/>
  <c r="BO1" i="20"/>
  <c r="AT1" i="20"/>
  <c r="Y1" i="20"/>
  <c r="E9" i="19"/>
  <c r="E8" i="19"/>
  <c r="E7" i="19"/>
  <c r="E6" i="19"/>
  <c r="E5" i="19"/>
  <c r="B11" i="25" l="1"/>
  <c r="A11" i="25" s="1"/>
  <c r="O9" i="25"/>
  <c r="V8" i="25"/>
  <c r="A10" i="25"/>
  <c r="J9" i="25"/>
  <c r="U8" i="25"/>
  <c r="T9" i="25"/>
  <c r="W8" i="25"/>
  <c r="B9" i="24"/>
  <c r="O7" i="24"/>
  <c r="V6" i="24"/>
  <c r="A7" i="24"/>
  <c r="A8" i="24" s="1"/>
  <c r="A9" i="24" s="1"/>
  <c r="T8" i="24"/>
  <c r="W5" i="24"/>
  <c r="J6" i="24"/>
  <c r="U5" i="24"/>
  <c r="A7" i="23"/>
  <c r="B9" i="23"/>
  <c r="W6" i="23"/>
  <c r="J7" i="23"/>
  <c r="U6" i="23"/>
  <c r="V6" i="23"/>
  <c r="T10" i="23"/>
  <c r="O9" i="23"/>
  <c r="T9" i="22"/>
  <c r="B8" i="22"/>
  <c r="A6" i="22"/>
  <c r="A7" i="22" s="1"/>
  <c r="O8" i="22"/>
  <c r="J6" i="22"/>
  <c r="U5" i="22"/>
  <c r="W5" i="22"/>
  <c r="T7" i="21"/>
  <c r="V6" i="21"/>
  <c r="W6" i="21"/>
  <c r="J9" i="21"/>
  <c r="O10" i="21"/>
  <c r="U6" i="21"/>
  <c r="B7" i="21"/>
  <c r="A7" i="21" s="1"/>
  <c r="V11" i="20"/>
  <c r="W11" i="20"/>
  <c r="V10" i="20"/>
  <c r="W10" i="20"/>
  <c r="O6" i="20"/>
  <c r="T7" i="20"/>
  <c r="C7" i="20"/>
  <c r="B5" i="20"/>
  <c r="A5" i="20" s="1"/>
  <c r="B6" i="20"/>
  <c r="J5" i="20"/>
  <c r="U5" i="20" s="1"/>
  <c r="C6" i="20"/>
  <c r="W3" i="19"/>
  <c r="V3" i="19"/>
  <c r="U3" i="19"/>
  <c r="T10" i="25" l="1"/>
  <c r="W9" i="25"/>
  <c r="J10" i="25"/>
  <c r="U9" i="25"/>
  <c r="V9" i="25"/>
  <c r="O10" i="25"/>
  <c r="J7" i="24"/>
  <c r="U6" i="24"/>
  <c r="W6" i="24"/>
  <c r="O8" i="24"/>
  <c r="V7" i="24"/>
  <c r="A10" i="24"/>
  <c r="B10" i="24"/>
  <c r="T9" i="24"/>
  <c r="B10" i="23"/>
  <c r="A9" i="23"/>
  <c r="O10" i="23"/>
  <c r="T11" i="23"/>
  <c r="J8" i="23"/>
  <c r="U7" i="23"/>
  <c r="V7" i="23"/>
  <c r="W7" i="23"/>
  <c r="A8" i="22"/>
  <c r="U6" i="22"/>
  <c r="J7" i="22"/>
  <c r="W6" i="22"/>
  <c r="V6" i="22"/>
  <c r="O9" i="22"/>
  <c r="T10" i="22"/>
  <c r="B9" i="22"/>
  <c r="A9" i="22" s="1"/>
  <c r="T8" i="21"/>
  <c r="W7" i="21"/>
  <c r="V7" i="21"/>
  <c r="U7" i="21"/>
  <c r="O11" i="21"/>
  <c r="B8" i="21"/>
  <c r="A8" i="21" s="1"/>
  <c r="J10" i="21"/>
  <c r="W5" i="20"/>
  <c r="V5" i="20"/>
  <c r="O7" i="20"/>
  <c r="B7" i="20"/>
  <c r="A7" i="20" s="1"/>
  <c r="J6" i="20"/>
  <c r="T8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1" i="25" l="1"/>
  <c r="W10" i="25"/>
  <c r="O11" i="25"/>
  <c r="V10" i="25"/>
  <c r="J11" i="25"/>
  <c r="U10" i="25"/>
  <c r="T10" i="24"/>
  <c r="A11" i="24"/>
  <c r="B11" i="24"/>
  <c r="O9" i="24"/>
  <c r="J8" i="24"/>
  <c r="U7" i="24"/>
  <c r="W7" i="24"/>
  <c r="U8" i="23"/>
  <c r="J9" i="23"/>
  <c r="W8" i="23"/>
  <c r="V8" i="23"/>
  <c r="O11" i="23"/>
  <c r="B11" i="23"/>
  <c r="A10" i="23"/>
  <c r="T11" i="22"/>
  <c r="J8" i="22"/>
  <c r="U7" i="22"/>
  <c r="W7" i="22"/>
  <c r="V7" i="22"/>
  <c r="O10" i="22"/>
  <c r="B10" i="22"/>
  <c r="J11" i="21"/>
  <c r="T9" i="21"/>
  <c r="W8" i="21"/>
  <c r="U8" i="21"/>
  <c r="V8" i="21"/>
  <c r="B9" i="21"/>
  <c r="A9" i="21" s="1"/>
  <c r="U6" i="20"/>
  <c r="W6" i="20"/>
  <c r="V6" i="20"/>
  <c r="O8" i="20"/>
  <c r="J7" i="20"/>
  <c r="V7" i="20" s="1"/>
  <c r="T9" i="20"/>
  <c r="B8" i="20"/>
  <c r="V9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11" i="25" l="1"/>
  <c r="W11" i="25"/>
  <c r="V11" i="25"/>
  <c r="J9" i="24"/>
  <c r="U8" i="24"/>
  <c r="W8" i="24"/>
  <c r="V8" i="24"/>
  <c r="O10" i="24"/>
  <c r="A12" i="24"/>
  <c r="B12" i="24"/>
  <c r="T11" i="24"/>
  <c r="A11" i="23"/>
  <c r="J10" i="23"/>
  <c r="U9" i="23"/>
  <c r="W9" i="23"/>
  <c r="V9" i="23"/>
  <c r="B11" i="22"/>
  <c r="A10" i="22"/>
  <c r="T12" i="22"/>
  <c r="O11" i="22"/>
  <c r="J9" i="22"/>
  <c r="U8" i="22"/>
  <c r="W8" i="22"/>
  <c r="V8" i="22"/>
  <c r="B10" i="21"/>
  <c r="T10" i="21"/>
  <c r="W9" i="21"/>
  <c r="V9" i="21"/>
  <c r="U9" i="21"/>
  <c r="U7" i="20"/>
  <c r="W7" i="20"/>
  <c r="J8" i="20"/>
  <c r="W8" i="20" s="1"/>
  <c r="O9" i="20"/>
  <c r="B9" i="20"/>
  <c r="A9" i="20" s="1"/>
  <c r="A8" i="20"/>
  <c r="W5" i="19"/>
  <c r="V5" i="19"/>
  <c r="U5" i="19"/>
  <c r="T12" i="24" l="1"/>
  <c r="J10" i="24"/>
  <c r="V10" i="24" s="1"/>
  <c r="U9" i="24"/>
  <c r="W9" i="24"/>
  <c r="B13" i="24"/>
  <c r="O11" i="24"/>
  <c r="V9" i="24"/>
  <c r="J11" i="23"/>
  <c r="U10" i="23"/>
  <c r="W10" i="23"/>
  <c r="V10" i="23"/>
  <c r="A11" i="22"/>
  <c r="B12" i="22"/>
  <c r="A12" i="22" s="1"/>
  <c r="J10" i="22"/>
  <c r="U9" i="22"/>
  <c r="W9" i="22"/>
  <c r="V9" i="22"/>
  <c r="O12" i="22"/>
  <c r="T13" i="22"/>
  <c r="B11" i="21"/>
  <c r="A11" i="21" s="1"/>
  <c r="A10" i="21"/>
  <c r="W10" i="21"/>
  <c r="T11" i="21"/>
  <c r="U10" i="21"/>
  <c r="V10" i="21"/>
  <c r="V9" i="20"/>
  <c r="V8" i="20"/>
  <c r="U8" i="20"/>
  <c r="J9" i="20"/>
  <c r="W9" i="20" s="1"/>
  <c r="T13" i="24" l="1"/>
  <c r="O12" i="24"/>
  <c r="J11" i="24"/>
  <c r="U10" i="24"/>
  <c r="W10" i="24"/>
  <c r="B14" i="24"/>
  <c r="A13" i="24"/>
  <c r="U11" i="23"/>
  <c r="W11" i="23"/>
  <c r="V11" i="23"/>
  <c r="B13" i="22"/>
  <c r="A13" i="22" s="1"/>
  <c r="O13" i="22"/>
  <c r="J11" i="22"/>
  <c r="U10" i="22"/>
  <c r="W10" i="22"/>
  <c r="V10" i="22"/>
  <c r="W11" i="21"/>
  <c r="V11" i="21"/>
  <c r="U11" i="21"/>
  <c r="U9" i="20"/>
  <c r="B15" i="24" l="1"/>
  <c r="A15" i="24"/>
  <c r="T14" i="24"/>
  <c r="A14" i="24"/>
  <c r="O13" i="24"/>
  <c r="V12" i="24"/>
  <c r="J12" i="24"/>
  <c r="U11" i="24"/>
  <c r="W11" i="24"/>
  <c r="V11" i="24"/>
  <c r="U11" i="22"/>
  <c r="J12" i="22"/>
  <c r="W11" i="22"/>
  <c r="V11" i="22"/>
  <c r="J13" i="24" l="1"/>
  <c r="U12" i="24"/>
  <c r="W12" i="24"/>
  <c r="O14" i="24"/>
  <c r="T15" i="24"/>
  <c r="J13" i="22"/>
  <c r="U12" i="22"/>
  <c r="W12" i="22"/>
  <c r="V12" i="22"/>
  <c r="J14" i="24" l="1"/>
  <c r="U13" i="24"/>
  <c r="W13" i="24"/>
  <c r="V13" i="24"/>
  <c r="O15" i="24"/>
  <c r="V14" i="24"/>
  <c r="U13" i="22"/>
  <c r="W13" i="22"/>
  <c r="V13" i="22"/>
  <c r="U14" i="24" l="1"/>
  <c r="J15" i="24"/>
  <c r="V15" i="24" s="1"/>
  <c r="W14" i="24"/>
  <c r="U15" i="24" l="1"/>
  <c r="W15" i="24"/>
</calcChain>
</file>

<file path=xl/sharedStrings.xml><?xml version="1.0" encoding="utf-8"?>
<sst xmlns="http://schemas.openxmlformats.org/spreadsheetml/2006/main" count="1172" uniqueCount="211">
  <si>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</si>
  <si>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</si>
  <si>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</si>
  <si>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</si>
  <si>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</si>
  <si>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</si>
  <si>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</si>
  <si>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</si>
  <si>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</si>
  <si>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</si>
  <si>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</si>
  <si>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</si>
  <si>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</si>
  <si>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</si>
  <si>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</si>
  <si>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</si>
  <si>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</si>
  <si>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</si>
  <si>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</si>
  <si>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</si>
  <si>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</si>
  <si>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</si>
  <si>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</si>
  <si>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</si>
  <si>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</si>
  <si>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</si>
  <si>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</si>
  <si>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</si>
  <si>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</si>
  <si>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</si>
  <si>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</si>
  <si>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</si>
  <si>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</si>
  <si>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</si>
  <si>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</si>
  <si>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</si>
  <si>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</si>
  <si>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</si>
  <si>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</si>
  <si>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</si>
  <si>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</si>
  <si>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</si>
  <si>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</si>
  <si>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</si>
  <si>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</si>
  <si>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</si>
  <si>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</si>
  <si>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</si>
  <si>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</si>
  <si>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</si>
  <si>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</si>
  <si>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</si>
  <si>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</si>
  <si>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</si>
  <si>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</si>
  <si>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</si>
  <si>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</si>
  <si>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</si>
  <si>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</si>
  <si>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</si>
  <si>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</si>
  <si>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</si>
  <si>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</si>
  <si>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</si>
  <si>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</si>
  <si>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</si>
  <si>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</si>
  <si>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</si>
  <si>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</si>
  <si>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</si>
  <si>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</si>
  <si>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</si>
  <si>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</si>
  <si>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</si>
  <si>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</si>
  <si>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</si>
  <si>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</si>
  <si>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</si>
  <si>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</si>
  <si>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</si>
  <si>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</si>
  <si>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</si>
  <si>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</si>
  <si>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</si>
  <si>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</si>
  <si>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</si>
  <si>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</si>
  <si>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</si>
  <si>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</si>
  <si>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</si>
  <si>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</si>
  <si>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</si>
  <si>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</si>
  <si>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</si>
  <si>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</si>
  <si>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</si>
  <si>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</si>
  <si>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</si>
  <si>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</si>
  <si>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</si>
  <si>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</si>
  <si>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</si>
  <si>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</si>
  <si>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</si>
  <si>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</si>
  <si>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</si>
  <si>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</si>
  <si>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</si>
  <si>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</si>
  <si>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</si>
  <si>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</si>
  <si>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</si>
  <si>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</si>
  <si>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</si>
  <si>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</si>
  <si>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</si>
  <si>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</si>
  <si>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</si>
  <si>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</si>
  <si>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</si>
  <si>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</si>
  <si>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</si>
  <si>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</si>
  <si>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</si>
  <si>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</si>
  <si>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</si>
  <si>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</si>
  <si>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</si>
  <si>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</si>
  <si>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</si>
  <si>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</si>
  <si>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</si>
  <si>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</si>
  <si>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</si>
  <si>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</si>
  <si>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</si>
  <si>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</si>
  <si>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</si>
  <si>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</si>
  <si>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</si>
  <si>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</si>
  <si>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</si>
  <si>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</si>
  <si>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</si>
  <si>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</si>
  <si>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</si>
  <si>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</si>
  <si>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</si>
  <si>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</si>
  <si>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</si>
  <si>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</si>
  <si>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</si>
  <si>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</si>
  <si>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</si>
  <si>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</si>
  <si>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</si>
  <si>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</si>
  <si>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</si>
  <si>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</si>
  <si>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</si>
  <si>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</si>
  <si>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</si>
  <si>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</si>
  <si>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</si>
  <si>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</si>
  <si>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</si>
  <si>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</si>
  <si>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</si>
  <si>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</si>
  <si>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</si>
  <si>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</si>
  <si>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</si>
  <si>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</si>
  <si>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</si>
  <si>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</si>
  <si>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</si>
  <si>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</si>
  <si>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</si>
  <si>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</si>
  <si>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</si>
  <si>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</si>
  <si>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</si>
  <si>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</si>
  <si>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</si>
  <si>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</si>
  <si>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</si>
  <si>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</si>
  <si>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</si>
  <si>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</si>
  <si>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</si>
  <si>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</si>
  <si>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</si>
  <si>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だいち</t>
  </si>
  <si>
    <t>だいち</t>
    <phoneticPr fontId="1"/>
  </si>
  <si>
    <t>れんたろう</t>
  </si>
  <si>
    <t>れんたろう</t>
    <phoneticPr fontId="1"/>
  </si>
  <si>
    <t>ただ</t>
  </si>
  <si>
    <t>ただ</t>
    <phoneticPr fontId="1"/>
  </si>
  <si>
    <t>ロン</t>
  </si>
  <si>
    <t>放銃</t>
  </si>
  <si>
    <t>*</t>
  </si>
  <si>
    <t>ツモ支払</t>
  </si>
  <si>
    <t>ツモ</t>
  </si>
  <si>
    <t>01</t>
  </si>
  <si>
    <t>02</t>
  </si>
  <si>
    <t>N</t>
  </si>
  <si>
    <t>T</t>
  </si>
  <si>
    <t>流局</t>
    <phoneticPr fontId="1"/>
  </si>
  <si>
    <t>52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</si>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</sst>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195</v>
      </c>
      <c r="L1" s="78"/>
      <c r="M1" s="78"/>
      <c r="N1" s="79"/>
      <c r="O1" s="80"/>
      <c r="P1" s="77" t="s">
        <v>197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 t="s">
        <v>198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-18</v>
      </c>
      <c r="Y4" s="8"/>
      <c r="Z4" s="34"/>
      <c r="AA4" s="26"/>
      <c r="AB4" s="26">
        <v>1</v>
      </c>
      <c r="AC4" s="26">
        <v>5</v>
      </c>
      <c r="AD4" s="30" t="s">
        <v>200</v>
      </c>
      <c r="AE4" s="40" t="s">
        <v>104</v>
      </c>
      <c r="AF4" s="41" t="s">
        <v>86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201</v>
      </c>
      <c r="G5" s="9">
        <v>-7500</v>
      </c>
      <c r="H5" s="9"/>
      <c r="I5" s="48">
        <v>0</v>
      </c>
      <c r="J5" s="21">
        <f t="shared" ref="J5:J30" si="2">IF(COUNTA($F5,$K5,$P5)&gt;0,J4+SUM(G5:I5),"")</f>
        <v>35500</v>
      </c>
      <c r="K5" s="8" t="s">
        <v>202</v>
      </c>
      <c r="L5" s="9">
        <v>12000</v>
      </c>
      <c r="M5" s="9"/>
      <c r="N5" s="48">
        <v>0</v>
      </c>
      <c r="O5" s="21">
        <f t="shared" ref="O5:O30" si="3">IF(COUNTA($F5,$K5,$P5)&gt;0,O4+SUM(L5:N5),"")</f>
        <v>47000</v>
      </c>
      <c r="P5" s="8" t="s">
        <v>201</v>
      </c>
      <c r="Q5" s="9">
        <v>-4500</v>
      </c>
      <c r="R5" s="9"/>
      <c r="S5" s="48">
        <v>0</v>
      </c>
      <c r="T5" s="21">
        <f t="shared" ref="T5:T30" si="4">IF(COUNTA($F5,$K5,$P5)&gt;0,T4+SUM(Q5:S5),"")</f>
        <v>22500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-22.5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200</v>
      </c>
      <c r="AZ5" s="40" t="s">
        <v>203</v>
      </c>
      <c r="BA5" s="41" t="s">
        <v>83</v>
      </c>
      <c r="BB5" s="41" t="s">
        <v>85</v>
      </c>
      <c r="BC5" s="41" t="s">
        <v>82</v>
      </c>
      <c r="BD5" s="41" t="s">
        <v>204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199</v>
      </c>
      <c r="G6" s="9">
        <v>-3200</v>
      </c>
      <c r="H6" s="9"/>
      <c r="I6" s="48">
        <v>0</v>
      </c>
      <c r="J6" s="21">
        <f t="shared" si="2"/>
        <v>32300</v>
      </c>
      <c r="K6" s="8"/>
      <c r="L6" s="9"/>
      <c r="M6" s="9"/>
      <c r="N6" s="48"/>
      <c r="O6" s="21">
        <f t="shared" si="3"/>
        <v>47000</v>
      </c>
      <c r="P6" s="8" t="s">
        <v>198</v>
      </c>
      <c r="Q6" s="9">
        <v>3200</v>
      </c>
      <c r="R6" s="9"/>
      <c r="S6" s="48">
        <v>0</v>
      </c>
      <c r="T6" s="21">
        <f t="shared" si="4"/>
        <v>25700</v>
      </c>
      <c r="U6" s="53">
        <f>IF($J6="","",ROUND(($J6-$J$3)/1000,1)+(_xlfn.RANK.AVG($J6,($J6,$O6,$T6),1)-2)*10)</f>
        <v>-2.7</v>
      </c>
      <c r="V6" s="54">
        <f>IF($O6="","",ROUND(($O6-$O$3)/1000,1)+(_xlfn.RANK.AVG($O6,($J6,$O6,$T6),1)-2)*10)</f>
        <v>22</v>
      </c>
      <c r="W6" s="55">
        <f>IF($T6="","",ROUND(($T6-$T$3)/1000,1)+(_xlfn.RANK.AVG($T6,($J6,$O6,$T6),1)-2)*10)</f>
        <v>-19.3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25</v>
      </c>
      <c r="BU6" s="40" t="s">
        <v>203</v>
      </c>
      <c r="BV6" s="41" t="s">
        <v>101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198</v>
      </c>
      <c r="G7" s="9">
        <v>8000</v>
      </c>
      <c r="H7" s="9"/>
      <c r="I7" s="48">
        <v>0</v>
      </c>
      <c r="J7" s="21">
        <f t="shared" si="2"/>
        <v>40300</v>
      </c>
      <c r="K7" s="8"/>
      <c r="L7" s="9"/>
      <c r="M7" s="9"/>
      <c r="N7" s="48"/>
      <c r="O7" s="21">
        <f t="shared" si="3"/>
        <v>47000</v>
      </c>
      <c r="P7" s="8" t="s">
        <v>199</v>
      </c>
      <c r="Q7" s="9">
        <v>-8000</v>
      </c>
      <c r="R7" s="9"/>
      <c r="S7" s="48">
        <v>0</v>
      </c>
      <c r="T7" s="21">
        <f t="shared" si="4"/>
        <v>17700</v>
      </c>
      <c r="U7" s="53">
        <f>IF($J7="","",ROUND(($J7-$J$3)/1000,1)+(_xlfn.RANK.AVG($J7,($J7,$O7,$T7),1)-2)*10)</f>
        <v>5.3</v>
      </c>
      <c r="V7" s="54">
        <f>IF($O7="","",ROUND(($O7-$O$3)/1000,1)+(_xlfn.RANK.AVG($O7,($J7,$O7,$T7),1)-2)*10)</f>
        <v>22</v>
      </c>
      <c r="W7" s="55">
        <f>IF($T7="","",ROUND(($T7-$T$3)/1000,1)+(_xlfn.RANK.AVG($T7,($J7,$O7,$T7),1)-2)*10)</f>
        <v>-27.3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203</v>
      </c>
      <c r="AF7" s="41" t="s">
        <v>85</v>
      </c>
      <c r="AG7" s="41" t="s">
        <v>79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201</v>
      </c>
      <c r="G8" s="9">
        <v>-2500</v>
      </c>
      <c r="H8" s="9">
        <v>-1000</v>
      </c>
      <c r="I8" s="48">
        <v>0</v>
      </c>
      <c r="J8" s="21">
        <f t="shared" si="2"/>
        <v>36800</v>
      </c>
      <c r="K8" s="8" t="s">
        <v>201</v>
      </c>
      <c r="L8" s="9">
        <v>-1500</v>
      </c>
      <c r="M8" s="9"/>
      <c r="N8" s="48">
        <v>0</v>
      </c>
      <c r="O8" s="21">
        <f t="shared" si="3"/>
        <v>45500</v>
      </c>
      <c r="P8" s="8" t="s">
        <v>202</v>
      </c>
      <c r="Q8" s="9">
        <v>4000</v>
      </c>
      <c r="R8" s="9">
        <v>1000</v>
      </c>
      <c r="S8" s="48">
        <v>0</v>
      </c>
      <c r="T8" s="21">
        <f t="shared" si="4"/>
        <v>22700</v>
      </c>
      <c r="U8" s="53">
        <f>IF($J8="","",ROUND(($J8-$J$3)/1000,1)+(_xlfn.RANK.AVG($J8,($J8,$O8,$T8),1)-2)*10)</f>
        <v>1.8</v>
      </c>
      <c r="V8" s="54">
        <f>IF($O8="","",ROUND(($O8-$O$3)/1000,1)+(_xlfn.RANK.AVG($O8,($J8,$O8,$T8),1)-2)*10)</f>
        <v>20.5</v>
      </c>
      <c r="W8" s="55">
        <f>IF($T8="","",ROUND(($T8-$T$3)/1000,1)+(_xlfn.RANK.AVG($T8,($J8,$O8,$T8),1)-2)*10)</f>
        <v>-22.3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203</v>
      </c>
      <c r="BV8" s="41" t="s">
        <v>82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207</v>
      </c>
      <c r="G9" s="9">
        <v>-3000</v>
      </c>
      <c r="H9" s="9"/>
      <c r="I9" s="48"/>
      <c r="J9" s="21">
        <f t="shared" si="2"/>
        <v>33800</v>
      </c>
      <c r="K9" s="8" t="s">
        <v>207</v>
      </c>
      <c r="L9" s="9">
        <v>1500</v>
      </c>
      <c r="M9" s="9">
        <v>2000</v>
      </c>
      <c r="N9" s="48"/>
      <c r="O9" s="21">
        <f t="shared" si="3"/>
        <v>49000</v>
      </c>
      <c r="P9" s="8" t="s">
        <v>207</v>
      </c>
      <c r="Q9" s="9">
        <v>1500</v>
      </c>
      <c r="R9" s="9">
        <v>-2000</v>
      </c>
      <c r="S9" s="48"/>
      <c r="T9" s="21">
        <f t="shared" si="4"/>
        <v>22200</v>
      </c>
      <c r="U9" s="53">
        <f>IF($J9="","",ROUND(($J9-$J$3)/1000,1)+(_xlfn.RANK.AVG($J9,($J9,$O9,$T9),1)-2)*10)</f>
        <v>-1.2</v>
      </c>
      <c r="V9" s="54">
        <f>IF($O9="","",ROUND(($O9-$O$3)/1000,1)+(_xlfn.RANK.AVG($O9,($J9,$O9,$T9),1)-2)*10)</f>
        <v>24</v>
      </c>
      <c r="W9" s="55">
        <f>IF($T9="","",ROUND(($T9-$T$3)/1000,1)+(_xlfn.RANK.AVG($T9,($J9,$O9,$T9),1)-2)*10)</f>
        <v>-22.8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206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4A8D365-58E0-4A5E-B53E-0E8A6290A4FC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7AEAA-F79B-4495-AA16-FD5C48FA44D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195</v>
      </c>
      <c r="L1" s="78"/>
      <c r="M1" s="78"/>
      <c r="N1" s="79"/>
      <c r="O1" s="80"/>
      <c r="P1" s="77" t="s">
        <v>197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201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 t="s">
        <v>201</v>
      </c>
      <c r="L4" s="9">
        <v>-4800</v>
      </c>
      <c r="M4" s="9"/>
      <c r="N4" s="48">
        <v>0</v>
      </c>
      <c r="O4" s="21">
        <f>IF(COUNTA($F4,$K4,$P4)&gt;0,O3+SUM(L4:N4),"")</f>
        <v>30200</v>
      </c>
      <c r="P4" s="8" t="s">
        <v>202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IF($J4="","",ROUND(($J4-$J$3)/1000,1)+(_xlfn.RANK.AVG($J4,($J4,$O4,$T4),1)-2)*20)</f>
        <v>-2.9</v>
      </c>
      <c r="V4" s="54">
        <f>IF($O4="","",ROUND(($O4-$O$3)/1000,1)+(_xlfn.RANK.AVG($O4,($J4,$O4,$T4),1)-2)*20)</f>
        <v>-24.8</v>
      </c>
      <c r="W4" s="55">
        <f>IF($T4="","",ROUND(($T4-$T$3)/1000,1)+(_xlfn.RANK.AVG($T4,($J4,$O4,$T4),1)-2)*20)</f>
        <v>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203</v>
      </c>
      <c r="BV4" s="41" t="s">
        <v>82</v>
      </c>
      <c r="BW4" s="41" t="s">
        <v>208</v>
      </c>
      <c r="BX4" s="41" t="s">
        <v>204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ただ</v>
      </c>
      <c r="F5" s="8" t="s">
        <v>198</v>
      </c>
      <c r="G5" s="9">
        <v>2600</v>
      </c>
      <c r="H5" s="9"/>
      <c r="I5" s="48">
        <v>0</v>
      </c>
      <c r="J5" s="21">
        <f t="shared" ref="J5:J30" si="2">IF(COUNTA($F5,$K5,$P5)&gt;0,J4+SUM(G5:I5),"")</f>
        <v>34700</v>
      </c>
      <c r="K5" s="8"/>
      <c r="L5" s="9"/>
      <c r="M5" s="9"/>
      <c r="N5" s="48"/>
      <c r="O5" s="21">
        <f t="shared" ref="O5:O30" si="3">IF(COUNTA($F5,$K5,$P5)&gt;0,O4+SUM(L5:N5),"")</f>
        <v>30200</v>
      </c>
      <c r="P5" s="8" t="s">
        <v>199</v>
      </c>
      <c r="Q5" s="9">
        <v>-2600</v>
      </c>
      <c r="R5" s="9"/>
      <c r="S5" s="48">
        <v>0</v>
      </c>
      <c r="T5" s="21">
        <f t="shared" ref="T5:T30" si="4">IF(COUNTA($F5,$K5,$P5)&gt;0,T4+SUM(Q5:S5),"")</f>
        <v>40100</v>
      </c>
      <c r="U5" s="53">
        <f>IF($J5="","",ROUND(($J5-$J$3)/1000,1)+(_xlfn.RANK.AVG($J5,($J5,$O5,$T5),1)-2)*20)</f>
        <v>-0.3</v>
      </c>
      <c r="V5" s="54">
        <f>IF($O5="","",ROUND(($O5-$O$3)/1000,1)+(_xlfn.RANK.AVG($O5,($J5,$O5,$T5),1)-2)*20)</f>
        <v>-24.8</v>
      </c>
      <c r="W5" s="55">
        <f>IF($T5="","",ROUND(($T5-$T$3)/1000,1)+(_xlfn.RANK.AVG($T5,($J5,$O5,$T5),1)-2)*20)</f>
        <v>25.1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203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198</v>
      </c>
      <c r="G6" s="9">
        <v>18000</v>
      </c>
      <c r="H6" s="9"/>
      <c r="I6" s="48">
        <v>0</v>
      </c>
      <c r="J6" s="21">
        <f t="shared" si="2"/>
        <v>52700</v>
      </c>
      <c r="K6" s="8"/>
      <c r="L6" s="9"/>
      <c r="M6" s="9"/>
      <c r="N6" s="48"/>
      <c r="O6" s="21">
        <f t="shared" si="3"/>
        <v>30200</v>
      </c>
      <c r="P6" s="8" t="s">
        <v>199</v>
      </c>
      <c r="Q6" s="9">
        <v>-18000</v>
      </c>
      <c r="R6" s="9"/>
      <c r="S6" s="48">
        <v>0</v>
      </c>
      <c r="T6" s="21">
        <f t="shared" si="4"/>
        <v>22100</v>
      </c>
      <c r="U6" s="53">
        <f>IF($J6="","",ROUND(($J6-$J$3)/1000,1)+(_xlfn.RANK.AVG($J6,($J6,$O6,$T6),1)-2)*20)</f>
        <v>37.700000000000003</v>
      </c>
      <c r="V6" s="54">
        <f>IF($O6="","",ROUND(($O6-$O$3)/1000,1)+(_xlfn.RANK.AVG($O6,($J6,$O6,$T6),1)-2)*20)</f>
        <v>-4.8</v>
      </c>
      <c r="W6" s="55">
        <f>IF($T6="","",ROUND(($T6-$T$3)/1000,1)+(_xlfn.RANK.AVG($T6,($J6,$O6,$T6),1)-2)*20)</f>
        <v>-32.9</v>
      </c>
      <c r="Y6" s="8"/>
      <c r="Z6" s="34"/>
      <c r="AA6" s="26">
        <v>1</v>
      </c>
      <c r="AB6" s="26"/>
      <c r="AC6" s="26">
        <v>7</v>
      </c>
      <c r="AD6" s="30" t="s">
        <v>200</v>
      </c>
      <c r="AE6" s="40" t="s">
        <v>104</v>
      </c>
      <c r="AF6" s="41" t="s">
        <v>86</v>
      </c>
      <c r="AG6" s="41" t="s">
        <v>79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IF($F$1="","",$F$1)</f>
        <v>だいち</v>
      </c>
      <c r="F7" s="8" t="s">
        <v>201</v>
      </c>
      <c r="G7" s="9">
        <v>-10000</v>
      </c>
      <c r="H7" s="9">
        <v>-1000</v>
      </c>
      <c r="I7" s="48">
        <v>-500</v>
      </c>
      <c r="J7" s="21">
        <f t="shared" si="2"/>
        <v>41200</v>
      </c>
      <c r="K7" s="8" t="s">
        <v>201</v>
      </c>
      <c r="L7" s="9">
        <v>-6000</v>
      </c>
      <c r="M7" s="9"/>
      <c r="N7" s="48">
        <v>-500</v>
      </c>
      <c r="O7" s="21">
        <f t="shared" si="3"/>
        <v>23700</v>
      </c>
      <c r="P7" s="8" t="s">
        <v>202</v>
      </c>
      <c r="Q7" s="9">
        <v>16000</v>
      </c>
      <c r="R7" s="9">
        <v>1000</v>
      </c>
      <c r="S7" s="48">
        <v>1000</v>
      </c>
      <c r="T7" s="21">
        <f t="shared" si="4"/>
        <v>40100</v>
      </c>
      <c r="U7" s="53">
        <f>IF($J7="","",ROUND(($J7-$J$3)/1000,1)+(_xlfn.RANK.AVG($J7,($J7,$O7,$T7),1)-2)*20)</f>
        <v>26.2</v>
      </c>
      <c r="V7" s="54">
        <f>IF($O7="","",ROUND(($O7-$O$3)/1000,1)+(_xlfn.RANK.AVG($O7,($J7,$O7,$T7),1)-2)*20)</f>
        <v>-31.3</v>
      </c>
      <c r="W7" s="55">
        <f>IF($T7="","",ROUND(($T7-$T$3)/1000,1)+(_xlfn.RANK.AVG($T7,($J7,$O7,$T7),1)-2)*20)</f>
        <v>5.0999999999999996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9</v>
      </c>
      <c r="BT7" s="30" t="s">
        <v>200</v>
      </c>
      <c r="BU7" s="40" t="s">
        <v>203</v>
      </c>
      <c r="BV7" s="41" t="s">
        <v>82</v>
      </c>
      <c r="BW7" s="41" t="s">
        <v>104</v>
      </c>
      <c r="BX7" s="41" t="s">
        <v>92</v>
      </c>
      <c r="BY7" s="41" t="s">
        <v>86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/>
      <c r="G8" s="9"/>
      <c r="H8" s="9"/>
      <c r="I8" s="48"/>
      <c r="J8" s="21">
        <f t="shared" si="2"/>
        <v>41200</v>
      </c>
      <c r="K8" s="8" t="s">
        <v>198</v>
      </c>
      <c r="L8" s="9">
        <v>3900</v>
      </c>
      <c r="M8" s="9"/>
      <c r="N8" s="48">
        <v>0</v>
      </c>
      <c r="O8" s="21">
        <f t="shared" si="3"/>
        <v>27600</v>
      </c>
      <c r="P8" s="8" t="s">
        <v>199</v>
      </c>
      <c r="Q8" s="9">
        <v>-3900</v>
      </c>
      <c r="R8" s="9"/>
      <c r="S8" s="48">
        <v>0</v>
      </c>
      <c r="T8" s="21">
        <f t="shared" si="4"/>
        <v>36200</v>
      </c>
      <c r="U8" s="53">
        <f>IF($J8="","",ROUND(($J8-$J$3)/1000,1)+(_xlfn.RANK.AVG($J8,($J8,$O8,$T8),1)-2)*20)</f>
        <v>26.2</v>
      </c>
      <c r="V8" s="54">
        <f>IF($O8="","",ROUND(($O8-$O$3)/1000,1)+(_xlfn.RANK.AVG($O8,($J8,$O8,$T8),1)-2)*20)</f>
        <v>-27.4</v>
      </c>
      <c r="W8" s="55">
        <f>IF($T8="","",ROUND(($T8-$T$3)/1000,1)+(_xlfn.RANK.AVG($T8,($J8,$O8,$T8),1)-2)*20)</f>
        <v>1.2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203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IF($K$1="","",$K$1)</f>
        <v>れんたろう</v>
      </c>
      <c r="F9" s="8"/>
      <c r="G9" s="9"/>
      <c r="H9" s="9"/>
      <c r="I9" s="48"/>
      <c r="J9" s="21">
        <f t="shared" si="2"/>
        <v>41200</v>
      </c>
      <c r="K9" s="8" t="s">
        <v>199</v>
      </c>
      <c r="L9" s="9">
        <v>-12000</v>
      </c>
      <c r="M9" s="9"/>
      <c r="N9" s="48">
        <v>-1000</v>
      </c>
      <c r="O9" s="21">
        <f t="shared" si="3"/>
        <v>14600</v>
      </c>
      <c r="P9" s="8" t="s">
        <v>198</v>
      </c>
      <c r="Q9" s="9">
        <v>12000</v>
      </c>
      <c r="R9" s="9"/>
      <c r="S9" s="48">
        <v>1000</v>
      </c>
      <c r="T9" s="21">
        <f t="shared" si="4"/>
        <v>49200</v>
      </c>
      <c r="U9" s="53">
        <f>IF($J9="","",ROUND(($J9-$J$3)/1000,1)+(_xlfn.RANK.AVG($J9,($J9,$O9,$T9),1)-2)*20)</f>
        <v>6.2</v>
      </c>
      <c r="V9" s="54">
        <f>IF($O9="","",ROUND(($O9-$O$3)/1000,1)+(_xlfn.RANK.AVG($O9,($J9,$O9,$T9),1)-2)*20)</f>
        <v>-40.4</v>
      </c>
      <c r="W9" s="55">
        <f>IF($T9="","",ROUND(($T9-$T$3)/1000,1)+(_xlfn.RANK.AVG($T9,($J9,$O9,$T9),1)-2)*20)</f>
        <v>34.200000000000003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6</v>
      </c>
      <c r="BT9" s="30" t="s">
        <v>200</v>
      </c>
      <c r="BU9" s="40" t="s">
        <v>86</v>
      </c>
      <c r="BV9" s="41" t="s">
        <v>86</v>
      </c>
      <c r="BW9" s="41" t="s">
        <v>84</v>
      </c>
      <c r="BX9" s="41" t="s">
        <v>104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ただ</v>
      </c>
      <c r="F10" s="8" t="s">
        <v>198</v>
      </c>
      <c r="G10" s="9">
        <v>5200</v>
      </c>
      <c r="H10" s="9"/>
      <c r="I10" s="48">
        <v>0</v>
      </c>
      <c r="J10" s="21">
        <f t="shared" si="2"/>
        <v>46400</v>
      </c>
      <c r="K10" s="8"/>
      <c r="L10" s="9"/>
      <c r="M10" s="9"/>
      <c r="N10" s="48"/>
      <c r="O10" s="21">
        <f t="shared" si="3"/>
        <v>14600</v>
      </c>
      <c r="P10" s="8" t="s">
        <v>199</v>
      </c>
      <c r="Q10" s="9">
        <v>-5200</v>
      </c>
      <c r="R10" s="9"/>
      <c r="S10" s="48">
        <v>0</v>
      </c>
      <c r="T10" s="21">
        <f t="shared" si="4"/>
        <v>44000</v>
      </c>
      <c r="U10" s="53">
        <f>IF($J10="","",ROUND(($J10-$J$3)/1000,1)+(_xlfn.RANK.AVG($J10,($J10,$O10,$T10),1)-2)*20)</f>
        <v>31.4</v>
      </c>
      <c r="V10" s="54">
        <f>IF($O10="","",ROUND(($O10-$O$3)/1000,1)+(_xlfn.RANK.AVG($O10,($J10,$O10,$T10),1)-2)*20)</f>
        <v>-40.4</v>
      </c>
      <c r="W10" s="55">
        <f>IF($T10="","",ROUND(($T10-$T$3)/1000,1)+(_xlfn.RANK.AVG($T10,($J10,$O10,$T10),1)-2)*20)</f>
        <v>9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86</v>
      </c>
      <c r="AF10" s="41" t="s">
        <v>79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198</v>
      </c>
      <c r="G11" s="9">
        <v>5800</v>
      </c>
      <c r="H11" s="9"/>
      <c r="I11" s="48">
        <v>0</v>
      </c>
      <c r="J11" s="21">
        <f t="shared" si="2"/>
        <v>52200</v>
      </c>
      <c r="K11" s="8"/>
      <c r="L11" s="9"/>
      <c r="M11" s="9"/>
      <c r="N11" s="48"/>
      <c r="O11" s="21">
        <f t="shared" si="3"/>
        <v>14600</v>
      </c>
      <c r="P11" s="8" t="s">
        <v>199</v>
      </c>
      <c r="Q11" s="9">
        <v>-5800</v>
      </c>
      <c r="R11" s="9"/>
      <c r="S11" s="48">
        <v>0</v>
      </c>
      <c r="T11" s="21">
        <f t="shared" si="4"/>
        <v>38200</v>
      </c>
      <c r="U11" s="53">
        <f>IF($J11="","",ROUND(($J11-$J$3)/1000,1)+(_xlfn.RANK.AVG($J11,($J11,$O11,$T11),1)-2)*20)</f>
        <v>37.200000000000003</v>
      </c>
      <c r="V11" s="54">
        <f>IF($O11="","",ROUND(($O11-$O$3)/1000,1)+(_xlfn.RANK.AVG($O11,($J11,$O11,$T11),1)-2)*20)</f>
        <v>-40.4</v>
      </c>
      <c r="W11" s="55">
        <f>IF($T11="","",ROUND(($T11-$T$3)/1000,1)+(_xlfn.RANK.AVG($T11,($J11,$O11,$T11),1)-2)*20)</f>
        <v>3.2</v>
      </c>
      <c r="Y11" s="8"/>
      <c r="Z11" s="34"/>
      <c r="AA11" s="26"/>
      <c r="AB11" s="26"/>
      <c r="AC11" s="26">
        <v>3</v>
      </c>
      <c r="AD11" s="30">
        <v>30</v>
      </c>
      <c r="AE11" s="40" t="s">
        <v>83</v>
      </c>
      <c r="AF11" s="41" t="s">
        <v>79</v>
      </c>
      <c r="AG11" s="41" t="s">
        <v>208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54107631-D53C-444A-9B32-1657860E2BF6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3F542E9B-85E1-4C46-B762-3E91B4CB00EF}">
      <formula1>"ロン,ツモ,放銃,ツモ支払,流局,チョンボ"</formula1>
    </dataValidation>
    <dataValidation type="list" allowBlank="1" showInputMessage="1" showErrorMessage="1" sqref="E4:E30" xr:uid="{405AC8D0-EE4E-4E79-9134-4D7A5A7FC58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F5AF7-3B08-4897-A96B-85A5243B5FB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197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202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 t="s">
        <v>201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201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31.6</v>
      </c>
      <c r="V4" s="54">
        <f>IF($O4="","",ROUND(($O4-$O$3)/1000,1)+(_xlfn.RANK.AVG($O4,($J4,$O4,$T4),1)-2)*20)</f>
        <v>-15.8</v>
      </c>
      <c r="W4" s="55">
        <f>IF($T4="","",ROUND(($T4-$T$3)/1000,1)+(_xlfn.RANK.AVG($T4,($J4,$O4,$T4),1)-2)*20)</f>
        <v>-15.8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203</v>
      </c>
      <c r="AF4" s="41" t="s">
        <v>82</v>
      </c>
      <c r="AG4" s="41" t="s">
        <v>79</v>
      </c>
      <c r="AH4" s="41" t="s">
        <v>208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2">IF(COUNTA($F5,$K5,$P5)&gt;0,J4+SUM(G5:I5),"")</f>
        <v>46600</v>
      </c>
      <c r="K5" s="8" t="s">
        <v>199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16200</v>
      </c>
      <c r="P5" s="8" t="s">
        <v>198</v>
      </c>
      <c r="Q5" s="9">
        <v>12000</v>
      </c>
      <c r="R5" s="9"/>
      <c r="S5" s="48">
        <v>1000</v>
      </c>
      <c r="T5" s="21">
        <f t="shared" ref="T5:T30" si="4">IF(COUNTA($F5,$K5,$P5)&gt;0,T4+SUM(Q5:S5),"")</f>
        <v>42200</v>
      </c>
      <c r="U5" s="53">
        <f>IF($J5="","",ROUND(($J5-$J$3)/1000,1)+(_xlfn.RANK.AVG($J5,($J5,$O5,$T5),1)-2)*20)</f>
        <v>31.6</v>
      </c>
      <c r="V5" s="54">
        <f>IF($O5="","",ROUND(($O5-$O$3)/1000,1)+(_xlfn.RANK.AVG($O5,($J5,$O5,$T5),1)-2)*20)</f>
        <v>-38.799999999999997</v>
      </c>
      <c r="W5" s="55">
        <f>IF($T5="","",ROUND(($T5-$T$3)/1000,1)+(_xlfn.RANK.AVG($T5,($J5,$O5,$T5),1)-2)*20)</f>
        <v>7.2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200</v>
      </c>
      <c r="BU5" s="40" t="s">
        <v>203</v>
      </c>
      <c r="BV5" s="41" t="s">
        <v>82</v>
      </c>
      <c r="BW5" s="41" t="s">
        <v>96</v>
      </c>
      <c r="BX5" s="41" t="s">
        <v>86</v>
      </c>
      <c r="BY5" s="41" t="s">
        <v>208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199</v>
      </c>
      <c r="G6" s="9">
        <v>-8000</v>
      </c>
      <c r="H6" s="9"/>
      <c r="I6" s="48">
        <v>0</v>
      </c>
      <c r="J6" s="21">
        <f t="shared" si="2"/>
        <v>38600</v>
      </c>
      <c r="K6" s="8"/>
      <c r="L6" s="9"/>
      <c r="M6" s="9"/>
      <c r="N6" s="48"/>
      <c r="O6" s="21">
        <f t="shared" si="3"/>
        <v>16200</v>
      </c>
      <c r="P6" s="8" t="s">
        <v>198</v>
      </c>
      <c r="Q6" s="9">
        <v>8000</v>
      </c>
      <c r="R6" s="9"/>
      <c r="S6" s="48">
        <v>0</v>
      </c>
      <c r="T6" s="21">
        <f t="shared" si="4"/>
        <v>50200</v>
      </c>
      <c r="U6" s="53">
        <f>IF($J6="","",ROUND(($J6-$J$3)/1000,1)+(_xlfn.RANK.AVG($J6,($J6,$O6,$T6),1)-2)*20)</f>
        <v>3.6</v>
      </c>
      <c r="V6" s="54">
        <f>IF($O6="","",ROUND(($O6-$O$3)/1000,1)+(_xlfn.RANK.AVG($O6,($J6,$O6,$T6),1)-2)*20)</f>
        <v>-38.799999999999997</v>
      </c>
      <c r="W6" s="55">
        <f>IF($T6="","",ROUND(($T6-$T$3)/1000,1)+(_xlfn.RANK.AVG($T6,($J6,$O6,$T6),1)-2)*20)</f>
        <v>35.200000000000003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200</v>
      </c>
      <c r="BU6" s="40" t="s">
        <v>203</v>
      </c>
      <c r="BV6" s="41" t="s">
        <v>104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201</v>
      </c>
      <c r="G7" s="9">
        <v>-6000</v>
      </c>
      <c r="H7" s="9"/>
      <c r="I7" s="48">
        <v>0</v>
      </c>
      <c r="J7" s="21">
        <f t="shared" si="2"/>
        <v>32600</v>
      </c>
      <c r="K7" s="8" t="s">
        <v>201</v>
      </c>
      <c r="L7" s="9">
        <v>-6000</v>
      </c>
      <c r="M7" s="9"/>
      <c r="N7" s="48">
        <v>0</v>
      </c>
      <c r="O7" s="21">
        <f t="shared" si="3"/>
        <v>10200</v>
      </c>
      <c r="P7" s="8" t="s">
        <v>202</v>
      </c>
      <c r="Q7" s="9">
        <v>12000</v>
      </c>
      <c r="R7" s="9"/>
      <c r="S7" s="48">
        <v>0</v>
      </c>
      <c r="T7" s="21">
        <f t="shared" si="4"/>
        <v>62200</v>
      </c>
      <c r="U7" s="53">
        <f>IF($J7="","",ROUND(($J7-$J$3)/1000,1)+(_xlfn.RANK.AVG($J7,($J7,$O7,$T7),1)-2)*20)</f>
        <v>-2.4</v>
      </c>
      <c r="V7" s="54">
        <f>IF($O7="","",ROUND(($O7-$O$3)/1000,1)+(_xlfn.RANK.AVG($O7,($J7,$O7,$T7),1)-2)*20)</f>
        <v>-44.8</v>
      </c>
      <c r="W7" s="55">
        <f>IF($T7="","",ROUND(($T7-$T$3)/1000,1)+(_xlfn.RANK.AVG($T7,($J7,$O7,$T7),1)-2)*20)</f>
        <v>47.2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200</v>
      </c>
      <c r="BU7" s="40" t="s">
        <v>203</v>
      </c>
      <c r="BV7" s="41" t="s">
        <v>82</v>
      </c>
      <c r="BW7" s="41" t="s">
        <v>79</v>
      </c>
      <c r="BX7" s="41" t="s">
        <v>79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209</v>
      </c>
      <c r="G8" s="9">
        <v>1500</v>
      </c>
      <c r="H8" s="9">
        <v>-1000</v>
      </c>
      <c r="I8" s="48"/>
      <c r="J8" s="21">
        <f t="shared" si="2"/>
        <v>33100</v>
      </c>
      <c r="K8" s="8" t="s">
        <v>209</v>
      </c>
      <c r="L8" s="9">
        <v>1500</v>
      </c>
      <c r="M8" s="9"/>
      <c r="N8" s="48"/>
      <c r="O8" s="21">
        <f t="shared" si="3"/>
        <v>11700</v>
      </c>
      <c r="P8" s="8" t="s">
        <v>209</v>
      </c>
      <c r="Q8" s="9">
        <v>-3000</v>
      </c>
      <c r="R8" s="9"/>
      <c r="S8" s="48"/>
      <c r="T8" s="21">
        <f t="shared" si="4"/>
        <v>59200</v>
      </c>
      <c r="U8" s="53">
        <f>IF($J8="","",ROUND(($J8-$J$3)/1000,1)+(_xlfn.RANK.AVG($J8,($J8,$O8,$T8),1)-2)*20)</f>
        <v>-1.9</v>
      </c>
      <c r="V8" s="54">
        <f>IF($O8="","",ROUND(($O8-$O$3)/1000,1)+(_xlfn.RANK.AVG($O8,($J8,$O8,$T8),1)-2)*20)</f>
        <v>-43.3</v>
      </c>
      <c r="W8" s="55">
        <f>IF($T8="","",ROUND(($T8-$T$3)/1000,1)+(_xlfn.RANK.AVG($T8,($J8,$O8,$T8),1)-2)*20)</f>
        <v>44.2</v>
      </c>
      <c r="Y8" s="8" t="s">
        <v>206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206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1</v>
      </c>
      <c r="E9" s="4" t="str">
        <f>IF($F$1="","",$F$1)</f>
        <v>だいち</v>
      </c>
      <c r="F9" s="8" t="s">
        <v>201</v>
      </c>
      <c r="G9" s="9">
        <v>-7500</v>
      </c>
      <c r="H9" s="9"/>
      <c r="I9" s="48">
        <v>-1000</v>
      </c>
      <c r="J9" s="21">
        <f t="shared" si="2"/>
        <v>24600</v>
      </c>
      <c r="K9" s="8" t="s">
        <v>201</v>
      </c>
      <c r="L9" s="9">
        <v>-4500</v>
      </c>
      <c r="M9" s="9"/>
      <c r="N9" s="48">
        <v>-1000</v>
      </c>
      <c r="O9" s="21">
        <f t="shared" si="3"/>
        <v>6200</v>
      </c>
      <c r="P9" s="8" t="s">
        <v>202</v>
      </c>
      <c r="Q9" s="9">
        <v>12000</v>
      </c>
      <c r="R9" s="9">
        <v>1000</v>
      </c>
      <c r="S9" s="48">
        <v>2000</v>
      </c>
      <c r="T9" s="21">
        <f t="shared" si="4"/>
        <v>74200</v>
      </c>
      <c r="U9" s="53">
        <f>IF($J9="","",ROUND(($J9-$J$3)/1000,1)+(_xlfn.RANK.AVG($J9,($J9,$O9,$T9),1)-2)*20)</f>
        <v>-10.4</v>
      </c>
      <c r="V9" s="54">
        <f>IF($O9="","",ROUND(($O9-$O$3)/1000,1)+(_xlfn.RANK.AVG($O9,($J9,$O9,$T9),1)-2)*20)</f>
        <v>-48.8</v>
      </c>
      <c r="W9" s="55">
        <f>IF($T9="","",ROUND(($T9-$T$3)/1000,1)+(_xlfn.RANK.AVG($T9,($J9,$O9,$T9),1)-2)*20)</f>
        <v>59.2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200</v>
      </c>
      <c r="BU9" s="40" t="s">
        <v>210</v>
      </c>
      <c r="BV9" s="41" t="s">
        <v>83</v>
      </c>
      <c r="BW9" s="41" t="s">
        <v>82</v>
      </c>
      <c r="BX9" s="41" t="s">
        <v>79</v>
      </c>
      <c r="BY9" s="41" t="s">
        <v>208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199</v>
      </c>
      <c r="G10" s="9">
        <v>-12000</v>
      </c>
      <c r="H10" s="9"/>
      <c r="I10" s="48">
        <v>0</v>
      </c>
      <c r="J10" s="21">
        <f t="shared" si="2"/>
        <v>12600</v>
      </c>
      <c r="K10" s="8" t="s">
        <v>198</v>
      </c>
      <c r="L10" s="9">
        <v>12000</v>
      </c>
      <c r="M10" s="9"/>
      <c r="N10" s="48">
        <v>0</v>
      </c>
      <c r="O10" s="21">
        <f t="shared" si="3"/>
        <v>18200</v>
      </c>
      <c r="P10" s="8"/>
      <c r="Q10" s="9"/>
      <c r="R10" s="9"/>
      <c r="S10" s="48"/>
      <c r="T10" s="21">
        <f t="shared" si="4"/>
        <v>74200</v>
      </c>
      <c r="U10" s="53">
        <f>IF($J10="","",ROUND(($J10-$J$3)/1000,1)+(_xlfn.RANK.AVG($J10,($J10,$O10,$T10),1)-2)*20)</f>
        <v>-42.4</v>
      </c>
      <c r="V10" s="54">
        <f>IF($O10="","",ROUND(($O10-$O$3)/1000,1)+(_xlfn.RANK.AVG($O10,($J10,$O10,$T10),1)-2)*20)</f>
        <v>-16.8</v>
      </c>
      <c r="W10" s="55">
        <f>IF($T10="","",ROUND(($T10-$T$3)/1000,1)+(_xlfn.RANK.AVG($T10,($J10,$O10,$T10),1)-2)*20)</f>
        <v>59.2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50</v>
      </c>
      <c r="AZ10" s="40" t="s">
        <v>86</v>
      </c>
      <c r="BA10" s="41" t="s">
        <v>86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ただ</v>
      </c>
      <c r="F11" s="8" t="s">
        <v>201</v>
      </c>
      <c r="G11" s="9">
        <v>-2000</v>
      </c>
      <c r="H11" s="9"/>
      <c r="I11" s="48">
        <v>-500</v>
      </c>
      <c r="J11" s="21">
        <f t="shared" si="2"/>
        <v>10100</v>
      </c>
      <c r="K11" s="8" t="s">
        <v>202</v>
      </c>
      <c r="L11" s="9">
        <v>4000</v>
      </c>
      <c r="M11" s="9">
        <v>1000</v>
      </c>
      <c r="N11" s="48">
        <v>1000</v>
      </c>
      <c r="O11" s="21">
        <f t="shared" si="3"/>
        <v>24200</v>
      </c>
      <c r="P11" s="8" t="s">
        <v>201</v>
      </c>
      <c r="Q11" s="9">
        <v>-2000</v>
      </c>
      <c r="R11" s="9">
        <v>-1000</v>
      </c>
      <c r="S11" s="48">
        <v>-500</v>
      </c>
      <c r="T11" s="21">
        <f t="shared" si="4"/>
        <v>70700</v>
      </c>
      <c r="U11" s="53">
        <f>IF($J11="","",ROUND(($J11-$J$3)/1000,1)+(_xlfn.RANK.AVG($J11,($J11,$O11,$T11),1)-2)*20)</f>
        <v>-44.9</v>
      </c>
      <c r="V11" s="54">
        <f>IF($O11="","",ROUND(($O11-$O$3)/1000,1)+(_xlfn.RANK.AVG($O11,($J11,$O11,$T11),1)-2)*20)</f>
        <v>-10.8</v>
      </c>
      <c r="W11" s="55">
        <f>IF($T11="","",ROUND(($T11-$T$3)/1000,1)+(_xlfn.RANK.AVG($T11,($J11,$O11,$T11),1)-2)*20)</f>
        <v>55.7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40</v>
      </c>
      <c r="AZ11" s="40" t="s">
        <v>86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ただ</v>
      </c>
      <c r="F12" s="8" t="s">
        <v>202</v>
      </c>
      <c r="G12" s="9">
        <v>7700</v>
      </c>
      <c r="H12" s="9"/>
      <c r="I12" s="48">
        <v>2000</v>
      </c>
      <c r="J12" s="21">
        <f t="shared" si="2"/>
        <v>19800</v>
      </c>
      <c r="K12" s="8" t="s">
        <v>201</v>
      </c>
      <c r="L12" s="9">
        <v>-4800</v>
      </c>
      <c r="M12" s="9"/>
      <c r="N12" s="48">
        <v>-1000</v>
      </c>
      <c r="O12" s="21">
        <f t="shared" si="3"/>
        <v>18400</v>
      </c>
      <c r="P12" s="8" t="s">
        <v>201</v>
      </c>
      <c r="Q12" s="9">
        <v>-2900</v>
      </c>
      <c r="R12" s="9"/>
      <c r="S12" s="48">
        <v>-1000</v>
      </c>
      <c r="T12" s="21">
        <f t="shared" si="4"/>
        <v>66800</v>
      </c>
      <c r="U12" s="53">
        <f>IF($J12="","",ROUND(($J12-$J$3)/1000,1)+(_xlfn.RANK.AVG($J12,($J12,$O12,$T12),1)-2)*20)</f>
        <v>-15.2</v>
      </c>
      <c r="V12" s="54">
        <f>IF($O12="","",ROUND(($O12-$O$3)/1000,1)+(_xlfn.RANK.AVG($O12,($J12,$O12,$T12),1)-2)*20)</f>
        <v>-36.6</v>
      </c>
      <c r="W12" s="55">
        <f>IF($T12="","",ROUND(($T12-$T$3)/1000,1)+(_xlfn.RANK.AVG($T12,($J12,$O12,$T12),1)-2)*20)</f>
        <v>51.8</v>
      </c>
      <c r="Y12" s="8"/>
      <c r="Z12" s="34"/>
      <c r="AA12" s="26">
        <v>1</v>
      </c>
      <c r="AB12" s="26"/>
      <c r="AC12" s="26">
        <v>4</v>
      </c>
      <c r="AD12" s="30">
        <v>30</v>
      </c>
      <c r="AE12" s="40" t="s">
        <v>210</v>
      </c>
      <c r="AF12" s="41" t="s">
        <v>82</v>
      </c>
      <c r="AG12" s="41" t="s">
        <v>80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 t="s">
        <v>198</v>
      </c>
      <c r="G13" s="9">
        <v>12000</v>
      </c>
      <c r="H13" s="9">
        <v>1000</v>
      </c>
      <c r="I13" s="48">
        <v>0</v>
      </c>
      <c r="J13" s="21">
        <f t="shared" si="2"/>
        <v>32800</v>
      </c>
      <c r="K13" s="8" t="s">
        <v>199</v>
      </c>
      <c r="L13" s="9">
        <v>-12000</v>
      </c>
      <c r="M13" s="9">
        <v>-1000</v>
      </c>
      <c r="N13" s="48">
        <v>0</v>
      </c>
      <c r="O13" s="21">
        <f t="shared" si="3"/>
        <v>5400</v>
      </c>
      <c r="P13" s="8"/>
      <c r="Q13" s="9"/>
      <c r="R13" s="9"/>
      <c r="S13" s="48"/>
      <c r="T13" s="21">
        <f t="shared" si="4"/>
        <v>66800</v>
      </c>
      <c r="U13" s="53">
        <f>IF($J13="","",ROUND(($J13-$J$3)/1000,1)+(_xlfn.RANK.AVG($J13,($J13,$O13,$T13),1)-2)*20)</f>
        <v>-2.2000000000000002</v>
      </c>
      <c r="V13" s="54">
        <f>IF($O13="","",ROUND(($O13-$O$3)/1000,1)+(_xlfn.RANK.AVG($O13,($J13,$O13,$T13),1)-2)*20)</f>
        <v>-49.6</v>
      </c>
      <c r="W13" s="55">
        <f>IF($T13="","",ROUND(($T13-$T$3)/1000,1)+(_xlfn.RANK.AVG($T13,($J13,$O13,$T13),1)-2)*20)</f>
        <v>51.8</v>
      </c>
      <c r="Y13" s="8"/>
      <c r="Z13" s="34"/>
      <c r="AA13" s="26">
        <v>1</v>
      </c>
      <c r="AB13" s="26"/>
      <c r="AC13" s="26">
        <v>6</v>
      </c>
      <c r="AD13" s="30" t="s">
        <v>200</v>
      </c>
      <c r="AE13" s="40" t="s">
        <v>203</v>
      </c>
      <c r="AF13" s="41" t="s">
        <v>204</v>
      </c>
      <c r="AG13" s="41" t="s">
        <v>103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6DD2DA85-B8D1-4E75-9E4B-C6838BA9F09E}">
      <formula1>$U$2:$W$2</formula1>
    </dataValidation>
    <dataValidation type="list" showInputMessage="1" showErrorMessage="1" sqref="K4:K30 P4:P30 F4:F30" xr:uid="{FBBE8CC6-E6AF-43E8-B90F-92399378D23C}">
      <formula1>"ロン,ツモ,放銃,ツモ支払,流局,チョンボ"</formula1>
    </dataValidation>
    <dataValidation type="list" allowBlank="1" showInputMessage="1" sqref="F1:T1" xr:uid="{EC08592F-C55E-4E94-8857-E17ECACDAD3B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24DB7-0F4B-4B45-BB6F-64854B26E41D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197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201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201</v>
      </c>
      <c r="L4" s="9">
        <v>-800</v>
      </c>
      <c r="M4" s="9"/>
      <c r="N4" s="48">
        <v>0</v>
      </c>
      <c r="O4" s="21">
        <f>IF(COUNTA($F4,$K4,$P4)&gt;0,O3+SUM(L4:N4),"")</f>
        <v>34200</v>
      </c>
      <c r="P4" s="8" t="s">
        <v>202</v>
      </c>
      <c r="Q4" s="9">
        <v>2100</v>
      </c>
      <c r="R4" s="9"/>
      <c r="S4" s="48">
        <v>0</v>
      </c>
      <c r="T4" s="21">
        <f>IF(COUNTA($F4,$K4,$P4)&gt;0,T3+SUM(Q4:S4),"")</f>
        <v>37100</v>
      </c>
      <c r="U4" s="53">
        <f>IF($J4="","",ROUND(($J4-$J$3)/1000,1)+(_xlfn.RANK.AVG($J4,($J4,$O4,$T4),1)-2)*20)</f>
        <v>-21.3</v>
      </c>
      <c r="V4" s="54">
        <f>IF($O4="","",ROUND(($O4-$O$3)/1000,1)+(_xlfn.RANK.AVG($O4,($J4,$O4,$T4),1)-2)*20)</f>
        <v>-0.8</v>
      </c>
      <c r="W4" s="55">
        <f>IF($T4="","",ROUND(($T4-$T$3)/1000,1)+(_xlfn.RANK.AVG($T4,($J4,$O4,$T4),1)-2)*20)</f>
        <v>22.1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208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/>
      <c r="G5" s="9"/>
      <c r="H5" s="9"/>
      <c r="I5" s="48"/>
      <c r="J5" s="21">
        <f t="shared" ref="J5:J30" si="2">IF(COUNTA($F5,$K5,$P5)&gt;0,J4+SUM(G5:I5),"")</f>
        <v>33700</v>
      </c>
      <c r="K5" s="8" t="s">
        <v>199</v>
      </c>
      <c r="L5" s="9">
        <v>-8000</v>
      </c>
      <c r="M5" s="9"/>
      <c r="N5" s="48">
        <v>0</v>
      </c>
      <c r="O5" s="21">
        <f t="shared" ref="O5:O30" si="3">IF(COUNTA($F5,$K5,$P5)&gt;0,O4+SUM(L5:N5),"")</f>
        <v>26200</v>
      </c>
      <c r="P5" s="8" t="s">
        <v>198</v>
      </c>
      <c r="Q5" s="9">
        <v>8000</v>
      </c>
      <c r="R5" s="9"/>
      <c r="S5" s="48">
        <v>0</v>
      </c>
      <c r="T5" s="21">
        <f t="shared" ref="T5:T30" si="4">IF(COUNTA($F5,$K5,$P5)&gt;0,T4+SUM(Q5:S5),"")</f>
        <v>45100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-28.8</v>
      </c>
      <c r="W5" s="55">
        <f>IF($T5="","",ROUND(($T5-$T$3)/1000,1)+(_xlfn.RANK.AVG($T5,($J5,$O5,$T5),1)-2)*20)</f>
        <v>30.1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40</v>
      </c>
      <c r="BU5" s="40" t="s">
        <v>104</v>
      </c>
      <c r="BV5" s="41" t="s">
        <v>86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/>
      <c r="G6" s="9"/>
      <c r="H6" s="9"/>
      <c r="I6" s="48"/>
      <c r="J6" s="21">
        <f t="shared" si="2"/>
        <v>33700</v>
      </c>
      <c r="K6" s="8" t="s">
        <v>199</v>
      </c>
      <c r="L6" s="9">
        <v>-3900</v>
      </c>
      <c r="M6" s="9"/>
      <c r="N6" s="48">
        <v>0</v>
      </c>
      <c r="O6" s="21">
        <f t="shared" si="3"/>
        <v>22300</v>
      </c>
      <c r="P6" s="8" t="s">
        <v>198</v>
      </c>
      <c r="Q6" s="9">
        <v>3900</v>
      </c>
      <c r="R6" s="9"/>
      <c r="S6" s="48">
        <v>0</v>
      </c>
      <c r="T6" s="21">
        <f t="shared" si="4"/>
        <v>49000</v>
      </c>
      <c r="U6" s="53">
        <f>IF($J6="","",ROUND(($J6-$J$3)/1000,1)+(_xlfn.RANK.AVG($J6,($J6,$O6,$T6),1)-2)*20)</f>
        <v>-1.3</v>
      </c>
      <c r="V6" s="54">
        <f>IF($O6="","",ROUND(($O6-$O$3)/1000,1)+(_xlfn.RANK.AVG($O6,($J6,$O6,$T6),1)-2)*20)</f>
        <v>-32.700000000000003</v>
      </c>
      <c r="W6" s="55">
        <f>IF($T6="","",ROUND(($T6-$T$3)/1000,1)+(_xlfn.RANK.AVG($T6,($J6,$O6,$T6),1)-2)*20)</f>
        <v>34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40</v>
      </c>
      <c r="BU6" s="40" t="s">
        <v>85</v>
      </c>
      <c r="BV6" s="41" t="s">
        <v>208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 t="s">
        <v>201</v>
      </c>
      <c r="G7" s="9">
        <v>-3900</v>
      </c>
      <c r="H7" s="9"/>
      <c r="I7" s="48">
        <v>-500</v>
      </c>
      <c r="J7" s="21">
        <f t="shared" si="2"/>
        <v>29300</v>
      </c>
      <c r="K7" s="8" t="s">
        <v>201</v>
      </c>
      <c r="L7" s="9">
        <v>-3900</v>
      </c>
      <c r="M7" s="9"/>
      <c r="N7" s="48">
        <v>-500</v>
      </c>
      <c r="O7" s="21">
        <f t="shared" si="3"/>
        <v>17900</v>
      </c>
      <c r="P7" s="8" t="s">
        <v>202</v>
      </c>
      <c r="Q7" s="9">
        <v>7800</v>
      </c>
      <c r="R7" s="9"/>
      <c r="S7" s="48">
        <v>1000</v>
      </c>
      <c r="T7" s="21">
        <f t="shared" si="4"/>
        <v>57800</v>
      </c>
      <c r="U7" s="53">
        <f>IF($J7="","",ROUND(($J7-$J$3)/1000,1)+(_xlfn.RANK.AVG($J7,($J7,$O7,$T7),1)-2)*20)</f>
        <v>-5.7</v>
      </c>
      <c r="V7" s="54">
        <f>IF($O7="","",ROUND(($O7-$O$3)/1000,1)+(_xlfn.RANK.AVG($O7,($J7,$O7,$T7),1)-2)*20)</f>
        <v>-37.1</v>
      </c>
      <c r="W7" s="55">
        <f>IF($T7="","",ROUND(($T7-$T$3)/1000,1)+(_xlfn.RANK.AVG($T7,($J7,$O7,$T7),1)-2)*20)</f>
        <v>42.8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203</v>
      </c>
      <c r="BV7" s="41" t="s">
        <v>82</v>
      </c>
      <c r="BW7" s="41" t="s">
        <v>83</v>
      </c>
      <c r="BX7" s="41" t="s">
        <v>208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れんたろう</v>
      </c>
      <c r="F8" s="8" t="s">
        <v>201</v>
      </c>
      <c r="G8" s="9">
        <v>-3000</v>
      </c>
      <c r="H8" s="9"/>
      <c r="I8" s="48">
        <v>-1000</v>
      </c>
      <c r="J8" s="21">
        <f t="shared" si="2"/>
        <v>25300</v>
      </c>
      <c r="K8" s="8" t="s">
        <v>201</v>
      </c>
      <c r="L8" s="9">
        <v>-3000</v>
      </c>
      <c r="M8" s="9"/>
      <c r="N8" s="48">
        <v>-1000</v>
      </c>
      <c r="O8" s="21">
        <f t="shared" si="3"/>
        <v>13900</v>
      </c>
      <c r="P8" s="8" t="s">
        <v>202</v>
      </c>
      <c r="Q8" s="9">
        <v>6000</v>
      </c>
      <c r="R8" s="9"/>
      <c r="S8" s="48">
        <v>2000</v>
      </c>
      <c r="T8" s="21">
        <f t="shared" si="4"/>
        <v>65800</v>
      </c>
      <c r="U8" s="53">
        <f>IF($J8="","",ROUND(($J8-$J$3)/1000,1)+(_xlfn.RANK.AVG($J8,($J8,$O8,$T8),1)-2)*20)</f>
        <v>-9.6999999999999993</v>
      </c>
      <c r="V8" s="54">
        <f>IF($O8="","",ROUND(($O8-$O$3)/1000,1)+(_xlfn.RANK.AVG($O8,($J8,$O8,$T8),1)-2)*20)</f>
        <v>-41.1</v>
      </c>
      <c r="W8" s="55">
        <f>IF($T8="","",ROUND(($T8-$T$3)/1000,1)+(_xlfn.RANK.AVG($T8,($J8,$O8,$T8),1)-2)*20)</f>
        <v>50.8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203</v>
      </c>
      <c r="BV8" s="41" t="s">
        <v>82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tr">
        <f>IF($P$1="","",$P$1)</f>
        <v>れんたろう</v>
      </c>
      <c r="F9" s="8" t="s">
        <v>198</v>
      </c>
      <c r="G9" s="9">
        <v>6400</v>
      </c>
      <c r="H9" s="9"/>
      <c r="I9" s="48">
        <v>3000</v>
      </c>
      <c r="J9" s="21">
        <f t="shared" si="2"/>
        <v>34700</v>
      </c>
      <c r="K9" s="8"/>
      <c r="L9" s="9"/>
      <c r="M9" s="9"/>
      <c r="N9" s="48"/>
      <c r="O9" s="21">
        <f t="shared" si="3"/>
        <v>13900</v>
      </c>
      <c r="P9" s="8" t="s">
        <v>199</v>
      </c>
      <c r="Q9" s="9">
        <v>-6400</v>
      </c>
      <c r="R9" s="9"/>
      <c r="S9" s="48">
        <v>-3000</v>
      </c>
      <c r="T9" s="21">
        <f t="shared" si="4"/>
        <v>56400</v>
      </c>
      <c r="U9" s="53">
        <f>IF($J9="","",ROUND(($J9-$J$3)/1000,1)+(_xlfn.RANK.AVG($J9,($J9,$O9,$T9),1)-2)*20)</f>
        <v>-0.3</v>
      </c>
      <c r="V9" s="54">
        <f>IF($O9="","",ROUND(($O9-$O$3)/1000,1)+(_xlfn.RANK.AVG($O9,($J9,$O9,$T9),1)-2)*20)</f>
        <v>-41.1</v>
      </c>
      <c r="W9" s="55">
        <f>IF($T9="","",ROUND(($T9-$T$3)/1000,1)+(_xlfn.RANK.AVG($T9,($J9,$O9,$T9),1)-2)*20)</f>
        <v>41.4</v>
      </c>
      <c r="Y9" s="8"/>
      <c r="Z9" s="34"/>
      <c r="AA9" s="26">
        <v>1</v>
      </c>
      <c r="AB9" s="26"/>
      <c r="AC9" s="26">
        <v>4</v>
      </c>
      <c r="AD9" s="30">
        <v>25</v>
      </c>
      <c r="AE9" s="40" t="s">
        <v>203</v>
      </c>
      <c r="AF9" s="41" t="s">
        <v>208</v>
      </c>
      <c r="AG9" s="41" t="s">
        <v>101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199</v>
      </c>
      <c r="G10" s="9">
        <v>-12000</v>
      </c>
      <c r="H10" s="9">
        <v>-1000</v>
      </c>
      <c r="I10" s="48">
        <v>0</v>
      </c>
      <c r="J10" s="21">
        <f t="shared" si="2"/>
        <v>21700</v>
      </c>
      <c r="K10" s="8"/>
      <c r="L10" s="9"/>
      <c r="M10" s="9">
        <v>-1000</v>
      </c>
      <c r="N10" s="48"/>
      <c r="O10" s="21">
        <f t="shared" si="3"/>
        <v>12900</v>
      </c>
      <c r="P10" s="8" t="s">
        <v>198</v>
      </c>
      <c r="Q10" s="9">
        <v>12000</v>
      </c>
      <c r="R10" s="9">
        <v>2000</v>
      </c>
      <c r="S10" s="48">
        <v>0</v>
      </c>
      <c r="T10" s="21">
        <f t="shared" si="4"/>
        <v>70400</v>
      </c>
      <c r="U10" s="53">
        <f>IF($J10="","",ROUND(($J10-$J$3)/1000,1)+(_xlfn.RANK.AVG($J10,($J10,$O10,$T10),1)-2)*20)</f>
        <v>-13.3</v>
      </c>
      <c r="V10" s="54">
        <f>IF($O10="","",ROUND(($O10-$O$3)/1000,1)+(_xlfn.RANK.AVG($O10,($J10,$O10,$T10),1)-2)*20)</f>
        <v>-42.1</v>
      </c>
      <c r="W10" s="55">
        <f>IF($T10="","",ROUND(($T10-$T$3)/1000,1)+(_xlfn.RANK.AVG($T10,($J10,$O10,$T10),1)-2)*20)</f>
        <v>55.4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200</v>
      </c>
      <c r="BU10" s="40" t="s">
        <v>210</v>
      </c>
      <c r="BV10" s="41" t="s">
        <v>208</v>
      </c>
      <c r="BW10" s="41" t="s">
        <v>79</v>
      </c>
      <c r="BX10" s="41" t="s">
        <v>79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ただ</v>
      </c>
      <c r="F11" s="8" t="s">
        <v>202</v>
      </c>
      <c r="G11" s="9">
        <v>24000</v>
      </c>
      <c r="H11" s="9">
        <v>1000</v>
      </c>
      <c r="I11" s="48">
        <v>0</v>
      </c>
      <c r="J11" s="21">
        <f t="shared" si="2"/>
        <v>46700</v>
      </c>
      <c r="K11" s="8" t="s">
        <v>201</v>
      </c>
      <c r="L11" s="9">
        <v>-15000</v>
      </c>
      <c r="M11" s="9">
        <v>-1000</v>
      </c>
      <c r="N11" s="48">
        <v>0</v>
      </c>
      <c r="O11" s="21">
        <f t="shared" si="3"/>
        <v>-3100</v>
      </c>
      <c r="P11" s="8" t="s">
        <v>201</v>
      </c>
      <c r="Q11" s="9">
        <v>-9000</v>
      </c>
      <c r="R11" s="9"/>
      <c r="S11" s="48">
        <v>0</v>
      </c>
      <c r="T11" s="21">
        <f t="shared" si="4"/>
        <v>61400</v>
      </c>
      <c r="U11" s="53">
        <f>IF($J11="","",ROUND(($J11-$J$3)/1000,1)+(_xlfn.RANK.AVG($J11,($J11,$O11,$T11),1)-2)*20)</f>
        <v>11.7</v>
      </c>
      <c r="V11" s="54">
        <f>IF($O11="","",ROUND(($O11-$O$3)/1000,1)+(_xlfn.RANK.AVG($O11,($J11,$O11,$T11),1)-2)*20)</f>
        <v>-58.1</v>
      </c>
      <c r="W11" s="55">
        <f>IF($T11="","",ROUND(($T11-$T$3)/1000,1)+(_xlfn.RANK.AVG($T11,($J11,$O11,$T11),1)-2)*20)</f>
        <v>46.4</v>
      </c>
      <c r="Y11" s="8"/>
      <c r="Z11" s="34"/>
      <c r="AA11" s="26">
        <v>1</v>
      </c>
      <c r="AB11" s="26"/>
      <c r="AC11" s="26">
        <v>11</v>
      </c>
      <c r="AD11" s="30" t="s">
        <v>200</v>
      </c>
      <c r="AE11" s="40" t="s">
        <v>203</v>
      </c>
      <c r="AF11" s="41" t="s">
        <v>82</v>
      </c>
      <c r="AG11" s="41" t="s">
        <v>204</v>
      </c>
      <c r="AH11" s="41" t="s">
        <v>85</v>
      </c>
      <c r="AI11" s="41" t="s">
        <v>208</v>
      </c>
      <c r="AJ11" s="41" t="s">
        <v>208</v>
      </c>
      <c r="AK11" s="41" t="s">
        <v>79</v>
      </c>
      <c r="AL11" s="41" t="s">
        <v>79</v>
      </c>
      <c r="AM11" s="41" t="s">
        <v>80</v>
      </c>
      <c r="AN11" s="41" t="s">
        <v>80</v>
      </c>
      <c r="AO11" s="41" t="s">
        <v>80</v>
      </c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0CDAD4D4-AC5B-479E-A26C-5C9A998A1C3B}">
      <formula1>"ロン,ツモ,放銃,ツモ支払,流局,チョンボ"</formula1>
    </dataValidation>
    <dataValidation type="list" allowBlank="1" showInputMessage="1" showErrorMessage="1" sqref="E4:E30" xr:uid="{02C7586F-9910-4B75-9920-DD32A5C16EC1}">
      <formula1>$U$2:$W$2</formula1>
    </dataValidation>
    <dataValidation type="list" allowBlank="1" showInputMessage="1" sqref="F1:T1" xr:uid="{CFC34409-A5CE-47C0-9CA6-669EC181459E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CE3FB-ED54-4BE6-9FB9-FADD9929F45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197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198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>
        <v>6</v>
      </c>
      <c r="AD4" s="30" t="s">
        <v>200</v>
      </c>
      <c r="AE4" s="40" t="s">
        <v>203</v>
      </c>
      <c r="AF4" s="41" t="s">
        <v>83</v>
      </c>
      <c r="AG4" s="41" t="s">
        <v>208</v>
      </c>
      <c r="AH4" s="41" t="s">
        <v>208</v>
      </c>
      <c r="AI4" s="41" t="s">
        <v>79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18000</v>
      </c>
      <c r="H5" s="9"/>
      <c r="I5" s="48">
        <v>0</v>
      </c>
      <c r="J5" s="21">
        <f t="shared" ref="J5:J30" si="2">IF(COUNTA($F5,$K5,$P5)&gt;0,J4+SUM(G5:I5),"")</f>
        <v>65000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199</v>
      </c>
      <c r="Q5" s="9">
        <v>-18000</v>
      </c>
      <c r="R5" s="9"/>
      <c r="S5" s="48">
        <v>0</v>
      </c>
      <c r="T5" s="21">
        <f t="shared" ref="T5:T30" si="4">IF(COUNTA($F5,$K5,$P5)&gt;0,T4+SUM(Q5:S5),"")</f>
        <v>5000</v>
      </c>
      <c r="U5" s="53">
        <f>IF($J5="","",ROUND(($J5-$J$3)/1000,1)+(_xlfn.RANK.AVG($J5,($J5,$O5,$T5),1)-2)*20)</f>
        <v>50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-50</v>
      </c>
      <c r="Y5" s="8"/>
      <c r="Z5" s="34"/>
      <c r="AA5" s="26"/>
      <c r="AB5" s="26"/>
      <c r="AC5" s="26">
        <v>6</v>
      </c>
      <c r="AD5" s="30" t="s">
        <v>200</v>
      </c>
      <c r="AE5" s="40" t="s">
        <v>83</v>
      </c>
      <c r="AF5" s="41" t="s">
        <v>92</v>
      </c>
      <c r="AG5" s="41" t="s">
        <v>79</v>
      </c>
      <c r="AH5" s="41" t="s">
        <v>79</v>
      </c>
      <c r="AI5" s="41" t="s">
        <v>208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だいち</v>
      </c>
      <c r="F6" s="8" t="s">
        <v>202</v>
      </c>
      <c r="G6" s="9">
        <v>1600</v>
      </c>
      <c r="H6" s="9"/>
      <c r="I6" s="48">
        <v>1000</v>
      </c>
      <c r="J6" s="21">
        <f t="shared" si="2"/>
        <v>67600</v>
      </c>
      <c r="K6" s="8" t="s">
        <v>201</v>
      </c>
      <c r="L6" s="9">
        <v>-800</v>
      </c>
      <c r="M6" s="9"/>
      <c r="N6" s="48">
        <v>-500</v>
      </c>
      <c r="O6" s="21">
        <f t="shared" si="3"/>
        <v>33700</v>
      </c>
      <c r="P6" s="8" t="s">
        <v>201</v>
      </c>
      <c r="Q6" s="9">
        <v>-800</v>
      </c>
      <c r="R6" s="9"/>
      <c r="S6" s="48">
        <v>-500</v>
      </c>
      <c r="T6" s="21">
        <f t="shared" si="4"/>
        <v>3700</v>
      </c>
      <c r="U6" s="53">
        <f>IF($J6="","",ROUND(($J6-$J$3)/1000,1)+(_xlfn.RANK.AVG($J6,($J6,$O6,$T6),1)-2)*20)</f>
        <v>52.6</v>
      </c>
      <c r="V6" s="54">
        <f>IF($O6="","",ROUND(($O6-$O$3)/1000,1)+(_xlfn.RANK.AVG($O6,($J6,$O6,$T6),1)-2)*20)</f>
        <v>-1.3</v>
      </c>
      <c r="W6" s="55">
        <f>IF($T6="","",ROUND(($T6-$T$3)/1000,1)+(_xlfn.RANK.AVG($T6,($J6,$O6,$T6),1)-2)*20)</f>
        <v>-51.3</v>
      </c>
      <c r="Y6" s="8"/>
      <c r="Z6" s="34"/>
      <c r="AA6" s="26"/>
      <c r="AB6" s="26"/>
      <c r="AC6" s="26">
        <v>1</v>
      </c>
      <c r="AD6" s="30">
        <v>30</v>
      </c>
      <c r="AE6" s="40" t="s">
        <v>82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IF($F$1="","",$F$1)</f>
        <v>だいち</v>
      </c>
      <c r="F7" s="8" t="s">
        <v>199</v>
      </c>
      <c r="G7" s="9">
        <v>-3900</v>
      </c>
      <c r="H7" s="9">
        <v>-1000</v>
      </c>
      <c r="I7" s="48">
        <v>-2000</v>
      </c>
      <c r="J7" s="21">
        <f t="shared" si="2"/>
        <v>60700</v>
      </c>
      <c r="K7" s="8"/>
      <c r="L7" s="9"/>
      <c r="M7" s="9"/>
      <c r="N7" s="48"/>
      <c r="O7" s="21">
        <f t="shared" si="3"/>
        <v>33700</v>
      </c>
      <c r="P7" s="8" t="s">
        <v>198</v>
      </c>
      <c r="Q7" s="9">
        <v>3900</v>
      </c>
      <c r="R7" s="9">
        <v>1000</v>
      </c>
      <c r="S7" s="48">
        <v>2000</v>
      </c>
      <c r="T7" s="21">
        <f t="shared" si="4"/>
        <v>10600</v>
      </c>
      <c r="U7" s="53">
        <f>IF($J7="","",ROUND(($J7-$J$3)/1000,1)+(_xlfn.RANK.AVG($J7,($J7,$O7,$T7),1)-2)*20)</f>
        <v>45.7</v>
      </c>
      <c r="V7" s="54">
        <f>IF($O7="","",ROUND(($O7-$O$3)/1000,1)+(_xlfn.RANK.AVG($O7,($J7,$O7,$T7),1)-2)*20)</f>
        <v>-1.3</v>
      </c>
      <c r="W7" s="55">
        <f>IF($T7="","",ROUND(($T7-$T$3)/1000,1)+(_xlfn.RANK.AVG($T7,($J7,$O7,$T7),1)-2)*20)</f>
        <v>-44.4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203</v>
      </c>
      <c r="BV7" s="41" t="s">
        <v>83</v>
      </c>
      <c r="BW7" s="41" t="s">
        <v>208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/>
      <c r="G8" s="9"/>
      <c r="H8" s="9">
        <v>-1000</v>
      </c>
      <c r="I8" s="48"/>
      <c r="J8" s="21">
        <f t="shared" si="2"/>
        <v>59700</v>
      </c>
      <c r="K8" s="8" t="s">
        <v>198</v>
      </c>
      <c r="L8" s="9">
        <v>1500</v>
      </c>
      <c r="M8" s="9">
        <v>1000</v>
      </c>
      <c r="N8" s="48">
        <v>0</v>
      </c>
      <c r="O8" s="21">
        <f t="shared" si="3"/>
        <v>36200</v>
      </c>
      <c r="P8" s="8" t="s">
        <v>199</v>
      </c>
      <c r="Q8" s="9">
        <v>-1500</v>
      </c>
      <c r="R8" s="9"/>
      <c r="S8" s="48">
        <v>0</v>
      </c>
      <c r="T8" s="21">
        <f t="shared" si="4"/>
        <v>9100</v>
      </c>
      <c r="U8" s="53">
        <f>IF($J8="","",ROUND(($J8-$J$3)/1000,1)+(_xlfn.RANK.AVG($J8,($J8,$O8,$T8),1)-2)*20)</f>
        <v>44.7</v>
      </c>
      <c r="V8" s="54">
        <f>IF($O8="","",ROUND(($O8-$O$3)/1000,1)+(_xlfn.RANK.AVG($O8,($J8,$O8,$T8),1)-2)*20)</f>
        <v>1.2</v>
      </c>
      <c r="W8" s="55">
        <f>IF($T8="","",ROUND(($T8-$T$3)/1000,1)+(_xlfn.RANK.AVG($T8,($J8,$O8,$T8),1)-2)*20)</f>
        <v>-45.9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201</v>
      </c>
      <c r="G9" s="9">
        <v>-4500</v>
      </c>
      <c r="H9" s="9">
        <v>-1000</v>
      </c>
      <c r="I9" s="48">
        <v>-500</v>
      </c>
      <c r="J9" s="21">
        <f t="shared" si="2"/>
        <v>53700</v>
      </c>
      <c r="K9" s="8" t="s">
        <v>201</v>
      </c>
      <c r="L9" s="9">
        <v>-7500</v>
      </c>
      <c r="M9" s="9"/>
      <c r="N9" s="48">
        <v>-500</v>
      </c>
      <c r="O9" s="21">
        <f t="shared" si="3"/>
        <v>28200</v>
      </c>
      <c r="P9" s="8" t="s">
        <v>202</v>
      </c>
      <c r="Q9" s="9">
        <v>12000</v>
      </c>
      <c r="R9" s="9">
        <v>1000</v>
      </c>
      <c r="S9" s="48">
        <v>1000</v>
      </c>
      <c r="T9" s="21">
        <f t="shared" si="4"/>
        <v>23100</v>
      </c>
      <c r="U9" s="53">
        <f>IF($J9="","",ROUND(($J9-$J$3)/1000,1)+(_xlfn.RANK.AVG($J9,($J9,$O9,$T9),1)-2)*20)</f>
        <v>38.700000000000003</v>
      </c>
      <c r="V9" s="54">
        <f>IF($O9="","",ROUND(($O9-$O$3)/1000,1)+(_xlfn.RANK.AVG($O9,($J9,$O9,$T9),1)-2)*20)</f>
        <v>-6.8</v>
      </c>
      <c r="W9" s="55">
        <f>IF($T9="","",ROUND(($T9-$T$3)/1000,1)+(_xlfn.RANK.AVG($T9,($J9,$O9,$T9),1)-2)*20)</f>
        <v>-31.9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200</v>
      </c>
      <c r="BU9" s="40" t="s">
        <v>203</v>
      </c>
      <c r="BV9" s="41" t="s">
        <v>82</v>
      </c>
      <c r="BW9" s="41" t="s">
        <v>79</v>
      </c>
      <c r="BX9" s="41" t="s">
        <v>79</v>
      </c>
      <c r="BY9" s="41" t="s">
        <v>208</v>
      </c>
      <c r="BZ9" s="41" t="s">
        <v>101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209</v>
      </c>
      <c r="G10" s="9">
        <v>-3000</v>
      </c>
      <c r="H10" s="9"/>
      <c r="I10" s="48"/>
      <c r="J10" s="21">
        <f t="shared" si="2"/>
        <v>50700</v>
      </c>
      <c r="K10" s="8" t="s">
        <v>209</v>
      </c>
      <c r="L10" s="9">
        <v>1500</v>
      </c>
      <c r="M10" s="9"/>
      <c r="N10" s="48"/>
      <c r="O10" s="21">
        <f t="shared" si="3"/>
        <v>29700</v>
      </c>
      <c r="P10" s="8" t="s">
        <v>209</v>
      </c>
      <c r="Q10" s="9">
        <v>1500</v>
      </c>
      <c r="R10" s="9">
        <v>-1000</v>
      </c>
      <c r="S10" s="48"/>
      <c r="T10" s="21">
        <f t="shared" si="4"/>
        <v>23600</v>
      </c>
      <c r="U10" s="53">
        <f>IF($J10="","",ROUND(($J10-$J$3)/1000,1)+(_xlfn.RANK.AVG($J10,($J10,$O10,$T10),1)-2)*20)</f>
        <v>35.700000000000003</v>
      </c>
      <c r="V10" s="54">
        <f>IF($O10="","",ROUND(($O10-$O$3)/1000,1)+(_xlfn.RANK.AVG($O10,($J10,$O10,$T10),1)-2)*20)</f>
        <v>-5.3</v>
      </c>
      <c r="W10" s="55">
        <f>IF($T10="","",ROUND(($T10-$T$3)/1000,1)+(_xlfn.RANK.AVG($T10,($J10,$O10,$T10),1)-2)*20)</f>
        <v>-31.4</v>
      </c>
      <c r="Y10" s="8" t="s">
        <v>205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1</v>
      </c>
      <c r="E11" s="4" t="str">
        <f>IF($P$1="","",$P$1)</f>
        <v>れんたろう</v>
      </c>
      <c r="F11" s="8" t="s">
        <v>201</v>
      </c>
      <c r="G11" s="9">
        <v>-3900</v>
      </c>
      <c r="H11" s="9">
        <v>-1000</v>
      </c>
      <c r="I11" s="48">
        <v>-500</v>
      </c>
      <c r="J11" s="21">
        <f t="shared" si="2"/>
        <v>45300</v>
      </c>
      <c r="K11" s="8" t="s">
        <v>201</v>
      </c>
      <c r="L11" s="9">
        <v>-3900</v>
      </c>
      <c r="M11" s="9"/>
      <c r="N11" s="48">
        <v>-500</v>
      </c>
      <c r="O11" s="21">
        <f t="shared" si="3"/>
        <v>25300</v>
      </c>
      <c r="P11" s="8" t="s">
        <v>202</v>
      </c>
      <c r="Q11" s="9">
        <v>7800</v>
      </c>
      <c r="R11" s="9">
        <v>2000</v>
      </c>
      <c r="S11" s="48">
        <v>1000</v>
      </c>
      <c r="T11" s="21">
        <f t="shared" si="4"/>
        <v>34400</v>
      </c>
      <c r="U11" s="53">
        <f>IF($J11="","",ROUND(($J11-$J$3)/1000,1)+(_xlfn.RANK.AVG($J11,($J11,$O11,$T11),1)-2)*20)</f>
        <v>30.3</v>
      </c>
      <c r="V11" s="54">
        <f>IF($O11="","",ROUND(($O11-$O$3)/1000,1)+(_xlfn.RANK.AVG($O11,($J11,$O11,$T11),1)-2)*20)</f>
        <v>-29.7</v>
      </c>
      <c r="W11" s="55">
        <f>IF($T11="","",ROUND(($T11-$T$3)/1000,1)+(_xlfn.RANK.AVG($T11,($J11,$O11,$T11),1)-2)*20)</f>
        <v>-0.6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40</v>
      </c>
      <c r="BU11" s="40" t="s">
        <v>203</v>
      </c>
      <c r="BV11" s="41" t="s">
        <v>85</v>
      </c>
      <c r="BW11" s="41" t="s">
        <v>82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tr">
        <f>IF($P$1="","",$P$1)</f>
        <v>れんたろう</v>
      </c>
      <c r="F12" s="8"/>
      <c r="G12" s="9"/>
      <c r="H12" s="9"/>
      <c r="I12" s="48"/>
      <c r="J12" s="21">
        <f t="shared" si="2"/>
        <v>45300</v>
      </c>
      <c r="K12" s="8" t="s">
        <v>198</v>
      </c>
      <c r="L12" s="9">
        <v>2600</v>
      </c>
      <c r="M12" s="9"/>
      <c r="N12" s="48">
        <v>2000</v>
      </c>
      <c r="O12" s="21">
        <f t="shared" si="3"/>
        <v>29900</v>
      </c>
      <c r="P12" s="8" t="s">
        <v>199</v>
      </c>
      <c r="Q12" s="9">
        <v>-2600</v>
      </c>
      <c r="R12" s="9"/>
      <c r="S12" s="48">
        <v>-2000</v>
      </c>
      <c r="T12" s="21">
        <f t="shared" si="4"/>
        <v>29800</v>
      </c>
      <c r="U12" s="53">
        <f>IF($J12="","",ROUND(($J12-$J$3)/1000,1)+(_xlfn.RANK.AVG($J12,($J12,$O12,$T12),1)-2)*20)</f>
        <v>30.3</v>
      </c>
      <c r="V12" s="54">
        <f>IF($O12="","",ROUND(($O12-$O$3)/1000,1)+(_xlfn.RANK.AVG($O12,($J12,$O12,$T12),1)-2)*20)</f>
        <v>-5.0999999999999996</v>
      </c>
      <c r="W12" s="55">
        <f>IF($T12="","",ROUND(($T12-$T$3)/1000,1)+(_xlfn.RANK.AVG($T12,($J12,$O12,$T12),1)-2)*20)</f>
        <v>-25.2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40</v>
      </c>
      <c r="AZ12" s="40" t="s">
        <v>203</v>
      </c>
      <c r="BA12" s="41" t="s">
        <v>79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IF($F$1="","",$F$1)</f>
        <v>だいち</v>
      </c>
      <c r="F13" s="8" t="s">
        <v>209</v>
      </c>
      <c r="G13" s="9">
        <v>1500</v>
      </c>
      <c r="H13" s="9"/>
      <c r="I13" s="48"/>
      <c r="J13" s="21">
        <f t="shared" si="2"/>
        <v>46800</v>
      </c>
      <c r="K13" s="8" t="s">
        <v>209</v>
      </c>
      <c r="L13" s="9">
        <v>-3000</v>
      </c>
      <c r="M13" s="9"/>
      <c r="N13" s="48"/>
      <c r="O13" s="21">
        <f t="shared" si="3"/>
        <v>26900</v>
      </c>
      <c r="P13" s="8" t="s">
        <v>209</v>
      </c>
      <c r="Q13" s="9">
        <v>1500</v>
      </c>
      <c r="R13" s="9"/>
      <c r="S13" s="48"/>
      <c r="T13" s="21">
        <f t="shared" si="4"/>
        <v>31300</v>
      </c>
      <c r="U13" s="53">
        <f>IF($J13="","",ROUND(($J13-$J$3)/1000,1)+(_xlfn.RANK.AVG($J13,($J13,$O13,$T13),1)-2)*20)</f>
        <v>31.8</v>
      </c>
      <c r="V13" s="54">
        <f>IF($O13="","",ROUND(($O13-$O$3)/1000,1)+(_xlfn.RANK.AVG($O13,($J13,$O13,$T13),1)-2)*20)</f>
        <v>-28.1</v>
      </c>
      <c r="W13" s="55">
        <f>IF($T13="","",ROUND(($T13-$T$3)/1000,1)+(_xlfn.RANK.AVG($T13,($J13,$O13,$T13),1)-2)*20)</f>
        <v>-3.7</v>
      </c>
      <c r="Y13" s="8" t="s">
        <v>206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206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tr">
        <f>IF($F$1="","",$F$1)</f>
        <v>だいち</v>
      </c>
      <c r="F14" s="8" t="s">
        <v>201</v>
      </c>
      <c r="G14" s="9">
        <v>-4000</v>
      </c>
      <c r="H14" s="9"/>
      <c r="I14" s="48">
        <v>-500</v>
      </c>
      <c r="J14" s="21">
        <f t="shared" si="2"/>
        <v>42300</v>
      </c>
      <c r="K14" s="8" t="s">
        <v>201</v>
      </c>
      <c r="L14" s="9">
        <v>-2400</v>
      </c>
      <c r="M14" s="9"/>
      <c r="N14" s="48">
        <v>-500</v>
      </c>
      <c r="O14" s="21">
        <f t="shared" si="3"/>
        <v>24000</v>
      </c>
      <c r="P14" s="8" t="s">
        <v>202</v>
      </c>
      <c r="Q14" s="9">
        <v>6400</v>
      </c>
      <c r="R14" s="9"/>
      <c r="S14" s="48">
        <v>1000</v>
      </c>
      <c r="T14" s="21">
        <f t="shared" si="4"/>
        <v>38700</v>
      </c>
      <c r="U14" s="53">
        <f>IF($J14="","",ROUND(($J14-$J$3)/1000,1)+(_xlfn.RANK.AVG($J14,($J14,$O14,$T14),1)-2)*20)</f>
        <v>27.3</v>
      </c>
      <c r="V14" s="54">
        <f>IF($O14="","",ROUND(($O14-$O$3)/1000,1)+(_xlfn.RANK.AVG($O14,($J14,$O14,$T14),1)-2)*20)</f>
        <v>-31</v>
      </c>
      <c r="W14" s="55">
        <f>IF($T14="","",ROUND(($T14-$T$3)/1000,1)+(_xlfn.RANK.AVG($T14,($J14,$O14,$T14),1)-2)*20)</f>
        <v>3.7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4</v>
      </c>
      <c r="BT14" s="30">
        <v>25</v>
      </c>
      <c r="BU14" s="40" t="s">
        <v>82</v>
      </c>
      <c r="BV14" s="41" t="s">
        <v>101</v>
      </c>
      <c r="BW14" s="41" t="s">
        <v>208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IF($K$1="","",$K$1)</f>
        <v>ただ</v>
      </c>
      <c r="F15" s="8" t="s">
        <v>199</v>
      </c>
      <c r="G15" s="9">
        <v>-8000</v>
      </c>
      <c r="H15" s="9"/>
      <c r="I15" s="48">
        <v>0</v>
      </c>
      <c r="J15" s="21">
        <f t="shared" si="2"/>
        <v>34300</v>
      </c>
      <c r="K15" s="8"/>
      <c r="L15" s="9"/>
      <c r="M15" s="9"/>
      <c r="N15" s="48"/>
      <c r="O15" s="21">
        <f t="shared" si="3"/>
        <v>24000</v>
      </c>
      <c r="P15" s="8" t="s">
        <v>198</v>
      </c>
      <c r="Q15" s="9">
        <v>8000</v>
      </c>
      <c r="R15" s="9"/>
      <c r="S15" s="48">
        <v>0</v>
      </c>
      <c r="T15" s="21">
        <f t="shared" si="4"/>
        <v>46700</v>
      </c>
      <c r="U15" s="53">
        <f>IF($J15="","",ROUND(($J15-$J$3)/1000,1)+(_xlfn.RANK.AVG($J15,($J15,$O15,$T15),1)-2)*20)</f>
        <v>-0.7</v>
      </c>
      <c r="V15" s="54">
        <f>IF($O15="","",ROUND(($O15-$O$3)/1000,1)+(_xlfn.RANK.AVG($O15,($J15,$O15,$T15),1)-2)*20)</f>
        <v>-31</v>
      </c>
      <c r="W15" s="55">
        <f>IF($T15="","",ROUND(($T15-$T$3)/1000,1)+(_xlfn.RANK.AVG($T15,($J15,$O15,$T15),1)-2)*20)</f>
        <v>31.7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4</v>
      </c>
      <c r="BT15" s="30">
        <v>40</v>
      </c>
      <c r="BU15" s="40" t="s">
        <v>203</v>
      </c>
      <c r="BV15" s="41" t="s">
        <v>204</v>
      </c>
      <c r="BW15" s="41" t="s">
        <v>79</v>
      </c>
      <c r="BX15" s="41" t="s">
        <v>208</v>
      </c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6B2C2F64-6006-4500-A88E-197B0CFA1836}">
      <formula1>$U$2:$W$2</formula1>
    </dataValidation>
    <dataValidation type="list" showInputMessage="1" showErrorMessage="1" sqref="K4:K30 P4:P30 F4:F30" xr:uid="{C74B22D9-C7F0-4199-8418-F2BFAFFCC36C}">
      <formula1>"ロン,ツモ,放銃,ツモ支払,流局,チョンボ"</formula1>
    </dataValidation>
    <dataValidation type="list" allowBlank="1" showInputMessage="1" sqref="F1:T1" xr:uid="{6C200C03-1657-4A1E-825E-C393D9E9124D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3854F-E625-4789-93D9-49970DC717C1}">
  <sheetPr codeName="Sheet15">
    <pageSetUpPr fitToPage="1"/>
  </sheetPr>
  <dimension ref="A1:CI30"/>
  <sheetViews>
    <sheetView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197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1F6E5E9-CEF1-4CB0-891C-189424277FFB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F1AB454B-319C-4BC7-9E91-4291FFA441F9}">
      <formula1>"ロン,ツモ,放銃,ツモ支払,流局,チョンボ"</formula1>
    </dataValidation>
    <dataValidation type="list" allowBlank="1" showInputMessage="1" showErrorMessage="1" sqref="E4:E30" xr:uid="{DBA26B23-7E25-4843-A4E6-F02DA1C6D66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54BD-8916-40AF-A749-F080DFF6EEC2}">
  <sheetPr codeName="Sheet16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197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ただ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198</v>
      </c>
      <c r="G4" s="9">
        <v>1000</v>
      </c>
      <c r="H4" s="9"/>
      <c r="I4" s="48">
        <v>0</v>
      </c>
      <c r="J4" s="21">
        <f>IF(COUNTA($F4,$K4,$P4)&gt;0,J3+SUM(G4:I4),"")</f>
        <v>36000</v>
      </c>
      <c r="K4" s="8" t="s">
        <v>199</v>
      </c>
      <c r="L4" s="9">
        <v>-1000</v>
      </c>
      <c r="M4" s="9"/>
      <c r="N4" s="48">
        <v>0</v>
      </c>
      <c r="O4" s="21">
        <f>IF(COUNTA($F4,$K4,$P4)&gt;0,O3+SUM(L4:N4),"")</f>
        <v>34000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21</v>
      </c>
      <c r="V4" s="54">
        <f>IF($O4="","",ROUND(($O4-$O$3)/1000,1)+(_xlfn.RANK.AVG($O4,($J4,$O4,$T4),1)-2)*20)</f>
        <v>-21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1</v>
      </c>
      <c r="AD4" s="30">
        <v>30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3900</v>
      </c>
      <c r="H5" s="9"/>
      <c r="I5" s="48">
        <v>0</v>
      </c>
      <c r="J5" s="21">
        <f t="shared" ref="J5:J30" si="2">IF(COUNTA($F5,$K5,$P5)&gt;0,J4+SUM(G5:I5),"")</f>
        <v>39900</v>
      </c>
      <c r="K5" s="8" t="s">
        <v>199</v>
      </c>
      <c r="L5" s="9">
        <v>-3900</v>
      </c>
      <c r="M5" s="9"/>
      <c r="N5" s="48">
        <v>0</v>
      </c>
      <c r="O5" s="21">
        <f t="shared" ref="O5:O30" si="3">IF(COUNTA($F5,$K5,$P5)&gt;0,O4+SUM(L5:N5),"")</f>
        <v>30100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24.9</v>
      </c>
      <c r="V5" s="54">
        <f>IF($O5="","",ROUND(($O5-$O$3)/1000,1)+(_xlfn.RANK.AVG($O5,($J5,$O5,$T5),1)-2)*20)</f>
        <v>-24.9</v>
      </c>
      <c r="W5" s="55">
        <f>IF($T5="","",ROUND(($T5-$T$3)/1000,1)+(_xlfn.RANK.AVG($T5,($J5,$O5,$T5),1)-2)*20)</f>
        <v>0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203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だいち</v>
      </c>
      <c r="F6" s="8"/>
      <c r="G6" s="9"/>
      <c r="H6" s="9"/>
      <c r="I6" s="48"/>
      <c r="J6" s="21">
        <f t="shared" si="2"/>
        <v>39900</v>
      </c>
      <c r="K6" s="8" t="s">
        <v>199</v>
      </c>
      <c r="L6" s="9">
        <v>-8000</v>
      </c>
      <c r="M6" s="9"/>
      <c r="N6" s="48">
        <v>-1000</v>
      </c>
      <c r="O6" s="21">
        <f t="shared" si="3"/>
        <v>21100</v>
      </c>
      <c r="P6" s="8" t="s">
        <v>198</v>
      </c>
      <c r="Q6" s="9">
        <v>8000</v>
      </c>
      <c r="R6" s="9"/>
      <c r="S6" s="48">
        <v>1000</v>
      </c>
      <c r="T6" s="21">
        <f t="shared" si="4"/>
        <v>44000</v>
      </c>
      <c r="U6" s="53">
        <f>IF($J6="","",ROUND(($J6-$J$3)/1000,1)+(_xlfn.RANK.AVG($J6,($J6,$O6,$T6),1)-2)*20)</f>
        <v>4.9000000000000004</v>
      </c>
      <c r="V6" s="54">
        <f>IF($O6="","",ROUND(($O6-$O$3)/1000,1)+(_xlfn.RANK.AVG($O6,($J6,$O6,$T6),1)-2)*20)</f>
        <v>-33.9</v>
      </c>
      <c r="W6" s="55">
        <f>IF($T6="","",ROUND(($T6-$T$3)/1000,1)+(_xlfn.RANK.AVG($T6,($J6,$O6,$T6),1)-2)*20)</f>
        <v>29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40</v>
      </c>
      <c r="BU6" s="40" t="s">
        <v>86</v>
      </c>
      <c r="BV6" s="41" t="s">
        <v>79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ただ</v>
      </c>
      <c r="F7" s="8" t="s">
        <v>199</v>
      </c>
      <c r="G7" s="9">
        <v>-12000</v>
      </c>
      <c r="H7" s="9"/>
      <c r="I7" s="48">
        <v>0</v>
      </c>
      <c r="J7" s="21">
        <f t="shared" si="2"/>
        <v>27900</v>
      </c>
      <c r="K7" s="8" t="s">
        <v>198</v>
      </c>
      <c r="L7" s="9">
        <v>12000</v>
      </c>
      <c r="M7" s="9"/>
      <c r="N7" s="48">
        <v>0</v>
      </c>
      <c r="O7" s="21">
        <f t="shared" si="3"/>
        <v>33100</v>
      </c>
      <c r="P7" s="8"/>
      <c r="Q7" s="9"/>
      <c r="R7" s="9"/>
      <c r="S7" s="48"/>
      <c r="T7" s="21">
        <f t="shared" si="4"/>
        <v>44000</v>
      </c>
      <c r="U7" s="53">
        <f>IF($J7="","",ROUND(($J7-$J$3)/1000,1)+(_xlfn.RANK.AVG($J7,($J7,$O7,$T7),1)-2)*20)</f>
        <v>-27.1</v>
      </c>
      <c r="V7" s="54">
        <f>IF($O7="","",ROUND(($O7-$O$3)/1000,1)+(_xlfn.RANK.AVG($O7,($J7,$O7,$T7),1)-2)*20)</f>
        <v>-1.9</v>
      </c>
      <c r="W7" s="55">
        <f>IF($T7="","",ROUND(($T7-$T$3)/1000,1)+(_xlfn.RANK.AVG($T7,($J7,$O7,$T7),1)-2)*20)</f>
        <v>29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200</v>
      </c>
      <c r="AZ7" s="40" t="s">
        <v>104</v>
      </c>
      <c r="BA7" s="41" t="s">
        <v>86</v>
      </c>
      <c r="BB7" s="41" t="s">
        <v>208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IF($K$1="","",$K$1)</f>
        <v>ただ</v>
      </c>
      <c r="F8" s="8" t="s">
        <v>201</v>
      </c>
      <c r="G8" s="9">
        <v>-4500</v>
      </c>
      <c r="H8" s="9">
        <v>-1000</v>
      </c>
      <c r="I8" s="48">
        <v>-500</v>
      </c>
      <c r="J8" s="21">
        <f t="shared" si="2"/>
        <v>21900</v>
      </c>
      <c r="K8" s="8" t="s">
        <v>201</v>
      </c>
      <c r="L8" s="9">
        <v>-7500</v>
      </c>
      <c r="M8" s="9"/>
      <c r="N8" s="48">
        <v>-500</v>
      </c>
      <c r="O8" s="21">
        <f t="shared" si="3"/>
        <v>25100</v>
      </c>
      <c r="P8" s="8" t="s">
        <v>202</v>
      </c>
      <c r="Q8" s="9">
        <v>12000</v>
      </c>
      <c r="R8" s="9">
        <v>1000</v>
      </c>
      <c r="S8" s="48">
        <v>1000</v>
      </c>
      <c r="T8" s="21">
        <f t="shared" si="4"/>
        <v>58000</v>
      </c>
      <c r="U8" s="53">
        <f>IF($J8="","",ROUND(($J8-$J$3)/1000,1)+(_xlfn.RANK.AVG($J8,($J8,$O8,$T8),1)-2)*20)</f>
        <v>-33.1</v>
      </c>
      <c r="V8" s="54">
        <f>IF($O8="","",ROUND(($O8-$O$3)/1000,1)+(_xlfn.RANK.AVG($O8,($J8,$O8,$T8),1)-2)*20)</f>
        <v>-9.9</v>
      </c>
      <c r="W8" s="55">
        <f>IF($T8="","",ROUND(($T8-$T$3)/1000,1)+(_xlfn.RANK.AVG($T8,($J8,$O8,$T8),1)-2)*20)</f>
        <v>43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200</v>
      </c>
      <c r="BU8" s="40" t="s">
        <v>203</v>
      </c>
      <c r="BV8" s="41" t="s">
        <v>82</v>
      </c>
      <c r="BW8" s="41" t="s">
        <v>204</v>
      </c>
      <c r="BX8" s="41" t="s">
        <v>101</v>
      </c>
      <c r="BY8" s="41" t="s">
        <v>79</v>
      </c>
      <c r="BZ8" s="41" t="s">
        <v>79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/>
      <c r="G9" s="9"/>
      <c r="H9" s="9"/>
      <c r="I9" s="48"/>
      <c r="J9" s="21">
        <f t="shared" si="2"/>
        <v>21900</v>
      </c>
      <c r="K9" s="8" t="s">
        <v>199</v>
      </c>
      <c r="L9" s="9">
        <v>-5800</v>
      </c>
      <c r="M9" s="9"/>
      <c r="N9" s="48">
        <v>0</v>
      </c>
      <c r="O9" s="21">
        <f t="shared" si="3"/>
        <v>19300</v>
      </c>
      <c r="P9" s="8" t="s">
        <v>198</v>
      </c>
      <c r="Q9" s="9">
        <v>5800</v>
      </c>
      <c r="R9" s="9"/>
      <c r="S9" s="48">
        <v>0</v>
      </c>
      <c r="T9" s="21">
        <f t="shared" si="4"/>
        <v>63800</v>
      </c>
      <c r="U9" s="53">
        <f>IF($J9="","",ROUND(($J9-$J$3)/1000,1)+(_xlfn.RANK.AVG($J9,($J9,$O9,$T9),1)-2)*20)</f>
        <v>-13.1</v>
      </c>
      <c r="V9" s="54">
        <f>IF($O9="","",ROUND(($O9-$O$3)/1000,1)+(_xlfn.RANK.AVG($O9,($J9,$O9,$T9),1)-2)*20)</f>
        <v>-35.700000000000003</v>
      </c>
      <c r="W9" s="55">
        <f>IF($T9="","",ROUND(($T9-$T$3)/1000,1)+(_xlfn.RANK.AVG($T9,($J9,$O9,$T9),1)-2)*20)</f>
        <v>48.8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203</v>
      </c>
      <c r="BV9" s="41" t="s">
        <v>204</v>
      </c>
      <c r="BW9" s="41" t="s">
        <v>83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IF($P$1="","",$P$1)</f>
        <v>れんたろう</v>
      </c>
      <c r="F10" s="8" t="s">
        <v>199</v>
      </c>
      <c r="G10" s="9">
        <v>-1500</v>
      </c>
      <c r="H10" s="9">
        <v>-1000</v>
      </c>
      <c r="I10" s="48">
        <v>-1000</v>
      </c>
      <c r="J10" s="21">
        <f t="shared" si="2"/>
        <v>18400</v>
      </c>
      <c r="K10" s="8"/>
      <c r="L10" s="9"/>
      <c r="M10" s="9"/>
      <c r="N10" s="48"/>
      <c r="O10" s="21">
        <f t="shared" si="3"/>
        <v>19300</v>
      </c>
      <c r="P10" s="8" t="s">
        <v>198</v>
      </c>
      <c r="Q10" s="9">
        <v>1500</v>
      </c>
      <c r="R10" s="9">
        <v>1000</v>
      </c>
      <c r="S10" s="48">
        <v>1000</v>
      </c>
      <c r="T10" s="21">
        <f t="shared" si="4"/>
        <v>67300</v>
      </c>
      <c r="U10" s="53">
        <f>IF($J10="","",ROUND(($J10-$J$3)/1000,1)+(_xlfn.RANK.AVG($J10,($J10,$O10,$T10),1)-2)*20)</f>
        <v>-36.6</v>
      </c>
      <c r="V10" s="54">
        <f>IF($O10="","",ROUND(($O10-$O$3)/1000,1)+(_xlfn.RANK.AVG($O10,($J10,$O10,$T10),1)-2)*20)</f>
        <v>-15.7</v>
      </c>
      <c r="W10" s="55">
        <f>IF($T10="","",ROUND(($T10-$T$3)/1000,1)+(_xlfn.RANK.AVG($T10,($J10,$O10,$T10),1)-2)*20)</f>
        <v>52.3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30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IF($P$1="","",$P$1)</f>
        <v>れんたろう</v>
      </c>
      <c r="F11" s="8" t="s">
        <v>202</v>
      </c>
      <c r="G11" s="9">
        <v>7700</v>
      </c>
      <c r="H11" s="9"/>
      <c r="I11" s="48">
        <v>2000</v>
      </c>
      <c r="J11" s="21">
        <f t="shared" si="2"/>
        <v>28100</v>
      </c>
      <c r="K11" s="8" t="s">
        <v>201</v>
      </c>
      <c r="L11" s="9">
        <v>-2900</v>
      </c>
      <c r="M11" s="9"/>
      <c r="N11" s="48">
        <v>-1000</v>
      </c>
      <c r="O11" s="21">
        <f t="shared" si="3"/>
        <v>15400</v>
      </c>
      <c r="P11" s="8" t="s">
        <v>201</v>
      </c>
      <c r="Q11" s="9">
        <v>-4800</v>
      </c>
      <c r="R11" s="9"/>
      <c r="S11" s="48">
        <v>-1000</v>
      </c>
      <c r="T11" s="21">
        <f t="shared" si="4"/>
        <v>61500</v>
      </c>
      <c r="U11" s="53">
        <f>IF($J11="","",ROUND(($J11-$J$3)/1000,1)+(_xlfn.RANK.AVG($J11,($J11,$O11,$T11),1)-2)*20)</f>
        <v>-6.9</v>
      </c>
      <c r="V11" s="54">
        <f>IF($O11="","",ROUND(($O11-$O$3)/1000,1)+(_xlfn.RANK.AVG($O11,($J11,$O11,$T11),1)-2)*20)</f>
        <v>-39.6</v>
      </c>
      <c r="W11" s="55">
        <f>IF($T11="","",ROUND(($T11-$T$3)/1000,1)+(_xlfn.RANK.AVG($T11,($J11,$O11,$T11),1)-2)*20)</f>
        <v>46.5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86</v>
      </c>
      <c r="AF11" s="41" t="s">
        <v>79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IF($F$1="","",$F$1)</f>
        <v>だいち</v>
      </c>
      <c r="F12" s="8" t="s">
        <v>207</v>
      </c>
      <c r="G12" s="9">
        <v>1500</v>
      </c>
      <c r="H12" s="9"/>
      <c r="I12" s="48"/>
      <c r="J12" s="21">
        <f t="shared" si="2"/>
        <v>29600</v>
      </c>
      <c r="K12" s="8" t="s">
        <v>207</v>
      </c>
      <c r="L12" s="9">
        <v>-3000</v>
      </c>
      <c r="M12" s="9"/>
      <c r="N12" s="48"/>
      <c r="O12" s="21">
        <f t="shared" si="3"/>
        <v>12400</v>
      </c>
      <c r="P12" s="8" t="s">
        <v>207</v>
      </c>
      <c r="Q12" s="9">
        <v>1500</v>
      </c>
      <c r="R12" s="9"/>
      <c r="S12" s="48"/>
      <c r="T12" s="21">
        <f t="shared" si="4"/>
        <v>63000</v>
      </c>
      <c r="U12" s="53">
        <f>IF($J12="","",ROUND(($J12-$J$3)/1000,1)+(_xlfn.RANK.AVG($J12,($J12,$O12,$T12),1)-2)*20)</f>
        <v>-5.4</v>
      </c>
      <c r="V12" s="54">
        <f>IF($O12="","",ROUND(($O12-$O$3)/1000,1)+(_xlfn.RANK.AVG($O12,($J12,$O12,$T12),1)-2)*20)</f>
        <v>-42.6</v>
      </c>
      <c r="W12" s="55">
        <f>IF($T12="","",ROUND(($T12-$T$3)/1000,1)+(_xlfn.RANK.AVG($T12,($J12,$O12,$T12),1)-2)*20)</f>
        <v>48</v>
      </c>
      <c r="Y12" s="8" t="s">
        <v>206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206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tr">
        <f>IF($F$1="","",$F$1)</f>
        <v>だいち</v>
      </c>
      <c r="F13" s="8"/>
      <c r="G13" s="9"/>
      <c r="H13" s="9"/>
      <c r="I13" s="48"/>
      <c r="J13" s="21">
        <f t="shared" si="2"/>
        <v>29600</v>
      </c>
      <c r="K13" s="8" t="s">
        <v>198</v>
      </c>
      <c r="L13" s="9">
        <v>2600</v>
      </c>
      <c r="M13" s="9">
        <v>1000</v>
      </c>
      <c r="N13" s="48">
        <v>1000</v>
      </c>
      <c r="O13" s="21">
        <f t="shared" si="3"/>
        <v>17000</v>
      </c>
      <c r="P13" s="8" t="s">
        <v>199</v>
      </c>
      <c r="Q13" s="9">
        <v>-2600</v>
      </c>
      <c r="R13" s="9">
        <v>-1000</v>
      </c>
      <c r="S13" s="48">
        <v>-1000</v>
      </c>
      <c r="T13" s="21">
        <f t="shared" si="4"/>
        <v>58400</v>
      </c>
      <c r="U13" s="53">
        <f>IF($J13="","",ROUND(($J13-$J$3)/1000,1)+(_xlfn.RANK.AVG($J13,($J13,$O13,$T13),1)-2)*20)</f>
        <v>-5.4</v>
      </c>
      <c r="V13" s="54">
        <f>IF($O13="","",ROUND(($O13-$O$3)/1000,1)+(_xlfn.RANK.AVG($O13,($J13,$O13,$T13),1)-2)*20)</f>
        <v>-38</v>
      </c>
      <c r="W13" s="55">
        <f>IF($T13="","",ROUND(($T13-$T$3)/1000,1)+(_xlfn.RANK.AVG($T13,($J13,$O13,$T13),1)-2)*20)</f>
        <v>43.4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2</v>
      </c>
      <c r="AY13" s="30">
        <v>40</v>
      </c>
      <c r="AZ13" s="40" t="s">
        <v>203</v>
      </c>
      <c r="BA13" s="41" t="s">
        <v>204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IF($K$1="","",$K$1)</f>
        <v>ただ</v>
      </c>
      <c r="F14" s="8" t="s">
        <v>201</v>
      </c>
      <c r="G14" s="9">
        <v>-3900</v>
      </c>
      <c r="H14" s="9"/>
      <c r="I14" s="48">
        <v>0</v>
      </c>
      <c r="J14" s="21">
        <f t="shared" si="2"/>
        <v>25700</v>
      </c>
      <c r="K14" s="8" t="s">
        <v>202</v>
      </c>
      <c r="L14" s="9">
        <v>7800</v>
      </c>
      <c r="M14" s="9"/>
      <c r="N14" s="48">
        <v>0</v>
      </c>
      <c r="O14" s="21">
        <f t="shared" si="3"/>
        <v>24800</v>
      </c>
      <c r="P14" s="8" t="s">
        <v>201</v>
      </c>
      <c r="Q14" s="9">
        <v>-3900</v>
      </c>
      <c r="R14" s="9"/>
      <c r="S14" s="48">
        <v>0</v>
      </c>
      <c r="T14" s="21">
        <f t="shared" si="4"/>
        <v>54500</v>
      </c>
      <c r="U14" s="53">
        <f>IF($J14="","",ROUND(($J14-$J$3)/1000,1)+(_xlfn.RANK.AVG($J14,($J14,$O14,$T14),1)-2)*20)</f>
        <v>-9.3000000000000007</v>
      </c>
      <c r="V14" s="54">
        <f>IF($O14="","",ROUND(($O14-$O$3)/1000,1)+(_xlfn.RANK.AVG($O14,($J14,$O14,$T14),1)-2)*20)</f>
        <v>-30.2</v>
      </c>
      <c r="W14" s="55">
        <f>IF($T14="","",ROUND(($T14-$T$3)/1000,1)+(_xlfn.RANK.AVG($T14,($J14,$O14,$T14),1)-2)*20)</f>
        <v>39.5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4</v>
      </c>
      <c r="AY14" s="30">
        <v>20</v>
      </c>
      <c r="AZ14" s="40" t="s">
        <v>203</v>
      </c>
      <c r="BA14" s="41" t="s">
        <v>82</v>
      </c>
      <c r="BB14" s="41" t="s">
        <v>83</v>
      </c>
      <c r="BC14" s="41" t="s">
        <v>84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tr">
        <f>IF($K$1="","",$K$1)</f>
        <v>ただ</v>
      </c>
      <c r="F15" s="8" t="s">
        <v>201</v>
      </c>
      <c r="G15" s="9">
        <v>-3000</v>
      </c>
      <c r="H15" s="9">
        <v>-1000</v>
      </c>
      <c r="I15" s="48">
        <v>-500</v>
      </c>
      <c r="J15" s="21">
        <f t="shared" si="2"/>
        <v>21200</v>
      </c>
      <c r="K15" s="8" t="s">
        <v>202</v>
      </c>
      <c r="L15" s="9">
        <v>6000</v>
      </c>
      <c r="M15" s="9">
        <v>2000</v>
      </c>
      <c r="N15" s="48">
        <v>1000</v>
      </c>
      <c r="O15" s="21">
        <f t="shared" si="3"/>
        <v>33800</v>
      </c>
      <c r="P15" s="8" t="s">
        <v>201</v>
      </c>
      <c r="Q15" s="9">
        <v>-3000</v>
      </c>
      <c r="R15" s="9">
        <v>-1000</v>
      </c>
      <c r="S15" s="48">
        <v>-500</v>
      </c>
      <c r="T15" s="21">
        <f t="shared" si="4"/>
        <v>50000</v>
      </c>
      <c r="U15" s="53">
        <f>IF($J15="","",ROUND(($J15-$J$3)/1000,1)+(_xlfn.RANK.AVG($J15,($J15,$O15,$T15),1)-2)*20)</f>
        <v>-33.799999999999997</v>
      </c>
      <c r="V15" s="54">
        <f>IF($O15="","",ROUND(($O15-$O$3)/1000,1)+(_xlfn.RANK.AVG($O15,($J15,$O15,$T15),1)-2)*20)</f>
        <v>-1.2</v>
      </c>
      <c r="W15" s="55">
        <f>IF($T15="","",ROUND(($T15-$T$3)/1000,1)+(_xlfn.RANK.AVG($T15,($J15,$O15,$T15),1)-2)*20)</f>
        <v>35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3</v>
      </c>
      <c r="AY15" s="30">
        <v>30</v>
      </c>
      <c r="AZ15" s="40" t="s">
        <v>86</v>
      </c>
      <c r="BA15" s="41" t="s">
        <v>79</v>
      </c>
      <c r="BB15" s="41" t="s">
        <v>79</v>
      </c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2</v>
      </c>
      <c r="D16" s="18">
        <f t="shared" si="1"/>
        <v>0</v>
      </c>
      <c r="E16" s="4" t="str">
        <f>IF($K$1="","",$K$1)</f>
        <v>ただ</v>
      </c>
      <c r="F16" s="8" t="s">
        <v>201</v>
      </c>
      <c r="G16" s="9">
        <v>-12000</v>
      </c>
      <c r="H16" s="9">
        <v>-2000</v>
      </c>
      <c r="I16" s="48">
        <v>-1000</v>
      </c>
      <c r="J16" s="21">
        <f t="shared" si="2"/>
        <v>6200</v>
      </c>
      <c r="K16" s="8" t="s">
        <v>201</v>
      </c>
      <c r="L16" s="9">
        <v>-20000</v>
      </c>
      <c r="M16" s="9"/>
      <c r="N16" s="48">
        <v>-1000</v>
      </c>
      <c r="O16" s="21">
        <f t="shared" si="3"/>
        <v>12800</v>
      </c>
      <c r="P16" s="8" t="s">
        <v>202</v>
      </c>
      <c r="Q16" s="9">
        <v>32000</v>
      </c>
      <c r="R16" s="9">
        <v>2000</v>
      </c>
      <c r="S16" s="48">
        <v>2000</v>
      </c>
      <c r="T16" s="21">
        <f t="shared" si="4"/>
        <v>86000</v>
      </c>
      <c r="U16" s="53">
        <f>IF($J16="","",ROUND(($J16-$J$3)/1000,1)+(_xlfn.RANK.AVG($J16,($J16,$O16,$T16),1)-2)*20)</f>
        <v>-48.8</v>
      </c>
      <c r="V16" s="54">
        <f>IF($O16="","",ROUND(($O16-$O$3)/1000,1)+(_xlfn.RANK.AVG($O16,($J16,$O16,$T16),1)-2)*20)</f>
        <v>-22.2</v>
      </c>
      <c r="W16" s="55">
        <f>IF($T16="","",ROUND(($T16-$T$3)/1000,1)+(_xlfn.RANK.AVG($T16,($J16,$O16,$T16),1)-2)*20)</f>
        <v>71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>
        <v>13</v>
      </c>
      <c r="BT16" s="30" t="s">
        <v>200</v>
      </c>
      <c r="BU16" s="40" t="s">
        <v>109</v>
      </c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tr">
        <f>IF($P$1="","",$P$1)</f>
        <v>れんたろう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9B28E51-AAD1-412A-8A23-BF58C7708BFB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allowBlank="1" showInputMessage="1" showErrorMessage="1" sqref="E4:E30" xr:uid="{2E77055B-050A-4DEA-A38E-79BD2B4F7AB3}">
      <formula1>$U$2:$W$2</formula1>
    </dataValidation>
    <dataValidation type="list" showInputMessage="1" showErrorMessage="1" sqref="K4:K30 P4:P30 F4:F30" xr:uid="{A1BEC8CE-A76E-46E1-A5ED-BF809B5C089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2022-03-21T11:13:19Z</dcterms:modified>
</cp:coreProperties>
</file>