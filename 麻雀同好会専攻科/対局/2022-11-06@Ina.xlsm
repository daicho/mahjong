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対局\"/>
    </mc:Choice>
  </mc:AlternateContent>
  <xr:revisionPtr revIDLastSave="0" documentId="13_ncr:1_{676486EC-A554-4B0E-8C49-9B15952AF7C2}" xr6:coauthVersionLast="47" xr6:coauthVersionMax="47" xr10:uidLastSave="{00000000-0000-0000-0000-000000000000}"/>
  <bookViews>
    <workbookView xWindow="-120" yWindow="-120" windowWidth="29040" windowHeight="15990" activeTab="10" xr2:uid="{4CDB34E1-560F-4998-ABAB-D6F7F2862621}"/>
  </bookViews>
  <sheets>
    <sheet name="Sheet1" sheetId="19" r:id="rId1"/>
    <sheet name="Sheet2" sheetId="20" r:id="rId2"/>
    <sheet name="Sheet3" sheetId="22" r:id="rId3"/>
    <sheet name="Sheet4" sheetId="23" r:id="rId4"/>
    <sheet name="Sheet5" sheetId="24" r:id="rId5"/>
    <sheet name="Sheet6" sheetId="25" r:id="rId6"/>
    <sheet name="Sheet7" sheetId="26" r:id="rId7"/>
    <sheet name="Sheet8" sheetId="27" r:id="rId8"/>
    <sheet name="Sheet9" sheetId="28" r:id="rId9"/>
    <sheet name="Sheet10" sheetId="29" r:id="rId10"/>
    <sheet name="Sheet11" sheetId="30" r:id="rId11"/>
    <sheet name="役一覧" sheetId="15" state="hidden" r:id="rId12"/>
    <sheet name="点数表(親ロン)" sheetId="4" state="hidden" r:id="rId13"/>
    <sheet name="点数表(親ツモ)" sheetId="9" state="hidden" r:id="rId14"/>
    <sheet name="点数表(子→親)" sheetId="7" state="hidden" r:id="rId15"/>
    <sheet name="点数表(子ロン)" sheetId="3" state="hidden" r:id="rId16"/>
    <sheet name="点数表(子ツモ)" sheetId="10" state="hidden" r:id="rId17"/>
    <sheet name="点数表(子→子)" sheetId="5" state="hidden" r:id="rId18"/>
    <sheet name="点数表(親→子)" sheetId="6" state="hidden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30" l="1"/>
  <c r="E11" i="30"/>
  <c r="E10" i="30"/>
  <c r="E9" i="30"/>
  <c r="C9" i="30" s="1"/>
  <c r="E8" i="30"/>
  <c r="E7" i="30"/>
  <c r="E6" i="30"/>
  <c r="E5" i="30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/>
  <c r="T15" i="30"/>
  <c r="W15" i="30" s="1"/>
  <c r="O15" i="30"/>
  <c r="V15" i="30" s="1"/>
  <c r="J15" i="30"/>
  <c r="U15" i="30" s="1"/>
  <c r="D15" i="30"/>
  <c r="C15" i="30"/>
  <c r="B15" i="30"/>
  <c r="A15" i="30"/>
  <c r="T14" i="30"/>
  <c r="W14" i="30" s="1"/>
  <c r="O14" i="30"/>
  <c r="V14" i="30" s="1"/>
  <c r="J14" i="30"/>
  <c r="U14" i="30" s="1"/>
  <c r="D14" i="30"/>
  <c r="C14" i="30"/>
  <c r="B14" i="30"/>
  <c r="A14" i="30"/>
  <c r="T13" i="30"/>
  <c r="W13" i="30" s="1"/>
  <c r="O13" i="30"/>
  <c r="V13" i="30" s="1"/>
  <c r="J13" i="30"/>
  <c r="U13" i="30" s="1"/>
  <c r="D13" i="30"/>
  <c r="C13" i="30"/>
  <c r="B13" i="30"/>
  <c r="A13" i="30"/>
  <c r="T12" i="30"/>
  <c r="W12" i="30" s="1"/>
  <c r="O12" i="30"/>
  <c r="V12" i="30" s="1"/>
  <c r="J12" i="30"/>
  <c r="U12" i="30" s="1"/>
  <c r="D12" i="30"/>
  <c r="C12" i="30"/>
  <c r="B12" i="30"/>
  <c r="A12" i="30" s="1"/>
  <c r="T11" i="30"/>
  <c r="O11" i="30"/>
  <c r="J11" i="30"/>
  <c r="D11" i="30"/>
  <c r="C11" i="30"/>
  <c r="B11" i="30"/>
  <c r="A11" i="30" s="1"/>
  <c r="T10" i="30"/>
  <c r="O10" i="30"/>
  <c r="J10" i="30"/>
  <c r="U10" i="30" s="1"/>
  <c r="D10" i="30"/>
  <c r="C10" i="30"/>
  <c r="B10" i="30"/>
  <c r="A10" i="30" s="1"/>
  <c r="D9" i="30"/>
  <c r="D8" i="30"/>
  <c r="D6" i="30"/>
  <c r="T5" i="30"/>
  <c r="T6" i="30" s="1"/>
  <c r="D5" i="30"/>
  <c r="C5" i="30"/>
  <c r="B5" i="30"/>
  <c r="A5" i="30" s="1"/>
  <c r="T4" i="30"/>
  <c r="O4" i="30"/>
  <c r="O5" i="30" s="1"/>
  <c r="J4" i="30"/>
  <c r="J5" i="30" s="1"/>
  <c r="W3" i="30"/>
  <c r="V3" i="30"/>
  <c r="U3" i="30"/>
  <c r="W2" i="30"/>
  <c r="V2" i="30"/>
  <c r="U2" i="30"/>
  <c r="BO1" i="30"/>
  <c r="AT1" i="30"/>
  <c r="Y1" i="30"/>
  <c r="E9" i="29"/>
  <c r="E8" i="29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/>
  <c r="D12" i="29"/>
  <c r="D11" i="29"/>
  <c r="C11" i="29"/>
  <c r="D9" i="29"/>
  <c r="D8" i="29"/>
  <c r="D6" i="29"/>
  <c r="D5" i="29"/>
  <c r="T4" i="29"/>
  <c r="T5" i="29" s="1"/>
  <c r="O4" i="29"/>
  <c r="J4" i="29"/>
  <c r="J5" i="29" s="1"/>
  <c r="W3" i="29"/>
  <c r="V3" i="29"/>
  <c r="U3" i="29"/>
  <c r="W2" i="29"/>
  <c r="V2" i="29"/>
  <c r="U2" i="29"/>
  <c r="BO1" i="29"/>
  <c r="AT1" i="29"/>
  <c r="Y1" i="29"/>
  <c r="U11" i="30" l="1"/>
  <c r="V11" i="30"/>
  <c r="W11" i="30"/>
  <c r="V10" i="30"/>
  <c r="W10" i="30"/>
  <c r="W4" i="30"/>
  <c r="J6" i="30"/>
  <c r="U5" i="30"/>
  <c r="T7" i="30"/>
  <c r="O6" i="30"/>
  <c r="W6" i="30" s="1"/>
  <c r="V5" i="30"/>
  <c r="C7" i="30"/>
  <c r="D7" i="30"/>
  <c r="W5" i="30"/>
  <c r="B7" i="30"/>
  <c r="B8" i="30" s="1"/>
  <c r="C8" i="30"/>
  <c r="B6" i="30"/>
  <c r="A6" i="30" s="1"/>
  <c r="U4" i="30"/>
  <c r="C6" i="30"/>
  <c r="V4" i="30"/>
  <c r="V4" i="29"/>
  <c r="J6" i="29"/>
  <c r="T6" i="29"/>
  <c r="U4" i="29"/>
  <c r="C6" i="29"/>
  <c r="C7" i="29" s="1"/>
  <c r="C8" i="29" s="1"/>
  <c r="C9" i="29" s="1"/>
  <c r="O5" i="29"/>
  <c r="U5" i="29" s="1"/>
  <c r="W4" i="29"/>
  <c r="C12" i="29"/>
  <c r="B6" i="29"/>
  <c r="B5" i="29"/>
  <c r="D7" i="29"/>
  <c r="C10" i="29"/>
  <c r="C5" i="29"/>
  <c r="D10" i="29"/>
  <c r="D13" i="28"/>
  <c r="E12" i="28"/>
  <c r="E11" i="28"/>
  <c r="D11" i="28" s="1"/>
  <c r="E10" i="28"/>
  <c r="D10" i="28" s="1"/>
  <c r="E9" i="28"/>
  <c r="E8" i="28"/>
  <c r="D8" i="28" s="1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C13" i="28"/>
  <c r="D12" i="28"/>
  <c r="D9" i="28"/>
  <c r="B6" i="28"/>
  <c r="T5" i="28"/>
  <c r="T6" i="28" s="1"/>
  <c r="O5" i="28"/>
  <c r="O6" i="28" s="1"/>
  <c r="J5" i="28"/>
  <c r="J6" i="28" s="1"/>
  <c r="C5" i="28"/>
  <c r="C6" i="28" s="1"/>
  <c r="C7" i="28" s="1"/>
  <c r="D5" i="28"/>
  <c r="B5" i="28"/>
  <c r="A5" i="28"/>
  <c r="T4" i="28"/>
  <c r="O4" i="28"/>
  <c r="J4" i="28"/>
  <c r="W3" i="28"/>
  <c r="V3" i="28"/>
  <c r="U3" i="28"/>
  <c r="W2" i="28"/>
  <c r="V2" i="28"/>
  <c r="U2" i="28"/>
  <c r="BO1" i="28"/>
  <c r="AT1" i="28"/>
  <c r="Y1" i="28"/>
  <c r="E13" i="27"/>
  <c r="C13" i="27" s="1"/>
  <c r="E12" i="27"/>
  <c r="C12" i="27" s="1"/>
  <c r="E11" i="27"/>
  <c r="B11" i="27" s="1"/>
  <c r="E10" i="27"/>
  <c r="E9" i="27"/>
  <c r="E8" i="27"/>
  <c r="C8" i="27" s="1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 s="1"/>
  <c r="T13" i="27"/>
  <c r="O13" i="27"/>
  <c r="V13" i="27" s="1"/>
  <c r="J13" i="27"/>
  <c r="T12" i="27"/>
  <c r="O12" i="27"/>
  <c r="J12" i="27"/>
  <c r="D12" i="27"/>
  <c r="B12" i="27"/>
  <c r="A12" i="27"/>
  <c r="T11" i="27"/>
  <c r="O11" i="27"/>
  <c r="J11" i="27"/>
  <c r="D11" i="27"/>
  <c r="C11" i="27"/>
  <c r="T10" i="27"/>
  <c r="O10" i="27"/>
  <c r="J10" i="27"/>
  <c r="D10" i="27"/>
  <c r="C10" i="27"/>
  <c r="B10" i="27"/>
  <c r="A10" i="27" s="1"/>
  <c r="D9" i="27"/>
  <c r="D6" i="27"/>
  <c r="J5" i="27"/>
  <c r="J6" i="27" s="1"/>
  <c r="D5" i="27"/>
  <c r="T4" i="27"/>
  <c r="T5" i="27" s="1"/>
  <c r="O4" i="27"/>
  <c r="O5" i="27" s="1"/>
  <c r="J4" i="27"/>
  <c r="W3" i="27"/>
  <c r="V3" i="27"/>
  <c r="U3" i="27"/>
  <c r="W2" i="27"/>
  <c r="V2" i="27"/>
  <c r="U2" i="27"/>
  <c r="BO1" i="27"/>
  <c r="AT1" i="27"/>
  <c r="Y1" i="27"/>
  <c r="E9" i="26"/>
  <c r="C9" i="26" s="1"/>
  <c r="E8" i="26"/>
  <c r="E7" i="26"/>
  <c r="E6" i="26"/>
  <c r="D6" i="26" s="1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T11" i="26"/>
  <c r="W11" i="26" s="1"/>
  <c r="O11" i="26"/>
  <c r="V11" i="26" s="1"/>
  <c r="J11" i="26"/>
  <c r="U11" i="26" s="1"/>
  <c r="D11" i="26"/>
  <c r="C11" i="26"/>
  <c r="B11" i="26"/>
  <c r="A11" i="26"/>
  <c r="D10" i="26"/>
  <c r="C10" i="26"/>
  <c r="D7" i="26"/>
  <c r="C6" i="26"/>
  <c r="A5" i="26"/>
  <c r="C5" i="26"/>
  <c r="B5" i="26"/>
  <c r="T4" i="26"/>
  <c r="T5" i="26" s="1"/>
  <c r="O4" i="26"/>
  <c r="O5" i="26" s="1"/>
  <c r="J4" i="26"/>
  <c r="J5" i="26" s="1"/>
  <c r="W3" i="26"/>
  <c r="V3" i="26"/>
  <c r="U3" i="26"/>
  <c r="W2" i="26"/>
  <c r="V2" i="26"/>
  <c r="U2" i="26"/>
  <c r="BO1" i="26"/>
  <c r="AT1" i="26"/>
  <c r="Y1" i="26"/>
  <c r="B11" i="25"/>
  <c r="A11" i="25" s="1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T11" i="25"/>
  <c r="W11" i="25" s="1"/>
  <c r="O11" i="25"/>
  <c r="V11" i="25" s="1"/>
  <c r="J11" i="25"/>
  <c r="U11" i="25" s="1"/>
  <c r="C11" i="25"/>
  <c r="C10" i="25"/>
  <c r="D9" i="25"/>
  <c r="C8" i="25"/>
  <c r="C9" i="25" s="1"/>
  <c r="J7" i="25"/>
  <c r="D7" i="25"/>
  <c r="D8" i="25" s="1"/>
  <c r="C7" i="25"/>
  <c r="J6" i="25"/>
  <c r="D6" i="25"/>
  <c r="J5" i="25"/>
  <c r="B5" i="25"/>
  <c r="D5" i="25"/>
  <c r="T4" i="25"/>
  <c r="T5" i="25" s="1"/>
  <c r="O4" i="25"/>
  <c r="O5" i="25" s="1"/>
  <c r="J4" i="25"/>
  <c r="W3" i="25"/>
  <c r="V3" i="25"/>
  <c r="U3" i="25"/>
  <c r="W2" i="25"/>
  <c r="V2" i="25"/>
  <c r="U2" i="25"/>
  <c r="BO1" i="25"/>
  <c r="AT1" i="25"/>
  <c r="Y1" i="25"/>
  <c r="E10" i="24"/>
  <c r="C10" i="24" s="1"/>
  <c r="E9" i="24"/>
  <c r="E8" i="24"/>
  <c r="E7" i="24"/>
  <c r="E6" i="24"/>
  <c r="E5" i="24"/>
  <c r="D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 s="1"/>
  <c r="D9" i="24"/>
  <c r="D8" i="24"/>
  <c r="C8" i="24"/>
  <c r="C9" i="24" s="1"/>
  <c r="D7" i="24"/>
  <c r="D6" i="24"/>
  <c r="J5" i="24"/>
  <c r="J6" i="24" s="1"/>
  <c r="T4" i="24"/>
  <c r="T5" i="24" s="1"/>
  <c r="O4" i="24"/>
  <c r="J4" i="24"/>
  <c r="W3" i="24"/>
  <c r="V3" i="24"/>
  <c r="U3" i="24"/>
  <c r="W2" i="24"/>
  <c r="V2" i="24"/>
  <c r="U2" i="24"/>
  <c r="BO1" i="24"/>
  <c r="AT1" i="24"/>
  <c r="Y1" i="24"/>
  <c r="A11" i="23"/>
  <c r="E10" i="23"/>
  <c r="E9" i="23"/>
  <c r="C9" i="23" s="1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C11" i="23"/>
  <c r="B11" i="23"/>
  <c r="C10" i="23"/>
  <c r="D10" i="23"/>
  <c r="D8" i="23"/>
  <c r="D7" i="23"/>
  <c r="D6" i="23"/>
  <c r="O5" i="23"/>
  <c r="O6" i="23" s="1"/>
  <c r="B5" i="23"/>
  <c r="C5" i="23"/>
  <c r="T4" i="23"/>
  <c r="T5" i="23" s="1"/>
  <c r="O4" i="23"/>
  <c r="J4" i="23"/>
  <c r="W3" i="23"/>
  <c r="V3" i="23"/>
  <c r="U3" i="23"/>
  <c r="W2" i="23"/>
  <c r="V2" i="23"/>
  <c r="U2" i="23"/>
  <c r="BO1" i="23"/>
  <c r="AT1" i="23"/>
  <c r="Y1" i="23"/>
  <c r="D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D10" i="22"/>
  <c r="D9" i="22"/>
  <c r="D8" i="22"/>
  <c r="D7" i="22"/>
  <c r="O6" i="22"/>
  <c r="O7" i="22" s="1"/>
  <c r="B6" i="22"/>
  <c r="T5" i="22"/>
  <c r="T6" i="22" s="1"/>
  <c r="O5" i="22"/>
  <c r="J5" i="22"/>
  <c r="D5" i="22"/>
  <c r="B5" i="22"/>
  <c r="A5" i="22" s="1"/>
  <c r="T4" i="22"/>
  <c r="O4" i="22"/>
  <c r="J4" i="22"/>
  <c r="W3" i="22"/>
  <c r="V3" i="22"/>
  <c r="U3" i="22"/>
  <c r="W2" i="22"/>
  <c r="V2" i="22"/>
  <c r="U2" i="22"/>
  <c r="BO1" i="22"/>
  <c r="AT1" i="22"/>
  <c r="Y1" i="22"/>
  <c r="E13" i="20"/>
  <c r="E12" i="20"/>
  <c r="D12" i="20" s="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/>
  <c r="T12" i="20"/>
  <c r="O12" i="20"/>
  <c r="J12" i="20"/>
  <c r="B12" i="20"/>
  <c r="T11" i="20"/>
  <c r="O11" i="20"/>
  <c r="J11" i="20"/>
  <c r="U11" i="20" s="1"/>
  <c r="D11" i="20"/>
  <c r="C11" i="20"/>
  <c r="B11" i="20"/>
  <c r="A11" i="20"/>
  <c r="C10" i="20"/>
  <c r="D9" i="20"/>
  <c r="D8" i="20"/>
  <c r="C8" i="20"/>
  <c r="J7" i="20"/>
  <c r="J8" i="20" s="1"/>
  <c r="D7" i="20"/>
  <c r="J6" i="20"/>
  <c r="J5" i="20"/>
  <c r="D5" i="20"/>
  <c r="T4" i="20"/>
  <c r="T5" i="20" s="1"/>
  <c r="O4" i="20"/>
  <c r="O5" i="20" s="1"/>
  <c r="J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B9" i="30" l="1"/>
  <c r="A7" i="30"/>
  <c r="A8" i="30" s="1"/>
  <c r="O7" i="30"/>
  <c r="V6" i="30"/>
  <c r="T8" i="30"/>
  <c r="J7" i="30"/>
  <c r="U6" i="30"/>
  <c r="W5" i="29"/>
  <c r="B7" i="29"/>
  <c r="O6" i="29"/>
  <c r="V5" i="29"/>
  <c r="T7" i="29"/>
  <c r="W6" i="29"/>
  <c r="J7" i="29"/>
  <c r="U6" i="29"/>
  <c r="A5" i="29"/>
  <c r="A6" i="29" s="1"/>
  <c r="W4" i="28"/>
  <c r="U4" i="28"/>
  <c r="V4" i="28"/>
  <c r="J7" i="28"/>
  <c r="U6" i="28"/>
  <c r="O7" i="28"/>
  <c r="V6" i="28"/>
  <c r="W6" i="28"/>
  <c r="T7" i="28"/>
  <c r="C11" i="28"/>
  <c r="C12" i="28" s="1"/>
  <c r="D6" i="28"/>
  <c r="D7" i="28" s="1"/>
  <c r="C9" i="28"/>
  <c r="B7" i="28"/>
  <c r="A7" i="28" s="1"/>
  <c r="U5" i="28"/>
  <c r="V5" i="28"/>
  <c r="C10" i="28"/>
  <c r="W5" i="28"/>
  <c r="A6" i="28"/>
  <c r="C8" i="28"/>
  <c r="W13" i="27"/>
  <c r="U13" i="27"/>
  <c r="B13" i="27"/>
  <c r="A13" i="27" s="1"/>
  <c r="D13" i="27"/>
  <c r="U12" i="27"/>
  <c r="V12" i="27"/>
  <c r="W12" i="27"/>
  <c r="W11" i="27"/>
  <c r="U11" i="27"/>
  <c r="V11" i="27"/>
  <c r="A11" i="27"/>
  <c r="U10" i="27"/>
  <c r="V10" i="27"/>
  <c r="W10" i="27"/>
  <c r="D8" i="27"/>
  <c r="T6" i="27"/>
  <c r="W5" i="27"/>
  <c r="J7" i="27"/>
  <c r="O6" i="27"/>
  <c r="V5" i="27"/>
  <c r="U5" i="27"/>
  <c r="B5" i="27"/>
  <c r="D7" i="27"/>
  <c r="C5" i="27"/>
  <c r="C6" i="27" s="1"/>
  <c r="C7" i="27" s="1"/>
  <c r="U4" i="27"/>
  <c r="V4" i="27"/>
  <c r="C9" i="27"/>
  <c r="W4" i="27"/>
  <c r="J6" i="26"/>
  <c r="U5" i="26"/>
  <c r="O6" i="26"/>
  <c r="V5" i="26"/>
  <c r="W5" i="26"/>
  <c r="T6" i="26"/>
  <c r="D5" i="26"/>
  <c r="C8" i="26"/>
  <c r="B6" i="26"/>
  <c r="D8" i="26"/>
  <c r="U4" i="26"/>
  <c r="V4" i="26"/>
  <c r="W4" i="26"/>
  <c r="D9" i="26"/>
  <c r="C7" i="26"/>
  <c r="D11" i="25"/>
  <c r="O6" i="25"/>
  <c r="V5" i="25"/>
  <c r="U5" i="25"/>
  <c r="T6" i="25"/>
  <c r="W5" i="25"/>
  <c r="A5" i="25"/>
  <c r="A6" i="25" s="1"/>
  <c r="C5" i="25"/>
  <c r="D10" i="25"/>
  <c r="B6" i="25"/>
  <c r="U4" i="25"/>
  <c r="C6" i="25"/>
  <c r="V4" i="25"/>
  <c r="J8" i="25"/>
  <c r="W4" i="25"/>
  <c r="B7" i="25"/>
  <c r="V4" i="24"/>
  <c r="J7" i="24"/>
  <c r="T6" i="24"/>
  <c r="O5" i="24"/>
  <c r="B5" i="24"/>
  <c r="A5" i="24" s="1"/>
  <c r="C5" i="24"/>
  <c r="D10" i="24"/>
  <c r="U4" i="24"/>
  <c r="C6" i="24"/>
  <c r="C7" i="24" s="1"/>
  <c r="W4" i="24"/>
  <c r="D11" i="23"/>
  <c r="V4" i="23"/>
  <c r="O7" i="23"/>
  <c r="T6" i="23"/>
  <c r="D5" i="23"/>
  <c r="C8" i="23"/>
  <c r="B6" i="23"/>
  <c r="A6" i="23" s="1"/>
  <c r="U4" i="23"/>
  <c r="J5" i="23"/>
  <c r="V5" i="23" s="1"/>
  <c r="C6" i="23"/>
  <c r="W4" i="23"/>
  <c r="D9" i="23"/>
  <c r="A5" i="23"/>
  <c r="C7" i="23"/>
  <c r="U4" i="22"/>
  <c r="W4" i="22"/>
  <c r="V4" i="22"/>
  <c r="V5" i="22"/>
  <c r="T7" i="22"/>
  <c r="O8" i="22"/>
  <c r="C11" i="22"/>
  <c r="C12" i="22" s="1"/>
  <c r="D6" i="22"/>
  <c r="C9" i="22"/>
  <c r="C10" i="22" s="1"/>
  <c r="B7" i="22"/>
  <c r="A7" i="22" s="1"/>
  <c r="U5" i="22"/>
  <c r="J6" i="22"/>
  <c r="C7" i="22"/>
  <c r="C8" i="22" s="1"/>
  <c r="D12" i="22"/>
  <c r="C5" i="22"/>
  <c r="C6" i="22" s="1"/>
  <c r="W5" i="22"/>
  <c r="B8" i="22"/>
  <c r="B9" i="22" s="1"/>
  <c r="C13" i="22"/>
  <c r="A6" i="22"/>
  <c r="V13" i="20"/>
  <c r="W13" i="20"/>
  <c r="U13" i="20"/>
  <c r="U12" i="20"/>
  <c r="V12" i="20"/>
  <c r="W12" i="20"/>
  <c r="A12" i="20"/>
  <c r="C12" i="20"/>
  <c r="V11" i="20"/>
  <c r="W11" i="20"/>
  <c r="T6" i="20"/>
  <c r="W5" i="20"/>
  <c r="J9" i="20"/>
  <c r="A5" i="20"/>
  <c r="U5" i="20"/>
  <c r="O6" i="20"/>
  <c r="V5" i="20"/>
  <c r="B7" i="20"/>
  <c r="B8" i="20" s="1"/>
  <c r="B5" i="20"/>
  <c r="C5" i="20"/>
  <c r="D10" i="20"/>
  <c r="U4" i="20"/>
  <c r="C6" i="20"/>
  <c r="C7" i="20" s="1"/>
  <c r="V4" i="20"/>
  <c r="D6" i="20"/>
  <c r="C9" i="20"/>
  <c r="W4" i="20"/>
  <c r="B6" i="20"/>
  <c r="W3" i="19"/>
  <c r="V3" i="19"/>
  <c r="U3" i="19"/>
  <c r="A9" i="30" l="1"/>
  <c r="J8" i="30"/>
  <c r="U7" i="30"/>
  <c r="T9" i="30"/>
  <c r="V7" i="30"/>
  <c r="O8" i="30"/>
  <c r="W7" i="30"/>
  <c r="J8" i="29"/>
  <c r="T8" i="29"/>
  <c r="O7" i="29"/>
  <c r="V6" i="29"/>
  <c r="B8" i="29"/>
  <c r="A7" i="29"/>
  <c r="T8" i="28"/>
  <c r="W7" i="28"/>
  <c r="O8" i="28"/>
  <c r="V7" i="28"/>
  <c r="B8" i="28"/>
  <c r="A8" i="28" s="1"/>
  <c r="J8" i="28"/>
  <c r="U7" i="28"/>
  <c r="V6" i="27"/>
  <c r="O7" i="27"/>
  <c r="J8" i="27"/>
  <c r="U6" i="27"/>
  <c r="B6" i="27"/>
  <c r="A5" i="27"/>
  <c r="W6" i="27"/>
  <c r="T7" i="27"/>
  <c r="U7" i="27" s="1"/>
  <c r="T7" i="26"/>
  <c r="W6" i="26"/>
  <c r="A6" i="26"/>
  <c r="B7" i="26"/>
  <c r="O7" i="26"/>
  <c r="V6" i="26"/>
  <c r="J7" i="26"/>
  <c r="U6" i="26"/>
  <c r="A7" i="25"/>
  <c r="T7" i="25"/>
  <c r="W6" i="25"/>
  <c r="B8" i="25"/>
  <c r="A8" i="25" s="1"/>
  <c r="J9" i="25"/>
  <c r="O7" i="25"/>
  <c r="V6" i="25"/>
  <c r="U6" i="25"/>
  <c r="J8" i="24"/>
  <c r="B6" i="24"/>
  <c r="O6" i="24"/>
  <c r="V5" i="24"/>
  <c r="W5" i="24"/>
  <c r="A6" i="24"/>
  <c r="U5" i="24"/>
  <c r="T7" i="24"/>
  <c r="T7" i="23"/>
  <c r="B7" i="23"/>
  <c r="U5" i="23"/>
  <c r="J6" i="23"/>
  <c r="W5" i="23"/>
  <c r="O8" i="23"/>
  <c r="B10" i="22"/>
  <c r="J7" i="22"/>
  <c r="U6" i="22"/>
  <c r="A9" i="22"/>
  <c r="V6" i="22"/>
  <c r="O9" i="22"/>
  <c r="A8" i="22"/>
  <c r="W6" i="22"/>
  <c r="T8" i="22"/>
  <c r="W7" i="22"/>
  <c r="B9" i="20"/>
  <c r="T7" i="20"/>
  <c r="W6" i="20"/>
  <c r="V6" i="20"/>
  <c r="U6" i="20"/>
  <c r="O7" i="20"/>
  <c r="A6" i="20"/>
  <c r="A7" i="20" s="1"/>
  <c r="A8" i="20" s="1"/>
  <c r="J10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8" i="30" l="1"/>
  <c r="O9" i="30"/>
  <c r="W8" i="30"/>
  <c r="J9" i="30"/>
  <c r="U9" i="30" s="1"/>
  <c r="U8" i="30"/>
  <c r="B9" i="29"/>
  <c r="O8" i="29"/>
  <c r="V7" i="29"/>
  <c r="W7" i="29"/>
  <c r="A8" i="29"/>
  <c r="T9" i="29"/>
  <c r="W8" i="29"/>
  <c r="J9" i="29"/>
  <c r="U8" i="29"/>
  <c r="U7" i="29"/>
  <c r="J9" i="28"/>
  <c r="U8" i="28"/>
  <c r="B9" i="28"/>
  <c r="A9" i="28" s="1"/>
  <c r="O9" i="28"/>
  <c r="V8" i="28"/>
  <c r="T9" i="28"/>
  <c r="W8" i="28"/>
  <c r="B7" i="27"/>
  <c r="A7" i="27" s="1"/>
  <c r="A6" i="27"/>
  <c r="J9" i="27"/>
  <c r="W7" i="27"/>
  <c r="T8" i="27"/>
  <c r="O8" i="27"/>
  <c r="U8" i="27" s="1"/>
  <c r="V7" i="27"/>
  <c r="A7" i="26"/>
  <c r="T8" i="26"/>
  <c r="W7" i="26"/>
  <c r="J8" i="26"/>
  <c r="U7" i="26"/>
  <c r="O8" i="26"/>
  <c r="V7" i="26"/>
  <c r="B8" i="26"/>
  <c r="A8" i="26" s="1"/>
  <c r="J10" i="25"/>
  <c r="O8" i="25"/>
  <c r="V7" i="25"/>
  <c r="U7" i="25"/>
  <c r="B9" i="25"/>
  <c r="T8" i="25"/>
  <c r="W7" i="25"/>
  <c r="T8" i="24"/>
  <c r="V6" i="24"/>
  <c r="O7" i="24"/>
  <c r="U6" i="24"/>
  <c r="B7" i="24"/>
  <c r="W6" i="24"/>
  <c r="J9" i="24"/>
  <c r="O9" i="23"/>
  <c r="J7" i="23"/>
  <c r="W7" i="23" s="1"/>
  <c r="U6" i="23"/>
  <c r="V6" i="23"/>
  <c r="W6" i="23"/>
  <c r="B8" i="23"/>
  <c r="A8" i="23" s="1"/>
  <c r="T8" i="23"/>
  <c r="A7" i="23"/>
  <c r="O10" i="22"/>
  <c r="T9" i="22"/>
  <c r="B11" i="22"/>
  <c r="J8" i="22"/>
  <c r="U7" i="22"/>
  <c r="V7" i="22"/>
  <c r="A10" i="22"/>
  <c r="A9" i="20"/>
  <c r="O8" i="20"/>
  <c r="V7" i="20"/>
  <c r="U7" i="20"/>
  <c r="W7" i="20"/>
  <c r="T8" i="20"/>
  <c r="B10" i="20"/>
  <c r="A10" i="20" s="1"/>
  <c r="U10" i="19"/>
  <c r="W10" i="19"/>
  <c r="V10" i="19"/>
  <c r="V9" i="19"/>
  <c r="W9" i="19"/>
  <c r="U8" i="19"/>
  <c r="V8" i="19"/>
  <c r="V7" i="19"/>
  <c r="W7" i="19"/>
  <c r="C6" i="19"/>
  <c r="W4" i="19"/>
  <c r="V6" i="19"/>
  <c r="W6" i="19"/>
  <c r="U4" i="19"/>
  <c r="V4" i="19"/>
  <c r="T5" i="19"/>
  <c r="J5" i="19"/>
  <c r="O5" i="19"/>
  <c r="V9" i="30" l="1"/>
  <c r="W9" i="30"/>
  <c r="T10" i="29"/>
  <c r="O9" i="29"/>
  <c r="U9" i="29" s="1"/>
  <c r="V8" i="29"/>
  <c r="B10" i="29"/>
  <c r="A10" i="29" s="1"/>
  <c r="J10" i="29"/>
  <c r="A9" i="29"/>
  <c r="T10" i="28"/>
  <c r="W9" i="28"/>
  <c r="B10" i="28"/>
  <c r="O10" i="28"/>
  <c r="V9" i="28"/>
  <c r="J10" i="28"/>
  <c r="U9" i="28"/>
  <c r="W8" i="27"/>
  <c r="T9" i="27"/>
  <c r="W9" i="27" s="1"/>
  <c r="O9" i="27"/>
  <c r="V9" i="27" s="1"/>
  <c r="V8" i="27"/>
  <c r="U9" i="27"/>
  <c r="B8" i="27"/>
  <c r="A8" i="27" s="1"/>
  <c r="T9" i="26"/>
  <c r="W8" i="26"/>
  <c r="J9" i="26"/>
  <c r="U8" i="26"/>
  <c r="B9" i="26"/>
  <c r="O9" i="26"/>
  <c r="V8" i="26"/>
  <c r="O9" i="25"/>
  <c r="V8" i="25"/>
  <c r="U8" i="25"/>
  <c r="W8" i="25"/>
  <c r="T9" i="25"/>
  <c r="B10" i="25"/>
  <c r="A10" i="25" s="1"/>
  <c r="A9" i="25"/>
  <c r="J10" i="24"/>
  <c r="B8" i="24"/>
  <c r="A8" i="24"/>
  <c r="A7" i="24"/>
  <c r="T9" i="24"/>
  <c r="V7" i="24"/>
  <c r="O8" i="24"/>
  <c r="U7" i="24"/>
  <c r="W7" i="24"/>
  <c r="A9" i="23"/>
  <c r="B9" i="23"/>
  <c r="J8" i="23"/>
  <c r="U7" i="23"/>
  <c r="V7" i="23"/>
  <c r="T9" i="23"/>
  <c r="W8" i="23"/>
  <c r="O10" i="23"/>
  <c r="B12" i="22"/>
  <c r="T10" i="22"/>
  <c r="A11" i="22"/>
  <c r="O11" i="22"/>
  <c r="U8" i="22"/>
  <c r="J9" i="22"/>
  <c r="W9" i="22" s="1"/>
  <c r="V8" i="22"/>
  <c r="W8" i="22"/>
  <c r="W8" i="20"/>
  <c r="T9" i="20"/>
  <c r="O9" i="20"/>
  <c r="V8" i="20"/>
  <c r="U8" i="20"/>
  <c r="V5" i="19"/>
  <c r="U5" i="19"/>
  <c r="W5" i="19"/>
  <c r="J11" i="29" l="1"/>
  <c r="O10" i="29"/>
  <c r="V9" i="29"/>
  <c r="W9" i="29"/>
  <c r="B11" i="29"/>
  <c r="A11" i="29" s="1"/>
  <c r="T11" i="29"/>
  <c r="J11" i="28"/>
  <c r="U10" i="28"/>
  <c r="B11" i="28"/>
  <c r="O11" i="28"/>
  <c r="V10" i="28"/>
  <c r="A10" i="28"/>
  <c r="A11" i="28" s="1"/>
  <c r="T11" i="28"/>
  <c r="W10" i="28"/>
  <c r="B9" i="27"/>
  <c r="A9" i="27" s="1"/>
  <c r="T10" i="26"/>
  <c r="W10" i="26" s="1"/>
  <c r="W9" i="26"/>
  <c r="O10" i="26"/>
  <c r="V10" i="26" s="1"/>
  <c r="V9" i="26"/>
  <c r="J10" i="26"/>
  <c r="U9" i="26"/>
  <c r="B10" i="26"/>
  <c r="A9" i="26"/>
  <c r="W9" i="25"/>
  <c r="T10" i="25"/>
  <c r="O10" i="25"/>
  <c r="V9" i="25"/>
  <c r="U9" i="25"/>
  <c r="O9" i="24"/>
  <c r="V8" i="24"/>
  <c r="U8" i="24"/>
  <c r="T10" i="24"/>
  <c r="W8" i="24"/>
  <c r="B9" i="24"/>
  <c r="T10" i="23"/>
  <c r="J9" i="23"/>
  <c r="U8" i="23"/>
  <c r="V8" i="23"/>
  <c r="B10" i="23"/>
  <c r="A10" i="23" s="1"/>
  <c r="T11" i="22"/>
  <c r="O12" i="22"/>
  <c r="B13" i="22"/>
  <c r="A13" i="22" s="1"/>
  <c r="J10" i="22"/>
  <c r="U9" i="22"/>
  <c r="V9" i="22"/>
  <c r="A12" i="22"/>
  <c r="T10" i="20"/>
  <c r="W9" i="20"/>
  <c r="V9" i="20"/>
  <c r="O10" i="20"/>
  <c r="U9" i="20"/>
  <c r="O11" i="29" l="1"/>
  <c r="V10" i="29"/>
  <c r="B12" i="29"/>
  <c r="A12" i="29" s="1"/>
  <c r="U10" i="29"/>
  <c r="T12" i="29"/>
  <c r="W11" i="29"/>
  <c r="W10" i="29"/>
  <c r="J12" i="29"/>
  <c r="U11" i="29"/>
  <c r="T12" i="28"/>
  <c r="W11" i="28"/>
  <c r="O12" i="28"/>
  <c r="V11" i="28"/>
  <c r="B12" i="28"/>
  <c r="J12" i="28"/>
  <c r="U11" i="28"/>
  <c r="A10" i="26"/>
  <c r="U10" i="26"/>
  <c r="W10" i="25"/>
  <c r="V10" i="25"/>
  <c r="U10" i="25"/>
  <c r="B10" i="24"/>
  <c r="A10" i="24" s="1"/>
  <c r="O10" i="24"/>
  <c r="V9" i="24"/>
  <c r="U9" i="24"/>
  <c r="W10" i="24"/>
  <c r="A9" i="24"/>
  <c r="W9" i="24"/>
  <c r="J10" i="23"/>
  <c r="W10" i="23" s="1"/>
  <c r="U9" i="23"/>
  <c r="V9" i="23"/>
  <c r="W9" i="23"/>
  <c r="O13" i="22"/>
  <c r="J11" i="22"/>
  <c r="U10" i="22"/>
  <c r="V10" i="22"/>
  <c r="T12" i="22"/>
  <c r="W11" i="22"/>
  <c r="W10" i="22"/>
  <c r="W10" i="20"/>
  <c r="V10" i="20"/>
  <c r="U10" i="20"/>
  <c r="O12" i="29" l="1"/>
  <c r="V12" i="29" s="1"/>
  <c r="V11" i="29"/>
  <c r="B13" i="28"/>
  <c r="A13" i="28" s="1"/>
  <c r="J13" i="28"/>
  <c r="U12" i="28"/>
  <c r="A12" i="28"/>
  <c r="O13" i="28"/>
  <c r="V12" i="28"/>
  <c r="T13" i="28"/>
  <c r="W12" i="28"/>
  <c r="V10" i="24"/>
  <c r="U10" i="24"/>
  <c r="U10" i="23"/>
  <c r="V10" i="23"/>
  <c r="J12" i="22"/>
  <c r="U11" i="22"/>
  <c r="V11" i="22"/>
  <c r="T13" i="22"/>
  <c r="W12" i="22"/>
  <c r="U12" i="29" l="1"/>
  <c r="W12" i="29"/>
  <c r="V13" i="28"/>
  <c r="W13" i="28"/>
  <c r="U13" i="28"/>
  <c r="U12" i="22"/>
  <c r="J13" i="22"/>
  <c r="V12" i="22"/>
  <c r="U13" i="22" l="1"/>
  <c r="V13" i="22"/>
  <c r="W13" i="22"/>
</calcChain>
</file>

<file path=xl/sharedStrings.xml><?xml version="1.0" encoding="utf-8"?>
<sst xmlns="http://schemas.openxmlformats.org/spreadsheetml/2006/main" count="1578" uniqueCount="209">
  <si>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</si>
  <si>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</si>
  <si>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</si>
  <si>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</si>
  <si>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</si>
  <si>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</si>
  <si>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</si>
  <si>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</si>
  <si>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</si>
  <si>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</si>
  <si>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</si>
  <si>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</si>
  <si>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</si>
  <si>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</si>
  <si>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</si>
  <si>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</si>
  <si>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</si>
  <si>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</si>
  <si>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</si>
  <si>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</si>
  <si>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</si>
  <si>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</si>
  <si>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</si>
  <si>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</si>
  <si>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</si>
  <si>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</si>
  <si>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</si>
  <si>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</si>
  <si>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</si>
  <si>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</si>
  <si>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</si>
  <si>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</si>
  <si>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</si>
  <si>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</si>
  <si>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</si>
  <si>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</si>
  <si>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</si>
  <si>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</si>
  <si>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</si>
  <si>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</si>
  <si>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</si>
  <si>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</si>
  <si>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</si>
  <si>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</si>
  <si>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</si>
  <si>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</si>
  <si>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</si>
  <si>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</si>
  <si>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</si>
  <si>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</si>
  <si>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</si>
  <si>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</si>
  <si>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</si>
  <si>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</si>
  <si>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</si>
  <si>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</si>
  <si>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</si>
  <si>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</si>
  <si>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</si>
  <si>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</si>
  <si>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</si>
  <si>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</si>
  <si>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</si>
  <si>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</si>
  <si>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</si>
  <si>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</si>
  <si>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</si>
  <si>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</si>
  <si>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</si>
  <si>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</si>
  <si>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</si>
  <si>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</si>
  <si>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</si>
  <si>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</si>
  <si>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</si>
  <si>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</si>
  <si>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</si>
  <si>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</si>
  <si>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</si>
  <si>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</si>
  <si>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</si>
  <si>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</si>
  <si>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</si>
  <si>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</si>
  <si>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</si>
  <si>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</si>
  <si>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</si>
  <si>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</si>
  <si>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</si>
  <si>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</si>
  <si>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</si>
  <si>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</si>
  <si>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</si>
  <si>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</si>
  <si>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</si>
  <si>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</si>
  <si>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</si>
  <si>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</si>
  <si>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</si>
  <si>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</si>
  <si>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</si>
  <si>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</si>
  <si>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</si>
  <si>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</si>
  <si>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</si>
  <si>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</si>
  <si>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</si>
  <si>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</si>
  <si>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</si>
  <si>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</si>
  <si>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</si>
  <si>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</si>
  <si>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</si>
  <si>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</si>
  <si>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</si>
  <si>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</si>
  <si>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</si>
  <si>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</si>
  <si>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</si>
  <si>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</si>
  <si>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</si>
  <si>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</si>
  <si>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</si>
  <si>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</si>
  <si>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</si>
  <si>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</si>
  <si>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</si>
  <si>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</si>
  <si>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</si>
  <si>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</si>
  <si>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</si>
  <si>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</si>
  <si>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</si>
  <si>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</si>
  <si>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</si>
  <si>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</si>
  <si>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</si>
  <si>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</si>
  <si>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</si>
  <si>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</si>
  <si>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</si>
  <si>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</si>
  <si>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</si>
  <si>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</si>
  <si>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</si>
  <si>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</si>
  <si>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</si>
  <si>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</si>
  <si>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</si>
  <si>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</si>
  <si>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</si>
  <si>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</si>
  <si>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</si>
  <si>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</si>
  <si>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</si>
  <si>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</si>
  <si>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</si>
  <si>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</si>
  <si>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</si>
  <si>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</si>
  <si>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</si>
  <si>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</si>
  <si>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</si>
  <si>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</si>
  <si>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</si>
  <si>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</si>
  <si>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</si>
  <si>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</si>
  <si>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</si>
  <si>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</si>
  <si>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</si>
  <si>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</si>
  <si>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</si>
  <si>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</si>
  <si>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</si>
  <si>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</si>
  <si>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</si>
  <si>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</si>
  <si>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</si>
  <si>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</si>
  <si>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</si>
  <si>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</si>
  <si>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</si>
  <si>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</si>
  <si>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</si>
  <si>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</si>
  <si>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</si>
  <si>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</si>
  <si>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</si>
  <si>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</si>
  <si>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</si>
  <si>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</si>
  <si>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  <phoneticPr fontId="1"/>
  </si>
  <si>
    <t>ただ</t>
    <phoneticPr fontId="1"/>
  </si>
  <si>
    <t>れんたろう</t>
  </si>
  <si>
    <t>れんたろう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</si>
  <si>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</si>
  <si>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</si>
  <si>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</si>
  <si>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</si>
  <si>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</si>
  <si>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</si>
  <si>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</si>
  <si>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T</t>
  </si>
  <si>
    <t>流局</t>
    <phoneticPr fontId="1"/>
  </si>
  <si>
    <t>N</t>
  </si>
  <si>
    <t>02</t>
  </si>
  <si>
    <t>チョンボ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</si>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</sst>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16000</v>
      </c>
      <c r="H4" s="9"/>
      <c r="I4" s="48">
        <v>0</v>
      </c>
      <c r="J4" s="21">
        <f>IF(COUNTA($F4,$K4,$P4)&gt;0,J3+SUM(G4:I4),"")</f>
        <v>51000</v>
      </c>
      <c r="K4" s="8" t="s">
        <v>197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197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36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-30</v>
      </c>
      <c r="Y4" s="8"/>
      <c r="Z4" s="34"/>
      <c r="AA4" s="26">
        <v>1</v>
      </c>
      <c r="AB4" s="26"/>
      <c r="AC4" s="26">
        <v>8</v>
      </c>
      <c r="AD4" s="30" t="s">
        <v>198</v>
      </c>
      <c r="AE4" s="40" t="s">
        <v>199</v>
      </c>
      <c r="AF4" s="41" t="s">
        <v>82</v>
      </c>
      <c r="AG4" s="41" t="s">
        <v>101</v>
      </c>
      <c r="AH4" s="41" t="s">
        <v>79</v>
      </c>
      <c r="AI4" s="41" t="s">
        <v>79</v>
      </c>
      <c r="AJ4" s="41" t="s">
        <v>80</v>
      </c>
      <c r="AK4" s="41" t="s">
        <v>80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197</v>
      </c>
      <c r="G5" s="9">
        <v>-5000</v>
      </c>
      <c r="H5" s="9"/>
      <c r="I5" s="48">
        <v>0</v>
      </c>
      <c r="J5" s="21">
        <f t="shared" ref="J5:J30" si="2">IF(COUNTA($F5,$K5,$P5)&gt;0,J4+SUM(G5:I5),"")</f>
        <v>46000</v>
      </c>
      <c r="K5" s="8" t="s">
        <v>197</v>
      </c>
      <c r="L5" s="9">
        <v>-3000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196</v>
      </c>
      <c r="Q5" s="9">
        <v>8000</v>
      </c>
      <c r="R5" s="9"/>
      <c r="S5" s="48">
        <v>0</v>
      </c>
      <c r="T5" s="21">
        <f t="shared" ref="T5:T30" si="4">IF(COUNTA($F5,$K5,$P5)&gt;0,T4+SUM(Q5:S5),"")</f>
        <v>33000</v>
      </c>
      <c r="U5" s="53">
        <f>IF($J5="","",ROUND(($J5-$J$3)/1000,1)+(_xlfn.RANK.AVG($J5,($J5,$O5,$T5),1)-2)*20)</f>
        <v>31</v>
      </c>
      <c r="V5" s="54">
        <f>IF($O5="","",ROUND(($O5-$O$3)/1000,1)+(_xlfn.RANK.AVG($O5,($J5,$O5,$T5),1)-2)*20)</f>
        <v>-29</v>
      </c>
      <c r="W5" s="55">
        <f>IF($T5="","",ROUND(($T5-$T$3)/1000,1)+(_xlfn.RANK.AVG($T5,($J5,$O5,$T5),1)-2)*20)</f>
        <v>-2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198</v>
      </c>
      <c r="BU5" s="40" t="s">
        <v>199</v>
      </c>
      <c r="BV5" s="41" t="s">
        <v>82</v>
      </c>
      <c r="BW5" s="41" t="s">
        <v>200</v>
      </c>
      <c r="BX5" s="41" t="s">
        <v>83</v>
      </c>
      <c r="BY5" s="41" t="s">
        <v>84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197</v>
      </c>
      <c r="G6" s="9">
        <v>-1500</v>
      </c>
      <c r="H6" s="9"/>
      <c r="I6" s="48">
        <v>0</v>
      </c>
      <c r="J6" s="21">
        <f t="shared" si="2"/>
        <v>44500</v>
      </c>
      <c r="K6" s="8" t="s">
        <v>196</v>
      </c>
      <c r="L6" s="9">
        <v>3000</v>
      </c>
      <c r="M6" s="9"/>
      <c r="N6" s="48">
        <v>0</v>
      </c>
      <c r="O6" s="21">
        <f t="shared" si="3"/>
        <v>29000</v>
      </c>
      <c r="P6" s="8" t="s">
        <v>197</v>
      </c>
      <c r="Q6" s="9">
        <v>-1500</v>
      </c>
      <c r="R6" s="9"/>
      <c r="S6" s="48">
        <v>0</v>
      </c>
      <c r="T6" s="21">
        <f t="shared" si="4"/>
        <v>31500</v>
      </c>
      <c r="U6" s="53">
        <f>IF($J6="","",ROUND(($J6-$J$3)/1000,1)+(_xlfn.RANK.AVG($J6,($J6,$O6,$T6),1)-2)*20)</f>
        <v>29.5</v>
      </c>
      <c r="V6" s="54">
        <f>IF($O6="","",ROUND(($O6-$O$3)/1000,1)+(_xlfn.RANK.AVG($O6,($J6,$O6,$T6),1)-2)*20)</f>
        <v>-26</v>
      </c>
      <c r="W6" s="55">
        <f>IF($T6="","",ROUND(($T6-$T$3)/1000,1)+(_xlfn.RANK.AVG($T6,($J6,$O6,$T6),1)-2)*20)</f>
        <v>-3.5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30</v>
      </c>
      <c r="AZ6" s="40" t="s">
        <v>82</v>
      </c>
      <c r="BA6" s="41" t="s">
        <v>85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201</v>
      </c>
      <c r="G7" s="9">
        <v>12000</v>
      </c>
      <c r="H7" s="9">
        <v>1000</v>
      </c>
      <c r="I7" s="48">
        <v>1000</v>
      </c>
      <c r="J7" s="21">
        <f t="shared" si="2"/>
        <v>58500</v>
      </c>
      <c r="K7" s="8" t="s">
        <v>202</v>
      </c>
      <c r="L7" s="9">
        <v>-12000</v>
      </c>
      <c r="M7" s="9">
        <v>-1000</v>
      </c>
      <c r="N7" s="48">
        <v>-1000</v>
      </c>
      <c r="O7" s="21">
        <f t="shared" si="3"/>
        <v>15000</v>
      </c>
      <c r="P7" s="8"/>
      <c r="Q7" s="9"/>
      <c r="R7" s="9"/>
      <c r="S7" s="48"/>
      <c r="T7" s="21">
        <f t="shared" si="4"/>
        <v>31500</v>
      </c>
      <c r="U7" s="53">
        <f>IF($J7="","",ROUND(($J7-$J$3)/1000,1)+(_xlfn.RANK.AVG($J7,($J7,$O7,$T7),1)-2)*20)</f>
        <v>43.5</v>
      </c>
      <c r="V7" s="54">
        <f>IF($O7="","",ROUND(($O7-$O$3)/1000,1)+(_xlfn.RANK.AVG($O7,($J7,$O7,$T7),1)-2)*20)</f>
        <v>-40</v>
      </c>
      <c r="W7" s="55">
        <f>IF($T7="","",ROUND(($T7-$T$3)/1000,1)+(_xlfn.RANK.AVG($T7,($J7,$O7,$T7),1)-2)*20)</f>
        <v>-3.5</v>
      </c>
      <c r="Y7" s="8"/>
      <c r="Z7" s="34"/>
      <c r="AA7" s="26"/>
      <c r="AB7" s="26"/>
      <c r="AC7" s="26">
        <v>6</v>
      </c>
      <c r="AD7" s="30" t="s">
        <v>198</v>
      </c>
      <c r="AE7" s="40" t="s">
        <v>84</v>
      </c>
      <c r="AF7" s="41" t="s">
        <v>104</v>
      </c>
      <c r="AG7" s="41" t="s">
        <v>86</v>
      </c>
      <c r="AH7" s="41" t="s">
        <v>200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201</v>
      </c>
      <c r="G8" s="9">
        <v>3900</v>
      </c>
      <c r="H8" s="9">
        <v>1000</v>
      </c>
      <c r="I8" s="48">
        <v>0</v>
      </c>
      <c r="J8" s="21">
        <f t="shared" si="2"/>
        <v>63400</v>
      </c>
      <c r="K8" s="8"/>
      <c r="L8" s="9"/>
      <c r="M8" s="9">
        <v>-1000</v>
      </c>
      <c r="N8" s="48"/>
      <c r="O8" s="21">
        <f t="shared" si="3"/>
        <v>14000</v>
      </c>
      <c r="P8" s="8" t="s">
        <v>202</v>
      </c>
      <c r="Q8" s="9">
        <v>-3900</v>
      </c>
      <c r="R8" s="9"/>
      <c r="S8" s="48">
        <v>0</v>
      </c>
      <c r="T8" s="21">
        <f t="shared" si="4"/>
        <v>27600</v>
      </c>
      <c r="U8" s="53">
        <f>IF($J8="","",ROUND(($J8-$J$3)/1000,1)+(_xlfn.RANK.AVG($J8,($J8,$O8,$T8),1)-2)*20)</f>
        <v>48.4</v>
      </c>
      <c r="V8" s="54">
        <f>IF($O8="","",ROUND(($O8-$O$3)/1000,1)+(_xlfn.RANK.AVG($O8,($J8,$O8,$T8),1)-2)*20)</f>
        <v>-41</v>
      </c>
      <c r="W8" s="55">
        <f>IF($T8="","",ROUND(($T8-$T$3)/1000,1)+(_xlfn.RANK.AVG($T8,($J8,$O8,$T8),1)-2)*20)</f>
        <v>-7.4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199</v>
      </c>
      <c r="AF8" s="41" t="s">
        <v>83</v>
      </c>
      <c r="AG8" s="41" t="s">
        <v>200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/>
      <c r="G9" s="9"/>
      <c r="H9" s="9">
        <v>-1000</v>
      </c>
      <c r="I9" s="48"/>
      <c r="J9" s="21">
        <f t="shared" si="2"/>
        <v>62400</v>
      </c>
      <c r="K9" s="8" t="s">
        <v>202</v>
      </c>
      <c r="L9" s="9">
        <v>-6400</v>
      </c>
      <c r="M9" s="9"/>
      <c r="N9" s="48">
        <v>0</v>
      </c>
      <c r="O9" s="21">
        <f t="shared" si="3"/>
        <v>7600</v>
      </c>
      <c r="P9" s="8" t="s">
        <v>201</v>
      </c>
      <c r="Q9" s="9">
        <v>6400</v>
      </c>
      <c r="R9" s="9">
        <v>1000</v>
      </c>
      <c r="S9" s="48">
        <v>0</v>
      </c>
      <c r="T9" s="21">
        <f t="shared" si="4"/>
        <v>35000</v>
      </c>
      <c r="U9" s="53">
        <f>IF($J9="","",ROUND(($J9-$J$3)/1000,1)+(_xlfn.RANK.AVG($J9,($J9,$O9,$T9),1)-2)*20)</f>
        <v>47.4</v>
      </c>
      <c r="V9" s="54">
        <f>IF($O9="","",ROUND(($O9-$O$3)/1000,1)+(_xlfn.RANK.AVG($O9,($J9,$O9,$T9),1)-2)*20)</f>
        <v>-47.4</v>
      </c>
      <c r="W9" s="55">
        <f>IF($T9="","",ROUND(($T9-$T$3)/1000,1)+(_xlfn.RANK.AVG($T9,($J9,$O9,$T9),1)-2)*20)</f>
        <v>0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50</v>
      </c>
      <c r="BU9" s="40" t="s">
        <v>199</v>
      </c>
      <c r="BV9" s="41" t="s">
        <v>86</v>
      </c>
      <c r="BW9" s="41" t="s">
        <v>200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197</v>
      </c>
      <c r="G10" s="9">
        <v>-2900</v>
      </c>
      <c r="H10" s="9"/>
      <c r="I10" s="48">
        <v>0</v>
      </c>
      <c r="J10" s="21">
        <f t="shared" si="2"/>
        <v>59500</v>
      </c>
      <c r="K10" s="8" t="s">
        <v>197</v>
      </c>
      <c r="L10" s="9">
        <v>-4800</v>
      </c>
      <c r="M10" s="9">
        <v>-1000</v>
      </c>
      <c r="N10" s="48">
        <v>0</v>
      </c>
      <c r="O10" s="21">
        <f t="shared" si="3"/>
        <v>1800</v>
      </c>
      <c r="P10" s="8" t="s">
        <v>196</v>
      </c>
      <c r="Q10" s="9">
        <v>7700</v>
      </c>
      <c r="R10" s="9">
        <v>1000</v>
      </c>
      <c r="S10" s="48">
        <v>0</v>
      </c>
      <c r="T10" s="21">
        <f t="shared" si="4"/>
        <v>43700</v>
      </c>
      <c r="U10" s="53">
        <f>IF($J10="","",ROUND(($J10-$J$3)/1000,1)+(_xlfn.RANK.AVG($J10,($J10,$O10,$T10),1)-2)*20)</f>
        <v>44.5</v>
      </c>
      <c r="V10" s="54">
        <f>IF($O10="","",ROUND(($O10-$O$3)/1000,1)+(_xlfn.RANK.AVG($O10,($J10,$O10,$T10),1)-2)*20)</f>
        <v>-53.2</v>
      </c>
      <c r="W10" s="55">
        <f>IF($T10="","",ROUND(($T10-$T$3)/1000,1)+(_xlfn.RANK.AVG($T10,($J10,$O10,$T10),1)-2)*20)</f>
        <v>8.6999999999999993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199</v>
      </c>
      <c r="BV10" s="41" t="s">
        <v>82</v>
      </c>
      <c r="BW10" s="41" t="s">
        <v>85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76052F4-CA67-44D6-A40F-F1A845E44E0D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3DF4C-8890-473A-ABB5-5385732425E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197</v>
      </c>
      <c r="L4" s="9">
        <v>-15000</v>
      </c>
      <c r="M4" s="9">
        <v>-1000</v>
      </c>
      <c r="N4" s="48">
        <v>0</v>
      </c>
      <c r="O4" s="21">
        <f>IF(COUNTA($F4,$K4,$P4)&gt;0,O3+SUM(L4:N4),"")</f>
        <v>19000</v>
      </c>
      <c r="P4" s="8" t="s">
        <v>196</v>
      </c>
      <c r="Q4" s="9">
        <v>24000</v>
      </c>
      <c r="R4" s="9">
        <v>1000</v>
      </c>
      <c r="S4" s="48">
        <v>0</v>
      </c>
      <c r="T4" s="21">
        <f>IF(COUNTA($F4,$K4,$P4)&gt;0,T3+SUM(Q4:S4),"")</f>
        <v>60000</v>
      </c>
      <c r="U4" s="53">
        <f>IF($J4="","",ROUND(($J4-$J$3)/1000,1)+(_xlfn.RANK.AVG($J4,($J4,$O4,$T4),1)-2)*20)</f>
        <v>-9</v>
      </c>
      <c r="V4" s="54">
        <f>IF($O4="","",ROUND(($O4-$O$3)/1000,1)+(_xlfn.RANK.AVG($O4,($J4,$O4,$T4),1)-2)*20)</f>
        <v>-36</v>
      </c>
      <c r="W4" s="55">
        <f>IF($T4="","",ROUND(($T4-$T$3)/1000,1)+(_xlfn.RANK.AVG($T4,($J4,$O4,$T4),1)-2)*20)</f>
        <v>45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11</v>
      </c>
      <c r="BT4" s="30" t="s">
        <v>198</v>
      </c>
      <c r="BU4" s="40" t="s">
        <v>199</v>
      </c>
      <c r="BV4" s="41" t="s">
        <v>82</v>
      </c>
      <c r="BW4" s="41" t="s">
        <v>104</v>
      </c>
      <c r="BX4" s="41" t="s">
        <v>84</v>
      </c>
      <c r="BY4" s="41" t="s">
        <v>86</v>
      </c>
      <c r="BZ4" s="41" t="s">
        <v>79</v>
      </c>
      <c r="CA4" s="41" t="s">
        <v>79</v>
      </c>
      <c r="CB4" s="41" t="s">
        <v>80</v>
      </c>
      <c r="CC4" s="41" t="s">
        <v>80</v>
      </c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204</v>
      </c>
      <c r="G5" s="9">
        <v>0</v>
      </c>
      <c r="H5" s="9"/>
      <c r="I5" s="48"/>
      <c r="J5" s="21">
        <f t="shared" ref="J5:J30" si="2">IF(COUNTA($F5,$K5,$P5)&gt;0,J4+SUM(G5:I5),"")</f>
        <v>26000</v>
      </c>
      <c r="K5" s="8" t="s">
        <v>204</v>
      </c>
      <c r="L5" s="9">
        <v>0</v>
      </c>
      <c r="M5" s="9"/>
      <c r="N5" s="48"/>
      <c r="O5" s="21">
        <f t="shared" ref="O5:O30" si="3">IF(COUNTA($F5,$K5,$P5)&gt;0,O4+SUM(L5:N5),"")</f>
        <v>19000</v>
      </c>
      <c r="P5" s="8" t="s">
        <v>204</v>
      </c>
      <c r="Q5" s="9">
        <v>0</v>
      </c>
      <c r="R5" s="9"/>
      <c r="S5" s="48"/>
      <c r="T5" s="21">
        <f t="shared" ref="T5:T30" si="4">IF(COUNTA($F5,$K5,$P5)&gt;0,T4+SUM(Q5:S5),"")</f>
        <v>60000</v>
      </c>
      <c r="U5" s="53">
        <f>IF($J5="","",ROUND(($J5-$J$3)/1000,1)+(_xlfn.RANK.AVG($J5,($J5,$O5,$T5),1)-2)*20)</f>
        <v>-9</v>
      </c>
      <c r="V5" s="54">
        <f>IF($O5="","",ROUND(($O5-$O$3)/1000,1)+(_xlfn.RANK.AVG($O5,($J5,$O5,$T5),1)-2)*20)</f>
        <v>-36</v>
      </c>
      <c r="W5" s="55">
        <f>IF($T5="","",ROUND(($T5-$T$3)/1000,1)+(_xlfn.RANK.AVG($T5,($J5,$O5,$T5),1)-2)*20)</f>
        <v>45</v>
      </c>
      <c r="Y5" s="8" t="s">
        <v>203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202</v>
      </c>
      <c r="G6" s="9">
        <v>-12000</v>
      </c>
      <c r="H6" s="9"/>
      <c r="I6" s="48">
        <v>-1000</v>
      </c>
      <c r="J6" s="21">
        <f t="shared" si="2"/>
        <v>13000</v>
      </c>
      <c r="K6" s="8"/>
      <c r="L6" s="9"/>
      <c r="M6" s="9"/>
      <c r="N6" s="48"/>
      <c r="O6" s="21">
        <f t="shared" si="3"/>
        <v>19000</v>
      </c>
      <c r="P6" s="8" t="s">
        <v>201</v>
      </c>
      <c r="Q6" s="9">
        <v>12000</v>
      </c>
      <c r="R6" s="9"/>
      <c r="S6" s="48">
        <v>1000</v>
      </c>
      <c r="T6" s="21">
        <f t="shared" si="4"/>
        <v>73000</v>
      </c>
      <c r="U6" s="53">
        <f>IF($J6="","",ROUND(($J6-$J$3)/1000,1)+(_xlfn.RANK.AVG($J6,($J6,$O6,$T6),1)-2)*20)</f>
        <v>-42</v>
      </c>
      <c r="V6" s="54">
        <f>IF($O6="","",ROUND(($O6-$O$3)/1000,1)+(_xlfn.RANK.AVG($O6,($J6,$O6,$T6),1)-2)*20)</f>
        <v>-16</v>
      </c>
      <c r="W6" s="55">
        <f>IF($T6="","",ROUND(($T6-$T$3)/1000,1)+(_xlfn.RANK.AVG($T6,($J6,$O6,$T6),1)-2)*20)</f>
        <v>58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198</v>
      </c>
      <c r="BU6" s="40" t="s">
        <v>86</v>
      </c>
      <c r="BV6" s="41" t="s">
        <v>86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IF($P$1="","",$P$1)</f>
        <v>れんたろう</v>
      </c>
      <c r="F7" s="8" t="s">
        <v>204</v>
      </c>
      <c r="G7" s="9">
        <v>-3000</v>
      </c>
      <c r="H7" s="9"/>
      <c r="I7" s="48"/>
      <c r="J7" s="21">
        <f t="shared" si="2"/>
        <v>10000</v>
      </c>
      <c r="K7" s="8" t="s">
        <v>204</v>
      </c>
      <c r="L7" s="9">
        <v>1500</v>
      </c>
      <c r="M7" s="9"/>
      <c r="N7" s="48"/>
      <c r="O7" s="21">
        <f t="shared" si="3"/>
        <v>20500</v>
      </c>
      <c r="P7" s="8" t="s">
        <v>204</v>
      </c>
      <c r="Q7" s="9">
        <v>1500</v>
      </c>
      <c r="R7" s="9"/>
      <c r="S7" s="48"/>
      <c r="T7" s="21">
        <f t="shared" si="4"/>
        <v>74500</v>
      </c>
      <c r="U7" s="53">
        <f>IF($J7="","",ROUND(($J7-$J$3)/1000,1)+(_xlfn.RANK.AVG($J7,($J7,$O7,$T7),1)-2)*20)</f>
        <v>-45</v>
      </c>
      <c r="V7" s="54">
        <f>IF($O7="","",ROUND(($O7-$O$3)/1000,1)+(_xlfn.RANK.AVG($O7,($J7,$O7,$T7),1)-2)*20)</f>
        <v>-14.5</v>
      </c>
      <c r="W7" s="55">
        <f>IF($T7="","",ROUND(($T7-$T$3)/1000,1)+(_xlfn.RANK.AVG($T7,($J7,$O7,$T7),1)-2)*20)</f>
        <v>59.5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10000</v>
      </c>
      <c r="K8" s="8" t="s">
        <v>201</v>
      </c>
      <c r="L8" s="9">
        <v>6400</v>
      </c>
      <c r="M8" s="9"/>
      <c r="N8" s="48">
        <v>3000</v>
      </c>
      <c r="O8" s="21">
        <f t="shared" si="3"/>
        <v>29900</v>
      </c>
      <c r="P8" s="8" t="s">
        <v>202</v>
      </c>
      <c r="Q8" s="9">
        <v>-6400</v>
      </c>
      <c r="R8" s="9"/>
      <c r="S8" s="48">
        <v>-3000</v>
      </c>
      <c r="T8" s="21">
        <f t="shared" si="4"/>
        <v>65100</v>
      </c>
      <c r="U8" s="53">
        <f>IF($J8="","",ROUND(($J8-$J$3)/1000,1)+(_xlfn.RANK.AVG($J8,($J8,$O8,$T8),1)-2)*20)</f>
        <v>-45</v>
      </c>
      <c r="V8" s="54">
        <f>IF($O8="","",ROUND(($O8-$O$3)/1000,1)+(_xlfn.RANK.AVG($O8,($J8,$O8,$T8),1)-2)*20)</f>
        <v>-5.0999999999999996</v>
      </c>
      <c r="W8" s="55">
        <f>IF($T8="","",ROUND(($T8-$T$3)/1000,1)+(_xlfn.RANK.AVG($T8,($J8,$O8,$T8),1)-2)*20)</f>
        <v>50.1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25</v>
      </c>
      <c r="AZ8" s="40" t="s">
        <v>199</v>
      </c>
      <c r="BA8" s="41" t="s">
        <v>206</v>
      </c>
      <c r="BB8" s="41" t="s">
        <v>101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201</v>
      </c>
      <c r="G9" s="9">
        <v>1500</v>
      </c>
      <c r="H9" s="9"/>
      <c r="I9" s="48">
        <v>0</v>
      </c>
      <c r="J9" s="21">
        <f t="shared" si="2"/>
        <v>11500</v>
      </c>
      <c r="K9" s="8"/>
      <c r="L9" s="9"/>
      <c r="M9" s="9"/>
      <c r="N9" s="48"/>
      <c r="O9" s="21">
        <f t="shared" si="3"/>
        <v>29900</v>
      </c>
      <c r="P9" s="8" t="s">
        <v>202</v>
      </c>
      <c r="Q9" s="9">
        <v>-1500</v>
      </c>
      <c r="R9" s="9"/>
      <c r="S9" s="48">
        <v>0</v>
      </c>
      <c r="T9" s="21">
        <f t="shared" si="4"/>
        <v>63600</v>
      </c>
      <c r="U9" s="53">
        <f>IF($J9="","",ROUND(($J9-$J$3)/1000,1)+(_xlfn.RANK.AVG($J9,($J9,$O9,$T9),1)-2)*20)</f>
        <v>-43.5</v>
      </c>
      <c r="V9" s="54">
        <f>IF($O9="","",ROUND(($O9-$O$3)/1000,1)+(_xlfn.RANK.AVG($O9,($J9,$O9,$T9),1)-2)*20)</f>
        <v>-5.0999999999999996</v>
      </c>
      <c r="W9" s="55">
        <f>IF($T9="","",ROUND(($T9-$T$3)/1000,1)+(_xlfn.RANK.AVG($T9,($J9,$O9,$T9),1)-2)*20)</f>
        <v>48.6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IF($F$1="","",$F$1)</f>
        <v>だいち</v>
      </c>
      <c r="F10" s="8" t="s">
        <v>196</v>
      </c>
      <c r="G10" s="9">
        <v>24000</v>
      </c>
      <c r="H10" s="9">
        <v>1000</v>
      </c>
      <c r="I10" s="48">
        <v>1000</v>
      </c>
      <c r="J10" s="21">
        <f t="shared" si="2"/>
        <v>37500</v>
      </c>
      <c r="K10" s="8" t="s">
        <v>197</v>
      </c>
      <c r="L10" s="9">
        <v>-12000</v>
      </c>
      <c r="M10" s="9"/>
      <c r="N10" s="48">
        <v>-500</v>
      </c>
      <c r="O10" s="21">
        <f t="shared" si="3"/>
        <v>17400</v>
      </c>
      <c r="P10" s="8" t="s">
        <v>197</v>
      </c>
      <c r="Q10" s="9">
        <v>-12000</v>
      </c>
      <c r="R10" s="9">
        <v>-1000</v>
      </c>
      <c r="S10" s="48">
        <v>-500</v>
      </c>
      <c r="T10" s="21">
        <f t="shared" si="4"/>
        <v>50100</v>
      </c>
      <c r="U10" s="53">
        <f>IF($J10="","",ROUND(($J10-$J$3)/1000,1)+(_xlfn.RANK.AVG($J10,($J10,$O10,$T10),1)-2)*20)</f>
        <v>2.5</v>
      </c>
      <c r="V10" s="54">
        <f>IF($O10="","",ROUND(($O10-$O$3)/1000,1)+(_xlfn.RANK.AVG($O10,($J10,$O10,$T10),1)-2)*20)</f>
        <v>-37.6</v>
      </c>
      <c r="W10" s="55">
        <f>IF($T10="","",ROUND(($T10-$T$3)/1000,1)+(_xlfn.RANK.AVG($T10,($J10,$O10,$T10),1)-2)*20)</f>
        <v>35.1</v>
      </c>
      <c r="Y10" s="8"/>
      <c r="Z10" s="34"/>
      <c r="AA10" s="26">
        <v>1</v>
      </c>
      <c r="AB10" s="26"/>
      <c r="AC10" s="26">
        <v>8</v>
      </c>
      <c r="AD10" s="30" t="s">
        <v>198</v>
      </c>
      <c r="AE10" s="40" t="s">
        <v>199</v>
      </c>
      <c r="AF10" s="41" t="s">
        <v>82</v>
      </c>
      <c r="AG10" s="41" t="s">
        <v>93</v>
      </c>
      <c r="AH10" s="41" t="s">
        <v>79</v>
      </c>
      <c r="AI10" s="41" t="s">
        <v>79</v>
      </c>
      <c r="AJ10" s="41" t="s">
        <v>79</v>
      </c>
      <c r="AK10" s="41" t="s">
        <v>79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IF($F$1="","",$F$1)</f>
        <v>だいち</v>
      </c>
      <c r="F11" s="8" t="s">
        <v>196</v>
      </c>
      <c r="G11" s="9">
        <v>18000</v>
      </c>
      <c r="H11" s="9">
        <v>1000</v>
      </c>
      <c r="I11" s="48">
        <v>2000</v>
      </c>
      <c r="J11" s="21">
        <f t="shared" si="2"/>
        <v>58500</v>
      </c>
      <c r="K11" s="8" t="s">
        <v>197</v>
      </c>
      <c r="L11" s="9">
        <v>-9000</v>
      </c>
      <c r="M11" s="9"/>
      <c r="N11" s="48">
        <v>-1000</v>
      </c>
      <c r="O11" s="21">
        <f t="shared" si="3"/>
        <v>7400</v>
      </c>
      <c r="P11" s="8" t="s">
        <v>197</v>
      </c>
      <c r="Q11" s="9">
        <v>-9000</v>
      </c>
      <c r="R11" s="9">
        <v>-1000</v>
      </c>
      <c r="S11" s="48">
        <v>-1000</v>
      </c>
      <c r="T11" s="21">
        <f t="shared" si="4"/>
        <v>39100</v>
      </c>
      <c r="U11" s="53">
        <f>IF($J11="","",ROUND(($J11-$J$3)/1000,1)+(_xlfn.RANK.AVG($J11,($J11,$O11,$T11),1)-2)*20)</f>
        <v>43.5</v>
      </c>
      <c r="V11" s="54">
        <f>IF($O11="","",ROUND(($O11-$O$3)/1000,1)+(_xlfn.RANK.AVG($O11,($J11,$O11,$T11),1)-2)*20)</f>
        <v>-47.6</v>
      </c>
      <c r="W11" s="55">
        <f>IF($T11="","",ROUND(($T11-$T$3)/1000,1)+(_xlfn.RANK.AVG($T11,($J11,$O11,$T11),1)-2)*20)</f>
        <v>4.0999999999999996</v>
      </c>
      <c r="Y11" s="8"/>
      <c r="Z11" s="34"/>
      <c r="AA11" s="26">
        <v>1</v>
      </c>
      <c r="AB11" s="26"/>
      <c r="AC11" s="26">
        <v>6</v>
      </c>
      <c r="AD11" s="30" t="s">
        <v>198</v>
      </c>
      <c r="AE11" s="40" t="s">
        <v>199</v>
      </c>
      <c r="AF11" s="41" t="s">
        <v>82</v>
      </c>
      <c r="AG11" s="41" t="s">
        <v>84</v>
      </c>
      <c r="AH11" s="41" t="s">
        <v>79</v>
      </c>
      <c r="AI11" s="41" t="s">
        <v>80</v>
      </c>
      <c r="AJ11" s="41" t="s">
        <v>80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tr">
        <f>IF($F$1="","",$F$1)</f>
        <v>だいち</v>
      </c>
      <c r="F12" s="8" t="s">
        <v>197</v>
      </c>
      <c r="G12" s="9">
        <v>-7500</v>
      </c>
      <c r="H12" s="9"/>
      <c r="I12" s="48">
        <v>-1500</v>
      </c>
      <c r="J12" s="21">
        <f t="shared" si="2"/>
        <v>49500</v>
      </c>
      <c r="K12" s="8" t="s">
        <v>197</v>
      </c>
      <c r="L12" s="9">
        <v>-4500</v>
      </c>
      <c r="M12" s="9"/>
      <c r="N12" s="48">
        <v>-1500</v>
      </c>
      <c r="O12" s="21">
        <f t="shared" si="3"/>
        <v>1400</v>
      </c>
      <c r="P12" s="8" t="s">
        <v>196</v>
      </c>
      <c r="Q12" s="9">
        <v>12000</v>
      </c>
      <c r="R12" s="9"/>
      <c r="S12" s="48">
        <v>3000</v>
      </c>
      <c r="T12" s="21">
        <f t="shared" si="4"/>
        <v>54100</v>
      </c>
      <c r="U12" s="53">
        <f>IF($J12="","",ROUND(($J12-$J$3)/1000,1)+(_xlfn.RANK.AVG($J12,($J12,$O12,$T12),1)-2)*20)</f>
        <v>14.5</v>
      </c>
      <c r="V12" s="54">
        <f>IF($O12="","",ROUND(($O12-$O$3)/1000,1)+(_xlfn.RANK.AVG($O12,($J12,$O12,$T12),1)-2)*20)</f>
        <v>-53.6</v>
      </c>
      <c r="W12" s="55">
        <f>IF($T12="","",ROUND(($T12-$T$3)/1000,1)+(_xlfn.RANK.AVG($T12,($J12,$O12,$T12),1)-2)*20)</f>
        <v>39.1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198</v>
      </c>
      <c r="BU12" s="40" t="s">
        <v>199</v>
      </c>
      <c r="BV12" s="41" t="s">
        <v>82</v>
      </c>
      <c r="BW12" s="41" t="s">
        <v>200</v>
      </c>
      <c r="BX12" s="41" t="s">
        <v>79</v>
      </c>
      <c r="BY12" s="41" t="s">
        <v>79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IF($K$1="","",$K$1)</f>
        <v>ただ</v>
      </c>
      <c r="F13" s="8" t="s">
        <v>197</v>
      </c>
      <c r="G13" s="9">
        <v>-12000</v>
      </c>
      <c r="H13" s="9"/>
      <c r="I13" s="48">
        <v>0</v>
      </c>
      <c r="J13" s="21">
        <f t="shared" si="2"/>
        <v>37500</v>
      </c>
      <c r="K13" s="8" t="s">
        <v>197</v>
      </c>
      <c r="L13" s="9">
        <v>-20000</v>
      </c>
      <c r="M13" s="9"/>
      <c r="N13" s="48">
        <v>0</v>
      </c>
      <c r="O13" s="21">
        <f t="shared" si="3"/>
        <v>-18600</v>
      </c>
      <c r="P13" s="8" t="s">
        <v>196</v>
      </c>
      <c r="Q13" s="9">
        <v>32000</v>
      </c>
      <c r="R13" s="9"/>
      <c r="S13" s="48">
        <v>0</v>
      </c>
      <c r="T13" s="21">
        <f t="shared" si="4"/>
        <v>86100</v>
      </c>
      <c r="U13" s="53">
        <f>IF($J13="","",ROUND(($J13-$J$3)/1000,1)+(_xlfn.RANK.AVG($J13,($J13,$O13,$T13),1)-2)*20)</f>
        <v>2.5</v>
      </c>
      <c r="V13" s="54">
        <f>IF($O13="","",ROUND(($O13-$O$3)/1000,1)+(_xlfn.RANK.AVG($O13,($J13,$O13,$T13),1)-2)*20)</f>
        <v>-73.599999999999994</v>
      </c>
      <c r="W13" s="55">
        <f>IF($T13="","",ROUND(($T13-$T$3)/1000,1)+(_xlfn.RANK.AVG($T13,($J13,$O13,$T13),1)-2)*20)</f>
        <v>71.099999999999994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15</v>
      </c>
      <c r="BT13" s="30" t="s">
        <v>198</v>
      </c>
      <c r="BU13" s="40" t="s">
        <v>199</v>
      </c>
      <c r="BV13" s="41" t="s">
        <v>82</v>
      </c>
      <c r="BW13" s="41" t="s">
        <v>101</v>
      </c>
      <c r="BX13" s="41" t="s">
        <v>85</v>
      </c>
      <c r="BY13" s="41" t="s">
        <v>79</v>
      </c>
      <c r="BZ13" s="41" t="s">
        <v>79</v>
      </c>
      <c r="CA13" s="41" t="s">
        <v>79</v>
      </c>
      <c r="CB13" s="41" t="s">
        <v>79</v>
      </c>
      <c r="CC13" s="41" t="s">
        <v>80</v>
      </c>
      <c r="CD13" s="41" t="s">
        <v>80</v>
      </c>
      <c r="CE13" s="41" t="s">
        <v>80</v>
      </c>
      <c r="CF13" s="41" t="s">
        <v>80</v>
      </c>
      <c r="CG13" s="41" t="s">
        <v>200</v>
      </c>
      <c r="CH13" s="41" t="s">
        <v>200</v>
      </c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50C3A185-DC1A-444C-A5A9-56B1ED3692AA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58434CDA-174E-4C9D-BF5D-B433991A0C7D}">
      <formula1>"ロン,ツモ,放銃,ツモ支払,流局,チョンボ"</formula1>
    </dataValidation>
    <dataValidation type="list" allowBlank="1" showInputMessage="1" showErrorMessage="1" sqref="E4:E30" xr:uid="{58FEA30C-1E41-4FAB-8D20-0B70A15E51B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12E9B-8EE5-4FDA-AA5B-52CB7CFEC3D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 t="s">
        <v>202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79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202</v>
      </c>
      <c r="L5" s="9">
        <v>-7700</v>
      </c>
      <c r="M5" s="9">
        <v>-1000</v>
      </c>
      <c r="N5" s="48">
        <v>0</v>
      </c>
      <c r="O5" s="21">
        <f t="shared" ref="O5:O30" si="3">IF(COUNTA($F5,$K5,$P5)&gt;0,O4+SUM(L5:N5),"")</f>
        <v>28300</v>
      </c>
      <c r="P5" s="8" t="s">
        <v>201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41700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-26.7</v>
      </c>
      <c r="W5" s="55">
        <f>IF($T5="","",ROUND(($T5-$T$3)/1000,1)+(_xlfn.RANK.AVG($T5,($J5,$O5,$T5),1)-2)*20)</f>
        <v>26.7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199</v>
      </c>
      <c r="BV5" s="41" t="s">
        <v>83</v>
      </c>
      <c r="BW5" s="41" t="s">
        <v>200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197</v>
      </c>
      <c r="G6" s="9">
        <v>-1100</v>
      </c>
      <c r="H6" s="9"/>
      <c r="I6" s="48">
        <v>0</v>
      </c>
      <c r="J6" s="21">
        <f t="shared" si="2"/>
        <v>33900</v>
      </c>
      <c r="K6" s="8" t="s">
        <v>196</v>
      </c>
      <c r="L6" s="9">
        <v>2200</v>
      </c>
      <c r="M6" s="9">
        <v>1000</v>
      </c>
      <c r="N6" s="48">
        <v>0</v>
      </c>
      <c r="O6" s="21">
        <f t="shared" si="3"/>
        <v>31500</v>
      </c>
      <c r="P6" s="8" t="s">
        <v>197</v>
      </c>
      <c r="Q6" s="9">
        <v>-1100</v>
      </c>
      <c r="R6" s="9">
        <v>-1000</v>
      </c>
      <c r="S6" s="48">
        <v>0</v>
      </c>
      <c r="T6" s="21">
        <f t="shared" si="4"/>
        <v>39600</v>
      </c>
      <c r="U6" s="53">
        <f>IF($J6="","",ROUND(($J6-$J$3)/1000,1)+(_xlfn.RANK.AVG($J6,($J6,$O6,$T6),1)-2)*20)</f>
        <v>-1.1000000000000001</v>
      </c>
      <c r="V6" s="54">
        <f>IF($O6="","",ROUND(($O6-$O$3)/1000,1)+(_xlfn.RANK.AVG($O6,($J6,$O6,$T6),1)-2)*20)</f>
        <v>-23.5</v>
      </c>
      <c r="W6" s="55">
        <f>IF($T6="","",ROUND(($T6-$T$3)/1000,1)+(_xlfn.RANK.AVG($T6,($J6,$O6,$T6),1)-2)*20)</f>
        <v>24.6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40</v>
      </c>
      <c r="AZ6" s="40" t="s">
        <v>82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201</v>
      </c>
      <c r="G7" s="9">
        <v>2600</v>
      </c>
      <c r="H7" s="9">
        <v>1000</v>
      </c>
      <c r="I7" s="48">
        <v>1000</v>
      </c>
      <c r="J7" s="21">
        <f t="shared" si="2"/>
        <v>38500</v>
      </c>
      <c r="K7" s="8"/>
      <c r="L7" s="9"/>
      <c r="M7" s="9"/>
      <c r="N7" s="48"/>
      <c r="O7" s="21">
        <f t="shared" si="3"/>
        <v>31500</v>
      </c>
      <c r="P7" s="8" t="s">
        <v>202</v>
      </c>
      <c r="Q7" s="9">
        <v>-2600</v>
      </c>
      <c r="R7" s="9">
        <v>-1000</v>
      </c>
      <c r="S7" s="48">
        <v>-1000</v>
      </c>
      <c r="T7" s="21">
        <f t="shared" si="4"/>
        <v>35000</v>
      </c>
      <c r="U7" s="53">
        <f>IF($J7="","",ROUND(($J7-$J$3)/1000,1)+(_xlfn.RANK.AVG($J7,($J7,$O7,$T7),1)-2)*20)</f>
        <v>23.5</v>
      </c>
      <c r="V7" s="54">
        <f>IF($O7="","",ROUND(($O7-$O$3)/1000,1)+(_xlfn.RANK.AVG($O7,($J7,$O7,$T7),1)-2)*20)</f>
        <v>-23.5</v>
      </c>
      <c r="W7" s="55">
        <f>IF($T7="","",ROUND(($T7-$T$3)/1000,1)+(_xlfn.RANK.AVG($T7,($J7,$O7,$T7),1)-2)*20)</f>
        <v>0</v>
      </c>
      <c r="Y7" s="8"/>
      <c r="Z7" s="34"/>
      <c r="AA7" s="26"/>
      <c r="AB7" s="26"/>
      <c r="AC7" s="26">
        <v>2</v>
      </c>
      <c r="AD7" s="30">
        <v>40</v>
      </c>
      <c r="AE7" s="40" t="s">
        <v>85</v>
      </c>
      <c r="AF7" s="41" t="s">
        <v>200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/>
      <c r="G8" s="9"/>
      <c r="H8" s="9">
        <v>-1000</v>
      </c>
      <c r="I8" s="48"/>
      <c r="J8" s="21">
        <f t="shared" si="2"/>
        <v>37500</v>
      </c>
      <c r="K8" s="8" t="s">
        <v>201</v>
      </c>
      <c r="L8" s="9">
        <v>7700</v>
      </c>
      <c r="M8" s="9">
        <v>1000</v>
      </c>
      <c r="N8" s="48">
        <v>0</v>
      </c>
      <c r="O8" s="21">
        <f t="shared" si="3"/>
        <v>40200</v>
      </c>
      <c r="P8" s="8" t="s">
        <v>202</v>
      </c>
      <c r="Q8" s="9">
        <v>-7700</v>
      </c>
      <c r="R8" s="9"/>
      <c r="S8" s="48">
        <v>0</v>
      </c>
      <c r="T8" s="21">
        <f t="shared" si="4"/>
        <v>27300</v>
      </c>
      <c r="U8" s="53">
        <f>IF($J8="","",ROUND(($J8-$J$3)/1000,1)+(_xlfn.RANK.AVG($J8,($J8,$O8,$T8),1)-2)*20)</f>
        <v>2.5</v>
      </c>
      <c r="V8" s="54">
        <f>IF($O8="","",ROUND(($O8-$O$3)/1000,1)+(_xlfn.RANK.AVG($O8,($J8,$O8,$T8),1)-2)*20)</f>
        <v>25.2</v>
      </c>
      <c r="W8" s="55">
        <f>IF($T8="","",ROUND(($T8-$T$3)/1000,1)+(_xlfn.RANK.AVG($T8,($J8,$O8,$T8),1)-2)*20)</f>
        <v>-27.7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199</v>
      </c>
      <c r="BA8" s="41" t="s">
        <v>206</v>
      </c>
      <c r="BB8" s="41" t="s">
        <v>85</v>
      </c>
      <c r="BC8" s="41" t="s">
        <v>83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-7500</v>
      </c>
      <c r="H9" s="9"/>
      <c r="I9" s="48">
        <v>0</v>
      </c>
      <c r="J9" s="21">
        <f t="shared" si="2"/>
        <v>30000</v>
      </c>
      <c r="K9" s="8" t="s">
        <v>197</v>
      </c>
      <c r="L9" s="9">
        <v>-4500</v>
      </c>
      <c r="M9" s="9">
        <v>-1000</v>
      </c>
      <c r="N9" s="48">
        <v>0</v>
      </c>
      <c r="O9" s="21">
        <f t="shared" si="3"/>
        <v>34700</v>
      </c>
      <c r="P9" s="8" t="s">
        <v>196</v>
      </c>
      <c r="Q9" s="9">
        <v>12000</v>
      </c>
      <c r="R9" s="9">
        <v>1000</v>
      </c>
      <c r="S9" s="48">
        <v>0</v>
      </c>
      <c r="T9" s="21">
        <f t="shared" si="4"/>
        <v>40300</v>
      </c>
      <c r="U9" s="53">
        <f>IF($J9="","",ROUND(($J9-$J$3)/1000,1)+(_xlfn.RANK.AVG($J9,($J9,$O9,$T9),1)-2)*20)</f>
        <v>-25</v>
      </c>
      <c r="V9" s="54">
        <f>IF($O9="","",ROUND(($O9-$O$3)/1000,1)+(_xlfn.RANK.AVG($O9,($J9,$O9,$T9),1)-2)*20)</f>
        <v>-0.3</v>
      </c>
      <c r="W9" s="55">
        <f>IF($T9="","",ROUND(($T9-$T$3)/1000,1)+(_xlfn.RANK.AVG($T9,($J9,$O9,$T9),1)-2)*20)</f>
        <v>25.3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7</v>
      </c>
      <c r="BT9" s="30" t="s">
        <v>198</v>
      </c>
      <c r="BU9" s="40" t="s">
        <v>104</v>
      </c>
      <c r="BV9" s="41" t="s">
        <v>86</v>
      </c>
      <c r="BW9" s="41" t="s">
        <v>86</v>
      </c>
      <c r="BX9" s="41" t="s">
        <v>200</v>
      </c>
      <c r="BY9" s="41" t="s">
        <v>79</v>
      </c>
      <c r="BZ9" s="41" t="s">
        <v>79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204</v>
      </c>
      <c r="G10" s="9">
        <v>-1500</v>
      </c>
      <c r="H10" s="9"/>
      <c r="I10" s="48"/>
      <c r="J10" s="21">
        <f t="shared" si="2"/>
        <v>28500</v>
      </c>
      <c r="K10" s="8" t="s">
        <v>204</v>
      </c>
      <c r="L10" s="9">
        <v>-1500</v>
      </c>
      <c r="M10" s="9"/>
      <c r="N10" s="48"/>
      <c r="O10" s="21">
        <f t="shared" si="3"/>
        <v>33200</v>
      </c>
      <c r="P10" s="8" t="s">
        <v>204</v>
      </c>
      <c r="Q10" s="9">
        <v>3000</v>
      </c>
      <c r="R10" s="9"/>
      <c r="S10" s="48"/>
      <c r="T10" s="21">
        <f t="shared" si="4"/>
        <v>43300</v>
      </c>
      <c r="U10" s="53">
        <f>IF($J10="","",ROUND(($J10-$J$3)/1000,1)+(_xlfn.RANK.AVG($J10,($J10,$O10,$T10),1)-2)*20)</f>
        <v>-26.5</v>
      </c>
      <c r="V10" s="54">
        <f>IF($O10="","",ROUND(($O10-$O$3)/1000,1)+(_xlfn.RANK.AVG($O10,($J10,$O10,$T10),1)-2)*20)</f>
        <v>-1.8</v>
      </c>
      <c r="W10" s="55">
        <f>IF($T10="","",ROUND(($T10-$T$3)/1000,1)+(_xlfn.RANK.AVG($T10,($J10,$O10,$T10),1)-2)*20)</f>
        <v>28.3</v>
      </c>
      <c r="Y10" s="8" t="s">
        <v>205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3F3D35EE-81E8-45AD-9EE0-B7D94E499741}">
      <formula1>$U$2:$W$2</formula1>
    </dataValidation>
    <dataValidation type="list" showInputMessage="1" showErrorMessage="1" sqref="K4:K30 P4:P30 F4:F30" xr:uid="{B84F23B1-6597-45EE-9579-EEC75EBB3644}">
      <formula1>"ロン,ツモ,放銃,ツモ支払,流局,チョンボ"</formula1>
    </dataValidation>
    <dataValidation type="list" allowBlank="1" showInputMessage="1" sqref="F1:T1" xr:uid="{01F465E2-FB69-41D8-8A3E-39F031F167D1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B21F3-1815-4F10-A7AB-28B6DAC6E03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-9000</v>
      </c>
      <c r="H4" s="9">
        <v>-1000</v>
      </c>
      <c r="I4" s="48">
        <v>0</v>
      </c>
      <c r="J4" s="21">
        <f>IF(COUNTA($F4,$K4,$P4)&gt;0,J3+SUM(G4:I4),"")</f>
        <v>25000</v>
      </c>
      <c r="K4" s="8" t="s">
        <v>197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196</v>
      </c>
      <c r="Q4" s="9">
        <v>18000</v>
      </c>
      <c r="R4" s="9">
        <v>1000</v>
      </c>
      <c r="S4" s="48">
        <v>0</v>
      </c>
      <c r="T4" s="21">
        <f>IF(COUNTA($F4,$K4,$P4)&gt;0,T3+SUM(Q4:S4),"")</f>
        <v>54000</v>
      </c>
      <c r="U4" s="53">
        <f>IF($J4="","",ROUND(($J4-$J$3)/1000,1)+(_xlfn.RANK.AVG($J4,($J4,$O4,$T4),1)-2)*20)</f>
        <v>-30</v>
      </c>
      <c r="V4" s="54">
        <f>IF($O4="","",ROUND(($O4-$O$3)/1000,1)+(_xlfn.RANK.AVG($O4,($J4,$O4,$T4),1)-2)*20)</f>
        <v>-9</v>
      </c>
      <c r="W4" s="55">
        <f>IF($T4="","",ROUND(($T4-$T$3)/1000,1)+(_xlfn.RANK.AVG($T4,($J4,$O4,$T4),1)-2)*20)</f>
        <v>39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198</v>
      </c>
      <c r="BU4" s="40" t="s">
        <v>199</v>
      </c>
      <c r="BV4" s="41" t="s">
        <v>85</v>
      </c>
      <c r="BW4" s="41" t="s">
        <v>83</v>
      </c>
      <c r="BX4" s="41" t="s">
        <v>82</v>
      </c>
      <c r="BY4" s="41" t="s">
        <v>206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202</v>
      </c>
      <c r="G5" s="9">
        <v>-8000</v>
      </c>
      <c r="H5" s="9"/>
      <c r="I5" s="48">
        <v>-1000</v>
      </c>
      <c r="J5" s="21">
        <f t="shared" ref="J5:J30" si="2">IF(COUNTA($F5,$K5,$P5)&gt;0,J4+SUM(G5:I5),"")</f>
        <v>16000</v>
      </c>
      <c r="K5" s="8" t="s">
        <v>201</v>
      </c>
      <c r="L5" s="9">
        <v>8000</v>
      </c>
      <c r="M5" s="9"/>
      <c r="N5" s="48">
        <v>1000</v>
      </c>
      <c r="O5" s="21">
        <f t="shared" ref="O5:O30" si="3">IF(COUNTA($F5,$K5,$P5)&gt;0,O4+SUM(L5:N5),"")</f>
        <v>35000</v>
      </c>
      <c r="P5" s="8"/>
      <c r="Q5" s="9"/>
      <c r="R5" s="9"/>
      <c r="S5" s="48"/>
      <c r="T5" s="21">
        <f t="shared" ref="T5:T30" si="4">IF(COUNTA($F5,$K5,$P5)&gt;0,T4+SUM(Q5:S5),"")</f>
        <v>54000</v>
      </c>
      <c r="U5" s="53">
        <f>IF($J5="","",ROUND(($J5-$J$3)/1000,1)+(_xlfn.RANK.AVG($J5,($J5,$O5,$T5),1)-2)*20)</f>
        <v>-39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39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50</v>
      </c>
      <c r="AZ5" s="40" t="s">
        <v>98</v>
      </c>
      <c r="BA5" s="41" t="s">
        <v>96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201</v>
      </c>
      <c r="G6" s="9">
        <v>11600</v>
      </c>
      <c r="H6" s="9"/>
      <c r="I6" s="48">
        <v>0</v>
      </c>
      <c r="J6" s="21">
        <f t="shared" si="2"/>
        <v>27600</v>
      </c>
      <c r="K6" s="8" t="s">
        <v>202</v>
      </c>
      <c r="L6" s="9">
        <v>-11600</v>
      </c>
      <c r="M6" s="9"/>
      <c r="N6" s="48">
        <v>0</v>
      </c>
      <c r="O6" s="21">
        <f t="shared" si="3"/>
        <v>23400</v>
      </c>
      <c r="P6" s="8"/>
      <c r="Q6" s="9"/>
      <c r="R6" s="9"/>
      <c r="S6" s="48"/>
      <c r="T6" s="21">
        <f t="shared" si="4"/>
        <v>54000</v>
      </c>
      <c r="U6" s="53">
        <f>IF($J6="","",ROUND(($J6-$J$3)/1000,1)+(_xlfn.RANK.AVG($J6,($J6,$O6,$T6),1)-2)*20)</f>
        <v>-7.4</v>
      </c>
      <c r="V6" s="54">
        <f>IF($O6="","",ROUND(($O6-$O$3)/1000,1)+(_xlfn.RANK.AVG($O6,($J6,$O6,$T6),1)-2)*20)</f>
        <v>-31.6</v>
      </c>
      <c r="W6" s="55">
        <f>IF($T6="","",ROUND(($T6-$T$3)/1000,1)+(_xlfn.RANK.AVG($T6,($J6,$O6,$T6),1)-2)*20)</f>
        <v>39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86</v>
      </c>
      <c r="AG6" s="41" t="s">
        <v>200</v>
      </c>
      <c r="AH6" s="41" t="s">
        <v>200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 t="s">
        <v>202</v>
      </c>
      <c r="G7" s="9">
        <v>-12000</v>
      </c>
      <c r="H7" s="9"/>
      <c r="I7" s="48">
        <v>-1000</v>
      </c>
      <c r="J7" s="21">
        <f t="shared" si="2"/>
        <v>14600</v>
      </c>
      <c r="K7" s="8" t="s">
        <v>201</v>
      </c>
      <c r="L7" s="9">
        <v>12000</v>
      </c>
      <c r="M7" s="9"/>
      <c r="N7" s="48">
        <v>1000</v>
      </c>
      <c r="O7" s="21">
        <f t="shared" si="3"/>
        <v>36400</v>
      </c>
      <c r="P7" s="8"/>
      <c r="Q7" s="9"/>
      <c r="R7" s="9"/>
      <c r="S7" s="48"/>
      <c r="T7" s="21">
        <f t="shared" si="4"/>
        <v>54000</v>
      </c>
      <c r="U7" s="53">
        <f>IF($J7="","",ROUND(($J7-$J$3)/1000,1)+(_xlfn.RANK.AVG($J7,($J7,$O7,$T7),1)-2)*20)</f>
        <v>-40.4</v>
      </c>
      <c r="V7" s="54">
        <f>IF($O7="","",ROUND(($O7-$O$3)/1000,1)+(_xlfn.RANK.AVG($O7,($J7,$O7,$T7),1)-2)*20)</f>
        <v>1.4</v>
      </c>
      <c r="W7" s="55">
        <f>IF($T7="","",ROUND(($T7-$T$3)/1000,1)+(_xlfn.RANK.AVG($T7,($J7,$O7,$T7),1)-2)*20)</f>
        <v>39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6</v>
      </c>
      <c r="AY7" s="30" t="s">
        <v>198</v>
      </c>
      <c r="AZ7" s="40" t="s">
        <v>86</v>
      </c>
      <c r="BA7" s="41" t="s">
        <v>98</v>
      </c>
      <c r="BB7" s="41" t="s">
        <v>79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202</v>
      </c>
      <c r="G8" s="9">
        <v>-2900</v>
      </c>
      <c r="H8" s="9"/>
      <c r="I8" s="48">
        <v>0</v>
      </c>
      <c r="J8" s="21">
        <f t="shared" si="2"/>
        <v>11700</v>
      </c>
      <c r="K8" s="8" t="s">
        <v>201</v>
      </c>
      <c r="L8" s="9">
        <v>2900</v>
      </c>
      <c r="M8" s="9">
        <v>1000</v>
      </c>
      <c r="N8" s="48">
        <v>0</v>
      </c>
      <c r="O8" s="21">
        <f t="shared" si="3"/>
        <v>40300</v>
      </c>
      <c r="P8" s="8"/>
      <c r="Q8" s="9"/>
      <c r="R8" s="9">
        <v>-1000</v>
      </c>
      <c r="S8" s="48"/>
      <c r="T8" s="21">
        <f t="shared" si="4"/>
        <v>53000</v>
      </c>
      <c r="U8" s="53">
        <f>IF($J8="","",ROUND(($J8-$J$3)/1000,1)+(_xlfn.RANK.AVG($J8,($J8,$O8,$T8),1)-2)*20)</f>
        <v>-43.3</v>
      </c>
      <c r="V8" s="54">
        <f>IF($O8="","",ROUND(($O8-$O$3)/1000,1)+(_xlfn.RANK.AVG($O8,($J8,$O8,$T8),1)-2)*20)</f>
        <v>5.3</v>
      </c>
      <c r="W8" s="55">
        <f>IF($T8="","",ROUND(($T8-$T$3)/1000,1)+(_xlfn.RANK.AVG($T8,($J8,$O8,$T8),1)-2)*20)</f>
        <v>38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85</v>
      </c>
      <c r="BA8" s="41" t="s">
        <v>83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197</v>
      </c>
      <c r="G9" s="9">
        <v>-5800</v>
      </c>
      <c r="H9" s="9"/>
      <c r="I9" s="48">
        <v>-500</v>
      </c>
      <c r="J9" s="21">
        <f t="shared" si="2"/>
        <v>5400</v>
      </c>
      <c r="K9" s="8" t="s">
        <v>196</v>
      </c>
      <c r="L9" s="9">
        <v>11600</v>
      </c>
      <c r="M9" s="9"/>
      <c r="N9" s="48">
        <v>1000</v>
      </c>
      <c r="O9" s="21">
        <f t="shared" si="3"/>
        <v>52900</v>
      </c>
      <c r="P9" s="8" t="s">
        <v>197</v>
      </c>
      <c r="Q9" s="9">
        <v>-5800</v>
      </c>
      <c r="R9" s="9"/>
      <c r="S9" s="48">
        <v>-500</v>
      </c>
      <c r="T9" s="21">
        <f t="shared" si="4"/>
        <v>46700</v>
      </c>
      <c r="U9" s="53">
        <f>IF($J9="","",ROUND(($J9-$J$3)/1000,1)+(_xlfn.RANK.AVG($J9,($J9,$O9,$T9),1)-2)*20)</f>
        <v>-49.6</v>
      </c>
      <c r="V9" s="54">
        <f>IF($O9="","",ROUND(($O9-$O$3)/1000,1)+(_xlfn.RANK.AVG($O9,($J9,$O9,$T9),1)-2)*20)</f>
        <v>37.9</v>
      </c>
      <c r="W9" s="55">
        <f>IF($T9="","",ROUND(($T9-$T$3)/1000,1)+(_xlfn.RANK.AVG($T9,($J9,$O9,$T9),1)-2)*20)</f>
        <v>11.7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30</v>
      </c>
      <c r="AZ9" s="40" t="s">
        <v>82</v>
      </c>
      <c r="BA9" s="41" t="s">
        <v>79</v>
      </c>
      <c r="BB9" s="41" t="s">
        <v>79</v>
      </c>
      <c r="BC9" s="41" t="s">
        <v>200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IF($K$1="","",$K$1)</f>
        <v>ただ</v>
      </c>
      <c r="F10" s="8" t="s">
        <v>197</v>
      </c>
      <c r="G10" s="9">
        <v>-6000</v>
      </c>
      <c r="H10" s="9"/>
      <c r="I10" s="48">
        <v>-1000</v>
      </c>
      <c r="J10" s="21">
        <f t="shared" si="2"/>
        <v>-1600</v>
      </c>
      <c r="K10" s="8" t="s">
        <v>196</v>
      </c>
      <c r="L10" s="9">
        <v>12000</v>
      </c>
      <c r="M10" s="9"/>
      <c r="N10" s="48">
        <v>2000</v>
      </c>
      <c r="O10" s="21">
        <f t="shared" si="3"/>
        <v>66900</v>
      </c>
      <c r="P10" s="8" t="s">
        <v>197</v>
      </c>
      <c r="Q10" s="9">
        <v>-6000</v>
      </c>
      <c r="R10" s="9"/>
      <c r="S10" s="48">
        <v>-1000</v>
      </c>
      <c r="T10" s="21">
        <f t="shared" si="4"/>
        <v>39700</v>
      </c>
      <c r="U10" s="53">
        <f>IF($J10="","",ROUND(($J10-$J$3)/1000,1)+(_xlfn.RANK.AVG($J10,($J10,$O10,$T10),1)-2)*20)</f>
        <v>-56.6</v>
      </c>
      <c r="V10" s="54">
        <f>IF($O10="","",ROUND(($O10-$O$3)/1000,1)+(_xlfn.RANK.AVG($O10,($J10,$O10,$T10),1)-2)*20)</f>
        <v>51.9</v>
      </c>
      <c r="W10" s="55">
        <f>IF($T10="","",ROUND(($T10-$T$3)/1000,1)+(_xlfn.RANK.AVG($T10,($J10,$O10,$T10),1)-2)*20)</f>
        <v>4.7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198</v>
      </c>
      <c r="AZ10" s="40" t="s">
        <v>82</v>
      </c>
      <c r="BA10" s="41" t="s">
        <v>200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22D745CF-26BA-4261-850A-BC4016C54A2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BB26BBB2-0D19-453C-96E6-F5ADA377DFC4}">
      <formula1>"ロン,ツモ,放銃,ツモ支払,流局,チョンボ"</formula1>
    </dataValidation>
    <dataValidation type="list" allowBlank="1" showInputMessage="1" showErrorMessage="1" sqref="E4:E30" xr:uid="{7A7489DD-2B47-43AE-9429-1E81C543338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5609-5B74-44FA-8855-0B0230CFE8B5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204</v>
      </c>
      <c r="G4" s="9">
        <v>1500</v>
      </c>
      <c r="H4" s="9"/>
      <c r="I4" s="48"/>
      <c r="J4" s="21">
        <f>IF(COUNTA($F4,$K4,$P4)&gt;0,J3+SUM(G4:I4),"")</f>
        <v>36500</v>
      </c>
      <c r="K4" s="8" t="s">
        <v>204</v>
      </c>
      <c r="L4" s="9">
        <v>-3000</v>
      </c>
      <c r="M4" s="9"/>
      <c r="N4" s="48"/>
      <c r="O4" s="21">
        <f>IF(COUNTA($F4,$K4,$P4)&gt;0,O3+SUM(L4:N4),"")</f>
        <v>32000</v>
      </c>
      <c r="P4" s="8" t="s">
        <v>204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11.5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11.5</v>
      </c>
      <c r="Y4" s="8" t="s">
        <v>203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201</v>
      </c>
      <c r="G5" s="9">
        <v>8000</v>
      </c>
      <c r="H5" s="9"/>
      <c r="I5" s="48">
        <v>1000</v>
      </c>
      <c r="J5" s="21">
        <f t="shared" ref="J5:J30" si="2">IF(COUNTA($F5,$K5,$P5)&gt;0,J4+SUM(G5:I5),"")</f>
        <v>45500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202</v>
      </c>
      <c r="Q5" s="9">
        <v>-8000</v>
      </c>
      <c r="R5" s="9"/>
      <c r="S5" s="48">
        <v>-1000</v>
      </c>
      <c r="T5" s="21">
        <f t="shared" ref="T5:T30" si="4">IF(COUNTA($F5,$K5,$P5)&gt;0,T4+SUM(Q5:S5),"")</f>
        <v>27500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-27.5</v>
      </c>
      <c r="Y5" s="8"/>
      <c r="Z5" s="34"/>
      <c r="AA5" s="26"/>
      <c r="AB5" s="26"/>
      <c r="AC5" s="26">
        <v>5</v>
      </c>
      <c r="AD5" s="30" t="s">
        <v>198</v>
      </c>
      <c r="AE5" s="40" t="s">
        <v>101</v>
      </c>
      <c r="AF5" s="41" t="s">
        <v>79</v>
      </c>
      <c r="AG5" s="41" t="s">
        <v>79</v>
      </c>
      <c r="AH5" s="41" t="s">
        <v>200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197</v>
      </c>
      <c r="G6" s="9">
        <v>-2500</v>
      </c>
      <c r="H6" s="9"/>
      <c r="I6" s="48">
        <v>0</v>
      </c>
      <c r="J6" s="21">
        <f t="shared" si="2"/>
        <v>43000</v>
      </c>
      <c r="K6" s="8" t="s">
        <v>197</v>
      </c>
      <c r="L6" s="9">
        <v>-1500</v>
      </c>
      <c r="M6" s="9"/>
      <c r="N6" s="48">
        <v>0</v>
      </c>
      <c r="O6" s="21">
        <f t="shared" si="3"/>
        <v>30500</v>
      </c>
      <c r="P6" s="8" t="s">
        <v>196</v>
      </c>
      <c r="Q6" s="9">
        <v>4000</v>
      </c>
      <c r="R6" s="9"/>
      <c r="S6" s="48">
        <v>0</v>
      </c>
      <c r="T6" s="21">
        <f t="shared" si="4"/>
        <v>31500</v>
      </c>
      <c r="U6" s="53">
        <f>IF($J6="","",ROUND(($J6-$J$3)/1000,1)+(_xlfn.RANK.AVG($J6,($J6,$O6,$T6),1)-2)*20)</f>
        <v>28</v>
      </c>
      <c r="V6" s="54">
        <f>IF($O6="","",ROUND(($O6-$O$3)/1000,1)+(_xlfn.RANK.AVG($O6,($J6,$O6,$T6),1)-2)*20)</f>
        <v>-24.5</v>
      </c>
      <c r="W6" s="55">
        <f>IF($T6="","",ROUND(($T6-$T$3)/1000,1)+(_xlfn.RANK.AVG($T6,($J6,$O6,$T6),1)-2)*20)</f>
        <v>-3.5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199</v>
      </c>
      <c r="BV6" s="41" t="s">
        <v>82</v>
      </c>
      <c r="BW6" s="41" t="s">
        <v>80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 t="s">
        <v>204</v>
      </c>
      <c r="G7" s="9">
        <v>0</v>
      </c>
      <c r="H7" s="9"/>
      <c r="I7" s="48"/>
      <c r="J7" s="21">
        <f t="shared" si="2"/>
        <v>43000</v>
      </c>
      <c r="K7" s="8" t="s">
        <v>204</v>
      </c>
      <c r="L7" s="9">
        <v>0</v>
      </c>
      <c r="M7" s="9"/>
      <c r="N7" s="48"/>
      <c r="O7" s="21">
        <f t="shared" si="3"/>
        <v>30500</v>
      </c>
      <c r="P7" s="8" t="s">
        <v>204</v>
      </c>
      <c r="Q7" s="9">
        <v>0</v>
      </c>
      <c r="R7" s="9">
        <v>-1000</v>
      </c>
      <c r="S7" s="48"/>
      <c r="T7" s="21">
        <f t="shared" si="4"/>
        <v>30500</v>
      </c>
      <c r="U7" s="53">
        <f>IF($J7="","",ROUND(($J7-$J$3)/1000,1)+(_xlfn.RANK.AVG($J7,($J7,$O7,$T7),1)-2)*20)</f>
        <v>28</v>
      </c>
      <c r="V7" s="54">
        <f>IF($O7="","",ROUND(($O7-$O$3)/1000,1)+(_xlfn.RANK.AVG($O7,($J7,$O7,$T7),1)-2)*20)</f>
        <v>-14.5</v>
      </c>
      <c r="W7" s="55">
        <f>IF($T7="","",ROUND(($T7-$T$3)/1000,1)+(_xlfn.RANK.AVG($T7,($J7,$O7,$T7),1)-2)*20)</f>
        <v>-14.5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IF($K$1="","",$K$1)</f>
        <v>ただ</v>
      </c>
      <c r="F8" s="8" t="s">
        <v>197</v>
      </c>
      <c r="G8" s="9">
        <v>-6000</v>
      </c>
      <c r="H8" s="9"/>
      <c r="I8" s="48">
        <v>-500</v>
      </c>
      <c r="J8" s="21">
        <f t="shared" si="2"/>
        <v>36500</v>
      </c>
      <c r="K8" s="8" t="s">
        <v>196</v>
      </c>
      <c r="L8" s="9">
        <v>12000</v>
      </c>
      <c r="M8" s="9">
        <v>1000</v>
      </c>
      <c r="N8" s="48">
        <v>1000</v>
      </c>
      <c r="O8" s="21">
        <f t="shared" si="3"/>
        <v>44500</v>
      </c>
      <c r="P8" s="8" t="s">
        <v>197</v>
      </c>
      <c r="Q8" s="9">
        <v>-6000</v>
      </c>
      <c r="R8" s="9"/>
      <c r="S8" s="48">
        <v>-500</v>
      </c>
      <c r="T8" s="21">
        <f t="shared" si="4"/>
        <v>24000</v>
      </c>
      <c r="U8" s="53">
        <f>IF($J8="","",ROUND(($J8-$J$3)/1000,1)+(_xlfn.RANK.AVG($J8,($J8,$O8,$T8),1)-2)*20)</f>
        <v>1.5</v>
      </c>
      <c r="V8" s="54">
        <f>IF($O8="","",ROUND(($O8-$O$3)/1000,1)+(_xlfn.RANK.AVG($O8,($J8,$O8,$T8),1)-2)*20)</f>
        <v>29.5</v>
      </c>
      <c r="W8" s="55">
        <f>IF($T8="","",ROUND(($T8-$T$3)/1000,1)+(_xlfn.RANK.AVG($T8,($J8,$O8,$T8),1)-2)*20)</f>
        <v>-31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198</v>
      </c>
      <c r="AZ8" s="40" t="s">
        <v>199</v>
      </c>
      <c r="BA8" s="41" t="s">
        <v>82</v>
      </c>
      <c r="BB8" s="41" t="s">
        <v>200</v>
      </c>
      <c r="BC8" s="41" t="s">
        <v>80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36500</v>
      </c>
      <c r="K9" s="8" t="s">
        <v>201</v>
      </c>
      <c r="L9" s="9">
        <v>3900</v>
      </c>
      <c r="M9" s="9"/>
      <c r="N9" s="48">
        <v>2000</v>
      </c>
      <c r="O9" s="21">
        <f t="shared" si="3"/>
        <v>50400</v>
      </c>
      <c r="P9" s="8" t="s">
        <v>202</v>
      </c>
      <c r="Q9" s="9">
        <v>-3900</v>
      </c>
      <c r="R9" s="9"/>
      <c r="S9" s="48">
        <v>-2000</v>
      </c>
      <c r="T9" s="21">
        <f t="shared" si="4"/>
        <v>18100</v>
      </c>
      <c r="U9" s="53">
        <f>IF($J9="","",ROUND(($J9-$J$3)/1000,1)+(_xlfn.RANK.AVG($J9,($J9,$O9,$T9),1)-2)*20)</f>
        <v>1.5</v>
      </c>
      <c r="V9" s="54">
        <f>IF($O9="","",ROUND(($O9-$O$3)/1000,1)+(_xlfn.RANK.AVG($O9,($J9,$O9,$T9),1)-2)*20)</f>
        <v>35.4</v>
      </c>
      <c r="W9" s="55">
        <f>IF($T9="","",ROUND(($T9-$T$3)/1000,1)+(_xlfn.RANK.AVG($T9,($J9,$O9,$T9),1)-2)*20)</f>
        <v>-36.9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199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36500</v>
      </c>
      <c r="K10" s="8" t="s">
        <v>201</v>
      </c>
      <c r="L10" s="9">
        <v>18000</v>
      </c>
      <c r="M10" s="9"/>
      <c r="N10" s="48">
        <v>3000</v>
      </c>
      <c r="O10" s="21">
        <f t="shared" si="3"/>
        <v>71400</v>
      </c>
      <c r="P10" s="8" t="s">
        <v>202</v>
      </c>
      <c r="Q10" s="9">
        <v>-18000</v>
      </c>
      <c r="R10" s="9"/>
      <c r="S10" s="48">
        <v>-3000</v>
      </c>
      <c r="T10" s="21">
        <f t="shared" si="4"/>
        <v>-2900</v>
      </c>
      <c r="U10" s="53">
        <f>IF($J10="","",ROUND(($J10-$J$3)/1000,1)+(_xlfn.RANK.AVG($J10,($J10,$O10,$T10),1)-2)*20)</f>
        <v>1.5</v>
      </c>
      <c r="V10" s="54">
        <f>IF($O10="","",ROUND(($O10-$O$3)/1000,1)+(_xlfn.RANK.AVG($O10,($J10,$O10,$T10),1)-2)*20)</f>
        <v>56.4</v>
      </c>
      <c r="W10" s="55">
        <f>IF($T10="","",ROUND(($T10-$T$3)/1000,1)+(_xlfn.RANK.AVG($T10,($J10,$O10,$T10),1)-2)*20)</f>
        <v>-57.9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198</v>
      </c>
      <c r="AZ10" s="40" t="s">
        <v>104</v>
      </c>
      <c r="BA10" s="41" t="s">
        <v>101</v>
      </c>
      <c r="BB10" s="41" t="s">
        <v>200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9311091D-4E3F-4020-928C-B3B3CBBE1759}">
      <formula1>$U$2:$W$2</formula1>
    </dataValidation>
    <dataValidation type="list" showInputMessage="1" showErrorMessage="1" sqref="K4:K30 P4:P30 F4:F30" xr:uid="{7C105414-8B3D-49D0-ABCB-034065DD19FB}">
      <formula1>"ロン,ツモ,放銃,ツモ支払,流局,チョンボ"</formula1>
    </dataValidation>
    <dataValidation type="list" allowBlank="1" showInputMessage="1" sqref="F1:T1" xr:uid="{2DC42B73-A5EA-40F1-B82F-51862F9C34C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03F01-2C13-42D9-9B41-9107D9FBB3A6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202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201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198</v>
      </c>
      <c r="BU4" s="40" t="s">
        <v>86</v>
      </c>
      <c r="BV4" s="41" t="s">
        <v>86</v>
      </c>
      <c r="BW4" s="41" t="s">
        <v>86</v>
      </c>
      <c r="BX4" s="41" t="s">
        <v>104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201</v>
      </c>
      <c r="L5" s="9">
        <v>6400</v>
      </c>
      <c r="M5" s="9"/>
      <c r="N5" s="48">
        <v>1000</v>
      </c>
      <c r="O5" s="21">
        <f t="shared" ref="O5:O30" si="3">IF(COUNTA($F5,$K5,$P5)&gt;0,O4+SUM(L5:N5),"")</f>
        <v>30400</v>
      </c>
      <c r="P5" s="8" t="s">
        <v>202</v>
      </c>
      <c r="Q5" s="9">
        <v>-6400</v>
      </c>
      <c r="R5" s="9"/>
      <c r="S5" s="48">
        <v>-1000</v>
      </c>
      <c r="T5" s="21">
        <f t="shared" ref="T5:T30" si="4">IF(COUNTA($F5,$K5,$P5)&gt;0,T4+SUM(Q5:S5),"")</f>
        <v>39600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-24.6</v>
      </c>
      <c r="W5" s="55">
        <f>IF($T5="","",ROUND(($T5-$T$3)/1000,1)+(_xlfn.RANK.AVG($T5,($J5,$O5,$T5),1)-2)*20)</f>
        <v>24.6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25</v>
      </c>
      <c r="AZ5" s="40" t="s">
        <v>101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-2600</v>
      </c>
      <c r="H6" s="9"/>
      <c r="I6" s="48">
        <v>0</v>
      </c>
      <c r="J6" s="21">
        <f t="shared" si="2"/>
        <v>32400</v>
      </c>
      <c r="K6" s="8" t="s">
        <v>201</v>
      </c>
      <c r="L6" s="9">
        <v>2600</v>
      </c>
      <c r="M6" s="9"/>
      <c r="N6" s="48">
        <v>0</v>
      </c>
      <c r="O6" s="21">
        <f t="shared" si="3"/>
        <v>33000</v>
      </c>
      <c r="P6" s="8"/>
      <c r="Q6" s="9"/>
      <c r="R6" s="9"/>
      <c r="S6" s="48"/>
      <c r="T6" s="21">
        <f t="shared" si="4"/>
        <v>39600</v>
      </c>
      <c r="U6" s="53">
        <f>IF($J6="","",ROUND(($J6-$J$3)/1000,1)+(_xlfn.RANK.AVG($J6,($J6,$O6,$T6),1)-2)*20)</f>
        <v>-22.6</v>
      </c>
      <c r="V6" s="54">
        <f>IF($O6="","",ROUND(($O6-$O$3)/1000,1)+(_xlfn.RANK.AVG($O6,($J6,$O6,$T6),1)-2)*20)</f>
        <v>-2</v>
      </c>
      <c r="W6" s="55">
        <f>IF($T6="","",ROUND(($T6-$T$3)/1000,1)+(_xlfn.RANK.AVG($T6,($J6,$O6,$T6),1)-2)*20)</f>
        <v>24.6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84</v>
      </c>
      <c r="BA6" s="41" t="s">
        <v>200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/>
      <c r="G7" s="9"/>
      <c r="H7" s="9"/>
      <c r="I7" s="48"/>
      <c r="J7" s="21">
        <f t="shared" si="2"/>
        <v>32400</v>
      </c>
      <c r="K7" s="8" t="s">
        <v>202</v>
      </c>
      <c r="L7" s="9">
        <v>-7700</v>
      </c>
      <c r="M7" s="9"/>
      <c r="N7" s="48">
        <v>0</v>
      </c>
      <c r="O7" s="21">
        <f t="shared" si="3"/>
        <v>25300</v>
      </c>
      <c r="P7" s="8" t="s">
        <v>201</v>
      </c>
      <c r="Q7" s="9">
        <v>7700</v>
      </c>
      <c r="R7" s="9"/>
      <c r="S7" s="48">
        <v>0</v>
      </c>
      <c r="T7" s="21">
        <f t="shared" si="4"/>
        <v>47300</v>
      </c>
      <c r="U7" s="53">
        <f>IF($J7="","",ROUND(($J7-$J$3)/1000,1)+(_xlfn.RANK.AVG($J7,($J7,$O7,$T7),1)-2)*20)</f>
        <v>-2.6</v>
      </c>
      <c r="V7" s="54">
        <f>IF($O7="","",ROUND(($O7-$O$3)/1000,1)+(_xlfn.RANK.AVG($O7,($J7,$O7,$T7),1)-2)*20)</f>
        <v>-29.7</v>
      </c>
      <c r="W7" s="55">
        <f>IF($T7="","",ROUND(($T7-$T$3)/1000,1)+(_xlfn.RANK.AVG($T7,($J7,$O7,$T7),1)-2)*20)</f>
        <v>32.299999999999997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199</v>
      </c>
      <c r="BV7" s="41" t="s">
        <v>83</v>
      </c>
      <c r="BW7" s="41" t="s">
        <v>84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201</v>
      </c>
      <c r="G8" s="9">
        <v>7700</v>
      </c>
      <c r="H8" s="9"/>
      <c r="I8" s="48">
        <v>0</v>
      </c>
      <c r="J8" s="21">
        <f t="shared" si="2"/>
        <v>40100</v>
      </c>
      <c r="K8" s="8"/>
      <c r="L8" s="9"/>
      <c r="M8" s="9"/>
      <c r="N8" s="48"/>
      <c r="O8" s="21">
        <f t="shared" si="3"/>
        <v>25300</v>
      </c>
      <c r="P8" s="8" t="s">
        <v>202</v>
      </c>
      <c r="Q8" s="9">
        <v>-7700</v>
      </c>
      <c r="R8" s="9"/>
      <c r="S8" s="48">
        <v>0</v>
      </c>
      <c r="T8" s="21">
        <f t="shared" si="4"/>
        <v>39600</v>
      </c>
      <c r="U8" s="53">
        <f>IF($J8="","",ROUND(($J8-$J$3)/1000,1)+(_xlfn.RANK.AVG($J8,($J8,$O8,$T8),1)-2)*20)</f>
        <v>25.1</v>
      </c>
      <c r="V8" s="54">
        <f>IF($O8="","",ROUND(($O8-$O$3)/1000,1)+(_xlfn.RANK.AVG($O8,($J8,$O8,$T8),1)-2)*20)</f>
        <v>-29.7</v>
      </c>
      <c r="W8" s="55">
        <f>IF($T8="","",ROUND(($T8-$T$3)/1000,1)+(_xlfn.RANK.AVG($T8,($J8,$O8,$T8),1)-2)*20)</f>
        <v>4.5999999999999996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199</v>
      </c>
      <c r="AF8" s="41" t="s">
        <v>83</v>
      </c>
      <c r="AG8" s="41" t="s">
        <v>80</v>
      </c>
      <c r="AH8" s="41" t="s">
        <v>200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202</v>
      </c>
      <c r="G9" s="9">
        <v>-5200</v>
      </c>
      <c r="H9" s="9">
        <v>-1000</v>
      </c>
      <c r="I9" s="48">
        <v>0</v>
      </c>
      <c r="J9" s="21">
        <f t="shared" si="2"/>
        <v>33900</v>
      </c>
      <c r="K9" s="8" t="s">
        <v>201</v>
      </c>
      <c r="L9" s="9">
        <v>5200</v>
      </c>
      <c r="M9" s="9">
        <v>1000</v>
      </c>
      <c r="N9" s="48">
        <v>0</v>
      </c>
      <c r="O9" s="21">
        <f t="shared" si="3"/>
        <v>31500</v>
      </c>
      <c r="P9" s="8"/>
      <c r="Q9" s="9"/>
      <c r="R9" s="9"/>
      <c r="S9" s="48"/>
      <c r="T9" s="21">
        <f t="shared" si="4"/>
        <v>39600</v>
      </c>
      <c r="U9" s="53">
        <f>IF($J9="","",ROUND(($J9-$J$3)/1000,1)+(_xlfn.RANK.AVG($J9,($J9,$O9,$T9),1)-2)*20)</f>
        <v>-1.1000000000000001</v>
      </c>
      <c r="V9" s="54">
        <f>IF($O9="","",ROUND(($O9-$O$3)/1000,1)+(_xlfn.RANK.AVG($O9,($J9,$O9,$T9),1)-2)*20)</f>
        <v>-23.5</v>
      </c>
      <c r="W9" s="55">
        <f>IF($T9="","",ROUND(($T9-$T$3)/1000,1)+(_xlfn.RANK.AVG($T9,($J9,$O9,$T9),1)-2)*20)</f>
        <v>24.6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199</v>
      </c>
      <c r="BA9" s="41" t="s">
        <v>88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197</v>
      </c>
      <c r="G10" s="9">
        <v>-12000</v>
      </c>
      <c r="H10" s="9"/>
      <c r="I10" s="48">
        <v>0</v>
      </c>
      <c r="J10" s="21">
        <f t="shared" si="2"/>
        <v>21900</v>
      </c>
      <c r="K10" s="8" t="s">
        <v>196</v>
      </c>
      <c r="L10" s="9">
        <v>24000</v>
      </c>
      <c r="M10" s="9"/>
      <c r="N10" s="48">
        <v>0</v>
      </c>
      <c r="O10" s="21">
        <f t="shared" si="3"/>
        <v>55500</v>
      </c>
      <c r="P10" s="8" t="s">
        <v>197</v>
      </c>
      <c r="Q10" s="9">
        <v>-12000</v>
      </c>
      <c r="R10" s="9"/>
      <c r="S10" s="48">
        <v>0</v>
      </c>
      <c r="T10" s="21">
        <f t="shared" si="4"/>
        <v>27600</v>
      </c>
      <c r="U10" s="53">
        <f>IF($J10="","",ROUND(($J10-$J$3)/1000,1)+(_xlfn.RANK.AVG($J10,($J10,$O10,$T10),1)-2)*20)</f>
        <v>-33.1</v>
      </c>
      <c r="V10" s="54">
        <f>IF($O10="","",ROUND(($O10-$O$3)/1000,1)+(_xlfn.RANK.AVG($O10,($J10,$O10,$T10),1)-2)*20)</f>
        <v>40.5</v>
      </c>
      <c r="W10" s="55">
        <f>IF($T10="","",ROUND(($T10-$T$3)/1000,1)+(_xlfn.RANK.AVG($T10,($J10,$O10,$T10),1)-2)*20)</f>
        <v>-7.4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9</v>
      </c>
      <c r="AY10" s="30" t="s">
        <v>198</v>
      </c>
      <c r="AZ10" s="40" t="s">
        <v>104</v>
      </c>
      <c r="BA10" s="41" t="s">
        <v>96</v>
      </c>
      <c r="BB10" s="41" t="s">
        <v>98</v>
      </c>
      <c r="BC10" s="41" t="s">
        <v>79</v>
      </c>
      <c r="BD10" s="41" t="s">
        <v>79</v>
      </c>
      <c r="BE10" s="41" t="s">
        <v>200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50D9450C-8C34-4AAC-95A2-2D6BBAC97657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8FB03720-EF42-4E22-9432-711BCEA40FEA}">
      <formula1>"ロン,ツモ,放銃,ツモ支払,流局,チョンボ"</formula1>
    </dataValidation>
    <dataValidation type="list" allowBlank="1" showInputMessage="1" showErrorMessage="1" sqref="E4:E30" xr:uid="{CF2DAFD3-06D8-47F6-B635-72AD0BD368A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B798-16E8-4ECF-ABC3-60F5422EC9B4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202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198</v>
      </c>
      <c r="AZ4" s="40" t="s">
        <v>200</v>
      </c>
      <c r="BA4" s="41" t="s">
        <v>79</v>
      </c>
      <c r="BB4" s="41" t="s">
        <v>79</v>
      </c>
      <c r="BC4" s="41" t="s">
        <v>79</v>
      </c>
      <c r="BD4" s="41" t="s">
        <v>84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201</v>
      </c>
      <c r="G5" s="9">
        <v>7700</v>
      </c>
      <c r="H5" s="9"/>
      <c r="I5" s="48">
        <v>0</v>
      </c>
      <c r="J5" s="21">
        <f t="shared" ref="J5:J30" si="2">IF(COUNTA($F5,$K5,$P5)&gt;0,J4+SUM(G5:I5),"")</f>
        <v>42700</v>
      </c>
      <c r="K5" s="8"/>
      <c r="L5" s="9"/>
      <c r="M5" s="9"/>
      <c r="N5" s="48"/>
      <c r="O5" s="21">
        <f t="shared" ref="O5:O30" si="3">IF(COUNTA($F5,$K5,$P5)&gt;0,O4+SUM(L5:N5),"")</f>
        <v>43000</v>
      </c>
      <c r="P5" s="8" t="s">
        <v>202</v>
      </c>
      <c r="Q5" s="9">
        <v>-7700</v>
      </c>
      <c r="R5" s="9"/>
      <c r="S5" s="48">
        <v>0</v>
      </c>
      <c r="T5" s="21">
        <f t="shared" ref="T5:T30" si="4">IF(COUNTA($F5,$K5,$P5)&gt;0,T4+SUM(Q5:S5),"")</f>
        <v>19300</v>
      </c>
      <c r="U5" s="53">
        <f>IF($J5="","",ROUND(($J5-$J$3)/1000,1)+(_xlfn.RANK.AVG($J5,($J5,$O5,$T5),1)-2)*20)</f>
        <v>7.7</v>
      </c>
      <c r="V5" s="54">
        <f>IF($O5="","",ROUND(($O5-$O$3)/1000,1)+(_xlfn.RANK.AVG($O5,($J5,$O5,$T5),1)-2)*20)</f>
        <v>28</v>
      </c>
      <c r="W5" s="55">
        <f>IF($T5="","",ROUND(($T5-$T$3)/1000,1)+(_xlfn.RANK.AVG($T5,($J5,$O5,$T5),1)-2)*20)</f>
        <v>-35.700000000000003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199</v>
      </c>
      <c r="AF5" s="41" t="s">
        <v>200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 t="s">
        <v>196</v>
      </c>
      <c r="G6" s="9">
        <v>18000</v>
      </c>
      <c r="H6" s="9"/>
      <c r="I6" s="48">
        <v>1000</v>
      </c>
      <c r="J6" s="21">
        <f t="shared" si="2"/>
        <v>61700</v>
      </c>
      <c r="K6" s="8" t="s">
        <v>197</v>
      </c>
      <c r="L6" s="9">
        <v>-9000</v>
      </c>
      <c r="M6" s="9"/>
      <c r="N6" s="48">
        <v>-500</v>
      </c>
      <c r="O6" s="21">
        <f t="shared" si="3"/>
        <v>33500</v>
      </c>
      <c r="P6" s="8" t="s">
        <v>197</v>
      </c>
      <c r="Q6" s="9">
        <v>-9000</v>
      </c>
      <c r="R6" s="9"/>
      <c r="S6" s="48">
        <v>-500</v>
      </c>
      <c r="T6" s="21">
        <f t="shared" si="4"/>
        <v>9800</v>
      </c>
      <c r="U6" s="53">
        <f>IF($J6="","",ROUND(($J6-$J$3)/1000,1)+(_xlfn.RANK.AVG($J6,($J6,$O6,$T6),1)-2)*20)</f>
        <v>46.7</v>
      </c>
      <c r="V6" s="54">
        <f>IF($O6="","",ROUND(($O6-$O$3)/1000,1)+(_xlfn.RANK.AVG($O6,($J6,$O6,$T6),1)-2)*20)</f>
        <v>-1.5</v>
      </c>
      <c r="W6" s="55">
        <f>IF($T6="","",ROUND(($T6-$T$3)/1000,1)+(_xlfn.RANK.AVG($T6,($J6,$O6,$T6),1)-2)*20)</f>
        <v>-45.2</v>
      </c>
      <c r="Y6" s="8"/>
      <c r="Z6" s="34"/>
      <c r="AA6" s="26">
        <v>1</v>
      </c>
      <c r="AB6" s="26"/>
      <c r="AC6" s="26">
        <v>6</v>
      </c>
      <c r="AD6" s="30" t="s">
        <v>198</v>
      </c>
      <c r="AE6" s="40" t="s">
        <v>199</v>
      </c>
      <c r="AF6" s="41" t="s">
        <v>82</v>
      </c>
      <c r="AG6" s="41" t="s">
        <v>206</v>
      </c>
      <c r="AH6" s="41" t="s">
        <v>200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だいち</v>
      </c>
      <c r="F7" s="8" t="s">
        <v>202</v>
      </c>
      <c r="G7" s="9">
        <v>-16000</v>
      </c>
      <c r="H7" s="9"/>
      <c r="I7" s="48">
        <v>-2000</v>
      </c>
      <c r="J7" s="21">
        <f t="shared" si="2"/>
        <v>43700</v>
      </c>
      <c r="K7" s="8"/>
      <c r="L7" s="9"/>
      <c r="M7" s="9"/>
      <c r="N7" s="48"/>
      <c r="O7" s="21">
        <f t="shared" si="3"/>
        <v>33500</v>
      </c>
      <c r="P7" s="8" t="s">
        <v>201</v>
      </c>
      <c r="Q7" s="9">
        <v>16000</v>
      </c>
      <c r="R7" s="9"/>
      <c r="S7" s="48">
        <v>2000</v>
      </c>
      <c r="T7" s="21">
        <f t="shared" si="4"/>
        <v>27800</v>
      </c>
      <c r="U7" s="53">
        <f>IF($J7="","",ROUND(($J7-$J$3)/1000,1)+(_xlfn.RANK.AVG($J7,($J7,$O7,$T7),1)-2)*20)</f>
        <v>28.7</v>
      </c>
      <c r="V7" s="54">
        <f>IF($O7="","",ROUND(($O7-$O$3)/1000,1)+(_xlfn.RANK.AVG($O7,($J7,$O7,$T7),1)-2)*20)</f>
        <v>-1.5</v>
      </c>
      <c r="W7" s="55">
        <f>IF($T7="","",ROUND(($T7-$T$3)/1000,1)+(_xlfn.RANK.AVG($T7,($J7,$O7,$T7),1)-2)*20)</f>
        <v>-27.2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8</v>
      </c>
      <c r="BT7" s="30" t="s">
        <v>198</v>
      </c>
      <c r="BU7" s="40" t="s">
        <v>199</v>
      </c>
      <c r="BV7" s="41" t="s">
        <v>200</v>
      </c>
      <c r="BW7" s="41" t="s">
        <v>200</v>
      </c>
      <c r="BX7" s="41" t="s">
        <v>79</v>
      </c>
      <c r="BY7" s="41" t="s">
        <v>79</v>
      </c>
      <c r="BZ7" s="41" t="s">
        <v>79</v>
      </c>
      <c r="CA7" s="41" t="s">
        <v>86</v>
      </c>
      <c r="CB7" s="41" t="s">
        <v>80</v>
      </c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197</v>
      </c>
      <c r="G8" s="9">
        <v>-6000</v>
      </c>
      <c r="H8" s="9"/>
      <c r="I8" s="48">
        <v>0</v>
      </c>
      <c r="J8" s="21">
        <f t="shared" si="2"/>
        <v>37700</v>
      </c>
      <c r="K8" s="8" t="s">
        <v>196</v>
      </c>
      <c r="L8" s="9">
        <v>12000</v>
      </c>
      <c r="M8" s="9"/>
      <c r="N8" s="48">
        <v>0</v>
      </c>
      <c r="O8" s="21">
        <f t="shared" si="3"/>
        <v>45500</v>
      </c>
      <c r="P8" s="8" t="s">
        <v>197</v>
      </c>
      <c r="Q8" s="9">
        <v>-6000</v>
      </c>
      <c r="R8" s="9"/>
      <c r="S8" s="48">
        <v>0</v>
      </c>
      <c r="T8" s="21">
        <f t="shared" si="4"/>
        <v>21800</v>
      </c>
      <c r="U8" s="53">
        <f>IF($J8="","",ROUND(($J8-$J$3)/1000,1)+(_xlfn.RANK.AVG($J8,($J8,$O8,$T8),1)-2)*20)</f>
        <v>2.7</v>
      </c>
      <c r="V8" s="54">
        <f>IF($O8="","",ROUND(($O8-$O$3)/1000,1)+(_xlfn.RANK.AVG($O8,($J8,$O8,$T8),1)-2)*20)</f>
        <v>30.5</v>
      </c>
      <c r="W8" s="55">
        <f>IF($T8="","",ROUND(($T8-$T$3)/1000,1)+(_xlfn.RANK.AVG($T8,($J8,$O8,$T8),1)-2)*20)</f>
        <v>-33.200000000000003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198</v>
      </c>
      <c r="AZ8" s="40" t="s">
        <v>199</v>
      </c>
      <c r="BA8" s="41" t="s">
        <v>82</v>
      </c>
      <c r="BB8" s="41" t="s">
        <v>200</v>
      </c>
      <c r="BC8" s="41" t="s">
        <v>86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201</v>
      </c>
      <c r="G9" s="9">
        <v>24000</v>
      </c>
      <c r="H9" s="9"/>
      <c r="I9" s="48">
        <v>1000</v>
      </c>
      <c r="J9" s="21">
        <f t="shared" si="2"/>
        <v>62700</v>
      </c>
      <c r="K9" s="8"/>
      <c r="L9" s="9"/>
      <c r="M9" s="9"/>
      <c r="N9" s="48"/>
      <c r="O9" s="21">
        <f t="shared" si="3"/>
        <v>45500</v>
      </c>
      <c r="P9" s="8" t="s">
        <v>202</v>
      </c>
      <c r="Q9" s="9">
        <v>-24000</v>
      </c>
      <c r="R9" s="9"/>
      <c r="S9" s="48">
        <v>-1000</v>
      </c>
      <c r="T9" s="21">
        <f t="shared" si="4"/>
        <v>-3200</v>
      </c>
      <c r="U9" s="53">
        <f>IF($J9="","",ROUND(($J9-$J$3)/1000,1)+(_xlfn.RANK.AVG($J9,($J9,$O9,$T9),1)-2)*20)</f>
        <v>47.7</v>
      </c>
      <c r="V9" s="54">
        <f>IF($O9="","",ROUND(($O9-$O$3)/1000,1)+(_xlfn.RANK.AVG($O9,($J9,$O9,$T9),1)-2)*20)</f>
        <v>10.5</v>
      </c>
      <c r="W9" s="55">
        <f>IF($T9="","",ROUND(($T9-$T$3)/1000,1)+(_xlfn.RANK.AVG($T9,($J9,$O9,$T9),1)-2)*20)</f>
        <v>-58.2</v>
      </c>
      <c r="Y9" s="8"/>
      <c r="Z9" s="34"/>
      <c r="AA9" s="26"/>
      <c r="AB9" s="26"/>
      <c r="AC9" s="26">
        <v>11</v>
      </c>
      <c r="AD9" s="30" t="s">
        <v>198</v>
      </c>
      <c r="AE9" s="40" t="s">
        <v>106</v>
      </c>
      <c r="AF9" s="41" t="s">
        <v>102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4F8BA03A-D1B0-4589-A962-F132DD7CB305}">
      <formula1>$U$2:$W$2</formula1>
    </dataValidation>
    <dataValidation type="list" showInputMessage="1" showErrorMessage="1" sqref="K4:K30 P4:P30 F4:F30" xr:uid="{C47D2484-7245-404D-A6FA-9CD270079DEE}">
      <formula1>"ロン,ツモ,放銃,ツモ支払,流局,チョンボ"</formula1>
    </dataValidation>
    <dataValidation type="list" allowBlank="1" showInputMessage="1" sqref="F1:T1" xr:uid="{530EAD01-D419-4CA5-80C0-955EF77286C3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DA4B-2860-4A29-B3B1-628F0E650BA9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201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/>
      <c r="L4" s="9"/>
      <c r="M4" s="9"/>
      <c r="N4" s="48"/>
      <c r="O4" s="21">
        <f>IF(COUNTA($F4,$K4,$P4)&gt;0,O3+SUM(L4:N4),"")</f>
        <v>35000</v>
      </c>
      <c r="P4" s="8" t="s">
        <v>202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-23.9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199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204</v>
      </c>
      <c r="G5" s="9">
        <v>3000</v>
      </c>
      <c r="H5" s="9">
        <v>-1000</v>
      </c>
      <c r="I5" s="48"/>
      <c r="J5" s="21">
        <f t="shared" ref="J5:J30" si="2">IF(COUNTA($F5,$K5,$P5)&gt;0,J4+SUM(G5:I5),"")</f>
        <v>40900</v>
      </c>
      <c r="K5" s="8" t="s">
        <v>204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29600</v>
      </c>
      <c r="U5" s="53">
        <f>IF($J5="","",ROUND(($J5-$J$3)/1000,1)+(_xlfn.RANK.AVG($J5,($J5,$O5,$T5),1)-2)*20)</f>
        <v>25.9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-25.4</v>
      </c>
      <c r="Y5" s="8" t="s">
        <v>203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IF($F$1="","",$F$1)</f>
        <v>だいち</v>
      </c>
      <c r="F6" s="8" t="s">
        <v>207</v>
      </c>
      <c r="G6" s="9">
        <v>-10000</v>
      </c>
      <c r="H6" s="9"/>
      <c r="I6" s="48"/>
      <c r="J6" s="21">
        <f t="shared" si="2"/>
        <v>30900</v>
      </c>
      <c r="K6" s="8" t="s">
        <v>207</v>
      </c>
      <c r="L6" s="9">
        <v>5000</v>
      </c>
      <c r="M6" s="9"/>
      <c r="N6" s="48"/>
      <c r="O6" s="21">
        <f t="shared" si="3"/>
        <v>38500</v>
      </c>
      <c r="P6" s="8" t="s">
        <v>207</v>
      </c>
      <c r="Q6" s="9">
        <v>5000</v>
      </c>
      <c r="R6" s="9"/>
      <c r="S6" s="48"/>
      <c r="T6" s="21">
        <f t="shared" si="4"/>
        <v>34600</v>
      </c>
      <c r="U6" s="53">
        <f>IF($J6="","",ROUND(($J6-$J$3)/1000,1)+(_xlfn.RANK.AVG($J6,($J6,$O6,$T6),1)-2)*20)</f>
        <v>-24.1</v>
      </c>
      <c r="V6" s="54">
        <f>IF($O6="","",ROUND(($O6-$O$3)/1000,1)+(_xlfn.RANK.AVG($O6,($J6,$O6,$T6),1)-2)*20)</f>
        <v>23.5</v>
      </c>
      <c r="W6" s="55">
        <f>IF($T6="","",ROUND(($T6-$T$3)/1000,1)+(_xlfn.RANK.AVG($T6,($J6,$O6,$T6),1)-2)*20)</f>
        <v>-0.4</v>
      </c>
      <c r="Y6" s="8"/>
      <c r="Z6" s="34">
        <v>1</v>
      </c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tr">
        <f>IF($K$1="","",$K$1)</f>
        <v>ただ</v>
      </c>
      <c r="F7" s="8" t="s">
        <v>196</v>
      </c>
      <c r="G7" s="9">
        <v>2100</v>
      </c>
      <c r="H7" s="9">
        <v>1000</v>
      </c>
      <c r="I7" s="48">
        <v>2000</v>
      </c>
      <c r="J7" s="21">
        <f t="shared" si="2"/>
        <v>36000</v>
      </c>
      <c r="K7" s="8" t="s">
        <v>197</v>
      </c>
      <c r="L7" s="9">
        <v>-1300</v>
      </c>
      <c r="M7" s="9"/>
      <c r="N7" s="48">
        <v>-1000</v>
      </c>
      <c r="O7" s="21">
        <f t="shared" si="3"/>
        <v>36200</v>
      </c>
      <c r="P7" s="8" t="s">
        <v>197</v>
      </c>
      <c r="Q7" s="9">
        <v>-800</v>
      </c>
      <c r="R7" s="9"/>
      <c r="S7" s="48">
        <v>-1000</v>
      </c>
      <c r="T7" s="21">
        <f t="shared" si="4"/>
        <v>32800</v>
      </c>
      <c r="U7" s="53">
        <f>IF($J7="","",ROUND(($J7-$J$3)/1000,1)+(_xlfn.RANK.AVG($J7,($J7,$O7,$T7),1)-2)*20)</f>
        <v>1</v>
      </c>
      <c r="V7" s="54">
        <f>IF($O7="","",ROUND(($O7-$O$3)/1000,1)+(_xlfn.RANK.AVG($O7,($J7,$O7,$T7),1)-2)*20)</f>
        <v>21.2</v>
      </c>
      <c r="W7" s="55">
        <f>IF($T7="","",ROUND(($T7-$T$3)/1000,1)+(_xlfn.RANK.AVG($T7,($J7,$O7,$T7),1)-2)*20)</f>
        <v>-22.2</v>
      </c>
      <c r="Y7" s="8"/>
      <c r="Z7" s="34"/>
      <c r="AA7" s="26">
        <v>1</v>
      </c>
      <c r="AB7" s="26"/>
      <c r="AC7" s="26">
        <v>2</v>
      </c>
      <c r="AD7" s="30">
        <v>30</v>
      </c>
      <c r="AE7" s="40" t="s">
        <v>199</v>
      </c>
      <c r="AF7" s="41" t="s">
        <v>82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196</v>
      </c>
      <c r="G8" s="9">
        <v>8000</v>
      </c>
      <c r="H8" s="9"/>
      <c r="I8" s="48">
        <v>0</v>
      </c>
      <c r="J8" s="21">
        <f t="shared" si="2"/>
        <v>44000</v>
      </c>
      <c r="K8" s="8" t="s">
        <v>197</v>
      </c>
      <c r="L8" s="9">
        <v>-3000</v>
      </c>
      <c r="M8" s="9"/>
      <c r="N8" s="48">
        <v>0</v>
      </c>
      <c r="O8" s="21">
        <f t="shared" si="3"/>
        <v>33200</v>
      </c>
      <c r="P8" s="8" t="s">
        <v>197</v>
      </c>
      <c r="Q8" s="9">
        <v>-5000</v>
      </c>
      <c r="R8" s="9"/>
      <c r="S8" s="48">
        <v>0</v>
      </c>
      <c r="T8" s="21">
        <f t="shared" si="4"/>
        <v>27800</v>
      </c>
      <c r="U8" s="53">
        <f>IF($J8="","",ROUND(($J8-$J$3)/1000,1)+(_xlfn.RANK.AVG($J8,($J8,$O8,$T8),1)-2)*20)</f>
        <v>29</v>
      </c>
      <c r="V8" s="54">
        <f>IF($O8="","",ROUND(($O8-$O$3)/1000,1)+(_xlfn.RANK.AVG($O8,($J8,$O8,$T8),1)-2)*20)</f>
        <v>-1.8</v>
      </c>
      <c r="W8" s="55">
        <f>IF($T8="","",ROUND(($T8-$T$3)/1000,1)+(_xlfn.RANK.AVG($T8,($J8,$O8,$T8),1)-2)*20)</f>
        <v>-27.2</v>
      </c>
      <c r="Y8" s="8"/>
      <c r="Z8" s="34"/>
      <c r="AA8" s="26">
        <v>1</v>
      </c>
      <c r="AB8" s="26"/>
      <c r="AC8" s="26">
        <v>5</v>
      </c>
      <c r="AD8" s="30" t="s">
        <v>198</v>
      </c>
      <c r="AE8" s="40" t="s">
        <v>199</v>
      </c>
      <c r="AF8" s="41" t="s">
        <v>82</v>
      </c>
      <c r="AG8" s="41" t="s">
        <v>206</v>
      </c>
      <c r="AH8" s="41" t="s">
        <v>83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201</v>
      </c>
      <c r="G9" s="9">
        <v>11600</v>
      </c>
      <c r="H9" s="9"/>
      <c r="I9" s="48">
        <v>0</v>
      </c>
      <c r="J9" s="21">
        <f t="shared" si="2"/>
        <v>55600</v>
      </c>
      <c r="K9" s="8"/>
      <c r="L9" s="9"/>
      <c r="M9" s="9"/>
      <c r="N9" s="48"/>
      <c r="O9" s="21">
        <f t="shared" si="3"/>
        <v>33200</v>
      </c>
      <c r="P9" s="8" t="s">
        <v>202</v>
      </c>
      <c r="Q9" s="9">
        <v>-11600</v>
      </c>
      <c r="R9" s="9"/>
      <c r="S9" s="48">
        <v>0</v>
      </c>
      <c r="T9" s="21">
        <f t="shared" si="4"/>
        <v>16200</v>
      </c>
      <c r="U9" s="53">
        <f>IF($J9="","",ROUND(($J9-$J$3)/1000,1)+(_xlfn.RANK.AVG($J9,($J9,$O9,$T9),1)-2)*20)</f>
        <v>40.6</v>
      </c>
      <c r="V9" s="54">
        <f>IF($O9="","",ROUND(($O9-$O$3)/1000,1)+(_xlfn.RANK.AVG($O9,($J9,$O9,$T9),1)-2)*20)</f>
        <v>-1.8</v>
      </c>
      <c r="W9" s="55">
        <f>IF($T9="","",ROUND(($T9-$T$3)/1000,1)+(_xlfn.RANK.AVG($T9,($J9,$O9,$T9),1)-2)*20)</f>
        <v>-38.799999999999997</v>
      </c>
      <c r="Y9" s="8"/>
      <c r="Z9" s="34"/>
      <c r="AA9" s="26"/>
      <c r="AB9" s="26"/>
      <c r="AC9" s="26">
        <v>4</v>
      </c>
      <c r="AD9" s="30">
        <v>30</v>
      </c>
      <c r="AE9" s="40" t="s">
        <v>83</v>
      </c>
      <c r="AF9" s="41" t="s">
        <v>200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だいち</v>
      </c>
      <c r="F10" s="8" t="s">
        <v>196</v>
      </c>
      <c r="G10" s="9">
        <v>24000</v>
      </c>
      <c r="H10" s="9"/>
      <c r="I10" s="48">
        <v>1000</v>
      </c>
      <c r="J10" s="21">
        <f t="shared" si="2"/>
        <v>80600</v>
      </c>
      <c r="K10" s="8" t="s">
        <v>197</v>
      </c>
      <c r="L10" s="9">
        <v>-12000</v>
      </c>
      <c r="M10" s="9"/>
      <c r="N10" s="48">
        <v>-500</v>
      </c>
      <c r="O10" s="21">
        <f t="shared" si="3"/>
        <v>20700</v>
      </c>
      <c r="P10" s="8" t="s">
        <v>197</v>
      </c>
      <c r="Q10" s="9">
        <v>-12000</v>
      </c>
      <c r="R10" s="9"/>
      <c r="S10" s="48">
        <v>-500</v>
      </c>
      <c r="T10" s="21">
        <f t="shared" si="4"/>
        <v>3700</v>
      </c>
      <c r="U10" s="53">
        <f>IF($J10="","",ROUND(($J10-$J$3)/1000,1)+(_xlfn.RANK.AVG($J10,($J10,$O10,$T10),1)-2)*20)</f>
        <v>65.599999999999994</v>
      </c>
      <c r="V10" s="54">
        <f>IF($O10="","",ROUND(($O10-$O$3)/1000,1)+(_xlfn.RANK.AVG($O10,($J10,$O10,$T10),1)-2)*20)</f>
        <v>-14.3</v>
      </c>
      <c r="W10" s="55">
        <f>IF($T10="","",ROUND(($T10-$T$3)/1000,1)+(_xlfn.RANK.AVG($T10,($J10,$O10,$T10),1)-2)*20)</f>
        <v>-51.3</v>
      </c>
      <c r="Y10" s="8"/>
      <c r="Z10" s="34"/>
      <c r="AA10" s="26">
        <v>1</v>
      </c>
      <c r="AB10" s="26"/>
      <c r="AC10" s="26">
        <v>9</v>
      </c>
      <c r="AD10" s="30" t="s">
        <v>198</v>
      </c>
      <c r="AE10" s="40" t="s">
        <v>199</v>
      </c>
      <c r="AF10" s="41" t="s">
        <v>82</v>
      </c>
      <c r="AG10" s="41" t="s">
        <v>206</v>
      </c>
      <c r="AH10" s="41" t="s">
        <v>92</v>
      </c>
      <c r="AI10" s="41" t="s">
        <v>200</v>
      </c>
      <c r="AJ10" s="41" t="s">
        <v>79</v>
      </c>
      <c r="AK10" s="41" t="s">
        <v>80</v>
      </c>
      <c r="AL10" s="41" t="s">
        <v>80</v>
      </c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だいち</v>
      </c>
      <c r="F11" s="8" t="s">
        <v>196</v>
      </c>
      <c r="G11" s="9">
        <v>4000</v>
      </c>
      <c r="H11" s="9">
        <v>1000</v>
      </c>
      <c r="I11" s="48">
        <v>2000</v>
      </c>
      <c r="J11" s="21">
        <f t="shared" si="2"/>
        <v>87600</v>
      </c>
      <c r="K11" s="8" t="s">
        <v>197</v>
      </c>
      <c r="L11" s="9">
        <v>-2000</v>
      </c>
      <c r="M11" s="9">
        <v>-1000</v>
      </c>
      <c r="N11" s="48">
        <v>-1000</v>
      </c>
      <c r="O11" s="21">
        <f t="shared" si="3"/>
        <v>16700</v>
      </c>
      <c r="P11" s="8" t="s">
        <v>197</v>
      </c>
      <c r="Q11" s="9">
        <v>-2000</v>
      </c>
      <c r="R11" s="9"/>
      <c r="S11" s="48">
        <v>-1000</v>
      </c>
      <c r="T11" s="21">
        <f t="shared" si="4"/>
        <v>700</v>
      </c>
      <c r="U11" s="53">
        <f>IF($J11="","",ROUND(($J11-$J$3)/1000,1)+(_xlfn.RANK.AVG($J11,($J11,$O11,$T11),1)-2)*20)</f>
        <v>72.599999999999994</v>
      </c>
      <c r="V11" s="54">
        <f>IF($O11="","",ROUND(($O11-$O$3)/1000,1)+(_xlfn.RANK.AVG($O11,($J11,$O11,$T11),1)-2)*20)</f>
        <v>-18.3</v>
      </c>
      <c r="W11" s="55">
        <f>IF($T11="","",ROUND(($T11-$T$3)/1000,1)+(_xlfn.RANK.AVG($T11,($J11,$O11,$T11),1)-2)*20)</f>
        <v>-54.3</v>
      </c>
      <c r="Y11" s="8"/>
      <c r="Z11" s="34"/>
      <c r="AA11" s="26"/>
      <c r="AB11" s="26"/>
      <c r="AC11" s="26">
        <v>2</v>
      </c>
      <c r="AD11" s="30">
        <v>40</v>
      </c>
      <c r="AE11" s="40" t="s">
        <v>82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0</v>
      </c>
      <c r="E12" s="4" t="str">
        <f>IF($F$1="","",$F$1)</f>
        <v>だいち</v>
      </c>
      <c r="F12" s="8" t="s">
        <v>197</v>
      </c>
      <c r="G12" s="9">
        <v>-7500</v>
      </c>
      <c r="H12" s="9"/>
      <c r="I12" s="48">
        <v>-1500</v>
      </c>
      <c r="J12" s="21">
        <f t="shared" si="2"/>
        <v>78600</v>
      </c>
      <c r="K12" s="8" t="s">
        <v>197</v>
      </c>
      <c r="L12" s="9">
        <v>-4500</v>
      </c>
      <c r="M12" s="9"/>
      <c r="N12" s="48">
        <v>-1500</v>
      </c>
      <c r="O12" s="21">
        <f t="shared" si="3"/>
        <v>10700</v>
      </c>
      <c r="P12" s="8" t="s">
        <v>196</v>
      </c>
      <c r="Q12" s="9">
        <v>12000</v>
      </c>
      <c r="R12" s="9"/>
      <c r="S12" s="48">
        <v>3000</v>
      </c>
      <c r="T12" s="21">
        <f t="shared" si="4"/>
        <v>15700</v>
      </c>
      <c r="U12" s="53">
        <f>IF($J12="","",ROUND(($J12-$J$3)/1000,1)+(_xlfn.RANK.AVG($J12,($J12,$O12,$T12),1)-2)*20)</f>
        <v>63.6</v>
      </c>
      <c r="V12" s="54">
        <f>IF($O12="","",ROUND(($O12-$O$3)/1000,1)+(_xlfn.RANK.AVG($O12,($J12,$O12,$T12),1)-2)*20)</f>
        <v>-44.3</v>
      </c>
      <c r="W12" s="55">
        <f>IF($T12="","",ROUND(($T12-$T$3)/1000,1)+(_xlfn.RANK.AVG($T12,($J12,$O12,$T12),1)-2)*20)</f>
        <v>-19.3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7</v>
      </c>
      <c r="BT12" s="30" t="s">
        <v>198</v>
      </c>
      <c r="BU12" s="40" t="s">
        <v>82</v>
      </c>
      <c r="BV12" s="41" t="s">
        <v>104</v>
      </c>
      <c r="BW12" s="41" t="s">
        <v>86</v>
      </c>
      <c r="BX12" s="41" t="s">
        <v>200</v>
      </c>
      <c r="BY12" s="41" t="s">
        <v>79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ただ</v>
      </c>
      <c r="F13" s="8" t="s">
        <v>201</v>
      </c>
      <c r="G13" s="9">
        <v>16000</v>
      </c>
      <c r="H13" s="9"/>
      <c r="I13" s="48">
        <v>0</v>
      </c>
      <c r="J13" s="21">
        <f t="shared" si="2"/>
        <v>94600</v>
      </c>
      <c r="K13" s="8" t="s">
        <v>202</v>
      </c>
      <c r="L13" s="9">
        <v>-16000</v>
      </c>
      <c r="M13" s="9"/>
      <c r="N13" s="48">
        <v>0</v>
      </c>
      <c r="O13" s="21">
        <f t="shared" si="3"/>
        <v>-5300</v>
      </c>
      <c r="P13" s="8"/>
      <c r="Q13" s="9"/>
      <c r="R13" s="9"/>
      <c r="S13" s="48"/>
      <c r="T13" s="21">
        <f t="shared" si="4"/>
        <v>15700</v>
      </c>
      <c r="U13" s="53">
        <f>IF($J13="","",ROUND(($J13-$J$3)/1000,1)+(_xlfn.RANK.AVG($J13,($J13,$O13,$T13),1)-2)*20)</f>
        <v>79.599999999999994</v>
      </c>
      <c r="V13" s="54">
        <f>IF($O13="","",ROUND(($O13-$O$3)/1000,1)+(_xlfn.RANK.AVG($O13,($J13,$O13,$T13),1)-2)*20)</f>
        <v>-60.3</v>
      </c>
      <c r="W13" s="55">
        <f>IF($T13="","",ROUND(($T13-$T$3)/1000,1)+(_xlfn.RANK.AVG($T13,($J13,$O13,$T13),1)-2)*20)</f>
        <v>-19.3</v>
      </c>
      <c r="Y13" s="8"/>
      <c r="Z13" s="34"/>
      <c r="AA13" s="26">
        <v>1</v>
      </c>
      <c r="AB13" s="26"/>
      <c r="AC13" s="26">
        <v>8</v>
      </c>
      <c r="AD13" s="30" t="s">
        <v>198</v>
      </c>
      <c r="AE13" s="40" t="s">
        <v>199</v>
      </c>
      <c r="AF13" s="41" t="s">
        <v>83</v>
      </c>
      <c r="AG13" s="41" t="s">
        <v>84</v>
      </c>
      <c r="AH13" s="41" t="s">
        <v>79</v>
      </c>
      <c r="AI13" s="41" t="s">
        <v>79</v>
      </c>
      <c r="AJ13" s="41" t="s">
        <v>80</v>
      </c>
      <c r="AK13" s="41" t="s">
        <v>200</v>
      </c>
      <c r="AL13" s="41" t="s">
        <v>200</v>
      </c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F955BC2E-787E-45AE-AE39-DEF215BFA5C6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A45E58B2-5CDE-4E49-91B6-F8728C304680}">
      <formula1>"ロン,ツモ,放銃,ツモ支払,流局,チョンボ"</formula1>
    </dataValidation>
    <dataValidation type="list" allowBlank="1" showInputMessage="1" showErrorMessage="1" sqref="E4:E30" xr:uid="{E212215C-F71B-4A64-9532-08093397480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9F444-CA58-4EFB-BD63-51308806B38A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-2400</v>
      </c>
      <c r="H4" s="9"/>
      <c r="I4" s="48">
        <v>0</v>
      </c>
      <c r="J4" s="21">
        <f>IF(COUNTA($F4,$K4,$P4)&gt;0,J3+SUM(G4:I4),"")</f>
        <v>32600</v>
      </c>
      <c r="K4" s="8" t="s">
        <v>197</v>
      </c>
      <c r="L4" s="9">
        <v>-2400</v>
      </c>
      <c r="M4" s="9"/>
      <c r="N4" s="48">
        <v>0</v>
      </c>
      <c r="O4" s="21">
        <f>IF(COUNTA($F4,$K4,$P4)&gt;0,O3+SUM(L4:N4),"")</f>
        <v>32600</v>
      </c>
      <c r="P4" s="8" t="s">
        <v>196</v>
      </c>
      <c r="Q4" s="9">
        <v>4800</v>
      </c>
      <c r="R4" s="9"/>
      <c r="S4" s="48">
        <v>0</v>
      </c>
      <c r="T4" s="21">
        <f>IF(COUNTA($F4,$K4,$P4)&gt;0,T3+SUM(Q4:S4),"")</f>
        <v>39800</v>
      </c>
      <c r="U4" s="53">
        <f>IF($J4="","",ROUND(($J4-$J$3)/1000,1)+(_xlfn.RANK.AVG($J4,($J4,$O4,$T4),1)-2)*20)</f>
        <v>-12.4</v>
      </c>
      <c r="V4" s="54">
        <f>IF($O4="","",ROUND(($O4-$O$3)/1000,1)+(_xlfn.RANK.AVG($O4,($J4,$O4,$T4),1)-2)*20)</f>
        <v>-12.4</v>
      </c>
      <c r="W4" s="55">
        <f>IF($T4="","",ROUND(($T4-$T$3)/1000,1)+(_xlfn.RANK.AVG($T4,($J4,$O4,$T4),1)-2)*20)</f>
        <v>24.8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82</v>
      </c>
      <c r="BV4" s="41" t="s">
        <v>101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197</v>
      </c>
      <c r="G5" s="9">
        <v>-1100</v>
      </c>
      <c r="H5" s="9"/>
      <c r="I5" s="48">
        <v>-500</v>
      </c>
      <c r="J5" s="21">
        <f t="shared" ref="J5:J30" si="2">IF(COUNTA($F5,$K5,$P5)&gt;0,J4+SUM(G5:I5),"")</f>
        <v>31000</v>
      </c>
      <c r="K5" s="8" t="s">
        <v>196</v>
      </c>
      <c r="L5" s="9">
        <v>2800</v>
      </c>
      <c r="M5" s="9"/>
      <c r="N5" s="48">
        <v>1000</v>
      </c>
      <c r="O5" s="21">
        <f t="shared" ref="O5:O30" si="3">IF(COUNTA($F5,$K5,$P5)&gt;0,O4+SUM(L5:N5),"")</f>
        <v>36400</v>
      </c>
      <c r="P5" s="8" t="s">
        <v>197</v>
      </c>
      <c r="Q5" s="9">
        <v>-1700</v>
      </c>
      <c r="R5" s="9"/>
      <c r="S5" s="48">
        <v>-500</v>
      </c>
      <c r="T5" s="21">
        <f t="shared" ref="T5:T30" si="4">IF(COUNTA($F5,$K5,$P5)&gt;0,T4+SUM(Q5:S5),"")</f>
        <v>37600</v>
      </c>
      <c r="U5" s="53">
        <f>IF($J5="","",ROUND(($J5-$J$3)/1000,1)+(_xlfn.RANK.AVG($J5,($J5,$O5,$T5),1)-2)*20)</f>
        <v>-24</v>
      </c>
      <c r="V5" s="54">
        <f>IF($O5="","",ROUND(($O5-$O$3)/1000,1)+(_xlfn.RANK.AVG($O5,($J5,$O5,$T5),1)-2)*20)</f>
        <v>1.4</v>
      </c>
      <c r="W5" s="55">
        <f>IF($T5="","",ROUND(($T5-$T$3)/1000,1)+(_xlfn.RANK.AVG($T5,($J5,$O5,$T5),1)-2)*20)</f>
        <v>22.6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20</v>
      </c>
      <c r="AZ5" s="40" t="s">
        <v>199</v>
      </c>
      <c r="BA5" s="41" t="s">
        <v>82</v>
      </c>
      <c r="BB5" s="41" t="s">
        <v>83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201</v>
      </c>
      <c r="G6" s="9">
        <v>3900</v>
      </c>
      <c r="H6" s="9">
        <v>1000</v>
      </c>
      <c r="I6" s="48">
        <v>0</v>
      </c>
      <c r="J6" s="21">
        <f t="shared" si="2"/>
        <v>35900</v>
      </c>
      <c r="K6" s="8" t="s">
        <v>202</v>
      </c>
      <c r="L6" s="9">
        <v>-3900</v>
      </c>
      <c r="M6" s="9">
        <v>-1000</v>
      </c>
      <c r="N6" s="48">
        <v>0</v>
      </c>
      <c r="O6" s="21">
        <f t="shared" si="3"/>
        <v>31500</v>
      </c>
      <c r="P6" s="8"/>
      <c r="Q6" s="9"/>
      <c r="R6" s="9"/>
      <c r="S6" s="48"/>
      <c r="T6" s="21">
        <f t="shared" si="4"/>
        <v>37600</v>
      </c>
      <c r="U6" s="53">
        <f>IF($J6="","",ROUND(($J6-$J$3)/1000,1)+(_xlfn.RANK.AVG($J6,($J6,$O6,$T6),1)-2)*20)</f>
        <v>0.9</v>
      </c>
      <c r="V6" s="54">
        <f>IF($O6="","",ROUND(($O6-$O$3)/1000,1)+(_xlfn.RANK.AVG($O6,($J6,$O6,$T6),1)-2)*20)</f>
        <v>-23.5</v>
      </c>
      <c r="W6" s="55">
        <f>IF($T6="","",ROUND(($T6-$T$3)/1000,1)+(_xlfn.RANK.AVG($T6,($J6,$O6,$T6),1)-2)*20)</f>
        <v>22.6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199</v>
      </c>
      <c r="AF6" s="41" t="s">
        <v>206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 t="s">
        <v>201</v>
      </c>
      <c r="G7" s="9">
        <v>2900</v>
      </c>
      <c r="H7" s="9">
        <v>1000</v>
      </c>
      <c r="I7" s="48">
        <v>1000</v>
      </c>
      <c r="J7" s="21">
        <f t="shared" si="2"/>
        <v>40800</v>
      </c>
      <c r="K7" s="8"/>
      <c r="L7" s="9"/>
      <c r="M7" s="9">
        <v>-1000</v>
      </c>
      <c r="N7" s="48"/>
      <c r="O7" s="21">
        <f t="shared" si="3"/>
        <v>30500</v>
      </c>
      <c r="P7" s="8" t="s">
        <v>202</v>
      </c>
      <c r="Q7" s="9">
        <v>-2900</v>
      </c>
      <c r="R7" s="9"/>
      <c r="S7" s="48">
        <v>-1000</v>
      </c>
      <c r="T7" s="21">
        <f t="shared" si="4"/>
        <v>33700</v>
      </c>
      <c r="U7" s="53">
        <f>IF($J7="","",ROUND(($J7-$J$3)/1000,1)+(_xlfn.RANK.AVG($J7,($J7,$O7,$T7),1)-2)*20)</f>
        <v>25.8</v>
      </c>
      <c r="V7" s="54">
        <f>IF($O7="","",ROUND(($O7-$O$3)/1000,1)+(_xlfn.RANK.AVG($O7,($J7,$O7,$T7),1)-2)*20)</f>
        <v>-24.5</v>
      </c>
      <c r="W7" s="55">
        <f>IF($T7="","",ROUND(($T7-$T$3)/1000,1)+(_xlfn.RANK.AVG($T7,($J7,$O7,$T7),1)-2)*20)</f>
        <v>-1.3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IF($F$1="","",$F$1)</f>
        <v>だいち</v>
      </c>
      <c r="F8" s="8" t="s">
        <v>204</v>
      </c>
      <c r="G8" s="9">
        <v>-1500</v>
      </c>
      <c r="H8" s="9"/>
      <c r="I8" s="48"/>
      <c r="J8" s="21">
        <f t="shared" si="2"/>
        <v>39300</v>
      </c>
      <c r="K8" s="8" t="s">
        <v>204</v>
      </c>
      <c r="L8" s="9">
        <v>3000</v>
      </c>
      <c r="M8" s="9"/>
      <c r="N8" s="48"/>
      <c r="O8" s="21">
        <f t="shared" si="3"/>
        <v>33500</v>
      </c>
      <c r="P8" s="8" t="s">
        <v>204</v>
      </c>
      <c r="Q8" s="9">
        <v>-1500</v>
      </c>
      <c r="R8" s="9"/>
      <c r="S8" s="48"/>
      <c r="T8" s="21">
        <f t="shared" si="4"/>
        <v>32200</v>
      </c>
      <c r="U8" s="53">
        <f>IF($J8="","",ROUND(($J8-$J$3)/1000,1)+(_xlfn.RANK.AVG($J8,($J8,$O8,$T8),1)-2)*20)</f>
        <v>24.3</v>
      </c>
      <c r="V8" s="54">
        <f>IF($O8="","",ROUND(($O8-$O$3)/1000,1)+(_xlfn.RANK.AVG($O8,($J8,$O8,$T8),1)-2)*20)</f>
        <v>-1.5</v>
      </c>
      <c r="W8" s="55">
        <f>IF($T8="","",ROUND(($T8-$T$3)/1000,1)+(_xlfn.RANK.AVG($T8,($J8,$O8,$T8),1)-2)*20)</f>
        <v>-22.8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IF($K$1="","",$K$1)</f>
        <v>ただ</v>
      </c>
      <c r="F9" s="8" t="s">
        <v>201</v>
      </c>
      <c r="G9" s="9">
        <v>2600</v>
      </c>
      <c r="H9" s="9"/>
      <c r="I9" s="48">
        <v>3000</v>
      </c>
      <c r="J9" s="21">
        <f t="shared" si="2"/>
        <v>44900</v>
      </c>
      <c r="K9" s="8" t="s">
        <v>202</v>
      </c>
      <c r="L9" s="9">
        <v>-2600</v>
      </c>
      <c r="M9" s="9"/>
      <c r="N9" s="48">
        <v>-3000</v>
      </c>
      <c r="O9" s="21">
        <f t="shared" si="3"/>
        <v>27900</v>
      </c>
      <c r="P9" s="8"/>
      <c r="Q9" s="9"/>
      <c r="R9" s="9"/>
      <c r="S9" s="48"/>
      <c r="T9" s="21">
        <f t="shared" si="4"/>
        <v>32200</v>
      </c>
      <c r="U9" s="53">
        <f>IF($J9="","",ROUND(($J9-$J$3)/1000,1)+(_xlfn.RANK.AVG($J9,($J9,$O9,$T9),1)-2)*20)</f>
        <v>29.9</v>
      </c>
      <c r="V9" s="54">
        <f>IF($O9="","",ROUND(($O9-$O$3)/1000,1)+(_xlfn.RANK.AVG($O9,($J9,$O9,$T9),1)-2)*20)</f>
        <v>-27.1</v>
      </c>
      <c r="W9" s="55">
        <f>IF($T9="","",ROUND(($T9-$T$3)/1000,1)+(_xlfn.RANK.AVG($T9,($J9,$O9,$T9),1)-2)*20)</f>
        <v>-2.8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199</v>
      </c>
      <c r="AF9" s="41" t="s">
        <v>80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196</v>
      </c>
      <c r="G10" s="9">
        <v>4000</v>
      </c>
      <c r="H10" s="9">
        <v>1000</v>
      </c>
      <c r="I10" s="48">
        <v>0</v>
      </c>
      <c r="J10" s="21">
        <f t="shared" si="2"/>
        <v>49900</v>
      </c>
      <c r="K10" s="8" t="s">
        <v>197</v>
      </c>
      <c r="L10" s="9">
        <v>-1500</v>
      </c>
      <c r="M10" s="9">
        <v>-1000</v>
      </c>
      <c r="N10" s="48">
        <v>0</v>
      </c>
      <c r="O10" s="21">
        <f t="shared" si="3"/>
        <v>25400</v>
      </c>
      <c r="P10" s="8" t="s">
        <v>197</v>
      </c>
      <c r="Q10" s="9">
        <v>-2500</v>
      </c>
      <c r="R10" s="9"/>
      <c r="S10" s="48">
        <v>0</v>
      </c>
      <c r="T10" s="21">
        <f t="shared" si="4"/>
        <v>29700</v>
      </c>
      <c r="U10" s="53">
        <f>IF($J10="","",ROUND(($J10-$J$3)/1000,1)+(_xlfn.RANK.AVG($J10,($J10,$O10,$T10),1)-2)*20)</f>
        <v>34.9</v>
      </c>
      <c r="V10" s="54">
        <f>IF($O10="","",ROUND(($O10-$O$3)/1000,1)+(_xlfn.RANK.AVG($O10,($J10,$O10,$T10),1)-2)*20)</f>
        <v>-29.6</v>
      </c>
      <c r="W10" s="55">
        <f>IF($T10="","",ROUND(($T10-$T$3)/1000,1)+(_xlfn.RANK.AVG($T10,($J10,$O10,$T10),1)-2)*20)</f>
        <v>-5.3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199</v>
      </c>
      <c r="AF10" s="41" t="s">
        <v>82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202</v>
      </c>
      <c r="G11" s="9">
        <v>-8000</v>
      </c>
      <c r="H11" s="9"/>
      <c r="I11" s="48">
        <v>0</v>
      </c>
      <c r="J11" s="21">
        <f t="shared" si="2"/>
        <v>41900</v>
      </c>
      <c r="K11" s="8" t="s">
        <v>201</v>
      </c>
      <c r="L11" s="9">
        <v>8000</v>
      </c>
      <c r="M11" s="9"/>
      <c r="N11" s="48">
        <v>0</v>
      </c>
      <c r="O11" s="21">
        <f t="shared" si="3"/>
        <v>33400</v>
      </c>
      <c r="P11" s="8"/>
      <c r="Q11" s="9"/>
      <c r="R11" s="9"/>
      <c r="S11" s="48"/>
      <c r="T11" s="21">
        <f t="shared" si="4"/>
        <v>29700</v>
      </c>
      <c r="U11" s="53">
        <f>IF($J11="","",ROUND(($J11-$J$3)/1000,1)+(_xlfn.RANK.AVG($J11,($J11,$O11,$T11),1)-2)*20)</f>
        <v>26.9</v>
      </c>
      <c r="V11" s="54">
        <f>IF($O11="","",ROUND(($O11-$O$3)/1000,1)+(_xlfn.RANK.AVG($O11,($J11,$O11,$T11),1)-2)*20)</f>
        <v>-1.6</v>
      </c>
      <c r="W11" s="55">
        <f>IF($T11="","",ROUND(($T11-$T$3)/1000,1)+(_xlfn.RANK.AVG($T11,($J11,$O11,$T11),1)-2)*20)</f>
        <v>-25.3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198</v>
      </c>
      <c r="AZ11" s="40" t="s">
        <v>104</v>
      </c>
      <c r="BA11" s="41" t="s">
        <v>92</v>
      </c>
      <c r="BB11" s="41" t="s">
        <v>200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201</v>
      </c>
      <c r="G12" s="9">
        <v>8000</v>
      </c>
      <c r="H12" s="9"/>
      <c r="I12" s="48">
        <v>0</v>
      </c>
      <c r="J12" s="21">
        <f t="shared" si="2"/>
        <v>49900</v>
      </c>
      <c r="K12" s="8"/>
      <c r="L12" s="9"/>
      <c r="M12" s="9"/>
      <c r="N12" s="48"/>
      <c r="O12" s="21">
        <f t="shared" si="3"/>
        <v>33400</v>
      </c>
      <c r="P12" s="8" t="s">
        <v>202</v>
      </c>
      <c r="Q12" s="9">
        <v>-8000</v>
      </c>
      <c r="R12" s="9"/>
      <c r="S12" s="48">
        <v>0</v>
      </c>
      <c r="T12" s="21">
        <f t="shared" si="4"/>
        <v>21700</v>
      </c>
      <c r="U12" s="53">
        <f>IF($J12="","",ROUND(($J12-$J$3)/1000,1)+(_xlfn.RANK.AVG($J12,($J12,$O12,$T12),1)-2)*20)</f>
        <v>34.9</v>
      </c>
      <c r="V12" s="54">
        <f>IF($O12="","",ROUND(($O12-$O$3)/1000,1)+(_xlfn.RANK.AVG($O12,($J12,$O12,$T12),1)-2)*20)</f>
        <v>-1.6</v>
      </c>
      <c r="W12" s="55">
        <f>IF($T12="","",ROUND(($T12-$T$3)/1000,1)+(_xlfn.RANK.AVG($T12,($J12,$O12,$T12),1)-2)*20)</f>
        <v>-33.299999999999997</v>
      </c>
      <c r="Y12" s="8"/>
      <c r="Z12" s="34"/>
      <c r="AA12" s="26"/>
      <c r="AB12" s="26">
        <v>1</v>
      </c>
      <c r="AC12" s="26">
        <v>5</v>
      </c>
      <c r="AD12" s="30" t="s">
        <v>198</v>
      </c>
      <c r="AE12" s="40" t="s">
        <v>86</v>
      </c>
      <c r="AF12" s="41" t="s">
        <v>93</v>
      </c>
      <c r="AG12" s="41" t="s">
        <v>79</v>
      </c>
      <c r="AH12" s="41" t="s">
        <v>79</v>
      </c>
      <c r="AI12" s="41" t="s">
        <v>79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8A2A5D8E-3253-4F46-A323-562E9B68100F}">
      <formula1>$U$2:$W$2</formula1>
    </dataValidation>
    <dataValidation type="list" showInputMessage="1" showErrorMessage="1" sqref="K4:K30 P4:P30 F4:F30" xr:uid="{93EF0967-369A-4A83-86B8-1B4CCF99FAD5}">
      <formula1>"ロン,ツモ,放銃,ツモ支払,流局,チョンボ"</formula1>
    </dataValidation>
    <dataValidation type="list" allowBlank="1" showInputMessage="1" sqref="F1:T1" xr:uid="{F3E23628-1A8C-47F7-A4E5-2CE066657C30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7547F-8D47-4E78-A644-05D7C307CAD7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ただ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197</v>
      </c>
      <c r="L4" s="9">
        <v>-4500</v>
      </c>
      <c r="M4" s="9">
        <v>-1000</v>
      </c>
      <c r="N4" s="48">
        <v>0</v>
      </c>
      <c r="O4" s="21">
        <f>IF(COUNTA($F4,$K4,$P4)&gt;0,O3+SUM(L4:N4),"")</f>
        <v>29500</v>
      </c>
      <c r="P4" s="8" t="s">
        <v>197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-5.5</v>
      </c>
      <c r="W4" s="55">
        <f>IF($T4="","",ROUND(($T4-$T$3)/1000,1)+(_xlfn.RANK.AVG($T4,($J4,$O4,$T4),1)-2)*20)</f>
        <v>-27.5</v>
      </c>
      <c r="Y4" s="8"/>
      <c r="Z4" s="34"/>
      <c r="AA4" s="26">
        <v>1</v>
      </c>
      <c r="AB4" s="26"/>
      <c r="AC4" s="26">
        <v>7</v>
      </c>
      <c r="AD4" s="30" t="s">
        <v>198</v>
      </c>
      <c r="AE4" s="40" t="s">
        <v>199</v>
      </c>
      <c r="AF4" s="41" t="s">
        <v>82</v>
      </c>
      <c r="AG4" s="41" t="s">
        <v>93</v>
      </c>
      <c r="AH4" s="41" t="s">
        <v>84</v>
      </c>
      <c r="AI4" s="41" t="s">
        <v>80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197</v>
      </c>
      <c r="G5" s="9">
        <v>-7500</v>
      </c>
      <c r="H5" s="9">
        <v>-1000</v>
      </c>
      <c r="I5" s="48">
        <v>0</v>
      </c>
      <c r="J5" s="21">
        <f t="shared" ref="J5:J30" si="2">IF(COUNTA($F5,$K5,$P5)&gt;0,J4+SUM(G5:I5),"")</f>
        <v>39500</v>
      </c>
      <c r="K5" s="8" t="s">
        <v>197</v>
      </c>
      <c r="L5" s="9">
        <v>-4500</v>
      </c>
      <c r="M5" s="9"/>
      <c r="N5" s="48">
        <v>0</v>
      </c>
      <c r="O5" s="21">
        <f t="shared" ref="O5:O30" si="3">IF(COUNTA($F5,$K5,$P5)&gt;0,O4+SUM(L5:N5),"")</f>
        <v>25000</v>
      </c>
      <c r="P5" s="8" t="s">
        <v>196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40500</v>
      </c>
      <c r="U5" s="53">
        <f>IF($J5="","",ROUND(($J5-$J$3)/1000,1)+(_xlfn.RANK.AVG($J5,($J5,$O5,$T5),1)-2)*20)</f>
        <v>4.5</v>
      </c>
      <c r="V5" s="54">
        <f>IF($O5="","",ROUND(($O5-$O$3)/1000,1)+(_xlfn.RANK.AVG($O5,($J5,$O5,$T5),1)-2)*20)</f>
        <v>-30</v>
      </c>
      <c r="W5" s="55">
        <f>IF($T5="","",ROUND(($T5-$T$3)/1000,1)+(_xlfn.RANK.AVG($T5,($J5,$O5,$T5),1)-2)*20)</f>
        <v>25.5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198</v>
      </c>
      <c r="BU5" s="40" t="s">
        <v>208</v>
      </c>
      <c r="BV5" s="41" t="s">
        <v>82</v>
      </c>
      <c r="BW5" s="41" t="s">
        <v>79</v>
      </c>
      <c r="BX5" s="41" t="s">
        <v>79</v>
      </c>
      <c r="BY5" s="41" t="s">
        <v>79</v>
      </c>
      <c r="BZ5" s="41" t="s">
        <v>200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201</v>
      </c>
      <c r="G6" s="9">
        <v>8000</v>
      </c>
      <c r="H6" s="9"/>
      <c r="I6" s="48">
        <v>0</v>
      </c>
      <c r="J6" s="21">
        <f t="shared" si="2"/>
        <v>47500</v>
      </c>
      <c r="K6" s="8"/>
      <c r="L6" s="9"/>
      <c r="M6" s="9"/>
      <c r="N6" s="48"/>
      <c r="O6" s="21">
        <f t="shared" si="3"/>
        <v>25000</v>
      </c>
      <c r="P6" s="8" t="s">
        <v>202</v>
      </c>
      <c r="Q6" s="9">
        <v>-8000</v>
      </c>
      <c r="R6" s="9"/>
      <c r="S6" s="48">
        <v>0</v>
      </c>
      <c r="T6" s="21">
        <f t="shared" si="4"/>
        <v>32500</v>
      </c>
      <c r="U6" s="53">
        <f>IF($J6="","",ROUND(($J6-$J$3)/1000,1)+(_xlfn.RANK.AVG($J6,($J6,$O6,$T6),1)-2)*20)</f>
        <v>32.5</v>
      </c>
      <c r="V6" s="54">
        <f>IF($O6="","",ROUND(($O6-$O$3)/1000,1)+(_xlfn.RANK.AVG($O6,($J6,$O6,$T6),1)-2)*20)</f>
        <v>-30</v>
      </c>
      <c r="W6" s="55">
        <f>IF($T6="","",ROUND(($T6-$T$3)/1000,1)+(_xlfn.RANK.AVG($T6,($J6,$O6,$T6),1)-2)*20)</f>
        <v>-2.5</v>
      </c>
      <c r="Y6" s="8"/>
      <c r="Z6" s="34"/>
      <c r="AA6" s="26"/>
      <c r="AB6" s="26">
        <v>1</v>
      </c>
      <c r="AC6" s="26">
        <v>5</v>
      </c>
      <c r="AD6" s="30" t="s">
        <v>198</v>
      </c>
      <c r="AE6" s="40" t="s">
        <v>104</v>
      </c>
      <c r="AF6" s="41" t="s">
        <v>86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>
        <v>-1000</v>
      </c>
      <c r="I7" s="48"/>
      <c r="J7" s="21">
        <f t="shared" si="2"/>
        <v>46500</v>
      </c>
      <c r="K7" s="8" t="s">
        <v>201</v>
      </c>
      <c r="L7" s="9">
        <v>5200</v>
      </c>
      <c r="M7" s="9">
        <v>1000</v>
      </c>
      <c r="N7" s="48">
        <v>0</v>
      </c>
      <c r="O7" s="21">
        <f t="shared" si="3"/>
        <v>31200</v>
      </c>
      <c r="P7" s="8" t="s">
        <v>202</v>
      </c>
      <c r="Q7" s="9">
        <v>-5200</v>
      </c>
      <c r="R7" s="9"/>
      <c r="S7" s="48">
        <v>0</v>
      </c>
      <c r="T7" s="21">
        <f t="shared" si="4"/>
        <v>27300</v>
      </c>
      <c r="U7" s="53">
        <f>IF($J7="","",ROUND(($J7-$J$3)/1000,1)+(_xlfn.RANK.AVG($J7,($J7,$O7,$T7),1)-2)*20)</f>
        <v>31.5</v>
      </c>
      <c r="V7" s="54">
        <f>IF($O7="","",ROUND(($O7-$O$3)/1000,1)+(_xlfn.RANK.AVG($O7,($J7,$O7,$T7),1)-2)*20)</f>
        <v>-3.8</v>
      </c>
      <c r="W7" s="55">
        <f>IF($T7="","",ROUND(($T7-$T$3)/1000,1)+(_xlfn.RANK.AVG($T7,($J7,$O7,$T7),1)-2)*20)</f>
        <v>-27.7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199</v>
      </c>
      <c r="BA7" s="41" t="s">
        <v>79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197</v>
      </c>
      <c r="G8" s="9">
        <v>-2500</v>
      </c>
      <c r="H8" s="9"/>
      <c r="I8" s="48">
        <v>0</v>
      </c>
      <c r="J8" s="21">
        <f t="shared" si="2"/>
        <v>44000</v>
      </c>
      <c r="K8" s="8" t="s">
        <v>197</v>
      </c>
      <c r="L8" s="9">
        <v>-1500</v>
      </c>
      <c r="M8" s="9"/>
      <c r="N8" s="48">
        <v>0</v>
      </c>
      <c r="O8" s="21">
        <f t="shared" si="3"/>
        <v>29700</v>
      </c>
      <c r="P8" s="8" t="s">
        <v>196</v>
      </c>
      <c r="Q8" s="9">
        <v>4000</v>
      </c>
      <c r="R8" s="9"/>
      <c r="S8" s="48">
        <v>0</v>
      </c>
      <c r="T8" s="21">
        <f t="shared" si="4"/>
        <v>31300</v>
      </c>
      <c r="U8" s="53">
        <f>IF($J8="","",ROUND(($J8-$J$3)/1000,1)+(_xlfn.RANK.AVG($J8,($J8,$O8,$T8),1)-2)*20)</f>
        <v>29</v>
      </c>
      <c r="V8" s="54">
        <f>IF($O8="","",ROUND(($O8-$O$3)/1000,1)+(_xlfn.RANK.AVG($O8,($J8,$O8,$T8),1)-2)*20)</f>
        <v>-25.3</v>
      </c>
      <c r="W8" s="55">
        <f>IF($T8="","",ROUND(($T8-$T$3)/1000,1)+(_xlfn.RANK.AVG($T8,($J8,$O8,$T8),1)-2)*20)</f>
        <v>-3.7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30</v>
      </c>
      <c r="BU8" s="40" t="s">
        <v>82</v>
      </c>
      <c r="BV8" s="41" t="s">
        <v>85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197</v>
      </c>
      <c r="G9" s="9">
        <v>-3000</v>
      </c>
      <c r="H9" s="9"/>
      <c r="I9" s="48">
        <v>0</v>
      </c>
      <c r="J9" s="21">
        <f t="shared" si="2"/>
        <v>41000</v>
      </c>
      <c r="K9" s="8" t="s">
        <v>197</v>
      </c>
      <c r="L9" s="9">
        <v>-5000</v>
      </c>
      <c r="M9" s="9"/>
      <c r="N9" s="48">
        <v>0</v>
      </c>
      <c r="O9" s="21">
        <f t="shared" si="3"/>
        <v>24700</v>
      </c>
      <c r="P9" s="8" t="s">
        <v>196</v>
      </c>
      <c r="Q9" s="9">
        <v>8000</v>
      </c>
      <c r="R9" s="9"/>
      <c r="S9" s="48">
        <v>0</v>
      </c>
      <c r="T9" s="21">
        <f t="shared" si="4"/>
        <v>39300</v>
      </c>
      <c r="U9" s="53">
        <f>IF($J9="","",ROUND(($J9-$J$3)/1000,1)+(_xlfn.RANK.AVG($J9,($J9,$O9,$T9),1)-2)*20)</f>
        <v>26</v>
      </c>
      <c r="V9" s="54">
        <f>IF($O9="","",ROUND(($O9-$O$3)/1000,1)+(_xlfn.RANK.AVG($O9,($J9,$O9,$T9),1)-2)*20)</f>
        <v>-30.3</v>
      </c>
      <c r="W9" s="55">
        <f>IF($T9="","",ROUND(($T9-$T$3)/1000,1)+(_xlfn.RANK.AVG($T9,($J9,$O9,$T9),1)-2)*20)</f>
        <v>4.3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198</v>
      </c>
      <c r="BU9" s="40" t="s">
        <v>208</v>
      </c>
      <c r="BV9" s="41" t="s">
        <v>82</v>
      </c>
      <c r="BW9" s="41" t="s">
        <v>83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03D96DDB-9279-4074-BCA6-90F1A270FE9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B6261208-55E3-40B1-BE2E-7C37D5F2AC4B}">
      <formula1>"ロン,ツモ,放銃,ツモ支払,流局,チョンボ"</formula1>
    </dataValidation>
    <dataValidation type="list" allowBlank="1" showInputMessage="1" showErrorMessage="1" sqref="E4:E30" xr:uid="{74C8BAED-32EF-418C-A589-171CF49CCFE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03BAF-85CF-45BE-9DEE-DC7642CBA37D}">
  <sheetPr codeName="Sheet2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ただ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202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198</v>
      </c>
      <c r="AZ4" s="40" t="s">
        <v>86</v>
      </c>
      <c r="BA4" s="41" t="s">
        <v>86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202</v>
      </c>
      <c r="G5" s="9">
        <v>-2000</v>
      </c>
      <c r="H5" s="9"/>
      <c r="I5" s="48">
        <v>-1000</v>
      </c>
      <c r="J5" s="21">
        <f t="shared" ref="J5:J30" si="2">IF(COUNTA($F5,$K5,$P5)&gt;0,J4+SUM(G5:I5),"")</f>
        <v>32000</v>
      </c>
      <c r="K5" s="8" t="s">
        <v>201</v>
      </c>
      <c r="L5" s="9">
        <v>2000</v>
      </c>
      <c r="M5" s="9"/>
      <c r="N5" s="48">
        <v>1000</v>
      </c>
      <c r="O5" s="21">
        <f t="shared" ref="O5:O30" si="3">IF(COUNTA($F5,$K5,$P5)&gt;0,O4+SUM(L5:N5),"")</f>
        <v>50000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35</v>
      </c>
      <c r="W5" s="55">
        <f>IF($T5="","",ROUND(($T5-$T$3)/1000,1)+(_xlfn.RANK.AVG($T5,($J5,$O5,$T5),1)-2)*20)</f>
        <v>-32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ただ</v>
      </c>
      <c r="F6" s="8"/>
      <c r="G6" s="9"/>
      <c r="H6" s="9"/>
      <c r="I6" s="48"/>
      <c r="J6" s="21">
        <f t="shared" si="2"/>
        <v>32000</v>
      </c>
      <c r="K6" s="8" t="s">
        <v>202</v>
      </c>
      <c r="L6" s="9">
        <v>-8000</v>
      </c>
      <c r="M6" s="9"/>
      <c r="N6" s="48">
        <v>-2000</v>
      </c>
      <c r="O6" s="21">
        <f t="shared" si="3"/>
        <v>40000</v>
      </c>
      <c r="P6" s="8" t="s">
        <v>201</v>
      </c>
      <c r="Q6" s="9">
        <v>8000</v>
      </c>
      <c r="R6" s="9"/>
      <c r="S6" s="48">
        <v>2000</v>
      </c>
      <c r="T6" s="21">
        <f t="shared" si="4"/>
        <v>33000</v>
      </c>
      <c r="U6" s="53">
        <f>IF($J6="","",ROUND(($J6-$J$3)/1000,1)+(_xlfn.RANK.AVG($J6,($J6,$O6,$T6),1)-2)*20)</f>
        <v>-23</v>
      </c>
      <c r="V6" s="54">
        <f>IF($O6="","",ROUND(($O6-$O$3)/1000,1)+(_xlfn.RANK.AVG($O6,($J6,$O6,$T6),1)-2)*20)</f>
        <v>25</v>
      </c>
      <c r="W6" s="55">
        <f>IF($T6="","",ROUND(($T6-$T$3)/1000,1)+(_xlfn.RANK.AVG($T6,($J6,$O6,$T6),1)-2)*20)</f>
        <v>-2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199</v>
      </c>
      <c r="BV6" s="41" t="s">
        <v>79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201</v>
      </c>
      <c r="G7" s="9">
        <v>8000</v>
      </c>
      <c r="H7" s="9"/>
      <c r="I7" s="48">
        <v>0</v>
      </c>
      <c r="J7" s="21">
        <f t="shared" si="2"/>
        <v>40000</v>
      </c>
      <c r="K7" s="8"/>
      <c r="L7" s="9"/>
      <c r="M7" s="9"/>
      <c r="N7" s="48"/>
      <c r="O7" s="21">
        <f t="shared" si="3"/>
        <v>40000</v>
      </c>
      <c r="P7" s="8" t="s">
        <v>202</v>
      </c>
      <c r="Q7" s="9">
        <v>-8000</v>
      </c>
      <c r="R7" s="9"/>
      <c r="S7" s="48">
        <v>0</v>
      </c>
      <c r="T7" s="21">
        <f t="shared" si="4"/>
        <v>25000</v>
      </c>
      <c r="U7" s="53">
        <f>IF($J7="","",ROUND(($J7-$J$3)/1000,1)+(_xlfn.RANK.AVG($J7,($J7,$O7,$T7),1)-2)*20)</f>
        <v>15</v>
      </c>
      <c r="V7" s="54">
        <f>IF($O7="","",ROUND(($O7-$O$3)/1000,1)+(_xlfn.RANK.AVG($O7,($J7,$O7,$T7),1)-2)*20)</f>
        <v>15</v>
      </c>
      <c r="W7" s="55">
        <f>IF($T7="","",ROUND(($T7-$T$3)/1000,1)+(_xlfn.RANK.AVG($T7,($J7,$O7,$T7),1)-2)*20)</f>
        <v>-30</v>
      </c>
      <c r="Y7" s="8"/>
      <c r="Z7" s="34"/>
      <c r="AA7" s="26">
        <v>1</v>
      </c>
      <c r="AB7" s="26"/>
      <c r="AC7" s="26">
        <v>5</v>
      </c>
      <c r="AD7" s="30" t="s">
        <v>198</v>
      </c>
      <c r="AE7" s="40" t="s">
        <v>199</v>
      </c>
      <c r="AF7" s="41" t="s">
        <v>86</v>
      </c>
      <c r="AG7" s="41" t="s">
        <v>79</v>
      </c>
      <c r="AH7" s="41" t="s">
        <v>79</v>
      </c>
      <c r="AI7" s="41" t="s">
        <v>84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40000</v>
      </c>
      <c r="K8" s="8" t="s">
        <v>202</v>
      </c>
      <c r="L8" s="9">
        <v>-8000</v>
      </c>
      <c r="M8" s="9"/>
      <c r="N8" s="48">
        <v>0</v>
      </c>
      <c r="O8" s="21">
        <f t="shared" si="3"/>
        <v>32000</v>
      </c>
      <c r="P8" s="8" t="s">
        <v>201</v>
      </c>
      <c r="Q8" s="9">
        <v>8000</v>
      </c>
      <c r="R8" s="9"/>
      <c r="S8" s="48">
        <v>0</v>
      </c>
      <c r="T8" s="21">
        <f t="shared" si="4"/>
        <v>33000</v>
      </c>
      <c r="U8" s="53">
        <f>IF($J8="","",ROUND(($J8-$J$3)/1000,1)+(_xlfn.RANK.AVG($J8,($J8,$O8,$T8),1)-2)*20)</f>
        <v>25</v>
      </c>
      <c r="V8" s="54">
        <f>IF($O8="","",ROUND(($O8-$O$3)/1000,1)+(_xlfn.RANK.AVG($O8,($J8,$O8,$T8),1)-2)*20)</f>
        <v>-23</v>
      </c>
      <c r="W8" s="55">
        <f>IF($T8="","",ROUND(($T8-$T$3)/1000,1)+(_xlfn.RANK.AVG($T8,($J8,$O8,$T8),1)-2)*20)</f>
        <v>-2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50</v>
      </c>
      <c r="BU8" s="40" t="s">
        <v>86</v>
      </c>
      <c r="BV8" s="41" t="s">
        <v>104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196</v>
      </c>
      <c r="G9" s="9">
        <v>1500</v>
      </c>
      <c r="H9" s="9"/>
      <c r="I9" s="48">
        <v>0</v>
      </c>
      <c r="J9" s="21">
        <f t="shared" si="2"/>
        <v>41500</v>
      </c>
      <c r="K9" s="8" t="s">
        <v>197</v>
      </c>
      <c r="L9" s="9">
        <v>-900</v>
      </c>
      <c r="M9" s="9"/>
      <c r="N9" s="48">
        <v>0</v>
      </c>
      <c r="O9" s="21">
        <f t="shared" si="3"/>
        <v>31100</v>
      </c>
      <c r="P9" s="8" t="s">
        <v>197</v>
      </c>
      <c r="Q9" s="9">
        <v>-600</v>
      </c>
      <c r="R9" s="9"/>
      <c r="S9" s="48">
        <v>0</v>
      </c>
      <c r="T9" s="21">
        <f t="shared" si="4"/>
        <v>32400</v>
      </c>
      <c r="U9" s="53">
        <f>IF($J9="","",ROUND(($J9-$J$3)/1000,1)+(_xlfn.RANK.AVG($J9,($J9,$O9,$T9),1)-2)*20)</f>
        <v>26.5</v>
      </c>
      <c r="V9" s="54">
        <f>IF($O9="","",ROUND(($O9-$O$3)/1000,1)+(_xlfn.RANK.AVG($O9,($J9,$O9,$T9),1)-2)*20)</f>
        <v>-23.9</v>
      </c>
      <c r="W9" s="55">
        <f>IF($T9="","",ROUND(($T9-$T$3)/1000,1)+(_xlfn.RANK.AVG($T9,($J9,$O9,$T9),1)-2)*20)</f>
        <v>-2.6</v>
      </c>
      <c r="Y9" s="8"/>
      <c r="Z9" s="34"/>
      <c r="AA9" s="26"/>
      <c r="AB9" s="26"/>
      <c r="AC9" s="26">
        <v>1</v>
      </c>
      <c r="AD9" s="30">
        <v>40</v>
      </c>
      <c r="AE9" s="40" t="s">
        <v>82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197</v>
      </c>
      <c r="G10" s="9">
        <v>-2900</v>
      </c>
      <c r="H10" s="9"/>
      <c r="I10" s="48">
        <v>0</v>
      </c>
      <c r="J10" s="21">
        <f t="shared" si="2"/>
        <v>38600</v>
      </c>
      <c r="K10" s="8" t="s">
        <v>196</v>
      </c>
      <c r="L10" s="9">
        <v>7700</v>
      </c>
      <c r="M10" s="9"/>
      <c r="N10" s="48">
        <v>0</v>
      </c>
      <c r="O10" s="21">
        <f t="shared" si="3"/>
        <v>38800</v>
      </c>
      <c r="P10" s="8" t="s">
        <v>197</v>
      </c>
      <c r="Q10" s="9">
        <v>-4800</v>
      </c>
      <c r="R10" s="9"/>
      <c r="S10" s="48">
        <v>0</v>
      </c>
      <c r="T10" s="21">
        <f t="shared" si="4"/>
        <v>27600</v>
      </c>
      <c r="U10" s="53">
        <f>IF($J10="","",ROUND(($J10-$J$3)/1000,1)+(_xlfn.RANK.AVG($J10,($J10,$O10,$T10),1)-2)*20)</f>
        <v>3.6</v>
      </c>
      <c r="V10" s="54">
        <f>IF($O10="","",ROUND(($O10-$O$3)/1000,1)+(_xlfn.RANK.AVG($O10,($J10,$O10,$T10),1)-2)*20)</f>
        <v>23.8</v>
      </c>
      <c r="W10" s="55">
        <f>IF($T10="","",ROUND(($T10-$T$3)/1000,1)+(_xlfn.RANK.AVG($T10,($J10,$O10,$T10),1)-2)*20)</f>
        <v>-27.4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199</v>
      </c>
      <c r="BA10" s="41" t="s">
        <v>82</v>
      </c>
      <c r="BB10" s="41" t="s">
        <v>200</v>
      </c>
      <c r="BC10" s="41" t="s">
        <v>200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196</v>
      </c>
      <c r="G11" s="9">
        <v>3000</v>
      </c>
      <c r="H11" s="9"/>
      <c r="I11" s="48">
        <v>0</v>
      </c>
      <c r="J11" s="21">
        <f t="shared" si="2"/>
        <v>41600</v>
      </c>
      <c r="K11" s="8" t="s">
        <v>197</v>
      </c>
      <c r="L11" s="9">
        <v>-1500</v>
      </c>
      <c r="M11" s="9"/>
      <c r="N11" s="48">
        <v>0</v>
      </c>
      <c r="O11" s="21">
        <f t="shared" si="3"/>
        <v>37300</v>
      </c>
      <c r="P11" s="8" t="s">
        <v>197</v>
      </c>
      <c r="Q11" s="9">
        <v>-1500</v>
      </c>
      <c r="R11" s="9"/>
      <c r="S11" s="48">
        <v>0</v>
      </c>
      <c r="T11" s="21">
        <f t="shared" si="4"/>
        <v>26100</v>
      </c>
      <c r="U11" s="53">
        <f>IF($J11="","",ROUND(($J11-$J$3)/1000,1)+(_xlfn.RANK.AVG($J11,($J11,$O11,$T11),1)-2)*20)</f>
        <v>26.6</v>
      </c>
      <c r="V11" s="54">
        <f>IF($O11="","",ROUND(($O11-$O$3)/1000,1)+(_xlfn.RANK.AVG($O11,($J11,$O11,$T11),1)-2)*20)</f>
        <v>2.2999999999999998</v>
      </c>
      <c r="W11" s="55">
        <f>IF($T11="","",ROUND(($T11-$T$3)/1000,1)+(_xlfn.RANK.AVG($T11,($J11,$O11,$T11),1)-2)*20)</f>
        <v>-28.9</v>
      </c>
      <c r="Y11" s="8"/>
      <c r="Z11" s="34"/>
      <c r="AA11" s="26">
        <v>1</v>
      </c>
      <c r="AB11" s="26"/>
      <c r="AC11" s="26">
        <v>2</v>
      </c>
      <c r="AD11" s="30">
        <v>30</v>
      </c>
      <c r="AE11" s="40" t="s">
        <v>199</v>
      </c>
      <c r="AF11" s="41" t="s">
        <v>82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IF($F$1="","",$F$1)</f>
        <v>だいち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99C082D3-6DE4-4032-9BBA-A0D673278171}">
      <formula1>$U$2:$W$2</formula1>
    </dataValidation>
    <dataValidation type="list" showInputMessage="1" showErrorMessage="1" sqref="K4:K30 P4:P30 F4:F30" xr:uid="{540C890B-01DD-4DDD-852E-8C80DE0866BD}">
      <formula1>"ロン,ツモ,放銃,ツモ支払,流局,チョンボ"</formula1>
    </dataValidation>
    <dataValidation type="list" allowBlank="1" showInputMessage="1" sqref="F1:T1" xr:uid="{194CC0C3-46D0-4078-8F1B-85BD2668753D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2022-11-06T08:17:17Z</dcterms:modified>
</cp:coreProperties>
</file>