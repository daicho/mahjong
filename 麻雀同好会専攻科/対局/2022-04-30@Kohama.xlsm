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対局\"/>
    </mc:Choice>
  </mc:AlternateContent>
  <xr:revisionPtr revIDLastSave="0" documentId="13_ncr:1_{3B9A8493-A6DB-401B-B265-2817FBD7C207}" xr6:coauthVersionLast="47" xr6:coauthVersionMax="47" xr10:uidLastSave="{00000000-0000-0000-0000-000000000000}"/>
  <bookViews>
    <workbookView xWindow="-120" yWindow="-120" windowWidth="29040" windowHeight="15990" firstSheet="3" activeTab="1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Sheet11" sheetId="29" r:id="rId11"/>
    <sheet name="Sheet12" sheetId="32" r:id="rId12"/>
    <sheet name="Sheet13" sheetId="33" r:id="rId13"/>
    <sheet name="Sheet14" sheetId="34" r:id="rId14"/>
    <sheet name="Sheet15" sheetId="35" r:id="rId15"/>
    <sheet name="役一覧" sheetId="15" state="hidden" r:id="rId16"/>
    <sheet name="点数表(親ロン)" sheetId="4" state="hidden" r:id="rId17"/>
    <sheet name="点数表(親ツモ)" sheetId="9" state="hidden" r:id="rId18"/>
    <sheet name="点数表(子→親)" sheetId="7" state="hidden" r:id="rId19"/>
    <sheet name="点数表(子ロン)" sheetId="3" state="hidden" r:id="rId20"/>
    <sheet name="点数表(子ツモ)" sheetId="10" state="hidden" r:id="rId21"/>
    <sheet name="点数表(子→子)" sheetId="5" state="hidden" r:id="rId22"/>
    <sheet name="点数表(親→子)" sheetId="6" state="hidden" r:id="rId2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35" l="1"/>
  <c r="D16" i="35" s="1"/>
  <c r="E15" i="35"/>
  <c r="E14" i="35"/>
  <c r="D14" i="35" s="1"/>
  <c r="E13" i="35"/>
  <c r="E12" i="35"/>
  <c r="E11" i="35"/>
  <c r="E10" i="35"/>
  <c r="E9" i="35"/>
  <c r="E8" i="35"/>
  <c r="E7" i="35"/>
  <c r="E6" i="35"/>
  <c r="E5" i="35"/>
  <c r="T30" i="35"/>
  <c r="W30" i="35" s="1"/>
  <c r="O30" i="35"/>
  <c r="V30" i="35" s="1"/>
  <c r="J30" i="35"/>
  <c r="U30" i="35" s="1"/>
  <c r="D30" i="35"/>
  <c r="C30" i="35"/>
  <c r="B30" i="35"/>
  <c r="A30" i="35"/>
  <c r="T29" i="35"/>
  <c r="W29" i="35" s="1"/>
  <c r="O29" i="35"/>
  <c r="V29" i="35" s="1"/>
  <c r="J29" i="35"/>
  <c r="U29" i="35" s="1"/>
  <c r="D29" i="35"/>
  <c r="C29" i="35"/>
  <c r="B29" i="35"/>
  <c r="A29" i="35"/>
  <c r="T28" i="35"/>
  <c r="W28" i="35" s="1"/>
  <c r="O28" i="35"/>
  <c r="V28" i="35" s="1"/>
  <c r="J28" i="35"/>
  <c r="U28" i="35" s="1"/>
  <c r="D28" i="35"/>
  <c r="C28" i="35"/>
  <c r="B28" i="35"/>
  <c r="A28" i="35"/>
  <c r="T27" i="35"/>
  <c r="W27" i="35" s="1"/>
  <c r="O27" i="35"/>
  <c r="V27" i="35" s="1"/>
  <c r="J27" i="35"/>
  <c r="U27" i="35" s="1"/>
  <c r="D27" i="35"/>
  <c r="C27" i="35"/>
  <c r="B27" i="35"/>
  <c r="A27" i="35"/>
  <c r="T26" i="35"/>
  <c r="W26" i="35" s="1"/>
  <c r="O26" i="35"/>
  <c r="V26" i="35" s="1"/>
  <c r="J26" i="35"/>
  <c r="U26" i="35" s="1"/>
  <c r="D26" i="35"/>
  <c r="C26" i="35"/>
  <c r="B26" i="35"/>
  <c r="A26" i="35"/>
  <c r="T25" i="35"/>
  <c r="W25" i="35" s="1"/>
  <c r="O25" i="35"/>
  <c r="V25" i="35" s="1"/>
  <c r="J25" i="35"/>
  <c r="U25" i="35" s="1"/>
  <c r="D25" i="35"/>
  <c r="C25" i="35"/>
  <c r="B25" i="35"/>
  <c r="A25" i="35"/>
  <c r="T24" i="35"/>
  <c r="W24" i="35" s="1"/>
  <c r="O24" i="35"/>
  <c r="V24" i="35" s="1"/>
  <c r="J24" i="35"/>
  <c r="U24" i="35" s="1"/>
  <c r="D24" i="35"/>
  <c r="C24" i="35"/>
  <c r="B24" i="35"/>
  <c r="A24" i="35"/>
  <c r="T23" i="35"/>
  <c r="W23" i="35" s="1"/>
  <c r="O23" i="35"/>
  <c r="V23" i="35" s="1"/>
  <c r="J23" i="35"/>
  <c r="U23" i="35" s="1"/>
  <c r="D23" i="35"/>
  <c r="C23" i="35"/>
  <c r="B23" i="35"/>
  <c r="A23" i="35"/>
  <c r="T22" i="35"/>
  <c r="W22" i="35" s="1"/>
  <c r="O22" i="35"/>
  <c r="V22" i="35" s="1"/>
  <c r="J22" i="35"/>
  <c r="U22" i="35" s="1"/>
  <c r="D22" i="35"/>
  <c r="C22" i="35"/>
  <c r="B22" i="35"/>
  <c r="A22" i="35"/>
  <c r="T21" i="35"/>
  <c r="W21" i="35" s="1"/>
  <c r="O21" i="35"/>
  <c r="V21" i="35" s="1"/>
  <c r="J21" i="35"/>
  <c r="U21" i="35" s="1"/>
  <c r="D21" i="35"/>
  <c r="C21" i="35"/>
  <c r="B21" i="35"/>
  <c r="A21" i="35"/>
  <c r="T20" i="35"/>
  <c r="W20" i="35" s="1"/>
  <c r="O20" i="35"/>
  <c r="V20" i="35" s="1"/>
  <c r="J20" i="35"/>
  <c r="U20" i="35" s="1"/>
  <c r="D20" i="35"/>
  <c r="C20" i="35"/>
  <c r="B20" i="35"/>
  <c r="A20" i="35"/>
  <c r="T19" i="35"/>
  <c r="W19" i="35" s="1"/>
  <c r="O19" i="35"/>
  <c r="V19" i="35" s="1"/>
  <c r="J19" i="35"/>
  <c r="U19" i="35" s="1"/>
  <c r="D19" i="35"/>
  <c r="C19" i="35"/>
  <c r="B19" i="35"/>
  <c r="A19" i="35"/>
  <c r="T18" i="35"/>
  <c r="W18" i="35" s="1"/>
  <c r="O18" i="35"/>
  <c r="V18" i="35" s="1"/>
  <c r="J18" i="35"/>
  <c r="U18" i="35" s="1"/>
  <c r="D18" i="35"/>
  <c r="C18" i="35"/>
  <c r="B18" i="35"/>
  <c r="A18" i="35"/>
  <c r="T17" i="35"/>
  <c r="W17" i="35" s="1"/>
  <c r="O17" i="35"/>
  <c r="V17" i="35" s="1"/>
  <c r="J17" i="35"/>
  <c r="U17" i="35" s="1"/>
  <c r="D17" i="35"/>
  <c r="C17" i="35"/>
  <c r="B17" i="35"/>
  <c r="A17" i="35"/>
  <c r="T16" i="35"/>
  <c r="W16" i="35" s="1"/>
  <c r="O16" i="35"/>
  <c r="V16" i="35" s="1"/>
  <c r="J16" i="35"/>
  <c r="U16" i="35" s="1"/>
  <c r="T15" i="35"/>
  <c r="O15" i="35"/>
  <c r="J15" i="35"/>
  <c r="D15" i="35"/>
  <c r="C15" i="35"/>
  <c r="B15" i="35"/>
  <c r="A15" i="35" s="1"/>
  <c r="T14" i="35"/>
  <c r="O14" i="35"/>
  <c r="V14" i="35" s="1"/>
  <c r="J14" i="35"/>
  <c r="B14" i="35"/>
  <c r="A14" i="35"/>
  <c r="C13" i="35"/>
  <c r="D13" i="35"/>
  <c r="D12" i="35"/>
  <c r="C11" i="35"/>
  <c r="D9" i="35"/>
  <c r="D8" i="35"/>
  <c r="T5" i="35"/>
  <c r="T6" i="35" s="1"/>
  <c r="C5" i="35"/>
  <c r="D5" i="35"/>
  <c r="T4" i="35"/>
  <c r="O4" i="35"/>
  <c r="O5" i="35" s="1"/>
  <c r="J4" i="35"/>
  <c r="J5" i="35" s="1"/>
  <c r="W3" i="35"/>
  <c r="V3" i="35"/>
  <c r="U3" i="35"/>
  <c r="W2" i="35"/>
  <c r="V2" i="35"/>
  <c r="U2" i="35"/>
  <c r="BO1" i="35"/>
  <c r="AT1" i="35"/>
  <c r="Y1" i="35"/>
  <c r="E13" i="34"/>
  <c r="E12" i="34"/>
  <c r="C12" i="34" s="1"/>
  <c r="E11" i="34"/>
  <c r="E10" i="34"/>
  <c r="E9" i="34"/>
  <c r="E8" i="34"/>
  <c r="E7" i="34"/>
  <c r="E6" i="34"/>
  <c r="E5" i="34"/>
  <c r="T30" i="34"/>
  <c r="W30" i="34" s="1"/>
  <c r="O30" i="34"/>
  <c r="V30" i="34" s="1"/>
  <c r="J30" i="34"/>
  <c r="U30" i="34" s="1"/>
  <c r="D30" i="34"/>
  <c r="C30" i="34"/>
  <c r="B30" i="34"/>
  <c r="A30" i="34"/>
  <c r="T29" i="34"/>
  <c r="W29" i="34" s="1"/>
  <c r="O29" i="34"/>
  <c r="V29" i="34" s="1"/>
  <c r="J29" i="34"/>
  <c r="U29" i="34" s="1"/>
  <c r="D29" i="34"/>
  <c r="C29" i="34"/>
  <c r="B29" i="34"/>
  <c r="A29" i="34"/>
  <c r="T28" i="34"/>
  <c r="W28" i="34" s="1"/>
  <c r="O28" i="34"/>
  <c r="V28" i="34" s="1"/>
  <c r="J28" i="34"/>
  <c r="U28" i="34" s="1"/>
  <c r="D28" i="34"/>
  <c r="C28" i="34"/>
  <c r="B28" i="34"/>
  <c r="A28" i="34"/>
  <c r="T27" i="34"/>
  <c r="W27" i="34" s="1"/>
  <c r="O27" i="34"/>
  <c r="V27" i="34" s="1"/>
  <c r="J27" i="34"/>
  <c r="U27" i="34" s="1"/>
  <c r="D27" i="34"/>
  <c r="C27" i="34"/>
  <c r="B27" i="34"/>
  <c r="A27" i="34"/>
  <c r="T26" i="34"/>
  <c r="W26" i="34" s="1"/>
  <c r="O26" i="34"/>
  <c r="V26" i="34" s="1"/>
  <c r="J26" i="34"/>
  <c r="U26" i="34" s="1"/>
  <c r="D26" i="34"/>
  <c r="C26" i="34"/>
  <c r="B26" i="34"/>
  <c r="A26" i="34"/>
  <c r="T25" i="34"/>
  <c r="W25" i="34" s="1"/>
  <c r="O25" i="34"/>
  <c r="V25" i="34" s="1"/>
  <c r="J25" i="34"/>
  <c r="U25" i="34" s="1"/>
  <c r="D25" i="34"/>
  <c r="C25" i="34"/>
  <c r="B25" i="34"/>
  <c r="A25" i="34"/>
  <c r="T24" i="34"/>
  <c r="W24" i="34" s="1"/>
  <c r="O24" i="34"/>
  <c r="V24" i="34" s="1"/>
  <c r="J24" i="34"/>
  <c r="U24" i="34" s="1"/>
  <c r="D24" i="34"/>
  <c r="C24" i="34"/>
  <c r="B24" i="34"/>
  <c r="A24" i="34"/>
  <c r="T23" i="34"/>
  <c r="W23" i="34" s="1"/>
  <c r="O23" i="34"/>
  <c r="V23" i="34" s="1"/>
  <c r="J23" i="34"/>
  <c r="U23" i="34" s="1"/>
  <c r="D23" i="34"/>
  <c r="C23" i="34"/>
  <c r="B23" i="34"/>
  <c r="A23" i="34"/>
  <c r="T22" i="34"/>
  <c r="W22" i="34" s="1"/>
  <c r="O22" i="34"/>
  <c r="V22" i="34" s="1"/>
  <c r="J22" i="34"/>
  <c r="U22" i="34" s="1"/>
  <c r="D22" i="34"/>
  <c r="C22" i="34"/>
  <c r="B22" i="34"/>
  <c r="A22" i="34"/>
  <c r="T21" i="34"/>
  <c r="W21" i="34" s="1"/>
  <c r="O21" i="34"/>
  <c r="V21" i="34" s="1"/>
  <c r="J21" i="34"/>
  <c r="U21" i="34" s="1"/>
  <c r="D21" i="34"/>
  <c r="C21" i="34"/>
  <c r="B21" i="34"/>
  <c r="A21" i="34"/>
  <c r="T20" i="34"/>
  <c r="W20" i="34" s="1"/>
  <c r="O20" i="34"/>
  <c r="V20" i="34" s="1"/>
  <c r="J20" i="34"/>
  <c r="U20" i="34" s="1"/>
  <c r="D20" i="34"/>
  <c r="C20" i="34"/>
  <c r="B20" i="34"/>
  <c r="A20" i="34"/>
  <c r="T19" i="34"/>
  <c r="W19" i="34" s="1"/>
  <c r="O19" i="34"/>
  <c r="V19" i="34" s="1"/>
  <c r="J19" i="34"/>
  <c r="U19" i="34" s="1"/>
  <c r="D19" i="34"/>
  <c r="C19" i="34"/>
  <c r="B19" i="34"/>
  <c r="A19" i="34"/>
  <c r="T18" i="34"/>
  <c r="W18" i="34" s="1"/>
  <c r="O18" i="34"/>
  <c r="V18" i="34" s="1"/>
  <c r="J18" i="34"/>
  <c r="U18" i="34" s="1"/>
  <c r="D18" i="34"/>
  <c r="C18" i="34"/>
  <c r="B18" i="34"/>
  <c r="A18" i="34"/>
  <c r="T17" i="34"/>
  <c r="W17" i="34" s="1"/>
  <c r="O17" i="34"/>
  <c r="V17" i="34" s="1"/>
  <c r="J17" i="34"/>
  <c r="U17" i="34" s="1"/>
  <c r="D17" i="34"/>
  <c r="C17" i="34"/>
  <c r="B17" i="34"/>
  <c r="A17" i="34"/>
  <c r="T16" i="34"/>
  <c r="W16" i="34" s="1"/>
  <c r="O16" i="34"/>
  <c r="V16" i="34" s="1"/>
  <c r="J16" i="34"/>
  <c r="U16" i="34" s="1"/>
  <c r="D16" i="34"/>
  <c r="C16" i="34"/>
  <c r="B16" i="34"/>
  <c r="A16" i="34"/>
  <c r="T15" i="34"/>
  <c r="W15" i="34" s="1"/>
  <c r="O15" i="34"/>
  <c r="V15" i="34" s="1"/>
  <c r="J15" i="34"/>
  <c r="U15" i="34" s="1"/>
  <c r="D15" i="34"/>
  <c r="C15" i="34"/>
  <c r="B15" i="34"/>
  <c r="A15" i="34"/>
  <c r="T14" i="34"/>
  <c r="W14" i="34" s="1"/>
  <c r="O14" i="34"/>
  <c r="V14" i="34" s="1"/>
  <c r="J14" i="34"/>
  <c r="U14" i="34" s="1"/>
  <c r="D14" i="34"/>
  <c r="C14" i="34"/>
  <c r="B14" i="34"/>
  <c r="A14" i="34"/>
  <c r="D13" i="34"/>
  <c r="C13" i="34"/>
  <c r="D12" i="34"/>
  <c r="D9" i="34"/>
  <c r="D8" i="34"/>
  <c r="B6" i="34"/>
  <c r="T5" i="34"/>
  <c r="T6" i="34" s="1"/>
  <c r="B5" i="34"/>
  <c r="A5" i="34" s="1"/>
  <c r="D5" i="34"/>
  <c r="C5" i="34"/>
  <c r="T4" i="34"/>
  <c r="O4" i="34"/>
  <c r="O5" i="34" s="1"/>
  <c r="J4" i="34"/>
  <c r="J5" i="34" s="1"/>
  <c r="W3" i="34"/>
  <c r="V3" i="34"/>
  <c r="U3" i="34"/>
  <c r="W2" i="34"/>
  <c r="V2" i="34"/>
  <c r="U2" i="34"/>
  <c r="BO1" i="34"/>
  <c r="AT1" i="34"/>
  <c r="Y1" i="34"/>
  <c r="B14" i="33"/>
  <c r="A14" i="33" s="1"/>
  <c r="E13" i="33"/>
  <c r="E12" i="33"/>
  <c r="C12" i="33" s="1"/>
  <c r="E11" i="33"/>
  <c r="E10" i="33"/>
  <c r="C10" i="33" s="1"/>
  <c r="E9" i="33"/>
  <c r="E8" i="33"/>
  <c r="C8" i="33" s="1"/>
  <c r="E7" i="33"/>
  <c r="E6" i="33"/>
  <c r="E5" i="33"/>
  <c r="T30" i="33"/>
  <c r="W30" i="33" s="1"/>
  <c r="O30" i="33"/>
  <c r="V30" i="33" s="1"/>
  <c r="J30" i="33"/>
  <c r="U30" i="33" s="1"/>
  <c r="D30" i="33"/>
  <c r="C30" i="33"/>
  <c r="B30" i="33"/>
  <c r="A30" i="33"/>
  <c r="T29" i="33"/>
  <c r="W29" i="33" s="1"/>
  <c r="O29" i="33"/>
  <c r="V29" i="33" s="1"/>
  <c r="J29" i="33"/>
  <c r="U29" i="33" s="1"/>
  <c r="D29" i="33"/>
  <c r="C29" i="33"/>
  <c r="B29" i="33"/>
  <c r="A29" i="33"/>
  <c r="T28" i="33"/>
  <c r="W28" i="33" s="1"/>
  <c r="O28" i="33"/>
  <c r="V28" i="33" s="1"/>
  <c r="J28" i="33"/>
  <c r="U28" i="33" s="1"/>
  <c r="D28" i="33"/>
  <c r="C28" i="33"/>
  <c r="B28" i="33"/>
  <c r="A28" i="33"/>
  <c r="T27" i="33"/>
  <c r="W27" i="33" s="1"/>
  <c r="O27" i="33"/>
  <c r="V27" i="33" s="1"/>
  <c r="J27" i="33"/>
  <c r="U27" i="33" s="1"/>
  <c r="D27" i="33"/>
  <c r="C27" i="33"/>
  <c r="B27" i="33"/>
  <c r="A27" i="33"/>
  <c r="T26" i="33"/>
  <c r="W26" i="33" s="1"/>
  <c r="O26" i="33"/>
  <c r="V26" i="33" s="1"/>
  <c r="J26" i="33"/>
  <c r="U26" i="33" s="1"/>
  <c r="D26" i="33"/>
  <c r="C26" i="33"/>
  <c r="B26" i="33"/>
  <c r="A26" i="33"/>
  <c r="T25" i="33"/>
  <c r="W25" i="33" s="1"/>
  <c r="O25" i="33"/>
  <c r="V25" i="33" s="1"/>
  <c r="J25" i="33"/>
  <c r="U25" i="33" s="1"/>
  <c r="D25" i="33"/>
  <c r="C25" i="33"/>
  <c r="B25" i="33"/>
  <c r="A25" i="33"/>
  <c r="T24" i="33"/>
  <c r="W24" i="33" s="1"/>
  <c r="O24" i="33"/>
  <c r="V24" i="33" s="1"/>
  <c r="J24" i="33"/>
  <c r="U24" i="33" s="1"/>
  <c r="D24" i="33"/>
  <c r="C24" i="33"/>
  <c r="B24" i="33"/>
  <c r="A24" i="33"/>
  <c r="T23" i="33"/>
  <c r="W23" i="33" s="1"/>
  <c r="O23" i="33"/>
  <c r="V23" i="33" s="1"/>
  <c r="J23" i="33"/>
  <c r="U23" i="33" s="1"/>
  <c r="D23" i="33"/>
  <c r="C23" i="33"/>
  <c r="B23" i="33"/>
  <c r="A23" i="33"/>
  <c r="T22" i="33"/>
  <c r="W22" i="33" s="1"/>
  <c r="O22" i="33"/>
  <c r="V22" i="33" s="1"/>
  <c r="J22" i="33"/>
  <c r="U22" i="33" s="1"/>
  <c r="D22" i="33"/>
  <c r="C22" i="33"/>
  <c r="B22" i="33"/>
  <c r="A22" i="33"/>
  <c r="T21" i="33"/>
  <c r="W21" i="33" s="1"/>
  <c r="O21" i="33"/>
  <c r="V21" i="33" s="1"/>
  <c r="J21" i="33"/>
  <c r="U21" i="33" s="1"/>
  <c r="D21" i="33"/>
  <c r="C21" i="33"/>
  <c r="B21" i="33"/>
  <c r="A21" i="33"/>
  <c r="T20" i="33"/>
  <c r="W20" i="33" s="1"/>
  <c r="O20" i="33"/>
  <c r="V20" i="33" s="1"/>
  <c r="J20" i="33"/>
  <c r="U20" i="33" s="1"/>
  <c r="D20" i="33"/>
  <c r="C20" i="33"/>
  <c r="B20" i="33"/>
  <c r="A20" i="33"/>
  <c r="T19" i="33"/>
  <c r="W19" i="33" s="1"/>
  <c r="O19" i="33"/>
  <c r="V19" i="33" s="1"/>
  <c r="J19" i="33"/>
  <c r="U19" i="33" s="1"/>
  <c r="D19" i="33"/>
  <c r="C19" i="33"/>
  <c r="B19" i="33"/>
  <c r="A19" i="33"/>
  <c r="T18" i="33"/>
  <c r="W18" i="33" s="1"/>
  <c r="O18" i="33"/>
  <c r="V18" i="33" s="1"/>
  <c r="J18" i="33"/>
  <c r="U18" i="33" s="1"/>
  <c r="D18" i="33"/>
  <c r="C18" i="33"/>
  <c r="B18" i="33"/>
  <c r="A18" i="33"/>
  <c r="T17" i="33"/>
  <c r="W17" i="33" s="1"/>
  <c r="O17" i="33"/>
  <c r="V17" i="33" s="1"/>
  <c r="J17" i="33"/>
  <c r="U17" i="33" s="1"/>
  <c r="D17" i="33"/>
  <c r="C17" i="33"/>
  <c r="B17" i="33"/>
  <c r="A17" i="33"/>
  <c r="T16" i="33"/>
  <c r="W16" i="33" s="1"/>
  <c r="O16" i="33"/>
  <c r="V16" i="33" s="1"/>
  <c r="J16" i="33"/>
  <c r="U16" i="33" s="1"/>
  <c r="D16" i="33"/>
  <c r="C16" i="33"/>
  <c r="B16" i="33"/>
  <c r="A16" i="33"/>
  <c r="T15" i="33"/>
  <c r="W15" i="33" s="1"/>
  <c r="O15" i="33"/>
  <c r="V15" i="33" s="1"/>
  <c r="J15" i="33"/>
  <c r="U15" i="33" s="1"/>
  <c r="D15" i="33"/>
  <c r="C15" i="33"/>
  <c r="B15" i="33"/>
  <c r="A15" i="33"/>
  <c r="T14" i="33"/>
  <c r="W14" i="33" s="1"/>
  <c r="O14" i="33"/>
  <c r="V14" i="33" s="1"/>
  <c r="J14" i="33"/>
  <c r="U14" i="33" s="1"/>
  <c r="D14" i="33"/>
  <c r="C14" i="33"/>
  <c r="T13" i="33"/>
  <c r="O13" i="33"/>
  <c r="J13" i="33"/>
  <c r="D13" i="33"/>
  <c r="C13" i="33"/>
  <c r="B13" i="33"/>
  <c r="A13" i="33"/>
  <c r="T12" i="33"/>
  <c r="W12" i="33" s="1"/>
  <c r="O12" i="33"/>
  <c r="J12" i="33"/>
  <c r="D12" i="33"/>
  <c r="B12" i="33"/>
  <c r="A12" i="33" s="1"/>
  <c r="T11" i="33"/>
  <c r="W11" i="33" s="1"/>
  <c r="O11" i="33"/>
  <c r="V11" i="33" s="1"/>
  <c r="J11" i="33"/>
  <c r="D11" i="33"/>
  <c r="C11" i="33"/>
  <c r="B11" i="33"/>
  <c r="A11" i="33"/>
  <c r="T10" i="33"/>
  <c r="O10" i="33"/>
  <c r="V10" i="33" s="1"/>
  <c r="J10" i="33"/>
  <c r="U10" i="33" s="1"/>
  <c r="D10" i="33"/>
  <c r="B10" i="33"/>
  <c r="A10" i="33"/>
  <c r="C9" i="33"/>
  <c r="D9" i="33"/>
  <c r="D8" i="33"/>
  <c r="C7" i="33"/>
  <c r="T5" i="33"/>
  <c r="T6" i="33" s="1"/>
  <c r="B5" i="33"/>
  <c r="D5" i="33"/>
  <c r="C5" i="33"/>
  <c r="T4" i="33"/>
  <c r="O4" i="33"/>
  <c r="O5" i="33" s="1"/>
  <c r="J4" i="33"/>
  <c r="J5" i="33" s="1"/>
  <c r="W3" i="33"/>
  <c r="V3" i="33"/>
  <c r="U3" i="33"/>
  <c r="W2" i="33"/>
  <c r="V2" i="33"/>
  <c r="U2" i="33"/>
  <c r="BO1" i="33"/>
  <c r="AT1" i="33"/>
  <c r="Y1" i="33"/>
  <c r="C10" i="32"/>
  <c r="E9" i="32"/>
  <c r="E8" i="32"/>
  <c r="E7" i="32"/>
  <c r="E6" i="32"/>
  <c r="C6" i="32" s="1"/>
  <c r="E5" i="32"/>
  <c r="T30" i="32"/>
  <c r="W30" i="32" s="1"/>
  <c r="O30" i="32"/>
  <c r="V30" i="32" s="1"/>
  <c r="J30" i="32"/>
  <c r="U30" i="32" s="1"/>
  <c r="D30" i="32"/>
  <c r="C30" i="32"/>
  <c r="B30" i="32"/>
  <c r="A30" i="32"/>
  <c r="T29" i="32"/>
  <c r="W29" i="32" s="1"/>
  <c r="O29" i="32"/>
  <c r="V29" i="32" s="1"/>
  <c r="J29" i="32"/>
  <c r="U29" i="32" s="1"/>
  <c r="D29" i="32"/>
  <c r="C29" i="32"/>
  <c r="B29" i="32"/>
  <c r="A29" i="32"/>
  <c r="T28" i="32"/>
  <c r="W28" i="32" s="1"/>
  <c r="O28" i="32"/>
  <c r="V28" i="32" s="1"/>
  <c r="J28" i="32"/>
  <c r="U28" i="32" s="1"/>
  <c r="D28" i="32"/>
  <c r="C28" i="32"/>
  <c r="B28" i="32"/>
  <c r="A28" i="32"/>
  <c r="T27" i="32"/>
  <c r="W27" i="32" s="1"/>
  <c r="O27" i="32"/>
  <c r="V27" i="32" s="1"/>
  <c r="J27" i="32"/>
  <c r="U27" i="32" s="1"/>
  <c r="D27" i="32"/>
  <c r="C27" i="32"/>
  <c r="B27" i="32"/>
  <c r="A27" i="32"/>
  <c r="T26" i="32"/>
  <c r="W26" i="32" s="1"/>
  <c r="O26" i="32"/>
  <c r="V26" i="32" s="1"/>
  <c r="J26" i="32"/>
  <c r="U26" i="32" s="1"/>
  <c r="D26" i="32"/>
  <c r="C26" i="32"/>
  <c r="B26" i="32"/>
  <c r="A26" i="32"/>
  <c r="T25" i="32"/>
  <c r="W25" i="32" s="1"/>
  <c r="O25" i="32"/>
  <c r="V25" i="32" s="1"/>
  <c r="J25" i="32"/>
  <c r="U25" i="32" s="1"/>
  <c r="D25" i="32"/>
  <c r="C25" i="32"/>
  <c r="B25" i="32"/>
  <c r="A25" i="32"/>
  <c r="T24" i="32"/>
  <c r="W24" i="32" s="1"/>
  <c r="O24" i="32"/>
  <c r="V24" i="32" s="1"/>
  <c r="J24" i="32"/>
  <c r="U24" i="32" s="1"/>
  <c r="D24" i="32"/>
  <c r="C24" i="32"/>
  <c r="B24" i="32"/>
  <c r="A24" i="32"/>
  <c r="T23" i="32"/>
  <c r="W23" i="32" s="1"/>
  <c r="O23" i="32"/>
  <c r="V23" i="32" s="1"/>
  <c r="J23" i="32"/>
  <c r="U23" i="32" s="1"/>
  <c r="D23" i="32"/>
  <c r="C23" i="32"/>
  <c r="B23" i="32"/>
  <c r="A23" i="32"/>
  <c r="T22" i="32"/>
  <c r="W22" i="32" s="1"/>
  <c r="O22" i="32"/>
  <c r="V22" i="32" s="1"/>
  <c r="J22" i="32"/>
  <c r="U22" i="32" s="1"/>
  <c r="D22" i="32"/>
  <c r="C22" i="32"/>
  <c r="B22" i="32"/>
  <c r="A22" i="32"/>
  <c r="T21" i="32"/>
  <c r="W21" i="32" s="1"/>
  <c r="O21" i="32"/>
  <c r="V21" i="32" s="1"/>
  <c r="J21" i="32"/>
  <c r="U21" i="32" s="1"/>
  <c r="D21" i="32"/>
  <c r="C21" i="32"/>
  <c r="B21" i="32"/>
  <c r="A21" i="32"/>
  <c r="T20" i="32"/>
  <c r="W20" i="32" s="1"/>
  <c r="O20" i="32"/>
  <c r="V20" i="32" s="1"/>
  <c r="J20" i="32"/>
  <c r="U20" i="32" s="1"/>
  <c r="D20" i="32"/>
  <c r="C20" i="32"/>
  <c r="B20" i="32"/>
  <c r="A20" i="32"/>
  <c r="T19" i="32"/>
  <c r="W19" i="32" s="1"/>
  <c r="O19" i="32"/>
  <c r="V19" i="32" s="1"/>
  <c r="J19" i="32"/>
  <c r="U19" i="32" s="1"/>
  <c r="D19" i="32"/>
  <c r="C19" i="32"/>
  <c r="B19" i="32"/>
  <c r="A19" i="32"/>
  <c r="T18" i="32"/>
  <c r="W18" i="32" s="1"/>
  <c r="O18" i="32"/>
  <c r="V18" i="32" s="1"/>
  <c r="J18" i="32"/>
  <c r="U18" i="32" s="1"/>
  <c r="D18" i="32"/>
  <c r="C18" i="32"/>
  <c r="B18" i="32"/>
  <c r="A18" i="32"/>
  <c r="T17" i="32"/>
  <c r="W17" i="32" s="1"/>
  <c r="O17" i="32"/>
  <c r="V17" i="32" s="1"/>
  <c r="J17" i="32"/>
  <c r="U17" i="32" s="1"/>
  <c r="D17" i="32"/>
  <c r="C17" i="32"/>
  <c r="B17" i="32"/>
  <c r="A17" i="32"/>
  <c r="T16" i="32"/>
  <c r="W16" i="32" s="1"/>
  <c r="O16" i="32"/>
  <c r="V16" i="32" s="1"/>
  <c r="J16" i="32"/>
  <c r="U16" i="32" s="1"/>
  <c r="D16" i="32"/>
  <c r="C16" i="32"/>
  <c r="B16" i="32"/>
  <c r="A16" i="32"/>
  <c r="T15" i="32"/>
  <c r="W15" i="32" s="1"/>
  <c r="O15" i="32"/>
  <c r="V15" i="32" s="1"/>
  <c r="J15" i="32"/>
  <c r="U15" i="32" s="1"/>
  <c r="D15" i="32"/>
  <c r="C15" i="32"/>
  <c r="B15" i="32"/>
  <c r="A15" i="32"/>
  <c r="T14" i="32"/>
  <c r="W14" i="32" s="1"/>
  <c r="O14" i="32"/>
  <c r="V14" i="32" s="1"/>
  <c r="J14" i="32"/>
  <c r="U14" i="32" s="1"/>
  <c r="D14" i="32"/>
  <c r="C14" i="32"/>
  <c r="B14" i="32"/>
  <c r="A14" i="32"/>
  <c r="T13" i="32"/>
  <c r="W13" i="32" s="1"/>
  <c r="O13" i="32"/>
  <c r="V13" i="32" s="1"/>
  <c r="J13" i="32"/>
  <c r="U13" i="32" s="1"/>
  <c r="D13" i="32"/>
  <c r="C13" i="32"/>
  <c r="B13" i="32"/>
  <c r="A13" i="32"/>
  <c r="T12" i="32"/>
  <c r="W12" i="32" s="1"/>
  <c r="O12" i="32"/>
  <c r="V12" i="32" s="1"/>
  <c r="J12" i="32"/>
  <c r="U12" i="32" s="1"/>
  <c r="D12" i="32"/>
  <c r="C12" i="32"/>
  <c r="B12" i="32"/>
  <c r="A12" i="32"/>
  <c r="T11" i="32"/>
  <c r="W11" i="32" s="1"/>
  <c r="O11" i="32"/>
  <c r="V11" i="32" s="1"/>
  <c r="J11" i="32"/>
  <c r="U11" i="32" s="1"/>
  <c r="D11" i="32"/>
  <c r="C11" i="32"/>
  <c r="B11" i="32"/>
  <c r="A11" i="32"/>
  <c r="T10" i="32"/>
  <c r="W10" i="32" s="1"/>
  <c r="O10" i="32"/>
  <c r="V10" i="32" s="1"/>
  <c r="J10" i="32"/>
  <c r="U10" i="32" s="1"/>
  <c r="D10" i="32"/>
  <c r="T9" i="32"/>
  <c r="O9" i="32"/>
  <c r="J9" i="32"/>
  <c r="D9" i="32"/>
  <c r="C9" i="32"/>
  <c r="B9" i="32"/>
  <c r="A9" i="32"/>
  <c r="T8" i="32"/>
  <c r="O8" i="32"/>
  <c r="J8" i="32"/>
  <c r="D8" i="32"/>
  <c r="C8" i="32"/>
  <c r="B8" i="32"/>
  <c r="A8" i="32"/>
  <c r="D7" i="32"/>
  <c r="C7" i="32"/>
  <c r="D6" i="32"/>
  <c r="O5" i="32"/>
  <c r="O6" i="32" s="1"/>
  <c r="J5" i="32"/>
  <c r="B6" i="32"/>
  <c r="C5" i="32"/>
  <c r="B5" i="32"/>
  <c r="A5" i="32"/>
  <c r="T4" i="32"/>
  <c r="T5" i="32" s="1"/>
  <c r="O4" i="32"/>
  <c r="J4" i="32"/>
  <c r="U4" i="32" s="1"/>
  <c r="W3" i="32"/>
  <c r="V3" i="32"/>
  <c r="U3" i="32"/>
  <c r="W2" i="32"/>
  <c r="V2" i="32"/>
  <c r="U2" i="32"/>
  <c r="BO1" i="32"/>
  <c r="AT1" i="32"/>
  <c r="Y1" i="32"/>
  <c r="E7" i="29"/>
  <c r="E6" i="29"/>
  <c r="E5" i="29"/>
  <c r="C5" i="29" s="1"/>
  <c r="C6" i="29" s="1"/>
  <c r="T30" i="29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D16" i="29"/>
  <c r="C15" i="29"/>
  <c r="D15" i="29"/>
  <c r="D14" i="29"/>
  <c r="D13" i="29"/>
  <c r="D11" i="29"/>
  <c r="D10" i="29"/>
  <c r="D9" i="29"/>
  <c r="T7" i="29"/>
  <c r="T8" i="29" s="1"/>
  <c r="D7" i="29"/>
  <c r="T6" i="29"/>
  <c r="O6" i="29"/>
  <c r="O7" i="29" s="1"/>
  <c r="D6" i="29"/>
  <c r="A5" i="29"/>
  <c r="B5" i="29"/>
  <c r="T4" i="29"/>
  <c r="T5" i="29" s="1"/>
  <c r="O4" i="29"/>
  <c r="O5" i="29" s="1"/>
  <c r="J4" i="29"/>
  <c r="J5" i="29" s="1"/>
  <c r="W3" i="29"/>
  <c r="V3" i="29"/>
  <c r="U3" i="29"/>
  <c r="W2" i="29"/>
  <c r="V2" i="29"/>
  <c r="U2" i="29"/>
  <c r="BO1" i="29"/>
  <c r="AT1" i="29"/>
  <c r="Y1" i="29"/>
  <c r="E16" i="28"/>
  <c r="E15" i="28"/>
  <c r="E14" i="28"/>
  <c r="E13" i="28"/>
  <c r="E12" i="28"/>
  <c r="E11" i="28"/>
  <c r="E10" i="28"/>
  <c r="E9" i="28"/>
  <c r="E8" i="28"/>
  <c r="E7" i="28"/>
  <c r="E6" i="28"/>
  <c r="E5" i="28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T26" i="28"/>
  <c r="W26" i="28" s="1"/>
  <c r="O26" i="28"/>
  <c r="V26" i="28" s="1"/>
  <c r="J26" i="28"/>
  <c r="U26" i="28" s="1"/>
  <c r="D26" i="28"/>
  <c r="C26" i="28"/>
  <c r="B26" i="28"/>
  <c r="A26" i="28"/>
  <c r="T25" i="28"/>
  <c r="W25" i="28" s="1"/>
  <c r="O25" i="28"/>
  <c r="V25" i="28" s="1"/>
  <c r="J25" i="28"/>
  <c r="U25" i="28" s="1"/>
  <c r="D25" i="28"/>
  <c r="C25" i="28"/>
  <c r="B25" i="28"/>
  <c r="A25" i="28"/>
  <c r="T24" i="28"/>
  <c r="W24" i="28" s="1"/>
  <c r="O24" i="28"/>
  <c r="V24" i="28" s="1"/>
  <c r="J24" i="28"/>
  <c r="U24" i="28" s="1"/>
  <c r="D24" i="28"/>
  <c r="C24" i="28"/>
  <c r="B24" i="28"/>
  <c r="A24" i="28"/>
  <c r="T23" i="28"/>
  <c r="W23" i="28" s="1"/>
  <c r="O23" i="28"/>
  <c r="V23" i="28" s="1"/>
  <c r="J23" i="28"/>
  <c r="U23" i="28" s="1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T18" i="28"/>
  <c r="W18" i="28" s="1"/>
  <c r="O18" i="28"/>
  <c r="V18" i="28" s="1"/>
  <c r="J18" i="28"/>
  <c r="U18" i="28" s="1"/>
  <c r="D18" i="28"/>
  <c r="C18" i="28"/>
  <c r="B18" i="28"/>
  <c r="A18" i="28"/>
  <c r="T17" i="28"/>
  <c r="W17" i="28" s="1"/>
  <c r="O17" i="28"/>
  <c r="V17" i="28" s="1"/>
  <c r="J17" i="28"/>
  <c r="U17" i="28" s="1"/>
  <c r="D17" i="28"/>
  <c r="C17" i="28"/>
  <c r="B17" i="28"/>
  <c r="A17" i="28"/>
  <c r="T16" i="28"/>
  <c r="O16" i="28"/>
  <c r="V16" i="28" s="1"/>
  <c r="J16" i="28"/>
  <c r="D16" i="28"/>
  <c r="C16" i="28"/>
  <c r="B16" i="28"/>
  <c r="A16" i="28"/>
  <c r="T15" i="28"/>
  <c r="O15" i="28"/>
  <c r="V15" i="28" s="1"/>
  <c r="J15" i="28"/>
  <c r="U15" i="28" s="1"/>
  <c r="D15" i="28"/>
  <c r="C15" i="28"/>
  <c r="B15" i="28"/>
  <c r="A15" i="28" s="1"/>
  <c r="T14" i="28"/>
  <c r="O14" i="28"/>
  <c r="J14" i="28"/>
  <c r="U14" i="28" s="1"/>
  <c r="D14" i="28"/>
  <c r="C14" i="28"/>
  <c r="B14" i="28"/>
  <c r="A14" i="28" s="1"/>
  <c r="T13" i="28"/>
  <c r="W13" i="28" s="1"/>
  <c r="O13" i="28"/>
  <c r="J13" i="28"/>
  <c r="D13" i="28"/>
  <c r="C13" i="28"/>
  <c r="B13" i="28"/>
  <c r="A13" i="28"/>
  <c r="T12" i="28"/>
  <c r="O12" i="28"/>
  <c r="V12" i="28" s="1"/>
  <c r="J12" i="28"/>
  <c r="D12" i="28"/>
  <c r="C12" i="28"/>
  <c r="B12" i="28"/>
  <c r="A12" i="28" s="1"/>
  <c r="C11" i="28"/>
  <c r="D11" i="28"/>
  <c r="D10" i="28"/>
  <c r="C10" i="28"/>
  <c r="D9" i="28"/>
  <c r="C7" i="28"/>
  <c r="D7" i="28"/>
  <c r="T6" i="28"/>
  <c r="T7" i="28" s="1"/>
  <c r="D6" i="28"/>
  <c r="T5" i="28"/>
  <c r="D5" i="28"/>
  <c r="C5" i="28"/>
  <c r="C6" i="28" s="1"/>
  <c r="B5" i="28"/>
  <c r="A5" i="28" s="1"/>
  <c r="T4" i="28"/>
  <c r="O4" i="28"/>
  <c r="O5" i="28" s="1"/>
  <c r="J4" i="28"/>
  <c r="W3" i="28"/>
  <c r="V3" i="28"/>
  <c r="U3" i="28"/>
  <c r="W2" i="28"/>
  <c r="V2" i="28"/>
  <c r="U2" i="28"/>
  <c r="BO1" i="28"/>
  <c r="AT1" i="28"/>
  <c r="Y1" i="28"/>
  <c r="B16" i="35" l="1"/>
  <c r="A16" i="35" s="1"/>
  <c r="C16" i="35"/>
  <c r="V15" i="35"/>
  <c r="U15" i="35"/>
  <c r="W15" i="35"/>
  <c r="U14" i="35"/>
  <c r="W14" i="35"/>
  <c r="C14" i="35"/>
  <c r="C12" i="35"/>
  <c r="W4" i="35"/>
  <c r="T7" i="35"/>
  <c r="J6" i="35"/>
  <c r="U5" i="35"/>
  <c r="O6" i="35"/>
  <c r="V5" i="35"/>
  <c r="U4" i="35"/>
  <c r="C6" i="35"/>
  <c r="C7" i="35" s="1"/>
  <c r="C8" i="35" s="1"/>
  <c r="D11" i="35"/>
  <c r="V4" i="35"/>
  <c r="D6" i="35"/>
  <c r="C9" i="35"/>
  <c r="B5" i="35"/>
  <c r="D7" i="35"/>
  <c r="C10" i="35"/>
  <c r="W5" i="35"/>
  <c r="D10" i="35"/>
  <c r="W4" i="34"/>
  <c r="O6" i="34"/>
  <c r="V5" i="34"/>
  <c r="J6" i="34"/>
  <c r="U5" i="34"/>
  <c r="T7" i="34"/>
  <c r="W6" i="34"/>
  <c r="A6" i="34"/>
  <c r="U4" i="34"/>
  <c r="C6" i="34"/>
  <c r="D11" i="34"/>
  <c r="V4" i="34"/>
  <c r="D6" i="34"/>
  <c r="B7" i="34"/>
  <c r="C7" i="34"/>
  <c r="C8" i="34" s="1"/>
  <c r="C9" i="34" s="1"/>
  <c r="D7" i="34"/>
  <c r="C10" i="34"/>
  <c r="C11" i="34" s="1"/>
  <c r="W5" i="34"/>
  <c r="D10" i="34"/>
  <c r="U13" i="33"/>
  <c r="W13" i="33"/>
  <c r="V13" i="33"/>
  <c r="V12" i="33"/>
  <c r="U12" i="33"/>
  <c r="U11" i="33"/>
  <c r="W10" i="33"/>
  <c r="W4" i="33"/>
  <c r="J6" i="33"/>
  <c r="U5" i="33"/>
  <c r="O6" i="33"/>
  <c r="V5" i="33"/>
  <c r="T7" i="33"/>
  <c r="B7" i="33"/>
  <c r="A5" i="33"/>
  <c r="A6" i="33" s="1"/>
  <c r="D7" i="33"/>
  <c r="W5" i="33"/>
  <c r="B8" i="33"/>
  <c r="B9" i="33" s="1"/>
  <c r="B6" i="33"/>
  <c r="U4" i="33"/>
  <c r="C6" i="33"/>
  <c r="V4" i="33"/>
  <c r="D6" i="33"/>
  <c r="B10" i="32"/>
  <c r="A10" i="32" s="1"/>
  <c r="V9" i="32"/>
  <c r="U9" i="32"/>
  <c r="W9" i="32"/>
  <c r="V8" i="32"/>
  <c r="W8" i="32"/>
  <c r="U8" i="32"/>
  <c r="V4" i="32"/>
  <c r="U5" i="32"/>
  <c r="O7" i="32"/>
  <c r="T6" i="32"/>
  <c r="W5" i="32"/>
  <c r="A6" i="32"/>
  <c r="W4" i="32"/>
  <c r="B7" i="32"/>
  <c r="A7" i="32" s="1"/>
  <c r="V5" i="32"/>
  <c r="J6" i="32"/>
  <c r="D5" i="32"/>
  <c r="B6" i="29"/>
  <c r="A6" i="29" s="1"/>
  <c r="D5" i="29"/>
  <c r="V5" i="29"/>
  <c r="W4" i="29"/>
  <c r="W5" i="29"/>
  <c r="U4" i="29"/>
  <c r="O8" i="29"/>
  <c r="B7" i="29"/>
  <c r="A7" i="29" s="1"/>
  <c r="T9" i="29"/>
  <c r="V4" i="29"/>
  <c r="U5" i="29"/>
  <c r="J6" i="29"/>
  <c r="V6" i="29" s="1"/>
  <c r="C7" i="29"/>
  <c r="D12" i="29"/>
  <c r="B8" i="29"/>
  <c r="C8" i="29"/>
  <c r="C9" i="29" s="1"/>
  <c r="C10" i="29" s="1"/>
  <c r="C11" i="29" s="1"/>
  <c r="C12" i="29" s="1"/>
  <c r="C13" i="29" s="1"/>
  <c r="C14" i="29" s="1"/>
  <c r="C16" i="29"/>
  <c r="D8" i="29"/>
  <c r="W16" i="28"/>
  <c r="U16" i="28"/>
  <c r="W15" i="28"/>
  <c r="V14" i="28"/>
  <c r="W14" i="28"/>
  <c r="V13" i="28"/>
  <c r="U13" i="28"/>
  <c r="W12" i="28"/>
  <c r="U12" i="28"/>
  <c r="W4" i="28"/>
  <c r="O6" i="28"/>
  <c r="T8" i="28"/>
  <c r="B8" i="28"/>
  <c r="C8" i="28"/>
  <c r="B6" i="28"/>
  <c r="A6" i="28" s="1"/>
  <c r="D8" i="28"/>
  <c r="U4" i="28"/>
  <c r="V4" i="28"/>
  <c r="C9" i="28"/>
  <c r="J5" i="28"/>
  <c r="B7" i="28"/>
  <c r="A7" i="28" s="1"/>
  <c r="O7" i="35" l="1"/>
  <c r="V6" i="35"/>
  <c r="A5" i="35"/>
  <c r="J7" i="35"/>
  <c r="U6" i="35"/>
  <c r="B6" i="35"/>
  <c r="A6" i="35" s="1"/>
  <c r="W6" i="35"/>
  <c r="T8" i="35"/>
  <c r="W7" i="35"/>
  <c r="T8" i="34"/>
  <c r="V6" i="34"/>
  <c r="O7" i="34"/>
  <c r="A7" i="34"/>
  <c r="B8" i="34"/>
  <c r="U6" i="34"/>
  <c r="J7" i="34"/>
  <c r="O7" i="33"/>
  <c r="V6" i="33"/>
  <c r="W6" i="33"/>
  <c r="T8" i="33"/>
  <c r="A7" i="33"/>
  <c r="A8" i="33" s="1"/>
  <c r="A9" i="33" s="1"/>
  <c r="U6" i="33"/>
  <c r="J7" i="33"/>
  <c r="J7" i="32"/>
  <c r="U7" i="32" s="1"/>
  <c r="U6" i="32"/>
  <c r="T7" i="32"/>
  <c r="W6" i="32"/>
  <c r="V6" i="32"/>
  <c r="T10" i="29"/>
  <c r="A9" i="29"/>
  <c r="A8" i="29"/>
  <c r="O9" i="29"/>
  <c r="B9" i="29"/>
  <c r="W6" i="29"/>
  <c r="J7" i="29"/>
  <c r="U6" i="29"/>
  <c r="J6" i="28"/>
  <c r="U5" i="28"/>
  <c r="W5" i="28"/>
  <c r="B9" i="28"/>
  <c r="T9" i="28"/>
  <c r="V5" i="28"/>
  <c r="O7" i="28"/>
  <c r="V6" i="28"/>
  <c r="A8" i="28"/>
  <c r="J8" i="35" l="1"/>
  <c r="U7" i="35"/>
  <c r="B7" i="35"/>
  <c r="A7" i="35" s="1"/>
  <c r="T9" i="35"/>
  <c r="O8" i="35"/>
  <c r="V7" i="35"/>
  <c r="B9" i="34"/>
  <c r="A8" i="34"/>
  <c r="O8" i="34"/>
  <c r="V7" i="34"/>
  <c r="T9" i="34"/>
  <c r="J8" i="34"/>
  <c r="W8" i="34" s="1"/>
  <c r="U7" i="34"/>
  <c r="W7" i="34"/>
  <c r="J8" i="33"/>
  <c r="U7" i="33"/>
  <c r="T9" i="33"/>
  <c r="W7" i="33"/>
  <c r="O8" i="33"/>
  <c r="V7" i="33"/>
  <c r="W7" i="32"/>
  <c r="V7" i="32"/>
  <c r="J8" i="29"/>
  <c r="U7" i="29"/>
  <c r="W7" i="29"/>
  <c r="V7" i="29"/>
  <c r="T11" i="29"/>
  <c r="A10" i="29"/>
  <c r="B10" i="29"/>
  <c r="O10" i="29"/>
  <c r="A9" i="28"/>
  <c r="O8" i="28"/>
  <c r="T10" i="28"/>
  <c r="B10" i="28"/>
  <c r="A10" i="28" s="1"/>
  <c r="J7" i="28"/>
  <c r="U6" i="28"/>
  <c r="W6" i="28"/>
  <c r="E11" i="27"/>
  <c r="E10" i="27"/>
  <c r="E9" i="27"/>
  <c r="E8" i="27"/>
  <c r="E7" i="27"/>
  <c r="E6" i="27"/>
  <c r="E5" i="27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 s="1"/>
  <c r="T11" i="27"/>
  <c r="O11" i="27"/>
  <c r="J11" i="27"/>
  <c r="D11" i="27"/>
  <c r="C11" i="27"/>
  <c r="B11" i="27"/>
  <c r="A11" i="27" s="1"/>
  <c r="T10" i="27"/>
  <c r="O10" i="27"/>
  <c r="V10" i="27" s="1"/>
  <c r="J10" i="27"/>
  <c r="D10" i="27"/>
  <c r="C10" i="27"/>
  <c r="B10" i="27"/>
  <c r="A10" i="27" s="1"/>
  <c r="T9" i="27"/>
  <c r="O9" i="27"/>
  <c r="J9" i="27"/>
  <c r="D9" i="27"/>
  <c r="C9" i="27"/>
  <c r="B9" i="27"/>
  <c r="A9" i="27"/>
  <c r="T8" i="27"/>
  <c r="W8" i="27" s="1"/>
  <c r="O8" i="27"/>
  <c r="V8" i="27" s="1"/>
  <c r="J8" i="27"/>
  <c r="D8" i="27"/>
  <c r="C8" i="27"/>
  <c r="B8" i="27"/>
  <c r="A8" i="27" s="1"/>
  <c r="T7" i="27"/>
  <c r="O7" i="27"/>
  <c r="J7" i="27"/>
  <c r="D7" i="27"/>
  <c r="C7" i="27"/>
  <c r="B7" i="27"/>
  <c r="A7" i="27"/>
  <c r="T6" i="27"/>
  <c r="O6" i="27"/>
  <c r="V6" i="27" s="1"/>
  <c r="J6" i="27"/>
  <c r="D6" i="27"/>
  <c r="C6" i="27"/>
  <c r="B6" i="27"/>
  <c r="A6" i="27" s="1"/>
  <c r="T5" i="27"/>
  <c r="O5" i="27"/>
  <c r="J5" i="27"/>
  <c r="D5" i="27"/>
  <c r="C5" i="27"/>
  <c r="B5" i="27"/>
  <c r="A5" i="27"/>
  <c r="T4" i="27"/>
  <c r="W4" i="27" s="1"/>
  <c r="O4" i="27"/>
  <c r="J4" i="27"/>
  <c r="W3" i="27"/>
  <c r="V3" i="27"/>
  <c r="U3" i="27"/>
  <c r="W2" i="27"/>
  <c r="V2" i="27"/>
  <c r="U2" i="27"/>
  <c r="BO1" i="27"/>
  <c r="AT1" i="27"/>
  <c r="Y1" i="27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T12" i="26"/>
  <c r="W12" i="26" s="1"/>
  <c r="O12" i="26"/>
  <c r="V12" i="26" s="1"/>
  <c r="J12" i="26"/>
  <c r="U12" i="26" s="1"/>
  <c r="D12" i="26"/>
  <c r="C12" i="26"/>
  <c r="B12" i="26"/>
  <c r="A12" i="26"/>
  <c r="T11" i="26"/>
  <c r="W11" i="26" s="1"/>
  <c r="O11" i="26"/>
  <c r="V11" i="26" s="1"/>
  <c r="J11" i="26"/>
  <c r="U11" i="26" s="1"/>
  <c r="D11" i="26"/>
  <c r="C11" i="26"/>
  <c r="B11" i="26"/>
  <c r="A11" i="26"/>
  <c r="T10" i="26"/>
  <c r="W10" i="26" s="1"/>
  <c r="O10" i="26"/>
  <c r="V10" i="26" s="1"/>
  <c r="J10" i="26"/>
  <c r="U10" i="26" s="1"/>
  <c r="D10" i="26"/>
  <c r="C10" i="26"/>
  <c r="B10" i="26"/>
  <c r="A10" i="26"/>
  <c r="T9" i="26"/>
  <c r="W9" i="26" s="1"/>
  <c r="O9" i="26"/>
  <c r="V9" i="26" s="1"/>
  <c r="J9" i="26"/>
  <c r="U9" i="26" s="1"/>
  <c r="D9" i="26"/>
  <c r="C9" i="26"/>
  <c r="B9" i="26"/>
  <c r="A9" i="26"/>
  <c r="T8" i="26"/>
  <c r="W8" i="26" s="1"/>
  <c r="O8" i="26"/>
  <c r="V8" i="26" s="1"/>
  <c r="J8" i="26"/>
  <c r="U8" i="26" s="1"/>
  <c r="D8" i="26"/>
  <c r="C8" i="26"/>
  <c r="B8" i="26"/>
  <c r="A8" i="26"/>
  <c r="D7" i="26"/>
  <c r="C7" i="26"/>
  <c r="J6" i="26"/>
  <c r="J7" i="26" s="1"/>
  <c r="D6" i="26"/>
  <c r="J5" i="26"/>
  <c r="C6" i="26"/>
  <c r="T4" i="26"/>
  <c r="T5" i="26" s="1"/>
  <c r="O4" i="26"/>
  <c r="O5" i="26" s="1"/>
  <c r="J4" i="26"/>
  <c r="W3" i="26"/>
  <c r="V3" i="26"/>
  <c r="U3" i="26"/>
  <c r="W2" i="26"/>
  <c r="V2" i="26"/>
  <c r="U2" i="26"/>
  <c r="BO1" i="26"/>
  <c r="AT1" i="26"/>
  <c r="Y1" i="26"/>
  <c r="E7" i="25"/>
  <c r="E6" i="25"/>
  <c r="E5" i="25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D15" i="25"/>
  <c r="C15" i="25"/>
  <c r="D14" i="25"/>
  <c r="C12" i="25"/>
  <c r="D12" i="25"/>
  <c r="D11" i="25"/>
  <c r="D10" i="25"/>
  <c r="D8" i="25"/>
  <c r="O7" i="25"/>
  <c r="O8" i="25" s="1"/>
  <c r="D7" i="25"/>
  <c r="O6" i="25"/>
  <c r="J6" i="25"/>
  <c r="J7" i="25" s="1"/>
  <c r="D6" i="25"/>
  <c r="O5" i="25"/>
  <c r="J5" i="25"/>
  <c r="C6" i="25"/>
  <c r="C7" i="25" s="1"/>
  <c r="T4" i="25"/>
  <c r="O4" i="25"/>
  <c r="J4" i="25"/>
  <c r="W3" i="25"/>
  <c r="V3" i="25"/>
  <c r="U3" i="25"/>
  <c r="W2" i="25"/>
  <c r="V2" i="25"/>
  <c r="U2" i="25"/>
  <c r="BO1" i="25"/>
  <c r="AT1" i="25"/>
  <c r="Y1" i="25"/>
  <c r="C16" i="24"/>
  <c r="E15" i="24"/>
  <c r="E14" i="24"/>
  <c r="E13" i="24"/>
  <c r="E12" i="24"/>
  <c r="E11" i="24"/>
  <c r="E10" i="24"/>
  <c r="E9" i="24"/>
  <c r="E8" i="24"/>
  <c r="E7" i="24"/>
  <c r="E6" i="24"/>
  <c r="E5" i="24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B16" i="24"/>
  <c r="A16" i="24"/>
  <c r="T15" i="24"/>
  <c r="W15" i="24" s="1"/>
  <c r="O15" i="24"/>
  <c r="J15" i="24"/>
  <c r="D15" i="24"/>
  <c r="C15" i="24"/>
  <c r="B15" i="24"/>
  <c r="A15" i="24" s="1"/>
  <c r="T14" i="24"/>
  <c r="O14" i="24"/>
  <c r="V14" i="24" s="1"/>
  <c r="J14" i="24"/>
  <c r="D14" i="24"/>
  <c r="C14" i="24"/>
  <c r="B14" i="24"/>
  <c r="A14" i="24" s="1"/>
  <c r="T13" i="24"/>
  <c r="O13" i="24"/>
  <c r="V13" i="24" s="1"/>
  <c r="J13" i="24"/>
  <c r="D13" i="24"/>
  <c r="C13" i="24"/>
  <c r="B13" i="24"/>
  <c r="A13" i="24"/>
  <c r="T12" i="24"/>
  <c r="O12" i="24"/>
  <c r="J12" i="24"/>
  <c r="D12" i="24"/>
  <c r="C12" i="24"/>
  <c r="B12" i="24"/>
  <c r="A12" i="24" s="1"/>
  <c r="T11" i="24"/>
  <c r="O11" i="24"/>
  <c r="J11" i="24"/>
  <c r="D11" i="24"/>
  <c r="C11" i="24"/>
  <c r="B11" i="24"/>
  <c r="A11" i="24"/>
  <c r="T10" i="24"/>
  <c r="O10" i="24"/>
  <c r="J10" i="24"/>
  <c r="D10" i="24"/>
  <c r="C10" i="24"/>
  <c r="B10" i="24"/>
  <c r="A10" i="24" s="1"/>
  <c r="D9" i="24"/>
  <c r="C9" i="24"/>
  <c r="D8" i="24"/>
  <c r="T6" i="24"/>
  <c r="T7" i="24" s="1"/>
  <c r="C6" i="24"/>
  <c r="D6" i="24"/>
  <c r="T5" i="24"/>
  <c r="O5" i="24"/>
  <c r="O6" i="24" s="1"/>
  <c r="B5" i="24"/>
  <c r="D5" i="24"/>
  <c r="C5" i="24"/>
  <c r="T4" i="24"/>
  <c r="O4" i="24"/>
  <c r="V4" i="24" s="1"/>
  <c r="J4" i="24"/>
  <c r="W3" i="24"/>
  <c r="V3" i="24"/>
  <c r="U3" i="24"/>
  <c r="W2" i="24"/>
  <c r="V2" i="24"/>
  <c r="U2" i="24"/>
  <c r="BO1" i="24"/>
  <c r="AT1" i="24"/>
  <c r="Y1" i="24"/>
  <c r="O9" i="35" l="1"/>
  <c r="W9" i="35" s="1"/>
  <c r="V8" i="35"/>
  <c r="W8" i="35"/>
  <c r="T10" i="35"/>
  <c r="B8" i="35"/>
  <c r="J9" i="35"/>
  <c r="U8" i="35"/>
  <c r="B10" i="34"/>
  <c r="A9" i="34"/>
  <c r="J9" i="34"/>
  <c r="U8" i="34"/>
  <c r="T10" i="34"/>
  <c r="W9" i="34"/>
  <c r="O9" i="34"/>
  <c r="V8" i="34"/>
  <c r="O9" i="33"/>
  <c r="V9" i="33" s="1"/>
  <c r="V8" i="33"/>
  <c r="W8" i="33"/>
  <c r="J9" i="33"/>
  <c r="U8" i="33"/>
  <c r="B11" i="29"/>
  <c r="T12" i="29"/>
  <c r="O11" i="29"/>
  <c r="J9" i="29"/>
  <c r="U8" i="29"/>
  <c r="W8" i="29"/>
  <c r="V8" i="29"/>
  <c r="J8" i="28"/>
  <c r="U7" i="28"/>
  <c r="W7" i="28"/>
  <c r="B11" i="28"/>
  <c r="A11" i="28" s="1"/>
  <c r="O9" i="28"/>
  <c r="V8" i="28"/>
  <c r="T11" i="28"/>
  <c r="V7" i="28"/>
  <c r="W11" i="27"/>
  <c r="U11" i="27"/>
  <c r="V11" i="27"/>
  <c r="U10" i="27"/>
  <c r="W10" i="27"/>
  <c r="W9" i="27"/>
  <c r="U9" i="27"/>
  <c r="V9" i="27"/>
  <c r="U8" i="27"/>
  <c r="V7" i="27"/>
  <c r="U7" i="27"/>
  <c r="W7" i="27"/>
  <c r="U6" i="27"/>
  <c r="W6" i="27"/>
  <c r="W5" i="27"/>
  <c r="U5" i="27"/>
  <c r="V5" i="27"/>
  <c r="U4" i="27"/>
  <c r="V4" i="27"/>
  <c r="V5" i="26"/>
  <c r="O6" i="26"/>
  <c r="U5" i="26"/>
  <c r="T6" i="26"/>
  <c r="W5" i="26"/>
  <c r="U4" i="26"/>
  <c r="W4" i="26"/>
  <c r="B7" i="26"/>
  <c r="B5" i="26"/>
  <c r="A5" i="26" s="1"/>
  <c r="A6" i="26" s="1"/>
  <c r="C5" i="26"/>
  <c r="D5" i="26"/>
  <c r="B6" i="26"/>
  <c r="V4" i="26"/>
  <c r="U4" i="25"/>
  <c r="J8" i="25"/>
  <c r="B7" i="25"/>
  <c r="B8" i="25" s="1"/>
  <c r="O9" i="25"/>
  <c r="C8" i="25"/>
  <c r="C14" i="25"/>
  <c r="V4" i="25"/>
  <c r="C9" i="25"/>
  <c r="W4" i="25"/>
  <c r="T5" i="25"/>
  <c r="D9" i="25"/>
  <c r="B5" i="25"/>
  <c r="A5" i="25" s="1"/>
  <c r="C10" i="25"/>
  <c r="C11" i="25" s="1"/>
  <c r="C5" i="25"/>
  <c r="C13" i="25"/>
  <c r="D5" i="25"/>
  <c r="D13" i="25"/>
  <c r="B6" i="25"/>
  <c r="U15" i="24"/>
  <c r="V15" i="24"/>
  <c r="U14" i="24"/>
  <c r="W14" i="24"/>
  <c r="W13" i="24"/>
  <c r="U13" i="24"/>
  <c r="V12" i="24"/>
  <c r="W12" i="24"/>
  <c r="U12" i="24"/>
  <c r="V11" i="24"/>
  <c r="U11" i="24"/>
  <c r="W11" i="24"/>
  <c r="U10" i="24"/>
  <c r="V10" i="24"/>
  <c r="W10" i="24"/>
  <c r="W4" i="24"/>
  <c r="O7" i="24"/>
  <c r="T8" i="24"/>
  <c r="B7" i="24"/>
  <c r="A5" i="24"/>
  <c r="C7" i="24"/>
  <c r="D7" i="24"/>
  <c r="B6" i="24"/>
  <c r="B8" i="24"/>
  <c r="C8" i="24"/>
  <c r="U4" i="24"/>
  <c r="J5" i="24"/>
  <c r="E9" i="23"/>
  <c r="E8" i="23"/>
  <c r="D8" i="23" s="1"/>
  <c r="E7" i="23"/>
  <c r="E6" i="23"/>
  <c r="E5" i="23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D12" i="23"/>
  <c r="D13" i="23" s="1"/>
  <c r="D9" i="23"/>
  <c r="D7" i="23"/>
  <c r="C7" i="23"/>
  <c r="J6" i="23"/>
  <c r="J5" i="23"/>
  <c r="C5" i="23"/>
  <c r="D5" i="23"/>
  <c r="B5" i="23"/>
  <c r="A5" i="23" s="1"/>
  <c r="T4" i="23"/>
  <c r="T5" i="23" s="1"/>
  <c r="O4" i="23"/>
  <c r="O5" i="23" s="1"/>
  <c r="J4" i="23"/>
  <c r="W3" i="23"/>
  <c r="V3" i="23"/>
  <c r="U3" i="23"/>
  <c r="W2" i="23"/>
  <c r="V2" i="23"/>
  <c r="U2" i="23"/>
  <c r="BO1" i="23"/>
  <c r="AT1" i="23"/>
  <c r="Y1" i="23"/>
  <c r="E13" i="22"/>
  <c r="E12" i="22"/>
  <c r="D12" i="22" s="1"/>
  <c r="E11" i="22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T13" i="22"/>
  <c r="O13" i="22"/>
  <c r="J13" i="22"/>
  <c r="U13" i="22" s="1"/>
  <c r="D13" i="22"/>
  <c r="C13" i="22"/>
  <c r="B13" i="22"/>
  <c r="A13" i="22"/>
  <c r="T12" i="22"/>
  <c r="W12" i="22" s="1"/>
  <c r="O12" i="22"/>
  <c r="J12" i="22"/>
  <c r="T11" i="22"/>
  <c r="O11" i="22"/>
  <c r="J11" i="22"/>
  <c r="D11" i="22"/>
  <c r="C11" i="22"/>
  <c r="B11" i="22"/>
  <c r="A11" i="22"/>
  <c r="D8" i="22"/>
  <c r="C8" i="22"/>
  <c r="D7" i="22"/>
  <c r="C7" i="22"/>
  <c r="J6" i="22"/>
  <c r="J7" i="22" s="1"/>
  <c r="J5" i="22"/>
  <c r="T4" i="22"/>
  <c r="T5" i="22" s="1"/>
  <c r="O4" i="22"/>
  <c r="O5" i="22" s="1"/>
  <c r="J4" i="22"/>
  <c r="W3" i="22"/>
  <c r="V3" i="22"/>
  <c r="U3" i="22"/>
  <c r="W2" i="22"/>
  <c r="V2" i="22"/>
  <c r="U2" i="22"/>
  <c r="BO1" i="22"/>
  <c r="AT1" i="22"/>
  <c r="Y1" i="22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D11" i="21"/>
  <c r="C11" i="21"/>
  <c r="D10" i="21"/>
  <c r="C10" i="21"/>
  <c r="D8" i="21"/>
  <c r="O7" i="21"/>
  <c r="O8" i="21" s="1"/>
  <c r="D7" i="21"/>
  <c r="C7" i="21"/>
  <c r="O6" i="21"/>
  <c r="J6" i="21"/>
  <c r="J7" i="21" s="1"/>
  <c r="D6" i="21"/>
  <c r="O5" i="21"/>
  <c r="J5" i="21"/>
  <c r="B5" i="21"/>
  <c r="T4" i="21"/>
  <c r="T5" i="21" s="1"/>
  <c r="O4" i="21"/>
  <c r="J4" i="21"/>
  <c r="W3" i="21"/>
  <c r="V3" i="21"/>
  <c r="U3" i="21"/>
  <c r="W2" i="21"/>
  <c r="V2" i="21"/>
  <c r="U2" i="21"/>
  <c r="BO1" i="21"/>
  <c r="AT1" i="21"/>
  <c r="Y1" i="21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C10" i="20"/>
  <c r="D10" i="20"/>
  <c r="D9" i="20"/>
  <c r="C9" i="20"/>
  <c r="D8" i="20"/>
  <c r="C8" i="20"/>
  <c r="C6" i="20"/>
  <c r="D6" i="20"/>
  <c r="O5" i="20"/>
  <c r="O6" i="20" s="1"/>
  <c r="B5" i="20"/>
  <c r="D5" i="20"/>
  <c r="C5" i="20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O10" i="35" l="1"/>
  <c r="V9" i="35"/>
  <c r="J10" i="35"/>
  <c r="U9" i="35"/>
  <c r="B9" i="35"/>
  <c r="A9" i="35" s="1"/>
  <c r="A8" i="35"/>
  <c r="T11" i="35"/>
  <c r="B11" i="34"/>
  <c r="A10" i="34"/>
  <c r="O10" i="34"/>
  <c r="V9" i="34"/>
  <c r="T11" i="34"/>
  <c r="U9" i="34"/>
  <c r="J10" i="34"/>
  <c r="W10" i="34" s="1"/>
  <c r="U9" i="33"/>
  <c r="W9" i="33"/>
  <c r="T13" i="29"/>
  <c r="O12" i="29"/>
  <c r="J10" i="29"/>
  <c r="U9" i="29"/>
  <c r="W9" i="29"/>
  <c r="V9" i="29"/>
  <c r="B12" i="29"/>
  <c r="A11" i="29"/>
  <c r="A12" i="29" s="1"/>
  <c r="O10" i="28"/>
  <c r="J9" i="28"/>
  <c r="V9" i="28" s="1"/>
  <c r="U8" i="28"/>
  <c r="W8" i="28"/>
  <c r="A7" i="26"/>
  <c r="O7" i="26"/>
  <c r="V6" i="26"/>
  <c r="U6" i="26"/>
  <c r="W6" i="26"/>
  <c r="T7" i="26"/>
  <c r="A6" i="25"/>
  <c r="B9" i="25"/>
  <c r="T6" i="25"/>
  <c r="W5" i="25"/>
  <c r="U5" i="25"/>
  <c r="O10" i="25"/>
  <c r="V5" i="25"/>
  <c r="A7" i="25"/>
  <c r="A8" i="25" s="1"/>
  <c r="A9" i="25" s="1"/>
  <c r="J9" i="25"/>
  <c r="W5" i="24"/>
  <c r="J6" i="24"/>
  <c r="U5" i="24"/>
  <c r="V5" i="24"/>
  <c r="O8" i="24"/>
  <c r="B9" i="24"/>
  <c r="A6" i="24"/>
  <c r="A7" i="24" s="1"/>
  <c r="A8" i="24" s="1"/>
  <c r="T9" i="24"/>
  <c r="C8" i="23"/>
  <c r="C13" i="23"/>
  <c r="T6" i="23"/>
  <c r="W5" i="23"/>
  <c r="B7" i="23"/>
  <c r="U5" i="23"/>
  <c r="O6" i="23"/>
  <c r="V5" i="23"/>
  <c r="J7" i="23"/>
  <c r="U4" i="23"/>
  <c r="C6" i="23"/>
  <c r="D11" i="23"/>
  <c r="V4" i="23"/>
  <c r="D6" i="23"/>
  <c r="C9" i="23"/>
  <c r="B6" i="23"/>
  <c r="W4" i="23"/>
  <c r="C12" i="23"/>
  <c r="C10" i="23"/>
  <c r="D10" i="23"/>
  <c r="V13" i="22"/>
  <c r="W13" i="22"/>
  <c r="V12" i="22"/>
  <c r="U12" i="22"/>
  <c r="B12" i="22"/>
  <c r="A12" i="22" s="1"/>
  <c r="C12" i="22"/>
  <c r="U11" i="22"/>
  <c r="V11" i="22"/>
  <c r="W11" i="22"/>
  <c r="J8" i="22"/>
  <c r="O6" i="22"/>
  <c r="U5" i="22"/>
  <c r="V5" i="22"/>
  <c r="T6" i="22"/>
  <c r="W5" i="22"/>
  <c r="B5" i="22"/>
  <c r="B6" i="22" s="1"/>
  <c r="C10" i="22"/>
  <c r="C5" i="22"/>
  <c r="D10" i="22"/>
  <c r="D5" i="22"/>
  <c r="U6" i="22"/>
  <c r="U4" i="22"/>
  <c r="C6" i="22"/>
  <c r="V4" i="22"/>
  <c r="D6" i="22"/>
  <c r="C9" i="22"/>
  <c r="W4" i="22"/>
  <c r="D9" i="22"/>
  <c r="J8" i="21"/>
  <c r="W5" i="21"/>
  <c r="U5" i="21"/>
  <c r="T6" i="21"/>
  <c r="U6" i="21" s="1"/>
  <c r="V5" i="21"/>
  <c r="O9" i="21"/>
  <c r="C5" i="21"/>
  <c r="D5" i="21"/>
  <c r="C8" i="21"/>
  <c r="B6" i="21"/>
  <c r="A6" i="21" s="1"/>
  <c r="U4" i="21"/>
  <c r="C6" i="21"/>
  <c r="V4" i="21"/>
  <c r="C9" i="21"/>
  <c r="W4" i="21"/>
  <c r="D9" i="21"/>
  <c r="A5" i="21"/>
  <c r="V4" i="20"/>
  <c r="T6" i="20"/>
  <c r="O7" i="20"/>
  <c r="B6" i="20"/>
  <c r="C11" i="20"/>
  <c r="U4" i="20"/>
  <c r="J5" i="20"/>
  <c r="W5" i="20" s="1"/>
  <c r="D11" i="20"/>
  <c r="D12" i="20" s="1"/>
  <c r="C12" i="20"/>
  <c r="W4" i="20"/>
  <c r="A5" i="20"/>
  <c r="C7" i="20"/>
  <c r="V5" i="20"/>
  <c r="D7" i="20"/>
  <c r="W3" i="19"/>
  <c r="V3" i="19"/>
  <c r="U3" i="19"/>
  <c r="E4" i="19"/>
  <c r="W10" i="35" l="1"/>
  <c r="T12" i="35"/>
  <c r="B10" i="35"/>
  <c r="A10" i="35" s="1"/>
  <c r="J11" i="35"/>
  <c r="U10" i="35"/>
  <c r="O11" i="35"/>
  <c r="V10" i="35"/>
  <c r="B12" i="34"/>
  <c r="A11" i="34"/>
  <c r="T12" i="34"/>
  <c r="J11" i="34"/>
  <c r="U10" i="34"/>
  <c r="O11" i="34"/>
  <c r="V10" i="34"/>
  <c r="T14" i="29"/>
  <c r="A13" i="29"/>
  <c r="B13" i="29"/>
  <c r="O13" i="29"/>
  <c r="U10" i="29"/>
  <c r="J11" i="29"/>
  <c r="W10" i="29"/>
  <c r="V10" i="29"/>
  <c r="O11" i="28"/>
  <c r="J10" i="28"/>
  <c r="V10" i="28" s="1"/>
  <c r="U9" i="28"/>
  <c r="W9" i="28"/>
  <c r="V7" i="26"/>
  <c r="U7" i="26"/>
  <c r="W7" i="26"/>
  <c r="O11" i="25"/>
  <c r="T7" i="25"/>
  <c r="V6" i="25"/>
  <c r="W6" i="25"/>
  <c r="U6" i="25"/>
  <c r="J10" i="25"/>
  <c r="B10" i="25"/>
  <c r="A10" i="25" s="1"/>
  <c r="A9" i="24"/>
  <c r="U6" i="24"/>
  <c r="J7" i="24"/>
  <c r="V6" i="24"/>
  <c r="W6" i="24"/>
  <c r="O9" i="24"/>
  <c r="C11" i="23"/>
  <c r="A6" i="23"/>
  <c r="A7" i="23" s="1"/>
  <c r="O7" i="23"/>
  <c r="V6" i="23"/>
  <c r="B8" i="23"/>
  <c r="J8" i="23"/>
  <c r="U6" i="23"/>
  <c r="T7" i="23"/>
  <c r="W6" i="23"/>
  <c r="B7" i="22"/>
  <c r="J9" i="22"/>
  <c r="W6" i="22"/>
  <c r="T7" i="22"/>
  <c r="A6" i="22"/>
  <c r="A7" i="22" s="1"/>
  <c r="A5" i="22"/>
  <c r="O7" i="22"/>
  <c r="V6" i="22"/>
  <c r="O10" i="21"/>
  <c r="B7" i="21"/>
  <c r="J9" i="21"/>
  <c r="T7" i="21"/>
  <c r="W6" i="21"/>
  <c r="V6" i="21"/>
  <c r="A6" i="20"/>
  <c r="B7" i="20"/>
  <c r="O8" i="20"/>
  <c r="J6" i="20"/>
  <c r="U5" i="20"/>
  <c r="T7" i="20"/>
  <c r="W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W10" i="19" s="1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11" i="35" l="1"/>
  <c r="T13" i="35"/>
  <c r="O12" i="35"/>
  <c r="V11" i="35"/>
  <c r="J12" i="35"/>
  <c r="U11" i="35"/>
  <c r="B11" i="35"/>
  <c r="A11" i="35" s="1"/>
  <c r="B13" i="34"/>
  <c r="A13" i="34" s="1"/>
  <c r="A12" i="34"/>
  <c r="O12" i="34"/>
  <c r="V11" i="34"/>
  <c r="J12" i="34"/>
  <c r="W12" i="34" s="1"/>
  <c r="U11" i="34"/>
  <c r="W11" i="34"/>
  <c r="T13" i="34"/>
  <c r="J12" i="29"/>
  <c r="U11" i="29"/>
  <c r="W11" i="29"/>
  <c r="V11" i="29"/>
  <c r="O14" i="29"/>
  <c r="B14" i="29"/>
  <c r="A14" i="29" s="1"/>
  <c r="T15" i="29"/>
  <c r="J11" i="28"/>
  <c r="U10" i="28"/>
  <c r="W10" i="28"/>
  <c r="O12" i="25"/>
  <c r="J11" i="25"/>
  <c r="B11" i="25"/>
  <c r="W7" i="25"/>
  <c r="T8" i="25"/>
  <c r="V7" i="25"/>
  <c r="U7" i="25"/>
  <c r="J8" i="24"/>
  <c r="U7" i="24"/>
  <c r="W7" i="24"/>
  <c r="V7" i="24"/>
  <c r="O8" i="23"/>
  <c r="V7" i="23"/>
  <c r="U7" i="23"/>
  <c r="J9" i="23"/>
  <c r="W7" i="23"/>
  <c r="T8" i="23"/>
  <c r="B9" i="23"/>
  <c r="A8" i="23"/>
  <c r="O8" i="22"/>
  <c r="V7" i="22"/>
  <c r="U7" i="22"/>
  <c r="B8" i="22"/>
  <c r="A8" i="22" s="1"/>
  <c r="W7" i="22"/>
  <c r="T8" i="22"/>
  <c r="J10" i="22"/>
  <c r="O11" i="21"/>
  <c r="B8" i="21"/>
  <c r="A7" i="21"/>
  <c r="W7" i="21"/>
  <c r="T8" i="21"/>
  <c r="V7" i="21"/>
  <c r="U7" i="21"/>
  <c r="J10" i="21"/>
  <c r="A7" i="20"/>
  <c r="T8" i="20"/>
  <c r="J7" i="20"/>
  <c r="W7" i="20" s="1"/>
  <c r="U6" i="20"/>
  <c r="V6" i="20"/>
  <c r="O9" i="20"/>
  <c r="B8" i="20"/>
  <c r="W12" i="19"/>
  <c r="V12" i="19"/>
  <c r="V11" i="19"/>
  <c r="U11" i="19"/>
  <c r="W11" i="19"/>
  <c r="V10" i="19"/>
  <c r="W9" i="19"/>
  <c r="U9" i="19"/>
  <c r="V9" i="19"/>
  <c r="U8" i="19"/>
  <c r="W8" i="19"/>
  <c r="V8" i="19"/>
  <c r="V7" i="19"/>
  <c r="U7" i="19"/>
  <c r="W7" i="19"/>
  <c r="V6" i="19"/>
  <c r="U6" i="19"/>
  <c r="W6" i="19"/>
  <c r="V4" i="19"/>
  <c r="W4" i="19"/>
  <c r="U4" i="19"/>
  <c r="C6" i="19"/>
  <c r="T5" i="19"/>
  <c r="J5" i="19"/>
  <c r="O5" i="19"/>
  <c r="O13" i="35" l="1"/>
  <c r="V12" i="35"/>
  <c r="B12" i="35"/>
  <c r="A12" i="35" s="1"/>
  <c r="J13" i="35"/>
  <c r="U12" i="35"/>
  <c r="W12" i="35"/>
  <c r="J13" i="34"/>
  <c r="U12" i="34"/>
  <c r="O13" i="34"/>
  <c r="V12" i="34"/>
  <c r="O15" i="29"/>
  <c r="A15" i="29"/>
  <c r="B15" i="29"/>
  <c r="T16" i="29"/>
  <c r="J13" i="29"/>
  <c r="U12" i="29"/>
  <c r="W12" i="29"/>
  <c r="V12" i="29"/>
  <c r="U11" i="28"/>
  <c r="W11" i="28"/>
  <c r="V11" i="28"/>
  <c r="O13" i="25"/>
  <c r="T9" i="25"/>
  <c r="W8" i="25"/>
  <c r="V8" i="25"/>
  <c r="U8" i="25"/>
  <c r="J12" i="25"/>
  <c r="B12" i="25"/>
  <c r="A12" i="25" s="1"/>
  <c r="A11" i="25"/>
  <c r="J9" i="24"/>
  <c r="U8" i="24"/>
  <c r="W8" i="24"/>
  <c r="V8" i="24"/>
  <c r="B10" i="23"/>
  <c r="A10" i="23" s="1"/>
  <c r="O9" i="23"/>
  <c r="V8" i="23"/>
  <c r="A9" i="23"/>
  <c r="T9" i="23"/>
  <c r="W8" i="23"/>
  <c r="U8" i="23"/>
  <c r="J10" i="23"/>
  <c r="O9" i="22"/>
  <c r="V8" i="22"/>
  <c r="U8" i="22"/>
  <c r="T9" i="22"/>
  <c r="W8" i="22"/>
  <c r="B9" i="22"/>
  <c r="A9" i="22" s="1"/>
  <c r="B9" i="21"/>
  <c r="J11" i="21"/>
  <c r="T9" i="21"/>
  <c r="W8" i="21"/>
  <c r="V8" i="21"/>
  <c r="U8" i="21"/>
  <c r="A8" i="21"/>
  <c r="B9" i="20"/>
  <c r="T9" i="20"/>
  <c r="A8" i="20"/>
  <c r="O10" i="20"/>
  <c r="U7" i="20"/>
  <c r="J8" i="20"/>
  <c r="V7" i="20"/>
  <c r="W5" i="19"/>
  <c r="V5" i="19"/>
  <c r="U5" i="19"/>
  <c r="U13" i="35" l="1"/>
  <c r="V13" i="35"/>
  <c r="W13" i="35"/>
  <c r="B13" i="35"/>
  <c r="A13" i="35" s="1"/>
  <c r="V13" i="34"/>
  <c r="U13" i="34"/>
  <c r="W13" i="34"/>
  <c r="J14" i="29"/>
  <c r="U13" i="29"/>
  <c r="W13" i="29"/>
  <c r="V13" i="29"/>
  <c r="B16" i="29"/>
  <c r="A16" i="29" s="1"/>
  <c r="O16" i="29"/>
  <c r="O14" i="25"/>
  <c r="J13" i="25"/>
  <c r="B13" i="25"/>
  <c r="A13" i="25" s="1"/>
  <c r="T10" i="25"/>
  <c r="W9" i="25"/>
  <c r="V9" i="25"/>
  <c r="U9" i="25"/>
  <c r="U9" i="24"/>
  <c r="W9" i="24"/>
  <c r="V9" i="24"/>
  <c r="U9" i="23"/>
  <c r="J11" i="23"/>
  <c r="U10" i="23"/>
  <c r="A11" i="23"/>
  <c r="B11" i="23"/>
  <c r="O10" i="23"/>
  <c r="V9" i="23"/>
  <c r="T10" i="23"/>
  <c r="W9" i="23"/>
  <c r="O10" i="22"/>
  <c r="V9" i="22"/>
  <c r="U9" i="22"/>
  <c r="B10" i="22"/>
  <c r="A10" i="22" s="1"/>
  <c r="T10" i="22"/>
  <c r="W10" i="22" s="1"/>
  <c r="W9" i="22"/>
  <c r="B10" i="21"/>
  <c r="A10" i="21" s="1"/>
  <c r="W9" i="21"/>
  <c r="T10" i="21"/>
  <c r="V9" i="21"/>
  <c r="U9" i="21"/>
  <c r="A9" i="21"/>
  <c r="B10" i="20"/>
  <c r="J9" i="20"/>
  <c r="W9" i="20" s="1"/>
  <c r="U8" i="20"/>
  <c r="V8" i="20"/>
  <c r="A9" i="20"/>
  <c r="O11" i="20"/>
  <c r="W8" i="20"/>
  <c r="T10" i="20"/>
  <c r="U14" i="29" l="1"/>
  <c r="J15" i="29"/>
  <c r="W14" i="29"/>
  <c r="V14" i="29"/>
  <c r="W10" i="25"/>
  <c r="T11" i="25"/>
  <c r="V10" i="25"/>
  <c r="U10" i="25"/>
  <c r="B14" i="25"/>
  <c r="A14" i="25" s="1"/>
  <c r="J14" i="25"/>
  <c r="O15" i="25"/>
  <c r="J12" i="23"/>
  <c r="U11" i="23"/>
  <c r="W10" i="23"/>
  <c r="T11" i="23"/>
  <c r="V10" i="23"/>
  <c r="O11" i="23"/>
  <c r="B12" i="23"/>
  <c r="A12" i="23" s="1"/>
  <c r="V10" i="22"/>
  <c r="U10" i="22"/>
  <c r="B11" i="21"/>
  <c r="A11" i="21" s="1"/>
  <c r="W10" i="21"/>
  <c r="T11" i="21"/>
  <c r="U10" i="21"/>
  <c r="V10" i="21"/>
  <c r="T11" i="20"/>
  <c r="B11" i="20"/>
  <c r="A11" i="20" s="1"/>
  <c r="A10" i="20"/>
  <c r="O12" i="20"/>
  <c r="J10" i="20"/>
  <c r="W10" i="20" s="1"/>
  <c r="U9" i="20"/>
  <c r="V9" i="20"/>
  <c r="J16" i="29" l="1"/>
  <c r="U15" i="29"/>
  <c r="W15" i="29"/>
  <c r="V15" i="29"/>
  <c r="J15" i="25"/>
  <c r="B15" i="25"/>
  <c r="A15" i="25" s="1"/>
  <c r="W11" i="25"/>
  <c r="T12" i="25"/>
  <c r="V11" i="25"/>
  <c r="U11" i="25"/>
  <c r="J13" i="23"/>
  <c r="U12" i="23"/>
  <c r="A13" i="23"/>
  <c r="B13" i="23"/>
  <c r="V11" i="23"/>
  <c r="O12" i="23"/>
  <c r="W11" i="23"/>
  <c r="T12" i="23"/>
  <c r="W11" i="21"/>
  <c r="V11" i="21"/>
  <c r="U11" i="21"/>
  <c r="T12" i="20"/>
  <c r="J11" i="20"/>
  <c r="U10" i="20"/>
  <c r="V10" i="20"/>
  <c r="B12" i="20"/>
  <c r="A12" i="20" s="1"/>
  <c r="U16" i="29" l="1"/>
  <c r="W16" i="29"/>
  <c r="V16" i="29"/>
  <c r="T13" i="25"/>
  <c r="W12" i="25"/>
  <c r="V12" i="25"/>
  <c r="U12" i="25"/>
  <c r="T13" i="23"/>
  <c r="W13" i="23" s="1"/>
  <c r="W12" i="23"/>
  <c r="O13" i="23"/>
  <c r="V12" i="23"/>
  <c r="U11" i="20"/>
  <c r="J12" i="20"/>
  <c r="V11" i="20"/>
  <c r="W11" i="20"/>
  <c r="T14" i="25" l="1"/>
  <c r="W13" i="25"/>
  <c r="U13" i="25"/>
  <c r="V13" i="25"/>
  <c r="U13" i="23"/>
  <c r="V13" i="23"/>
  <c r="U12" i="20"/>
  <c r="V12" i="20"/>
  <c r="W12" i="20"/>
  <c r="T15" i="25" l="1"/>
  <c r="W14" i="25"/>
  <c r="V14" i="25"/>
  <c r="U14" i="25"/>
  <c r="W15" i="25" l="1"/>
  <c r="V15" i="25"/>
  <c r="U15" i="25"/>
</calcChain>
</file>

<file path=xl/sharedStrings.xml><?xml version="1.0" encoding="utf-8"?>
<sst xmlns="http://schemas.openxmlformats.org/spreadsheetml/2006/main" count="1960" uniqueCount="212">
  <si>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</si>
  <si>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</si>
  <si>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</si>
  <si>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</si>
  <si>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</si>
  <si>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</si>
  <si>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</si>
  <si>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</si>
  <si>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</si>
  <si>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</si>
  <si>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</si>
  <si>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</si>
  <si>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</si>
  <si>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</si>
  <si>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</si>
  <si>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</si>
  <si>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</si>
  <si>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</si>
  <si>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</si>
  <si>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</si>
  <si>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</si>
  <si>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</si>
  <si>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</si>
  <si>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</si>
  <si>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</si>
  <si>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</si>
  <si>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</si>
  <si>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</si>
  <si>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</si>
  <si>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</si>
  <si>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</si>
  <si>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</si>
  <si>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</si>
  <si>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</si>
  <si>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</si>
  <si>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</si>
  <si>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</si>
  <si>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</si>
  <si>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</si>
  <si>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</si>
  <si>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</si>
  <si>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</si>
  <si>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</si>
  <si>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</si>
  <si>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</si>
  <si>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</si>
  <si>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</si>
  <si>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</si>
  <si>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</si>
  <si>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</si>
  <si>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</si>
  <si>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</si>
  <si>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</si>
  <si>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</si>
  <si>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</si>
  <si>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</si>
  <si>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</si>
  <si>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</si>
  <si>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</si>
  <si>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</si>
  <si>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</si>
  <si>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</si>
  <si>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</si>
  <si>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</si>
  <si>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</si>
  <si>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</si>
  <si>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</si>
  <si>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</si>
  <si>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</si>
  <si>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</si>
  <si>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</si>
  <si>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</si>
  <si>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</si>
  <si>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</si>
  <si>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</si>
  <si>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</si>
  <si>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</si>
  <si>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</si>
  <si>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</si>
  <si>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</si>
  <si>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</si>
  <si>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</si>
  <si>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</si>
  <si>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</si>
  <si>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</si>
  <si>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</si>
  <si>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</si>
  <si>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</si>
  <si>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</si>
  <si>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</si>
  <si>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</si>
  <si>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</si>
  <si>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</si>
  <si>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</si>
  <si>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</si>
  <si>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</si>
  <si>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</si>
  <si>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</si>
  <si>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</si>
  <si>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</si>
  <si>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</si>
  <si>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</si>
  <si>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</si>
  <si>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</si>
  <si>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</si>
  <si>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</si>
  <si>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</si>
  <si>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</si>
  <si>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</si>
  <si>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</si>
  <si>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</si>
  <si>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</si>
  <si>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</si>
  <si>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</si>
  <si>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</si>
  <si>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</si>
  <si>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</si>
  <si>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</si>
  <si>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</si>
  <si>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</si>
  <si>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</si>
  <si>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</si>
  <si>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</si>
  <si>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</si>
  <si>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</si>
  <si>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</si>
  <si>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</si>
  <si>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</si>
  <si>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</si>
  <si>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</si>
  <si>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</si>
  <si>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</si>
  <si>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</si>
  <si>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</si>
  <si>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</si>
  <si>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</si>
  <si>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</si>
  <si>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</si>
  <si>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</si>
  <si>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</si>
  <si>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</si>
  <si>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</si>
  <si>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</si>
  <si>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</si>
  <si>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</si>
  <si>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</si>
  <si>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</si>
  <si>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</si>
  <si>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</si>
  <si>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</si>
  <si>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</si>
  <si>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</si>
  <si>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</si>
  <si>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</si>
  <si>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</si>
  <si>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</si>
  <si>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</si>
  <si>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</si>
  <si>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</si>
  <si>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</si>
  <si>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</si>
  <si>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</si>
  <si>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</si>
  <si>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</si>
  <si>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</si>
  <si>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</si>
  <si>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</si>
  <si>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</si>
  <si>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</si>
  <si>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</si>
  <si>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</si>
  <si>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</si>
  <si>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</si>
  <si>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</si>
  <si>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</si>
  <si>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</si>
  <si>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</si>
  <si>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</si>
  <si>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</si>
  <si>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</si>
  <si>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</si>
  <si>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</si>
  <si>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</si>
  <si>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</si>
  <si>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</si>
  <si>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</si>
  <si>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</si>
  <si>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</si>
  <si>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</si>
  <si>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</si>
  <si>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</si>
  <si>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_</t>
    <phoneticPr fontId="1"/>
  </si>
  <si>
    <t>りくと</t>
    <phoneticPr fontId="1"/>
  </si>
  <si>
    <t>れんたろう</t>
  </si>
  <si>
    <t>れんたろう</t>
    <phoneticPr fontId="1"/>
  </si>
  <si>
    <t>だいち</t>
  </si>
  <si>
    <t>だいち</t>
    <phoneticPr fontId="1"/>
  </si>
  <si>
    <t>ロン</t>
  </si>
  <si>
    <t>放銃</t>
  </si>
  <si>
    <t>*</t>
  </si>
  <si>
    <t>01</t>
  </si>
  <si>
    <t>ツモ支払</t>
  </si>
  <si>
    <t>ツモ</t>
  </si>
  <si>
    <t>52</t>
  </si>
  <si>
    <t>N</t>
  </si>
  <si>
    <t>T</t>
  </si>
  <si>
    <t>流局</t>
    <phoneticPr fontId="1"/>
  </si>
  <si>
    <t>流局</t>
    <phoneticPr fontId="1"/>
  </si>
  <si>
    <t>02</t>
  </si>
  <si>
    <t>チョンボ</t>
  </si>
  <si>
    <t>りくと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</si>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</sst>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7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194</v>
      </c>
      <c r="L1" s="84"/>
      <c r="M1" s="84"/>
      <c r="N1" s="85"/>
      <c r="O1" s="86"/>
      <c r="P1" s="83" t="s">
        <v>196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れんたろう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197</v>
      </c>
      <c r="G4" s="9">
        <v>12000</v>
      </c>
      <c r="H4" s="9">
        <v>2000</v>
      </c>
      <c r="I4" s="48">
        <v>0</v>
      </c>
      <c r="J4" s="21">
        <f>IF(COUNTA($F4,$K4,$P4)&gt;0,J3+SUM(G4:I4),"")</f>
        <v>49000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198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IF($J4="","",ROUND(($J4-$J$3)/1000,1)+(_xlfn.RANK.AVG($J4,($J4,$O4,$T4),1)-2)*20)</f>
        <v>34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-33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200</v>
      </c>
      <c r="AF4" s="41" t="s">
        <v>86</v>
      </c>
      <c r="AG4" s="41" t="s">
        <v>79</v>
      </c>
      <c r="AH4" s="41" t="s">
        <v>79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201</v>
      </c>
      <c r="G5" s="9">
        <v>-5000</v>
      </c>
      <c r="H5" s="9"/>
      <c r="I5" s="48">
        <v>-500</v>
      </c>
      <c r="J5" s="21">
        <f t="shared" ref="J5:J30" si="2">IF(COUNTA($F5,$K5,$P5)&gt;0,J4+SUM(G5:I5),"")</f>
        <v>43500</v>
      </c>
      <c r="K5" s="8" t="s">
        <v>201</v>
      </c>
      <c r="L5" s="9">
        <v>-3000</v>
      </c>
      <c r="M5" s="9"/>
      <c r="N5" s="48">
        <v>-500</v>
      </c>
      <c r="O5" s="21">
        <f t="shared" ref="O5:O30" si="3">IF(COUNTA($F5,$K5,$P5)&gt;0,O4+SUM(L5:N5),"")</f>
        <v>30500</v>
      </c>
      <c r="P5" s="8" t="s">
        <v>202</v>
      </c>
      <c r="Q5" s="9">
        <v>8000</v>
      </c>
      <c r="R5" s="9"/>
      <c r="S5" s="48">
        <v>1000</v>
      </c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28.5</v>
      </c>
      <c r="V5" s="54">
        <f>IF($O5="","",ROUND(($O5-$O$3)/1000,1)+(_xlfn.RANK.AVG($O5,($J5,$O5,$T5),1)-2)*20)</f>
        <v>-24.5</v>
      </c>
      <c r="W5" s="55">
        <f>IF($T5="","",ROUND(($T5-$T$3)/1000,1)+(_xlfn.RANK.AVG($T5,($J5,$O5,$T5),1)-2)*20)</f>
        <v>-4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199</v>
      </c>
      <c r="BU5" s="40" t="s">
        <v>200</v>
      </c>
      <c r="BV5" s="41" t="s">
        <v>82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201</v>
      </c>
      <c r="G6" s="9">
        <v>-3000</v>
      </c>
      <c r="H6" s="9"/>
      <c r="I6" s="48">
        <v>0</v>
      </c>
      <c r="J6" s="21">
        <f t="shared" si="2"/>
        <v>40500</v>
      </c>
      <c r="K6" s="8" t="s">
        <v>202</v>
      </c>
      <c r="L6" s="9">
        <v>6000</v>
      </c>
      <c r="M6" s="9"/>
      <c r="N6" s="48">
        <v>0</v>
      </c>
      <c r="O6" s="21">
        <f t="shared" si="3"/>
        <v>36500</v>
      </c>
      <c r="P6" s="8" t="s">
        <v>201</v>
      </c>
      <c r="Q6" s="9">
        <v>-3000</v>
      </c>
      <c r="R6" s="9"/>
      <c r="S6" s="48">
        <v>0</v>
      </c>
      <c r="T6" s="21">
        <f t="shared" si="4"/>
        <v>28000</v>
      </c>
      <c r="U6" s="53">
        <f>IF($J6="","",ROUND(($J6-$J$3)/1000,1)+(_xlfn.RANK.AVG($J6,($J6,$O6,$T6),1)-2)*20)</f>
        <v>25.5</v>
      </c>
      <c r="V6" s="54">
        <f>IF($O6="","",ROUND(($O6-$O$3)/1000,1)+(_xlfn.RANK.AVG($O6,($J6,$O6,$T6),1)-2)*20)</f>
        <v>1.5</v>
      </c>
      <c r="W6" s="55">
        <f>IF($T6="","",ROUND(($T6-$T$3)/1000,1)+(_xlfn.RANK.AVG($T6,($J6,$O6,$T6),1)-2)*20)</f>
        <v>-27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30</v>
      </c>
      <c r="AZ6" s="40" t="s">
        <v>86</v>
      </c>
      <c r="BA6" s="41" t="s">
        <v>86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IF($K$1="","",$K$1)</f>
        <v>れんたろう</v>
      </c>
      <c r="F7" s="8" t="s">
        <v>197</v>
      </c>
      <c r="G7" s="9">
        <v>3900</v>
      </c>
      <c r="H7" s="9">
        <v>1000</v>
      </c>
      <c r="I7" s="48">
        <v>1000</v>
      </c>
      <c r="J7" s="21">
        <f t="shared" si="2"/>
        <v>46400</v>
      </c>
      <c r="K7" s="8" t="s">
        <v>198</v>
      </c>
      <c r="L7" s="9">
        <v>-3900</v>
      </c>
      <c r="M7" s="9">
        <v>-1000</v>
      </c>
      <c r="N7" s="48">
        <v>-1000</v>
      </c>
      <c r="O7" s="21">
        <f t="shared" si="3"/>
        <v>30600</v>
      </c>
      <c r="P7" s="8"/>
      <c r="Q7" s="9"/>
      <c r="R7" s="9"/>
      <c r="S7" s="48"/>
      <c r="T7" s="21">
        <f t="shared" si="4"/>
        <v>28000</v>
      </c>
      <c r="U7" s="53">
        <f>IF($J7="","",ROUND(($J7-$J$3)/1000,1)+(_xlfn.RANK.AVG($J7,($J7,$O7,$T7),1)-2)*20)</f>
        <v>31.4</v>
      </c>
      <c r="V7" s="54">
        <f>IF($O7="","",ROUND(($O7-$O$3)/1000,1)+(_xlfn.RANK.AVG($O7,($J7,$O7,$T7),1)-2)*20)</f>
        <v>-4.4000000000000004</v>
      </c>
      <c r="W7" s="55">
        <f>IF($T7="","",ROUND(($T7-$T$3)/1000,1)+(_xlfn.RANK.AVG($T7,($J7,$O7,$T7),1)-2)*20)</f>
        <v>-27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200</v>
      </c>
      <c r="AF7" s="41" t="s">
        <v>83</v>
      </c>
      <c r="AG7" s="41" t="s">
        <v>80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202</v>
      </c>
      <c r="G8" s="9">
        <v>5300</v>
      </c>
      <c r="H8" s="9"/>
      <c r="I8" s="48">
        <v>0</v>
      </c>
      <c r="J8" s="21">
        <f t="shared" si="2"/>
        <v>51700</v>
      </c>
      <c r="K8" s="8" t="s">
        <v>201</v>
      </c>
      <c r="L8" s="9">
        <v>-2000</v>
      </c>
      <c r="M8" s="9"/>
      <c r="N8" s="48">
        <v>0</v>
      </c>
      <c r="O8" s="21">
        <f t="shared" si="3"/>
        <v>28600</v>
      </c>
      <c r="P8" s="8" t="s">
        <v>201</v>
      </c>
      <c r="Q8" s="9">
        <v>-3300</v>
      </c>
      <c r="R8" s="9"/>
      <c r="S8" s="48">
        <v>0</v>
      </c>
      <c r="T8" s="21">
        <f t="shared" si="4"/>
        <v>24700</v>
      </c>
      <c r="U8" s="53">
        <f>IF($J8="","",ROUND(($J8-$J$3)/1000,1)+(_xlfn.RANK.AVG($J8,($J8,$O8,$T8),1)-2)*20)</f>
        <v>36.700000000000003</v>
      </c>
      <c r="V8" s="54">
        <f>IF($O8="","",ROUND(($O8-$O$3)/1000,1)+(_xlfn.RANK.AVG($O8,($J8,$O8,$T8),1)-2)*20)</f>
        <v>-6.4</v>
      </c>
      <c r="W8" s="55">
        <f>IF($T8="","",ROUND(($T8-$T$3)/1000,1)+(_xlfn.RANK.AVG($T8,($J8,$O8,$T8),1)-2)*20)</f>
        <v>-30.3</v>
      </c>
      <c r="Y8" s="8"/>
      <c r="Z8" s="34"/>
      <c r="AA8" s="26"/>
      <c r="AB8" s="26"/>
      <c r="AC8" s="26">
        <v>3</v>
      </c>
      <c r="AD8" s="30">
        <v>40</v>
      </c>
      <c r="AE8" s="40" t="s">
        <v>82</v>
      </c>
      <c r="AF8" s="41" t="s">
        <v>79</v>
      </c>
      <c r="AG8" s="41" t="s">
        <v>203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りくと</v>
      </c>
      <c r="F9" s="8"/>
      <c r="G9" s="9"/>
      <c r="H9" s="9"/>
      <c r="I9" s="48"/>
      <c r="J9" s="21">
        <f t="shared" si="2"/>
        <v>51700</v>
      </c>
      <c r="K9" s="8" t="s">
        <v>198</v>
      </c>
      <c r="L9" s="9">
        <v>-8000</v>
      </c>
      <c r="M9" s="9"/>
      <c r="N9" s="48">
        <v>0</v>
      </c>
      <c r="O9" s="21">
        <f t="shared" si="3"/>
        <v>20600</v>
      </c>
      <c r="P9" s="8" t="s">
        <v>197</v>
      </c>
      <c r="Q9" s="9">
        <v>8000</v>
      </c>
      <c r="R9" s="9"/>
      <c r="S9" s="48">
        <v>0</v>
      </c>
      <c r="T9" s="21">
        <f t="shared" si="4"/>
        <v>32700</v>
      </c>
      <c r="U9" s="53">
        <f>IF($J9="","",ROUND(($J9-$J$3)/1000,1)+(_xlfn.RANK.AVG($J9,($J9,$O9,$T9),1)-2)*20)</f>
        <v>36.700000000000003</v>
      </c>
      <c r="V9" s="54">
        <f>IF($O9="","",ROUND(($O9-$O$3)/1000,1)+(_xlfn.RANK.AVG($O9,($J9,$O9,$T9),1)-2)*20)</f>
        <v>-34.4</v>
      </c>
      <c r="W9" s="55">
        <f>IF($T9="","",ROUND(($T9-$T$3)/1000,1)+(_xlfn.RANK.AVG($T9,($J9,$O9,$T9),1)-2)*20)</f>
        <v>-2.2999999999999998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200</v>
      </c>
      <c r="BV9" s="41" t="s">
        <v>96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202</v>
      </c>
      <c r="G10" s="9">
        <v>2100</v>
      </c>
      <c r="H10" s="9"/>
      <c r="I10" s="48">
        <v>0</v>
      </c>
      <c r="J10" s="21">
        <f t="shared" si="2"/>
        <v>53800</v>
      </c>
      <c r="K10" s="8" t="s">
        <v>201</v>
      </c>
      <c r="L10" s="9">
        <v>-1300</v>
      </c>
      <c r="M10" s="9"/>
      <c r="N10" s="48">
        <v>0</v>
      </c>
      <c r="O10" s="21">
        <f t="shared" si="3"/>
        <v>19300</v>
      </c>
      <c r="P10" s="8" t="s">
        <v>201</v>
      </c>
      <c r="Q10" s="9">
        <v>-800</v>
      </c>
      <c r="R10" s="9"/>
      <c r="S10" s="48">
        <v>0</v>
      </c>
      <c r="T10" s="21">
        <f t="shared" si="4"/>
        <v>31900</v>
      </c>
      <c r="U10" s="53">
        <f>IF($J10="","",ROUND(($J10-$J$3)/1000,1)+(_xlfn.RANK.AVG($J10,($J10,$O10,$T10),1)-2)*20)</f>
        <v>38.799999999999997</v>
      </c>
      <c r="V10" s="54">
        <f>IF($O10="","",ROUND(($O10-$O$3)/1000,1)+(_xlfn.RANK.AVG($O10,($J10,$O10,$T10),1)-2)*20)</f>
        <v>-35.700000000000003</v>
      </c>
      <c r="W10" s="55">
        <f>IF($T10="","",ROUND(($T10-$T$3)/1000,1)+(_xlfn.RANK.AVG($T10,($J10,$O10,$T10),1)-2)*20)</f>
        <v>-3.1</v>
      </c>
      <c r="Y10" s="8"/>
      <c r="Z10" s="34"/>
      <c r="AA10" s="26"/>
      <c r="AB10" s="26"/>
      <c r="AC10" s="26">
        <v>2</v>
      </c>
      <c r="AD10" s="30">
        <v>30</v>
      </c>
      <c r="AE10" s="40" t="s">
        <v>82</v>
      </c>
      <c r="AF10" s="41" t="s">
        <v>79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206</v>
      </c>
      <c r="G11" s="9">
        <v>-1500</v>
      </c>
      <c r="H11" s="9"/>
      <c r="I11" s="48"/>
      <c r="J11" s="21">
        <f t="shared" si="2"/>
        <v>52300</v>
      </c>
      <c r="K11" s="8" t="s">
        <v>206</v>
      </c>
      <c r="L11" s="9">
        <v>-1500</v>
      </c>
      <c r="M11" s="9"/>
      <c r="N11" s="48"/>
      <c r="O11" s="21">
        <f t="shared" si="3"/>
        <v>17800</v>
      </c>
      <c r="P11" s="8" t="s">
        <v>206</v>
      </c>
      <c r="Q11" s="9">
        <v>3000</v>
      </c>
      <c r="R11" s="9">
        <v>-2000</v>
      </c>
      <c r="S11" s="48"/>
      <c r="T11" s="21">
        <f t="shared" si="4"/>
        <v>32900</v>
      </c>
      <c r="U11" s="53">
        <f>IF($J11="","",ROUND(($J11-$J$3)/1000,1)+(_xlfn.RANK.AVG($J11,($J11,$O11,$T11),1)-2)*20)</f>
        <v>37.299999999999997</v>
      </c>
      <c r="V11" s="54">
        <f>IF($O11="","",ROUND(($O11-$O$3)/1000,1)+(_xlfn.RANK.AVG($O11,($J11,$O11,$T11),1)-2)*20)</f>
        <v>-37.200000000000003</v>
      </c>
      <c r="W11" s="55">
        <f>IF($T11="","",ROUND(($T11-$T$3)/1000,1)+(_xlfn.RANK.AVG($T11,($J11,$O11,$T11),1)-2)*20)</f>
        <v>-2.1</v>
      </c>
      <c r="Y11" s="8" t="s">
        <v>204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204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2</v>
      </c>
      <c r="E12" s="4" t="str">
        <f>IF($P$1="","",$P$1)</f>
        <v>だいち</v>
      </c>
      <c r="F12" s="8" t="s">
        <v>198</v>
      </c>
      <c r="G12" s="9">
        <v>-12000</v>
      </c>
      <c r="H12" s="9"/>
      <c r="I12" s="48">
        <v>-1000</v>
      </c>
      <c r="J12" s="21">
        <f t="shared" si="2"/>
        <v>39300</v>
      </c>
      <c r="K12" s="8" t="s">
        <v>197</v>
      </c>
      <c r="L12" s="9">
        <v>12000</v>
      </c>
      <c r="M12" s="9">
        <v>3000</v>
      </c>
      <c r="N12" s="48">
        <v>1000</v>
      </c>
      <c r="O12" s="21">
        <f t="shared" si="3"/>
        <v>33800</v>
      </c>
      <c r="P12" s="8"/>
      <c r="Q12" s="9"/>
      <c r="R12" s="9">
        <v>-1000</v>
      </c>
      <c r="S12" s="48"/>
      <c r="T12" s="21">
        <f t="shared" si="4"/>
        <v>31900</v>
      </c>
      <c r="U12" s="53">
        <f>IF($J12="","",ROUND(($J12-$J$3)/1000,1)+(_xlfn.RANK.AVG($J12,($J12,$O12,$T12),1)-2)*20)</f>
        <v>24.3</v>
      </c>
      <c r="V12" s="54">
        <f>IF($O12="","",ROUND(($O12-$O$3)/1000,1)+(_xlfn.RANK.AVG($O12,($J12,$O12,$T12),1)-2)*20)</f>
        <v>-1.2</v>
      </c>
      <c r="W12" s="55">
        <f>IF($T12="","",ROUND(($T12-$T$3)/1000,1)+(_xlfn.RANK.AVG($T12,($J12,$O12,$T12),1)-2)*20)</f>
        <v>-23.1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6</v>
      </c>
      <c r="AY12" s="30" t="s">
        <v>199</v>
      </c>
      <c r="AZ12" s="40" t="s">
        <v>104</v>
      </c>
      <c r="BA12" s="41" t="s">
        <v>92</v>
      </c>
      <c r="BB12" s="41" t="s">
        <v>84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74" priority="5">
      <formula>IF(G4&lt;&gt;"",SUM($G4:$I4,$L4:$N4,$Q4:$S4)-$D4*1000+$D5*1000)</formula>
    </cfRule>
  </conditionalFormatting>
  <conditionalFormatting sqref="F1:G1 I1:L1 S1:T1 N1:Q1">
    <cfRule type="duplicateValues" dxfId="73" priority="4"/>
  </conditionalFormatting>
  <conditionalFormatting sqref="H1">
    <cfRule type="duplicateValues" dxfId="72" priority="3"/>
  </conditionalFormatting>
  <conditionalFormatting sqref="R1">
    <cfRule type="duplicateValues" dxfId="71" priority="2"/>
  </conditionalFormatting>
  <conditionalFormatting sqref="M1">
    <cfRule type="duplicateValues" dxfId="7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4D35765-FEAF-4BC0-A7DA-5CACC19CF63C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741-836D-4BC8-9239-6DB505E9367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194</v>
      </c>
      <c r="L1" s="84"/>
      <c r="M1" s="84"/>
      <c r="N1" s="85"/>
      <c r="O1" s="86"/>
      <c r="P1" s="83" t="s">
        <v>196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れんたろう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だいち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207</v>
      </c>
      <c r="G4" s="9">
        <v>1500</v>
      </c>
      <c r="H4" s="9">
        <v>-1000</v>
      </c>
      <c r="I4" s="48"/>
      <c r="J4" s="21">
        <f>IF(COUNTA($F4,$K4,$P4)&gt;0,J3+SUM(G4:I4),"")</f>
        <v>35500</v>
      </c>
      <c r="K4" s="8" t="s">
        <v>207</v>
      </c>
      <c r="L4" s="9">
        <v>1500</v>
      </c>
      <c r="M4" s="9">
        <v>-1000</v>
      </c>
      <c r="N4" s="48"/>
      <c r="O4" s="21">
        <f>IF(COUNTA($F4,$K4,$P4)&gt;0,O3+SUM(L4:N4),"")</f>
        <v>35500</v>
      </c>
      <c r="P4" s="8" t="s">
        <v>207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10.5</v>
      </c>
      <c r="V4" s="54">
        <f>IF($O4="","",ROUND(($O4-$O$3)/1000,1)+(_xlfn.RANK.AVG($O4,($J4,$O4,$T4),1)-2)*20)</f>
        <v>10.5</v>
      </c>
      <c r="W4" s="55">
        <f>IF($T4="","",ROUND(($T4-$T$3)/1000,1)+(_xlfn.RANK.AVG($T4,($J4,$O4,$T4),1)-2)*20)</f>
        <v>-23</v>
      </c>
      <c r="Y4" s="8" t="s">
        <v>205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205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tr">
        <f>IF($F$1="","",$F$1)</f>
        <v>りくと</v>
      </c>
      <c r="F5" s="8" t="s">
        <v>201</v>
      </c>
      <c r="G5" s="9">
        <v>-7500</v>
      </c>
      <c r="H5" s="9"/>
      <c r="I5" s="48">
        <v>-500</v>
      </c>
      <c r="J5" s="21">
        <f t="shared" ref="J5:J30" si="2">IF(COUNTA($F5,$K5,$P5)&gt;0,J4+SUM(G5:I5),"")</f>
        <v>27500</v>
      </c>
      <c r="K5" s="8" t="s">
        <v>202</v>
      </c>
      <c r="L5" s="9">
        <v>12000</v>
      </c>
      <c r="M5" s="9">
        <v>2000</v>
      </c>
      <c r="N5" s="48">
        <v>1000</v>
      </c>
      <c r="O5" s="21">
        <f t="shared" ref="O5:O30" si="3">IF(COUNTA($F5,$K5,$P5)&gt;0,O4+SUM(L5:N5),"")</f>
        <v>50500</v>
      </c>
      <c r="P5" s="8" t="s">
        <v>201</v>
      </c>
      <c r="Q5" s="9">
        <v>-4500</v>
      </c>
      <c r="R5" s="9"/>
      <c r="S5" s="48">
        <v>-500</v>
      </c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-7.5</v>
      </c>
      <c r="V5" s="54">
        <f>IF($O5="","",ROUND(($O5-$O$3)/1000,1)+(_xlfn.RANK.AVG($O5,($J5,$O5,$T5),1)-2)*20)</f>
        <v>35.5</v>
      </c>
      <c r="W5" s="55">
        <f>IF($T5="","",ROUND(($T5-$T$3)/1000,1)+(_xlfn.RANK.AVG($T5,($J5,$O5,$T5),1)-2)*20)</f>
        <v>-28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199</v>
      </c>
      <c r="AZ5" s="40" t="s">
        <v>200</v>
      </c>
      <c r="BA5" s="41" t="s">
        <v>82</v>
      </c>
      <c r="BB5" s="41" t="s">
        <v>84</v>
      </c>
      <c r="BC5" s="41" t="s">
        <v>203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れんたろう</v>
      </c>
      <c r="F6" s="8" t="s">
        <v>202</v>
      </c>
      <c r="G6" s="9">
        <v>5300</v>
      </c>
      <c r="H6" s="9"/>
      <c r="I6" s="48">
        <v>0</v>
      </c>
      <c r="J6" s="21">
        <f t="shared" si="2"/>
        <v>32800</v>
      </c>
      <c r="K6" s="8" t="s">
        <v>201</v>
      </c>
      <c r="L6" s="9">
        <v>-3300</v>
      </c>
      <c r="M6" s="9"/>
      <c r="N6" s="48">
        <v>0</v>
      </c>
      <c r="O6" s="21">
        <f t="shared" si="3"/>
        <v>47200</v>
      </c>
      <c r="P6" s="8" t="s">
        <v>201</v>
      </c>
      <c r="Q6" s="9">
        <v>-2000</v>
      </c>
      <c r="R6" s="9"/>
      <c r="S6" s="48">
        <v>0</v>
      </c>
      <c r="T6" s="21">
        <f t="shared" si="4"/>
        <v>25000</v>
      </c>
      <c r="U6" s="53">
        <f>IF($J6="","",ROUND(($J6-$J$3)/1000,1)+(_xlfn.RANK.AVG($J6,($J6,$O6,$T6),1)-2)*20)</f>
        <v>-2.2000000000000002</v>
      </c>
      <c r="V6" s="54">
        <f>IF($O6="","",ROUND(($O6-$O$3)/1000,1)+(_xlfn.RANK.AVG($O6,($J6,$O6,$T6),1)-2)*20)</f>
        <v>32.200000000000003</v>
      </c>
      <c r="W6" s="55">
        <f>IF($T6="","",ROUND(($T6-$T$3)/1000,1)+(_xlfn.RANK.AVG($T6,($J6,$O6,$T6),1)-2)*20)</f>
        <v>-30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91</v>
      </c>
      <c r="AF6" s="41" t="s">
        <v>82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201</v>
      </c>
      <c r="G7" s="9">
        <v>-6000</v>
      </c>
      <c r="H7" s="9"/>
      <c r="I7" s="48">
        <v>0</v>
      </c>
      <c r="J7" s="21">
        <f t="shared" si="2"/>
        <v>26800</v>
      </c>
      <c r="K7" s="8" t="s">
        <v>201</v>
      </c>
      <c r="L7" s="9">
        <v>-6000</v>
      </c>
      <c r="M7" s="9">
        <v>-1000</v>
      </c>
      <c r="N7" s="48">
        <v>0</v>
      </c>
      <c r="O7" s="21">
        <f t="shared" si="3"/>
        <v>40200</v>
      </c>
      <c r="P7" s="8" t="s">
        <v>202</v>
      </c>
      <c r="Q7" s="9">
        <v>12000</v>
      </c>
      <c r="R7" s="9">
        <v>1000</v>
      </c>
      <c r="S7" s="48">
        <v>0</v>
      </c>
      <c r="T7" s="21">
        <f t="shared" si="4"/>
        <v>38000</v>
      </c>
      <c r="U7" s="53">
        <f>IF($J7="","",ROUND(($J7-$J$3)/1000,1)+(_xlfn.RANK.AVG($J7,($J7,$O7,$T7),1)-2)*20)</f>
        <v>-28.2</v>
      </c>
      <c r="V7" s="54">
        <f>IF($O7="","",ROUND(($O7-$O$3)/1000,1)+(_xlfn.RANK.AVG($O7,($J7,$O7,$T7),1)-2)*20)</f>
        <v>25.2</v>
      </c>
      <c r="W7" s="55">
        <f>IF($T7="","",ROUND(($T7-$T$3)/1000,1)+(_xlfn.RANK.AVG($T7,($J7,$O7,$T7),1)-2)*20)</f>
        <v>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5</v>
      </c>
      <c r="BT7" s="30" t="s">
        <v>199</v>
      </c>
      <c r="BU7" s="40" t="s">
        <v>200</v>
      </c>
      <c r="BV7" s="41" t="s">
        <v>82</v>
      </c>
      <c r="BW7" s="41" t="s">
        <v>79</v>
      </c>
      <c r="BX7" s="41" t="s">
        <v>79</v>
      </c>
      <c r="BY7" s="41" t="s">
        <v>79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IF($P$1="","",$P$1)</f>
        <v>だいち</v>
      </c>
      <c r="F8" s="8" t="s">
        <v>201</v>
      </c>
      <c r="G8" s="9">
        <v>-9000</v>
      </c>
      <c r="H8" s="9"/>
      <c r="I8" s="48">
        <v>-500</v>
      </c>
      <c r="J8" s="21">
        <f t="shared" si="2"/>
        <v>17300</v>
      </c>
      <c r="K8" s="8" t="s">
        <v>201</v>
      </c>
      <c r="L8" s="9">
        <v>-9000</v>
      </c>
      <c r="M8" s="9"/>
      <c r="N8" s="48">
        <v>-500</v>
      </c>
      <c r="O8" s="21">
        <f t="shared" si="3"/>
        <v>30700</v>
      </c>
      <c r="P8" s="8" t="s">
        <v>202</v>
      </c>
      <c r="Q8" s="9">
        <v>18000</v>
      </c>
      <c r="R8" s="9"/>
      <c r="S8" s="48">
        <v>1000</v>
      </c>
      <c r="T8" s="21">
        <f t="shared" si="4"/>
        <v>57000</v>
      </c>
      <c r="U8" s="53">
        <f>IF($J8="","",ROUND(($J8-$J$3)/1000,1)+(_xlfn.RANK.AVG($J8,($J8,$O8,$T8),1)-2)*20)</f>
        <v>-37.700000000000003</v>
      </c>
      <c r="V8" s="54">
        <f>IF($O8="","",ROUND(($O8-$O$3)/1000,1)+(_xlfn.RANK.AVG($O8,($J8,$O8,$T8),1)-2)*20)</f>
        <v>-4.3</v>
      </c>
      <c r="W8" s="55">
        <f>IF($T8="","",ROUND(($T8-$T$3)/1000,1)+(_xlfn.RANK.AVG($T8,($J8,$O8,$T8),1)-2)*20)</f>
        <v>42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6</v>
      </c>
      <c r="BT8" s="30" t="s">
        <v>199</v>
      </c>
      <c r="BU8" s="40" t="s">
        <v>82</v>
      </c>
      <c r="BV8" s="41" t="s">
        <v>104</v>
      </c>
      <c r="BW8" s="41" t="s">
        <v>86</v>
      </c>
      <c r="BX8" s="41" t="s">
        <v>84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IF($P$1="","",$P$1)</f>
        <v>だいち</v>
      </c>
      <c r="F9" s="8" t="s">
        <v>201</v>
      </c>
      <c r="G9" s="9">
        <v>-3000</v>
      </c>
      <c r="H9" s="9">
        <v>-1000</v>
      </c>
      <c r="I9" s="48">
        <v>-1000</v>
      </c>
      <c r="J9" s="21">
        <f t="shared" si="2"/>
        <v>12300</v>
      </c>
      <c r="K9" s="8" t="s">
        <v>202</v>
      </c>
      <c r="L9" s="9">
        <v>8000</v>
      </c>
      <c r="M9" s="9">
        <v>3000</v>
      </c>
      <c r="N9" s="48">
        <v>2000</v>
      </c>
      <c r="O9" s="21">
        <f t="shared" si="3"/>
        <v>43700</v>
      </c>
      <c r="P9" s="8" t="s">
        <v>201</v>
      </c>
      <c r="Q9" s="9">
        <v>-5000</v>
      </c>
      <c r="R9" s="9">
        <v>-2000</v>
      </c>
      <c r="S9" s="48">
        <v>-1000</v>
      </c>
      <c r="T9" s="21">
        <f t="shared" si="4"/>
        <v>49000</v>
      </c>
      <c r="U9" s="53">
        <f>IF($J9="","",ROUND(($J9-$J$3)/1000,1)+(_xlfn.RANK.AVG($J9,($J9,$O9,$T9),1)-2)*20)</f>
        <v>-42.7</v>
      </c>
      <c r="V9" s="54">
        <f>IF($O9="","",ROUND(($O9-$O$3)/1000,1)+(_xlfn.RANK.AVG($O9,($J9,$O9,$T9),1)-2)*20)</f>
        <v>8.6999999999999993</v>
      </c>
      <c r="W9" s="55">
        <f>IF($T9="","",ROUND(($T9-$T$3)/1000,1)+(_xlfn.RANK.AVG($T9,($J9,$O9,$T9),1)-2)*20)</f>
        <v>34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200</v>
      </c>
      <c r="BA9" s="41" t="s">
        <v>82</v>
      </c>
      <c r="BB9" s="41" t="s">
        <v>92</v>
      </c>
      <c r="BC9" s="41" t="s">
        <v>203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IF($F$1="","",$F$1)</f>
        <v>りくと</v>
      </c>
      <c r="F10" s="8" t="s">
        <v>201</v>
      </c>
      <c r="G10" s="9">
        <v>-4800</v>
      </c>
      <c r="H10" s="9">
        <v>-1000</v>
      </c>
      <c r="I10" s="48">
        <v>0</v>
      </c>
      <c r="J10" s="21">
        <f t="shared" si="2"/>
        <v>6500</v>
      </c>
      <c r="K10" s="8" t="s">
        <v>201</v>
      </c>
      <c r="L10" s="9">
        <v>-2900</v>
      </c>
      <c r="M10" s="9"/>
      <c r="N10" s="48">
        <v>0</v>
      </c>
      <c r="O10" s="21">
        <f t="shared" si="3"/>
        <v>40800</v>
      </c>
      <c r="P10" s="8" t="s">
        <v>202</v>
      </c>
      <c r="Q10" s="9">
        <v>7700</v>
      </c>
      <c r="R10" s="9">
        <v>1000</v>
      </c>
      <c r="S10" s="48">
        <v>0</v>
      </c>
      <c r="T10" s="21">
        <f t="shared" si="4"/>
        <v>57700</v>
      </c>
      <c r="U10" s="53">
        <f>IF($J10="","",ROUND(($J10-$J$3)/1000,1)+(_xlfn.RANK.AVG($J10,($J10,$O10,$T10),1)-2)*20)</f>
        <v>-48.5</v>
      </c>
      <c r="V10" s="54">
        <f>IF($O10="","",ROUND(($O10-$O$3)/1000,1)+(_xlfn.RANK.AVG($O10,($J10,$O10,$T10),1)-2)*20)</f>
        <v>5.8</v>
      </c>
      <c r="W10" s="55">
        <f>IF($T10="","",ROUND(($T10-$T$3)/1000,1)+(_xlfn.RANK.AVG($T10,($J10,$O10,$T10),1)-2)*20)</f>
        <v>42.7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200</v>
      </c>
      <c r="BV10" s="41" t="s">
        <v>82</v>
      </c>
      <c r="BW10" s="41" t="s">
        <v>208</v>
      </c>
      <c r="BX10" s="41" t="s">
        <v>203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IF($K$1="","",$K$1)</f>
        <v>れんたろう</v>
      </c>
      <c r="F11" s="8" t="s">
        <v>197</v>
      </c>
      <c r="G11" s="9">
        <v>12000</v>
      </c>
      <c r="H11" s="9">
        <v>1000</v>
      </c>
      <c r="I11" s="48">
        <v>0</v>
      </c>
      <c r="J11" s="21">
        <f t="shared" si="2"/>
        <v>19500</v>
      </c>
      <c r="K11" s="8"/>
      <c r="L11" s="9"/>
      <c r="M11" s="9"/>
      <c r="N11" s="48"/>
      <c r="O11" s="21">
        <f t="shared" si="3"/>
        <v>40800</v>
      </c>
      <c r="P11" s="8" t="s">
        <v>198</v>
      </c>
      <c r="Q11" s="9">
        <v>-12000</v>
      </c>
      <c r="R11" s="9">
        <v>-1000</v>
      </c>
      <c r="S11" s="48">
        <v>0</v>
      </c>
      <c r="T11" s="21">
        <f t="shared" si="4"/>
        <v>44700</v>
      </c>
      <c r="U11" s="53">
        <f>IF($J11="","",ROUND(($J11-$J$3)/1000,1)+(_xlfn.RANK.AVG($J11,($J11,$O11,$T11),1)-2)*20)</f>
        <v>-35.5</v>
      </c>
      <c r="V11" s="54">
        <f>IF($O11="","",ROUND(($O11-$O$3)/1000,1)+(_xlfn.RANK.AVG($O11,($J11,$O11,$T11),1)-2)*20)</f>
        <v>5.8</v>
      </c>
      <c r="W11" s="55">
        <f>IF($T11="","",ROUND(($T11-$T$3)/1000,1)+(_xlfn.RANK.AVG($T11,($J11,$O11,$T11),1)-2)*20)</f>
        <v>29.7</v>
      </c>
      <c r="Y11" s="8"/>
      <c r="Z11" s="34"/>
      <c r="AA11" s="26">
        <v>1</v>
      </c>
      <c r="AB11" s="26"/>
      <c r="AC11" s="26">
        <v>6</v>
      </c>
      <c r="AD11" s="30" t="s">
        <v>199</v>
      </c>
      <c r="AE11" s="40" t="s">
        <v>200</v>
      </c>
      <c r="AF11" s="41" t="s">
        <v>104</v>
      </c>
      <c r="AG11" s="41" t="s">
        <v>86</v>
      </c>
      <c r="AH11" s="41" t="s">
        <v>86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69" priority="5">
      <formula>IF(G4&lt;&gt;"",SUM($G4:$I4,$L4:$N4,$Q4:$S4)-$D4*1000+$D5*1000)</formula>
    </cfRule>
  </conditionalFormatting>
  <conditionalFormatting sqref="F1:G1 I1:L1 S1:T1 N1:Q1">
    <cfRule type="duplicateValues" dxfId="68" priority="4"/>
  </conditionalFormatting>
  <conditionalFormatting sqref="H1">
    <cfRule type="duplicateValues" dxfId="67" priority="3"/>
  </conditionalFormatting>
  <conditionalFormatting sqref="R1">
    <cfRule type="duplicateValues" dxfId="66" priority="2"/>
  </conditionalFormatting>
  <conditionalFormatting sqref="M1">
    <cfRule type="duplicateValues" dxfId="65" priority="1"/>
  </conditionalFormatting>
  <dataValidations count="3">
    <dataValidation type="list" showInputMessage="1" showErrorMessage="1" sqref="K4:K30 P4:P30 F4:F30" xr:uid="{6CB01C86-DAEE-4ABC-9408-DAB902863E00}">
      <formula1>"ロン,ツモ,放銃,ツモ支払,流局,チョンボ"</formula1>
    </dataValidation>
    <dataValidation type="list" allowBlank="1" showInputMessage="1" showErrorMessage="1" sqref="E4:E30" xr:uid="{0B7C7222-0249-4643-A98B-A61C4C4F8798}">
      <formula1>$U$2:$W$2</formula1>
    </dataValidation>
    <dataValidation type="list" allowBlank="1" showInputMessage="1" sqref="F1:T1" xr:uid="{7D6A9C58-E7BB-4C83-A2A8-4D380D8A0A64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960AF-721A-498D-B7B9-92CCEB47FFCE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-5200</v>
      </c>
      <c r="H4" s="9"/>
      <c r="I4" s="48">
        <v>0</v>
      </c>
      <c r="J4" s="21">
        <f>IF(COUNTA($F4,$K4,$P4)&gt;0,J3+SUM(G4:I4),"")</f>
        <v>29800</v>
      </c>
      <c r="K4" s="8" t="s">
        <v>197</v>
      </c>
      <c r="L4" s="9">
        <v>5200</v>
      </c>
      <c r="M4" s="9">
        <v>1000</v>
      </c>
      <c r="N4" s="48">
        <v>0</v>
      </c>
      <c r="O4" s="21">
        <f>IF(COUNTA($F4,$K4,$P4)&gt;0,O3+SUM(L4:N4),"")</f>
        <v>41200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IF($J4="","",ROUND(($J4-$J$3)/1000,1)+(_xlfn.RANK.AVG($J4,($J4,$O4,$T4),1)-2)*20)</f>
        <v>-25.2</v>
      </c>
      <c r="V4" s="54">
        <f>IF($O4="","",ROUND(($O4-$O$3)/1000,1)+(_xlfn.RANK.AVG($O4,($J4,$O4,$T4),1)-2)*20)</f>
        <v>26.2</v>
      </c>
      <c r="W4" s="55">
        <f>IF($T4="","",ROUND(($T4-$T$3)/1000,1)+(_xlfn.RANK.AVG($T4,($J4,$O4,$T4),1)-2)*20)</f>
        <v>-1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40</v>
      </c>
      <c r="AZ4" s="40" t="s">
        <v>86</v>
      </c>
      <c r="BA4" s="41" t="s">
        <v>98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202</v>
      </c>
      <c r="G5" s="9">
        <v>7800</v>
      </c>
      <c r="H5" s="9">
        <v>1000</v>
      </c>
      <c r="I5" s="48">
        <v>0</v>
      </c>
      <c r="J5" s="21">
        <f t="shared" ref="J5:J30" si="2">IF(COUNTA($F5,$K5,$P5)&gt;0,J4+SUM(G5:I5),"")</f>
        <v>38600</v>
      </c>
      <c r="K5" s="8" t="s">
        <v>201</v>
      </c>
      <c r="L5" s="9">
        <v>-3900</v>
      </c>
      <c r="M5" s="9">
        <v>-1000</v>
      </c>
      <c r="N5" s="48">
        <v>0</v>
      </c>
      <c r="O5" s="21">
        <f t="shared" ref="O5:O30" si="3">IF(COUNTA($F5,$K5,$P5)&gt;0,O4+SUM(L5:N5),"")</f>
        <v>36300</v>
      </c>
      <c r="P5" s="8" t="s">
        <v>201</v>
      </c>
      <c r="Q5" s="9">
        <v>-3900</v>
      </c>
      <c r="R5" s="9"/>
      <c r="S5" s="48">
        <v>0</v>
      </c>
      <c r="T5" s="21">
        <f t="shared" ref="T5:T30" si="4">IF(COUNTA($F5,$K5,$P5)&gt;0,T4+SUM(Q5:S5),"")</f>
        <v>30100</v>
      </c>
      <c r="U5" s="53">
        <f>IF($J5="","",ROUND(($J5-$J$3)/1000,1)+(_xlfn.RANK.AVG($J5,($J5,$O5,$T5),1)-2)*20)</f>
        <v>23.6</v>
      </c>
      <c r="V5" s="54">
        <f>IF($O5="","",ROUND(($O5-$O$3)/1000,1)+(_xlfn.RANK.AVG($O5,($J5,$O5,$T5),1)-2)*20)</f>
        <v>1.3</v>
      </c>
      <c r="W5" s="55">
        <f>IF($T5="","",ROUND(($T5-$T$3)/1000,1)+(_xlfn.RANK.AVG($T5,($J5,$O5,$T5),1)-2)*20)</f>
        <v>-24.9</v>
      </c>
      <c r="Y5" s="8"/>
      <c r="Z5" s="34"/>
      <c r="AA5" s="26">
        <v>1</v>
      </c>
      <c r="AB5" s="26"/>
      <c r="AC5" s="26">
        <v>4</v>
      </c>
      <c r="AD5" s="30">
        <v>20</v>
      </c>
      <c r="AE5" s="40" t="s">
        <v>200</v>
      </c>
      <c r="AF5" s="41" t="s">
        <v>82</v>
      </c>
      <c r="AG5" s="41" t="s">
        <v>83</v>
      </c>
      <c r="AH5" s="41" t="s">
        <v>208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りくと</v>
      </c>
      <c r="F6" s="8" t="s">
        <v>201</v>
      </c>
      <c r="G6" s="9">
        <v>-3300</v>
      </c>
      <c r="H6" s="9">
        <v>-1000</v>
      </c>
      <c r="I6" s="48">
        <v>-500</v>
      </c>
      <c r="J6" s="21">
        <f t="shared" si="2"/>
        <v>33800</v>
      </c>
      <c r="K6" s="8" t="s">
        <v>201</v>
      </c>
      <c r="L6" s="9">
        <v>-2000</v>
      </c>
      <c r="M6" s="9"/>
      <c r="N6" s="48">
        <v>-500</v>
      </c>
      <c r="O6" s="21">
        <f t="shared" si="3"/>
        <v>33800</v>
      </c>
      <c r="P6" s="8" t="s">
        <v>202</v>
      </c>
      <c r="Q6" s="9">
        <v>5300</v>
      </c>
      <c r="R6" s="9">
        <v>1000</v>
      </c>
      <c r="S6" s="48">
        <v>1000</v>
      </c>
      <c r="T6" s="21">
        <f t="shared" si="4"/>
        <v>37400</v>
      </c>
      <c r="U6" s="53">
        <f>IF($J6="","",ROUND(($J6-$J$3)/1000,1)+(_xlfn.RANK.AVG($J6,($J6,$O6,$T6),1)-2)*20)</f>
        <v>-11.2</v>
      </c>
      <c r="V6" s="54">
        <f>IF($O6="","",ROUND(($O6-$O$3)/1000,1)+(_xlfn.RANK.AVG($O6,($J6,$O6,$T6),1)-2)*20)</f>
        <v>-11.2</v>
      </c>
      <c r="W6" s="55">
        <f>IF($T6="","",ROUND(($T6-$T$3)/1000,1)+(_xlfn.RANK.AVG($T6,($J6,$O6,$T6),1)-2)*20)</f>
        <v>22.4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40</v>
      </c>
      <c r="BU6" s="40" t="s">
        <v>104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だいち</v>
      </c>
      <c r="F7" s="8" t="s">
        <v>201</v>
      </c>
      <c r="G7" s="9">
        <v>-4500</v>
      </c>
      <c r="H7" s="9"/>
      <c r="I7" s="48">
        <v>0</v>
      </c>
      <c r="J7" s="21">
        <f t="shared" si="2"/>
        <v>29300</v>
      </c>
      <c r="K7" s="8" t="s">
        <v>201</v>
      </c>
      <c r="L7" s="9">
        <v>-7500</v>
      </c>
      <c r="M7" s="9"/>
      <c r="N7" s="48">
        <v>0</v>
      </c>
      <c r="O7" s="21">
        <f t="shared" si="3"/>
        <v>26300</v>
      </c>
      <c r="P7" s="8" t="s">
        <v>202</v>
      </c>
      <c r="Q7" s="9">
        <v>12000</v>
      </c>
      <c r="R7" s="9"/>
      <c r="S7" s="48">
        <v>0</v>
      </c>
      <c r="T7" s="21">
        <f t="shared" si="4"/>
        <v>49400</v>
      </c>
      <c r="U7" s="53">
        <f>IF($J7="","",ROUND(($J7-$J$3)/1000,1)+(_xlfn.RANK.AVG($J7,($J7,$O7,$T7),1)-2)*20)</f>
        <v>-5.7</v>
      </c>
      <c r="V7" s="54">
        <f>IF($O7="","",ROUND(($O7-$O$3)/1000,1)+(_xlfn.RANK.AVG($O7,($J7,$O7,$T7),1)-2)*20)</f>
        <v>-28.7</v>
      </c>
      <c r="W7" s="55">
        <f>IF($T7="","",ROUND(($T7-$T$3)/1000,1)+(_xlfn.RANK.AVG($T7,($J7,$O7,$T7),1)-2)*20)</f>
        <v>34.4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199</v>
      </c>
      <c r="BU7" s="40" t="s">
        <v>200</v>
      </c>
      <c r="BV7" s="41" t="s">
        <v>82</v>
      </c>
      <c r="BW7" s="41" t="s">
        <v>85</v>
      </c>
      <c r="BX7" s="41" t="s">
        <v>203</v>
      </c>
      <c r="BY7" s="41" t="s">
        <v>80</v>
      </c>
      <c r="BZ7" s="41" t="s">
        <v>80</v>
      </c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/>
      <c r="G8" s="9"/>
      <c r="H8" s="9"/>
      <c r="I8" s="48"/>
      <c r="J8" s="21">
        <f t="shared" si="2"/>
        <v>29300</v>
      </c>
      <c r="K8" s="8" t="s">
        <v>197</v>
      </c>
      <c r="L8" s="9">
        <v>1300</v>
      </c>
      <c r="M8" s="9"/>
      <c r="N8" s="48">
        <v>0</v>
      </c>
      <c r="O8" s="21">
        <f t="shared" si="3"/>
        <v>27600</v>
      </c>
      <c r="P8" s="8" t="s">
        <v>198</v>
      </c>
      <c r="Q8" s="9">
        <v>-1300</v>
      </c>
      <c r="R8" s="9"/>
      <c r="S8" s="48">
        <v>0</v>
      </c>
      <c r="T8" s="21">
        <f t="shared" si="4"/>
        <v>48100</v>
      </c>
      <c r="U8" s="53">
        <f>IF($J8="","",ROUND(($J8-$J$3)/1000,1)+(_xlfn.RANK.AVG($J8,($J8,$O8,$T8),1)-2)*20)</f>
        <v>-5.7</v>
      </c>
      <c r="V8" s="54">
        <f>IF($O8="","",ROUND(($O8-$O$3)/1000,1)+(_xlfn.RANK.AVG($O8,($J8,$O8,$T8),1)-2)*20)</f>
        <v>-27.4</v>
      </c>
      <c r="W8" s="55">
        <f>IF($T8="","",ROUND(($T8-$T$3)/1000,1)+(_xlfn.RANK.AVG($T8,($J8,$O8,$T8),1)-2)*20)</f>
        <v>33.1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40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IF($F$1="","",$F$1)</f>
        <v>りくと</v>
      </c>
      <c r="F9" s="8" t="s">
        <v>201</v>
      </c>
      <c r="G9" s="9">
        <v>-4800</v>
      </c>
      <c r="H9" s="9"/>
      <c r="I9" s="48">
        <v>0</v>
      </c>
      <c r="J9" s="21">
        <f t="shared" si="2"/>
        <v>24500</v>
      </c>
      <c r="K9" s="8" t="s">
        <v>202</v>
      </c>
      <c r="L9" s="9">
        <v>7700</v>
      </c>
      <c r="M9" s="9">
        <v>1000</v>
      </c>
      <c r="N9" s="48">
        <v>0</v>
      </c>
      <c r="O9" s="21">
        <f t="shared" si="3"/>
        <v>36300</v>
      </c>
      <c r="P9" s="8" t="s">
        <v>201</v>
      </c>
      <c r="Q9" s="9">
        <v>-2900</v>
      </c>
      <c r="R9" s="9">
        <v>-1000</v>
      </c>
      <c r="S9" s="48">
        <v>0</v>
      </c>
      <c r="T9" s="21">
        <f t="shared" si="4"/>
        <v>44200</v>
      </c>
      <c r="U9" s="53">
        <f>IF($J9="","",ROUND(($J9-$J$3)/1000,1)+(_xlfn.RANK.AVG($J9,($J9,$O9,$T9),1)-2)*20)</f>
        <v>-30.5</v>
      </c>
      <c r="V9" s="54">
        <f>IF($O9="","",ROUND(($O9-$O$3)/1000,1)+(_xlfn.RANK.AVG($O9,($J9,$O9,$T9),1)-2)*20)</f>
        <v>1.3</v>
      </c>
      <c r="W9" s="55">
        <f>IF($T9="","",ROUND(($T9-$T$3)/1000,1)+(_xlfn.RANK.AVG($T9,($J9,$O9,$T9),1)-2)*20)</f>
        <v>29.2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104</v>
      </c>
      <c r="BA9" s="41" t="s">
        <v>86</v>
      </c>
      <c r="BB9" s="41" t="s">
        <v>203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198</v>
      </c>
      <c r="G10" s="9">
        <v>-11600</v>
      </c>
      <c r="H10" s="9"/>
      <c r="I10" s="48">
        <v>0</v>
      </c>
      <c r="J10" s="21">
        <f t="shared" si="2"/>
        <v>12900</v>
      </c>
      <c r="K10" s="8" t="s">
        <v>197</v>
      </c>
      <c r="L10" s="9">
        <v>11600</v>
      </c>
      <c r="M10" s="9"/>
      <c r="N10" s="48">
        <v>0</v>
      </c>
      <c r="O10" s="21">
        <f t="shared" si="3"/>
        <v>47900</v>
      </c>
      <c r="P10" s="8"/>
      <c r="Q10" s="9"/>
      <c r="R10" s="9"/>
      <c r="S10" s="48"/>
      <c r="T10" s="21">
        <f t="shared" si="4"/>
        <v>44200</v>
      </c>
      <c r="U10" s="53">
        <f>IF($J10="","",ROUND(($J10-$J$3)/1000,1)+(_xlfn.RANK.AVG($J10,($J10,$O10,$T10),1)-2)*20)</f>
        <v>-42.1</v>
      </c>
      <c r="V10" s="54">
        <f>IF($O10="","",ROUND(($O10-$O$3)/1000,1)+(_xlfn.RANK.AVG($O10,($J10,$O10,$T10),1)-2)*20)</f>
        <v>32.9</v>
      </c>
      <c r="W10" s="55">
        <f>IF($T10="","",ROUND(($T10-$T$3)/1000,1)+(_xlfn.RANK.AVG($T10,($J10,$O10,$T10),1)-2)*20)</f>
        <v>9.1999999999999993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86</v>
      </c>
      <c r="BA10" s="41" t="s">
        <v>203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64" priority="5">
      <formula>IF(G4&lt;&gt;"",SUM($G4:$I4,$L4:$N4,$Q4:$S4)-$D4*1000+$D5*1000)</formula>
    </cfRule>
  </conditionalFormatting>
  <conditionalFormatting sqref="F1:G1 I1:L1 S1:T1 N1:Q1">
    <cfRule type="duplicateValues" dxfId="63" priority="4"/>
  </conditionalFormatting>
  <conditionalFormatting sqref="H1">
    <cfRule type="duplicateValues" dxfId="62" priority="3"/>
  </conditionalFormatting>
  <conditionalFormatting sqref="R1">
    <cfRule type="duplicateValues" dxfId="61" priority="2"/>
  </conditionalFormatting>
  <conditionalFormatting sqref="M1">
    <cfRule type="duplicateValues" dxfId="60" priority="1"/>
  </conditionalFormatting>
  <dataValidations count="3">
    <dataValidation type="list" allowBlank="1" showInputMessage="1" sqref="F1:T1" xr:uid="{721E513B-F8D9-47C4-BA6B-1E47BE884E68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allowBlank="1" showInputMessage="1" showErrorMessage="1" sqref="E4:E30" xr:uid="{A38723C2-BE24-483D-910C-27876BE6CF57}">
      <formula1>$U$2:$W$2</formula1>
    </dataValidation>
    <dataValidation type="list" showInputMessage="1" showErrorMessage="1" sqref="K4:K30 P4:P30 F4:F30" xr:uid="{C3B59D2C-46BF-464B-BBD9-B98918026C1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2F28B-C7CE-4F00-8675-F56F516E6C0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202</v>
      </c>
      <c r="G4" s="9">
        <v>5300</v>
      </c>
      <c r="H4" s="9">
        <v>2000</v>
      </c>
      <c r="I4" s="48">
        <v>0</v>
      </c>
      <c r="J4" s="21">
        <f>IF(COUNTA($F4,$K4,$P4)&gt;0,J3+SUM(G4:I4),"")</f>
        <v>42300</v>
      </c>
      <c r="K4" s="8" t="s">
        <v>201</v>
      </c>
      <c r="L4" s="9">
        <v>-3300</v>
      </c>
      <c r="M4" s="9"/>
      <c r="N4" s="48">
        <v>0</v>
      </c>
      <c r="O4" s="21">
        <f>IF(COUNTA($F4,$K4,$P4)&gt;0,O3+SUM(L4:N4),"")</f>
        <v>31700</v>
      </c>
      <c r="P4" s="8" t="s">
        <v>201</v>
      </c>
      <c r="Q4" s="9">
        <v>-2000</v>
      </c>
      <c r="R4" s="9">
        <v>-2000</v>
      </c>
      <c r="S4" s="48">
        <v>0</v>
      </c>
      <c r="T4" s="21">
        <f>IF(COUNTA($F4,$K4,$P4)&gt;0,T3+SUM(Q4:S4),"")</f>
        <v>31000</v>
      </c>
      <c r="U4" s="53">
        <f>IF($J4="","",ROUND(($J4-$J$3)/1000,1)+(_xlfn.RANK.AVG($J4,($J4,$O4,$T4),1)-2)*20)</f>
        <v>27.3</v>
      </c>
      <c r="V4" s="54">
        <f>IF($O4="","",ROUND(($O4-$O$3)/1000,1)+(_xlfn.RANK.AVG($O4,($J4,$O4,$T4),1)-2)*20)</f>
        <v>-3.3</v>
      </c>
      <c r="W4" s="55">
        <f>IF($T4="","",ROUND(($T4-$T$3)/1000,1)+(_xlfn.RANK.AVG($T4,($J4,$O4,$T4),1)-2)*20)</f>
        <v>-24</v>
      </c>
      <c r="Y4" s="8"/>
      <c r="Z4" s="34"/>
      <c r="AA4" s="26">
        <v>1</v>
      </c>
      <c r="AB4" s="26"/>
      <c r="AC4" s="26">
        <v>4</v>
      </c>
      <c r="AD4" s="30">
        <v>20</v>
      </c>
      <c r="AE4" s="40" t="s">
        <v>200</v>
      </c>
      <c r="AF4" s="41" t="s">
        <v>82</v>
      </c>
      <c r="AG4" s="41" t="s">
        <v>208</v>
      </c>
      <c r="AH4" s="41" t="s">
        <v>83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198</v>
      </c>
      <c r="G5" s="9">
        <v>-12000</v>
      </c>
      <c r="H5" s="9"/>
      <c r="I5" s="48">
        <v>0</v>
      </c>
      <c r="J5" s="21">
        <f t="shared" ref="J5:J30" si="2">IF(COUNTA($F5,$K5,$P5)&gt;0,J4+SUM(G5:I5),"")</f>
        <v>30300</v>
      </c>
      <c r="K5" s="8"/>
      <c r="L5" s="9"/>
      <c r="M5" s="9"/>
      <c r="N5" s="48"/>
      <c r="O5" s="21">
        <f t="shared" ref="O5:O30" si="3">IF(COUNTA($F5,$K5,$P5)&gt;0,O4+SUM(L5:N5),"")</f>
        <v>31700</v>
      </c>
      <c r="P5" s="8" t="s">
        <v>197</v>
      </c>
      <c r="Q5" s="9">
        <v>12000</v>
      </c>
      <c r="R5" s="9"/>
      <c r="S5" s="48">
        <v>0</v>
      </c>
      <c r="T5" s="21">
        <f t="shared" ref="T5:T30" si="4">IF(COUNTA($F5,$K5,$P5)&gt;0,T4+SUM(Q5:S5),"")</f>
        <v>43000</v>
      </c>
      <c r="U5" s="53">
        <f>IF($J5="","",ROUND(($J5-$J$3)/1000,1)+(_xlfn.RANK.AVG($J5,($J5,$O5,$T5),1)-2)*20)</f>
        <v>-24.7</v>
      </c>
      <c r="V5" s="54">
        <f>IF($O5="","",ROUND(($O5-$O$3)/1000,1)+(_xlfn.RANK.AVG($O5,($J5,$O5,$T5),1)-2)*20)</f>
        <v>-3.3</v>
      </c>
      <c r="W5" s="55">
        <f>IF($T5="","",ROUND(($T5-$T$3)/1000,1)+(_xlfn.RANK.AVG($T5,($J5,$O5,$T5),1)-2)*20)</f>
        <v>28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200</v>
      </c>
      <c r="BV5" s="41" t="s">
        <v>79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IF($P$1="","",$P$1)</f>
        <v>れんたろう</v>
      </c>
      <c r="F6" s="8" t="s">
        <v>197</v>
      </c>
      <c r="G6" s="9">
        <v>3200</v>
      </c>
      <c r="H6" s="9"/>
      <c r="I6" s="48">
        <v>1000</v>
      </c>
      <c r="J6" s="21">
        <f t="shared" si="2"/>
        <v>34500</v>
      </c>
      <c r="K6" s="8"/>
      <c r="L6" s="9"/>
      <c r="M6" s="9"/>
      <c r="N6" s="48"/>
      <c r="O6" s="21">
        <f t="shared" si="3"/>
        <v>31700</v>
      </c>
      <c r="P6" s="8" t="s">
        <v>198</v>
      </c>
      <c r="Q6" s="9">
        <v>-3200</v>
      </c>
      <c r="R6" s="9"/>
      <c r="S6" s="48">
        <v>-1000</v>
      </c>
      <c r="T6" s="21">
        <f t="shared" si="4"/>
        <v>38800</v>
      </c>
      <c r="U6" s="53">
        <f>IF($J6="","",ROUND(($J6-$J$3)/1000,1)+(_xlfn.RANK.AVG($J6,($J6,$O6,$T6),1)-2)*20)</f>
        <v>-0.5</v>
      </c>
      <c r="V6" s="54">
        <f>IF($O6="","",ROUND(($O6-$O$3)/1000,1)+(_xlfn.RANK.AVG($O6,($J6,$O6,$T6),1)-2)*20)</f>
        <v>-23.3</v>
      </c>
      <c r="W6" s="55">
        <f>IF($T6="","",ROUND(($T6-$T$3)/1000,1)+(_xlfn.RANK.AVG($T6,($J6,$O6,$T6),1)-2)*20)</f>
        <v>23.8</v>
      </c>
      <c r="Y6" s="8"/>
      <c r="Z6" s="34"/>
      <c r="AA6" s="26">
        <v>1</v>
      </c>
      <c r="AB6" s="26"/>
      <c r="AC6" s="26">
        <v>2</v>
      </c>
      <c r="AD6" s="30">
        <v>50</v>
      </c>
      <c r="AE6" s="40" t="s">
        <v>200</v>
      </c>
      <c r="AF6" s="41" t="s">
        <v>86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 t="s">
        <v>202</v>
      </c>
      <c r="G7" s="9">
        <v>18000</v>
      </c>
      <c r="H7" s="9">
        <v>1000</v>
      </c>
      <c r="I7" s="48">
        <v>0</v>
      </c>
      <c r="J7" s="21">
        <f t="shared" si="2"/>
        <v>53500</v>
      </c>
      <c r="K7" s="8" t="s">
        <v>201</v>
      </c>
      <c r="L7" s="9">
        <v>-9000</v>
      </c>
      <c r="M7" s="9"/>
      <c r="N7" s="48">
        <v>0</v>
      </c>
      <c r="O7" s="21">
        <f t="shared" si="3"/>
        <v>22700</v>
      </c>
      <c r="P7" s="8" t="s">
        <v>201</v>
      </c>
      <c r="Q7" s="9">
        <v>-9000</v>
      </c>
      <c r="R7" s="9">
        <v>-1000</v>
      </c>
      <c r="S7" s="48">
        <v>0</v>
      </c>
      <c r="T7" s="21">
        <f t="shared" si="4"/>
        <v>28800</v>
      </c>
      <c r="U7" s="53">
        <f>IF($J7="","",ROUND(($J7-$J$3)/1000,1)+(_xlfn.RANK.AVG($J7,($J7,$O7,$T7),1)-2)*20)</f>
        <v>38.5</v>
      </c>
      <c r="V7" s="54">
        <f>IF($O7="","",ROUND(($O7-$O$3)/1000,1)+(_xlfn.RANK.AVG($O7,($J7,$O7,$T7),1)-2)*20)</f>
        <v>-32.299999999999997</v>
      </c>
      <c r="W7" s="55">
        <f>IF($T7="","",ROUND(($T7-$T$3)/1000,1)+(_xlfn.RANK.AVG($T7,($J7,$O7,$T7),1)-2)*20)</f>
        <v>-6.2</v>
      </c>
      <c r="Y7" s="8"/>
      <c r="Z7" s="34"/>
      <c r="AA7" s="26">
        <v>1</v>
      </c>
      <c r="AB7" s="26"/>
      <c r="AC7" s="26">
        <v>6</v>
      </c>
      <c r="AD7" s="30" t="s">
        <v>199</v>
      </c>
      <c r="AE7" s="40" t="s">
        <v>200</v>
      </c>
      <c r="AF7" s="41" t="s">
        <v>82</v>
      </c>
      <c r="AG7" s="41" t="s">
        <v>86</v>
      </c>
      <c r="AH7" s="41" t="s">
        <v>79</v>
      </c>
      <c r="AI7" s="41" t="s">
        <v>79</v>
      </c>
      <c r="AJ7" s="41" t="s">
        <v>79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IF($F$1="","",$F$1)</f>
        <v>りくと</v>
      </c>
      <c r="F8" s="8"/>
      <c r="G8" s="9"/>
      <c r="H8" s="9"/>
      <c r="I8" s="48"/>
      <c r="J8" s="21">
        <f t="shared" si="2"/>
        <v>53500</v>
      </c>
      <c r="K8" s="8" t="s">
        <v>197</v>
      </c>
      <c r="L8" s="9">
        <v>8000</v>
      </c>
      <c r="M8" s="9"/>
      <c r="N8" s="48">
        <v>1000</v>
      </c>
      <c r="O8" s="21">
        <f t="shared" si="3"/>
        <v>31700</v>
      </c>
      <c r="P8" s="8" t="s">
        <v>198</v>
      </c>
      <c r="Q8" s="9">
        <v>-8000</v>
      </c>
      <c r="R8" s="9"/>
      <c r="S8" s="48">
        <v>-1000</v>
      </c>
      <c r="T8" s="21">
        <f t="shared" si="4"/>
        <v>19800</v>
      </c>
      <c r="U8" s="53">
        <f>IF($J8="","",ROUND(($J8-$J$3)/1000,1)+(_xlfn.RANK.AVG($J8,($J8,$O8,$T8),1)-2)*20)</f>
        <v>38.5</v>
      </c>
      <c r="V8" s="54">
        <f>IF($O8="","",ROUND(($O8-$O$3)/1000,1)+(_xlfn.RANK.AVG($O8,($J8,$O8,$T8),1)-2)*20)</f>
        <v>-3.3</v>
      </c>
      <c r="W8" s="55">
        <f>IF($T8="","",ROUND(($T8-$T$3)/1000,1)+(_xlfn.RANK.AVG($T8,($J8,$O8,$T8),1)-2)*20)</f>
        <v>-35.200000000000003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40</v>
      </c>
      <c r="AZ8" s="40" t="s">
        <v>86</v>
      </c>
      <c r="BA8" s="41" t="s">
        <v>86</v>
      </c>
      <c r="BB8" s="41" t="s">
        <v>104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197</v>
      </c>
      <c r="G9" s="9">
        <v>2600</v>
      </c>
      <c r="H9" s="9"/>
      <c r="I9" s="48">
        <v>0</v>
      </c>
      <c r="J9" s="21">
        <f t="shared" si="2"/>
        <v>56100</v>
      </c>
      <c r="K9" s="8"/>
      <c r="L9" s="9"/>
      <c r="M9" s="9"/>
      <c r="N9" s="48"/>
      <c r="O9" s="21">
        <f t="shared" si="3"/>
        <v>31700</v>
      </c>
      <c r="P9" s="8" t="s">
        <v>198</v>
      </c>
      <c r="Q9" s="9">
        <v>-2600</v>
      </c>
      <c r="R9" s="9"/>
      <c r="S9" s="48">
        <v>0</v>
      </c>
      <c r="T9" s="21">
        <f t="shared" si="4"/>
        <v>17200</v>
      </c>
      <c r="U9" s="53">
        <f>IF($J9="","",ROUND(($J9-$J$3)/1000,1)+(_xlfn.RANK.AVG($J9,($J9,$O9,$T9),1)-2)*20)</f>
        <v>41.1</v>
      </c>
      <c r="V9" s="54">
        <f>IF($O9="","",ROUND(($O9-$O$3)/1000,1)+(_xlfn.RANK.AVG($O9,($J9,$O9,$T9),1)-2)*20)</f>
        <v>-3.3</v>
      </c>
      <c r="W9" s="55">
        <f>IF($T9="","",ROUND(($T9-$T$3)/1000,1)+(_xlfn.RANK.AVG($T9,($J9,$O9,$T9),1)-2)*20)</f>
        <v>-37.799999999999997</v>
      </c>
      <c r="Y9" s="8"/>
      <c r="Z9" s="34"/>
      <c r="AA9" s="26"/>
      <c r="AB9" s="26"/>
      <c r="AC9" s="26">
        <v>2</v>
      </c>
      <c r="AD9" s="30">
        <v>40</v>
      </c>
      <c r="AE9" s="40" t="s">
        <v>84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201</v>
      </c>
      <c r="G10" s="9">
        <v>-5800</v>
      </c>
      <c r="H10" s="9"/>
      <c r="I10" s="48">
        <v>0</v>
      </c>
      <c r="J10" s="21">
        <f t="shared" si="2"/>
        <v>50300</v>
      </c>
      <c r="K10" s="8" t="s">
        <v>201</v>
      </c>
      <c r="L10" s="9">
        <v>-5800</v>
      </c>
      <c r="M10" s="9">
        <v>-1000</v>
      </c>
      <c r="N10" s="48">
        <v>0</v>
      </c>
      <c r="O10" s="21">
        <f t="shared" si="3"/>
        <v>24900</v>
      </c>
      <c r="P10" s="8" t="s">
        <v>202</v>
      </c>
      <c r="Q10" s="9">
        <v>11600</v>
      </c>
      <c r="R10" s="9">
        <v>1000</v>
      </c>
      <c r="S10" s="48">
        <v>0</v>
      </c>
      <c r="T10" s="21">
        <f t="shared" si="4"/>
        <v>29800</v>
      </c>
      <c r="U10" s="53">
        <f>IF($J10="","",ROUND(($J10-$J$3)/1000,1)+(_xlfn.RANK.AVG($J10,($J10,$O10,$T10),1)-2)*20)</f>
        <v>35.299999999999997</v>
      </c>
      <c r="V10" s="54">
        <f>IF($O10="","",ROUND(($O10-$O$3)/1000,1)+(_xlfn.RANK.AVG($O10,($J10,$O10,$T10),1)-2)*20)</f>
        <v>-30.1</v>
      </c>
      <c r="W10" s="55">
        <f>IF($T10="","",ROUND(($T10-$T$3)/1000,1)+(_xlfn.RANK.AVG($T10,($J10,$O10,$T10),1)-2)*20)</f>
        <v>-5.2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200</v>
      </c>
      <c r="BV10" s="41" t="s">
        <v>82</v>
      </c>
      <c r="BW10" s="41" t="s">
        <v>203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IF($P$1="","",$P$1)</f>
        <v>れんたろう</v>
      </c>
      <c r="F11" s="8" t="s">
        <v>202</v>
      </c>
      <c r="G11" s="9">
        <v>4000</v>
      </c>
      <c r="H11" s="9"/>
      <c r="I11" s="48">
        <v>1000</v>
      </c>
      <c r="J11" s="21">
        <f t="shared" si="2"/>
        <v>55300</v>
      </c>
      <c r="K11" s="8" t="s">
        <v>201</v>
      </c>
      <c r="L11" s="9">
        <v>-1500</v>
      </c>
      <c r="M11" s="9"/>
      <c r="N11" s="48">
        <v>-500</v>
      </c>
      <c r="O11" s="21">
        <f t="shared" si="3"/>
        <v>22900</v>
      </c>
      <c r="P11" s="8" t="s">
        <v>201</v>
      </c>
      <c r="Q11" s="9">
        <v>-2500</v>
      </c>
      <c r="R11" s="9"/>
      <c r="S11" s="48">
        <v>-500</v>
      </c>
      <c r="T11" s="21">
        <f t="shared" si="4"/>
        <v>26800</v>
      </c>
      <c r="U11" s="53">
        <f>IF($J11="","",ROUND(($J11-$J$3)/1000,1)+(_xlfn.RANK.AVG($J11,($J11,$O11,$T11),1)-2)*20)</f>
        <v>40.299999999999997</v>
      </c>
      <c r="V11" s="54">
        <f>IF($O11="","",ROUND(($O11-$O$3)/1000,1)+(_xlfn.RANK.AVG($O11,($J11,$O11,$T11),1)-2)*20)</f>
        <v>-32.1</v>
      </c>
      <c r="W11" s="55">
        <f>IF($T11="","",ROUND(($T11-$T$3)/1000,1)+(_xlfn.RANK.AVG($T11,($J11,$O11,$T11),1)-2)*20)</f>
        <v>-8.1999999999999993</v>
      </c>
      <c r="Y11" s="8"/>
      <c r="Z11" s="34"/>
      <c r="AA11" s="26">
        <v>1</v>
      </c>
      <c r="AB11" s="26"/>
      <c r="AC11" s="26">
        <v>3</v>
      </c>
      <c r="AD11" s="30">
        <v>30</v>
      </c>
      <c r="AE11" s="40" t="s">
        <v>200</v>
      </c>
      <c r="AF11" s="41" t="s">
        <v>82</v>
      </c>
      <c r="AG11" s="41" t="s">
        <v>86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IF($F$1="","",$F$1)</f>
        <v>りくと</v>
      </c>
      <c r="F12" s="8" t="s">
        <v>209</v>
      </c>
      <c r="G12" s="9">
        <v>5000</v>
      </c>
      <c r="H12" s="9"/>
      <c r="I12" s="48"/>
      <c r="J12" s="21">
        <f t="shared" si="2"/>
        <v>60300</v>
      </c>
      <c r="K12" s="8" t="s">
        <v>209</v>
      </c>
      <c r="L12" s="9">
        <v>5000</v>
      </c>
      <c r="M12" s="9"/>
      <c r="N12" s="48"/>
      <c r="O12" s="21">
        <f t="shared" si="3"/>
        <v>27900</v>
      </c>
      <c r="P12" s="8" t="s">
        <v>209</v>
      </c>
      <c r="Q12" s="9">
        <v>-10000</v>
      </c>
      <c r="R12" s="9"/>
      <c r="S12" s="48"/>
      <c r="T12" s="21">
        <f t="shared" si="4"/>
        <v>16800</v>
      </c>
      <c r="U12" s="53">
        <f>IF($J12="","",ROUND(($J12-$J$3)/1000,1)+(_xlfn.RANK.AVG($J12,($J12,$O12,$T12),1)-2)*20)</f>
        <v>45.3</v>
      </c>
      <c r="V12" s="54">
        <f>IF($O12="","",ROUND(($O12-$O$3)/1000,1)+(_xlfn.RANK.AVG($O12,($J12,$O12,$T12),1)-2)*20)</f>
        <v>-7.1</v>
      </c>
      <c r="W12" s="55">
        <f>IF($T12="","",ROUND(($T12-$T$3)/1000,1)+(_xlfn.RANK.AVG($T12,($J12,$O12,$T12),1)-2)*20)</f>
        <v>-38.200000000000003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>
        <v>1</v>
      </c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IF($F$1="","",$F$1)</f>
        <v>りくと</v>
      </c>
      <c r="F13" s="8"/>
      <c r="G13" s="9"/>
      <c r="H13" s="9"/>
      <c r="I13" s="48"/>
      <c r="J13" s="21">
        <f t="shared" si="2"/>
        <v>60300</v>
      </c>
      <c r="K13" s="8" t="s">
        <v>197</v>
      </c>
      <c r="L13" s="9">
        <v>12000</v>
      </c>
      <c r="M13" s="9">
        <v>1000</v>
      </c>
      <c r="N13" s="48">
        <v>0</v>
      </c>
      <c r="O13" s="21">
        <f t="shared" si="3"/>
        <v>40900</v>
      </c>
      <c r="P13" s="8" t="s">
        <v>198</v>
      </c>
      <c r="Q13" s="9">
        <v>-12000</v>
      </c>
      <c r="R13" s="9">
        <v>-1000</v>
      </c>
      <c r="S13" s="48">
        <v>0</v>
      </c>
      <c r="T13" s="21">
        <f t="shared" si="4"/>
        <v>3800</v>
      </c>
      <c r="U13" s="53">
        <f>IF($J13="","",ROUND(($J13-$J$3)/1000,1)+(_xlfn.RANK.AVG($J13,($J13,$O13,$T13),1)-2)*20)</f>
        <v>45.3</v>
      </c>
      <c r="V13" s="54">
        <f>IF($O13="","",ROUND(($O13-$O$3)/1000,1)+(_xlfn.RANK.AVG($O13,($J13,$O13,$T13),1)-2)*20)</f>
        <v>5.9</v>
      </c>
      <c r="W13" s="55">
        <f>IF($T13="","",ROUND(($T13-$T$3)/1000,1)+(_xlfn.RANK.AVG($T13,($J13,$O13,$T13),1)-2)*20)</f>
        <v>-51.2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199</v>
      </c>
      <c r="AZ13" s="40" t="s">
        <v>200</v>
      </c>
      <c r="BA13" s="41" t="s">
        <v>83</v>
      </c>
      <c r="BB13" s="41" t="s">
        <v>84</v>
      </c>
      <c r="BC13" s="41" t="s">
        <v>79</v>
      </c>
      <c r="BD13" s="41" t="s">
        <v>79</v>
      </c>
      <c r="BE13" s="41" t="s">
        <v>203</v>
      </c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9" priority="5">
      <formula>IF(G4&lt;&gt;"",SUM($G4:$I4,$L4:$N4,$Q4:$S4)-$D4*1000+$D5*1000)</formula>
    </cfRule>
  </conditionalFormatting>
  <conditionalFormatting sqref="F1:G1 I1:L1 S1:T1 N1:Q1">
    <cfRule type="duplicateValues" dxfId="58" priority="4"/>
  </conditionalFormatting>
  <conditionalFormatting sqref="H1">
    <cfRule type="duplicateValues" dxfId="57" priority="3"/>
  </conditionalFormatting>
  <conditionalFormatting sqref="R1">
    <cfRule type="duplicateValues" dxfId="56" priority="2"/>
  </conditionalFormatting>
  <conditionalFormatting sqref="M1">
    <cfRule type="duplicateValues" dxfId="55" priority="1"/>
  </conditionalFormatting>
  <dataValidations count="3">
    <dataValidation type="list" showInputMessage="1" showErrorMessage="1" sqref="K4:K30 P4:P30 F4:F30" xr:uid="{13F65D96-4EA4-4901-981F-BF6E2EC999AD}">
      <formula1>"ロン,ツモ,放銃,ツモ支払,流局,チョンボ"</formula1>
    </dataValidation>
    <dataValidation type="list" allowBlank="1" showInputMessage="1" showErrorMessage="1" sqref="E4:E30" xr:uid="{33BD6F57-6221-46A7-974C-ED4E9640F716}">
      <formula1>$U$2:$W$2</formula1>
    </dataValidation>
    <dataValidation type="list" allowBlank="1" showInputMessage="1" sqref="F1:T1" xr:uid="{5D03B88B-EA24-4A19-BC22-C0A5982A7FA4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7C3F-6DB3-4BFC-9E35-4E3A114823A6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りくと</v>
      </c>
      <c r="V2" s="75" t="str">
        <f>$K$1</f>
        <v>だいち</v>
      </c>
      <c r="W2" s="16" t="str">
        <f>$P$1</f>
        <v>れんたろう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202</v>
      </c>
      <c r="L4" s="9">
        <v>4000</v>
      </c>
      <c r="M4" s="9"/>
      <c r="N4" s="48">
        <v>0</v>
      </c>
      <c r="O4" s="21">
        <f>IF(COUNTA($F4,$K4,$P4)&gt;0,O3+SUM(L4:N4),"")</f>
        <v>39000</v>
      </c>
      <c r="P4" s="8" t="s">
        <v>201</v>
      </c>
      <c r="Q4" s="9">
        <v>-2500</v>
      </c>
      <c r="R4" s="9"/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IF($J4="","",ROUND(($J4-$J$3)/1000,1)+(_xlfn.RANK.AVG($J4,($J4,$O4,$T4),1)-2)*20)</f>
        <v>-1.5</v>
      </c>
      <c r="V4" s="54">
        <f>IF($O4="","",ROUND(($O4-$O$3)/1000,1)+(_xlfn.RANK.AVG($O4,($J4,$O4,$T4),1)-2)*20)</f>
        <v>24</v>
      </c>
      <c r="W4" s="55">
        <f>IF($T4="","",ROUND(($T4-$T$3)/1000,1)+(_xlfn.RANK.AVG($T4,($J4,$O4,$T4),1)-2)*20)</f>
        <v>-22.5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200</v>
      </c>
      <c r="BA4" s="41" t="s">
        <v>82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201</v>
      </c>
      <c r="G5" s="9">
        <v>-700</v>
      </c>
      <c r="H5" s="9"/>
      <c r="I5" s="48">
        <v>0</v>
      </c>
      <c r="J5" s="21">
        <f t="shared" ref="J5:J30" si="2">IF(COUNTA($F5,$K5,$P5)&gt;0,J4+SUM(G5:I5),"")</f>
        <v>32800</v>
      </c>
      <c r="K5" s="8" t="s">
        <v>201</v>
      </c>
      <c r="L5" s="9">
        <v>-500</v>
      </c>
      <c r="M5" s="9"/>
      <c r="N5" s="48">
        <v>0</v>
      </c>
      <c r="O5" s="21">
        <f t="shared" ref="O5:O30" si="3">IF(COUNTA($F5,$K5,$P5)&gt;0,O4+SUM(L5:N5),"")</f>
        <v>38500</v>
      </c>
      <c r="P5" s="8" t="s">
        <v>202</v>
      </c>
      <c r="Q5" s="9">
        <v>1200</v>
      </c>
      <c r="R5" s="9"/>
      <c r="S5" s="48">
        <v>0</v>
      </c>
      <c r="T5" s="21">
        <f t="shared" ref="T5:T30" si="4">IF(COUNTA($F5,$K5,$P5)&gt;0,T4+SUM(Q5:S5),"")</f>
        <v>33700</v>
      </c>
      <c r="U5" s="53">
        <f>IF($J5="","",ROUND(($J5-$J$3)/1000,1)+(_xlfn.RANK.AVG($J5,($J5,$O5,$T5),1)-2)*20)</f>
        <v>-22.2</v>
      </c>
      <c r="V5" s="54">
        <f>IF($O5="","",ROUND(($O5-$O$3)/1000,1)+(_xlfn.RANK.AVG($O5,($J5,$O5,$T5),1)-2)*20)</f>
        <v>23.5</v>
      </c>
      <c r="W5" s="55">
        <f>IF($T5="","",ROUND(($T5-$T$3)/1000,1)+(_xlfn.RANK.AVG($T5,($J5,$O5,$T5),1)-2)*20)</f>
        <v>-1.3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1</v>
      </c>
      <c r="BT5" s="30">
        <v>30</v>
      </c>
      <c r="BU5" s="40" t="s">
        <v>82</v>
      </c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/>
      <c r="G6" s="9"/>
      <c r="H6" s="9"/>
      <c r="I6" s="48"/>
      <c r="J6" s="21">
        <f t="shared" si="2"/>
        <v>32800</v>
      </c>
      <c r="K6" s="8" t="s">
        <v>198</v>
      </c>
      <c r="L6" s="9">
        <v>-8000</v>
      </c>
      <c r="M6" s="9"/>
      <c r="N6" s="48">
        <v>0</v>
      </c>
      <c r="O6" s="21">
        <f t="shared" si="3"/>
        <v>30500</v>
      </c>
      <c r="P6" s="8" t="s">
        <v>197</v>
      </c>
      <c r="Q6" s="9">
        <v>8000</v>
      </c>
      <c r="R6" s="9"/>
      <c r="S6" s="48">
        <v>0</v>
      </c>
      <c r="T6" s="21">
        <f t="shared" si="4"/>
        <v>41700</v>
      </c>
      <c r="U6" s="53">
        <f>IF($J6="","",ROUND(($J6-$J$3)/1000,1)+(_xlfn.RANK.AVG($J6,($J6,$O6,$T6),1)-2)*20)</f>
        <v>-2.2000000000000002</v>
      </c>
      <c r="V6" s="54">
        <f>IF($O6="","",ROUND(($O6-$O$3)/1000,1)+(_xlfn.RANK.AVG($O6,($J6,$O6,$T6),1)-2)*20)</f>
        <v>-24.5</v>
      </c>
      <c r="W6" s="55">
        <f>IF($T6="","",ROUND(($T6-$T$3)/1000,1)+(_xlfn.RANK.AVG($T6,($J6,$O6,$T6),1)-2)*20)</f>
        <v>26.7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200</v>
      </c>
      <c r="BV6" s="41" t="s">
        <v>86</v>
      </c>
      <c r="BW6" s="41" t="s">
        <v>84</v>
      </c>
      <c r="BX6" s="41" t="s">
        <v>80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201</v>
      </c>
      <c r="G7" s="9">
        <v>-1500</v>
      </c>
      <c r="H7" s="9"/>
      <c r="I7" s="48">
        <v>0</v>
      </c>
      <c r="J7" s="21">
        <f t="shared" si="2"/>
        <v>31300</v>
      </c>
      <c r="K7" s="8" t="s">
        <v>202</v>
      </c>
      <c r="L7" s="9">
        <v>4000</v>
      </c>
      <c r="M7" s="9">
        <v>1000</v>
      </c>
      <c r="N7" s="48">
        <v>0</v>
      </c>
      <c r="O7" s="21">
        <f t="shared" si="3"/>
        <v>35500</v>
      </c>
      <c r="P7" s="8" t="s">
        <v>201</v>
      </c>
      <c r="Q7" s="9">
        <v>-2500</v>
      </c>
      <c r="R7" s="9">
        <v>-1000</v>
      </c>
      <c r="S7" s="48">
        <v>0</v>
      </c>
      <c r="T7" s="21">
        <f t="shared" si="4"/>
        <v>38200</v>
      </c>
      <c r="U7" s="53">
        <f>IF($J7="","",ROUND(($J7-$J$3)/1000,1)+(_xlfn.RANK.AVG($J7,($J7,$O7,$T7),1)-2)*20)</f>
        <v>-23.7</v>
      </c>
      <c r="V7" s="54">
        <f>IF($O7="","",ROUND(($O7-$O$3)/1000,1)+(_xlfn.RANK.AVG($O7,($J7,$O7,$T7),1)-2)*20)</f>
        <v>0.5</v>
      </c>
      <c r="W7" s="55">
        <f>IF($T7="","",ROUND(($T7-$T$3)/1000,1)+(_xlfn.RANK.AVG($T7,($J7,$O7,$T7),1)-2)*20)</f>
        <v>23.2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30</v>
      </c>
      <c r="AZ7" s="40" t="s">
        <v>200</v>
      </c>
      <c r="BA7" s="41" t="s">
        <v>82</v>
      </c>
      <c r="BB7" s="41" t="s">
        <v>208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201</v>
      </c>
      <c r="G8" s="9">
        <v>-4800</v>
      </c>
      <c r="H8" s="9"/>
      <c r="I8" s="48">
        <v>0</v>
      </c>
      <c r="J8" s="21">
        <f t="shared" si="2"/>
        <v>26500</v>
      </c>
      <c r="K8" s="8" t="s">
        <v>201</v>
      </c>
      <c r="L8" s="9">
        <v>-2900</v>
      </c>
      <c r="M8" s="9"/>
      <c r="N8" s="48">
        <v>0</v>
      </c>
      <c r="O8" s="21">
        <f t="shared" si="3"/>
        <v>32600</v>
      </c>
      <c r="P8" s="8" t="s">
        <v>202</v>
      </c>
      <c r="Q8" s="9">
        <v>7700</v>
      </c>
      <c r="R8" s="9"/>
      <c r="S8" s="48">
        <v>0</v>
      </c>
      <c r="T8" s="21">
        <f t="shared" si="4"/>
        <v>45900</v>
      </c>
      <c r="U8" s="53">
        <f>IF($J8="","",ROUND(($J8-$J$3)/1000,1)+(_xlfn.RANK.AVG($J8,($J8,$O8,$T8),1)-2)*20)</f>
        <v>-28.5</v>
      </c>
      <c r="V8" s="54">
        <f>IF($O8="","",ROUND(($O8-$O$3)/1000,1)+(_xlfn.RANK.AVG($O8,($J8,$O8,$T8),1)-2)*20)</f>
        <v>-2.4</v>
      </c>
      <c r="W8" s="55">
        <f>IF($T8="","",ROUND(($T8-$T$3)/1000,1)+(_xlfn.RANK.AVG($T8,($J8,$O8,$T8),1)-2)*20)</f>
        <v>30.9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4</v>
      </c>
      <c r="BT8" s="30">
        <v>30</v>
      </c>
      <c r="BU8" s="40" t="s">
        <v>82</v>
      </c>
      <c r="BV8" s="41" t="s">
        <v>86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202</v>
      </c>
      <c r="G9" s="9">
        <v>8000</v>
      </c>
      <c r="H9" s="9">
        <v>1000</v>
      </c>
      <c r="I9" s="48">
        <v>0</v>
      </c>
      <c r="J9" s="21">
        <f t="shared" si="2"/>
        <v>35500</v>
      </c>
      <c r="K9" s="8" t="s">
        <v>201</v>
      </c>
      <c r="L9" s="9">
        <v>-5000</v>
      </c>
      <c r="M9" s="9"/>
      <c r="N9" s="48">
        <v>0</v>
      </c>
      <c r="O9" s="21">
        <f t="shared" si="3"/>
        <v>27600</v>
      </c>
      <c r="P9" s="8" t="s">
        <v>201</v>
      </c>
      <c r="Q9" s="9">
        <v>-3000</v>
      </c>
      <c r="R9" s="9">
        <v>-1000</v>
      </c>
      <c r="S9" s="48">
        <v>0</v>
      </c>
      <c r="T9" s="21">
        <f t="shared" si="4"/>
        <v>41900</v>
      </c>
      <c r="U9" s="53">
        <f>IF($J9="","",ROUND(($J9-$J$3)/1000,1)+(_xlfn.RANK.AVG($J9,($J9,$O9,$T9),1)-2)*20)</f>
        <v>0.5</v>
      </c>
      <c r="V9" s="54">
        <f>IF($O9="","",ROUND(($O9-$O$3)/1000,1)+(_xlfn.RANK.AVG($O9,($J9,$O9,$T9),1)-2)*20)</f>
        <v>-27.4</v>
      </c>
      <c r="W9" s="55">
        <f>IF($T9="","",ROUND(($T9-$T$3)/1000,1)+(_xlfn.RANK.AVG($T9,($J9,$O9,$T9),1)-2)*20)</f>
        <v>26.9</v>
      </c>
      <c r="Y9" s="8"/>
      <c r="Z9" s="34"/>
      <c r="AA9" s="26"/>
      <c r="AB9" s="26"/>
      <c r="AC9" s="26">
        <v>5</v>
      </c>
      <c r="AD9" s="30" t="s">
        <v>199</v>
      </c>
      <c r="AE9" s="40" t="s">
        <v>82</v>
      </c>
      <c r="AF9" s="41" t="s">
        <v>101</v>
      </c>
      <c r="AG9" s="41" t="s">
        <v>79</v>
      </c>
      <c r="AH9" s="41" t="s">
        <v>79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howErrorMessage="1" sqref="E4:E30" xr:uid="{4027EF0A-C547-4747-8571-7EBA1C5789BC}">
      <formula1>$U$2:$W$2</formula1>
    </dataValidation>
    <dataValidation type="list" showInputMessage="1" showErrorMessage="1" sqref="K4:K30 P4:P30 F4:F30" xr:uid="{AFDB3DEA-3539-44AA-8602-FD3CFE4F60C5}">
      <formula1>"ロン,ツモ,放銃,ツモ支払,流局,チョンボ"</formula1>
    </dataValidation>
    <dataValidation type="list" allowBlank="1" showInputMessage="1" sqref="F1:T1" xr:uid="{C7CC57CC-7B63-46D1-A41F-B39F9EFDB06F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F7155-EC5B-40D0-8BF5-725865362F93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りくと</v>
      </c>
      <c r="V2" s="82" t="str">
        <f>$K$1</f>
        <v>だいち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-3000</v>
      </c>
      <c r="H4" s="9"/>
      <c r="I4" s="48">
        <v>0</v>
      </c>
      <c r="J4" s="21">
        <f>IF(COUNTA($F4,$K4,$P4)&gt;0,J3+SUM(G4:I4),"")</f>
        <v>32000</v>
      </c>
      <c r="K4" s="8" t="s">
        <v>201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202</v>
      </c>
      <c r="Q4" s="9">
        <v>6000</v>
      </c>
      <c r="R4" s="9"/>
      <c r="S4" s="48">
        <v>0</v>
      </c>
      <c r="T4" s="21">
        <f>IF(COUNTA($F4,$K4,$P4)&gt;0,T3+SUM(Q4:S4),"")</f>
        <v>41000</v>
      </c>
      <c r="U4" s="53">
        <f>IF($J4="","",ROUND(($J4-$J$3)/1000,1)+(_xlfn.RANK.AVG($J4,($J4,$O4,$T4),1)-2)*20)</f>
        <v>-13</v>
      </c>
      <c r="V4" s="54">
        <f>IF($O4="","",ROUND(($O4-$O$3)/1000,1)+(_xlfn.RANK.AVG($O4,($J4,$O4,$T4),1)-2)*20)</f>
        <v>-13</v>
      </c>
      <c r="W4" s="55">
        <f>IF($T4="","",ROUND(($T4-$T$3)/1000,1)+(_xlfn.RANK.AVG($T4,($J4,$O4,$T4),1)-2)*20)</f>
        <v>26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86</v>
      </c>
      <c r="BW4" s="41" t="s">
        <v>203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198</v>
      </c>
      <c r="G5" s="9">
        <v>-12000</v>
      </c>
      <c r="H5" s="9"/>
      <c r="I5" s="48">
        <v>-1000</v>
      </c>
      <c r="J5" s="21">
        <f t="shared" ref="J5:J30" si="2">IF(COUNTA($F5,$K5,$P5)&gt;0,J4+SUM(G5:I5),"")</f>
        <v>19000</v>
      </c>
      <c r="K5" s="8" t="s">
        <v>197</v>
      </c>
      <c r="L5" s="9">
        <v>12000</v>
      </c>
      <c r="M5" s="9"/>
      <c r="N5" s="48">
        <v>1000</v>
      </c>
      <c r="O5" s="21">
        <f t="shared" ref="O5:O30" si="3">IF(COUNTA($F5,$K5,$P5)&gt;0,O4+SUM(L5:N5),"")</f>
        <v>45000</v>
      </c>
      <c r="P5" s="8"/>
      <c r="Q5" s="9"/>
      <c r="R5" s="9"/>
      <c r="S5" s="48"/>
      <c r="T5" s="21">
        <f t="shared" ref="T5:T30" si="4">IF(COUNTA($F5,$K5,$P5)&gt;0,T4+SUM(Q5:S5),"")</f>
        <v>41000</v>
      </c>
      <c r="U5" s="53">
        <f>IF($J5="","",ROUND(($J5-$J$3)/1000,1)+(_xlfn.RANK.AVG($J5,($J5,$O5,$T5),1)-2)*20)</f>
        <v>-36</v>
      </c>
      <c r="V5" s="54">
        <f>IF($O5="","",ROUND(($O5-$O$3)/1000,1)+(_xlfn.RANK.AVG($O5,($J5,$O5,$T5),1)-2)*20)</f>
        <v>30</v>
      </c>
      <c r="W5" s="55">
        <f>IF($T5="","",ROUND(($T5-$T$3)/1000,1)+(_xlfn.RANK.AVG($T5,($J5,$O5,$T5),1)-2)*20)</f>
        <v>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199</v>
      </c>
      <c r="AZ5" s="40" t="s">
        <v>200</v>
      </c>
      <c r="BA5" s="41" t="s">
        <v>208</v>
      </c>
      <c r="BB5" s="41" t="s">
        <v>86</v>
      </c>
      <c r="BC5" s="41" t="s">
        <v>79</v>
      </c>
      <c r="BD5" s="41" t="s">
        <v>80</v>
      </c>
      <c r="BE5" s="41" t="s">
        <v>80</v>
      </c>
      <c r="BF5" s="41" t="s">
        <v>80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197</v>
      </c>
      <c r="G6" s="9">
        <v>18000</v>
      </c>
      <c r="H6" s="9">
        <v>1000</v>
      </c>
      <c r="I6" s="48">
        <v>0</v>
      </c>
      <c r="J6" s="21">
        <f t="shared" si="2"/>
        <v>38000</v>
      </c>
      <c r="K6" s="8"/>
      <c r="L6" s="9"/>
      <c r="M6" s="9"/>
      <c r="N6" s="48"/>
      <c r="O6" s="21">
        <f t="shared" si="3"/>
        <v>45000</v>
      </c>
      <c r="P6" s="8" t="s">
        <v>198</v>
      </c>
      <c r="Q6" s="9">
        <v>-18000</v>
      </c>
      <c r="R6" s="9">
        <v>-1000</v>
      </c>
      <c r="S6" s="48">
        <v>0</v>
      </c>
      <c r="T6" s="21">
        <f t="shared" si="4"/>
        <v>22000</v>
      </c>
      <c r="U6" s="53">
        <f>IF($J6="","",ROUND(($J6-$J$3)/1000,1)+(_xlfn.RANK.AVG($J6,($J6,$O6,$T6),1)-2)*20)</f>
        <v>3</v>
      </c>
      <c r="V6" s="54">
        <f>IF($O6="","",ROUND(($O6-$O$3)/1000,1)+(_xlfn.RANK.AVG($O6,($J6,$O6,$T6),1)-2)*20)</f>
        <v>30</v>
      </c>
      <c r="W6" s="55">
        <f>IF($T6="","",ROUND(($T6-$T$3)/1000,1)+(_xlfn.RANK.AVG($T6,($J6,$O6,$T6),1)-2)*20)</f>
        <v>-33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200</v>
      </c>
      <c r="AF6" s="41" t="s">
        <v>86</v>
      </c>
      <c r="AG6" s="41" t="s">
        <v>79</v>
      </c>
      <c r="AH6" s="41" t="s">
        <v>79</v>
      </c>
      <c r="AI6" s="41" t="s">
        <v>79</v>
      </c>
      <c r="AJ6" s="41" t="s">
        <v>203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IF($F$1="","",$F$1)</f>
        <v>りくと</v>
      </c>
      <c r="F7" s="8" t="s">
        <v>206</v>
      </c>
      <c r="G7" s="9">
        <v>1500</v>
      </c>
      <c r="H7" s="9"/>
      <c r="I7" s="48"/>
      <c r="J7" s="21">
        <f t="shared" si="2"/>
        <v>39500</v>
      </c>
      <c r="K7" s="8" t="s">
        <v>206</v>
      </c>
      <c r="L7" s="9">
        <v>-3000</v>
      </c>
      <c r="M7" s="9"/>
      <c r="N7" s="48"/>
      <c r="O7" s="21">
        <f t="shared" si="3"/>
        <v>42000</v>
      </c>
      <c r="P7" s="8" t="s">
        <v>206</v>
      </c>
      <c r="Q7" s="9">
        <v>1500</v>
      </c>
      <c r="R7" s="9">
        <v>-1000</v>
      </c>
      <c r="S7" s="48"/>
      <c r="T7" s="21">
        <f t="shared" si="4"/>
        <v>22500</v>
      </c>
      <c r="U7" s="53">
        <f>IF($J7="","",ROUND(($J7-$J$3)/1000,1)+(_xlfn.RANK.AVG($J7,($J7,$O7,$T7),1)-2)*20)</f>
        <v>4.5</v>
      </c>
      <c r="V7" s="54">
        <f>IF($O7="","",ROUND(($O7-$O$3)/1000,1)+(_xlfn.RANK.AVG($O7,($J7,$O7,$T7),1)-2)*20)</f>
        <v>27</v>
      </c>
      <c r="W7" s="55">
        <f>IF($T7="","",ROUND(($T7-$T$3)/1000,1)+(_xlfn.RANK.AVG($T7,($J7,$O7,$T7),1)-2)*20)</f>
        <v>-32.5</v>
      </c>
      <c r="Y7" s="8" t="s">
        <v>205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1</v>
      </c>
      <c r="E8" s="4" t="str">
        <f>IF($F$1="","",$F$1)</f>
        <v>りくと</v>
      </c>
      <c r="F8" s="8" t="s">
        <v>206</v>
      </c>
      <c r="G8" s="9">
        <v>-1500</v>
      </c>
      <c r="H8" s="9"/>
      <c r="I8" s="48"/>
      <c r="J8" s="21">
        <f t="shared" si="2"/>
        <v>38000</v>
      </c>
      <c r="K8" s="8" t="s">
        <v>206</v>
      </c>
      <c r="L8" s="9">
        <v>-1500</v>
      </c>
      <c r="M8" s="9"/>
      <c r="N8" s="48"/>
      <c r="O8" s="21">
        <f t="shared" si="3"/>
        <v>40500</v>
      </c>
      <c r="P8" s="8" t="s">
        <v>206</v>
      </c>
      <c r="Q8" s="9">
        <v>3000</v>
      </c>
      <c r="R8" s="9"/>
      <c r="S8" s="48"/>
      <c r="T8" s="21">
        <f t="shared" si="4"/>
        <v>25500</v>
      </c>
      <c r="U8" s="53">
        <f>IF($J8="","",ROUND(($J8-$J$3)/1000,1)+(_xlfn.RANK.AVG($J8,($J8,$O8,$T8),1)-2)*20)</f>
        <v>3</v>
      </c>
      <c r="V8" s="54">
        <f>IF($O8="","",ROUND(($O8-$O$3)/1000,1)+(_xlfn.RANK.AVG($O8,($J8,$O8,$T8),1)-2)*20)</f>
        <v>25.5</v>
      </c>
      <c r="W8" s="55">
        <f>IF($T8="","",ROUND(($T8-$T$3)/1000,1)+(_xlfn.RANK.AVG($T8,($J8,$O8,$T8),1)-2)*20)</f>
        <v>-29.5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1</v>
      </c>
      <c r="E9" s="4" t="str">
        <f>IF($K$1="","",$K$1)</f>
        <v>だいち</v>
      </c>
      <c r="F9" s="8" t="s">
        <v>198</v>
      </c>
      <c r="G9" s="9">
        <v>-18000</v>
      </c>
      <c r="H9" s="9"/>
      <c r="I9" s="48">
        <v>-3000</v>
      </c>
      <c r="J9" s="21">
        <f t="shared" si="2"/>
        <v>17000</v>
      </c>
      <c r="K9" s="8" t="s">
        <v>197</v>
      </c>
      <c r="L9" s="9">
        <v>18000</v>
      </c>
      <c r="M9" s="9">
        <v>1000</v>
      </c>
      <c r="N9" s="48">
        <v>3000</v>
      </c>
      <c r="O9" s="21">
        <f t="shared" si="3"/>
        <v>62500</v>
      </c>
      <c r="P9" s="8"/>
      <c r="Q9" s="9"/>
      <c r="R9" s="9"/>
      <c r="S9" s="48"/>
      <c r="T9" s="21">
        <f t="shared" si="4"/>
        <v>25500</v>
      </c>
      <c r="U9" s="53">
        <f>IF($J9="","",ROUND(($J9-$J$3)/1000,1)+(_xlfn.RANK.AVG($J9,($J9,$O9,$T9),1)-2)*20)</f>
        <v>-38</v>
      </c>
      <c r="V9" s="54">
        <f>IF($O9="","",ROUND(($O9-$O$3)/1000,1)+(_xlfn.RANK.AVG($O9,($J9,$O9,$T9),1)-2)*20)</f>
        <v>47.5</v>
      </c>
      <c r="W9" s="55">
        <f>IF($T9="","",ROUND(($T9-$T$3)/1000,1)+(_xlfn.RANK.AVG($T9,($J9,$O9,$T9),1)-2)*20)</f>
        <v>-9.5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199</v>
      </c>
      <c r="AZ9" s="40" t="s">
        <v>200</v>
      </c>
      <c r="BA9" s="41" t="s">
        <v>208</v>
      </c>
      <c r="BB9" s="41" t="s">
        <v>79</v>
      </c>
      <c r="BC9" s="41" t="s">
        <v>79</v>
      </c>
      <c r="BD9" s="41" t="s">
        <v>79</v>
      </c>
      <c r="BE9" s="41" t="s">
        <v>80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tr">
        <f>IF($K$1="","",$K$1)</f>
        <v>だいち</v>
      </c>
      <c r="F10" s="8" t="s">
        <v>201</v>
      </c>
      <c r="G10" s="9">
        <v>-6000</v>
      </c>
      <c r="H10" s="9"/>
      <c r="I10" s="48">
        <v>-2000</v>
      </c>
      <c r="J10" s="21">
        <f t="shared" si="2"/>
        <v>9000</v>
      </c>
      <c r="K10" s="8" t="s">
        <v>202</v>
      </c>
      <c r="L10" s="9">
        <v>12000</v>
      </c>
      <c r="M10" s="9"/>
      <c r="N10" s="48">
        <v>4000</v>
      </c>
      <c r="O10" s="21">
        <f t="shared" si="3"/>
        <v>78500</v>
      </c>
      <c r="P10" s="8" t="s">
        <v>201</v>
      </c>
      <c r="Q10" s="9">
        <v>-6000</v>
      </c>
      <c r="R10" s="9"/>
      <c r="S10" s="48">
        <v>-2000</v>
      </c>
      <c r="T10" s="21">
        <f t="shared" si="4"/>
        <v>17500</v>
      </c>
      <c r="U10" s="53">
        <f>IF($J10="","",ROUND(($J10-$J$3)/1000,1)+(_xlfn.RANK.AVG($J10,($J10,$O10,$T10),1)-2)*20)</f>
        <v>-46</v>
      </c>
      <c r="V10" s="54">
        <f>IF($O10="","",ROUND(($O10-$O$3)/1000,1)+(_xlfn.RANK.AVG($O10,($J10,$O10,$T10),1)-2)*20)</f>
        <v>63.5</v>
      </c>
      <c r="W10" s="55">
        <f>IF($T10="","",ROUND(($T10-$T$3)/1000,1)+(_xlfn.RANK.AVG($T10,($J10,$O10,$T10),1)-2)*20)</f>
        <v>-17.5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199</v>
      </c>
      <c r="AZ10" s="40" t="s">
        <v>200</v>
      </c>
      <c r="BA10" s="41" t="s">
        <v>83</v>
      </c>
      <c r="BB10" s="41" t="s">
        <v>82</v>
      </c>
      <c r="BC10" s="41" t="s">
        <v>203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5</v>
      </c>
      <c r="D11" s="18">
        <f t="shared" si="1"/>
        <v>0</v>
      </c>
      <c r="E11" s="4" t="str">
        <f>IF($K$1="","",$K$1)</f>
        <v>だいち</v>
      </c>
      <c r="F11" s="8" t="s">
        <v>202</v>
      </c>
      <c r="G11" s="9">
        <v>1200</v>
      </c>
      <c r="H11" s="9"/>
      <c r="I11" s="48">
        <v>5000</v>
      </c>
      <c r="J11" s="21">
        <f t="shared" si="2"/>
        <v>15200</v>
      </c>
      <c r="K11" s="8" t="s">
        <v>201</v>
      </c>
      <c r="L11" s="9">
        <v>-700</v>
      </c>
      <c r="M11" s="9"/>
      <c r="N11" s="48">
        <v>-2500</v>
      </c>
      <c r="O11" s="21">
        <f t="shared" si="3"/>
        <v>75300</v>
      </c>
      <c r="P11" s="8" t="s">
        <v>201</v>
      </c>
      <c r="Q11" s="9">
        <v>-500</v>
      </c>
      <c r="R11" s="9"/>
      <c r="S11" s="48">
        <v>-2500</v>
      </c>
      <c r="T11" s="21">
        <f t="shared" si="4"/>
        <v>14500</v>
      </c>
      <c r="U11" s="53">
        <f>IF($J11="","",ROUND(($J11-$J$3)/1000,1)+(_xlfn.RANK.AVG($J11,($J11,$O11,$T11),1)-2)*20)</f>
        <v>-19.8</v>
      </c>
      <c r="V11" s="54">
        <f>IF($O11="","",ROUND(($O11-$O$3)/1000,1)+(_xlfn.RANK.AVG($O11,($J11,$O11,$T11),1)-2)*20)</f>
        <v>60.3</v>
      </c>
      <c r="W11" s="55">
        <f>IF($T11="","",ROUND(($T11-$T$3)/1000,1)+(_xlfn.RANK.AVG($T11,($J11,$O11,$T11),1)-2)*20)</f>
        <v>-40.5</v>
      </c>
      <c r="Y11" s="8"/>
      <c r="Z11" s="34"/>
      <c r="AA11" s="26"/>
      <c r="AB11" s="26"/>
      <c r="AC11" s="26">
        <v>1</v>
      </c>
      <c r="AD11" s="30">
        <v>30</v>
      </c>
      <c r="AE11" s="40" t="s">
        <v>82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206</v>
      </c>
      <c r="G12" s="9">
        <v>1500</v>
      </c>
      <c r="H12" s="9"/>
      <c r="I12" s="48"/>
      <c r="J12" s="21">
        <f t="shared" si="2"/>
        <v>16700</v>
      </c>
      <c r="K12" s="8" t="s">
        <v>206</v>
      </c>
      <c r="L12" s="9">
        <v>-3000</v>
      </c>
      <c r="M12" s="9"/>
      <c r="N12" s="48"/>
      <c r="O12" s="21">
        <f t="shared" si="3"/>
        <v>72300</v>
      </c>
      <c r="P12" s="8" t="s">
        <v>206</v>
      </c>
      <c r="Q12" s="9">
        <v>1500</v>
      </c>
      <c r="R12" s="9">
        <v>-1000</v>
      </c>
      <c r="S12" s="48"/>
      <c r="T12" s="21">
        <f t="shared" si="4"/>
        <v>15000</v>
      </c>
      <c r="U12" s="53">
        <f>IF($J12="","",ROUND(($J12-$J$3)/1000,1)+(_xlfn.RANK.AVG($J12,($J12,$O12,$T12),1)-2)*20)</f>
        <v>-18.3</v>
      </c>
      <c r="V12" s="54">
        <f>IF($O12="","",ROUND(($O12-$O$3)/1000,1)+(_xlfn.RANK.AVG($O12,($J12,$O12,$T12),1)-2)*20)</f>
        <v>57.3</v>
      </c>
      <c r="W12" s="55">
        <f>IF($T12="","",ROUND(($T12-$T$3)/1000,1)+(_xlfn.RANK.AVG($T12,($J12,$O12,$T12),1)-2)*20)</f>
        <v>-40</v>
      </c>
      <c r="Y12" s="8" t="s">
        <v>205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1</v>
      </c>
      <c r="D13" s="18">
        <f t="shared" si="1"/>
        <v>1</v>
      </c>
      <c r="E13" s="4" t="str">
        <f>IF($P$1="","",$P$1)</f>
        <v>れんたろう</v>
      </c>
      <c r="F13" s="8" t="s">
        <v>202</v>
      </c>
      <c r="G13" s="9">
        <v>8000</v>
      </c>
      <c r="H13" s="9">
        <v>1000</v>
      </c>
      <c r="I13" s="48">
        <v>1000</v>
      </c>
      <c r="J13" s="21">
        <f t="shared" si="2"/>
        <v>26700</v>
      </c>
      <c r="K13" s="8" t="s">
        <v>201</v>
      </c>
      <c r="L13" s="9">
        <v>-3000</v>
      </c>
      <c r="M13" s="9"/>
      <c r="N13" s="48">
        <v>-500</v>
      </c>
      <c r="O13" s="21">
        <f t="shared" si="3"/>
        <v>68800</v>
      </c>
      <c r="P13" s="8" t="s">
        <v>201</v>
      </c>
      <c r="Q13" s="9">
        <v>-5000</v>
      </c>
      <c r="R13" s="9"/>
      <c r="S13" s="48">
        <v>-500</v>
      </c>
      <c r="T13" s="21">
        <f t="shared" si="4"/>
        <v>9500</v>
      </c>
      <c r="U13" s="53">
        <f>IF($J13="","",ROUND(($J13-$J$3)/1000,1)+(_xlfn.RANK.AVG($J13,($J13,$O13,$T13),1)-2)*20)</f>
        <v>-8.3000000000000007</v>
      </c>
      <c r="V13" s="54">
        <f>IF($O13="","",ROUND(($O13-$O$3)/1000,1)+(_xlfn.RANK.AVG($O13,($J13,$O13,$T13),1)-2)*20)</f>
        <v>53.8</v>
      </c>
      <c r="W13" s="55">
        <f>IF($T13="","",ROUND(($T13-$T$3)/1000,1)+(_xlfn.RANK.AVG($T13,($J13,$O13,$T13),1)-2)*20)</f>
        <v>-45.5</v>
      </c>
      <c r="Y13" s="8"/>
      <c r="Z13" s="34"/>
      <c r="AA13" s="26">
        <v>1</v>
      </c>
      <c r="AB13" s="26"/>
      <c r="AC13" s="26">
        <v>5</v>
      </c>
      <c r="AD13" s="30" t="s">
        <v>199</v>
      </c>
      <c r="AE13" s="40" t="s">
        <v>200</v>
      </c>
      <c r="AF13" s="41" t="s">
        <v>82</v>
      </c>
      <c r="AG13" s="41" t="s">
        <v>208</v>
      </c>
      <c r="AH13" s="41" t="s">
        <v>79</v>
      </c>
      <c r="AI13" s="41" t="s">
        <v>79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tr">
        <f>IF($F$1="","",$F$1)</f>
        <v>りくと</v>
      </c>
      <c r="F14" s="8"/>
      <c r="G14" s="9"/>
      <c r="H14" s="9"/>
      <c r="I14" s="48"/>
      <c r="J14" s="21">
        <f t="shared" si="2"/>
        <v>26700</v>
      </c>
      <c r="K14" s="8" t="s">
        <v>197</v>
      </c>
      <c r="L14" s="9">
        <v>7700</v>
      </c>
      <c r="M14" s="9"/>
      <c r="N14" s="48">
        <v>0</v>
      </c>
      <c r="O14" s="21">
        <f t="shared" si="3"/>
        <v>76500</v>
      </c>
      <c r="P14" s="8" t="s">
        <v>198</v>
      </c>
      <c r="Q14" s="9">
        <v>-7700</v>
      </c>
      <c r="R14" s="9"/>
      <c r="S14" s="48">
        <v>0</v>
      </c>
      <c r="T14" s="21">
        <f t="shared" si="4"/>
        <v>1800</v>
      </c>
      <c r="U14" s="53">
        <f>IF($J14="","",ROUND(($J14-$J$3)/1000,1)+(_xlfn.RANK.AVG($J14,($J14,$O14,$T14),1)-2)*20)</f>
        <v>-8.3000000000000007</v>
      </c>
      <c r="V14" s="54">
        <f>IF($O14="","",ROUND(($O14-$O$3)/1000,1)+(_xlfn.RANK.AVG($O14,($J14,$O14,$T14),1)-2)*20)</f>
        <v>61.5</v>
      </c>
      <c r="W14" s="55">
        <f>IF($T14="","",ROUND(($T14-$T$3)/1000,1)+(_xlfn.RANK.AVG($T14,($J14,$O14,$T14),1)-2)*20)</f>
        <v>-53.2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4</v>
      </c>
      <c r="AY14" s="30">
        <v>30</v>
      </c>
      <c r="AZ14" s="40" t="s">
        <v>83</v>
      </c>
      <c r="BA14" s="41" t="s">
        <v>203</v>
      </c>
      <c r="BB14" s="41" t="s">
        <v>79</v>
      </c>
      <c r="BC14" s="41" t="s">
        <v>79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IF($K$1="","",$K$1)</f>
        <v>だいち</v>
      </c>
      <c r="F15" s="8" t="s">
        <v>198</v>
      </c>
      <c r="G15" s="9">
        <v>-12000</v>
      </c>
      <c r="H15" s="9"/>
      <c r="I15" s="48">
        <v>0</v>
      </c>
      <c r="J15" s="21">
        <f t="shared" si="2"/>
        <v>14700</v>
      </c>
      <c r="K15" s="8" t="s">
        <v>197</v>
      </c>
      <c r="L15" s="9">
        <v>12000</v>
      </c>
      <c r="M15" s="9"/>
      <c r="N15" s="48">
        <v>0</v>
      </c>
      <c r="O15" s="21">
        <f t="shared" si="3"/>
        <v>88500</v>
      </c>
      <c r="P15" s="8"/>
      <c r="Q15" s="9"/>
      <c r="R15" s="9"/>
      <c r="S15" s="48"/>
      <c r="T15" s="21">
        <f t="shared" si="4"/>
        <v>1800</v>
      </c>
      <c r="U15" s="53">
        <f>IF($J15="","",ROUND(($J15-$J$3)/1000,1)+(_xlfn.RANK.AVG($J15,($J15,$O15,$T15),1)-2)*20)</f>
        <v>-20.3</v>
      </c>
      <c r="V15" s="54">
        <f>IF($O15="","",ROUND(($O15-$O$3)/1000,1)+(_xlfn.RANK.AVG($O15,($J15,$O15,$T15),1)-2)*20)</f>
        <v>73.5</v>
      </c>
      <c r="W15" s="55">
        <f>IF($T15="","",ROUND(($T15-$T$3)/1000,1)+(_xlfn.RANK.AVG($T15,($J15,$O15,$T15),1)-2)*20)</f>
        <v>-53.2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>
        <v>5</v>
      </c>
      <c r="AY15" s="30" t="s">
        <v>199</v>
      </c>
      <c r="AZ15" s="40" t="s">
        <v>104</v>
      </c>
      <c r="BA15" s="41" t="s">
        <v>84</v>
      </c>
      <c r="BB15" s="41" t="s">
        <v>86</v>
      </c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qref="F1:T1" xr:uid="{0C4BC9AD-6E47-43AA-BCE0-D56D3B69EE72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341AD8F5-7DD6-48D2-9E2B-B6C04B21AD05}">
      <formula1>"ロン,ツモ,放銃,ツモ支払,流局,チョンボ"</formula1>
    </dataValidation>
    <dataValidation type="list" allowBlank="1" showInputMessage="1" showErrorMessage="1" sqref="E4:E30" xr:uid="{F57A4A8B-EADE-40A0-AFB1-413124073C0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531BF-E6A7-4EDF-A2EB-4A596EF0C8F7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りくと</v>
      </c>
      <c r="V2" s="82" t="str">
        <f>$K$1</f>
        <v>だいち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-32000</v>
      </c>
      <c r="H4" s="9"/>
      <c r="I4" s="48">
        <v>0</v>
      </c>
      <c r="J4" s="21">
        <f>IF(COUNTA($F4,$K4,$P4)&gt;0,J3+SUM(G4:I4),"")</f>
        <v>3000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32000</v>
      </c>
      <c r="R4" s="9"/>
      <c r="S4" s="48">
        <v>0</v>
      </c>
      <c r="T4" s="21">
        <f>IF(COUNTA($F4,$K4,$P4)&gt;0,T3+SUM(Q4:S4),"")</f>
        <v>67000</v>
      </c>
      <c r="U4" s="53">
        <f>IF($J4="","",ROUND(($J4-$J$3)/1000,1)+(_xlfn.RANK.AVG($J4,($J4,$O4,$T4),1)-2)*20)</f>
        <v>-52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52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13</v>
      </c>
      <c r="BT4" s="30" t="s">
        <v>199</v>
      </c>
      <c r="BU4" s="40" t="s">
        <v>107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/>
      <c r="G5" s="9"/>
      <c r="H5" s="9"/>
      <c r="I5" s="48"/>
      <c r="J5" s="21">
        <f t="shared" ref="J5:J30" si="2">IF(COUNTA($F5,$K5,$P5)&gt;0,J4+SUM(G5:I5),"")</f>
        <v>3000</v>
      </c>
      <c r="K5" s="8" t="s">
        <v>197</v>
      </c>
      <c r="L5" s="9">
        <v>5200</v>
      </c>
      <c r="M5" s="9">
        <v>1000</v>
      </c>
      <c r="N5" s="48">
        <v>0</v>
      </c>
      <c r="O5" s="21">
        <f t="shared" ref="O5:O30" si="3">IF(COUNTA($F5,$K5,$P5)&gt;0,O4+SUM(L5:N5),"")</f>
        <v>41200</v>
      </c>
      <c r="P5" s="8" t="s">
        <v>198</v>
      </c>
      <c r="Q5" s="9">
        <v>-5200</v>
      </c>
      <c r="R5" s="9">
        <v>-1000</v>
      </c>
      <c r="S5" s="48">
        <v>0</v>
      </c>
      <c r="T5" s="21">
        <f t="shared" ref="T5:T30" si="4">IF(COUNTA($F5,$K5,$P5)&gt;0,T4+SUM(Q5:S5),"")</f>
        <v>60800</v>
      </c>
      <c r="U5" s="53">
        <f>IF($J5="","",ROUND(($J5-$J$3)/1000,1)+(_xlfn.RANK.AVG($J5,($J5,$O5,$T5),1)-2)*20)</f>
        <v>-52</v>
      </c>
      <c r="V5" s="54">
        <f>IF($O5="","",ROUND(($O5-$O$3)/1000,1)+(_xlfn.RANK.AVG($O5,($J5,$O5,$T5),1)-2)*20)</f>
        <v>6.2</v>
      </c>
      <c r="W5" s="55">
        <f>IF($T5="","",ROUND(($T5-$T$3)/1000,1)+(_xlfn.RANK.AVG($T5,($J5,$O5,$T5),1)-2)*20)</f>
        <v>45.8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200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りくと</v>
      </c>
      <c r="F6" s="8" t="s">
        <v>201</v>
      </c>
      <c r="G6" s="9">
        <v>-2500</v>
      </c>
      <c r="H6" s="9"/>
      <c r="I6" s="48">
        <v>0</v>
      </c>
      <c r="J6" s="21">
        <f t="shared" si="2"/>
        <v>500</v>
      </c>
      <c r="K6" s="8" t="s">
        <v>202</v>
      </c>
      <c r="L6" s="9">
        <v>4000</v>
      </c>
      <c r="M6" s="9"/>
      <c r="N6" s="48">
        <v>0</v>
      </c>
      <c r="O6" s="21">
        <f t="shared" si="3"/>
        <v>45200</v>
      </c>
      <c r="P6" s="8" t="s">
        <v>201</v>
      </c>
      <c r="Q6" s="9">
        <v>-1500</v>
      </c>
      <c r="R6" s="9"/>
      <c r="S6" s="48">
        <v>0</v>
      </c>
      <c r="T6" s="21">
        <f t="shared" si="4"/>
        <v>59300</v>
      </c>
      <c r="U6" s="53">
        <f>IF($J6="","",ROUND(($J6-$J$3)/1000,1)+(_xlfn.RANK.AVG($J6,($J6,$O6,$T6),1)-2)*20)</f>
        <v>-54.5</v>
      </c>
      <c r="V6" s="54">
        <f>IF($O6="","",ROUND(($O6-$O$3)/1000,1)+(_xlfn.RANK.AVG($O6,($J6,$O6,$T6),1)-2)*20)</f>
        <v>10.199999999999999</v>
      </c>
      <c r="W6" s="55">
        <f>IF($T6="","",ROUND(($T6-$T$3)/1000,1)+(_xlfn.RANK.AVG($T6,($J6,$O6,$T6),1)-2)*20)</f>
        <v>44.3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3</v>
      </c>
      <c r="AY6" s="30">
        <v>30</v>
      </c>
      <c r="AZ6" s="40" t="s">
        <v>82</v>
      </c>
      <c r="BA6" s="41" t="s">
        <v>79</v>
      </c>
      <c r="BB6" s="41" t="s">
        <v>79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IF($K$1="","",$K$1)</f>
        <v>だいち</v>
      </c>
      <c r="F7" s="8" t="s">
        <v>201</v>
      </c>
      <c r="G7" s="9">
        <v>-6000</v>
      </c>
      <c r="H7" s="9"/>
      <c r="I7" s="48">
        <v>0</v>
      </c>
      <c r="J7" s="21">
        <f t="shared" si="2"/>
        <v>-5500</v>
      </c>
      <c r="K7" s="8" t="s">
        <v>201</v>
      </c>
      <c r="L7" s="9">
        <v>-10000</v>
      </c>
      <c r="M7" s="9"/>
      <c r="N7" s="48">
        <v>0</v>
      </c>
      <c r="O7" s="21">
        <f t="shared" si="3"/>
        <v>35200</v>
      </c>
      <c r="P7" s="8" t="s">
        <v>202</v>
      </c>
      <c r="Q7" s="9">
        <v>16000</v>
      </c>
      <c r="R7" s="9"/>
      <c r="S7" s="48">
        <v>0</v>
      </c>
      <c r="T7" s="21">
        <f t="shared" si="4"/>
        <v>75300</v>
      </c>
      <c r="U7" s="53">
        <f>IF($J7="","",ROUND(($J7-$J$3)/1000,1)+(_xlfn.RANK.AVG($J7,($J7,$O7,$T7),1)-2)*20)</f>
        <v>-60.5</v>
      </c>
      <c r="V7" s="54">
        <f>IF($O7="","",ROUND(($O7-$O$3)/1000,1)+(_xlfn.RANK.AVG($O7,($J7,$O7,$T7),1)-2)*20)</f>
        <v>0.2</v>
      </c>
      <c r="W7" s="55">
        <f>IF($T7="","",ROUND(($T7-$T$3)/1000,1)+(_xlfn.RANK.AVG($T7,($J7,$O7,$T7),1)-2)*20)</f>
        <v>60.3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8</v>
      </c>
      <c r="BT7" s="30" t="s">
        <v>199</v>
      </c>
      <c r="BU7" s="40" t="s">
        <v>200</v>
      </c>
      <c r="BV7" s="41" t="s">
        <v>82</v>
      </c>
      <c r="BW7" s="41" t="s">
        <v>83</v>
      </c>
      <c r="BX7" s="41" t="s">
        <v>92</v>
      </c>
      <c r="BY7" s="41" t="s">
        <v>79</v>
      </c>
      <c r="BZ7" s="41" t="s">
        <v>79</v>
      </c>
      <c r="CA7" s="41" t="s">
        <v>80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6DBA1DB3-6717-4B1A-8A58-06498B673EA8}">
      <formula1>$U$2:$W$2</formula1>
    </dataValidation>
    <dataValidation type="list" showInputMessage="1" showErrorMessage="1" sqref="K4:K30 P4:P30 F4:F30" xr:uid="{9CBB2FD2-08B9-4797-9736-DF45AD4A6EE6}">
      <formula1>"ロン,ツモ,放銃,ツモ支払,流局,チョンボ"</formula1>
    </dataValidation>
    <dataValidation type="list" allowBlank="1" showInputMessage="1" sqref="F1:T1" xr:uid="{BFF61A1F-7BA2-4ADE-81B3-00889DE9A3F4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81B4E-B526-43BB-A624-3D4276474894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りくと</v>
      </c>
      <c r="V2" s="82" t="str">
        <f>$K$1</f>
        <v>だいち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-48000</v>
      </c>
      <c r="H4" s="9"/>
      <c r="I4" s="48">
        <v>0</v>
      </c>
      <c r="J4" s="21">
        <f>IF(COUNTA($F4,$K4,$P4)&gt;0,J3+SUM(G4:I4),"")</f>
        <v>-13000</v>
      </c>
      <c r="K4" s="8" t="s">
        <v>197</v>
      </c>
      <c r="L4" s="9">
        <v>48000</v>
      </c>
      <c r="M4" s="9"/>
      <c r="N4" s="48">
        <v>0</v>
      </c>
      <c r="O4" s="21">
        <f>IF(COUNTA($F4,$K4,$P4)&gt;0,O3+SUM(L4:N4),"")</f>
        <v>83000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-68</v>
      </c>
      <c r="V4" s="54">
        <f>IF($O4="","",ROUND(($O4-$O$3)/1000,1)+(_xlfn.RANK.AVG($O4,($J4,$O4,$T4),1)-2)*20)</f>
        <v>68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13</v>
      </c>
      <c r="AY4" s="30" t="s">
        <v>199</v>
      </c>
      <c r="AZ4" s="40" t="s">
        <v>121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3B1E29F1-ABC0-4711-BC0F-E7B3EBDF966A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BCEF67C0-B772-48E5-8650-82EA5CFF3F35}">
      <formula1>"ロン,ツモ,放銃,ツモ支払,流局,チョンボ"</formula1>
    </dataValidation>
    <dataValidation type="list" allowBlank="1" showInputMessage="1" showErrorMessage="1" sqref="E4:E30" xr:uid="{255F312E-87D9-463B-BACF-6E3E77B8195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3E126-E073-496E-A7E2-0B838A33DE1F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りくと</v>
      </c>
      <c r="V2" s="82" t="str">
        <f>$K$1</f>
        <v>だいち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 t="s">
        <v>202</v>
      </c>
      <c r="G4" s="9">
        <v>3000</v>
      </c>
      <c r="H4" s="9">
        <v>1000</v>
      </c>
      <c r="I4" s="48">
        <v>0</v>
      </c>
      <c r="J4" s="21">
        <f>IF(COUNTA($F4,$K4,$P4)&gt;0,J3+SUM(G4:I4),"")</f>
        <v>39000</v>
      </c>
      <c r="K4" s="8" t="s">
        <v>201</v>
      </c>
      <c r="L4" s="9">
        <v>-1500</v>
      </c>
      <c r="M4" s="9">
        <v>-1000</v>
      </c>
      <c r="N4" s="48">
        <v>0</v>
      </c>
      <c r="O4" s="21">
        <f>IF(COUNTA($F4,$K4,$P4)&gt;0,O3+SUM(L4:N4),"")</f>
        <v>32500</v>
      </c>
      <c r="P4" s="8" t="s">
        <v>201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IF($J4="","",ROUND(($J4-$J$3)/1000,1)+(_xlfn.RANK.AVG($J4,($J4,$O4,$T4),1)-2)*20)</f>
        <v>24</v>
      </c>
      <c r="V4" s="54">
        <f>IF($O4="","",ROUND(($O4-$O$3)/1000,1)+(_xlfn.RANK.AVG($O4,($J4,$O4,$T4),1)-2)*20)</f>
        <v>-22.5</v>
      </c>
      <c r="W4" s="55">
        <f>IF($T4="","",ROUND(($T4-$T$3)/1000,1)+(_xlfn.RANK.AVG($T4,($J4,$O4,$T4),1)-2)*20)</f>
        <v>-1.5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 t="s">
        <v>202</v>
      </c>
      <c r="G5" s="9">
        <v>12000</v>
      </c>
      <c r="H5" s="9"/>
      <c r="I5" s="48">
        <v>1000</v>
      </c>
      <c r="J5" s="21">
        <f t="shared" ref="J5:J30" si="2">IF(COUNTA($F5,$K5,$P5)&gt;0,J4+SUM(G5:I5),"")</f>
        <v>52000</v>
      </c>
      <c r="K5" s="8" t="s">
        <v>201</v>
      </c>
      <c r="L5" s="9">
        <v>-6000</v>
      </c>
      <c r="M5" s="9"/>
      <c r="N5" s="48">
        <v>-500</v>
      </c>
      <c r="O5" s="21">
        <f t="shared" ref="O5:O30" si="3">IF(COUNTA($F5,$K5,$P5)&gt;0,O4+SUM(L5:N5),"")</f>
        <v>26000</v>
      </c>
      <c r="P5" s="8" t="s">
        <v>201</v>
      </c>
      <c r="Q5" s="9">
        <v>-6000</v>
      </c>
      <c r="R5" s="9"/>
      <c r="S5" s="48">
        <v>-500</v>
      </c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37</v>
      </c>
      <c r="V5" s="54">
        <f>IF($O5="","",ROUND(($O5-$O$3)/1000,1)+(_xlfn.RANK.AVG($O5,($J5,$O5,$T5),1)-2)*20)</f>
        <v>-29</v>
      </c>
      <c r="W5" s="55">
        <f>IF($T5="","",ROUND(($T5-$T$3)/1000,1)+(_xlfn.RANK.AVG($T5,($J5,$O5,$T5),1)-2)*20)</f>
        <v>-8</v>
      </c>
      <c r="Y5" s="8"/>
      <c r="Z5" s="34"/>
      <c r="AA5" s="26">
        <v>1</v>
      </c>
      <c r="AB5" s="26"/>
      <c r="AC5" s="26">
        <v>5</v>
      </c>
      <c r="AD5" s="30" t="s">
        <v>199</v>
      </c>
      <c r="AE5" s="40" t="s">
        <v>200</v>
      </c>
      <c r="AF5" s="41" t="s">
        <v>82</v>
      </c>
      <c r="AG5" s="41" t="s">
        <v>86</v>
      </c>
      <c r="AH5" s="41" t="s">
        <v>203</v>
      </c>
      <c r="AI5" s="41" t="s">
        <v>79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りくと</v>
      </c>
      <c r="F6" s="8" t="s">
        <v>201</v>
      </c>
      <c r="G6" s="9">
        <v>-1300</v>
      </c>
      <c r="H6" s="9"/>
      <c r="I6" s="48">
        <v>-1000</v>
      </c>
      <c r="J6" s="21">
        <f t="shared" si="2"/>
        <v>49700</v>
      </c>
      <c r="K6" s="8" t="s">
        <v>201</v>
      </c>
      <c r="L6" s="9">
        <v>-800</v>
      </c>
      <c r="M6" s="9"/>
      <c r="N6" s="48">
        <v>-1000</v>
      </c>
      <c r="O6" s="21">
        <f t="shared" si="3"/>
        <v>24200</v>
      </c>
      <c r="P6" s="8" t="s">
        <v>202</v>
      </c>
      <c r="Q6" s="9">
        <v>2100</v>
      </c>
      <c r="R6" s="9"/>
      <c r="S6" s="48">
        <v>2000</v>
      </c>
      <c r="T6" s="21">
        <f t="shared" si="4"/>
        <v>31100</v>
      </c>
      <c r="U6" s="53">
        <f>IF($J6="","",ROUND(($J6-$J$3)/1000,1)+(_xlfn.RANK.AVG($J6,($J6,$O6,$T6),1)-2)*20)</f>
        <v>34.700000000000003</v>
      </c>
      <c r="V6" s="54">
        <f>IF($O6="","",ROUND(($O6-$O$3)/1000,1)+(_xlfn.RANK.AVG($O6,($J6,$O6,$T6),1)-2)*20)</f>
        <v>-30.8</v>
      </c>
      <c r="W6" s="55">
        <f>IF($T6="","",ROUND(($T6-$T$3)/1000,1)+(_xlfn.RANK.AVG($T6,($J6,$O6,$T6),1)-2)*20)</f>
        <v>-3.9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82</v>
      </c>
      <c r="BV6" s="41" t="s">
        <v>203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だいち</v>
      </c>
      <c r="F7" s="8" t="s">
        <v>198</v>
      </c>
      <c r="G7" s="9">
        <v>-8000</v>
      </c>
      <c r="H7" s="9"/>
      <c r="I7" s="48">
        <v>0</v>
      </c>
      <c r="J7" s="21">
        <f t="shared" si="2"/>
        <v>41700</v>
      </c>
      <c r="K7" s="8"/>
      <c r="L7" s="9"/>
      <c r="M7" s="9"/>
      <c r="N7" s="48"/>
      <c r="O7" s="21">
        <f t="shared" si="3"/>
        <v>24200</v>
      </c>
      <c r="P7" s="8" t="s">
        <v>197</v>
      </c>
      <c r="Q7" s="9">
        <v>8000</v>
      </c>
      <c r="R7" s="9"/>
      <c r="S7" s="48">
        <v>0</v>
      </c>
      <c r="T7" s="21">
        <f t="shared" si="4"/>
        <v>39100</v>
      </c>
      <c r="U7" s="53">
        <f>IF($J7="","",ROUND(($J7-$J$3)/1000,1)+(_xlfn.RANK.AVG($J7,($J7,$O7,$T7),1)-2)*20)</f>
        <v>26.7</v>
      </c>
      <c r="V7" s="54">
        <f>IF($O7="","",ROUND(($O7-$O$3)/1000,1)+(_xlfn.RANK.AVG($O7,($J7,$O7,$T7),1)-2)*20)</f>
        <v>-30.8</v>
      </c>
      <c r="W7" s="55">
        <f>IF($T7="","",ROUND(($T7-$T$3)/1000,1)+(_xlfn.RANK.AVG($T7,($J7,$O7,$T7),1)-2)*20)</f>
        <v>4.0999999999999996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40</v>
      </c>
      <c r="BU7" s="40" t="s">
        <v>200</v>
      </c>
      <c r="BV7" s="41" t="s">
        <v>208</v>
      </c>
      <c r="BW7" s="41" t="s">
        <v>79</v>
      </c>
      <c r="BX7" s="41" t="s">
        <v>79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れんたろう</v>
      </c>
      <c r="F8" s="8" t="s">
        <v>202</v>
      </c>
      <c r="G8" s="9">
        <v>8000</v>
      </c>
      <c r="H8" s="9"/>
      <c r="I8" s="48">
        <v>0</v>
      </c>
      <c r="J8" s="21">
        <f t="shared" si="2"/>
        <v>49700</v>
      </c>
      <c r="K8" s="8" t="s">
        <v>201</v>
      </c>
      <c r="L8" s="9">
        <v>-3000</v>
      </c>
      <c r="M8" s="9"/>
      <c r="N8" s="48">
        <v>0</v>
      </c>
      <c r="O8" s="21">
        <f t="shared" si="3"/>
        <v>21200</v>
      </c>
      <c r="P8" s="8" t="s">
        <v>201</v>
      </c>
      <c r="Q8" s="9">
        <v>-5000</v>
      </c>
      <c r="R8" s="9"/>
      <c r="S8" s="48">
        <v>0</v>
      </c>
      <c r="T8" s="21">
        <f t="shared" si="4"/>
        <v>34100</v>
      </c>
      <c r="U8" s="53">
        <f>IF($J8="","",ROUND(($J8-$J$3)/1000,1)+(_xlfn.RANK.AVG($J8,($J8,$O8,$T8),1)-2)*20)</f>
        <v>34.700000000000003</v>
      </c>
      <c r="V8" s="54">
        <f>IF($O8="","",ROUND(($O8-$O$3)/1000,1)+(_xlfn.RANK.AVG($O8,($J8,$O8,$T8),1)-2)*20)</f>
        <v>-33.799999999999997</v>
      </c>
      <c r="W8" s="55">
        <f>IF($T8="","",ROUND(($T8-$T$3)/1000,1)+(_xlfn.RANK.AVG($T8,($J8,$O8,$T8),1)-2)*20)</f>
        <v>-0.9</v>
      </c>
      <c r="Y8" s="8"/>
      <c r="Z8" s="34"/>
      <c r="AA8" s="26">
        <v>1</v>
      </c>
      <c r="AB8" s="26"/>
      <c r="AC8" s="26">
        <v>5</v>
      </c>
      <c r="AD8" s="30" t="s">
        <v>199</v>
      </c>
      <c r="AE8" s="40" t="s">
        <v>200</v>
      </c>
      <c r="AF8" s="41" t="s">
        <v>82</v>
      </c>
      <c r="AG8" s="41" t="s">
        <v>83</v>
      </c>
      <c r="AH8" s="41" t="s">
        <v>79</v>
      </c>
      <c r="AI8" s="41" t="s">
        <v>80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りくと</v>
      </c>
      <c r="F9" s="8"/>
      <c r="G9" s="9"/>
      <c r="H9" s="9"/>
      <c r="I9" s="48"/>
      <c r="J9" s="21">
        <f t="shared" si="2"/>
        <v>49700</v>
      </c>
      <c r="K9" s="8" t="s">
        <v>198</v>
      </c>
      <c r="L9" s="9">
        <v>-7700</v>
      </c>
      <c r="M9" s="9">
        <v>-1000</v>
      </c>
      <c r="N9" s="48">
        <v>0</v>
      </c>
      <c r="O9" s="21">
        <f t="shared" si="3"/>
        <v>12500</v>
      </c>
      <c r="P9" s="8" t="s">
        <v>197</v>
      </c>
      <c r="Q9" s="9">
        <v>7700</v>
      </c>
      <c r="R9" s="9">
        <v>1000</v>
      </c>
      <c r="S9" s="48">
        <v>0</v>
      </c>
      <c r="T9" s="21">
        <f t="shared" si="4"/>
        <v>42800</v>
      </c>
      <c r="U9" s="53">
        <f>IF($J9="","",ROUND(($J9-$J$3)/1000,1)+(_xlfn.RANK.AVG($J9,($J9,$O9,$T9),1)-2)*20)</f>
        <v>34.700000000000003</v>
      </c>
      <c r="V9" s="54">
        <f>IF($O9="","",ROUND(($O9-$O$3)/1000,1)+(_xlfn.RANK.AVG($O9,($J9,$O9,$T9),1)-2)*20)</f>
        <v>-42.5</v>
      </c>
      <c r="W9" s="55">
        <f>IF($T9="","",ROUND(($T9-$T$3)/1000,1)+(_xlfn.RANK.AVG($T9,($J9,$O9,$T9),1)-2)*20)</f>
        <v>7.8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104</v>
      </c>
      <c r="BV9" s="41" t="s">
        <v>86</v>
      </c>
      <c r="BW9" s="41" t="s">
        <v>203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201</v>
      </c>
      <c r="G10" s="9">
        <v>-4500</v>
      </c>
      <c r="H10" s="9"/>
      <c r="I10" s="48">
        <v>0</v>
      </c>
      <c r="J10" s="21">
        <f t="shared" si="2"/>
        <v>45200</v>
      </c>
      <c r="K10" s="8" t="s">
        <v>201</v>
      </c>
      <c r="L10" s="9">
        <v>-7500</v>
      </c>
      <c r="M10" s="9"/>
      <c r="N10" s="48">
        <v>0</v>
      </c>
      <c r="O10" s="21">
        <f t="shared" si="3"/>
        <v>5000</v>
      </c>
      <c r="P10" s="8" t="s">
        <v>202</v>
      </c>
      <c r="Q10" s="9">
        <v>12000</v>
      </c>
      <c r="R10" s="9"/>
      <c r="S10" s="48">
        <v>0</v>
      </c>
      <c r="T10" s="21">
        <f t="shared" si="4"/>
        <v>54800</v>
      </c>
      <c r="U10" s="53">
        <f>IF($J10="","",ROUND(($J10-$J$3)/1000,1)+(_xlfn.RANK.AVG($J10,($J10,$O10,$T10),1)-2)*20)</f>
        <v>10.199999999999999</v>
      </c>
      <c r="V10" s="54">
        <f>IF($O10="","",ROUND(($O10-$O$3)/1000,1)+(_xlfn.RANK.AVG($O10,($J10,$O10,$T10),1)-2)*20)</f>
        <v>-50</v>
      </c>
      <c r="W10" s="55">
        <f>IF($T10="","",ROUND(($T10-$T$3)/1000,1)+(_xlfn.RANK.AVG($T10,($J10,$O10,$T10),1)-2)*20)</f>
        <v>39.799999999999997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6</v>
      </c>
      <c r="BT10" s="30" t="s">
        <v>199</v>
      </c>
      <c r="BU10" s="40" t="s">
        <v>82</v>
      </c>
      <c r="BV10" s="41" t="s">
        <v>89</v>
      </c>
      <c r="BW10" s="41" t="s">
        <v>86</v>
      </c>
      <c r="BX10" s="41" t="s">
        <v>79</v>
      </c>
      <c r="BY10" s="41" t="s">
        <v>79</v>
      </c>
      <c r="BZ10" s="41" t="s">
        <v>79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れんたろう</v>
      </c>
      <c r="F11" s="8" t="s">
        <v>202</v>
      </c>
      <c r="G11" s="9">
        <v>12000</v>
      </c>
      <c r="H11" s="9"/>
      <c r="I11" s="48">
        <v>0</v>
      </c>
      <c r="J11" s="21">
        <f t="shared" si="2"/>
        <v>57200</v>
      </c>
      <c r="K11" s="8" t="s">
        <v>201</v>
      </c>
      <c r="L11" s="9">
        <v>-4500</v>
      </c>
      <c r="M11" s="9"/>
      <c r="N11" s="48">
        <v>0</v>
      </c>
      <c r="O11" s="21">
        <f t="shared" si="3"/>
        <v>500</v>
      </c>
      <c r="P11" s="8" t="s">
        <v>201</v>
      </c>
      <c r="Q11" s="9">
        <v>-7500</v>
      </c>
      <c r="R11" s="9"/>
      <c r="S11" s="48">
        <v>0</v>
      </c>
      <c r="T11" s="21">
        <f t="shared" si="4"/>
        <v>47300</v>
      </c>
      <c r="U11" s="53">
        <f>IF($J11="","",ROUND(($J11-$J$3)/1000,1)+(_xlfn.RANK.AVG($J11,($J11,$O11,$T11),1)-2)*20)</f>
        <v>42.2</v>
      </c>
      <c r="V11" s="54">
        <f>IF($O11="","",ROUND(($O11-$O$3)/1000,1)+(_xlfn.RANK.AVG($O11,($J11,$O11,$T11),1)-2)*20)</f>
        <v>-54.5</v>
      </c>
      <c r="W11" s="55">
        <f>IF($T11="","",ROUND(($T11-$T$3)/1000,1)+(_xlfn.RANK.AVG($T11,($J11,$O11,$T11),1)-2)*20)</f>
        <v>12.3</v>
      </c>
      <c r="Y11" s="8"/>
      <c r="Z11" s="34"/>
      <c r="AA11" s="26"/>
      <c r="AB11" s="26">
        <v>1</v>
      </c>
      <c r="AC11" s="26">
        <v>7</v>
      </c>
      <c r="AD11" s="30" t="s">
        <v>199</v>
      </c>
      <c r="AE11" s="40" t="s">
        <v>96</v>
      </c>
      <c r="AF11" s="41" t="s">
        <v>98</v>
      </c>
      <c r="AG11" s="41" t="s">
        <v>86</v>
      </c>
      <c r="AH11" s="41" t="s">
        <v>79</v>
      </c>
      <c r="AI11" s="41" t="s">
        <v>79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C119D727-6A11-4CB4-97E7-CC2549373F49}">
      <formula1>$U$2:$W$2</formula1>
    </dataValidation>
    <dataValidation type="list" showInputMessage="1" showErrorMessage="1" sqref="K4:K30 P4:P30 F4:F30" xr:uid="{CF0E839A-852F-4C27-9C95-2F6B3CF304B1}">
      <formula1>"ロン,ツモ,放銃,ツモ支払,流局,チョンボ"</formula1>
    </dataValidation>
    <dataValidation type="list" allowBlank="1" showInputMessage="1" sqref="F1:T1" xr:uid="{0BB0EC3E-8775-4859-A125-471D368AFB0A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302E4-EE68-484C-B1F6-9285996136BB}">
  <sheetPr codeName="Sheet19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192</v>
      </c>
      <c r="G1" s="84"/>
      <c r="H1" s="84"/>
      <c r="I1" s="85"/>
      <c r="J1" s="86"/>
      <c r="K1" s="83" t="s">
        <v>196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りくと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だいち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りくと</v>
      </c>
      <c r="V2" s="82" t="str">
        <f>$K$1</f>
        <v>だいち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210</v>
      </c>
      <c r="F4" s="8" t="s">
        <v>201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202</v>
      </c>
      <c r="L4" s="9">
        <v>4000</v>
      </c>
      <c r="M4" s="9">
        <v>1000</v>
      </c>
      <c r="N4" s="48">
        <v>0</v>
      </c>
      <c r="O4" s="21">
        <f>IF(COUNTA($F4,$K4,$P4)&gt;0,O3+SUM(L4:N4),"")</f>
        <v>40000</v>
      </c>
      <c r="P4" s="8" t="s">
        <v>201</v>
      </c>
      <c r="Q4" s="9">
        <v>-1500</v>
      </c>
      <c r="R4" s="9">
        <v>-1000</v>
      </c>
      <c r="S4" s="48">
        <v>0</v>
      </c>
      <c r="T4" s="21">
        <f>IF(COUNTA($F4,$K4,$P4)&gt;0,T3+SUM(Q4:S4),"")</f>
        <v>32500</v>
      </c>
      <c r="U4" s="53">
        <f>IF($J4="","",ROUND(($J4-$J$3)/1000,1)+(_xlfn.RANK.AVG($J4,($J4,$O4,$T4),1)-2)*20)</f>
        <v>-12.5</v>
      </c>
      <c r="V4" s="54">
        <f>IF($O4="","",ROUND(($O4-$O$3)/1000,1)+(_xlfn.RANK.AVG($O4,($J4,$O4,$T4),1)-2)*20)</f>
        <v>25</v>
      </c>
      <c r="W4" s="55">
        <f>IF($T4="","",ROUND(($T4-$T$3)/1000,1)+(_xlfn.RANK.AVG($T4,($J4,$O4,$T4),1)-2)*20)</f>
        <v>-12.5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30</v>
      </c>
      <c r="AZ4" s="40" t="s">
        <v>200</v>
      </c>
      <c r="BA4" s="41" t="s">
        <v>82</v>
      </c>
      <c r="BB4" s="41" t="s">
        <v>203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 t="s">
        <v>202</v>
      </c>
      <c r="G5" s="9">
        <v>1200</v>
      </c>
      <c r="H5" s="9">
        <v>1000</v>
      </c>
      <c r="I5" s="48">
        <v>0</v>
      </c>
      <c r="J5" s="21">
        <f t="shared" ref="J5:J30" si="2">IF(COUNTA($F5,$K5,$P5)&gt;0,J4+SUM(G5:I5),"")</f>
        <v>34700</v>
      </c>
      <c r="K5" s="8" t="s">
        <v>201</v>
      </c>
      <c r="L5" s="9">
        <v>-700</v>
      </c>
      <c r="M5" s="9"/>
      <c r="N5" s="48">
        <v>0</v>
      </c>
      <c r="O5" s="21">
        <f t="shared" ref="O5:O30" si="3">IF(COUNTA($F5,$K5,$P5)&gt;0,O4+SUM(L5:N5),"")</f>
        <v>39300</v>
      </c>
      <c r="P5" s="8" t="s">
        <v>201</v>
      </c>
      <c r="Q5" s="9">
        <v>-500</v>
      </c>
      <c r="R5" s="9">
        <v>-1000</v>
      </c>
      <c r="S5" s="48">
        <v>0</v>
      </c>
      <c r="T5" s="21">
        <f t="shared" ref="T5:T30" si="4">IF(COUNTA($F5,$K5,$P5)&gt;0,T4+SUM(Q5:S5),"")</f>
        <v>31000</v>
      </c>
      <c r="U5" s="53">
        <f>IF($J5="","",ROUND(($J5-$J$3)/1000,1)+(_xlfn.RANK.AVG($J5,($J5,$O5,$T5),1)-2)*20)</f>
        <v>-0.3</v>
      </c>
      <c r="V5" s="54">
        <f>IF($O5="","",ROUND(($O5-$O$3)/1000,1)+(_xlfn.RANK.AVG($O5,($J5,$O5,$T5),1)-2)*20)</f>
        <v>24.3</v>
      </c>
      <c r="W5" s="55">
        <f>IF($T5="","",ROUND(($T5-$T$3)/1000,1)+(_xlfn.RANK.AVG($T5,($J5,$O5,$T5),1)-2)*20)</f>
        <v>-24</v>
      </c>
      <c r="Y5" s="8"/>
      <c r="Z5" s="34"/>
      <c r="AA5" s="26"/>
      <c r="AB5" s="26">
        <v>1</v>
      </c>
      <c r="AC5" s="26">
        <v>1</v>
      </c>
      <c r="AD5" s="30">
        <v>30</v>
      </c>
      <c r="AE5" s="40" t="s">
        <v>86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201</v>
      </c>
      <c r="G6" s="9">
        <v>-1500</v>
      </c>
      <c r="H6" s="9"/>
      <c r="I6" s="48">
        <v>0</v>
      </c>
      <c r="J6" s="21">
        <f t="shared" si="2"/>
        <v>33200</v>
      </c>
      <c r="K6" s="8" t="s">
        <v>201</v>
      </c>
      <c r="L6" s="9">
        <v>-1500</v>
      </c>
      <c r="M6" s="9"/>
      <c r="N6" s="48">
        <v>0</v>
      </c>
      <c r="O6" s="21">
        <f t="shared" si="3"/>
        <v>37800</v>
      </c>
      <c r="P6" s="8" t="s">
        <v>202</v>
      </c>
      <c r="Q6" s="9">
        <v>3000</v>
      </c>
      <c r="R6" s="9"/>
      <c r="S6" s="48">
        <v>0</v>
      </c>
      <c r="T6" s="21">
        <f t="shared" si="4"/>
        <v>34000</v>
      </c>
      <c r="U6" s="53">
        <f>IF($J6="","",ROUND(($J6-$J$3)/1000,1)+(_xlfn.RANK.AVG($J6,($J6,$O6,$T6),1)-2)*20)</f>
        <v>-21.8</v>
      </c>
      <c r="V6" s="54">
        <f>IF($O6="","",ROUND(($O6-$O$3)/1000,1)+(_xlfn.RANK.AVG($O6,($J6,$O6,$T6),1)-2)*20)</f>
        <v>22.8</v>
      </c>
      <c r="W6" s="55">
        <f>IF($T6="","",ROUND(($T6-$T$3)/1000,1)+(_xlfn.RANK.AVG($T6,($J6,$O6,$T6),1)-2)*20)</f>
        <v>-1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れんたろう</v>
      </c>
      <c r="F7" s="8" t="s">
        <v>197</v>
      </c>
      <c r="G7" s="9">
        <v>8000</v>
      </c>
      <c r="H7" s="9"/>
      <c r="I7" s="48">
        <v>1000</v>
      </c>
      <c r="J7" s="21">
        <f t="shared" si="2"/>
        <v>42200</v>
      </c>
      <c r="K7" s="8" t="s">
        <v>198</v>
      </c>
      <c r="L7" s="9">
        <v>-8000</v>
      </c>
      <c r="M7" s="9"/>
      <c r="N7" s="48">
        <v>-1000</v>
      </c>
      <c r="O7" s="21">
        <f t="shared" si="3"/>
        <v>28800</v>
      </c>
      <c r="P7" s="8"/>
      <c r="Q7" s="9"/>
      <c r="R7" s="9"/>
      <c r="S7" s="48"/>
      <c r="T7" s="21">
        <f t="shared" si="4"/>
        <v>34000</v>
      </c>
      <c r="U7" s="53">
        <f>IF($J7="","",ROUND(($J7-$J$3)/1000,1)+(_xlfn.RANK.AVG($J7,($J7,$O7,$T7),1)-2)*20)</f>
        <v>27.2</v>
      </c>
      <c r="V7" s="54">
        <f>IF($O7="","",ROUND(($O7-$O$3)/1000,1)+(_xlfn.RANK.AVG($O7,($J7,$O7,$T7),1)-2)*20)</f>
        <v>-26.2</v>
      </c>
      <c r="W7" s="55">
        <f>IF($T7="","",ROUND(($T7-$T$3)/1000,1)+(_xlfn.RANK.AVG($T7,($J7,$O7,$T7),1)-2)*20)</f>
        <v>-1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200</v>
      </c>
      <c r="AF7" s="41" t="s">
        <v>86</v>
      </c>
      <c r="AG7" s="41" t="s">
        <v>80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197</v>
      </c>
      <c r="G8" s="9">
        <v>9600</v>
      </c>
      <c r="H8" s="9"/>
      <c r="I8" s="48">
        <v>0</v>
      </c>
      <c r="J8" s="21">
        <f t="shared" si="2"/>
        <v>51800</v>
      </c>
      <c r="K8" s="8" t="s">
        <v>198</v>
      </c>
      <c r="L8" s="9">
        <v>-9600</v>
      </c>
      <c r="M8" s="9"/>
      <c r="N8" s="48">
        <v>0</v>
      </c>
      <c r="O8" s="21">
        <f t="shared" si="3"/>
        <v>19200</v>
      </c>
      <c r="P8" s="8"/>
      <c r="Q8" s="9"/>
      <c r="R8" s="9"/>
      <c r="S8" s="48"/>
      <c r="T8" s="21">
        <f t="shared" si="4"/>
        <v>34000</v>
      </c>
      <c r="U8" s="53">
        <f>IF($J8="","",ROUND(($J8-$J$3)/1000,1)+(_xlfn.RANK.AVG($J8,($J8,$O8,$T8),1)-2)*20)</f>
        <v>36.799999999999997</v>
      </c>
      <c r="V8" s="54">
        <f>IF($O8="","",ROUND(($O8-$O$3)/1000,1)+(_xlfn.RANK.AVG($O8,($J8,$O8,$T8),1)-2)*20)</f>
        <v>-35.799999999999997</v>
      </c>
      <c r="W8" s="55">
        <f>IF($T8="","",ROUND(($T8-$T$3)/1000,1)+(_xlfn.RANK.AVG($T8,($J8,$O8,$T8),1)-2)*20)</f>
        <v>-1</v>
      </c>
      <c r="Y8" s="8"/>
      <c r="Z8" s="34"/>
      <c r="AA8" s="26"/>
      <c r="AB8" s="26"/>
      <c r="AC8" s="26">
        <v>4</v>
      </c>
      <c r="AD8" s="30">
        <v>25</v>
      </c>
      <c r="AE8" s="40" t="s">
        <v>101</v>
      </c>
      <c r="AF8" s="41" t="s">
        <v>79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りくと</v>
      </c>
      <c r="F9" s="8" t="s">
        <v>206</v>
      </c>
      <c r="G9" s="9">
        <v>0</v>
      </c>
      <c r="H9" s="9">
        <v>-1000</v>
      </c>
      <c r="I9" s="48"/>
      <c r="J9" s="21">
        <f t="shared" si="2"/>
        <v>50800</v>
      </c>
      <c r="K9" s="8" t="s">
        <v>206</v>
      </c>
      <c r="L9" s="9">
        <v>0</v>
      </c>
      <c r="M9" s="9">
        <v>-1000</v>
      </c>
      <c r="N9" s="48"/>
      <c r="O9" s="21">
        <f t="shared" si="3"/>
        <v>18200</v>
      </c>
      <c r="P9" s="8" t="s">
        <v>206</v>
      </c>
      <c r="Q9" s="9">
        <v>0</v>
      </c>
      <c r="R9" s="9">
        <v>-2000</v>
      </c>
      <c r="S9" s="48"/>
      <c r="T9" s="21">
        <f t="shared" si="4"/>
        <v>32000</v>
      </c>
      <c r="U9" s="53">
        <f>IF($J9="","",ROUND(($J9-$J$3)/1000,1)+(_xlfn.RANK.AVG($J9,($J9,$O9,$T9),1)-2)*20)</f>
        <v>35.799999999999997</v>
      </c>
      <c r="V9" s="54">
        <f>IF($O9="","",ROUND(($O9-$O$3)/1000,1)+(_xlfn.RANK.AVG($O9,($J9,$O9,$T9),1)-2)*20)</f>
        <v>-36.799999999999997</v>
      </c>
      <c r="W9" s="55">
        <f>IF($T9="","",ROUND(($T9-$T$3)/1000,1)+(_xlfn.RANK.AVG($T9,($J9,$O9,$T9),1)-2)*20)</f>
        <v>-3</v>
      </c>
      <c r="Y9" s="8" t="s">
        <v>205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205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4</v>
      </c>
      <c r="E10" s="4" t="str">
        <f>IF($F$1="","",$F$1)</f>
        <v>りくと</v>
      </c>
      <c r="F10" s="8" t="s">
        <v>197</v>
      </c>
      <c r="G10" s="9">
        <v>3900</v>
      </c>
      <c r="H10" s="9">
        <v>4000</v>
      </c>
      <c r="I10" s="48">
        <v>2000</v>
      </c>
      <c r="J10" s="21">
        <f t="shared" si="2"/>
        <v>60700</v>
      </c>
      <c r="K10" s="8" t="s">
        <v>198</v>
      </c>
      <c r="L10" s="9">
        <v>-3900</v>
      </c>
      <c r="M10" s="9"/>
      <c r="N10" s="48">
        <v>-2000</v>
      </c>
      <c r="O10" s="21">
        <f t="shared" si="3"/>
        <v>12300</v>
      </c>
      <c r="P10" s="8"/>
      <c r="Q10" s="9"/>
      <c r="R10" s="9"/>
      <c r="S10" s="48"/>
      <c r="T10" s="21">
        <f t="shared" si="4"/>
        <v>32000</v>
      </c>
      <c r="U10" s="53">
        <f>IF($J10="","",ROUND(($J10-$J$3)/1000,1)+(_xlfn.RANK.AVG($J10,($J10,$O10,$T10),1)-2)*20)</f>
        <v>45.7</v>
      </c>
      <c r="V10" s="54">
        <f>IF($O10="","",ROUND(($O10-$O$3)/1000,1)+(_xlfn.RANK.AVG($O10,($J10,$O10,$T10),1)-2)*20)</f>
        <v>-42.7</v>
      </c>
      <c r="W10" s="55">
        <f>IF($T10="","",ROUND(($T10-$T$3)/1000,1)+(_xlfn.RANK.AVG($T10,($J10,$O10,$T10),1)-2)*20)</f>
        <v>-3</v>
      </c>
      <c r="Y10" s="8"/>
      <c r="Z10" s="34"/>
      <c r="AA10" s="26">
        <v>1</v>
      </c>
      <c r="AB10" s="26"/>
      <c r="AC10" s="26">
        <v>2</v>
      </c>
      <c r="AD10" s="30">
        <v>40</v>
      </c>
      <c r="AE10" s="40" t="s">
        <v>200</v>
      </c>
      <c r="AF10" s="41" t="s">
        <v>80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3</v>
      </c>
      <c r="D11" s="18">
        <f t="shared" si="1"/>
        <v>0</v>
      </c>
      <c r="E11" s="4" t="str">
        <f>IF($F$1="","",$F$1)</f>
        <v>りくと</v>
      </c>
      <c r="F11" s="8" t="s">
        <v>209</v>
      </c>
      <c r="G11" s="9">
        <v>-10000</v>
      </c>
      <c r="H11" s="9"/>
      <c r="I11" s="48"/>
      <c r="J11" s="21">
        <f t="shared" si="2"/>
        <v>50700</v>
      </c>
      <c r="K11" s="8" t="s">
        <v>209</v>
      </c>
      <c r="L11" s="9">
        <v>5000</v>
      </c>
      <c r="M11" s="9">
        <v>-1000</v>
      </c>
      <c r="N11" s="48"/>
      <c r="O11" s="21">
        <f t="shared" si="3"/>
        <v>16300</v>
      </c>
      <c r="P11" s="8" t="s">
        <v>209</v>
      </c>
      <c r="Q11" s="9">
        <v>5000</v>
      </c>
      <c r="R11" s="9"/>
      <c r="S11" s="48"/>
      <c r="T11" s="21">
        <f t="shared" si="4"/>
        <v>37000</v>
      </c>
      <c r="U11" s="53">
        <f>IF($J11="","",ROUND(($J11-$J$3)/1000,1)+(_xlfn.RANK.AVG($J11,($J11,$O11,$T11),1)-2)*20)</f>
        <v>35.700000000000003</v>
      </c>
      <c r="V11" s="54">
        <f>IF($O11="","",ROUND(($O11-$O$3)/1000,1)+(_xlfn.RANK.AVG($O11,($J11,$O11,$T11),1)-2)*20)</f>
        <v>-38.700000000000003</v>
      </c>
      <c r="W11" s="55">
        <f>IF($T11="","",ROUND(($T11-$T$3)/1000,1)+(_xlfn.RANK.AVG($T11,($J11,$O11,$T11),1)-2)*20)</f>
        <v>2</v>
      </c>
      <c r="Y11" s="8"/>
      <c r="Z11" s="34">
        <v>1</v>
      </c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1</v>
      </c>
      <c r="E12" s="4" t="str">
        <f>IF($K$1="","",$K$1)</f>
        <v>だいち</v>
      </c>
      <c r="F12" s="8"/>
      <c r="G12" s="9"/>
      <c r="H12" s="9"/>
      <c r="I12" s="48"/>
      <c r="J12" s="21">
        <f t="shared" si="2"/>
        <v>50700</v>
      </c>
      <c r="K12" s="8" t="s">
        <v>197</v>
      </c>
      <c r="L12" s="9">
        <v>12000</v>
      </c>
      <c r="M12" s="9">
        <v>1000</v>
      </c>
      <c r="N12" s="48">
        <v>3000</v>
      </c>
      <c r="O12" s="21">
        <f t="shared" si="3"/>
        <v>32300</v>
      </c>
      <c r="P12" s="8" t="s">
        <v>198</v>
      </c>
      <c r="Q12" s="9">
        <v>-12000</v>
      </c>
      <c r="R12" s="9"/>
      <c r="S12" s="48">
        <v>-3000</v>
      </c>
      <c r="T12" s="21">
        <f t="shared" si="4"/>
        <v>22000</v>
      </c>
      <c r="U12" s="53">
        <f>IF($J12="","",ROUND(($J12-$J$3)/1000,1)+(_xlfn.RANK.AVG($J12,($J12,$O12,$T12),1)-2)*20)</f>
        <v>35.700000000000003</v>
      </c>
      <c r="V12" s="54">
        <f>IF($O12="","",ROUND(($O12-$O$3)/1000,1)+(_xlfn.RANK.AVG($O12,($J12,$O12,$T12),1)-2)*20)</f>
        <v>-2.7</v>
      </c>
      <c r="W12" s="55">
        <f>IF($T12="","",ROUND(($T12-$T$3)/1000,1)+(_xlfn.RANK.AVG($T12,($J12,$O12,$T12),1)-2)*20)</f>
        <v>-33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5</v>
      </c>
      <c r="AY12" s="30" t="s">
        <v>199</v>
      </c>
      <c r="AZ12" s="40" t="s">
        <v>200</v>
      </c>
      <c r="BA12" s="41" t="s">
        <v>92</v>
      </c>
      <c r="BB12" s="41" t="s">
        <v>203</v>
      </c>
      <c r="BC12" s="41" t="s">
        <v>80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4</v>
      </c>
      <c r="D13" s="18">
        <f t="shared" si="1"/>
        <v>0</v>
      </c>
      <c r="E13" s="4" t="str">
        <f>IF($K$1="","",$K$1)</f>
        <v>だいち</v>
      </c>
      <c r="F13" s="8"/>
      <c r="G13" s="9"/>
      <c r="H13" s="9"/>
      <c r="I13" s="48"/>
      <c r="J13" s="21">
        <f t="shared" si="2"/>
        <v>50700</v>
      </c>
      <c r="K13" s="8" t="s">
        <v>197</v>
      </c>
      <c r="L13" s="9">
        <v>5800</v>
      </c>
      <c r="M13" s="9">
        <v>1000</v>
      </c>
      <c r="N13" s="48">
        <v>4000</v>
      </c>
      <c r="O13" s="21">
        <f t="shared" si="3"/>
        <v>43100</v>
      </c>
      <c r="P13" s="8" t="s">
        <v>198</v>
      </c>
      <c r="Q13" s="9">
        <v>-5800</v>
      </c>
      <c r="R13" s="9">
        <v>-1000</v>
      </c>
      <c r="S13" s="48">
        <v>-4000</v>
      </c>
      <c r="T13" s="21">
        <f t="shared" si="4"/>
        <v>11200</v>
      </c>
      <c r="U13" s="53">
        <f>IF($J13="","",ROUND(($J13-$J$3)/1000,1)+(_xlfn.RANK.AVG($J13,($J13,$O13,$T13),1)-2)*20)</f>
        <v>35.700000000000003</v>
      </c>
      <c r="V13" s="54">
        <f>IF($O13="","",ROUND(($O13-$O$3)/1000,1)+(_xlfn.RANK.AVG($O13,($J13,$O13,$T13),1)-2)*20)</f>
        <v>8.1</v>
      </c>
      <c r="W13" s="55">
        <f>IF($T13="","",ROUND(($T13-$T$3)/1000,1)+(_xlfn.RANK.AVG($T13,($J13,$O13,$T13),1)-2)*20)</f>
        <v>-43.8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3</v>
      </c>
      <c r="AY13" s="30">
        <v>30</v>
      </c>
      <c r="AZ13" s="40" t="s">
        <v>86</v>
      </c>
      <c r="BA13" s="41" t="s">
        <v>79</v>
      </c>
      <c r="BB13" s="41" t="s">
        <v>79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5</v>
      </c>
      <c r="D14" s="18">
        <f t="shared" si="1"/>
        <v>0</v>
      </c>
      <c r="E14" s="4" t="str">
        <f>IF($K$1="","",$K$1)</f>
        <v>だいち</v>
      </c>
      <c r="F14" s="8" t="s">
        <v>202</v>
      </c>
      <c r="G14" s="9">
        <v>8000</v>
      </c>
      <c r="H14" s="9"/>
      <c r="I14" s="48">
        <v>5000</v>
      </c>
      <c r="J14" s="21">
        <f t="shared" si="2"/>
        <v>63700</v>
      </c>
      <c r="K14" s="8" t="s">
        <v>201</v>
      </c>
      <c r="L14" s="9">
        <v>-5000</v>
      </c>
      <c r="M14" s="9"/>
      <c r="N14" s="48">
        <v>-2500</v>
      </c>
      <c r="O14" s="21">
        <f t="shared" si="3"/>
        <v>35600</v>
      </c>
      <c r="P14" s="8" t="s">
        <v>201</v>
      </c>
      <c r="Q14" s="9">
        <v>-3000</v>
      </c>
      <c r="R14" s="9"/>
      <c r="S14" s="48">
        <v>-2500</v>
      </c>
      <c r="T14" s="21">
        <f t="shared" si="4"/>
        <v>5700</v>
      </c>
      <c r="U14" s="53">
        <f>IF($J14="","",ROUND(($J14-$J$3)/1000,1)+(_xlfn.RANK.AVG($J14,($J14,$O14,$T14),1)-2)*20)</f>
        <v>48.7</v>
      </c>
      <c r="V14" s="54">
        <f>IF($O14="","",ROUND(($O14-$O$3)/1000,1)+(_xlfn.RANK.AVG($O14,($J14,$O14,$T14),1)-2)*20)</f>
        <v>0.6</v>
      </c>
      <c r="W14" s="55">
        <f>IF($T14="","",ROUND(($T14-$T$3)/1000,1)+(_xlfn.RANK.AVG($T14,($J14,$O14,$T14),1)-2)*20)</f>
        <v>-49.3</v>
      </c>
      <c r="Y14" s="8"/>
      <c r="Z14" s="34"/>
      <c r="AA14" s="26">
        <v>1</v>
      </c>
      <c r="AB14" s="26"/>
      <c r="AC14" s="26">
        <v>5</v>
      </c>
      <c r="AD14" s="30" t="s">
        <v>199</v>
      </c>
      <c r="AE14" s="40" t="s">
        <v>200</v>
      </c>
      <c r="AF14" s="41" t="s">
        <v>82</v>
      </c>
      <c r="AG14" s="41" t="s">
        <v>83</v>
      </c>
      <c r="AH14" s="41" t="s">
        <v>203</v>
      </c>
      <c r="AI14" s="41" t="s">
        <v>80</v>
      </c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IF($P$1="","",$P$1)</f>
        <v>れんたろう</v>
      </c>
      <c r="F15" s="8"/>
      <c r="G15" s="9"/>
      <c r="H15" s="9"/>
      <c r="I15" s="48"/>
      <c r="J15" s="21">
        <f t="shared" si="2"/>
        <v>63700</v>
      </c>
      <c r="K15" s="8" t="s">
        <v>198</v>
      </c>
      <c r="L15" s="9">
        <v>-12000</v>
      </c>
      <c r="M15" s="9">
        <v>-1000</v>
      </c>
      <c r="N15" s="48">
        <v>0</v>
      </c>
      <c r="O15" s="21">
        <f t="shared" si="3"/>
        <v>22600</v>
      </c>
      <c r="P15" s="8" t="s">
        <v>197</v>
      </c>
      <c r="Q15" s="9">
        <v>12000</v>
      </c>
      <c r="R15" s="9">
        <v>1000</v>
      </c>
      <c r="S15" s="48">
        <v>0</v>
      </c>
      <c r="T15" s="21">
        <f t="shared" si="4"/>
        <v>18700</v>
      </c>
      <c r="U15" s="53">
        <f>IF($J15="","",ROUND(($J15-$J$3)/1000,1)+(_xlfn.RANK.AVG($J15,($J15,$O15,$T15),1)-2)*20)</f>
        <v>48.7</v>
      </c>
      <c r="V15" s="54">
        <f>IF($O15="","",ROUND(($O15-$O$3)/1000,1)+(_xlfn.RANK.AVG($O15,($J15,$O15,$T15),1)-2)*20)</f>
        <v>-12.4</v>
      </c>
      <c r="W15" s="55">
        <f>IF($T15="","",ROUND(($T15-$T$3)/1000,1)+(_xlfn.RANK.AVG($T15,($J15,$O15,$T15),1)-2)*20)</f>
        <v>-36.299999999999997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4</v>
      </c>
      <c r="BT15" s="30">
        <v>40</v>
      </c>
      <c r="BU15" s="40" t="s">
        <v>200</v>
      </c>
      <c r="BV15" s="41" t="s">
        <v>84</v>
      </c>
      <c r="BW15" s="41" t="s">
        <v>80</v>
      </c>
      <c r="BX15" s="41" t="s">
        <v>80</v>
      </c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tr">
        <f>IF($P$1="","",$P$1)</f>
        <v>れんたろう</v>
      </c>
      <c r="F16" s="8" t="s">
        <v>201</v>
      </c>
      <c r="G16" s="9">
        <v>-12000</v>
      </c>
      <c r="H16" s="9"/>
      <c r="I16" s="48">
        <v>-500</v>
      </c>
      <c r="J16" s="21">
        <f t="shared" si="2"/>
        <v>51200</v>
      </c>
      <c r="K16" s="8" t="s">
        <v>202</v>
      </c>
      <c r="L16" s="9">
        <v>32000</v>
      </c>
      <c r="M16" s="9"/>
      <c r="N16" s="48">
        <v>1000</v>
      </c>
      <c r="O16" s="21">
        <f t="shared" si="3"/>
        <v>55600</v>
      </c>
      <c r="P16" s="8" t="s">
        <v>201</v>
      </c>
      <c r="Q16" s="9">
        <v>-20000</v>
      </c>
      <c r="R16" s="9"/>
      <c r="S16" s="48">
        <v>-500</v>
      </c>
      <c r="T16" s="21">
        <f t="shared" si="4"/>
        <v>-1800</v>
      </c>
      <c r="U16" s="53">
        <f>IF($J16="","",ROUND(($J16-$J$3)/1000,1)+(_xlfn.RANK.AVG($J16,($J16,$O16,$T16),1)-2)*20)</f>
        <v>16.2</v>
      </c>
      <c r="V16" s="54">
        <f>IF($O16="","",ROUND(($O16-$O$3)/1000,1)+(_xlfn.RANK.AVG($O16,($J16,$O16,$T16),1)-2)*20)</f>
        <v>40.6</v>
      </c>
      <c r="W16" s="55">
        <f>IF($T16="","",ROUND(($T16-$T$3)/1000,1)+(_xlfn.RANK.AVG($T16,($J16,$O16,$T16),1)-2)*20)</f>
        <v>-56.8</v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>
        <v>13</v>
      </c>
      <c r="AY16" s="30" t="s">
        <v>199</v>
      </c>
      <c r="AZ16" s="40" t="s">
        <v>108</v>
      </c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>
        <v>1</v>
      </c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CE235BA8-85FE-494E-BCF0-118CB6F4FB84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83D3D3E0-0ECB-49B7-9A5E-970393498A54}">
      <formula1>"ロン,ツモ,放銃,ツモ支払,流局,チョンボ"</formula1>
    </dataValidation>
    <dataValidation type="list" allowBlank="1" showInputMessage="1" showErrorMessage="1" sqref="E4:E30" xr:uid="{A8E2EF52-7667-4D70-9A17-1D59C21A92E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C6648-539D-43EF-A1FC-8DC9D940FB9B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196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りくと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だいち</v>
      </c>
      <c r="V2" s="82" t="str">
        <f>$K$1</f>
        <v>りくと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201</v>
      </c>
      <c r="G4" s="9">
        <v>-6000</v>
      </c>
      <c r="H4" s="9"/>
      <c r="I4" s="48">
        <v>0</v>
      </c>
      <c r="J4" s="21">
        <f>IF(COUNTA($F4,$K4,$P4)&gt;0,J3+SUM(G4:I4),"")</f>
        <v>29000</v>
      </c>
      <c r="K4" s="8" t="s">
        <v>201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202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-16</v>
      </c>
      <c r="V4" s="54">
        <f>IF($O4="","",ROUND(($O4-$O$3)/1000,1)+(_xlfn.RANK.AVG($O4,($J4,$O4,$T4),1)-2)*20)</f>
        <v>-16</v>
      </c>
      <c r="W4" s="55">
        <f>IF($T4="","",ROUND(($T4-$T$3)/1000,1)+(_xlfn.RANK.AVG($T4,($J4,$O4,$T4),1)-2)*20)</f>
        <v>32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82</v>
      </c>
      <c r="BW4" s="41" t="s">
        <v>87</v>
      </c>
      <c r="BX4" s="41" t="s">
        <v>83</v>
      </c>
      <c r="BY4" s="41" t="s">
        <v>203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198</v>
      </c>
      <c r="G5" s="9">
        <v>-18000</v>
      </c>
      <c r="H5" s="9"/>
      <c r="I5" s="48">
        <v>-1000</v>
      </c>
      <c r="J5" s="21">
        <f t="shared" ref="J5:J30" si="2">IF(COUNTA($F5,$K5,$P5)&gt;0,J4+SUM(G5:I5),"")</f>
        <v>10000</v>
      </c>
      <c r="K5" s="8"/>
      <c r="L5" s="9"/>
      <c r="M5" s="9"/>
      <c r="N5" s="48"/>
      <c r="O5" s="21">
        <f t="shared" ref="O5:O30" si="3">IF(COUNTA($F5,$K5,$P5)&gt;0,O4+SUM(L5:N5),"")</f>
        <v>29000</v>
      </c>
      <c r="P5" s="8" t="s">
        <v>197</v>
      </c>
      <c r="Q5" s="9">
        <v>18000</v>
      </c>
      <c r="R5" s="9"/>
      <c r="S5" s="48">
        <v>1000</v>
      </c>
      <c r="T5" s="21">
        <f t="shared" ref="T5:T30" si="4">IF(COUNTA($F5,$K5,$P5)&gt;0,T4+SUM(Q5:S5),"")</f>
        <v>66000</v>
      </c>
      <c r="U5" s="53">
        <f>IF($J5="","",ROUND(($J5-$J$3)/1000,1)+(_xlfn.RANK.AVG($J5,($J5,$O5,$T5),1)-2)*20)</f>
        <v>-45</v>
      </c>
      <c r="V5" s="54">
        <f>IF($O5="","",ROUND(($O5-$O$3)/1000,1)+(_xlfn.RANK.AVG($O5,($J5,$O5,$T5),1)-2)*20)</f>
        <v>-6</v>
      </c>
      <c r="W5" s="55">
        <f>IF($T5="","",ROUND(($T5-$T$3)/1000,1)+(_xlfn.RANK.AVG($T5,($J5,$O5,$T5),1)-2)*20)</f>
        <v>51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199</v>
      </c>
      <c r="BU5" s="40" t="s">
        <v>200</v>
      </c>
      <c r="BV5" s="41" t="s">
        <v>208</v>
      </c>
      <c r="BW5" s="41" t="s">
        <v>203</v>
      </c>
      <c r="BX5" s="41" t="s">
        <v>86</v>
      </c>
      <c r="BY5" s="41" t="s">
        <v>86</v>
      </c>
      <c r="BZ5" s="41" t="s">
        <v>79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IF($P$1="","",$P$1)</f>
        <v>れんたろう</v>
      </c>
      <c r="F6" s="8"/>
      <c r="G6" s="9"/>
      <c r="H6" s="9">
        <v>-2000</v>
      </c>
      <c r="I6" s="48"/>
      <c r="J6" s="21">
        <f t="shared" si="2"/>
        <v>8000</v>
      </c>
      <c r="K6" s="8" t="s">
        <v>198</v>
      </c>
      <c r="L6" s="9">
        <v>-24000</v>
      </c>
      <c r="M6" s="9">
        <v>-1000</v>
      </c>
      <c r="N6" s="48">
        <v>-2000</v>
      </c>
      <c r="O6" s="21">
        <f t="shared" si="3"/>
        <v>2000</v>
      </c>
      <c r="P6" s="8" t="s">
        <v>197</v>
      </c>
      <c r="Q6" s="9">
        <v>24000</v>
      </c>
      <c r="R6" s="9">
        <v>3000</v>
      </c>
      <c r="S6" s="48">
        <v>2000</v>
      </c>
      <c r="T6" s="21">
        <f t="shared" si="4"/>
        <v>95000</v>
      </c>
      <c r="U6" s="53">
        <f>IF($J6="","",ROUND(($J6-$J$3)/1000,1)+(_xlfn.RANK.AVG($J6,($J6,$O6,$T6),1)-2)*20)</f>
        <v>-27</v>
      </c>
      <c r="V6" s="54">
        <f>IF($O6="","",ROUND(($O6-$O$3)/1000,1)+(_xlfn.RANK.AVG($O6,($J6,$O6,$T6),1)-2)*20)</f>
        <v>-53</v>
      </c>
      <c r="W6" s="55">
        <f>IF($T6="","",ROUND(($T6-$T$3)/1000,1)+(_xlfn.RANK.AVG($T6,($J6,$O6,$T6),1)-2)*20)</f>
        <v>80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10</v>
      </c>
      <c r="BT6" s="30" t="s">
        <v>199</v>
      </c>
      <c r="BU6" s="40" t="s">
        <v>211</v>
      </c>
      <c r="BV6" s="41" t="s">
        <v>86</v>
      </c>
      <c r="BW6" s="41" t="s">
        <v>86</v>
      </c>
      <c r="BX6" s="41" t="s">
        <v>79</v>
      </c>
      <c r="BY6" s="41" t="s">
        <v>79</v>
      </c>
      <c r="BZ6" s="41" t="s">
        <v>79</v>
      </c>
      <c r="CA6" s="41" t="s">
        <v>80</v>
      </c>
      <c r="CB6" s="41" t="s">
        <v>80</v>
      </c>
      <c r="CC6" s="41" t="s">
        <v>80</v>
      </c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IF($P$1="","",$P$1)</f>
        <v>れんたろう</v>
      </c>
      <c r="F7" s="8" t="s">
        <v>197</v>
      </c>
      <c r="G7" s="9">
        <v>8000</v>
      </c>
      <c r="H7" s="9"/>
      <c r="I7" s="48">
        <v>3000</v>
      </c>
      <c r="J7" s="21">
        <f t="shared" si="2"/>
        <v>19000</v>
      </c>
      <c r="K7" s="8" t="s">
        <v>198</v>
      </c>
      <c r="L7" s="9">
        <v>-8000</v>
      </c>
      <c r="M7" s="9"/>
      <c r="N7" s="48">
        <v>-3000</v>
      </c>
      <c r="O7" s="21">
        <f t="shared" si="3"/>
        <v>-9000</v>
      </c>
      <c r="P7" s="8"/>
      <c r="Q7" s="9"/>
      <c r="R7" s="9"/>
      <c r="S7" s="48"/>
      <c r="T7" s="21">
        <f t="shared" si="4"/>
        <v>95000</v>
      </c>
      <c r="U7" s="53">
        <f>IF($J7="","",ROUND(($J7-$J$3)/1000,1)+(_xlfn.RANK.AVG($J7,($J7,$O7,$T7),1)-2)*20)</f>
        <v>-16</v>
      </c>
      <c r="V7" s="54">
        <f>IF($O7="","",ROUND(($O7-$O$3)/1000,1)+(_xlfn.RANK.AVG($O7,($J7,$O7,$T7),1)-2)*20)</f>
        <v>-64</v>
      </c>
      <c r="W7" s="55">
        <f>IF($T7="","",ROUND(($T7-$T$3)/1000,1)+(_xlfn.RANK.AVG($T7,($J7,$O7,$T7),1)-2)*20)</f>
        <v>80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200</v>
      </c>
      <c r="AF7" s="41" t="s">
        <v>208</v>
      </c>
      <c r="AG7" s="41" t="s">
        <v>80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disablePrompts="1" count="3">
    <dataValidation type="list" allowBlank="1" showInputMessage="1" showErrorMessage="1" sqref="E4:E30" xr:uid="{E447B130-FD89-43DF-97F8-EDC1D20EE375}">
      <formula1>$U$2:$W$2</formula1>
    </dataValidation>
    <dataValidation type="list" showInputMessage="1" showErrorMessage="1" sqref="K4:K30 P4:P30 F4:F30" xr:uid="{4D3077B0-5DAC-4185-84A8-D5E06A9ED921}">
      <formula1>"ロン,ツモ,放銃,ツモ支払,流局,チョンボ"</formula1>
    </dataValidation>
    <dataValidation type="list" allowBlank="1" showInputMessage="1" sqref="F1:T1" xr:uid="{B0BB8D19-7C88-4777-98E1-750830FA6F86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E4E2E-10DC-4264-89FE-48E74308E832}">
  <sheetPr codeName="Sheet2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196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りくと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だいち</v>
      </c>
      <c r="V2" s="82" t="str">
        <f>$K$1</f>
        <v>りくと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206</v>
      </c>
      <c r="G4" s="9">
        <v>-1500</v>
      </c>
      <c r="H4" s="9"/>
      <c r="I4" s="48"/>
      <c r="J4" s="21">
        <f>IF(COUNTA($F4,$K4,$P4)&gt;0,J3+SUM(G4:I4),"")</f>
        <v>33500</v>
      </c>
      <c r="K4" s="8" t="s">
        <v>206</v>
      </c>
      <c r="L4" s="9">
        <v>-1500</v>
      </c>
      <c r="M4" s="9"/>
      <c r="N4" s="48"/>
      <c r="O4" s="21">
        <f>IF(COUNTA($F4,$K4,$P4)&gt;0,O3+SUM(L4:N4),"")</f>
        <v>33500</v>
      </c>
      <c r="P4" s="8" t="s">
        <v>206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22</v>
      </c>
      <c r="Y4" s="8" t="s">
        <v>204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204</v>
      </c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205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りくと</v>
      </c>
      <c r="F5" s="8" t="s">
        <v>202</v>
      </c>
      <c r="G5" s="9">
        <v>2100</v>
      </c>
      <c r="H5" s="9">
        <v>1000</v>
      </c>
      <c r="I5" s="48">
        <v>1000</v>
      </c>
      <c r="J5" s="21">
        <f t="shared" ref="J5:J30" si="2">IF(COUNTA($F5,$K5,$P5)&gt;0,J4+SUM(G5:I5),"")</f>
        <v>37600</v>
      </c>
      <c r="K5" s="8" t="s">
        <v>201</v>
      </c>
      <c r="L5" s="9">
        <v>-1300</v>
      </c>
      <c r="M5" s="9"/>
      <c r="N5" s="48">
        <v>-500</v>
      </c>
      <c r="O5" s="21">
        <f t="shared" ref="O5:O30" si="3">IF(COUNTA($F5,$K5,$P5)&gt;0,O4+SUM(L5:N5),"")</f>
        <v>31700</v>
      </c>
      <c r="P5" s="8" t="s">
        <v>201</v>
      </c>
      <c r="Q5" s="9">
        <v>-800</v>
      </c>
      <c r="R5" s="9"/>
      <c r="S5" s="48">
        <v>-500</v>
      </c>
      <c r="T5" s="21">
        <f t="shared" ref="T5:T30" si="4">IF(COUNTA($F5,$K5,$P5)&gt;0,T4+SUM(Q5:S5),"")</f>
        <v>35700</v>
      </c>
      <c r="U5" s="53">
        <f>IF($J5="","",ROUND(($J5-$J$3)/1000,1)+(_xlfn.RANK.AVG($J5,($J5,$O5,$T5),1)-2)*20)</f>
        <v>22.6</v>
      </c>
      <c r="V5" s="54">
        <f>IF($O5="","",ROUND(($O5-$O$3)/1000,1)+(_xlfn.RANK.AVG($O5,($J5,$O5,$T5),1)-2)*20)</f>
        <v>-23.3</v>
      </c>
      <c r="W5" s="55">
        <f>IF($T5="","",ROUND(($T5-$T$3)/1000,1)+(_xlfn.RANK.AVG($T5,($J5,$O5,$T5),1)-2)*20)</f>
        <v>0.7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れんたろう</v>
      </c>
      <c r="F6" s="8" t="s">
        <v>201</v>
      </c>
      <c r="G6" s="9">
        <v>-3000</v>
      </c>
      <c r="H6" s="9"/>
      <c r="I6" s="48">
        <v>0</v>
      </c>
      <c r="J6" s="21">
        <f t="shared" si="2"/>
        <v>34600</v>
      </c>
      <c r="K6" s="8" t="s">
        <v>202</v>
      </c>
      <c r="L6" s="9">
        <v>8000</v>
      </c>
      <c r="M6" s="9"/>
      <c r="N6" s="48">
        <v>0</v>
      </c>
      <c r="O6" s="21">
        <f t="shared" si="3"/>
        <v>39700</v>
      </c>
      <c r="P6" s="8" t="s">
        <v>201</v>
      </c>
      <c r="Q6" s="9">
        <v>-5000</v>
      </c>
      <c r="R6" s="9"/>
      <c r="S6" s="48">
        <v>0</v>
      </c>
      <c r="T6" s="21">
        <f t="shared" si="4"/>
        <v>30700</v>
      </c>
      <c r="U6" s="53">
        <f>IF($J6="","",ROUND(($J6-$J$3)/1000,1)+(_xlfn.RANK.AVG($J6,($J6,$O6,$T6),1)-2)*20)</f>
        <v>-0.4</v>
      </c>
      <c r="V6" s="54">
        <f>IF($O6="","",ROUND(($O6-$O$3)/1000,1)+(_xlfn.RANK.AVG($O6,($J6,$O6,$T6),1)-2)*20)</f>
        <v>24.7</v>
      </c>
      <c r="W6" s="55">
        <f>IF($T6="","",ROUND(($T6-$T$3)/1000,1)+(_xlfn.RANK.AVG($T6,($J6,$O6,$T6),1)-2)*20)</f>
        <v>-24.3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200</v>
      </c>
      <c r="BA6" s="41" t="s">
        <v>82</v>
      </c>
      <c r="BB6" s="41" t="s">
        <v>83</v>
      </c>
      <c r="BC6" s="41" t="s">
        <v>79</v>
      </c>
      <c r="BD6" s="41" t="s">
        <v>203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201</v>
      </c>
      <c r="G7" s="9">
        <v>-7500</v>
      </c>
      <c r="H7" s="9"/>
      <c r="I7" s="48">
        <v>0</v>
      </c>
      <c r="J7" s="21">
        <f t="shared" si="2"/>
        <v>27100</v>
      </c>
      <c r="K7" s="8" t="s">
        <v>202</v>
      </c>
      <c r="L7" s="9">
        <v>12000</v>
      </c>
      <c r="M7" s="9"/>
      <c r="N7" s="48">
        <v>0</v>
      </c>
      <c r="O7" s="21">
        <f t="shared" si="3"/>
        <v>51700</v>
      </c>
      <c r="P7" s="8" t="s">
        <v>201</v>
      </c>
      <c r="Q7" s="9">
        <v>-4500</v>
      </c>
      <c r="R7" s="9"/>
      <c r="S7" s="48">
        <v>0</v>
      </c>
      <c r="T7" s="21">
        <f t="shared" si="4"/>
        <v>26200</v>
      </c>
      <c r="U7" s="53">
        <f>IF($J7="","",ROUND(($J7-$J$3)/1000,1)+(_xlfn.RANK.AVG($J7,($J7,$O7,$T7),1)-2)*20)</f>
        <v>-7.9</v>
      </c>
      <c r="V7" s="54">
        <f>IF($O7="","",ROUND(($O7-$O$3)/1000,1)+(_xlfn.RANK.AVG($O7,($J7,$O7,$T7),1)-2)*20)</f>
        <v>36.700000000000003</v>
      </c>
      <c r="W7" s="55">
        <f>IF($T7="","",ROUND(($T7-$T$3)/1000,1)+(_xlfn.RANK.AVG($T7,($J7,$O7,$T7),1)-2)*20)</f>
        <v>-28.8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199</v>
      </c>
      <c r="AZ7" s="40" t="s">
        <v>200</v>
      </c>
      <c r="BA7" s="41" t="s">
        <v>82</v>
      </c>
      <c r="BB7" s="41" t="s">
        <v>79</v>
      </c>
      <c r="BC7" s="41" t="s">
        <v>79</v>
      </c>
      <c r="BD7" s="41" t="s">
        <v>80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りくと</v>
      </c>
      <c r="F8" s="8" t="s">
        <v>198</v>
      </c>
      <c r="G8" s="9">
        <v>-12000</v>
      </c>
      <c r="H8" s="9"/>
      <c r="I8" s="48">
        <v>0</v>
      </c>
      <c r="J8" s="21">
        <f t="shared" si="2"/>
        <v>15100</v>
      </c>
      <c r="K8" s="8"/>
      <c r="L8" s="9"/>
      <c r="M8" s="9">
        <v>-1000</v>
      </c>
      <c r="N8" s="48"/>
      <c r="O8" s="21">
        <f t="shared" si="3"/>
        <v>50700</v>
      </c>
      <c r="P8" s="8" t="s">
        <v>197</v>
      </c>
      <c r="Q8" s="9">
        <v>12000</v>
      </c>
      <c r="R8" s="9">
        <v>1000</v>
      </c>
      <c r="S8" s="48">
        <v>0</v>
      </c>
      <c r="T8" s="21">
        <f t="shared" si="4"/>
        <v>39200</v>
      </c>
      <c r="U8" s="53">
        <f>IF($J8="","",ROUND(($J8-$J$3)/1000,1)+(_xlfn.RANK.AVG($J8,($J8,$O8,$T8),1)-2)*20)</f>
        <v>-39.9</v>
      </c>
      <c r="V8" s="54">
        <f>IF($O8="","",ROUND(($O8-$O$3)/1000,1)+(_xlfn.RANK.AVG($O8,($J8,$O8,$T8),1)-2)*20)</f>
        <v>35.700000000000003</v>
      </c>
      <c r="W8" s="55">
        <f>IF($T8="","",ROUND(($T8-$T$3)/1000,1)+(_xlfn.RANK.AVG($T8,($J8,$O8,$T8),1)-2)*20)</f>
        <v>4.2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6</v>
      </c>
      <c r="BT8" s="30" t="s">
        <v>199</v>
      </c>
      <c r="BU8" s="40" t="s">
        <v>106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れんたろう</v>
      </c>
      <c r="F9" s="8" t="s">
        <v>202</v>
      </c>
      <c r="G9" s="9">
        <v>8000</v>
      </c>
      <c r="H9" s="9"/>
      <c r="I9" s="48">
        <v>0</v>
      </c>
      <c r="J9" s="21">
        <f t="shared" si="2"/>
        <v>23100</v>
      </c>
      <c r="K9" s="8" t="s">
        <v>201</v>
      </c>
      <c r="L9" s="9">
        <v>-3000</v>
      </c>
      <c r="M9" s="9"/>
      <c r="N9" s="48">
        <v>0</v>
      </c>
      <c r="O9" s="21">
        <f t="shared" si="3"/>
        <v>47700</v>
      </c>
      <c r="P9" s="8" t="s">
        <v>201</v>
      </c>
      <c r="Q9" s="9">
        <v>-5000</v>
      </c>
      <c r="R9" s="9"/>
      <c r="S9" s="48">
        <v>0</v>
      </c>
      <c r="T9" s="21">
        <f t="shared" si="4"/>
        <v>34200</v>
      </c>
      <c r="U9" s="53">
        <f>IF($J9="","",ROUND(($J9-$J$3)/1000,1)+(_xlfn.RANK.AVG($J9,($J9,$O9,$T9),1)-2)*20)</f>
        <v>-31.9</v>
      </c>
      <c r="V9" s="54">
        <f>IF($O9="","",ROUND(($O9-$O$3)/1000,1)+(_xlfn.RANK.AVG($O9,($J9,$O9,$T9),1)-2)*20)</f>
        <v>32.700000000000003</v>
      </c>
      <c r="W9" s="55">
        <f>IF($T9="","",ROUND(($T9-$T$3)/1000,1)+(_xlfn.RANK.AVG($T9,($J9,$O9,$T9),1)-2)*20)</f>
        <v>-0.8</v>
      </c>
      <c r="Y9" s="8"/>
      <c r="Z9" s="34"/>
      <c r="AA9" s="26">
        <v>1</v>
      </c>
      <c r="AB9" s="26"/>
      <c r="AC9" s="26">
        <v>5</v>
      </c>
      <c r="AD9" s="30" t="s">
        <v>199</v>
      </c>
      <c r="AE9" s="40" t="s">
        <v>211</v>
      </c>
      <c r="AF9" s="41" t="s">
        <v>82</v>
      </c>
      <c r="AG9" s="41" t="s">
        <v>203</v>
      </c>
      <c r="AH9" s="41" t="s">
        <v>203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8DBBDDAA-DCC8-4A6A-8A1A-5FCEE1ECD6B2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7CE49135-DE77-47F1-B496-63AB23AB0231}">
      <formula1>"ロン,ツモ,放銃,ツモ支払,流局,チョンボ"</formula1>
    </dataValidation>
    <dataValidation type="list" allowBlank="1" showInputMessage="1" showErrorMessage="1" sqref="E4:E30" xr:uid="{60DDA5D8-6311-44C0-8985-A9223680101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C8F63-1C7C-4094-BF5D-0BB3174381D8}">
  <sheetPr codeName="Sheet2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196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りくと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だいち</v>
      </c>
      <c r="V2" s="82" t="str">
        <f>$K$1</f>
        <v>りくと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197</v>
      </c>
      <c r="G4" s="9">
        <v>3900</v>
      </c>
      <c r="H4" s="9">
        <v>3000</v>
      </c>
      <c r="I4" s="48">
        <v>0</v>
      </c>
      <c r="J4" s="21">
        <f>IF(COUNTA($F4,$K4,$P4)&gt;0,J3+SUM(G4:I4),"")</f>
        <v>41900</v>
      </c>
      <c r="K4" s="8" t="s">
        <v>198</v>
      </c>
      <c r="L4" s="9">
        <v>-3900</v>
      </c>
      <c r="M4" s="9">
        <v>-1000</v>
      </c>
      <c r="N4" s="48">
        <v>0</v>
      </c>
      <c r="O4" s="21">
        <f>IF(COUNTA($F4,$K4,$P4)&gt;0,O3+SUM(L4:N4),"")</f>
        <v>30100</v>
      </c>
      <c r="P4" s="8"/>
      <c r="Q4" s="9"/>
      <c r="R4" s="9">
        <v>-2000</v>
      </c>
      <c r="S4" s="48"/>
      <c r="T4" s="21">
        <f>IF(COUNTA($F4,$K4,$P4)&gt;0,T3+SUM(Q4:S4),"")</f>
        <v>33000</v>
      </c>
      <c r="U4" s="53">
        <f>IF($J4="","",ROUND(($J4-$J$3)/1000,1)+(_xlfn.RANK.AVG($J4,($J4,$O4,$T4),1)-2)*20)</f>
        <v>26.9</v>
      </c>
      <c r="V4" s="54">
        <f>IF($O4="","",ROUND(($O4-$O$3)/1000,1)+(_xlfn.RANK.AVG($O4,($J4,$O4,$T4),1)-2)*20)</f>
        <v>-24.9</v>
      </c>
      <c r="W4" s="55">
        <f>IF($T4="","",ROUND(($T4-$T$3)/1000,1)+(_xlfn.RANK.AVG($T4,($J4,$O4,$T4),1)-2)*20)</f>
        <v>-2</v>
      </c>
      <c r="Y4" s="8"/>
      <c r="Z4" s="34"/>
      <c r="AA4" s="26">
        <v>1</v>
      </c>
      <c r="AB4" s="26"/>
      <c r="AC4" s="26">
        <v>3</v>
      </c>
      <c r="AD4" s="30">
        <v>30</v>
      </c>
      <c r="AE4" s="40" t="s">
        <v>200</v>
      </c>
      <c r="AF4" s="41" t="s">
        <v>83</v>
      </c>
      <c r="AG4" s="41" t="s">
        <v>84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197</v>
      </c>
      <c r="G5" s="9">
        <v>11600</v>
      </c>
      <c r="H5" s="9">
        <v>1000</v>
      </c>
      <c r="I5" s="48">
        <v>0</v>
      </c>
      <c r="J5" s="21">
        <f t="shared" ref="J5:J30" si="2">IF(COUNTA($F5,$K5,$P5)&gt;0,J4+SUM(G5:I5),"")</f>
        <v>54500</v>
      </c>
      <c r="K5" s="8"/>
      <c r="L5" s="9"/>
      <c r="M5" s="9"/>
      <c r="N5" s="48"/>
      <c r="O5" s="21">
        <f t="shared" ref="O5:O30" si="3">IF(COUNTA($F5,$K5,$P5)&gt;0,O4+SUM(L5:N5),"")</f>
        <v>30100</v>
      </c>
      <c r="P5" s="8" t="s">
        <v>198</v>
      </c>
      <c r="Q5" s="9">
        <v>-11600</v>
      </c>
      <c r="R5" s="9">
        <v>-1000</v>
      </c>
      <c r="S5" s="48">
        <v>0</v>
      </c>
      <c r="T5" s="21">
        <f t="shared" ref="T5:T30" si="4">IF(COUNTA($F5,$K5,$P5)&gt;0,T4+SUM(Q5:S5),"")</f>
        <v>20400</v>
      </c>
      <c r="U5" s="53">
        <f>IF($J5="","",ROUND(($J5-$J$3)/1000,1)+(_xlfn.RANK.AVG($J5,($J5,$O5,$T5),1)-2)*20)</f>
        <v>39.5</v>
      </c>
      <c r="V5" s="54">
        <f>IF($O5="","",ROUND(($O5-$O$3)/1000,1)+(_xlfn.RANK.AVG($O5,($J5,$O5,$T5),1)-2)*20)</f>
        <v>-4.9000000000000004</v>
      </c>
      <c r="W5" s="55">
        <f>IF($T5="","",ROUND(($T5-$T$3)/1000,1)+(_xlfn.RANK.AVG($T5,($J5,$O5,$T5),1)-2)*20)</f>
        <v>-34.6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203</v>
      </c>
      <c r="AG5" s="41" t="s">
        <v>203</v>
      </c>
      <c r="AH5" s="41" t="s">
        <v>79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IF($F$1="","",$F$1)</f>
        <v>だいち</v>
      </c>
      <c r="F6" s="8" t="s">
        <v>198</v>
      </c>
      <c r="G6" s="9">
        <v>-3900</v>
      </c>
      <c r="H6" s="9"/>
      <c r="I6" s="48">
        <v>-1000</v>
      </c>
      <c r="J6" s="21">
        <f t="shared" si="2"/>
        <v>49600</v>
      </c>
      <c r="K6" s="8"/>
      <c r="L6" s="9"/>
      <c r="M6" s="9"/>
      <c r="N6" s="48"/>
      <c r="O6" s="21">
        <f t="shared" si="3"/>
        <v>30100</v>
      </c>
      <c r="P6" s="8" t="s">
        <v>197</v>
      </c>
      <c r="Q6" s="9">
        <v>3900</v>
      </c>
      <c r="R6" s="9"/>
      <c r="S6" s="48">
        <v>1000</v>
      </c>
      <c r="T6" s="21">
        <f t="shared" si="4"/>
        <v>25300</v>
      </c>
      <c r="U6" s="53">
        <f>IF($J6="","",ROUND(($J6-$J$3)/1000,1)+(_xlfn.RANK.AVG($J6,($J6,$O6,$T6),1)-2)*20)</f>
        <v>34.6</v>
      </c>
      <c r="V6" s="54">
        <f>IF($O6="","",ROUND(($O6-$O$3)/1000,1)+(_xlfn.RANK.AVG($O6,($J6,$O6,$T6),1)-2)*20)</f>
        <v>-4.9000000000000004</v>
      </c>
      <c r="W6" s="55">
        <f>IF($T6="","",ROUND(($T6-$T$3)/1000,1)+(_xlfn.RANK.AVG($T6,($J6,$O6,$T6),1)-2)*20)</f>
        <v>-29.7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79</v>
      </c>
      <c r="BW6" s="41" t="s">
        <v>79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IF($K$1="","",$K$1)</f>
        <v>りくと</v>
      </c>
      <c r="F7" s="8" t="s">
        <v>201</v>
      </c>
      <c r="G7" s="9">
        <v>-9000</v>
      </c>
      <c r="H7" s="9"/>
      <c r="I7" s="48">
        <v>0</v>
      </c>
      <c r="J7" s="21">
        <f t="shared" si="2"/>
        <v>40600</v>
      </c>
      <c r="K7" s="8" t="s">
        <v>202</v>
      </c>
      <c r="L7" s="9">
        <v>18000</v>
      </c>
      <c r="M7" s="9">
        <v>1000</v>
      </c>
      <c r="N7" s="48">
        <v>0</v>
      </c>
      <c r="O7" s="21">
        <f t="shared" si="3"/>
        <v>49100</v>
      </c>
      <c r="P7" s="8" t="s">
        <v>201</v>
      </c>
      <c r="Q7" s="9">
        <v>-9000</v>
      </c>
      <c r="R7" s="9">
        <v>-1000</v>
      </c>
      <c r="S7" s="48">
        <v>0</v>
      </c>
      <c r="T7" s="21">
        <f t="shared" si="4"/>
        <v>15300</v>
      </c>
      <c r="U7" s="53">
        <f>IF($J7="","",ROUND(($J7-$J$3)/1000,1)+(_xlfn.RANK.AVG($J7,($J7,$O7,$T7),1)-2)*20)</f>
        <v>5.6</v>
      </c>
      <c r="V7" s="54">
        <f>IF($O7="","",ROUND(($O7-$O$3)/1000,1)+(_xlfn.RANK.AVG($O7,($J7,$O7,$T7),1)-2)*20)</f>
        <v>34.1</v>
      </c>
      <c r="W7" s="55">
        <f>IF($T7="","",ROUND(($T7-$T$3)/1000,1)+(_xlfn.RANK.AVG($T7,($J7,$O7,$T7),1)-2)*20)</f>
        <v>-39.700000000000003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199</v>
      </c>
      <c r="AZ7" s="40" t="s">
        <v>200</v>
      </c>
      <c r="BA7" s="41" t="s">
        <v>82</v>
      </c>
      <c r="BB7" s="41" t="s">
        <v>84</v>
      </c>
      <c r="BC7" s="41" t="s">
        <v>80</v>
      </c>
      <c r="BD7" s="41" t="s">
        <v>80</v>
      </c>
      <c r="BE7" s="41" t="s">
        <v>203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IF($K$1="","",$K$1)</f>
        <v>りくと</v>
      </c>
      <c r="F8" s="8" t="s">
        <v>198</v>
      </c>
      <c r="G8" s="9">
        <v>-12000</v>
      </c>
      <c r="H8" s="9">
        <v>-1000</v>
      </c>
      <c r="I8" s="48">
        <v>-1000</v>
      </c>
      <c r="J8" s="21">
        <f t="shared" si="2"/>
        <v>26600</v>
      </c>
      <c r="K8" s="8" t="s">
        <v>197</v>
      </c>
      <c r="L8" s="9">
        <v>12000</v>
      </c>
      <c r="M8" s="9">
        <v>1000</v>
      </c>
      <c r="N8" s="48">
        <v>1000</v>
      </c>
      <c r="O8" s="21">
        <f t="shared" si="3"/>
        <v>63100</v>
      </c>
      <c r="P8" s="8"/>
      <c r="Q8" s="9"/>
      <c r="R8" s="9"/>
      <c r="S8" s="48"/>
      <c r="T8" s="21">
        <f t="shared" si="4"/>
        <v>15300</v>
      </c>
      <c r="U8" s="53">
        <f>IF($J8="","",ROUND(($J8-$J$3)/1000,1)+(_xlfn.RANK.AVG($J8,($J8,$O8,$T8),1)-2)*20)</f>
        <v>-8.4</v>
      </c>
      <c r="V8" s="54">
        <f>IF($O8="","",ROUND(($O8-$O$3)/1000,1)+(_xlfn.RANK.AVG($O8,($J8,$O8,$T8),1)-2)*20)</f>
        <v>48.1</v>
      </c>
      <c r="W8" s="55">
        <f>IF($T8="","",ROUND(($T8-$T$3)/1000,1)+(_xlfn.RANK.AVG($T8,($J8,$O8,$T8),1)-2)*20)</f>
        <v>-39.700000000000003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4</v>
      </c>
      <c r="AY8" s="30">
        <v>40</v>
      </c>
      <c r="AZ8" s="40" t="s">
        <v>104</v>
      </c>
      <c r="BA8" s="41" t="s">
        <v>84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IF($K$1="","",$K$1)</f>
        <v>りくと</v>
      </c>
      <c r="F9" s="8" t="s">
        <v>202</v>
      </c>
      <c r="G9" s="9">
        <v>5300</v>
      </c>
      <c r="H9" s="9"/>
      <c r="I9" s="48">
        <v>2000</v>
      </c>
      <c r="J9" s="21">
        <f t="shared" si="2"/>
        <v>33900</v>
      </c>
      <c r="K9" s="8" t="s">
        <v>201</v>
      </c>
      <c r="L9" s="9">
        <v>-3300</v>
      </c>
      <c r="M9" s="9"/>
      <c r="N9" s="48">
        <v>-1000</v>
      </c>
      <c r="O9" s="21">
        <f t="shared" si="3"/>
        <v>58800</v>
      </c>
      <c r="P9" s="8" t="s">
        <v>201</v>
      </c>
      <c r="Q9" s="9">
        <v>-2000</v>
      </c>
      <c r="R9" s="9"/>
      <c r="S9" s="48">
        <v>-1000</v>
      </c>
      <c r="T9" s="21">
        <f t="shared" si="4"/>
        <v>12300</v>
      </c>
      <c r="U9" s="53">
        <f>IF($J9="","",ROUND(($J9-$J$3)/1000,1)+(_xlfn.RANK.AVG($J9,($J9,$O9,$T9),1)-2)*20)</f>
        <v>-1.1000000000000001</v>
      </c>
      <c r="V9" s="54">
        <f>IF($O9="","",ROUND(($O9-$O$3)/1000,1)+(_xlfn.RANK.AVG($O9,($J9,$O9,$T9),1)-2)*20)</f>
        <v>43.8</v>
      </c>
      <c r="W9" s="55">
        <f>IF($T9="","",ROUND(($T9-$T$3)/1000,1)+(_xlfn.RANK.AVG($T9,($J9,$O9,$T9),1)-2)*20)</f>
        <v>-42.7</v>
      </c>
      <c r="Y9" s="8"/>
      <c r="Z9" s="34"/>
      <c r="AA9" s="26">
        <v>1</v>
      </c>
      <c r="AB9" s="26"/>
      <c r="AC9" s="26">
        <v>4</v>
      </c>
      <c r="AD9" s="30">
        <v>20</v>
      </c>
      <c r="AE9" s="40" t="s">
        <v>200</v>
      </c>
      <c r="AF9" s="41" t="s">
        <v>83</v>
      </c>
      <c r="AG9" s="41" t="s">
        <v>82</v>
      </c>
      <c r="AH9" s="41" t="s">
        <v>80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 t="s">
        <v>198</v>
      </c>
      <c r="G10" s="9">
        <v>-7700</v>
      </c>
      <c r="H10" s="9"/>
      <c r="I10" s="48">
        <v>0</v>
      </c>
      <c r="J10" s="21">
        <f t="shared" si="2"/>
        <v>26200</v>
      </c>
      <c r="K10" s="8"/>
      <c r="L10" s="9"/>
      <c r="M10" s="9"/>
      <c r="N10" s="48"/>
      <c r="O10" s="21">
        <f t="shared" si="3"/>
        <v>58800</v>
      </c>
      <c r="P10" s="8" t="s">
        <v>197</v>
      </c>
      <c r="Q10" s="9">
        <v>7700</v>
      </c>
      <c r="R10" s="9"/>
      <c r="S10" s="48">
        <v>0</v>
      </c>
      <c r="T10" s="21">
        <f t="shared" si="4"/>
        <v>20000</v>
      </c>
      <c r="U10" s="53">
        <f>IF($J10="","",ROUND(($J10-$J$3)/1000,1)+(_xlfn.RANK.AVG($J10,($J10,$O10,$T10),1)-2)*20)</f>
        <v>-8.8000000000000007</v>
      </c>
      <c r="V10" s="54">
        <f>IF($O10="","",ROUND(($O10-$O$3)/1000,1)+(_xlfn.RANK.AVG($O10,($J10,$O10,$T10),1)-2)*20)</f>
        <v>43.8</v>
      </c>
      <c r="W10" s="55">
        <f>IF($T10="","",ROUND(($T10-$T$3)/1000,1)+(_xlfn.RANK.AVG($T10,($J10,$O10,$T10),1)-2)*20)</f>
        <v>-35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200</v>
      </c>
      <c r="BV10" s="41" t="s">
        <v>208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IF($P$1="","",$P$1)</f>
        <v>れんたろう</v>
      </c>
      <c r="F11" s="8" t="s">
        <v>197</v>
      </c>
      <c r="G11" s="9">
        <v>5200</v>
      </c>
      <c r="H11" s="9"/>
      <c r="I11" s="48">
        <v>1000</v>
      </c>
      <c r="J11" s="21">
        <f t="shared" si="2"/>
        <v>32400</v>
      </c>
      <c r="K11" s="8"/>
      <c r="L11" s="9"/>
      <c r="M11" s="9"/>
      <c r="N11" s="48"/>
      <c r="O11" s="21">
        <f t="shared" si="3"/>
        <v>58800</v>
      </c>
      <c r="P11" s="8" t="s">
        <v>198</v>
      </c>
      <c r="Q11" s="9">
        <v>-5200</v>
      </c>
      <c r="R11" s="9"/>
      <c r="S11" s="48">
        <v>-1000</v>
      </c>
      <c r="T11" s="21">
        <f t="shared" si="4"/>
        <v>13800</v>
      </c>
      <c r="U11" s="53">
        <f>IF($J11="","",ROUND(($J11-$J$3)/1000,1)+(_xlfn.RANK.AVG($J11,($J11,$O11,$T11),1)-2)*20)</f>
        <v>-2.6</v>
      </c>
      <c r="V11" s="54">
        <f>IF($O11="","",ROUND(($O11-$O$3)/1000,1)+(_xlfn.RANK.AVG($O11,($J11,$O11,$T11),1)-2)*20)</f>
        <v>43.8</v>
      </c>
      <c r="W11" s="55">
        <f>IF($T11="","",ROUND(($T11-$T$3)/1000,1)+(_xlfn.RANK.AVG($T11,($J11,$O11,$T11),1)-2)*20)</f>
        <v>-41.2</v>
      </c>
      <c r="Y11" s="8"/>
      <c r="Z11" s="34"/>
      <c r="AA11" s="26">
        <v>1</v>
      </c>
      <c r="AB11" s="26"/>
      <c r="AC11" s="26">
        <v>3</v>
      </c>
      <c r="AD11" s="30">
        <v>40</v>
      </c>
      <c r="AE11" s="40" t="s">
        <v>200</v>
      </c>
      <c r="AF11" s="41" t="s">
        <v>79</v>
      </c>
      <c r="AG11" s="41" t="s">
        <v>203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tr">
        <f>IF($F$1="","",$F$1)</f>
        <v>だいち</v>
      </c>
      <c r="F12" s="8" t="s">
        <v>201</v>
      </c>
      <c r="G12" s="9">
        <v>-4800</v>
      </c>
      <c r="H12" s="9"/>
      <c r="I12" s="48">
        <v>0</v>
      </c>
      <c r="J12" s="21">
        <f t="shared" si="2"/>
        <v>27600</v>
      </c>
      <c r="K12" s="8" t="s">
        <v>202</v>
      </c>
      <c r="L12" s="9">
        <v>7700</v>
      </c>
      <c r="M12" s="9"/>
      <c r="N12" s="48">
        <v>0</v>
      </c>
      <c r="O12" s="21">
        <f t="shared" si="3"/>
        <v>66500</v>
      </c>
      <c r="P12" s="8" t="s">
        <v>201</v>
      </c>
      <c r="Q12" s="9">
        <v>-2900</v>
      </c>
      <c r="R12" s="9"/>
      <c r="S12" s="48">
        <v>0</v>
      </c>
      <c r="T12" s="21">
        <f t="shared" si="4"/>
        <v>10900</v>
      </c>
      <c r="U12" s="53">
        <f>IF($J12="","",ROUND(($J12-$J$3)/1000,1)+(_xlfn.RANK.AVG($J12,($J12,$O12,$T12),1)-2)*20)</f>
        <v>-7.4</v>
      </c>
      <c r="V12" s="54">
        <f>IF($O12="","",ROUND(($O12-$O$3)/1000,1)+(_xlfn.RANK.AVG($O12,($J12,$O12,$T12),1)-2)*20)</f>
        <v>51.5</v>
      </c>
      <c r="W12" s="55">
        <f>IF($T12="","",ROUND(($T12-$T$3)/1000,1)+(_xlfn.RANK.AVG($T12,($J12,$O12,$T12),1)-2)*20)</f>
        <v>-44.1</v>
      </c>
      <c r="Y12" s="8"/>
      <c r="Z12" s="34"/>
      <c r="AA12" s="26"/>
      <c r="AB12" s="26">
        <v>1</v>
      </c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4</v>
      </c>
      <c r="AY12" s="30">
        <v>30</v>
      </c>
      <c r="AZ12" s="40" t="s">
        <v>82</v>
      </c>
      <c r="BA12" s="41" t="s">
        <v>84</v>
      </c>
      <c r="BB12" s="41" t="s">
        <v>85</v>
      </c>
      <c r="BC12" s="41" t="s">
        <v>203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IF($K$1="","",$K$1)</f>
        <v>りくと</v>
      </c>
      <c r="F13" s="8" t="s">
        <v>201</v>
      </c>
      <c r="G13" s="9">
        <v>-5800</v>
      </c>
      <c r="H13" s="9"/>
      <c r="I13" s="48">
        <v>0</v>
      </c>
      <c r="J13" s="21">
        <f t="shared" si="2"/>
        <v>21800</v>
      </c>
      <c r="K13" s="8" t="s">
        <v>202</v>
      </c>
      <c r="L13" s="9">
        <v>11600</v>
      </c>
      <c r="M13" s="9"/>
      <c r="N13" s="48">
        <v>0</v>
      </c>
      <c r="O13" s="21">
        <f t="shared" si="3"/>
        <v>78100</v>
      </c>
      <c r="P13" s="8" t="s">
        <v>201</v>
      </c>
      <c r="Q13" s="9">
        <v>-5800</v>
      </c>
      <c r="R13" s="9"/>
      <c r="S13" s="48">
        <v>0</v>
      </c>
      <c r="T13" s="21">
        <f t="shared" si="4"/>
        <v>5100</v>
      </c>
      <c r="U13" s="53">
        <f>IF($J13="","",ROUND(($J13-$J$3)/1000,1)+(_xlfn.RANK.AVG($J13,($J13,$O13,$T13),1)-2)*20)</f>
        <v>-13.2</v>
      </c>
      <c r="V13" s="54">
        <f>IF($O13="","",ROUND(($O13-$O$3)/1000,1)+(_xlfn.RANK.AVG($O13,($J13,$O13,$T13),1)-2)*20)</f>
        <v>63.1</v>
      </c>
      <c r="W13" s="55">
        <f>IF($T13="","",ROUND(($T13-$T$3)/1000,1)+(_xlfn.RANK.AVG($T13,($J13,$O13,$T13),1)-2)*20)</f>
        <v>-49.9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4</v>
      </c>
      <c r="AY13" s="30">
        <v>30</v>
      </c>
      <c r="AZ13" s="40" t="s">
        <v>200</v>
      </c>
      <c r="BA13" s="41" t="s">
        <v>82</v>
      </c>
      <c r="BB13" s="41" t="s">
        <v>86</v>
      </c>
      <c r="BC13" s="41" t="s">
        <v>80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AF2325BB-3644-4C4C-99B2-D1CCCC76C4EF}">
      <formula1>$U$2:$W$2</formula1>
    </dataValidation>
    <dataValidation type="list" showInputMessage="1" showErrorMessage="1" sqref="K4:K30 P4:P30 F4:F30" xr:uid="{A9BCE987-5994-45F6-AE35-9FE839697920}">
      <formula1>"ロン,ツモ,放銃,ツモ支払,流局,チョンボ"</formula1>
    </dataValidation>
    <dataValidation type="list" allowBlank="1" showInputMessage="1" sqref="F1:T1" xr:uid="{53CD5F35-658A-45FD-9A31-76E2F4E1DA7A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EAD19-D517-4D33-B717-927C22C515DF}">
  <sheetPr codeName="Sheet2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196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りくと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だいち</v>
      </c>
      <c r="V2" s="82" t="str">
        <f>$K$1</f>
        <v>りくと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197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-32</v>
      </c>
      <c r="W4" s="55">
        <f>IF($T4="","",ROUND(($T4-$T$3)/1000,1)+(_xlfn.RANK.AVG($T4,($J4,$O4,$T4),1)-2)*20)</f>
        <v>32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40</v>
      </c>
      <c r="BU4" s="40" t="s">
        <v>200</v>
      </c>
      <c r="BV4" s="41" t="s">
        <v>86</v>
      </c>
      <c r="BW4" s="41" t="s">
        <v>203</v>
      </c>
      <c r="BX4" s="41" t="s">
        <v>80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IF($P$1="","",$P$1)</f>
        <v>れんたろう</v>
      </c>
      <c r="F5" s="8" t="s">
        <v>201</v>
      </c>
      <c r="G5" s="9">
        <v>-3000</v>
      </c>
      <c r="H5" s="9"/>
      <c r="I5" s="48">
        <v>-500</v>
      </c>
      <c r="J5" s="21">
        <f t="shared" ref="J5:J30" si="2">IF(COUNTA($F5,$K5,$P5)&gt;0,J4+SUM(G5:I5),"")</f>
        <v>31500</v>
      </c>
      <c r="K5" s="8" t="s">
        <v>202</v>
      </c>
      <c r="L5" s="9">
        <v>8000</v>
      </c>
      <c r="M5" s="9">
        <v>1000</v>
      </c>
      <c r="N5" s="48">
        <v>1000</v>
      </c>
      <c r="O5" s="21">
        <f t="shared" ref="O5:O30" si="3">IF(COUNTA($F5,$K5,$P5)&gt;0,O4+SUM(L5:N5),"")</f>
        <v>33000</v>
      </c>
      <c r="P5" s="8" t="s">
        <v>201</v>
      </c>
      <c r="Q5" s="9">
        <v>-5000</v>
      </c>
      <c r="R5" s="9">
        <v>-1000</v>
      </c>
      <c r="S5" s="48">
        <v>-500</v>
      </c>
      <c r="T5" s="21">
        <f t="shared" ref="T5:T30" si="4">IF(COUNTA($F5,$K5,$P5)&gt;0,T4+SUM(Q5:S5),"")</f>
        <v>40500</v>
      </c>
      <c r="U5" s="53">
        <f>IF($J5="","",ROUND(($J5-$J$3)/1000,1)+(_xlfn.RANK.AVG($J5,($J5,$O5,$T5),1)-2)*20)</f>
        <v>-23.5</v>
      </c>
      <c r="V5" s="54">
        <f>IF($O5="","",ROUND(($O5-$O$3)/1000,1)+(_xlfn.RANK.AVG($O5,($J5,$O5,$T5),1)-2)*20)</f>
        <v>-2</v>
      </c>
      <c r="W5" s="55">
        <f>IF($T5="","",ROUND(($T5-$T$3)/1000,1)+(_xlfn.RANK.AVG($T5,($J5,$O5,$T5),1)-2)*20)</f>
        <v>25.5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200</v>
      </c>
      <c r="BA5" s="41" t="s">
        <v>82</v>
      </c>
      <c r="BB5" s="41" t="s">
        <v>83</v>
      </c>
      <c r="BC5" s="41" t="s">
        <v>203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IF($F$1="","",$F$1)</f>
        <v>だいち</v>
      </c>
      <c r="F6" s="8" t="s">
        <v>197</v>
      </c>
      <c r="G6" s="9">
        <v>18000</v>
      </c>
      <c r="H6" s="9"/>
      <c r="I6" s="48">
        <v>0</v>
      </c>
      <c r="J6" s="21">
        <f t="shared" si="2"/>
        <v>49500</v>
      </c>
      <c r="K6" s="8"/>
      <c r="L6" s="9"/>
      <c r="M6" s="9"/>
      <c r="N6" s="48"/>
      <c r="O6" s="21">
        <f t="shared" si="3"/>
        <v>33000</v>
      </c>
      <c r="P6" s="8" t="s">
        <v>198</v>
      </c>
      <c r="Q6" s="9">
        <v>-18000</v>
      </c>
      <c r="R6" s="9"/>
      <c r="S6" s="48">
        <v>0</v>
      </c>
      <c r="T6" s="21">
        <f t="shared" si="4"/>
        <v>22500</v>
      </c>
      <c r="U6" s="53">
        <f>IF($J6="","",ROUND(($J6-$J$3)/1000,1)+(_xlfn.RANK.AVG($J6,($J6,$O6,$T6),1)-2)*20)</f>
        <v>34.5</v>
      </c>
      <c r="V6" s="54">
        <f>IF($O6="","",ROUND(($O6-$O$3)/1000,1)+(_xlfn.RANK.AVG($O6,($J6,$O6,$T6),1)-2)*20)</f>
        <v>-2</v>
      </c>
      <c r="W6" s="55">
        <f>IF($T6="","",ROUND(($T6-$T$3)/1000,1)+(_xlfn.RANK.AVG($T6,($J6,$O6,$T6),1)-2)*20)</f>
        <v>-32.5</v>
      </c>
      <c r="Y6" s="8"/>
      <c r="Z6" s="34"/>
      <c r="AA6" s="26"/>
      <c r="AB6" s="26">
        <v>1</v>
      </c>
      <c r="AC6" s="26">
        <v>7</v>
      </c>
      <c r="AD6" s="30" t="s">
        <v>199</v>
      </c>
      <c r="AE6" s="40" t="s">
        <v>85</v>
      </c>
      <c r="AF6" s="41" t="s">
        <v>98</v>
      </c>
      <c r="AG6" s="41" t="s">
        <v>79</v>
      </c>
      <c r="AH6" s="41" t="s">
        <v>79</v>
      </c>
      <c r="AI6" s="41" t="s">
        <v>79</v>
      </c>
      <c r="AJ6" s="41" t="s">
        <v>79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tr">
        <f>IF($F$1="","",$F$1)</f>
        <v>だいち</v>
      </c>
      <c r="F7" s="8" t="s">
        <v>197</v>
      </c>
      <c r="G7" s="9">
        <v>5800</v>
      </c>
      <c r="H7" s="9"/>
      <c r="I7" s="48">
        <v>1000</v>
      </c>
      <c r="J7" s="21">
        <f t="shared" si="2"/>
        <v>56300</v>
      </c>
      <c r="K7" s="8"/>
      <c r="L7" s="9"/>
      <c r="M7" s="9"/>
      <c r="N7" s="48"/>
      <c r="O7" s="21">
        <f t="shared" si="3"/>
        <v>33000</v>
      </c>
      <c r="P7" s="8" t="s">
        <v>198</v>
      </c>
      <c r="Q7" s="9">
        <v>-5800</v>
      </c>
      <c r="R7" s="9"/>
      <c r="S7" s="48">
        <v>-1000</v>
      </c>
      <c r="T7" s="21">
        <f t="shared" si="4"/>
        <v>15700</v>
      </c>
      <c r="U7" s="53">
        <f>IF($J7="","",ROUND(($J7-$J$3)/1000,1)+(_xlfn.RANK.AVG($J7,($J7,$O7,$T7),1)-2)*20)</f>
        <v>41.3</v>
      </c>
      <c r="V7" s="54">
        <f>IF($O7="","",ROUND(($O7-$O$3)/1000,1)+(_xlfn.RANK.AVG($O7,($J7,$O7,$T7),1)-2)*20)</f>
        <v>-2</v>
      </c>
      <c r="W7" s="55">
        <f>IF($T7="","",ROUND(($T7-$T$3)/1000,1)+(_xlfn.RANK.AVG($T7,($J7,$O7,$T7),1)-2)*20)</f>
        <v>-39.299999999999997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104</v>
      </c>
      <c r="AF7" s="41" t="s">
        <v>203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tr">
        <f>IF($F$1="","",$F$1)</f>
        <v>だいち</v>
      </c>
      <c r="F8" s="8" t="s">
        <v>201</v>
      </c>
      <c r="G8" s="9">
        <v>-2500</v>
      </c>
      <c r="H8" s="9"/>
      <c r="I8" s="48">
        <v>-1000</v>
      </c>
      <c r="J8" s="21">
        <f t="shared" si="2"/>
        <v>52800</v>
      </c>
      <c r="K8" s="8" t="s">
        <v>201</v>
      </c>
      <c r="L8" s="9">
        <v>-1500</v>
      </c>
      <c r="M8" s="9"/>
      <c r="N8" s="48">
        <v>-1000</v>
      </c>
      <c r="O8" s="21">
        <f t="shared" si="3"/>
        <v>30500</v>
      </c>
      <c r="P8" s="8" t="s">
        <v>202</v>
      </c>
      <c r="Q8" s="9">
        <v>4000</v>
      </c>
      <c r="R8" s="9"/>
      <c r="S8" s="48">
        <v>2000</v>
      </c>
      <c r="T8" s="21">
        <f t="shared" si="4"/>
        <v>21700</v>
      </c>
      <c r="U8" s="53">
        <f>IF($J8="","",ROUND(($J8-$J$3)/1000,1)+(_xlfn.RANK.AVG($J8,($J8,$O8,$T8),1)-2)*20)</f>
        <v>37.799999999999997</v>
      </c>
      <c r="V8" s="54">
        <f>IF($O8="","",ROUND(($O8-$O$3)/1000,1)+(_xlfn.RANK.AVG($O8,($J8,$O8,$T8),1)-2)*20)</f>
        <v>-4.5</v>
      </c>
      <c r="W8" s="55">
        <f>IF($T8="","",ROUND(($T8-$T$3)/1000,1)+(_xlfn.RANK.AVG($T8,($J8,$O8,$T8),1)-2)*20)</f>
        <v>-33.299999999999997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79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IF($K$1="","",$K$1)</f>
        <v>りくと</v>
      </c>
      <c r="F9" s="8" t="s">
        <v>202</v>
      </c>
      <c r="G9" s="9">
        <v>8000</v>
      </c>
      <c r="H9" s="9">
        <v>1000</v>
      </c>
      <c r="I9" s="48">
        <v>0</v>
      </c>
      <c r="J9" s="21">
        <f t="shared" si="2"/>
        <v>61800</v>
      </c>
      <c r="K9" s="8" t="s">
        <v>201</v>
      </c>
      <c r="L9" s="9">
        <v>-5000</v>
      </c>
      <c r="M9" s="9">
        <v>-1000</v>
      </c>
      <c r="N9" s="48">
        <v>0</v>
      </c>
      <c r="O9" s="21">
        <f t="shared" si="3"/>
        <v>24500</v>
      </c>
      <c r="P9" s="8" t="s">
        <v>201</v>
      </c>
      <c r="Q9" s="9">
        <v>-3000</v>
      </c>
      <c r="R9" s="9"/>
      <c r="S9" s="48">
        <v>0</v>
      </c>
      <c r="T9" s="21">
        <f t="shared" si="4"/>
        <v>18700</v>
      </c>
      <c r="U9" s="53">
        <f>IF($J9="","",ROUND(($J9-$J$3)/1000,1)+(_xlfn.RANK.AVG($J9,($J9,$O9,$T9),1)-2)*20)</f>
        <v>46.8</v>
      </c>
      <c r="V9" s="54">
        <f>IF($O9="","",ROUND(($O9-$O$3)/1000,1)+(_xlfn.RANK.AVG($O9,($J9,$O9,$T9),1)-2)*20)</f>
        <v>-10.5</v>
      </c>
      <c r="W9" s="55">
        <f>IF($T9="","",ROUND(($T9-$T$3)/1000,1)+(_xlfn.RANK.AVG($T9,($J9,$O9,$T9),1)-2)*20)</f>
        <v>-36.299999999999997</v>
      </c>
      <c r="Y9" s="8"/>
      <c r="Z9" s="34"/>
      <c r="AA9" s="26">
        <v>1</v>
      </c>
      <c r="AB9" s="26"/>
      <c r="AC9" s="26">
        <v>5</v>
      </c>
      <c r="AD9" s="30" t="s">
        <v>199</v>
      </c>
      <c r="AE9" s="40" t="s">
        <v>200</v>
      </c>
      <c r="AF9" s="41" t="s">
        <v>82</v>
      </c>
      <c r="AG9" s="41" t="s">
        <v>79</v>
      </c>
      <c r="AH9" s="41" t="s">
        <v>79</v>
      </c>
      <c r="AI9" s="41" t="s">
        <v>79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IF($P$1="","",$P$1)</f>
        <v>れんたろう</v>
      </c>
      <c r="F10" s="8"/>
      <c r="G10" s="9"/>
      <c r="H10" s="9"/>
      <c r="I10" s="48"/>
      <c r="J10" s="21">
        <f t="shared" si="2"/>
        <v>61800</v>
      </c>
      <c r="K10" s="8" t="s">
        <v>197</v>
      </c>
      <c r="L10" s="9">
        <v>12000</v>
      </c>
      <c r="M10" s="9">
        <v>1000</v>
      </c>
      <c r="N10" s="48">
        <v>0</v>
      </c>
      <c r="O10" s="21">
        <f t="shared" si="3"/>
        <v>37500</v>
      </c>
      <c r="P10" s="8" t="s">
        <v>198</v>
      </c>
      <c r="Q10" s="9">
        <v>-12000</v>
      </c>
      <c r="R10" s="9">
        <v>-1000</v>
      </c>
      <c r="S10" s="48">
        <v>0</v>
      </c>
      <c r="T10" s="21">
        <f t="shared" si="4"/>
        <v>5700</v>
      </c>
      <c r="U10" s="53">
        <f>IF($J10="","",ROUND(($J10-$J$3)/1000,1)+(_xlfn.RANK.AVG($J10,($J10,$O10,$T10),1)-2)*20)</f>
        <v>46.8</v>
      </c>
      <c r="V10" s="54">
        <f>IF($O10="","",ROUND(($O10-$O$3)/1000,1)+(_xlfn.RANK.AVG($O10,($J10,$O10,$T10),1)-2)*20)</f>
        <v>2.5</v>
      </c>
      <c r="W10" s="55">
        <f>IF($T10="","",ROUND(($T10-$T$3)/1000,1)+(_xlfn.RANK.AVG($T10,($J10,$O10,$T10),1)-2)*20)</f>
        <v>-49.3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6</v>
      </c>
      <c r="AY10" s="30" t="s">
        <v>199</v>
      </c>
      <c r="AZ10" s="40" t="s">
        <v>200</v>
      </c>
      <c r="BA10" s="41" t="s">
        <v>83</v>
      </c>
      <c r="BB10" s="41" t="s">
        <v>79</v>
      </c>
      <c r="BC10" s="41" t="s">
        <v>79</v>
      </c>
      <c r="BD10" s="41" t="s">
        <v>203</v>
      </c>
      <c r="BE10" s="41" t="s">
        <v>203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IF($F$1="","",$F$1)</f>
        <v>だいち</v>
      </c>
      <c r="F11" s="8" t="s">
        <v>202</v>
      </c>
      <c r="G11" s="9">
        <v>2200</v>
      </c>
      <c r="H11" s="9">
        <v>2000</v>
      </c>
      <c r="I11" s="48">
        <v>0</v>
      </c>
      <c r="J11" s="21">
        <f t="shared" si="2"/>
        <v>66000</v>
      </c>
      <c r="K11" s="8" t="s">
        <v>201</v>
      </c>
      <c r="L11" s="9">
        <v>-1100</v>
      </c>
      <c r="M11" s="9"/>
      <c r="N11" s="48">
        <v>0</v>
      </c>
      <c r="O11" s="21">
        <f t="shared" si="3"/>
        <v>36400</v>
      </c>
      <c r="P11" s="8" t="s">
        <v>201</v>
      </c>
      <c r="Q11" s="9">
        <v>-1100</v>
      </c>
      <c r="R11" s="9">
        <v>-2000</v>
      </c>
      <c r="S11" s="48">
        <v>0</v>
      </c>
      <c r="T11" s="21">
        <f t="shared" si="4"/>
        <v>2600</v>
      </c>
      <c r="U11" s="53">
        <f>IF($J11="","",ROUND(($J11-$J$3)/1000,1)+(_xlfn.RANK.AVG($J11,($J11,$O11,$T11),1)-2)*20)</f>
        <v>51</v>
      </c>
      <c r="V11" s="54">
        <f>IF($O11="","",ROUND(($O11-$O$3)/1000,1)+(_xlfn.RANK.AVG($O11,($J11,$O11,$T11),1)-2)*20)</f>
        <v>1.4</v>
      </c>
      <c r="W11" s="55">
        <f>IF($T11="","",ROUND(($T11-$T$3)/1000,1)+(_xlfn.RANK.AVG($T11,($J11,$O11,$T11),1)-2)*20)</f>
        <v>-52.4</v>
      </c>
      <c r="Y11" s="8"/>
      <c r="Z11" s="34"/>
      <c r="AA11" s="26"/>
      <c r="AB11" s="26"/>
      <c r="AC11" s="26">
        <v>2</v>
      </c>
      <c r="AD11" s="30">
        <v>20</v>
      </c>
      <c r="AE11" s="40" t="s">
        <v>83</v>
      </c>
      <c r="AF11" s="41" t="s">
        <v>82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IF($F$1="","",$F$1)</f>
        <v>だいち</v>
      </c>
      <c r="F12" s="8" t="s">
        <v>198</v>
      </c>
      <c r="G12" s="9">
        <v>-5200</v>
      </c>
      <c r="H12" s="9">
        <v>-1000</v>
      </c>
      <c r="I12" s="48">
        <v>-1000</v>
      </c>
      <c r="J12" s="21">
        <f t="shared" si="2"/>
        <v>58800</v>
      </c>
      <c r="K12" s="8" t="s">
        <v>197</v>
      </c>
      <c r="L12" s="9">
        <v>5200</v>
      </c>
      <c r="M12" s="9">
        <v>1000</v>
      </c>
      <c r="N12" s="48">
        <v>1000</v>
      </c>
      <c r="O12" s="21">
        <f t="shared" si="3"/>
        <v>43600</v>
      </c>
      <c r="P12" s="8"/>
      <c r="Q12" s="9"/>
      <c r="R12" s="9"/>
      <c r="S12" s="48"/>
      <c r="T12" s="21">
        <f t="shared" si="4"/>
        <v>2600</v>
      </c>
      <c r="U12" s="53">
        <f>IF($J12="","",ROUND(($J12-$J$3)/1000,1)+(_xlfn.RANK.AVG($J12,($J12,$O12,$T12),1)-2)*20)</f>
        <v>43.8</v>
      </c>
      <c r="V12" s="54">
        <f>IF($O12="","",ROUND(($O12-$O$3)/1000,1)+(_xlfn.RANK.AVG($O12,($J12,$O12,$T12),1)-2)*20)</f>
        <v>8.6</v>
      </c>
      <c r="W12" s="55">
        <f>IF($T12="","",ROUND(($T12-$T$3)/1000,1)+(_xlfn.RANK.AVG($T12,($J12,$O12,$T12),1)-2)*20)</f>
        <v>-52.4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200</v>
      </c>
      <c r="BA12" s="41" t="s">
        <v>79</v>
      </c>
      <c r="BB12" s="41" t="s">
        <v>80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IF($K$1="","",$K$1)</f>
        <v>りくと</v>
      </c>
      <c r="F13" s="8" t="s">
        <v>202</v>
      </c>
      <c r="G13" s="9">
        <v>8000</v>
      </c>
      <c r="H13" s="9"/>
      <c r="I13" s="48">
        <v>0</v>
      </c>
      <c r="J13" s="21">
        <f t="shared" si="2"/>
        <v>66800</v>
      </c>
      <c r="K13" s="8" t="s">
        <v>201</v>
      </c>
      <c r="L13" s="9">
        <v>-5000</v>
      </c>
      <c r="M13" s="9"/>
      <c r="N13" s="48">
        <v>0</v>
      </c>
      <c r="O13" s="21">
        <f t="shared" si="3"/>
        <v>38600</v>
      </c>
      <c r="P13" s="8" t="s">
        <v>201</v>
      </c>
      <c r="Q13" s="9">
        <v>-3000</v>
      </c>
      <c r="R13" s="9"/>
      <c r="S13" s="48">
        <v>0</v>
      </c>
      <c r="T13" s="21">
        <f t="shared" si="4"/>
        <v>-400</v>
      </c>
      <c r="U13" s="53">
        <f>IF($J13="","",ROUND(($J13-$J$3)/1000,1)+(_xlfn.RANK.AVG($J13,($J13,$O13,$T13),1)-2)*20)</f>
        <v>51.8</v>
      </c>
      <c r="V13" s="54">
        <f>IF($O13="","",ROUND(($O13-$O$3)/1000,1)+(_xlfn.RANK.AVG($O13,($J13,$O13,$T13),1)-2)*20)</f>
        <v>3.6</v>
      </c>
      <c r="W13" s="55">
        <f>IF($T13="","",ROUND(($T13-$T$3)/1000,1)+(_xlfn.RANK.AVG($T13,($J13,$O13,$T13),1)-2)*20)</f>
        <v>-55.4</v>
      </c>
      <c r="Y13" s="8"/>
      <c r="Z13" s="34"/>
      <c r="AA13" s="26">
        <v>1</v>
      </c>
      <c r="AB13" s="26"/>
      <c r="AC13" s="26">
        <v>5</v>
      </c>
      <c r="AD13" s="30" t="s">
        <v>199</v>
      </c>
      <c r="AE13" s="40" t="s">
        <v>200</v>
      </c>
      <c r="AF13" s="41" t="s">
        <v>82</v>
      </c>
      <c r="AG13" s="41" t="s">
        <v>79</v>
      </c>
      <c r="AH13" s="41" t="s">
        <v>79</v>
      </c>
      <c r="AI13" s="41" t="s">
        <v>79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4B3CA6A6-295B-41F9-8758-D09E9D065BA5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  <dataValidation type="list" showInputMessage="1" showErrorMessage="1" sqref="K4:K30 P4:P30 F4:F30" xr:uid="{FE100BBB-92CB-48F9-8A33-424AA56F121C}">
      <formula1>"ロン,ツモ,放銃,ツモ支払,流局,チョンボ"</formula1>
    </dataValidation>
    <dataValidation type="list" allowBlank="1" showInputMessage="1" showErrorMessage="1" sqref="E4:E30" xr:uid="{24B6FF01-38EE-4931-9F2C-4828D7F39B8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BCB93-51AF-4C61-AF20-91C9280ED9A8}">
  <sheetPr codeName="Sheet24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7" t="s">
        <v>0</v>
      </c>
      <c r="B1" s="89" t="s">
        <v>2</v>
      </c>
      <c r="C1" s="89" t="s">
        <v>1</v>
      </c>
      <c r="D1" s="89" t="s">
        <v>21</v>
      </c>
      <c r="E1" s="91" t="s">
        <v>3</v>
      </c>
      <c r="F1" s="83" t="s">
        <v>196</v>
      </c>
      <c r="G1" s="84"/>
      <c r="H1" s="84"/>
      <c r="I1" s="85"/>
      <c r="J1" s="86"/>
      <c r="K1" s="83" t="s">
        <v>192</v>
      </c>
      <c r="L1" s="84"/>
      <c r="M1" s="84"/>
      <c r="N1" s="85"/>
      <c r="O1" s="86"/>
      <c r="P1" s="83" t="s">
        <v>194</v>
      </c>
      <c r="Q1" s="84"/>
      <c r="R1" s="84"/>
      <c r="S1" s="85"/>
      <c r="T1" s="86"/>
      <c r="U1" s="83" t="s">
        <v>6</v>
      </c>
      <c r="V1" s="84"/>
      <c r="W1" s="86"/>
      <c r="Y1" s="83" t="str">
        <f>F1</f>
        <v>だいち</v>
      </c>
      <c r="Z1" s="9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6"/>
      <c r="AT1" s="83" t="str">
        <f>K1</f>
        <v>りくと</v>
      </c>
      <c r="AU1" s="9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6"/>
      <c r="BO1" s="83" t="str">
        <f>P1</f>
        <v>れんたろう</v>
      </c>
      <c r="BP1" s="9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6"/>
    </row>
    <row r="2" spans="1:87" x14ac:dyDescent="0.4">
      <c r="A2" s="88"/>
      <c r="B2" s="90"/>
      <c r="C2" s="90"/>
      <c r="D2" s="90"/>
      <c r="E2" s="9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1" t="str">
        <f>$F$1</f>
        <v>だいち</v>
      </c>
      <c r="V2" s="82" t="str">
        <f>$K$1</f>
        <v>りくと</v>
      </c>
      <c r="W2" s="16" t="str">
        <f>$P$1</f>
        <v>れんたろう</v>
      </c>
      <c r="Y2" s="77" t="s">
        <v>23</v>
      </c>
      <c r="Z2" s="80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93" t="s">
        <v>20</v>
      </c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77" t="s">
        <v>23</v>
      </c>
      <c r="AU2" s="80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93" t="s">
        <v>20</v>
      </c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77" t="s">
        <v>23</v>
      </c>
      <c r="BP2" s="80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93" t="s">
        <v>20</v>
      </c>
      <c r="BV2" s="93"/>
      <c r="BW2" s="93"/>
      <c r="BX2" s="93"/>
      <c r="BY2" s="93"/>
      <c r="BZ2" s="93"/>
      <c r="CA2" s="93"/>
      <c r="CB2" s="93"/>
      <c r="CC2" s="93"/>
      <c r="CD2" s="93"/>
      <c r="CE2" s="93"/>
      <c r="CF2" s="93"/>
      <c r="CG2" s="93"/>
      <c r="CH2" s="93"/>
      <c r="CI2" s="9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202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201</v>
      </c>
      <c r="L4" s="9">
        <v>-4500</v>
      </c>
      <c r="M4" s="9">
        <v>-1000</v>
      </c>
      <c r="N4" s="48">
        <v>0</v>
      </c>
      <c r="O4" s="21">
        <f>IF(COUNTA($F4,$K4,$P4)&gt;0,O3+SUM(L4:N4),"")</f>
        <v>29500</v>
      </c>
      <c r="P4" s="8" t="s">
        <v>201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IF($J4="","",ROUND(($J4-$J$3)/1000,1)+(_xlfn.RANK.AVG($J4,($J4,$O4,$T4),1)-2)*20)</f>
        <v>33</v>
      </c>
      <c r="V4" s="54">
        <f>IF($O4="","",ROUND(($O4-$O$3)/1000,1)+(_xlfn.RANK.AVG($O4,($J4,$O4,$T4),1)-2)*20)</f>
        <v>-5.5</v>
      </c>
      <c r="W4" s="55">
        <f>IF($T4="","",ROUND(($T4-$T$3)/1000,1)+(_xlfn.RANK.AVG($T4,($J4,$O4,$T4),1)-2)*20)</f>
        <v>-27.5</v>
      </c>
      <c r="Y4" s="8"/>
      <c r="Z4" s="34"/>
      <c r="AA4" s="26">
        <v>1</v>
      </c>
      <c r="AB4" s="26"/>
      <c r="AC4" s="26">
        <v>6</v>
      </c>
      <c r="AD4" s="30" t="s">
        <v>199</v>
      </c>
      <c r="AE4" s="40" t="s">
        <v>200</v>
      </c>
      <c r="AF4" s="41" t="s">
        <v>82</v>
      </c>
      <c r="AG4" s="41" t="s">
        <v>79</v>
      </c>
      <c r="AH4" s="41" t="s">
        <v>79</v>
      </c>
      <c r="AI4" s="41" t="s">
        <v>80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IF($F$1="","",$F$1)</f>
        <v>だいち</v>
      </c>
      <c r="F5" s="8" t="s">
        <v>198</v>
      </c>
      <c r="G5" s="9">
        <v>-7700</v>
      </c>
      <c r="H5" s="9"/>
      <c r="I5" s="48">
        <v>0</v>
      </c>
      <c r="J5" s="21">
        <f t="shared" ref="J5:J30" si="2">IF(COUNTA($F5,$K5,$P5)&gt;0,J4+SUM(G5:I5),"")</f>
        <v>40300</v>
      </c>
      <c r="K5" s="8"/>
      <c r="L5" s="9"/>
      <c r="M5" s="9"/>
      <c r="N5" s="48"/>
      <c r="O5" s="21">
        <f t="shared" ref="O5:O30" si="3">IF(COUNTA($F5,$K5,$P5)&gt;0,O4+SUM(L5:N5),"")</f>
        <v>29500</v>
      </c>
      <c r="P5" s="8" t="s">
        <v>197</v>
      </c>
      <c r="Q5" s="9">
        <v>7700</v>
      </c>
      <c r="R5" s="9"/>
      <c r="S5" s="48">
        <v>0</v>
      </c>
      <c r="T5" s="21">
        <f t="shared" ref="T5:T30" si="4">IF(COUNTA($F5,$K5,$P5)&gt;0,T4+SUM(Q5:S5),"")</f>
        <v>35200</v>
      </c>
      <c r="U5" s="53">
        <f>IF($J5="","",ROUND(($J5-$J$3)/1000,1)+(_xlfn.RANK.AVG($J5,($J5,$O5,$T5),1)-2)*20)</f>
        <v>25.3</v>
      </c>
      <c r="V5" s="54">
        <f>IF($O5="","",ROUND(($O5-$O$3)/1000,1)+(_xlfn.RANK.AVG($O5,($J5,$O5,$T5),1)-2)*20)</f>
        <v>-25.5</v>
      </c>
      <c r="W5" s="55">
        <f>IF($T5="","",ROUND(($T5-$T$3)/1000,1)+(_xlfn.RANK.AVG($T5,($J5,$O5,$T5),1)-2)*20)</f>
        <v>0.2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104</v>
      </c>
      <c r="BV5" s="41" t="s">
        <v>86</v>
      </c>
      <c r="BW5" s="41" t="s">
        <v>86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りくと</v>
      </c>
      <c r="F6" s="8" t="s">
        <v>198</v>
      </c>
      <c r="G6" s="9">
        <v>-1000</v>
      </c>
      <c r="H6" s="9"/>
      <c r="I6" s="48">
        <v>0</v>
      </c>
      <c r="J6" s="21">
        <f t="shared" si="2"/>
        <v>39300</v>
      </c>
      <c r="K6" s="8"/>
      <c r="L6" s="9"/>
      <c r="M6" s="9"/>
      <c r="N6" s="48"/>
      <c r="O6" s="21">
        <f t="shared" si="3"/>
        <v>29500</v>
      </c>
      <c r="P6" s="8" t="s">
        <v>197</v>
      </c>
      <c r="Q6" s="9">
        <v>1000</v>
      </c>
      <c r="R6" s="9"/>
      <c r="S6" s="48">
        <v>0</v>
      </c>
      <c r="T6" s="21">
        <f t="shared" si="4"/>
        <v>36200</v>
      </c>
      <c r="U6" s="53">
        <f>IF($J6="","",ROUND(($J6-$J$3)/1000,1)+(_xlfn.RANK.AVG($J6,($J6,$O6,$T6),1)-2)*20)</f>
        <v>24.3</v>
      </c>
      <c r="V6" s="54">
        <f>IF($O6="","",ROUND(($O6-$O$3)/1000,1)+(_xlfn.RANK.AVG($O6,($J6,$O6,$T6),1)-2)*20)</f>
        <v>-25.5</v>
      </c>
      <c r="W6" s="55">
        <f>IF($T6="","",ROUND(($T6-$T$3)/1000,1)+(_xlfn.RANK.AVG($T6,($J6,$O6,$T6),1)-2)*20)</f>
        <v>1.2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201</v>
      </c>
      <c r="G7" s="9">
        <v>-4800</v>
      </c>
      <c r="H7" s="9">
        <v>-1000</v>
      </c>
      <c r="I7" s="48">
        <v>0</v>
      </c>
      <c r="J7" s="21">
        <f t="shared" si="2"/>
        <v>33500</v>
      </c>
      <c r="K7" s="8" t="s">
        <v>201</v>
      </c>
      <c r="L7" s="9">
        <v>-4800</v>
      </c>
      <c r="M7" s="9"/>
      <c r="N7" s="48">
        <v>0</v>
      </c>
      <c r="O7" s="21">
        <f t="shared" si="3"/>
        <v>24700</v>
      </c>
      <c r="P7" s="8" t="s">
        <v>202</v>
      </c>
      <c r="Q7" s="9">
        <v>9600</v>
      </c>
      <c r="R7" s="9">
        <v>1000</v>
      </c>
      <c r="S7" s="48">
        <v>0</v>
      </c>
      <c r="T7" s="21">
        <f t="shared" si="4"/>
        <v>46800</v>
      </c>
      <c r="U7" s="53">
        <f>IF($J7="","",ROUND(($J7-$J$3)/1000,1)+(_xlfn.RANK.AVG($J7,($J7,$O7,$T7),1)-2)*20)</f>
        <v>-1.5</v>
      </c>
      <c r="V7" s="54">
        <f>IF($O7="","",ROUND(($O7-$O$3)/1000,1)+(_xlfn.RANK.AVG($O7,($J7,$O7,$T7),1)-2)*20)</f>
        <v>-30.3</v>
      </c>
      <c r="W7" s="55">
        <f>IF($T7="","",ROUND(($T7-$T$3)/1000,1)+(_xlfn.RANK.AVG($T7,($J7,$O7,$T7),1)-2)*20)</f>
        <v>31.8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25</v>
      </c>
      <c r="BU7" s="40" t="s">
        <v>200</v>
      </c>
      <c r="BV7" s="41" t="s">
        <v>82</v>
      </c>
      <c r="BW7" s="41" t="s">
        <v>101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 t="s">
        <v>206</v>
      </c>
      <c r="G8" s="9">
        <v>-1500</v>
      </c>
      <c r="H8" s="9"/>
      <c r="I8" s="48"/>
      <c r="J8" s="21">
        <f t="shared" si="2"/>
        <v>32000</v>
      </c>
      <c r="K8" s="8" t="s">
        <v>206</v>
      </c>
      <c r="L8" s="9">
        <v>-1500</v>
      </c>
      <c r="M8" s="9"/>
      <c r="N8" s="48"/>
      <c r="O8" s="21">
        <f t="shared" si="3"/>
        <v>23200</v>
      </c>
      <c r="P8" s="8" t="s">
        <v>206</v>
      </c>
      <c r="Q8" s="9">
        <v>3000</v>
      </c>
      <c r="R8" s="9">
        <v>-1000</v>
      </c>
      <c r="S8" s="48"/>
      <c r="T8" s="21">
        <f t="shared" si="4"/>
        <v>48800</v>
      </c>
      <c r="U8" s="53">
        <f>IF($J8="","",ROUND(($J8-$J$3)/1000,1)+(_xlfn.RANK.AVG($J8,($J8,$O8,$T8),1)-2)*20)</f>
        <v>-3</v>
      </c>
      <c r="V8" s="54">
        <f>IF($O8="","",ROUND(($O8-$O$3)/1000,1)+(_xlfn.RANK.AVG($O8,($J8,$O8,$T8),1)-2)*20)</f>
        <v>-31.8</v>
      </c>
      <c r="W8" s="55">
        <f>IF($T8="","",ROUND(($T8-$T$3)/1000,1)+(_xlfn.RANK.AVG($T8,($J8,$O8,$T8),1)-2)*20)</f>
        <v>33.799999999999997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1</v>
      </c>
      <c r="E9" s="4" t="str">
        <f>IF($P$1="","",$P$1)</f>
        <v>れんたろう</v>
      </c>
      <c r="F9" s="8"/>
      <c r="G9" s="9"/>
      <c r="H9" s="9"/>
      <c r="I9" s="48"/>
      <c r="J9" s="21">
        <f t="shared" si="2"/>
        <v>32000</v>
      </c>
      <c r="K9" s="8" t="s">
        <v>198</v>
      </c>
      <c r="L9" s="9">
        <v>-1500</v>
      </c>
      <c r="M9" s="9"/>
      <c r="N9" s="48">
        <v>-2000</v>
      </c>
      <c r="O9" s="21">
        <f t="shared" si="3"/>
        <v>19700</v>
      </c>
      <c r="P9" s="8" t="s">
        <v>197</v>
      </c>
      <c r="Q9" s="9">
        <v>1500</v>
      </c>
      <c r="R9" s="9">
        <v>1000</v>
      </c>
      <c r="S9" s="48">
        <v>2000</v>
      </c>
      <c r="T9" s="21">
        <f t="shared" si="4"/>
        <v>53300</v>
      </c>
      <c r="U9" s="53">
        <f>IF($J9="","",ROUND(($J9-$J$3)/1000,1)+(_xlfn.RANK.AVG($J9,($J9,$O9,$T9),1)-2)*20)</f>
        <v>-3</v>
      </c>
      <c r="V9" s="54">
        <f>IF($O9="","",ROUND(($O9-$O$3)/1000,1)+(_xlfn.RANK.AVG($O9,($J9,$O9,$T9),1)-2)*20)</f>
        <v>-35.299999999999997</v>
      </c>
      <c r="W9" s="55">
        <f>IF($T9="","",ROUND(($T9-$T$3)/1000,1)+(_xlfn.RANK.AVG($T9,($J9,$O9,$T9),1)-2)*20)</f>
        <v>38.299999999999997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30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tr">
        <f>IF($P$1="","",$P$1)</f>
        <v>れんたろう</v>
      </c>
      <c r="F10" s="8" t="s">
        <v>206</v>
      </c>
      <c r="G10" s="9">
        <v>-1500</v>
      </c>
      <c r="H10" s="9"/>
      <c r="I10" s="48"/>
      <c r="J10" s="21">
        <f t="shared" si="2"/>
        <v>30500</v>
      </c>
      <c r="K10" s="8" t="s">
        <v>206</v>
      </c>
      <c r="L10" s="9">
        <v>3000</v>
      </c>
      <c r="M10" s="9">
        <v>-1000</v>
      </c>
      <c r="N10" s="48"/>
      <c r="O10" s="21">
        <f t="shared" si="3"/>
        <v>21700</v>
      </c>
      <c r="P10" s="8" t="s">
        <v>206</v>
      </c>
      <c r="Q10" s="9">
        <v>-1500</v>
      </c>
      <c r="R10" s="9"/>
      <c r="S10" s="48"/>
      <c r="T10" s="21">
        <f t="shared" si="4"/>
        <v>51800</v>
      </c>
      <c r="U10" s="53">
        <f>IF($J10="","",ROUND(($J10-$J$3)/1000,1)+(_xlfn.RANK.AVG($J10,($J10,$O10,$T10),1)-2)*20)</f>
        <v>-4.5</v>
      </c>
      <c r="V10" s="54">
        <f>IF($O10="","",ROUND(($O10-$O$3)/1000,1)+(_xlfn.RANK.AVG($O10,($J10,$O10,$T10),1)-2)*20)</f>
        <v>-33.299999999999997</v>
      </c>
      <c r="W10" s="55">
        <f>IF($T10="","",ROUND(($T10-$T$3)/1000,1)+(_xlfn.RANK.AVG($T10,($J10,$O10,$T10),1)-2)*20)</f>
        <v>36.799999999999997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4</v>
      </c>
      <c r="D11" s="18">
        <f t="shared" si="1"/>
        <v>1</v>
      </c>
      <c r="E11" s="4" t="str">
        <f>IF($F$1="","",$F$1)</f>
        <v>だいち</v>
      </c>
      <c r="F11" s="8" t="s">
        <v>197</v>
      </c>
      <c r="G11" s="9">
        <v>4800</v>
      </c>
      <c r="H11" s="9">
        <v>1000</v>
      </c>
      <c r="I11" s="48">
        <v>4000</v>
      </c>
      <c r="J11" s="21">
        <f t="shared" si="2"/>
        <v>40300</v>
      </c>
      <c r="K11" s="8" t="s">
        <v>198</v>
      </c>
      <c r="L11" s="9">
        <v>-4800</v>
      </c>
      <c r="M11" s="9"/>
      <c r="N11" s="48">
        <v>-4000</v>
      </c>
      <c r="O11" s="21">
        <f t="shared" si="3"/>
        <v>12900</v>
      </c>
      <c r="P11" s="8"/>
      <c r="Q11" s="9"/>
      <c r="R11" s="9"/>
      <c r="S11" s="48"/>
      <c r="T11" s="21">
        <f t="shared" si="4"/>
        <v>51800</v>
      </c>
      <c r="U11" s="53">
        <f>IF($J11="","",ROUND(($J11-$J$3)/1000,1)+(_xlfn.RANK.AVG($J11,($J11,$O11,$T11),1)-2)*20)</f>
        <v>5.3</v>
      </c>
      <c r="V11" s="54">
        <f>IF($O11="","",ROUND(($O11-$O$3)/1000,1)+(_xlfn.RANK.AVG($O11,($J11,$O11,$T11),1)-2)*20)</f>
        <v>-42.1</v>
      </c>
      <c r="W11" s="55">
        <f>IF($T11="","",ROUND(($T11-$T$3)/1000,1)+(_xlfn.RANK.AVG($T11,($J11,$O11,$T11),1)-2)*20)</f>
        <v>36.799999999999997</v>
      </c>
      <c r="Y11" s="8"/>
      <c r="Z11" s="34"/>
      <c r="AA11" s="26"/>
      <c r="AB11" s="26"/>
      <c r="AC11" s="26">
        <v>3</v>
      </c>
      <c r="AD11" s="30">
        <v>25</v>
      </c>
      <c r="AE11" s="40" t="s">
        <v>101</v>
      </c>
      <c r="AF11" s="41" t="s">
        <v>203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5</v>
      </c>
      <c r="D12" s="18">
        <f t="shared" si="1"/>
        <v>0</v>
      </c>
      <c r="E12" s="4" t="str">
        <f>IF($F$1="","",$F$1)</f>
        <v>だいち</v>
      </c>
      <c r="F12" s="8" t="s">
        <v>201</v>
      </c>
      <c r="G12" s="9">
        <v>-2500</v>
      </c>
      <c r="H12" s="9"/>
      <c r="I12" s="48">
        <v>-2500</v>
      </c>
      <c r="J12" s="21">
        <f t="shared" si="2"/>
        <v>35300</v>
      </c>
      <c r="K12" s="8" t="s">
        <v>202</v>
      </c>
      <c r="L12" s="9">
        <v>4000</v>
      </c>
      <c r="M12" s="9">
        <v>1000</v>
      </c>
      <c r="N12" s="48">
        <v>5000</v>
      </c>
      <c r="O12" s="21">
        <f t="shared" si="3"/>
        <v>22900</v>
      </c>
      <c r="P12" s="8" t="s">
        <v>201</v>
      </c>
      <c r="Q12" s="9">
        <v>-1500</v>
      </c>
      <c r="R12" s="9">
        <v>-1000</v>
      </c>
      <c r="S12" s="48">
        <v>-2500</v>
      </c>
      <c r="T12" s="21">
        <f t="shared" si="4"/>
        <v>46800</v>
      </c>
      <c r="U12" s="53">
        <f>IF($J12="","",ROUND(($J12-$J$3)/1000,1)+(_xlfn.RANK.AVG($J12,($J12,$O12,$T12),1)-2)*20)</f>
        <v>0.3</v>
      </c>
      <c r="V12" s="54">
        <f>IF($O12="","",ROUND(($O12-$O$3)/1000,1)+(_xlfn.RANK.AVG($O12,($J12,$O12,$T12),1)-2)*20)</f>
        <v>-32.1</v>
      </c>
      <c r="W12" s="55">
        <f>IF($T12="","",ROUND(($T12-$T$3)/1000,1)+(_xlfn.RANK.AVG($T12,($J12,$O12,$T12),1)-2)*20)</f>
        <v>31.8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30</v>
      </c>
      <c r="AZ12" s="40" t="s">
        <v>200</v>
      </c>
      <c r="BA12" s="41" t="s">
        <v>82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tr">
        <f>IF($K$1="","",$K$1)</f>
        <v>りくと</v>
      </c>
      <c r="F13" s="8"/>
      <c r="G13" s="9"/>
      <c r="H13" s="9"/>
      <c r="I13" s="48"/>
      <c r="J13" s="21">
        <f t="shared" si="2"/>
        <v>35300</v>
      </c>
      <c r="K13" s="8" t="s">
        <v>197</v>
      </c>
      <c r="L13" s="9">
        <v>3900</v>
      </c>
      <c r="M13" s="9">
        <v>1000</v>
      </c>
      <c r="N13" s="48">
        <v>0</v>
      </c>
      <c r="O13" s="21">
        <f t="shared" si="3"/>
        <v>27800</v>
      </c>
      <c r="P13" s="8" t="s">
        <v>198</v>
      </c>
      <c r="Q13" s="9">
        <v>-3900</v>
      </c>
      <c r="R13" s="9">
        <v>-1000</v>
      </c>
      <c r="S13" s="48">
        <v>0</v>
      </c>
      <c r="T13" s="21">
        <f t="shared" si="4"/>
        <v>41900</v>
      </c>
      <c r="U13" s="53">
        <f>IF($J13="","",ROUND(($J13-$J$3)/1000,1)+(_xlfn.RANK.AVG($J13,($J13,$O13,$T13),1)-2)*20)</f>
        <v>0.3</v>
      </c>
      <c r="V13" s="54">
        <f>IF($O13="","",ROUND(($O13-$O$3)/1000,1)+(_xlfn.RANK.AVG($O13,($J13,$O13,$T13),1)-2)*20)</f>
        <v>-27.2</v>
      </c>
      <c r="W13" s="55">
        <f>IF($T13="","",ROUND(($T13-$T$3)/1000,1)+(_xlfn.RANK.AVG($T13,($J13,$O13,$T13),1)-2)*20)</f>
        <v>26.9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2</v>
      </c>
      <c r="AY13" s="30">
        <v>40</v>
      </c>
      <c r="AZ13" s="40" t="s">
        <v>200</v>
      </c>
      <c r="BA13" s="41" t="s">
        <v>208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tr">
        <f>IF($K$1="","",$K$1)</f>
        <v>りくと</v>
      </c>
      <c r="F14" s="8" t="s">
        <v>198</v>
      </c>
      <c r="G14" s="9">
        <v>-5800</v>
      </c>
      <c r="H14" s="9"/>
      <c r="I14" s="48">
        <v>-1000</v>
      </c>
      <c r="J14" s="21">
        <f t="shared" si="2"/>
        <v>28500</v>
      </c>
      <c r="K14" s="8" t="s">
        <v>197</v>
      </c>
      <c r="L14" s="9">
        <v>5800</v>
      </c>
      <c r="M14" s="9"/>
      <c r="N14" s="48">
        <v>1000</v>
      </c>
      <c r="O14" s="21">
        <f t="shared" si="3"/>
        <v>34600</v>
      </c>
      <c r="P14" s="8"/>
      <c r="Q14" s="9"/>
      <c r="R14" s="9"/>
      <c r="S14" s="48"/>
      <c r="T14" s="21">
        <f t="shared" si="4"/>
        <v>41900</v>
      </c>
      <c r="U14" s="53">
        <f>IF($J14="","",ROUND(($J14-$J$3)/1000,1)+(_xlfn.RANK.AVG($J14,($J14,$O14,$T14),1)-2)*20)</f>
        <v>-26.5</v>
      </c>
      <c r="V14" s="54">
        <f>IF($O14="","",ROUND(($O14-$O$3)/1000,1)+(_xlfn.RANK.AVG($O14,($J14,$O14,$T14),1)-2)*20)</f>
        <v>-0.4</v>
      </c>
      <c r="W14" s="55">
        <f>IF($T14="","",ROUND(($T14-$T$3)/1000,1)+(_xlfn.RANK.AVG($T14,($J14,$O14,$T14),1)-2)*20)</f>
        <v>26.9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3</v>
      </c>
      <c r="AY14" s="30">
        <v>30</v>
      </c>
      <c r="AZ14" s="40" t="s">
        <v>200</v>
      </c>
      <c r="BA14" s="41" t="s">
        <v>83</v>
      </c>
      <c r="BB14" s="41" t="s">
        <v>79</v>
      </c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2</v>
      </c>
      <c r="D15" s="18">
        <f t="shared" si="1"/>
        <v>0</v>
      </c>
      <c r="E15" s="4" t="str">
        <f>IF($K$1="","",$K$1)</f>
        <v>りくと</v>
      </c>
      <c r="F15" s="8"/>
      <c r="G15" s="9"/>
      <c r="H15" s="9"/>
      <c r="I15" s="48"/>
      <c r="J15" s="21">
        <f t="shared" si="2"/>
        <v>28500</v>
      </c>
      <c r="K15" s="8" t="s">
        <v>198</v>
      </c>
      <c r="L15" s="9">
        <v>-5200</v>
      </c>
      <c r="M15" s="9"/>
      <c r="N15" s="48">
        <v>-2000</v>
      </c>
      <c r="O15" s="21">
        <f t="shared" si="3"/>
        <v>27400</v>
      </c>
      <c r="P15" s="8" t="s">
        <v>197</v>
      </c>
      <c r="Q15" s="9">
        <v>5200</v>
      </c>
      <c r="R15" s="9"/>
      <c r="S15" s="48">
        <v>2000</v>
      </c>
      <c r="T15" s="21">
        <f t="shared" si="4"/>
        <v>49100</v>
      </c>
      <c r="U15" s="53">
        <f>IF($J15="","",ROUND(($J15-$J$3)/1000,1)+(_xlfn.RANK.AVG($J15,($J15,$O15,$T15),1)-2)*20)</f>
        <v>-6.5</v>
      </c>
      <c r="V15" s="54">
        <f>IF($O15="","",ROUND(($O15-$O$3)/1000,1)+(_xlfn.RANK.AVG($O15,($J15,$O15,$T15),1)-2)*20)</f>
        <v>-27.6</v>
      </c>
      <c r="W15" s="55">
        <f>IF($T15="","",ROUND(($T15-$T$3)/1000,1)+(_xlfn.RANK.AVG($T15,($J15,$O15,$T15),1)-2)*20)</f>
        <v>34.1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>
        <v>3</v>
      </c>
      <c r="BT15" s="30">
        <v>40</v>
      </c>
      <c r="BU15" s="40" t="s">
        <v>104</v>
      </c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西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tr">
        <f>IF($P$1="","",$P$1)</f>
        <v>れんたろう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E508BDBC-E4AB-4B7A-9E92-238F7645256A}">
      <formula1>$U$2:$W$2</formula1>
    </dataValidation>
    <dataValidation type="list" showInputMessage="1" showErrorMessage="1" sqref="K4:K30 P4:P30 F4:F30" xr:uid="{0552A61A-8FA8-475C-BF50-5EDDC15E0F8C}">
      <formula1>"ロン,ツモ,放銃,ツモ支払,流局,チョンボ"</formula1>
    </dataValidation>
    <dataValidation type="list" allowBlank="1" showInputMessage="1" sqref="F1:T1" xr:uid="{2F6490B4-BD43-46A3-8A3D-214D7F9FBA5F}">
      <formula1>"だいち,ただ,れんたろう,まっつん,いちかわ,わさび,やなぎ,たか,いっしー,たかの,りくと,のり,てんちゃん,ともき,ぱぱ,ほたに,ゆう,やがさき,あさひ,かわたつ,ちさと,がくと,かこたろう,"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B6" s="36" t="s">
        <v>191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2022-04-30T10:00:55Z</dcterms:modified>
</cp:coreProperties>
</file>