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対局\"/>
    </mc:Choice>
  </mc:AlternateContent>
  <xr:revisionPtr revIDLastSave="0" documentId="13_ncr:1_{05F283BB-9A8A-457A-86F0-49ED6CA02B72}" xr6:coauthVersionLast="47" xr6:coauthVersionMax="47" xr10:uidLastSave="{00000000-0000-0000-0000-000000000000}"/>
  <bookViews>
    <workbookView xWindow="-120" yWindow="-120" windowWidth="29040" windowHeight="15990" activeTab="11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Sheet12" sheetId="30" r:id="rId12"/>
    <sheet name="役一覧" sheetId="15" state="hidden" r:id="rId13"/>
    <sheet name="点数表(親ロン)" sheetId="4" state="hidden" r:id="rId14"/>
    <sheet name="点数表(親ツモ)" sheetId="9" state="hidden" r:id="rId15"/>
    <sheet name="点数表(子→親)" sheetId="7" state="hidden" r:id="rId16"/>
    <sheet name="点数表(子ロン)" sheetId="3" state="hidden" r:id="rId17"/>
    <sheet name="点数表(子ツモ)" sheetId="10" state="hidden" r:id="rId18"/>
    <sheet name="点数表(子→子)" sheetId="5" state="hidden" r:id="rId19"/>
    <sheet name="点数表(親→子)" sheetId="6" state="hidden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30" l="1"/>
  <c r="E14" i="30"/>
  <c r="D14" i="30" s="1"/>
  <c r="E13" i="30"/>
  <c r="D13" i="30" s="1"/>
  <c r="E11" i="30"/>
  <c r="E10" i="30"/>
  <c r="D10" i="30" s="1"/>
  <c r="E9" i="30"/>
  <c r="D9" i="30" s="1"/>
  <c r="E8" i="30"/>
  <c r="E7" i="30"/>
  <c r="E6" i="30"/>
  <c r="E5" i="30"/>
  <c r="T30" i="30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T16" i="30"/>
  <c r="W16" i="30" s="1"/>
  <c r="O16" i="30"/>
  <c r="V16" i="30" s="1"/>
  <c r="J16" i="30"/>
  <c r="U16" i="30" s="1"/>
  <c r="D16" i="30"/>
  <c r="C16" i="30"/>
  <c r="B16" i="30"/>
  <c r="A16" i="30"/>
  <c r="T15" i="30"/>
  <c r="W15" i="30" s="1"/>
  <c r="O15" i="30"/>
  <c r="V15" i="30" s="1"/>
  <c r="J15" i="30"/>
  <c r="U15" i="30" s="1"/>
  <c r="D15" i="30"/>
  <c r="C15" i="30"/>
  <c r="B15" i="30"/>
  <c r="A15" i="30" s="1"/>
  <c r="T14" i="30"/>
  <c r="O14" i="30"/>
  <c r="V14" i="30" s="1"/>
  <c r="J14" i="30"/>
  <c r="C13" i="30"/>
  <c r="D12" i="30"/>
  <c r="C11" i="30"/>
  <c r="C10" i="30"/>
  <c r="C9" i="30"/>
  <c r="D8" i="30"/>
  <c r="C8" i="30"/>
  <c r="T6" i="30"/>
  <c r="T7" i="30" s="1"/>
  <c r="D6" i="30"/>
  <c r="T5" i="30"/>
  <c r="O5" i="30"/>
  <c r="O6" i="30" s="1"/>
  <c r="B5" i="30"/>
  <c r="A5" i="30" s="1"/>
  <c r="D5" i="30"/>
  <c r="C5" i="30"/>
  <c r="T4" i="30"/>
  <c r="O4" i="30"/>
  <c r="J4" i="30"/>
  <c r="W3" i="30"/>
  <c r="V3" i="30"/>
  <c r="U3" i="30"/>
  <c r="W2" i="30"/>
  <c r="V2" i="30"/>
  <c r="U2" i="30"/>
  <c r="BO1" i="30"/>
  <c r="AT1" i="30"/>
  <c r="Y1" i="30"/>
  <c r="D14" i="29"/>
  <c r="E13" i="29"/>
  <c r="C13" i="29" s="1"/>
  <c r="E12" i="29"/>
  <c r="E11" i="29"/>
  <c r="E10" i="29"/>
  <c r="E9" i="29"/>
  <c r="D9" i="29" s="1"/>
  <c r="E8" i="29"/>
  <c r="D8" i="29" s="1"/>
  <c r="E7" i="29"/>
  <c r="E6" i="29"/>
  <c r="E5" i="29"/>
  <c r="B5" i="29" s="1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T13" i="29"/>
  <c r="O13" i="29"/>
  <c r="J13" i="29"/>
  <c r="B13" i="29"/>
  <c r="T12" i="29"/>
  <c r="O12" i="29"/>
  <c r="J12" i="29"/>
  <c r="D12" i="29"/>
  <c r="C12" i="29"/>
  <c r="B12" i="29"/>
  <c r="A12" i="29"/>
  <c r="T11" i="29"/>
  <c r="O11" i="29"/>
  <c r="J11" i="29"/>
  <c r="D11" i="29"/>
  <c r="C11" i="29"/>
  <c r="B11" i="29"/>
  <c r="A11" i="29"/>
  <c r="C10" i="29"/>
  <c r="C8" i="29"/>
  <c r="D7" i="29"/>
  <c r="C7" i="29"/>
  <c r="D5" i="29"/>
  <c r="T4" i="29"/>
  <c r="T5" i="29" s="1"/>
  <c r="O4" i="29"/>
  <c r="O5" i="29" s="1"/>
  <c r="J4" i="29"/>
  <c r="J5" i="29" s="1"/>
  <c r="W3" i="29"/>
  <c r="V3" i="29"/>
  <c r="U3" i="29"/>
  <c r="W2" i="29"/>
  <c r="V2" i="29"/>
  <c r="U2" i="29"/>
  <c r="BO1" i="29"/>
  <c r="AT1" i="29"/>
  <c r="Y1" i="29"/>
  <c r="D11" i="28"/>
  <c r="E10" i="28"/>
  <c r="D10" i="28" s="1"/>
  <c r="E9" i="28"/>
  <c r="E8" i="28"/>
  <c r="E7" i="28"/>
  <c r="E6" i="28"/>
  <c r="D6" i="28" s="1"/>
  <c r="E5" i="28"/>
  <c r="B5" i="28" s="1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D12" i="28"/>
  <c r="D9" i="28"/>
  <c r="C8" i="28"/>
  <c r="T7" i="28"/>
  <c r="T8" i="28" s="1"/>
  <c r="C7" i="28"/>
  <c r="D7" i="28"/>
  <c r="T6" i="28"/>
  <c r="O6" i="28"/>
  <c r="O7" i="28" s="1"/>
  <c r="T5" i="28"/>
  <c r="O5" i="28"/>
  <c r="J5" i="28"/>
  <c r="C5" i="28"/>
  <c r="T4" i="28"/>
  <c r="O4" i="28"/>
  <c r="J4" i="28"/>
  <c r="U4" i="28" s="1"/>
  <c r="W3" i="28"/>
  <c r="V3" i="28"/>
  <c r="U3" i="28"/>
  <c r="W2" i="28"/>
  <c r="V2" i="28"/>
  <c r="U2" i="28"/>
  <c r="BO1" i="28"/>
  <c r="AT1" i="28"/>
  <c r="Y1" i="28"/>
  <c r="E12" i="27"/>
  <c r="E11" i="27"/>
  <c r="E10" i="27"/>
  <c r="E9" i="27"/>
  <c r="E8" i="27"/>
  <c r="E7" i="27"/>
  <c r="D7" i="27" s="1"/>
  <c r="E6" i="27"/>
  <c r="C6" i="27" s="1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 s="1"/>
  <c r="T12" i="27"/>
  <c r="O12" i="27"/>
  <c r="J12" i="27"/>
  <c r="D12" i="27"/>
  <c r="C12" i="27"/>
  <c r="B12" i="27"/>
  <c r="A12" i="27" s="1"/>
  <c r="C11" i="27"/>
  <c r="D11" i="27"/>
  <c r="D10" i="27"/>
  <c r="D9" i="27"/>
  <c r="T7" i="27"/>
  <c r="T8" i="27" s="1"/>
  <c r="T6" i="27"/>
  <c r="D6" i="27"/>
  <c r="T5" i="27"/>
  <c r="J5" i="27"/>
  <c r="B5" i="27"/>
  <c r="D5" i="27"/>
  <c r="C5" i="27"/>
  <c r="T4" i="27"/>
  <c r="O4" i="27"/>
  <c r="J4" i="27"/>
  <c r="W3" i="27"/>
  <c r="V3" i="27"/>
  <c r="U3" i="27"/>
  <c r="W2" i="27"/>
  <c r="V2" i="27"/>
  <c r="U2" i="27"/>
  <c r="BO1" i="27"/>
  <c r="AT1" i="27"/>
  <c r="Y1" i="27"/>
  <c r="E11" i="26"/>
  <c r="E10" i="26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C13" i="26"/>
  <c r="D13" i="26"/>
  <c r="D12" i="26"/>
  <c r="D11" i="26"/>
  <c r="D8" i="26"/>
  <c r="C8" i="26"/>
  <c r="D7" i="26"/>
  <c r="J6" i="26"/>
  <c r="J5" i="26"/>
  <c r="D5" i="26"/>
  <c r="T4" i="26"/>
  <c r="T5" i="26" s="1"/>
  <c r="O4" i="26"/>
  <c r="O5" i="26" s="1"/>
  <c r="J4" i="26"/>
  <c r="W3" i="26"/>
  <c r="V3" i="26"/>
  <c r="U3" i="26"/>
  <c r="W2" i="26"/>
  <c r="V2" i="26"/>
  <c r="U2" i="26"/>
  <c r="BO1" i="26"/>
  <c r="AT1" i="26"/>
  <c r="Y1" i="26"/>
  <c r="U14" i="30" l="1"/>
  <c r="W14" i="30"/>
  <c r="B14" i="30"/>
  <c r="A14" i="30" s="1"/>
  <c r="C14" i="30"/>
  <c r="V4" i="30"/>
  <c r="O7" i="30"/>
  <c r="B6" i="30"/>
  <c r="B7" i="30" s="1"/>
  <c r="T8" i="30"/>
  <c r="A6" i="30"/>
  <c r="U4" i="30"/>
  <c r="J5" i="30"/>
  <c r="V5" i="30" s="1"/>
  <c r="C6" i="30"/>
  <c r="D11" i="30"/>
  <c r="W4" i="30"/>
  <c r="C12" i="30"/>
  <c r="C7" i="30"/>
  <c r="D7" i="30"/>
  <c r="B14" i="29"/>
  <c r="A14" i="29" s="1"/>
  <c r="C14" i="29"/>
  <c r="V13" i="29"/>
  <c r="U13" i="29"/>
  <c r="W13" i="29"/>
  <c r="A13" i="29"/>
  <c r="D13" i="29"/>
  <c r="U12" i="29"/>
  <c r="V12" i="29"/>
  <c r="W12" i="29"/>
  <c r="V11" i="29"/>
  <c r="U11" i="29"/>
  <c r="W11" i="29"/>
  <c r="C9" i="29"/>
  <c r="D6" i="29"/>
  <c r="J6" i="29"/>
  <c r="U5" i="29"/>
  <c r="O6" i="29"/>
  <c r="V5" i="29"/>
  <c r="C6" i="29"/>
  <c r="T6" i="29"/>
  <c r="W5" i="29"/>
  <c r="C5" i="29"/>
  <c r="D10" i="29"/>
  <c r="B6" i="29"/>
  <c r="A6" i="29" s="1"/>
  <c r="U4" i="29"/>
  <c r="V4" i="29"/>
  <c r="W4" i="29"/>
  <c r="A5" i="29"/>
  <c r="C6" i="28"/>
  <c r="V5" i="28"/>
  <c r="A5" i="28"/>
  <c r="D5" i="28"/>
  <c r="V4" i="28"/>
  <c r="W4" i="28"/>
  <c r="W5" i="28"/>
  <c r="O8" i="28"/>
  <c r="T9" i="28"/>
  <c r="B6" i="28"/>
  <c r="D8" i="28"/>
  <c r="C9" i="28"/>
  <c r="C10" i="28" s="1"/>
  <c r="C11" i="28" s="1"/>
  <c r="B7" i="28"/>
  <c r="B8" i="28" s="1"/>
  <c r="C12" i="28"/>
  <c r="U5" i="28"/>
  <c r="J6" i="28"/>
  <c r="V6" i="28" s="1"/>
  <c r="W12" i="27"/>
  <c r="V12" i="27"/>
  <c r="U12" i="27"/>
  <c r="W4" i="27"/>
  <c r="U4" i="27"/>
  <c r="A5" i="27"/>
  <c r="T9" i="27"/>
  <c r="B6" i="27"/>
  <c r="A6" i="27" s="1"/>
  <c r="D8" i="27"/>
  <c r="V4" i="27"/>
  <c r="O5" i="27"/>
  <c r="U5" i="27" s="1"/>
  <c r="C9" i="27"/>
  <c r="J6" i="27"/>
  <c r="C7" i="27"/>
  <c r="C8" i="27" s="1"/>
  <c r="C10" i="27"/>
  <c r="U5" i="26"/>
  <c r="V5" i="26"/>
  <c r="O6" i="26"/>
  <c r="T6" i="26"/>
  <c r="W5" i="26"/>
  <c r="J7" i="26"/>
  <c r="U4" i="26"/>
  <c r="V4" i="26"/>
  <c r="D6" i="26"/>
  <c r="C9" i="26"/>
  <c r="C10" i="26" s="1"/>
  <c r="C11" i="26" s="1"/>
  <c r="W4" i="26"/>
  <c r="D9" i="26"/>
  <c r="D10" i="26" s="1"/>
  <c r="C12" i="26"/>
  <c r="B5" i="26"/>
  <c r="B6" i="26" s="1"/>
  <c r="C5" i="26"/>
  <c r="C6" i="26" s="1"/>
  <c r="C7" i="26" s="1"/>
  <c r="A7" i="30" l="1"/>
  <c r="B8" i="30"/>
  <c r="O8" i="30"/>
  <c r="T9" i="30"/>
  <c r="W5" i="30"/>
  <c r="J6" i="30"/>
  <c r="U5" i="30"/>
  <c r="T7" i="29"/>
  <c r="W6" i="29"/>
  <c r="O7" i="29"/>
  <c r="V6" i="29"/>
  <c r="B7" i="29"/>
  <c r="A7" i="29" s="1"/>
  <c r="J7" i="29"/>
  <c r="U6" i="29"/>
  <c r="B9" i="28"/>
  <c r="A7" i="28"/>
  <c r="A8" i="28" s="1"/>
  <c r="T10" i="28"/>
  <c r="O9" i="28"/>
  <c r="U6" i="28"/>
  <c r="W6" i="28"/>
  <c r="J7" i="28"/>
  <c r="A6" i="28"/>
  <c r="J7" i="27"/>
  <c r="B7" i="27"/>
  <c r="A7" i="27" s="1"/>
  <c r="T10" i="27"/>
  <c r="O6" i="27"/>
  <c r="U6" i="27" s="1"/>
  <c r="V5" i="27"/>
  <c r="W5" i="27"/>
  <c r="B7" i="26"/>
  <c r="J8" i="26"/>
  <c r="T7" i="26"/>
  <c r="W6" i="26"/>
  <c r="O7" i="26"/>
  <c r="U7" i="26" s="1"/>
  <c r="V6" i="26"/>
  <c r="A6" i="26"/>
  <c r="A5" i="26"/>
  <c r="U6" i="26"/>
  <c r="C14" i="25"/>
  <c r="E13" i="25"/>
  <c r="D13" i="25" s="1"/>
  <c r="E12" i="25"/>
  <c r="E11" i="25"/>
  <c r="E10" i="25"/>
  <c r="E9" i="25"/>
  <c r="E8" i="25"/>
  <c r="E7" i="25"/>
  <c r="C7" i="25" s="1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T13" i="25"/>
  <c r="O13" i="25"/>
  <c r="J13" i="25"/>
  <c r="C13" i="25"/>
  <c r="B13" i="25"/>
  <c r="A13" i="25"/>
  <c r="T12" i="25"/>
  <c r="O12" i="25"/>
  <c r="J12" i="25"/>
  <c r="D12" i="25"/>
  <c r="C12" i="25"/>
  <c r="B12" i="25"/>
  <c r="A12" i="25" s="1"/>
  <c r="T11" i="25"/>
  <c r="O11" i="25"/>
  <c r="J11" i="25"/>
  <c r="D11" i="25"/>
  <c r="C11" i="25"/>
  <c r="B11" i="25"/>
  <c r="A11" i="25" s="1"/>
  <c r="D10" i="25"/>
  <c r="C10" i="25"/>
  <c r="D7" i="25"/>
  <c r="D6" i="25"/>
  <c r="O5" i="25"/>
  <c r="O6" i="25" s="1"/>
  <c r="B6" i="25"/>
  <c r="C5" i="25"/>
  <c r="C6" i="25" s="1"/>
  <c r="B5" i="25"/>
  <c r="A6" i="25" s="1"/>
  <c r="A5" i="25"/>
  <c r="T4" i="25"/>
  <c r="T5" i="25" s="1"/>
  <c r="O4" i="25"/>
  <c r="J4" i="25"/>
  <c r="J5" i="25" s="1"/>
  <c r="W3" i="25"/>
  <c r="V3" i="25"/>
  <c r="U3" i="25"/>
  <c r="W2" i="25"/>
  <c r="V2" i="25"/>
  <c r="U2" i="25"/>
  <c r="BO1" i="25"/>
  <c r="AT1" i="25"/>
  <c r="Y1" i="25"/>
  <c r="B11" i="24"/>
  <c r="E10" i="24"/>
  <c r="D10" i="24" s="1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C11" i="24"/>
  <c r="D8" i="24"/>
  <c r="D7" i="24"/>
  <c r="C7" i="24"/>
  <c r="J6" i="24"/>
  <c r="J7" i="24" s="1"/>
  <c r="J5" i="24"/>
  <c r="B5" i="24"/>
  <c r="A5" i="24" s="1"/>
  <c r="T4" i="24"/>
  <c r="T5" i="24" s="1"/>
  <c r="O4" i="24"/>
  <c r="O5" i="24" s="1"/>
  <c r="J4" i="24"/>
  <c r="W3" i="24"/>
  <c r="V3" i="24"/>
  <c r="U3" i="24"/>
  <c r="W2" i="24"/>
  <c r="V2" i="24"/>
  <c r="U2" i="24"/>
  <c r="BO1" i="24"/>
  <c r="AT1" i="24"/>
  <c r="Y1" i="24"/>
  <c r="D11" i="23"/>
  <c r="E10" i="23"/>
  <c r="E9" i="23"/>
  <c r="E8" i="23"/>
  <c r="E7" i="23"/>
  <c r="C7" i="23" s="1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D10" i="23"/>
  <c r="C10" i="23"/>
  <c r="D8" i="23"/>
  <c r="O7" i="23"/>
  <c r="O8" i="23" s="1"/>
  <c r="D7" i="23"/>
  <c r="O6" i="23"/>
  <c r="J6" i="23"/>
  <c r="D6" i="23"/>
  <c r="O5" i="23"/>
  <c r="J5" i="23"/>
  <c r="T4" i="23"/>
  <c r="T5" i="23" s="1"/>
  <c r="O4" i="23"/>
  <c r="J4" i="23"/>
  <c r="W3" i="23"/>
  <c r="V3" i="23"/>
  <c r="U3" i="23"/>
  <c r="W2" i="23"/>
  <c r="V2" i="23"/>
  <c r="U2" i="23"/>
  <c r="BO1" i="23"/>
  <c r="AT1" i="23"/>
  <c r="Y1" i="23"/>
  <c r="E11" i="22"/>
  <c r="E10" i="22"/>
  <c r="C10" i="22" s="1"/>
  <c r="E9" i="22"/>
  <c r="E8" i="22"/>
  <c r="E7" i="22"/>
  <c r="E6" i="22"/>
  <c r="E5" i="22"/>
  <c r="D5" i="22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O11" i="22"/>
  <c r="J11" i="22"/>
  <c r="D11" i="22"/>
  <c r="C11" i="22"/>
  <c r="B11" i="22"/>
  <c r="A11" i="22"/>
  <c r="T10" i="22"/>
  <c r="O10" i="22"/>
  <c r="J10" i="22"/>
  <c r="U10" i="22" s="1"/>
  <c r="D10" i="22"/>
  <c r="D9" i="22"/>
  <c r="C9" i="22"/>
  <c r="D8" i="22"/>
  <c r="C8" i="22"/>
  <c r="T6" i="22"/>
  <c r="T7" i="22" s="1"/>
  <c r="C6" i="22"/>
  <c r="D6" i="22"/>
  <c r="T5" i="22"/>
  <c r="O5" i="22"/>
  <c r="O6" i="22" s="1"/>
  <c r="C5" i="22"/>
  <c r="T4" i="22"/>
  <c r="O4" i="22"/>
  <c r="J4" i="22"/>
  <c r="W3" i="22"/>
  <c r="V3" i="22"/>
  <c r="U3" i="22"/>
  <c r="W2" i="22"/>
  <c r="V2" i="22"/>
  <c r="U2" i="22"/>
  <c r="BO1" i="22"/>
  <c r="AT1" i="22"/>
  <c r="Y1" i="22"/>
  <c r="E9" i="21"/>
  <c r="B9" i="30" l="1"/>
  <c r="U6" i="30"/>
  <c r="J7" i="30"/>
  <c r="W6" i="30"/>
  <c r="V6" i="30"/>
  <c r="T10" i="30"/>
  <c r="O9" i="30"/>
  <c r="A8" i="30"/>
  <c r="T8" i="29"/>
  <c r="W7" i="29"/>
  <c r="J8" i="29"/>
  <c r="U7" i="29"/>
  <c r="B8" i="29"/>
  <c r="O8" i="29"/>
  <c r="V7" i="29"/>
  <c r="O10" i="28"/>
  <c r="B10" i="28"/>
  <c r="A9" i="28"/>
  <c r="J8" i="28"/>
  <c r="U7" i="28"/>
  <c r="V7" i="28"/>
  <c r="W7" i="28"/>
  <c r="T11" i="28"/>
  <c r="O7" i="27"/>
  <c r="W7" i="27" s="1"/>
  <c r="V6" i="27"/>
  <c r="J8" i="27"/>
  <c r="T11" i="27"/>
  <c r="B8" i="27"/>
  <c r="A8" i="27" s="1"/>
  <c r="W6" i="27"/>
  <c r="A7" i="26"/>
  <c r="O8" i="26"/>
  <c r="V7" i="26"/>
  <c r="W7" i="26"/>
  <c r="T8" i="26"/>
  <c r="J9" i="26"/>
  <c r="B8" i="26"/>
  <c r="B14" i="25"/>
  <c r="A14" i="25" s="1"/>
  <c r="W13" i="25"/>
  <c r="U13" i="25"/>
  <c r="V13" i="25"/>
  <c r="V12" i="25"/>
  <c r="W12" i="25"/>
  <c r="U12" i="25"/>
  <c r="U11" i="25"/>
  <c r="V11" i="25"/>
  <c r="W11" i="25"/>
  <c r="V4" i="25"/>
  <c r="T6" i="25"/>
  <c r="W5" i="25"/>
  <c r="O7" i="25"/>
  <c r="J6" i="25"/>
  <c r="U5" i="25"/>
  <c r="D5" i="25"/>
  <c r="C8" i="25"/>
  <c r="D8" i="25"/>
  <c r="U4" i="25"/>
  <c r="C9" i="25"/>
  <c r="W4" i="25"/>
  <c r="B7" i="25"/>
  <c r="B8" i="25" s="1"/>
  <c r="D9" i="25"/>
  <c r="V5" i="25"/>
  <c r="D11" i="24"/>
  <c r="A11" i="24"/>
  <c r="C10" i="24"/>
  <c r="T6" i="24"/>
  <c r="U6" i="24" s="1"/>
  <c r="W5" i="24"/>
  <c r="J8" i="24"/>
  <c r="O6" i="24"/>
  <c r="V5" i="24"/>
  <c r="U5" i="24"/>
  <c r="C5" i="24"/>
  <c r="D5" i="24"/>
  <c r="C8" i="24"/>
  <c r="B6" i="24"/>
  <c r="B7" i="24" s="1"/>
  <c r="U4" i="24"/>
  <c r="C6" i="24"/>
  <c r="V4" i="24"/>
  <c r="D6" i="24"/>
  <c r="C9" i="24"/>
  <c r="W4" i="24"/>
  <c r="D9" i="24"/>
  <c r="C11" i="23"/>
  <c r="V5" i="23"/>
  <c r="B6" i="23"/>
  <c r="B7" i="23" s="1"/>
  <c r="O9" i="23"/>
  <c r="U5" i="23"/>
  <c r="T6" i="23"/>
  <c r="U6" i="23" s="1"/>
  <c r="W5" i="23"/>
  <c r="B5" i="23"/>
  <c r="A5" i="23" s="1"/>
  <c r="C5" i="23"/>
  <c r="D5" i="23"/>
  <c r="J7" i="23"/>
  <c r="C8" i="23"/>
  <c r="U4" i="23"/>
  <c r="C6" i="23"/>
  <c r="V4" i="23"/>
  <c r="C9" i="23"/>
  <c r="W4" i="23"/>
  <c r="D9" i="23"/>
  <c r="U11" i="22"/>
  <c r="V11" i="22"/>
  <c r="W11" i="22"/>
  <c r="V10" i="22"/>
  <c r="W10" i="22"/>
  <c r="B10" i="22"/>
  <c r="A10" i="22" s="1"/>
  <c r="V4" i="22"/>
  <c r="W4" i="22"/>
  <c r="O7" i="22"/>
  <c r="T8" i="22"/>
  <c r="C7" i="22"/>
  <c r="B5" i="22"/>
  <c r="D7" i="22"/>
  <c r="U4" i="22"/>
  <c r="J5" i="22"/>
  <c r="V5" i="22" s="1"/>
  <c r="E8" i="21"/>
  <c r="D8" i="21" s="1"/>
  <c r="E7" i="2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1" i="21"/>
  <c r="D10" i="21"/>
  <c r="C10" i="21"/>
  <c r="D9" i="21"/>
  <c r="C9" i="21"/>
  <c r="C7" i="21"/>
  <c r="D7" i="21"/>
  <c r="C6" i="21"/>
  <c r="T4" i="21"/>
  <c r="T5" i="21" s="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D13" i="20"/>
  <c r="E12" i="20"/>
  <c r="C12" i="20" s="1"/>
  <c r="E11" i="20"/>
  <c r="E10" i="20"/>
  <c r="E9" i="20"/>
  <c r="D9" i="20" s="1"/>
  <c r="E8" i="20"/>
  <c r="C8" i="20"/>
  <c r="E7" i="20"/>
  <c r="A7" i="20" s="1"/>
  <c r="E6" i="20"/>
  <c r="B6" i="20" s="1"/>
  <c r="A6" i="20" s="1"/>
  <c r="E5" i="20"/>
  <c r="C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C13" i="20"/>
  <c r="B13" i="20"/>
  <c r="T12" i="20"/>
  <c r="O12" i="20"/>
  <c r="J12" i="20"/>
  <c r="D12" i="20"/>
  <c r="B12" i="20"/>
  <c r="A12" i="20" s="1"/>
  <c r="T11" i="20"/>
  <c r="O11" i="20"/>
  <c r="J11" i="20"/>
  <c r="D11" i="20"/>
  <c r="C11" i="20"/>
  <c r="B11" i="20"/>
  <c r="A11" i="20" s="1"/>
  <c r="T10" i="20"/>
  <c r="O10" i="20"/>
  <c r="J10" i="20"/>
  <c r="D10" i="20"/>
  <c r="C10" i="20"/>
  <c r="B10" i="20"/>
  <c r="A10" i="20"/>
  <c r="T9" i="20"/>
  <c r="O9" i="20"/>
  <c r="J9" i="20"/>
  <c r="T8" i="20"/>
  <c r="O8" i="20"/>
  <c r="J8" i="20"/>
  <c r="D8" i="20"/>
  <c r="T7" i="20"/>
  <c r="O7" i="20"/>
  <c r="J7" i="20"/>
  <c r="C7" i="20"/>
  <c r="B7" i="20"/>
  <c r="T6" i="20"/>
  <c r="O6" i="20"/>
  <c r="V6" i="20" s="1"/>
  <c r="J6" i="20"/>
  <c r="U6" i="20" s="1"/>
  <c r="D6" i="20"/>
  <c r="C6" i="20"/>
  <c r="T5" i="20"/>
  <c r="O5" i="20"/>
  <c r="J5" i="20"/>
  <c r="D5" i="20"/>
  <c r="B5" i="20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E5" i="19"/>
  <c r="B10" i="30" l="1"/>
  <c r="A10" i="30" s="1"/>
  <c r="T11" i="30"/>
  <c r="O10" i="30"/>
  <c r="A9" i="30"/>
  <c r="J8" i="30"/>
  <c r="U7" i="30"/>
  <c r="W7" i="30"/>
  <c r="V7" i="30"/>
  <c r="O9" i="29"/>
  <c r="V8" i="29"/>
  <c r="B9" i="29"/>
  <c r="A8" i="29"/>
  <c r="T9" i="29"/>
  <c r="W8" i="29"/>
  <c r="J9" i="29"/>
  <c r="U8" i="29"/>
  <c r="T12" i="28"/>
  <c r="O11" i="28"/>
  <c r="J9" i="28"/>
  <c r="U8" i="28"/>
  <c r="W8" i="28"/>
  <c r="V8" i="28"/>
  <c r="B11" i="28"/>
  <c r="A10" i="28"/>
  <c r="B9" i="27"/>
  <c r="A9" i="27" s="1"/>
  <c r="O8" i="27"/>
  <c r="V7" i="27"/>
  <c r="U7" i="27"/>
  <c r="J9" i="27"/>
  <c r="U8" i="27"/>
  <c r="W8" i="27"/>
  <c r="O9" i="26"/>
  <c r="V8" i="26"/>
  <c r="B9" i="26"/>
  <c r="A8" i="26"/>
  <c r="U8" i="26"/>
  <c r="J10" i="26"/>
  <c r="U9" i="26"/>
  <c r="W8" i="26"/>
  <c r="T9" i="26"/>
  <c r="A7" i="25"/>
  <c r="A8" i="25"/>
  <c r="B9" i="25"/>
  <c r="J7" i="25"/>
  <c r="U6" i="25"/>
  <c r="T7" i="25"/>
  <c r="W6" i="25"/>
  <c r="V6" i="25"/>
  <c r="O8" i="25"/>
  <c r="B8" i="24"/>
  <c r="V6" i="24"/>
  <c r="O7" i="24"/>
  <c r="A6" i="24"/>
  <c r="A7" i="24" s="1"/>
  <c r="J9" i="24"/>
  <c r="T7" i="24"/>
  <c r="W6" i="24"/>
  <c r="B8" i="23"/>
  <c r="A7" i="23"/>
  <c r="W6" i="23"/>
  <c r="T7" i="23"/>
  <c r="U7" i="23" s="1"/>
  <c r="V6" i="23"/>
  <c r="J8" i="23"/>
  <c r="O10" i="23"/>
  <c r="A6" i="23"/>
  <c r="O8" i="22"/>
  <c r="U5" i="22"/>
  <c r="W5" i="22"/>
  <c r="J6" i="22"/>
  <c r="A5" i="22"/>
  <c r="B6" i="22"/>
  <c r="T9" i="22"/>
  <c r="B5" i="21"/>
  <c r="A5" i="21" s="1"/>
  <c r="C5" i="21"/>
  <c r="D5" i="21"/>
  <c r="D12" i="21"/>
  <c r="J6" i="21"/>
  <c r="U5" i="21"/>
  <c r="T6" i="21"/>
  <c r="W5" i="21"/>
  <c r="O6" i="21"/>
  <c r="V5" i="21"/>
  <c r="C8" i="21"/>
  <c r="C11" i="21"/>
  <c r="C12" i="21" s="1"/>
  <c r="U4" i="21"/>
  <c r="B6" i="21"/>
  <c r="B7" i="21" s="1"/>
  <c r="W4" i="21"/>
  <c r="V4" i="21"/>
  <c r="A13" i="20"/>
  <c r="W12" i="20"/>
  <c r="V12" i="20"/>
  <c r="U12" i="20"/>
  <c r="U11" i="20"/>
  <c r="V11" i="20"/>
  <c r="W11" i="20"/>
  <c r="U10" i="20"/>
  <c r="V10" i="20"/>
  <c r="W10" i="20"/>
  <c r="U9" i="20"/>
  <c r="V9" i="20"/>
  <c r="W9" i="20"/>
  <c r="B9" i="20"/>
  <c r="A9" i="20" s="1"/>
  <c r="C9" i="20"/>
  <c r="W8" i="20"/>
  <c r="U8" i="20"/>
  <c r="V8" i="20"/>
  <c r="B8" i="20"/>
  <c r="A8" i="20" s="1"/>
  <c r="V7" i="20"/>
  <c r="U7" i="20"/>
  <c r="W7" i="20"/>
  <c r="D7" i="20"/>
  <c r="W6" i="20"/>
  <c r="V5" i="20"/>
  <c r="W5" i="20"/>
  <c r="U4" i="20"/>
  <c r="V4" i="20"/>
  <c r="W4" i="20"/>
  <c r="U5" i="20"/>
  <c r="W3" i="19"/>
  <c r="V3" i="19"/>
  <c r="U3" i="19"/>
  <c r="B11" i="30" l="1"/>
  <c r="O11" i="30"/>
  <c r="J9" i="30"/>
  <c r="U8" i="30"/>
  <c r="W8" i="30"/>
  <c r="V8" i="30"/>
  <c r="T12" i="30"/>
  <c r="A9" i="29"/>
  <c r="T10" i="29"/>
  <c r="W9" i="29"/>
  <c r="B10" i="29"/>
  <c r="A10" i="29" s="1"/>
  <c r="J10" i="29"/>
  <c r="U9" i="29"/>
  <c r="O10" i="29"/>
  <c r="V9" i="29"/>
  <c r="A12" i="28"/>
  <c r="B12" i="28"/>
  <c r="A11" i="28"/>
  <c r="J10" i="28"/>
  <c r="U9" i="28"/>
  <c r="W9" i="28"/>
  <c r="V9" i="28"/>
  <c r="O12" i="28"/>
  <c r="J10" i="27"/>
  <c r="U9" i="27"/>
  <c r="O9" i="27"/>
  <c r="V8" i="27"/>
  <c r="B10" i="27"/>
  <c r="A10" i="27" s="1"/>
  <c r="J11" i="26"/>
  <c r="B10" i="26"/>
  <c r="A10" i="26" s="1"/>
  <c r="A9" i="26"/>
  <c r="T10" i="26"/>
  <c r="W9" i="26"/>
  <c r="O10" i="26"/>
  <c r="V9" i="26"/>
  <c r="A9" i="25"/>
  <c r="V7" i="25"/>
  <c r="O9" i="25"/>
  <c r="T8" i="25"/>
  <c r="W7" i="25"/>
  <c r="J8" i="25"/>
  <c r="V8" i="25" s="1"/>
  <c r="U7" i="25"/>
  <c r="B10" i="25"/>
  <c r="A10" i="25" s="1"/>
  <c r="J10" i="24"/>
  <c r="B9" i="24"/>
  <c r="A8" i="24"/>
  <c r="T8" i="24"/>
  <c r="W7" i="24"/>
  <c r="O8" i="24"/>
  <c r="V7" i="24"/>
  <c r="U7" i="24"/>
  <c r="V7" i="23"/>
  <c r="O11" i="23"/>
  <c r="B9" i="23"/>
  <c r="J9" i="23"/>
  <c r="T8" i="23"/>
  <c r="V8" i="23" s="1"/>
  <c r="W7" i="23"/>
  <c r="A8" i="23"/>
  <c r="A6" i="22"/>
  <c r="B7" i="22"/>
  <c r="U6" i="22"/>
  <c r="J7" i="22"/>
  <c r="W6" i="22"/>
  <c r="V6" i="22"/>
  <c r="O9" i="22"/>
  <c r="B8" i="21"/>
  <c r="O7" i="21"/>
  <c r="V6" i="21"/>
  <c r="U6" i="21"/>
  <c r="J7" i="21"/>
  <c r="A6" i="21"/>
  <c r="A7" i="21" s="1"/>
  <c r="T7" i="21"/>
  <c r="W6" i="2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T9" i="19"/>
  <c r="W9" i="19" s="1"/>
  <c r="O9" i="19"/>
  <c r="V9" i="19" s="1"/>
  <c r="J9" i="19"/>
  <c r="U9" i="19" s="1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W7" i="19" s="1"/>
  <c r="O7" i="19"/>
  <c r="V7" i="19" s="1"/>
  <c r="J7" i="19"/>
  <c r="U7" i="19" s="1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2" i="30" l="1"/>
  <c r="A12" i="30" s="1"/>
  <c r="A11" i="30"/>
  <c r="J10" i="30"/>
  <c r="U9" i="30"/>
  <c r="W9" i="30"/>
  <c r="V9" i="30"/>
  <c r="T13" i="30"/>
  <c r="O12" i="30"/>
  <c r="U10" i="29"/>
  <c r="W10" i="29"/>
  <c r="V10" i="29"/>
  <c r="J11" i="28"/>
  <c r="U10" i="28"/>
  <c r="W10" i="28"/>
  <c r="V10" i="28"/>
  <c r="U10" i="27"/>
  <c r="J11" i="27"/>
  <c r="B11" i="27"/>
  <c r="A11" i="27" s="1"/>
  <c r="V9" i="27"/>
  <c r="O10" i="27"/>
  <c r="W9" i="27"/>
  <c r="J12" i="26"/>
  <c r="T11" i="26"/>
  <c r="W10" i="26"/>
  <c r="O11" i="26"/>
  <c r="U11" i="26" s="1"/>
  <c r="V10" i="26"/>
  <c r="B11" i="26"/>
  <c r="U10" i="26"/>
  <c r="O10" i="25"/>
  <c r="J9" i="25"/>
  <c r="U8" i="25"/>
  <c r="T9" i="25"/>
  <c r="V9" i="25" s="1"/>
  <c r="W8" i="25"/>
  <c r="O9" i="24"/>
  <c r="V8" i="24"/>
  <c r="U8" i="24"/>
  <c r="T9" i="24"/>
  <c r="W8" i="24"/>
  <c r="B10" i="24"/>
  <c r="A10" i="24" s="1"/>
  <c r="A9" i="24"/>
  <c r="U8" i="23"/>
  <c r="B10" i="23"/>
  <c r="A10" i="23" s="1"/>
  <c r="T9" i="23"/>
  <c r="U9" i="23" s="1"/>
  <c r="W8" i="23"/>
  <c r="J10" i="23"/>
  <c r="A9" i="23"/>
  <c r="B8" i="22"/>
  <c r="A7" i="22"/>
  <c r="J8" i="22"/>
  <c r="U7" i="22"/>
  <c r="W7" i="22"/>
  <c r="V7" i="22"/>
  <c r="A8" i="21"/>
  <c r="J8" i="21"/>
  <c r="U7" i="21"/>
  <c r="O8" i="21"/>
  <c r="V7" i="21"/>
  <c r="T8" i="21"/>
  <c r="W7" i="21"/>
  <c r="B9" i="21"/>
  <c r="A9" i="21" s="1"/>
  <c r="C6" i="19"/>
  <c r="W4" i="19"/>
  <c r="V6" i="19"/>
  <c r="W6" i="19"/>
  <c r="U4" i="19"/>
  <c r="V4" i="19"/>
  <c r="T5" i="19"/>
  <c r="J5" i="19"/>
  <c r="O5" i="19"/>
  <c r="B13" i="30" l="1"/>
  <c r="A13" i="30" s="1"/>
  <c r="J11" i="30"/>
  <c r="U10" i="30"/>
  <c r="W10" i="30"/>
  <c r="V10" i="30"/>
  <c r="O13" i="30"/>
  <c r="U11" i="28"/>
  <c r="J12" i="28"/>
  <c r="W11" i="28"/>
  <c r="V11" i="28"/>
  <c r="O11" i="27"/>
  <c r="V11" i="27" s="1"/>
  <c r="V10" i="27"/>
  <c r="W10" i="27"/>
  <c r="B12" i="26"/>
  <c r="A11" i="26"/>
  <c r="T12" i="26"/>
  <c r="W11" i="26"/>
  <c r="J13" i="26"/>
  <c r="V11" i="26"/>
  <c r="O12" i="26"/>
  <c r="U12" i="26" s="1"/>
  <c r="W9" i="25"/>
  <c r="T10" i="25"/>
  <c r="J10" i="25"/>
  <c r="U10" i="25" s="1"/>
  <c r="U9" i="25"/>
  <c r="O10" i="24"/>
  <c r="V9" i="24"/>
  <c r="U9" i="24"/>
  <c r="T10" i="24"/>
  <c r="W10" i="24" s="1"/>
  <c r="W9" i="24"/>
  <c r="V9" i="23"/>
  <c r="B11" i="23"/>
  <c r="A11" i="23"/>
  <c r="J11" i="23"/>
  <c r="W9" i="23"/>
  <c r="T10" i="23"/>
  <c r="A8" i="22"/>
  <c r="B9" i="22"/>
  <c r="A9" i="22" s="1"/>
  <c r="J9" i="22"/>
  <c r="U8" i="22"/>
  <c r="W8" i="22"/>
  <c r="V8" i="22"/>
  <c r="V8" i="21"/>
  <c r="O9" i="21"/>
  <c r="U8" i="21"/>
  <c r="J9" i="21"/>
  <c r="B10" i="21"/>
  <c r="W8" i="21"/>
  <c r="T9" i="21"/>
  <c r="V5" i="19"/>
  <c r="U5" i="19"/>
  <c r="W5" i="19"/>
  <c r="U11" i="30" l="1"/>
  <c r="J12" i="30"/>
  <c r="W11" i="30"/>
  <c r="V11" i="30"/>
  <c r="U12" i="28"/>
  <c r="W12" i="28"/>
  <c r="V12" i="28"/>
  <c r="W11" i="27"/>
  <c r="U11" i="27"/>
  <c r="B13" i="26"/>
  <c r="A13" i="26" s="1"/>
  <c r="A12" i="26"/>
  <c r="O13" i="26"/>
  <c r="V12" i="26"/>
  <c r="T13" i="26"/>
  <c r="W13" i="26" s="1"/>
  <c r="W12" i="26"/>
  <c r="U13" i="26"/>
  <c r="W10" i="25"/>
  <c r="V10" i="25"/>
  <c r="V10" i="24"/>
  <c r="U10" i="24"/>
  <c r="U11" i="23"/>
  <c r="V11" i="23"/>
  <c r="W10" i="23"/>
  <c r="T11" i="23"/>
  <c r="W11" i="23" s="1"/>
  <c r="V10" i="23"/>
  <c r="U10" i="23"/>
  <c r="U9" i="22"/>
  <c r="W9" i="22"/>
  <c r="V9" i="22"/>
  <c r="O10" i="21"/>
  <c r="V9" i="21"/>
  <c r="T10" i="21"/>
  <c r="W9" i="21"/>
  <c r="B11" i="21"/>
  <c r="A10" i="21"/>
  <c r="J10" i="21"/>
  <c r="U9" i="21"/>
  <c r="J13" i="30" l="1"/>
  <c r="U12" i="30"/>
  <c r="W12" i="30"/>
  <c r="V12" i="30"/>
  <c r="V13" i="26"/>
  <c r="J11" i="21"/>
  <c r="U10" i="21"/>
  <c r="B12" i="21"/>
  <c r="A12" i="21" s="1"/>
  <c r="A11" i="21"/>
  <c r="T11" i="21"/>
  <c r="W10" i="21"/>
  <c r="O11" i="21"/>
  <c r="V10" i="21"/>
  <c r="U13" i="30" l="1"/>
  <c r="W13" i="30"/>
  <c r="V13" i="30"/>
  <c r="U11" i="21"/>
  <c r="J12" i="21"/>
  <c r="U12" i="21" s="1"/>
  <c r="V11" i="21"/>
  <c r="O12" i="21"/>
  <c r="V12" i="21" s="1"/>
  <c r="T12" i="21"/>
  <c r="W12" i="21" s="1"/>
  <c r="W11" i="21"/>
</calcChain>
</file>

<file path=xl/sharedStrings.xml><?xml version="1.0" encoding="utf-8"?>
<sst xmlns="http://schemas.openxmlformats.org/spreadsheetml/2006/main" count="1662" uniqueCount="208">
  <si>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</si>
  <si>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</si>
  <si>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</si>
  <si>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</si>
  <si>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</si>
  <si>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</si>
  <si>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</si>
  <si>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</si>
  <si>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</si>
  <si>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</si>
  <si>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</si>
  <si>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</si>
  <si>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</si>
  <si>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</si>
  <si>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</si>
  <si>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</si>
  <si>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</si>
  <si>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</si>
  <si>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</si>
  <si>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</si>
  <si>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</si>
  <si>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</si>
  <si>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</si>
  <si>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</si>
  <si>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</si>
  <si>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</si>
  <si>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</si>
  <si>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</si>
  <si>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</si>
  <si>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</si>
  <si>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</si>
  <si>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</si>
  <si>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</si>
  <si>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</si>
  <si>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</si>
  <si>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</si>
  <si>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</si>
  <si>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</si>
  <si>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</si>
  <si>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</si>
  <si>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</si>
  <si>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</si>
  <si>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</si>
  <si>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</si>
  <si>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</si>
  <si>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</si>
  <si>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</si>
  <si>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</si>
  <si>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</si>
  <si>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</si>
  <si>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</si>
  <si>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</si>
  <si>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</si>
  <si>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</si>
  <si>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</si>
  <si>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</si>
  <si>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</si>
  <si>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</si>
  <si>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</si>
  <si>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</si>
  <si>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</si>
  <si>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</si>
  <si>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</si>
  <si>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</si>
  <si>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</si>
  <si>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</si>
  <si>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</si>
  <si>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</si>
  <si>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</si>
  <si>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</si>
  <si>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</si>
  <si>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</si>
  <si>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</si>
  <si>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</si>
  <si>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</si>
  <si>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</si>
  <si>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</si>
  <si>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</si>
  <si>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</si>
  <si>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</si>
  <si>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</si>
  <si>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</si>
  <si>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</si>
  <si>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</si>
  <si>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</si>
  <si>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</si>
  <si>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</si>
  <si>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</si>
  <si>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</si>
  <si>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</si>
  <si>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</si>
  <si>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</si>
  <si>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</si>
  <si>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</si>
  <si>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</si>
  <si>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</si>
  <si>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</si>
  <si>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</si>
  <si>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</si>
  <si>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</si>
  <si>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</si>
  <si>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</si>
  <si>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</si>
  <si>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</si>
  <si>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</si>
  <si>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</si>
  <si>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</si>
  <si>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</si>
  <si>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</si>
  <si>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</si>
  <si>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</si>
  <si>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</si>
  <si>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</si>
  <si>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</si>
  <si>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</si>
  <si>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</si>
  <si>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</si>
  <si>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</si>
  <si>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</si>
  <si>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</si>
  <si>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</si>
  <si>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</si>
  <si>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</si>
  <si>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</si>
  <si>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</si>
  <si>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</si>
  <si>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</si>
  <si>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</si>
  <si>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</si>
  <si>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</si>
  <si>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</si>
  <si>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</si>
  <si>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</si>
  <si>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</si>
  <si>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</si>
  <si>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</si>
  <si>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</si>
  <si>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</si>
  <si>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</si>
  <si>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</si>
  <si>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</si>
  <si>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</si>
  <si>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</si>
  <si>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</si>
  <si>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</si>
  <si>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</si>
  <si>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</si>
  <si>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</si>
  <si>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</si>
  <si>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</si>
  <si>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</si>
  <si>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</si>
  <si>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</si>
  <si>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</si>
  <si>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</si>
  <si>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</si>
  <si>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</si>
  <si>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</si>
  <si>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</si>
  <si>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</si>
  <si>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</si>
  <si>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</si>
  <si>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</si>
  <si>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</si>
  <si>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</si>
  <si>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</si>
  <si>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</si>
  <si>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</si>
  <si>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</si>
  <si>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</si>
  <si>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</si>
  <si>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</si>
  <si>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</si>
  <si>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</si>
  <si>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</si>
  <si>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</si>
  <si>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</si>
  <si>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</si>
  <si>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</si>
  <si>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</si>
  <si>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</si>
  <si>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</si>
  <si>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</si>
  <si>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</si>
  <si>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</si>
  <si>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</si>
  <si>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</si>
  <si>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</si>
  <si>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</si>
  <si>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</si>
  <si>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</si>
  <si>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</si>
  <si>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だいち</t>
    <phoneticPr fontId="1"/>
  </si>
  <si>
    <t>ぱぱ</t>
    <phoneticPr fontId="1"/>
  </si>
  <si>
    <t>れんたろう</t>
  </si>
  <si>
    <t>れんたろう</t>
    <phoneticPr fontId="1"/>
  </si>
  <si>
    <t>放銃</t>
  </si>
  <si>
    <t>ロン</t>
  </si>
  <si>
    <t>*</t>
  </si>
  <si>
    <t>01</t>
  </si>
  <si>
    <t>02</t>
  </si>
  <si>
    <t>ツモ支払</t>
  </si>
  <si>
    <t>ツモ</t>
  </si>
  <si>
    <t>52</t>
  </si>
  <si>
    <t>N</t>
  </si>
  <si>
    <t>流局</t>
    <phoneticPr fontId="1"/>
  </si>
  <si>
    <t>T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</si>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</sst>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ぱぱ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-18000</v>
      </c>
      <c r="H4" s="9">
        <v>-1000</v>
      </c>
      <c r="I4" s="48">
        <v>0</v>
      </c>
      <c r="J4" s="21">
        <f>IF(COUNTA($F4,$K4,$P4)&gt;0,J3+SUM(G4:I4),"")</f>
        <v>16000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18000</v>
      </c>
      <c r="R4" s="9">
        <v>1000</v>
      </c>
      <c r="S4" s="48">
        <v>0</v>
      </c>
      <c r="T4" s="21">
        <f>IF(COUNTA($F4,$K4,$P4)&gt;0,T3+SUM(Q4:S4),"")</f>
        <v>54000</v>
      </c>
      <c r="U4" s="53">
        <f>IF($J4="","",ROUND(($J4-$J$3)/1000,1)+(_xlfn.RANK.AVG($J4,($J4,$O4,$T4),1)-2)*20)</f>
        <v>-39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39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198</v>
      </c>
      <c r="BU4" s="40" t="s">
        <v>199</v>
      </c>
      <c r="BV4" s="41" t="s">
        <v>200</v>
      </c>
      <c r="BW4" s="41" t="s">
        <v>79</v>
      </c>
      <c r="BX4" s="41" t="s">
        <v>79</v>
      </c>
      <c r="BY4" s="41" t="s">
        <v>84</v>
      </c>
      <c r="BZ4" s="41" t="s">
        <v>80</v>
      </c>
      <c r="CA4" s="41" t="s">
        <v>83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201</v>
      </c>
      <c r="G5" s="9">
        <v>-24000</v>
      </c>
      <c r="H5" s="9"/>
      <c r="I5" s="48">
        <v>-500</v>
      </c>
      <c r="J5" s="21">
        <f t="shared" ref="J5:J30" si="2">IF(COUNTA($F5,$K5,$P5)&gt;0,J4+SUM(G5:I5),"")</f>
        <v>-8500</v>
      </c>
      <c r="K5" s="8" t="s">
        <v>201</v>
      </c>
      <c r="L5" s="9">
        <v>-24000</v>
      </c>
      <c r="M5" s="9"/>
      <c r="N5" s="48">
        <v>-500</v>
      </c>
      <c r="O5" s="21">
        <f t="shared" ref="O5:O30" si="3">IF(COUNTA($F5,$K5,$P5)&gt;0,O4+SUM(L5:N5),"")</f>
        <v>10500</v>
      </c>
      <c r="P5" s="8" t="s">
        <v>202</v>
      </c>
      <c r="Q5" s="9">
        <v>48000</v>
      </c>
      <c r="R5" s="9"/>
      <c r="S5" s="48">
        <v>1000</v>
      </c>
      <c r="T5" s="21">
        <f t="shared" ref="T5:T30" si="4">IF(COUNTA($F5,$K5,$P5)&gt;0,T4+SUM(Q5:S5),"")</f>
        <v>103000</v>
      </c>
      <c r="U5" s="53">
        <f>IF($J5="","",ROUND(($J5-$J$3)/1000,1)+(_xlfn.RANK.AVG($J5,($J5,$O5,$T5),1)-2)*20)</f>
        <v>-63.5</v>
      </c>
      <c r="V5" s="54">
        <f>IF($O5="","",ROUND(($O5-$O$3)/1000,1)+(_xlfn.RANK.AVG($O5,($J5,$O5,$T5),1)-2)*20)</f>
        <v>-24.5</v>
      </c>
      <c r="W5" s="55">
        <f>IF($T5="","",ROUND(($T5-$T$3)/1000,1)+(_xlfn.RANK.AVG($T5,($J5,$O5,$T5),1)-2)*20)</f>
        <v>88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13</v>
      </c>
      <c r="BT5" s="30" t="s">
        <v>198</v>
      </c>
      <c r="BU5" s="40" t="s">
        <v>108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9144779-A963-4E61-9C3F-4245F6884D6E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D30F-D6ED-458B-8A6E-8166F9E0184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202</v>
      </c>
      <c r="L4" s="9">
        <v>6000</v>
      </c>
      <c r="M4" s="9"/>
      <c r="N4" s="48">
        <v>0</v>
      </c>
      <c r="O4" s="21">
        <f>IF(COUNTA($F4,$K4,$P4)&gt;0,O3+SUM(L4:N4),"")</f>
        <v>41000</v>
      </c>
      <c r="P4" s="8" t="s">
        <v>201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-13</v>
      </c>
      <c r="V4" s="54">
        <f>IF($O4="","",ROUND(($O4-$O$3)/1000,1)+(_xlfn.RANK.AVG($O4,($J4,$O4,$T4),1)-2)*20)</f>
        <v>26</v>
      </c>
      <c r="W4" s="55">
        <f>IF($T4="","",ROUND(($T4-$T$3)/1000,1)+(_xlfn.RANK.AVG($T4,($J4,$O4,$T4),1)-2)*20)</f>
        <v>-13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199</v>
      </c>
      <c r="BA4" s="41" t="s">
        <v>82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ぱぱ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197</v>
      </c>
      <c r="L5" s="9">
        <v>2900</v>
      </c>
      <c r="M5" s="9"/>
      <c r="N5" s="48">
        <v>1000</v>
      </c>
      <c r="O5" s="21">
        <f t="shared" ref="O5:O30" si="3">IF(COUNTA($F5,$K5,$P5)&gt;0,O4+SUM(L5:N5),"")</f>
        <v>44900</v>
      </c>
      <c r="P5" s="8" t="s">
        <v>196</v>
      </c>
      <c r="Q5" s="9">
        <v>-2900</v>
      </c>
      <c r="R5" s="9"/>
      <c r="S5" s="48">
        <v>-1000</v>
      </c>
      <c r="T5" s="21">
        <f t="shared" ref="T5:T30" si="4">IF(COUNTA($F5,$K5,$P5)&gt;0,T4+SUM(Q5:S5),"")</f>
        <v>28100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29.9</v>
      </c>
      <c r="W5" s="55">
        <f>IF($T5="","",ROUND(($T5-$T$3)/1000,1)+(_xlfn.RANK.AVG($T5,($J5,$O5,$T5),1)-2)*20)</f>
        <v>-26.9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30</v>
      </c>
      <c r="AZ5" s="40" t="s">
        <v>83</v>
      </c>
      <c r="BA5" s="41" t="s">
        <v>80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ぱぱ</v>
      </c>
      <c r="F6" s="8"/>
      <c r="G6" s="9"/>
      <c r="H6" s="9"/>
      <c r="I6" s="48"/>
      <c r="J6" s="21">
        <f t="shared" si="2"/>
        <v>32000</v>
      </c>
      <c r="K6" s="8" t="s">
        <v>196</v>
      </c>
      <c r="L6" s="9">
        <v>-8000</v>
      </c>
      <c r="M6" s="9"/>
      <c r="N6" s="48">
        <v>-2000</v>
      </c>
      <c r="O6" s="21">
        <f t="shared" si="3"/>
        <v>34900</v>
      </c>
      <c r="P6" s="8" t="s">
        <v>197</v>
      </c>
      <c r="Q6" s="9">
        <v>8000</v>
      </c>
      <c r="R6" s="9"/>
      <c r="S6" s="48">
        <v>2000</v>
      </c>
      <c r="T6" s="21">
        <f t="shared" si="4"/>
        <v>38100</v>
      </c>
      <c r="U6" s="53">
        <f>IF($J6="","",ROUND(($J6-$J$3)/1000,1)+(_xlfn.RANK.AVG($J6,($J6,$O6,$T6),1)-2)*20)</f>
        <v>-23</v>
      </c>
      <c r="V6" s="54">
        <f>IF($O6="","",ROUND(($O6-$O$3)/1000,1)+(_xlfn.RANK.AVG($O6,($J6,$O6,$T6),1)-2)*20)</f>
        <v>-0.1</v>
      </c>
      <c r="W6" s="55">
        <f>IF($T6="","",ROUND(($T6-$T$3)/1000,1)+(_xlfn.RANK.AVG($T6,($J6,$O6,$T6),1)-2)*20)</f>
        <v>23.1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40</v>
      </c>
      <c r="BU6" s="40" t="s">
        <v>98</v>
      </c>
      <c r="BV6" s="41" t="s">
        <v>86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201</v>
      </c>
      <c r="G7" s="9">
        <v>-4500</v>
      </c>
      <c r="H7" s="9"/>
      <c r="I7" s="48">
        <v>0</v>
      </c>
      <c r="J7" s="21">
        <f t="shared" si="2"/>
        <v>27500</v>
      </c>
      <c r="K7" s="8" t="s">
        <v>202</v>
      </c>
      <c r="L7" s="9">
        <v>12000</v>
      </c>
      <c r="M7" s="9">
        <v>1000</v>
      </c>
      <c r="N7" s="48">
        <v>0</v>
      </c>
      <c r="O7" s="21">
        <f t="shared" si="3"/>
        <v>47900</v>
      </c>
      <c r="P7" s="8" t="s">
        <v>201</v>
      </c>
      <c r="Q7" s="9">
        <v>-7500</v>
      </c>
      <c r="R7" s="9">
        <v>-1000</v>
      </c>
      <c r="S7" s="48">
        <v>0</v>
      </c>
      <c r="T7" s="21">
        <f t="shared" si="4"/>
        <v>29600</v>
      </c>
      <c r="U7" s="53">
        <f>IF($J7="","",ROUND(($J7-$J$3)/1000,1)+(_xlfn.RANK.AVG($J7,($J7,$O7,$T7),1)-2)*20)</f>
        <v>-27.5</v>
      </c>
      <c r="V7" s="54">
        <f>IF($O7="","",ROUND(($O7-$O$3)/1000,1)+(_xlfn.RANK.AVG($O7,($J7,$O7,$T7),1)-2)*20)</f>
        <v>32.9</v>
      </c>
      <c r="W7" s="55">
        <f>IF($T7="","",ROUND(($T7-$T$3)/1000,1)+(_xlfn.RANK.AVG($T7,($J7,$O7,$T7),1)-2)*20)</f>
        <v>-5.4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198</v>
      </c>
      <c r="AZ7" s="40" t="s">
        <v>199</v>
      </c>
      <c r="BA7" s="41" t="s">
        <v>82</v>
      </c>
      <c r="BB7" s="41" t="s">
        <v>79</v>
      </c>
      <c r="BC7" s="41" t="s">
        <v>79</v>
      </c>
      <c r="BD7" s="41" t="s">
        <v>79</v>
      </c>
      <c r="BE7" s="41" t="s">
        <v>203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196</v>
      </c>
      <c r="G8" s="9">
        <v>-8000</v>
      </c>
      <c r="H8" s="9"/>
      <c r="I8" s="48">
        <v>0</v>
      </c>
      <c r="J8" s="21">
        <f t="shared" si="2"/>
        <v>19500</v>
      </c>
      <c r="K8" s="8" t="s">
        <v>197</v>
      </c>
      <c r="L8" s="9">
        <v>8000</v>
      </c>
      <c r="M8" s="9"/>
      <c r="N8" s="48">
        <v>0</v>
      </c>
      <c r="O8" s="21">
        <f t="shared" si="3"/>
        <v>55900</v>
      </c>
      <c r="P8" s="8"/>
      <c r="Q8" s="9"/>
      <c r="R8" s="9"/>
      <c r="S8" s="48"/>
      <c r="T8" s="21">
        <f t="shared" si="4"/>
        <v>29600</v>
      </c>
      <c r="U8" s="53">
        <f>IF($J8="","",ROUND(($J8-$J$3)/1000,1)+(_xlfn.RANK.AVG($J8,($J8,$O8,$T8),1)-2)*20)</f>
        <v>-35.5</v>
      </c>
      <c r="V8" s="54">
        <f>IF($O8="","",ROUND(($O8-$O$3)/1000,1)+(_xlfn.RANK.AVG($O8,($J8,$O8,$T8),1)-2)*20)</f>
        <v>40.9</v>
      </c>
      <c r="W8" s="55">
        <f>IF($T8="","",ROUND(($T8-$T$3)/1000,1)+(_xlfn.RANK.AVG($T8,($J8,$O8,$T8),1)-2)*20)</f>
        <v>-5.4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199</v>
      </c>
      <c r="BA8" s="41" t="s">
        <v>200</v>
      </c>
      <c r="BB8" s="41" t="s">
        <v>79</v>
      </c>
      <c r="BC8" s="41" t="s">
        <v>86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ぱぱ</v>
      </c>
      <c r="F9" s="8" t="s">
        <v>202</v>
      </c>
      <c r="G9" s="9">
        <v>16000</v>
      </c>
      <c r="H9" s="9">
        <v>1000</v>
      </c>
      <c r="I9" s="48">
        <v>0</v>
      </c>
      <c r="J9" s="21">
        <f t="shared" si="2"/>
        <v>36500</v>
      </c>
      <c r="K9" s="8" t="s">
        <v>201</v>
      </c>
      <c r="L9" s="9">
        <v>-10000</v>
      </c>
      <c r="M9" s="9"/>
      <c r="N9" s="48">
        <v>0</v>
      </c>
      <c r="O9" s="21">
        <f t="shared" si="3"/>
        <v>45900</v>
      </c>
      <c r="P9" s="8" t="s">
        <v>201</v>
      </c>
      <c r="Q9" s="9">
        <v>-6000</v>
      </c>
      <c r="R9" s="9">
        <v>-1000</v>
      </c>
      <c r="S9" s="48">
        <v>0</v>
      </c>
      <c r="T9" s="21">
        <f t="shared" si="4"/>
        <v>22600</v>
      </c>
      <c r="U9" s="53">
        <f>IF($J9="","",ROUND(($J9-$J$3)/1000,1)+(_xlfn.RANK.AVG($J9,($J9,$O9,$T9),1)-2)*20)</f>
        <v>1.5</v>
      </c>
      <c r="V9" s="54">
        <f>IF($O9="","",ROUND(($O9-$O$3)/1000,1)+(_xlfn.RANK.AVG($O9,($J9,$O9,$T9),1)-2)*20)</f>
        <v>30.9</v>
      </c>
      <c r="W9" s="55">
        <f>IF($T9="","",ROUND(($T9-$T$3)/1000,1)+(_xlfn.RANK.AVG($T9,($J9,$O9,$T9),1)-2)*20)</f>
        <v>-32.4</v>
      </c>
      <c r="Y9" s="8"/>
      <c r="Z9" s="34"/>
      <c r="AA9" s="26">
        <v>1</v>
      </c>
      <c r="AB9" s="26"/>
      <c r="AC9" s="26">
        <v>9</v>
      </c>
      <c r="AD9" s="30" t="s">
        <v>198</v>
      </c>
      <c r="AE9" s="40" t="s">
        <v>199</v>
      </c>
      <c r="AF9" s="41" t="s">
        <v>82</v>
      </c>
      <c r="AG9" s="41" t="s">
        <v>200</v>
      </c>
      <c r="AH9" s="41" t="s">
        <v>104</v>
      </c>
      <c r="AI9" s="41" t="s">
        <v>79</v>
      </c>
      <c r="AJ9" s="41" t="s">
        <v>80</v>
      </c>
      <c r="AK9" s="41" t="s">
        <v>203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201</v>
      </c>
      <c r="G10" s="9">
        <v>-6000</v>
      </c>
      <c r="H10" s="9"/>
      <c r="I10" s="48">
        <v>0</v>
      </c>
      <c r="J10" s="21">
        <f t="shared" si="2"/>
        <v>30500</v>
      </c>
      <c r="K10" s="8" t="s">
        <v>201</v>
      </c>
      <c r="L10" s="9">
        <v>-6000</v>
      </c>
      <c r="M10" s="9">
        <v>-1000</v>
      </c>
      <c r="N10" s="48">
        <v>0</v>
      </c>
      <c r="O10" s="21">
        <f t="shared" si="3"/>
        <v>38900</v>
      </c>
      <c r="P10" s="8" t="s">
        <v>202</v>
      </c>
      <c r="Q10" s="9">
        <v>12000</v>
      </c>
      <c r="R10" s="9">
        <v>1000</v>
      </c>
      <c r="S10" s="48">
        <v>0</v>
      </c>
      <c r="T10" s="21">
        <f t="shared" si="4"/>
        <v>35600</v>
      </c>
      <c r="U10" s="53">
        <f>IF($J10="","",ROUND(($J10-$J$3)/1000,1)+(_xlfn.RANK.AVG($J10,($J10,$O10,$T10),1)-2)*20)</f>
        <v>-24.5</v>
      </c>
      <c r="V10" s="54">
        <f>IF($O10="","",ROUND(($O10-$O$3)/1000,1)+(_xlfn.RANK.AVG($O10,($J10,$O10,$T10),1)-2)*20)</f>
        <v>23.9</v>
      </c>
      <c r="W10" s="55">
        <f>IF($T10="","",ROUND(($T10-$T$3)/1000,1)+(_xlfn.RANK.AVG($T10,($J10,$O10,$T10),1)-2)*20)</f>
        <v>0.6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198</v>
      </c>
      <c r="BU10" s="40" t="s">
        <v>199</v>
      </c>
      <c r="BV10" s="41" t="s">
        <v>82</v>
      </c>
      <c r="BW10" s="41" t="s">
        <v>83</v>
      </c>
      <c r="BX10" s="41" t="s">
        <v>79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IF($P$1="","",$P$1)</f>
        <v>れんたろう</v>
      </c>
      <c r="F11" s="8" t="s">
        <v>205</v>
      </c>
      <c r="G11" s="9">
        <v>0</v>
      </c>
      <c r="H11" s="9"/>
      <c r="I11" s="48"/>
      <c r="J11" s="21">
        <f t="shared" si="2"/>
        <v>30500</v>
      </c>
      <c r="K11" s="8" t="s">
        <v>205</v>
      </c>
      <c r="L11" s="9">
        <v>0</v>
      </c>
      <c r="M11" s="9"/>
      <c r="N11" s="48"/>
      <c r="O11" s="21">
        <f t="shared" si="3"/>
        <v>38900</v>
      </c>
      <c r="P11" s="8" t="s">
        <v>205</v>
      </c>
      <c r="Q11" s="9">
        <v>0</v>
      </c>
      <c r="R11" s="9"/>
      <c r="S11" s="48"/>
      <c r="T11" s="21">
        <f t="shared" si="4"/>
        <v>35600</v>
      </c>
      <c r="U11" s="53">
        <f>IF($J11="","",ROUND(($J11-$J$3)/1000,1)+(_xlfn.RANK.AVG($J11,($J11,$O11,$T11),1)-2)*20)</f>
        <v>-24.5</v>
      </c>
      <c r="V11" s="54">
        <f>IF($O11="","",ROUND(($O11-$O$3)/1000,1)+(_xlfn.RANK.AVG($O11,($J11,$O11,$T11),1)-2)*20)</f>
        <v>23.9</v>
      </c>
      <c r="W11" s="55">
        <f>IF($T11="","",ROUND(($T11-$T$3)/1000,1)+(_xlfn.RANK.AVG($T11,($J11,$O11,$T11),1)-2)*20)</f>
        <v>0.6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tr">
        <f>IF($F$1="","",$F$1)</f>
        <v>だいち</v>
      </c>
      <c r="F12" s="8" t="s">
        <v>201</v>
      </c>
      <c r="G12" s="9">
        <v>-5000</v>
      </c>
      <c r="H12" s="9"/>
      <c r="I12" s="48">
        <v>-1000</v>
      </c>
      <c r="J12" s="21">
        <f t="shared" si="2"/>
        <v>24500</v>
      </c>
      <c r="K12" s="8" t="s">
        <v>201</v>
      </c>
      <c r="L12" s="9">
        <v>-3000</v>
      </c>
      <c r="M12" s="9"/>
      <c r="N12" s="48">
        <v>-1000</v>
      </c>
      <c r="O12" s="21">
        <f t="shared" si="3"/>
        <v>34900</v>
      </c>
      <c r="P12" s="8" t="s">
        <v>202</v>
      </c>
      <c r="Q12" s="9">
        <v>8000</v>
      </c>
      <c r="R12" s="9"/>
      <c r="S12" s="48">
        <v>2000</v>
      </c>
      <c r="T12" s="21">
        <f t="shared" si="4"/>
        <v>45600</v>
      </c>
      <c r="U12" s="53">
        <f>IF($J12="","",ROUND(($J12-$J$3)/1000,1)+(_xlfn.RANK.AVG($J12,($J12,$O12,$T12),1)-2)*20)</f>
        <v>-30.5</v>
      </c>
      <c r="V12" s="54">
        <f>IF($O12="","",ROUND(($O12-$O$3)/1000,1)+(_xlfn.RANK.AVG($O12,($J12,$O12,$T12),1)-2)*20)</f>
        <v>-0.1</v>
      </c>
      <c r="W12" s="55">
        <f>IF($T12="","",ROUND(($T12-$T$3)/1000,1)+(_xlfn.RANK.AVG($T12,($J12,$O12,$T12),1)-2)*20)</f>
        <v>30.6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5</v>
      </c>
      <c r="BT12" s="30" t="s">
        <v>198</v>
      </c>
      <c r="BU12" s="40" t="s">
        <v>199</v>
      </c>
      <c r="BV12" s="41" t="s">
        <v>82</v>
      </c>
      <c r="BW12" s="41" t="s">
        <v>200</v>
      </c>
      <c r="BX12" s="41" t="s">
        <v>83</v>
      </c>
      <c r="BY12" s="41" t="s">
        <v>80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qref="F1:T1" xr:uid="{B547647F-85F1-4389-9FA1-EA74B9FC04C1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CFD8A553-69E2-45B3-86D3-BB01443F822A}">
      <formula1>"ロン,ツモ,放銃,ツモ支払,流局,チョンボ"</formula1>
    </dataValidation>
    <dataValidation type="list" allowBlank="1" showInputMessage="1" showErrorMessage="1" sqref="E4:E30" xr:uid="{1D4F9C7B-D4E0-48B2-8FD8-745D5A319B3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D5BF8-0F42-4554-93E7-BBD91C01052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 t="s">
        <v>201</v>
      </c>
      <c r="L4" s="9">
        <v>-4800</v>
      </c>
      <c r="M4" s="9">
        <v>-1000</v>
      </c>
      <c r="N4" s="48">
        <v>0</v>
      </c>
      <c r="O4" s="21">
        <f>IF(COUNTA($F4,$K4,$P4)&gt;0,O3+SUM(L4:N4),"")</f>
        <v>29200</v>
      </c>
      <c r="P4" s="8" t="s">
        <v>202</v>
      </c>
      <c r="Q4" s="9">
        <v>7700</v>
      </c>
      <c r="R4" s="9">
        <v>1000</v>
      </c>
      <c r="S4" s="48">
        <v>0</v>
      </c>
      <c r="T4" s="21">
        <f>IF(COUNTA($F4,$K4,$P4)&gt;0,T3+SUM(Q4:S4),"")</f>
        <v>43700</v>
      </c>
      <c r="U4" s="53">
        <f>IF($J4="","",ROUND(($J4-$J$3)/1000,1)+(_xlfn.RANK.AVG($J4,($J4,$O4,$T4),1)-2)*20)</f>
        <v>-2.9</v>
      </c>
      <c r="V4" s="54">
        <f>IF($O4="","",ROUND(($O4-$O$3)/1000,1)+(_xlfn.RANK.AVG($O4,($J4,$O4,$T4),1)-2)*20)</f>
        <v>-25.8</v>
      </c>
      <c r="W4" s="55">
        <f>IF($T4="","",ROUND(($T4-$T$3)/1000,1)+(_xlfn.RANK.AVG($T4,($J4,$O4,$T4),1)-2)*20)</f>
        <v>28.7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199</v>
      </c>
      <c r="BV4" s="41" t="s">
        <v>82</v>
      </c>
      <c r="BW4" s="41" t="s">
        <v>79</v>
      </c>
      <c r="BX4" s="41" t="s">
        <v>80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197</v>
      </c>
      <c r="G5" s="9">
        <v>3900</v>
      </c>
      <c r="H5" s="9">
        <v>1000</v>
      </c>
      <c r="I5" s="48">
        <v>0</v>
      </c>
      <c r="J5" s="21">
        <f t="shared" ref="J5:J30" si="2">IF(COUNTA($F5,$K5,$P5)&gt;0,J4+SUM(G5:I5),"")</f>
        <v>37000</v>
      </c>
      <c r="K5" s="8" t="s">
        <v>196</v>
      </c>
      <c r="L5" s="9">
        <v>-3900</v>
      </c>
      <c r="M5" s="9"/>
      <c r="N5" s="48">
        <v>0</v>
      </c>
      <c r="O5" s="21">
        <f t="shared" ref="O5:O30" si="3">IF(COUNTA($F5,$K5,$P5)&gt;0,O4+SUM(L5:N5),"")</f>
        <v>25300</v>
      </c>
      <c r="P5" s="8"/>
      <c r="Q5" s="9"/>
      <c r="R5" s="9">
        <v>-1000</v>
      </c>
      <c r="S5" s="48"/>
      <c r="T5" s="21">
        <f t="shared" ref="T5:T30" si="4">IF(COUNTA($F5,$K5,$P5)&gt;0,T4+SUM(Q5:S5),"")</f>
        <v>42700</v>
      </c>
      <c r="U5" s="53">
        <f>IF($J5="","",ROUND(($J5-$J$3)/1000,1)+(_xlfn.RANK.AVG($J5,($J5,$O5,$T5),1)-2)*20)</f>
        <v>2</v>
      </c>
      <c r="V5" s="54">
        <f>IF($O5="","",ROUND(($O5-$O$3)/1000,1)+(_xlfn.RANK.AVG($O5,($J5,$O5,$T5),1)-2)*20)</f>
        <v>-29.7</v>
      </c>
      <c r="W5" s="55">
        <f>IF($T5="","",ROUND(($T5-$T$3)/1000,1)+(_xlfn.RANK.AVG($T5,($J5,$O5,$T5),1)-2)*20)</f>
        <v>27.7</v>
      </c>
      <c r="Y5" s="8"/>
      <c r="Z5" s="34"/>
      <c r="AA5" s="26"/>
      <c r="AB5" s="26"/>
      <c r="AC5" s="26">
        <v>3</v>
      </c>
      <c r="AD5" s="30">
        <v>30</v>
      </c>
      <c r="AE5" s="40" t="s">
        <v>83</v>
      </c>
      <c r="AF5" s="41" t="s">
        <v>92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/>
      <c r="G6" s="9"/>
      <c r="H6" s="9">
        <v>-1000</v>
      </c>
      <c r="I6" s="48"/>
      <c r="J6" s="21">
        <f t="shared" si="2"/>
        <v>36000</v>
      </c>
      <c r="K6" s="8" t="s">
        <v>196</v>
      </c>
      <c r="L6" s="9">
        <v>-8000</v>
      </c>
      <c r="M6" s="9"/>
      <c r="N6" s="48">
        <v>0</v>
      </c>
      <c r="O6" s="21">
        <f t="shared" si="3"/>
        <v>17300</v>
      </c>
      <c r="P6" s="8" t="s">
        <v>197</v>
      </c>
      <c r="Q6" s="9">
        <v>8000</v>
      </c>
      <c r="R6" s="9">
        <v>1000</v>
      </c>
      <c r="S6" s="48">
        <v>0</v>
      </c>
      <c r="T6" s="21">
        <f t="shared" si="4"/>
        <v>51700</v>
      </c>
      <c r="U6" s="53">
        <f>IF($J6="","",ROUND(($J6-$J$3)/1000,1)+(_xlfn.RANK.AVG($J6,($J6,$O6,$T6),1)-2)*20)</f>
        <v>1</v>
      </c>
      <c r="V6" s="54">
        <f>IF($O6="","",ROUND(($O6-$O$3)/1000,1)+(_xlfn.RANK.AVG($O6,($J6,$O6,$T6),1)-2)*20)</f>
        <v>-37.700000000000003</v>
      </c>
      <c r="W6" s="55">
        <f>IF($T6="","",ROUND(($T6-$T$3)/1000,1)+(_xlfn.RANK.AVG($T6,($J6,$O6,$T6),1)-2)*20)</f>
        <v>36.700000000000003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40</v>
      </c>
      <c r="BU6" s="40" t="s">
        <v>98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IF($K$1="","",$K$1)</f>
        <v>ぱぱ</v>
      </c>
      <c r="F7" s="8" t="s">
        <v>202</v>
      </c>
      <c r="G7" s="9">
        <v>7700</v>
      </c>
      <c r="H7" s="9"/>
      <c r="I7" s="48">
        <v>0</v>
      </c>
      <c r="J7" s="21">
        <f t="shared" si="2"/>
        <v>43700</v>
      </c>
      <c r="K7" s="8" t="s">
        <v>201</v>
      </c>
      <c r="L7" s="9">
        <v>-4800</v>
      </c>
      <c r="M7" s="9"/>
      <c r="N7" s="48">
        <v>0</v>
      </c>
      <c r="O7" s="21">
        <f t="shared" si="3"/>
        <v>12500</v>
      </c>
      <c r="P7" s="8" t="s">
        <v>201</v>
      </c>
      <c r="Q7" s="9">
        <v>-2900</v>
      </c>
      <c r="R7" s="9"/>
      <c r="S7" s="48">
        <v>0</v>
      </c>
      <c r="T7" s="21">
        <f t="shared" si="4"/>
        <v>48800</v>
      </c>
      <c r="U7" s="53">
        <f>IF($J7="","",ROUND(($J7-$J$3)/1000,1)+(_xlfn.RANK.AVG($J7,($J7,$O7,$T7),1)-2)*20)</f>
        <v>8.6999999999999993</v>
      </c>
      <c r="V7" s="54">
        <f>IF($O7="","",ROUND(($O7-$O$3)/1000,1)+(_xlfn.RANK.AVG($O7,($J7,$O7,$T7),1)-2)*20)</f>
        <v>-42.5</v>
      </c>
      <c r="W7" s="55">
        <f>IF($T7="","",ROUND(($T7-$T$3)/1000,1)+(_xlfn.RANK.AVG($T7,($J7,$O7,$T7),1)-2)*20)</f>
        <v>33.799999999999997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85</v>
      </c>
      <c r="AF7" s="41" t="s">
        <v>79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202</v>
      </c>
      <c r="G8" s="9">
        <v>8000</v>
      </c>
      <c r="H8" s="9"/>
      <c r="I8" s="48">
        <v>0</v>
      </c>
      <c r="J8" s="21">
        <f t="shared" si="2"/>
        <v>51700</v>
      </c>
      <c r="K8" s="8" t="s">
        <v>201</v>
      </c>
      <c r="L8" s="9">
        <v>-3000</v>
      </c>
      <c r="M8" s="9"/>
      <c r="N8" s="48">
        <v>0</v>
      </c>
      <c r="O8" s="21">
        <f t="shared" si="3"/>
        <v>9500</v>
      </c>
      <c r="P8" s="8" t="s">
        <v>201</v>
      </c>
      <c r="Q8" s="9">
        <v>-5000</v>
      </c>
      <c r="R8" s="9"/>
      <c r="S8" s="48">
        <v>0</v>
      </c>
      <c r="T8" s="21">
        <f t="shared" si="4"/>
        <v>43800</v>
      </c>
      <c r="U8" s="53">
        <f>IF($J8="","",ROUND(($J8-$J$3)/1000,1)+(_xlfn.RANK.AVG($J8,($J8,$O8,$T8),1)-2)*20)</f>
        <v>36.700000000000003</v>
      </c>
      <c r="V8" s="54">
        <f>IF($O8="","",ROUND(($O8-$O$3)/1000,1)+(_xlfn.RANK.AVG($O8,($J8,$O8,$T8),1)-2)*20)</f>
        <v>-45.5</v>
      </c>
      <c r="W8" s="55">
        <f>IF($T8="","",ROUND(($T8-$T$3)/1000,1)+(_xlfn.RANK.AVG($T8,($J8,$O8,$T8),1)-2)*20)</f>
        <v>8.8000000000000007</v>
      </c>
      <c r="Y8" s="8"/>
      <c r="Z8" s="34"/>
      <c r="AA8" s="26">
        <v>1</v>
      </c>
      <c r="AB8" s="26"/>
      <c r="AC8" s="26">
        <v>5</v>
      </c>
      <c r="AD8" s="30" t="s">
        <v>198</v>
      </c>
      <c r="AE8" s="40" t="s">
        <v>199</v>
      </c>
      <c r="AF8" s="41" t="s">
        <v>82</v>
      </c>
      <c r="AG8" s="41" t="s">
        <v>79</v>
      </c>
      <c r="AH8" s="41" t="s">
        <v>80</v>
      </c>
      <c r="AI8" s="41" t="s">
        <v>203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197</v>
      </c>
      <c r="G9" s="9">
        <v>18000</v>
      </c>
      <c r="H9" s="9">
        <v>1000</v>
      </c>
      <c r="I9" s="48">
        <v>0</v>
      </c>
      <c r="J9" s="21">
        <f t="shared" si="2"/>
        <v>70700</v>
      </c>
      <c r="K9" s="8"/>
      <c r="L9" s="9"/>
      <c r="M9" s="9"/>
      <c r="N9" s="48"/>
      <c r="O9" s="21">
        <f t="shared" si="3"/>
        <v>9500</v>
      </c>
      <c r="P9" s="8" t="s">
        <v>196</v>
      </c>
      <c r="Q9" s="9">
        <v>-18000</v>
      </c>
      <c r="R9" s="9">
        <v>-1000</v>
      </c>
      <c r="S9" s="48">
        <v>0</v>
      </c>
      <c r="T9" s="21">
        <f t="shared" si="4"/>
        <v>24800</v>
      </c>
      <c r="U9" s="53">
        <f>IF($J9="","",ROUND(($J9-$J$3)/1000,1)+(_xlfn.RANK.AVG($J9,($J9,$O9,$T9),1)-2)*20)</f>
        <v>55.7</v>
      </c>
      <c r="V9" s="54">
        <f>IF($O9="","",ROUND(($O9-$O$3)/1000,1)+(_xlfn.RANK.AVG($O9,($J9,$O9,$T9),1)-2)*20)</f>
        <v>-45.5</v>
      </c>
      <c r="W9" s="55">
        <f>IF($T9="","",ROUND(($T9-$T$3)/1000,1)+(_xlfn.RANK.AVG($T9,($J9,$O9,$T9),1)-2)*20)</f>
        <v>-10.199999999999999</v>
      </c>
      <c r="Y9" s="8"/>
      <c r="Z9" s="34"/>
      <c r="AA9" s="26"/>
      <c r="AB9" s="26">
        <v>1</v>
      </c>
      <c r="AC9" s="26">
        <v>6</v>
      </c>
      <c r="AD9" s="30" t="s">
        <v>198</v>
      </c>
      <c r="AE9" s="40" t="s">
        <v>98</v>
      </c>
      <c r="AF9" s="41" t="s">
        <v>104</v>
      </c>
      <c r="AG9" s="41" t="s">
        <v>86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8B1682AE-0C8B-4734-B434-EE7F7E33A434}">
      <formula1>$U$2:$W$2</formula1>
    </dataValidation>
    <dataValidation type="list" showInputMessage="1" showErrorMessage="1" sqref="K4:K30 P4:P30 F4:F30" xr:uid="{DE8AE40F-D448-44ED-9A3F-73A543024122}">
      <formula1>"ロン,ツモ,放銃,ツモ支払,流局,チョンボ"</formula1>
    </dataValidation>
    <dataValidation type="list" allowBlank="1" showInputMessage="1" sqref="F1:T1" xr:uid="{BAC67039-805D-4BA2-8625-263702C1DA8C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259E4-C3BD-46F1-A360-B666BEFA8C47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202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 t="s">
        <v>201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201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44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-22</v>
      </c>
      <c r="Y4" s="8"/>
      <c r="Z4" s="34"/>
      <c r="AA4" s="26">
        <v>1</v>
      </c>
      <c r="AB4" s="26"/>
      <c r="AC4" s="26">
        <v>8</v>
      </c>
      <c r="AD4" s="30" t="s">
        <v>198</v>
      </c>
      <c r="AE4" s="40" t="s">
        <v>199</v>
      </c>
      <c r="AF4" s="41" t="s">
        <v>82</v>
      </c>
      <c r="AG4" s="41" t="s">
        <v>104</v>
      </c>
      <c r="AH4" s="41" t="s">
        <v>86</v>
      </c>
      <c r="AI4" s="41" t="s">
        <v>80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201</v>
      </c>
      <c r="G5" s="9">
        <v>-7500</v>
      </c>
      <c r="H5" s="9"/>
      <c r="I5" s="48">
        <v>-500</v>
      </c>
      <c r="J5" s="21">
        <f t="shared" ref="J5:J30" si="2">IF(COUNTA($F5,$K5,$P5)&gt;0,J4+SUM(G5:I5),"")</f>
        <v>51000</v>
      </c>
      <c r="K5" s="8" t="s">
        <v>202</v>
      </c>
      <c r="L5" s="9">
        <v>12000</v>
      </c>
      <c r="M5" s="9"/>
      <c r="N5" s="48">
        <v>1000</v>
      </c>
      <c r="O5" s="21">
        <f t="shared" ref="O5:O30" si="3">IF(COUNTA($F5,$K5,$P5)&gt;0,O4+SUM(L5:N5),"")</f>
        <v>36000</v>
      </c>
      <c r="P5" s="8" t="s">
        <v>201</v>
      </c>
      <c r="Q5" s="9">
        <v>-4500</v>
      </c>
      <c r="R5" s="9"/>
      <c r="S5" s="48">
        <v>-500</v>
      </c>
      <c r="T5" s="21">
        <f t="shared" ref="T5:T30" si="4">IF(COUNTA($F5,$K5,$P5)&gt;0,T4+SUM(Q5:S5),"")</f>
        <v>18000</v>
      </c>
      <c r="U5" s="53">
        <f>IF($J5="","",ROUND(($J5-$J$3)/1000,1)+(_xlfn.RANK.AVG($J5,($J5,$O5,$T5),1)-2)*20)</f>
        <v>36</v>
      </c>
      <c r="V5" s="54">
        <f>IF($O5="","",ROUND(($O5-$O$3)/1000,1)+(_xlfn.RANK.AVG($O5,($J5,$O5,$T5),1)-2)*20)</f>
        <v>1</v>
      </c>
      <c r="W5" s="55">
        <f>IF($T5="","",ROUND(($T5-$T$3)/1000,1)+(_xlfn.RANK.AVG($T5,($J5,$O5,$T5),1)-2)*20)</f>
        <v>-37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198</v>
      </c>
      <c r="AZ5" s="40" t="s">
        <v>199</v>
      </c>
      <c r="BA5" s="41" t="s">
        <v>82</v>
      </c>
      <c r="BB5" s="41" t="s">
        <v>84</v>
      </c>
      <c r="BC5" s="41" t="s">
        <v>203</v>
      </c>
      <c r="BD5" s="41" t="s">
        <v>79</v>
      </c>
      <c r="BE5" s="41" t="s">
        <v>79</v>
      </c>
      <c r="BF5" s="41" t="s">
        <v>79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ぱぱ</v>
      </c>
      <c r="F6" s="8" t="s">
        <v>197</v>
      </c>
      <c r="G6" s="9">
        <v>2600</v>
      </c>
      <c r="H6" s="9">
        <v>1000</v>
      </c>
      <c r="I6" s="48">
        <v>0</v>
      </c>
      <c r="J6" s="21">
        <f t="shared" si="2"/>
        <v>54600</v>
      </c>
      <c r="K6" s="8"/>
      <c r="L6" s="9"/>
      <c r="M6" s="9"/>
      <c r="N6" s="48"/>
      <c r="O6" s="21">
        <f t="shared" si="3"/>
        <v>36000</v>
      </c>
      <c r="P6" s="8" t="s">
        <v>196</v>
      </c>
      <c r="Q6" s="9">
        <v>-2600</v>
      </c>
      <c r="R6" s="9">
        <v>-1000</v>
      </c>
      <c r="S6" s="48">
        <v>0</v>
      </c>
      <c r="T6" s="21">
        <f t="shared" si="4"/>
        <v>14400</v>
      </c>
      <c r="U6" s="53">
        <f>IF($J6="","",ROUND(($J6-$J$3)/1000,1)+(_xlfn.RANK.AVG($J6,($J6,$O6,$T6),1)-2)*20)</f>
        <v>39.6</v>
      </c>
      <c r="V6" s="54">
        <f>IF($O6="","",ROUND(($O6-$O$3)/1000,1)+(_xlfn.RANK.AVG($O6,($J6,$O6,$T6),1)-2)*20)</f>
        <v>1</v>
      </c>
      <c r="W6" s="55">
        <f>IF($T6="","",ROUND(($T6-$T$3)/1000,1)+(_xlfn.RANK.AVG($T6,($J6,$O6,$T6),1)-2)*20)</f>
        <v>-40.6</v>
      </c>
      <c r="Y6" s="8"/>
      <c r="Z6" s="34"/>
      <c r="AA6" s="26"/>
      <c r="AB6" s="26"/>
      <c r="AC6" s="26">
        <v>2</v>
      </c>
      <c r="AD6" s="30">
        <v>40</v>
      </c>
      <c r="AE6" s="40" t="s">
        <v>84</v>
      </c>
      <c r="AF6" s="41" t="s">
        <v>203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202</v>
      </c>
      <c r="G7" s="9">
        <v>8000</v>
      </c>
      <c r="H7" s="9">
        <v>1000</v>
      </c>
      <c r="I7" s="48">
        <v>0</v>
      </c>
      <c r="J7" s="21">
        <f t="shared" si="2"/>
        <v>63600</v>
      </c>
      <c r="K7" s="8" t="s">
        <v>201</v>
      </c>
      <c r="L7" s="9">
        <v>-3000</v>
      </c>
      <c r="M7" s="9"/>
      <c r="N7" s="48">
        <v>0</v>
      </c>
      <c r="O7" s="21">
        <f t="shared" si="3"/>
        <v>33000</v>
      </c>
      <c r="P7" s="8" t="s">
        <v>201</v>
      </c>
      <c r="Q7" s="9">
        <v>-5000</v>
      </c>
      <c r="R7" s="9">
        <v>-1000</v>
      </c>
      <c r="S7" s="48">
        <v>0</v>
      </c>
      <c r="T7" s="21">
        <f t="shared" si="4"/>
        <v>8400</v>
      </c>
      <c r="U7" s="53">
        <f>IF($J7="","",ROUND(($J7-$J$3)/1000,1)+(_xlfn.RANK.AVG($J7,($J7,$O7,$T7),1)-2)*20)</f>
        <v>48.6</v>
      </c>
      <c r="V7" s="54">
        <f>IF($O7="","",ROUND(($O7-$O$3)/1000,1)+(_xlfn.RANK.AVG($O7,($J7,$O7,$T7),1)-2)*20)</f>
        <v>-2</v>
      </c>
      <c r="W7" s="55">
        <f>IF($T7="","",ROUND(($T7-$T$3)/1000,1)+(_xlfn.RANK.AVG($T7,($J7,$O7,$T7),1)-2)*20)</f>
        <v>-46.6</v>
      </c>
      <c r="Y7" s="8"/>
      <c r="Z7" s="34"/>
      <c r="AA7" s="26"/>
      <c r="AB7" s="26">
        <v>1</v>
      </c>
      <c r="AC7" s="26">
        <v>5</v>
      </c>
      <c r="AD7" s="30" t="s">
        <v>198</v>
      </c>
      <c r="AE7" s="40" t="s">
        <v>104</v>
      </c>
      <c r="AF7" s="41" t="s">
        <v>79</v>
      </c>
      <c r="AG7" s="41" t="s">
        <v>203</v>
      </c>
      <c r="AH7" s="41" t="s">
        <v>86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63600</v>
      </c>
      <c r="K8" s="8" t="s">
        <v>197</v>
      </c>
      <c r="L8" s="9">
        <v>5200</v>
      </c>
      <c r="M8" s="9"/>
      <c r="N8" s="48">
        <v>0</v>
      </c>
      <c r="O8" s="21">
        <f t="shared" si="3"/>
        <v>38200</v>
      </c>
      <c r="P8" s="8" t="s">
        <v>196</v>
      </c>
      <c r="Q8" s="9">
        <v>-5200</v>
      </c>
      <c r="R8" s="9"/>
      <c r="S8" s="48">
        <v>0</v>
      </c>
      <c r="T8" s="21">
        <f t="shared" si="4"/>
        <v>3200</v>
      </c>
      <c r="U8" s="53">
        <f>IF($J8="","",ROUND(($J8-$J$3)/1000,1)+(_xlfn.RANK.AVG($J8,($J8,$O8,$T8),1)-2)*20)</f>
        <v>48.6</v>
      </c>
      <c r="V8" s="54">
        <f>IF($O8="","",ROUND(($O8-$O$3)/1000,1)+(_xlfn.RANK.AVG($O8,($J8,$O8,$T8),1)-2)*20)</f>
        <v>3.2</v>
      </c>
      <c r="W8" s="55">
        <f>IF($T8="","",ROUND(($T8-$T$3)/1000,1)+(_xlfn.RANK.AVG($T8,($J8,$O8,$T8),1)-2)*20)</f>
        <v>-51.8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40</v>
      </c>
      <c r="AZ8" s="40" t="s">
        <v>199</v>
      </c>
      <c r="BA8" s="41" t="s">
        <v>79</v>
      </c>
      <c r="BB8" s="41" t="s">
        <v>203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ぱぱ</v>
      </c>
      <c r="F9" s="8" t="s">
        <v>201</v>
      </c>
      <c r="G9" s="9">
        <v>-6000</v>
      </c>
      <c r="H9" s="9"/>
      <c r="I9" s="48">
        <v>0</v>
      </c>
      <c r="J9" s="21">
        <f t="shared" si="2"/>
        <v>57600</v>
      </c>
      <c r="K9" s="8" t="s">
        <v>201</v>
      </c>
      <c r="L9" s="9">
        <v>-10000</v>
      </c>
      <c r="M9" s="9"/>
      <c r="N9" s="48">
        <v>0</v>
      </c>
      <c r="O9" s="21">
        <f t="shared" si="3"/>
        <v>28200</v>
      </c>
      <c r="P9" s="8" t="s">
        <v>202</v>
      </c>
      <c r="Q9" s="9">
        <v>16000</v>
      </c>
      <c r="R9" s="9"/>
      <c r="S9" s="48">
        <v>0</v>
      </c>
      <c r="T9" s="21">
        <f t="shared" si="4"/>
        <v>19200</v>
      </c>
      <c r="U9" s="53">
        <f>IF($J9="","",ROUND(($J9-$J$3)/1000,1)+(_xlfn.RANK.AVG($J9,($J9,$O9,$T9),1)-2)*20)</f>
        <v>42.6</v>
      </c>
      <c r="V9" s="54">
        <f>IF($O9="","",ROUND(($O9-$O$3)/1000,1)+(_xlfn.RANK.AVG($O9,($J9,$O9,$T9),1)-2)*20)</f>
        <v>-6.8</v>
      </c>
      <c r="W9" s="55">
        <f>IF($T9="","",ROUND(($T9-$T$3)/1000,1)+(_xlfn.RANK.AVG($T9,($J9,$O9,$T9),1)-2)*20)</f>
        <v>-35.799999999999997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8</v>
      </c>
      <c r="BT9" s="30" t="s">
        <v>198</v>
      </c>
      <c r="BU9" s="40" t="s">
        <v>82</v>
      </c>
      <c r="BV9" s="41" t="s">
        <v>104</v>
      </c>
      <c r="BW9" s="41" t="s">
        <v>203</v>
      </c>
      <c r="BX9" s="41" t="s">
        <v>86</v>
      </c>
      <c r="BY9" s="41" t="s">
        <v>96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201</v>
      </c>
      <c r="G10" s="9">
        <v>-6000</v>
      </c>
      <c r="H10" s="9"/>
      <c r="I10" s="48">
        <v>0</v>
      </c>
      <c r="J10" s="21">
        <f t="shared" si="2"/>
        <v>51600</v>
      </c>
      <c r="K10" s="8" t="s">
        <v>201</v>
      </c>
      <c r="L10" s="9">
        <v>-6000</v>
      </c>
      <c r="M10" s="9"/>
      <c r="N10" s="48">
        <v>0</v>
      </c>
      <c r="O10" s="21">
        <f t="shared" si="3"/>
        <v>22200</v>
      </c>
      <c r="P10" s="8" t="s">
        <v>202</v>
      </c>
      <c r="Q10" s="9">
        <v>12000</v>
      </c>
      <c r="R10" s="9"/>
      <c r="S10" s="48">
        <v>0</v>
      </c>
      <c r="T10" s="21">
        <f t="shared" si="4"/>
        <v>31200</v>
      </c>
      <c r="U10" s="53">
        <f>IF($J10="","",ROUND(($J10-$J$3)/1000,1)+(_xlfn.RANK.AVG($J10,($J10,$O10,$T10),1)-2)*20)</f>
        <v>36.6</v>
      </c>
      <c r="V10" s="54">
        <f>IF($O10="","",ROUND(($O10-$O$3)/1000,1)+(_xlfn.RANK.AVG($O10,($J10,$O10,$T10),1)-2)*20)</f>
        <v>-32.799999999999997</v>
      </c>
      <c r="W10" s="55">
        <f>IF($T10="","",ROUND(($T10-$T$3)/1000,1)+(_xlfn.RANK.AVG($T10,($J10,$O10,$T10),1)-2)*20)</f>
        <v>-3.8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198</v>
      </c>
      <c r="BU10" s="40" t="s">
        <v>199</v>
      </c>
      <c r="BV10" s="41" t="s">
        <v>82</v>
      </c>
      <c r="BW10" s="41" t="s">
        <v>84</v>
      </c>
      <c r="BX10" s="41" t="s">
        <v>80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れんたろう</v>
      </c>
      <c r="F11" s="8" t="s">
        <v>196</v>
      </c>
      <c r="G11" s="9">
        <v>-11600</v>
      </c>
      <c r="H11" s="9"/>
      <c r="I11" s="48">
        <v>-1000</v>
      </c>
      <c r="J11" s="21">
        <f t="shared" si="2"/>
        <v>39000</v>
      </c>
      <c r="K11" s="8"/>
      <c r="L11" s="9"/>
      <c r="M11" s="9"/>
      <c r="N11" s="48"/>
      <c r="O11" s="21">
        <f t="shared" si="3"/>
        <v>22200</v>
      </c>
      <c r="P11" s="8" t="s">
        <v>197</v>
      </c>
      <c r="Q11" s="9">
        <v>11600</v>
      </c>
      <c r="R11" s="9"/>
      <c r="S11" s="48">
        <v>1000</v>
      </c>
      <c r="T11" s="21">
        <f t="shared" si="4"/>
        <v>43800</v>
      </c>
      <c r="U11" s="53">
        <f>IF($J11="","",ROUND(($J11-$J$3)/1000,1)+(_xlfn.RANK.AVG($J11,($J11,$O11,$T11),1)-2)*20)</f>
        <v>4</v>
      </c>
      <c r="V11" s="54">
        <f>IF($O11="","",ROUND(($O11-$O$3)/1000,1)+(_xlfn.RANK.AVG($O11,($J11,$O11,$T11),1)-2)*20)</f>
        <v>-32.799999999999997</v>
      </c>
      <c r="W11" s="55">
        <f>IF($T11="","",ROUND(($T11-$T$3)/1000,1)+(_xlfn.RANK.AVG($T11,($J11,$O11,$T11),1)-2)*20)</f>
        <v>28.8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199</v>
      </c>
      <c r="BV11" s="41" t="s">
        <v>83</v>
      </c>
      <c r="BW11" s="41" t="s">
        <v>203</v>
      </c>
      <c r="BX11" s="41" t="s">
        <v>84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CBFAC1EC-ED3E-45E8-AA48-B0CC10FF1144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68AA56AB-58BC-43CE-BB33-13A2C6BCB1A6}">
      <formula1>"ロン,ツモ,放銃,ツモ支払,流局,チョンボ"</formula1>
    </dataValidation>
    <dataValidation type="list" allowBlank="1" showInputMessage="1" showErrorMessage="1" sqref="E4:E30" xr:uid="{AED6D5C5-95FD-4B64-8F0F-590E6826A23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D6381-786C-487D-B908-4FD42BDF3247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196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198</v>
      </c>
      <c r="AZ4" s="40" t="s">
        <v>199</v>
      </c>
      <c r="BA4" s="41" t="s">
        <v>86</v>
      </c>
      <c r="BB4" s="41" t="s">
        <v>79</v>
      </c>
      <c r="BC4" s="41" t="s">
        <v>79</v>
      </c>
      <c r="BD4" s="41" t="s">
        <v>203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ぱぱ</v>
      </c>
      <c r="F5" s="8" t="s">
        <v>196</v>
      </c>
      <c r="G5" s="9">
        <v>-1300</v>
      </c>
      <c r="H5" s="9">
        <v>-1000</v>
      </c>
      <c r="I5" s="48">
        <v>0</v>
      </c>
      <c r="J5" s="21">
        <f t="shared" ref="J5:J30" si="2">IF(COUNTA($F5,$K5,$P5)&gt;0,J4+SUM(G5:I5),"")</f>
        <v>32700</v>
      </c>
      <c r="K5" s="8"/>
      <c r="L5" s="9"/>
      <c r="M5" s="9"/>
      <c r="N5" s="48"/>
      <c r="O5" s="21">
        <f t="shared" ref="O5:O30" si="3">IF(COUNTA($F5,$K5,$P5)&gt;0,O4+SUM(L5:N5),"")</f>
        <v>43000</v>
      </c>
      <c r="P5" s="8" t="s">
        <v>197</v>
      </c>
      <c r="Q5" s="9">
        <v>1300</v>
      </c>
      <c r="R5" s="9">
        <v>1000</v>
      </c>
      <c r="S5" s="48">
        <v>0</v>
      </c>
      <c r="T5" s="21">
        <f t="shared" ref="T5:T30" si="4">IF(COUNTA($F5,$K5,$P5)&gt;0,T4+SUM(Q5:S5),"")</f>
        <v>29300</v>
      </c>
      <c r="U5" s="53">
        <f>IF($J5="","",ROUND(($J5-$J$3)/1000,1)+(_xlfn.RANK.AVG($J5,($J5,$O5,$T5),1)-2)*20)</f>
        <v>-2.2999999999999998</v>
      </c>
      <c r="V5" s="54">
        <f>IF($O5="","",ROUND(($O5-$O$3)/1000,1)+(_xlfn.RANK.AVG($O5,($J5,$O5,$T5),1)-2)*20)</f>
        <v>28</v>
      </c>
      <c r="W5" s="55">
        <f>IF($T5="","",ROUND(($T5-$T$3)/1000,1)+(_xlfn.RANK.AVG($T5,($J5,$O5,$T5),1)-2)*20)</f>
        <v>-25.7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</v>
      </c>
      <c r="BT5" s="30">
        <v>40</v>
      </c>
      <c r="BU5" s="40" t="s">
        <v>199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/>
      <c r="G6" s="9"/>
      <c r="H6" s="9"/>
      <c r="I6" s="48"/>
      <c r="J6" s="21">
        <f t="shared" si="2"/>
        <v>32700</v>
      </c>
      <c r="K6" s="8" t="s">
        <v>197</v>
      </c>
      <c r="L6" s="9">
        <v>12000</v>
      </c>
      <c r="M6" s="9">
        <v>1000</v>
      </c>
      <c r="N6" s="48">
        <v>0</v>
      </c>
      <c r="O6" s="21">
        <f t="shared" si="3"/>
        <v>56000</v>
      </c>
      <c r="P6" s="8" t="s">
        <v>196</v>
      </c>
      <c r="Q6" s="9">
        <v>-12000</v>
      </c>
      <c r="R6" s="9">
        <v>-1000</v>
      </c>
      <c r="S6" s="48">
        <v>0</v>
      </c>
      <c r="T6" s="21">
        <f t="shared" si="4"/>
        <v>16300</v>
      </c>
      <c r="U6" s="53">
        <f>IF($J6="","",ROUND(($J6-$J$3)/1000,1)+(_xlfn.RANK.AVG($J6,($J6,$O6,$T6),1)-2)*20)</f>
        <v>-2.2999999999999998</v>
      </c>
      <c r="V6" s="54">
        <f>IF($O6="","",ROUND(($O6-$O$3)/1000,1)+(_xlfn.RANK.AVG($O6,($J6,$O6,$T6),1)-2)*20)</f>
        <v>41</v>
      </c>
      <c r="W6" s="55">
        <f>IF($T6="","",ROUND(($T6-$T$3)/1000,1)+(_xlfn.RANK.AVG($T6,($J6,$O6,$T6),1)-2)*20)</f>
        <v>-38.700000000000003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198</v>
      </c>
      <c r="AZ6" s="40" t="s">
        <v>106</v>
      </c>
      <c r="BA6" s="41" t="s">
        <v>199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205</v>
      </c>
      <c r="G7" s="9">
        <v>1500</v>
      </c>
      <c r="H7" s="9"/>
      <c r="I7" s="48"/>
      <c r="J7" s="21">
        <f t="shared" si="2"/>
        <v>34200</v>
      </c>
      <c r="K7" s="8" t="s">
        <v>205</v>
      </c>
      <c r="L7" s="9">
        <v>-3000</v>
      </c>
      <c r="M7" s="9"/>
      <c r="N7" s="48"/>
      <c r="O7" s="21">
        <f t="shared" si="3"/>
        <v>53000</v>
      </c>
      <c r="P7" s="8" t="s">
        <v>205</v>
      </c>
      <c r="Q7" s="9">
        <v>1500</v>
      </c>
      <c r="R7" s="9">
        <v>-1000</v>
      </c>
      <c r="S7" s="48"/>
      <c r="T7" s="21">
        <f t="shared" si="4"/>
        <v>16800</v>
      </c>
      <c r="U7" s="53">
        <f>IF($J7="","",ROUND(($J7-$J$3)/1000,1)+(_xlfn.RANK.AVG($J7,($J7,$O7,$T7),1)-2)*20)</f>
        <v>-0.8</v>
      </c>
      <c r="V7" s="54">
        <f>IF($O7="","",ROUND(($O7-$O$3)/1000,1)+(_xlfn.RANK.AVG($O7,($J7,$O7,$T7),1)-2)*20)</f>
        <v>38</v>
      </c>
      <c r="W7" s="55">
        <f>IF($T7="","",ROUND(($T7-$T$3)/1000,1)+(_xlfn.RANK.AVG($T7,($J7,$O7,$T7),1)-2)*20)</f>
        <v>-38.200000000000003</v>
      </c>
      <c r="Y7" s="8" t="s">
        <v>206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34200</v>
      </c>
      <c r="K8" s="8" t="s">
        <v>196</v>
      </c>
      <c r="L8" s="9">
        <v>-16000</v>
      </c>
      <c r="M8" s="9"/>
      <c r="N8" s="48">
        <v>-1000</v>
      </c>
      <c r="O8" s="21">
        <f t="shared" si="3"/>
        <v>36000</v>
      </c>
      <c r="P8" s="8" t="s">
        <v>197</v>
      </c>
      <c r="Q8" s="9">
        <v>16000</v>
      </c>
      <c r="R8" s="9">
        <v>1000</v>
      </c>
      <c r="S8" s="48">
        <v>1000</v>
      </c>
      <c r="T8" s="21">
        <f t="shared" si="4"/>
        <v>34800</v>
      </c>
      <c r="U8" s="53">
        <f>IF($J8="","",ROUND(($J8-$J$3)/1000,1)+(_xlfn.RANK.AVG($J8,($J8,$O8,$T8),1)-2)*20)</f>
        <v>-20.8</v>
      </c>
      <c r="V8" s="54">
        <f>IF($O8="","",ROUND(($O8-$O$3)/1000,1)+(_xlfn.RANK.AVG($O8,($J8,$O8,$T8),1)-2)*20)</f>
        <v>21</v>
      </c>
      <c r="W8" s="55">
        <f>IF($T8="","",ROUND(($T8-$T$3)/1000,1)+(_xlfn.RANK.AVG($T8,($J8,$O8,$T8),1)-2)*20)</f>
        <v>-0.2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8</v>
      </c>
      <c r="BT8" s="30" t="s">
        <v>198</v>
      </c>
      <c r="BU8" s="40" t="s">
        <v>199</v>
      </c>
      <c r="BV8" s="41" t="s">
        <v>104</v>
      </c>
      <c r="BW8" s="41" t="s">
        <v>86</v>
      </c>
      <c r="BX8" s="41" t="s">
        <v>203</v>
      </c>
      <c r="BY8" s="41" t="s">
        <v>79</v>
      </c>
      <c r="BZ8" s="41" t="s">
        <v>79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ぱぱ</v>
      </c>
      <c r="F9" s="8" t="s">
        <v>202</v>
      </c>
      <c r="G9" s="9">
        <v>16000</v>
      </c>
      <c r="H9" s="9"/>
      <c r="I9" s="48">
        <v>0</v>
      </c>
      <c r="J9" s="21">
        <f t="shared" si="2"/>
        <v>50200</v>
      </c>
      <c r="K9" s="8" t="s">
        <v>201</v>
      </c>
      <c r="L9" s="9">
        <v>-10000</v>
      </c>
      <c r="M9" s="9"/>
      <c r="N9" s="48">
        <v>0</v>
      </c>
      <c r="O9" s="21">
        <f t="shared" si="3"/>
        <v>26000</v>
      </c>
      <c r="P9" s="8" t="s">
        <v>201</v>
      </c>
      <c r="Q9" s="9">
        <v>-6000</v>
      </c>
      <c r="R9" s="9"/>
      <c r="S9" s="48">
        <v>0</v>
      </c>
      <c r="T9" s="21">
        <f t="shared" si="4"/>
        <v>28800</v>
      </c>
      <c r="U9" s="53">
        <f>IF($J9="","",ROUND(($J9-$J$3)/1000,1)+(_xlfn.RANK.AVG($J9,($J9,$O9,$T9),1)-2)*20)</f>
        <v>35.200000000000003</v>
      </c>
      <c r="V9" s="54">
        <f>IF($O9="","",ROUND(($O9-$O$3)/1000,1)+(_xlfn.RANK.AVG($O9,($J9,$O9,$T9),1)-2)*20)</f>
        <v>-29</v>
      </c>
      <c r="W9" s="55">
        <f>IF($T9="","",ROUND(($T9-$T$3)/1000,1)+(_xlfn.RANK.AVG($T9,($J9,$O9,$T9),1)-2)*20)</f>
        <v>-6.2</v>
      </c>
      <c r="Y9" s="8"/>
      <c r="Z9" s="34"/>
      <c r="AA9" s="26">
        <v>1</v>
      </c>
      <c r="AB9" s="26"/>
      <c r="AC9" s="26">
        <v>10</v>
      </c>
      <c r="AD9" s="30" t="s">
        <v>198</v>
      </c>
      <c r="AE9" s="40" t="s">
        <v>199</v>
      </c>
      <c r="AF9" s="41" t="s">
        <v>82</v>
      </c>
      <c r="AG9" s="41" t="s">
        <v>200</v>
      </c>
      <c r="AH9" s="41" t="s">
        <v>104</v>
      </c>
      <c r="AI9" s="41" t="s">
        <v>79</v>
      </c>
      <c r="AJ9" s="41" t="s">
        <v>79</v>
      </c>
      <c r="AK9" s="41" t="s">
        <v>79</v>
      </c>
      <c r="AL9" s="41" t="s">
        <v>79</v>
      </c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197</v>
      </c>
      <c r="G10" s="9">
        <v>1600</v>
      </c>
      <c r="H10" s="9"/>
      <c r="I10" s="48">
        <v>0</v>
      </c>
      <c r="J10" s="21">
        <f t="shared" si="2"/>
        <v>51800</v>
      </c>
      <c r="K10" s="8" t="s">
        <v>196</v>
      </c>
      <c r="L10" s="9">
        <v>-1600</v>
      </c>
      <c r="M10" s="9"/>
      <c r="N10" s="48">
        <v>0</v>
      </c>
      <c r="O10" s="21">
        <f t="shared" si="3"/>
        <v>24400</v>
      </c>
      <c r="P10" s="8"/>
      <c r="Q10" s="9"/>
      <c r="R10" s="9"/>
      <c r="S10" s="48"/>
      <c r="T10" s="21">
        <f t="shared" si="4"/>
        <v>28800</v>
      </c>
      <c r="U10" s="53">
        <f>IF($J10="","",ROUND(($J10-$J$3)/1000,1)+(_xlfn.RANK.AVG($J10,($J10,$O10,$T10),1)-2)*20)</f>
        <v>36.799999999999997</v>
      </c>
      <c r="V10" s="54">
        <f>IF($O10="","",ROUND(($O10-$O$3)/1000,1)+(_xlfn.RANK.AVG($O10,($J10,$O10,$T10),1)-2)*20)</f>
        <v>-30.6</v>
      </c>
      <c r="W10" s="55">
        <f>IF($T10="","",ROUND(($T10-$T$3)/1000,1)+(_xlfn.RANK.AVG($T10,($J10,$O10,$T10),1)-2)*20)</f>
        <v>-6.2</v>
      </c>
      <c r="Y10" s="8"/>
      <c r="Z10" s="34"/>
      <c r="AA10" s="26"/>
      <c r="AB10" s="26"/>
      <c r="AC10" s="26">
        <v>2</v>
      </c>
      <c r="AD10" s="30">
        <v>25</v>
      </c>
      <c r="AE10" s="40" t="s">
        <v>101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985560FD-067F-47AF-B670-243673C9F4B4}">
      <formula1>$U$2:$W$2</formula1>
    </dataValidation>
    <dataValidation type="list" showInputMessage="1" showErrorMessage="1" sqref="K4:K30 P4:P30 F4:F30" xr:uid="{30739A73-3783-4EFA-A69D-F8752B37AAF6}">
      <formula1>"ロン,ツモ,放銃,ツモ支払,流局,チョンボ"</formula1>
    </dataValidation>
    <dataValidation type="list" allowBlank="1" showInputMessage="1" sqref="F1:T1" xr:uid="{3E52C1FE-8CFF-4572-813B-F3CB700D6BD9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4DFE5-3350-41F5-BE75-D80F9D834BCB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 t="s">
        <v>196</v>
      </c>
      <c r="Q4" s="9">
        <v>-2600</v>
      </c>
      <c r="R4" s="9"/>
      <c r="S4" s="48">
        <v>0</v>
      </c>
      <c r="T4" s="21">
        <f>IF(COUNTA($F4,$K4,$P4)&gt;0,T3+SUM(Q4:S4),"")</f>
        <v>32400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22.6</v>
      </c>
      <c r="W4" s="55">
        <f>IF($T4="","",ROUND(($T4-$T$3)/1000,1)+(_xlfn.RANK.AVG($T4,($J4,$O4,$T4),1)-2)*20)</f>
        <v>-22.6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40</v>
      </c>
      <c r="AZ4" s="40" t="s">
        <v>88</v>
      </c>
      <c r="BA4" s="41" t="s">
        <v>79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202</v>
      </c>
      <c r="G5" s="9">
        <v>24000</v>
      </c>
      <c r="H5" s="9"/>
      <c r="I5" s="48">
        <v>0</v>
      </c>
      <c r="J5" s="21">
        <f t="shared" ref="J5:J30" si="2">IF(COUNTA($F5,$K5,$P5)&gt;0,J4+SUM(G5:I5),"")</f>
        <v>59000</v>
      </c>
      <c r="K5" s="8" t="s">
        <v>201</v>
      </c>
      <c r="L5" s="9">
        <v>-12000</v>
      </c>
      <c r="M5" s="9"/>
      <c r="N5" s="48">
        <v>0</v>
      </c>
      <c r="O5" s="21">
        <f t="shared" ref="O5:O30" si="3">IF(COUNTA($F5,$K5,$P5)&gt;0,O4+SUM(L5:N5),"")</f>
        <v>25600</v>
      </c>
      <c r="P5" s="8" t="s">
        <v>201</v>
      </c>
      <c r="Q5" s="9">
        <v>-12000</v>
      </c>
      <c r="R5" s="9"/>
      <c r="S5" s="48">
        <v>0</v>
      </c>
      <c r="T5" s="21">
        <f t="shared" ref="T5:T30" si="4">IF(COUNTA($F5,$K5,$P5)&gt;0,T4+SUM(Q5:S5),"")</f>
        <v>20400</v>
      </c>
      <c r="U5" s="53">
        <f>IF($J5="","",ROUND(($J5-$J$3)/1000,1)+(_xlfn.RANK.AVG($J5,($J5,$O5,$T5),1)-2)*20)</f>
        <v>44</v>
      </c>
      <c r="V5" s="54">
        <f>IF($O5="","",ROUND(($O5-$O$3)/1000,1)+(_xlfn.RANK.AVG($O5,($J5,$O5,$T5),1)-2)*20)</f>
        <v>-9.4</v>
      </c>
      <c r="W5" s="55">
        <f>IF($T5="","",ROUND(($T5-$T$3)/1000,1)+(_xlfn.RANK.AVG($T5,($J5,$O5,$T5),1)-2)*20)</f>
        <v>-34.6</v>
      </c>
      <c r="Y5" s="8"/>
      <c r="Z5" s="34"/>
      <c r="AA5" s="26">
        <v>1</v>
      </c>
      <c r="AB5" s="26"/>
      <c r="AC5" s="26">
        <v>8</v>
      </c>
      <c r="AD5" s="30" t="s">
        <v>198</v>
      </c>
      <c r="AE5" s="40" t="s">
        <v>199</v>
      </c>
      <c r="AF5" s="41" t="s">
        <v>82</v>
      </c>
      <c r="AG5" s="41" t="s">
        <v>200</v>
      </c>
      <c r="AH5" s="41" t="s">
        <v>104</v>
      </c>
      <c r="AI5" s="41" t="s">
        <v>86</v>
      </c>
      <c r="AJ5" s="41" t="s">
        <v>84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だいち</v>
      </c>
      <c r="F6" s="8"/>
      <c r="G6" s="9"/>
      <c r="H6" s="9">
        <v>-1000</v>
      </c>
      <c r="I6" s="48"/>
      <c r="J6" s="21">
        <f t="shared" si="2"/>
        <v>58000</v>
      </c>
      <c r="K6" s="8" t="s">
        <v>197</v>
      </c>
      <c r="L6" s="9">
        <v>2600</v>
      </c>
      <c r="M6" s="9">
        <v>1000</v>
      </c>
      <c r="N6" s="48">
        <v>1000</v>
      </c>
      <c r="O6" s="21">
        <f t="shared" si="3"/>
        <v>30200</v>
      </c>
      <c r="P6" s="8" t="s">
        <v>196</v>
      </c>
      <c r="Q6" s="9">
        <v>-2600</v>
      </c>
      <c r="R6" s="9"/>
      <c r="S6" s="48">
        <v>-1000</v>
      </c>
      <c r="T6" s="21">
        <f t="shared" si="4"/>
        <v>16800</v>
      </c>
      <c r="U6" s="53">
        <f>IF($J6="","",ROUND(($J6-$J$3)/1000,1)+(_xlfn.RANK.AVG($J6,($J6,$O6,$T6),1)-2)*20)</f>
        <v>43</v>
      </c>
      <c r="V6" s="54">
        <f>IF($O6="","",ROUND(($O6-$O$3)/1000,1)+(_xlfn.RANK.AVG($O6,($J6,$O6,$T6),1)-2)*20)</f>
        <v>-4.8</v>
      </c>
      <c r="W6" s="55">
        <f>IF($T6="","",ROUND(($T6-$T$3)/1000,1)+(_xlfn.RANK.AVG($T6,($J6,$O6,$T6),1)-2)*20)</f>
        <v>-38.200000000000003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199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ぱぱ</v>
      </c>
      <c r="F7" s="8" t="s">
        <v>202</v>
      </c>
      <c r="G7" s="9">
        <v>8000</v>
      </c>
      <c r="H7" s="9"/>
      <c r="I7" s="48">
        <v>0</v>
      </c>
      <c r="J7" s="21">
        <f t="shared" si="2"/>
        <v>66000</v>
      </c>
      <c r="K7" s="8" t="s">
        <v>201</v>
      </c>
      <c r="L7" s="9">
        <v>-5000</v>
      </c>
      <c r="M7" s="9"/>
      <c r="N7" s="48">
        <v>0</v>
      </c>
      <c r="O7" s="21">
        <f t="shared" si="3"/>
        <v>25200</v>
      </c>
      <c r="P7" s="8" t="s">
        <v>201</v>
      </c>
      <c r="Q7" s="9">
        <v>-3000</v>
      </c>
      <c r="R7" s="9"/>
      <c r="S7" s="48">
        <v>0</v>
      </c>
      <c r="T7" s="21">
        <f t="shared" si="4"/>
        <v>13800</v>
      </c>
      <c r="U7" s="53">
        <f>IF($J7="","",ROUND(($J7-$J$3)/1000,1)+(_xlfn.RANK.AVG($J7,($J7,$O7,$T7),1)-2)*20)</f>
        <v>51</v>
      </c>
      <c r="V7" s="54">
        <f>IF($O7="","",ROUND(($O7-$O$3)/1000,1)+(_xlfn.RANK.AVG($O7,($J7,$O7,$T7),1)-2)*20)</f>
        <v>-9.8000000000000007</v>
      </c>
      <c r="W7" s="55">
        <f>IF($T7="","",ROUND(($T7-$T$3)/1000,1)+(_xlfn.RANK.AVG($T7,($J7,$O7,$T7),1)-2)*20)</f>
        <v>-41.2</v>
      </c>
      <c r="Y7" s="8"/>
      <c r="Z7" s="34"/>
      <c r="AA7" s="26">
        <v>1</v>
      </c>
      <c r="AB7" s="26"/>
      <c r="AC7" s="26">
        <v>5</v>
      </c>
      <c r="AD7" s="30" t="s">
        <v>198</v>
      </c>
      <c r="AE7" s="40" t="s">
        <v>199</v>
      </c>
      <c r="AF7" s="41" t="s">
        <v>82</v>
      </c>
      <c r="AG7" s="41" t="s">
        <v>92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201</v>
      </c>
      <c r="G8" s="9">
        <v>-2000</v>
      </c>
      <c r="H8" s="9">
        <v>-1000</v>
      </c>
      <c r="I8" s="48">
        <v>0</v>
      </c>
      <c r="J8" s="21">
        <f t="shared" si="2"/>
        <v>63000</v>
      </c>
      <c r="K8" s="8" t="s">
        <v>202</v>
      </c>
      <c r="L8" s="9">
        <v>5300</v>
      </c>
      <c r="M8" s="9">
        <v>1000</v>
      </c>
      <c r="N8" s="48">
        <v>0</v>
      </c>
      <c r="O8" s="21">
        <f t="shared" si="3"/>
        <v>31500</v>
      </c>
      <c r="P8" s="8" t="s">
        <v>201</v>
      </c>
      <c r="Q8" s="9">
        <v>-3300</v>
      </c>
      <c r="R8" s="9"/>
      <c r="S8" s="48">
        <v>0</v>
      </c>
      <c r="T8" s="21">
        <f t="shared" si="4"/>
        <v>10500</v>
      </c>
      <c r="U8" s="53">
        <f>IF($J8="","",ROUND(($J8-$J$3)/1000,1)+(_xlfn.RANK.AVG($J8,($J8,$O8,$T8),1)-2)*20)</f>
        <v>48</v>
      </c>
      <c r="V8" s="54">
        <f>IF($O8="","",ROUND(($O8-$O$3)/1000,1)+(_xlfn.RANK.AVG($O8,($J8,$O8,$T8),1)-2)*20)</f>
        <v>-3.5</v>
      </c>
      <c r="W8" s="55">
        <f>IF($T8="","",ROUND(($T8-$T$3)/1000,1)+(_xlfn.RANK.AVG($T8,($J8,$O8,$T8),1)-2)*20)</f>
        <v>-44.5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199</v>
      </c>
      <c r="BA8" s="41" t="s">
        <v>82</v>
      </c>
      <c r="BB8" s="41" t="s">
        <v>200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/>
      <c r="G9" s="9"/>
      <c r="H9" s="9"/>
      <c r="I9" s="48"/>
      <c r="J9" s="21">
        <f t="shared" si="2"/>
        <v>63000</v>
      </c>
      <c r="K9" s="8" t="s">
        <v>197</v>
      </c>
      <c r="L9" s="9">
        <v>6400</v>
      </c>
      <c r="M9" s="9"/>
      <c r="N9" s="48">
        <v>0</v>
      </c>
      <c r="O9" s="21">
        <f t="shared" si="3"/>
        <v>37900</v>
      </c>
      <c r="P9" s="8" t="s">
        <v>196</v>
      </c>
      <c r="Q9" s="9">
        <v>-6400</v>
      </c>
      <c r="R9" s="9"/>
      <c r="S9" s="48">
        <v>0</v>
      </c>
      <c r="T9" s="21">
        <f t="shared" si="4"/>
        <v>4100</v>
      </c>
      <c r="U9" s="53">
        <f>IF($J9="","",ROUND(($J9-$J$3)/1000,1)+(_xlfn.RANK.AVG($J9,($J9,$O9,$T9),1)-2)*20)</f>
        <v>48</v>
      </c>
      <c r="V9" s="54">
        <f>IF($O9="","",ROUND(($O9-$O$3)/1000,1)+(_xlfn.RANK.AVG($O9,($J9,$O9,$T9),1)-2)*20)</f>
        <v>2.9</v>
      </c>
      <c r="W9" s="55">
        <f>IF($T9="","",ROUND(($T9-$T$3)/1000,1)+(_xlfn.RANK.AVG($T9,($J9,$O9,$T9),1)-2)*20)</f>
        <v>-50.9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50</v>
      </c>
      <c r="AZ9" s="40" t="s">
        <v>199</v>
      </c>
      <c r="BA9" s="41" t="s">
        <v>86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ぱぱ</v>
      </c>
      <c r="F10" s="8" t="s">
        <v>197</v>
      </c>
      <c r="G10" s="9">
        <v>8000</v>
      </c>
      <c r="H10" s="9"/>
      <c r="I10" s="48">
        <v>0</v>
      </c>
      <c r="J10" s="21">
        <f t="shared" si="2"/>
        <v>71000</v>
      </c>
      <c r="K10" s="8" t="s">
        <v>196</v>
      </c>
      <c r="L10" s="9">
        <v>-8000</v>
      </c>
      <c r="M10" s="9"/>
      <c r="N10" s="48">
        <v>0</v>
      </c>
      <c r="O10" s="21">
        <f t="shared" si="3"/>
        <v>29900</v>
      </c>
      <c r="P10" s="8"/>
      <c r="Q10" s="9"/>
      <c r="R10" s="9"/>
      <c r="S10" s="48"/>
      <c r="T10" s="21">
        <f t="shared" si="4"/>
        <v>4100</v>
      </c>
      <c r="U10" s="53">
        <f>IF($J10="","",ROUND(($J10-$J$3)/1000,1)+(_xlfn.RANK.AVG($J10,($J10,$O10,$T10),1)-2)*20)</f>
        <v>56</v>
      </c>
      <c r="V10" s="54">
        <f>IF($O10="","",ROUND(($O10-$O$3)/1000,1)+(_xlfn.RANK.AVG($O10,($J10,$O10,$T10),1)-2)*20)</f>
        <v>-5.0999999999999996</v>
      </c>
      <c r="W10" s="55">
        <f>IF($T10="","",ROUND(($T10-$T$3)/1000,1)+(_xlfn.RANK.AVG($T10,($J10,$O10,$T10),1)-2)*20)</f>
        <v>-50.9</v>
      </c>
      <c r="Y10" s="8"/>
      <c r="Z10" s="34"/>
      <c r="AA10" s="26">
        <v>1</v>
      </c>
      <c r="AB10" s="26"/>
      <c r="AC10" s="26">
        <v>5</v>
      </c>
      <c r="AD10" s="30" t="s">
        <v>198</v>
      </c>
      <c r="AE10" s="40" t="s">
        <v>199</v>
      </c>
      <c r="AF10" s="41" t="s">
        <v>200</v>
      </c>
      <c r="AG10" s="41" t="s">
        <v>79</v>
      </c>
      <c r="AH10" s="41" t="s">
        <v>80</v>
      </c>
      <c r="AI10" s="41" t="s">
        <v>203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CCE94305-771B-4680-8C20-DE672CF55AE1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BB99D573-A1B1-44C9-AA99-39880E79B75C}">
      <formula1>"ロン,ツモ,放銃,ツモ支払,流局,チョンボ"</formula1>
    </dataValidation>
    <dataValidation type="list" allowBlank="1" showInputMessage="1" showErrorMessage="1" sqref="E4:E30" xr:uid="{34147F25-438F-4033-9749-7135B69801D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C7C7-3B6D-46FA-A4AF-9FD9C867ABA9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196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-33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5</v>
      </c>
      <c r="AD4" s="30" t="s">
        <v>198</v>
      </c>
      <c r="AE4" s="40" t="s">
        <v>199</v>
      </c>
      <c r="AF4" s="41" t="s">
        <v>83</v>
      </c>
      <c r="AG4" s="41" t="s">
        <v>84</v>
      </c>
      <c r="AH4" s="41" t="s">
        <v>80</v>
      </c>
      <c r="AI4" s="41" t="s">
        <v>203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205</v>
      </c>
      <c r="G5" s="9">
        <v>-1500</v>
      </c>
      <c r="H5" s="9"/>
      <c r="I5" s="48"/>
      <c r="J5" s="21">
        <f t="shared" ref="J5:J30" si="2">IF(COUNTA($F5,$K5,$P5)&gt;0,J4+SUM(G5:I5),"")</f>
        <v>46500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20500</v>
      </c>
      <c r="P5" s="8" t="s">
        <v>205</v>
      </c>
      <c r="Q5" s="9">
        <v>3000</v>
      </c>
      <c r="R5" s="9">
        <v>-1000</v>
      </c>
      <c r="S5" s="48"/>
      <c r="T5" s="21">
        <f t="shared" ref="T5:T30" si="4">IF(COUNTA($F5,$K5,$P5)&gt;0,T4+SUM(Q5:S5),"")</f>
        <v>37000</v>
      </c>
      <c r="U5" s="53">
        <f>IF($J5="","",ROUND(($J5-$J$3)/1000,1)+(_xlfn.RANK.AVG($J5,($J5,$O5,$T5),1)-2)*20)</f>
        <v>31.5</v>
      </c>
      <c r="V5" s="54">
        <f>IF($O5="","",ROUND(($O5-$O$3)/1000,1)+(_xlfn.RANK.AVG($O5,($J5,$O5,$T5),1)-2)*20)</f>
        <v>-34.5</v>
      </c>
      <c r="W5" s="55">
        <f>IF($T5="","",ROUND(($T5-$T$3)/1000,1)+(_xlfn.RANK.AVG($T5,($J5,$O5,$T5),1)-2)*20)</f>
        <v>2</v>
      </c>
      <c r="Y5" s="8" t="s">
        <v>204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IF($K$1="","",$K$1)</f>
        <v>ぱぱ</v>
      </c>
      <c r="F6" s="8" t="s">
        <v>201</v>
      </c>
      <c r="G6" s="9">
        <v>-9000</v>
      </c>
      <c r="H6" s="9"/>
      <c r="I6" s="48">
        <v>-1000</v>
      </c>
      <c r="J6" s="21">
        <f t="shared" si="2"/>
        <v>36500</v>
      </c>
      <c r="K6" s="8" t="s">
        <v>202</v>
      </c>
      <c r="L6" s="9">
        <v>18000</v>
      </c>
      <c r="M6" s="9">
        <v>1000</v>
      </c>
      <c r="N6" s="48">
        <v>2000</v>
      </c>
      <c r="O6" s="21">
        <f t="shared" si="3"/>
        <v>41500</v>
      </c>
      <c r="P6" s="8" t="s">
        <v>201</v>
      </c>
      <c r="Q6" s="9">
        <v>-9000</v>
      </c>
      <c r="R6" s="9"/>
      <c r="S6" s="48">
        <v>-1000</v>
      </c>
      <c r="T6" s="21">
        <f t="shared" si="4"/>
        <v>27000</v>
      </c>
      <c r="U6" s="53">
        <f>IF($J6="","",ROUND(($J6-$J$3)/1000,1)+(_xlfn.RANK.AVG($J6,($J6,$O6,$T6),1)-2)*20)</f>
        <v>1.5</v>
      </c>
      <c r="V6" s="54">
        <f>IF($O6="","",ROUND(($O6-$O$3)/1000,1)+(_xlfn.RANK.AVG($O6,($J6,$O6,$T6),1)-2)*20)</f>
        <v>26.5</v>
      </c>
      <c r="W6" s="55">
        <f>IF($T6="","",ROUND(($T6-$T$3)/1000,1)+(_xlfn.RANK.AVG($T6,($J6,$O6,$T6),1)-2)*20)</f>
        <v>-28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198</v>
      </c>
      <c r="AZ6" s="40" t="s">
        <v>199</v>
      </c>
      <c r="BA6" s="41" t="s">
        <v>82</v>
      </c>
      <c r="BB6" s="41" t="s">
        <v>92</v>
      </c>
      <c r="BC6" s="41" t="s">
        <v>83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ぱぱ</v>
      </c>
      <c r="F7" s="8" t="s">
        <v>196</v>
      </c>
      <c r="G7" s="9">
        <v>-7700</v>
      </c>
      <c r="H7" s="9">
        <v>-1000</v>
      </c>
      <c r="I7" s="48">
        <v>-3000</v>
      </c>
      <c r="J7" s="21">
        <f t="shared" si="2"/>
        <v>24800</v>
      </c>
      <c r="K7" s="8"/>
      <c r="L7" s="9"/>
      <c r="M7" s="9"/>
      <c r="N7" s="48"/>
      <c r="O7" s="21">
        <f t="shared" si="3"/>
        <v>41500</v>
      </c>
      <c r="P7" s="8" t="s">
        <v>197</v>
      </c>
      <c r="Q7" s="9">
        <v>7700</v>
      </c>
      <c r="R7" s="9">
        <v>1000</v>
      </c>
      <c r="S7" s="48">
        <v>3000</v>
      </c>
      <c r="T7" s="21">
        <f t="shared" si="4"/>
        <v>38700</v>
      </c>
      <c r="U7" s="53">
        <f>IF($J7="","",ROUND(($J7-$J$3)/1000,1)+(_xlfn.RANK.AVG($J7,($J7,$O7,$T7),1)-2)*20)</f>
        <v>-30.2</v>
      </c>
      <c r="V7" s="54">
        <f>IF($O7="","",ROUND(($O7-$O$3)/1000,1)+(_xlfn.RANK.AVG($O7,($J7,$O7,$T7),1)-2)*20)</f>
        <v>26.5</v>
      </c>
      <c r="W7" s="55">
        <f>IF($T7="","",ROUND(($T7-$T$3)/1000,1)+(_xlfn.RANK.AVG($T7,($J7,$O7,$T7),1)-2)*20)</f>
        <v>3.7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199</v>
      </c>
      <c r="BV7" s="41" t="s">
        <v>83</v>
      </c>
      <c r="BW7" s="41" t="s">
        <v>84</v>
      </c>
      <c r="BX7" s="41" t="s">
        <v>203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202</v>
      </c>
      <c r="G8" s="9">
        <v>2100</v>
      </c>
      <c r="H8" s="9"/>
      <c r="I8" s="48">
        <v>0</v>
      </c>
      <c r="J8" s="21">
        <f t="shared" si="2"/>
        <v>26900</v>
      </c>
      <c r="K8" s="8" t="s">
        <v>201</v>
      </c>
      <c r="L8" s="9">
        <v>-800</v>
      </c>
      <c r="M8" s="9"/>
      <c r="N8" s="48">
        <v>0</v>
      </c>
      <c r="O8" s="21">
        <f t="shared" si="3"/>
        <v>40700</v>
      </c>
      <c r="P8" s="8" t="s">
        <v>201</v>
      </c>
      <c r="Q8" s="9">
        <v>-1300</v>
      </c>
      <c r="R8" s="9"/>
      <c r="S8" s="48">
        <v>0</v>
      </c>
      <c r="T8" s="21">
        <f t="shared" si="4"/>
        <v>37400</v>
      </c>
      <c r="U8" s="53">
        <f>IF($J8="","",ROUND(($J8-$J$3)/1000,1)+(_xlfn.RANK.AVG($J8,($J8,$O8,$T8),1)-2)*20)</f>
        <v>-28.1</v>
      </c>
      <c r="V8" s="54">
        <f>IF($O8="","",ROUND(($O8-$O$3)/1000,1)+(_xlfn.RANK.AVG($O8,($J8,$O8,$T8),1)-2)*20)</f>
        <v>25.7</v>
      </c>
      <c r="W8" s="55">
        <f>IF($T8="","",ROUND(($T8-$T$3)/1000,1)+(_xlfn.RANK.AVG($T8,($J8,$O8,$T8),1)-2)*20)</f>
        <v>2.4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205</v>
      </c>
      <c r="G9" s="9">
        <v>1500</v>
      </c>
      <c r="H9" s="9"/>
      <c r="I9" s="48"/>
      <c r="J9" s="21">
        <f t="shared" si="2"/>
        <v>28400</v>
      </c>
      <c r="K9" s="8" t="s">
        <v>205</v>
      </c>
      <c r="L9" s="9">
        <v>1500</v>
      </c>
      <c r="M9" s="9">
        <v>-1000</v>
      </c>
      <c r="N9" s="48"/>
      <c r="O9" s="21">
        <f t="shared" si="3"/>
        <v>41200</v>
      </c>
      <c r="P9" s="8" t="s">
        <v>205</v>
      </c>
      <c r="Q9" s="9">
        <v>-3000</v>
      </c>
      <c r="R9" s="9"/>
      <c r="S9" s="48"/>
      <c r="T9" s="21">
        <f t="shared" si="4"/>
        <v>34400</v>
      </c>
      <c r="U9" s="53">
        <f>IF($J9="","",ROUND(($J9-$J$3)/1000,1)+(_xlfn.RANK.AVG($J9,($J9,$O9,$T9),1)-2)*20)</f>
        <v>-26.6</v>
      </c>
      <c r="V9" s="54">
        <f>IF($O9="","",ROUND(($O9-$O$3)/1000,1)+(_xlfn.RANK.AVG($O9,($J9,$O9,$T9),1)-2)*20)</f>
        <v>26.2</v>
      </c>
      <c r="W9" s="55">
        <f>IF($T9="","",ROUND(($T9-$T$3)/1000,1)+(_xlfn.RANK.AVG($T9,($J9,$O9,$T9),1)-2)*20)</f>
        <v>-0.6</v>
      </c>
      <c r="Y9" s="8" t="s">
        <v>206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206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IF($F$1="","",$F$1)</f>
        <v>だいち</v>
      </c>
      <c r="F10" s="8" t="s">
        <v>202</v>
      </c>
      <c r="G10" s="9">
        <v>18000</v>
      </c>
      <c r="H10" s="9">
        <v>2000</v>
      </c>
      <c r="I10" s="48">
        <v>1000</v>
      </c>
      <c r="J10" s="21">
        <f t="shared" si="2"/>
        <v>49400</v>
      </c>
      <c r="K10" s="8" t="s">
        <v>201</v>
      </c>
      <c r="L10" s="9">
        <v>-9000</v>
      </c>
      <c r="M10" s="9">
        <v>-1000</v>
      </c>
      <c r="N10" s="48">
        <v>-500</v>
      </c>
      <c r="O10" s="21">
        <f t="shared" si="3"/>
        <v>30700</v>
      </c>
      <c r="P10" s="8" t="s">
        <v>201</v>
      </c>
      <c r="Q10" s="9">
        <v>-9000</v>
      </c>
      <c r="R10" s="9"/>
      <c r="S10" s="48">
        <v>-500</v>
      </c>
      <c r="T10" s="21">
        <f t="shared" si="4"/>
        <v>24900</v>
      </c>
      <c r="U10" s="53">
        <f>IF($J10="","",ROUND(($J10-$J$3)/1000,1)+(_xlfn.RANK.AVG($J10,($J10,$O10,$T10),1)-2)*20)</f>
        <v>34.4</v>
      </c>
      <c r="V10" s="54">
        <f>IF($O10="","",ROUND(($O10-$O$3)/1000,1)+(_xlfn.RANK.AVG($O10,($J10,$O10,$T10),1)-2)*20)</f>
        <v>-4.3</v>
      </c>
      <c r="W10" s="55">
        <f>IF($T10="","",ROUND(($T10-$T$3)/1000,1)+(_xlfn.RANK.AVG($T10,($J10,$O10,$T10),1)-2)*20)</f>
        <v>-30.1</v>
      </c>
      <c r="Y10" s="8"/>
      <c r="Z10" s="34"/>
      <c r="AA10" s="26">
        <v>1</v>
      </c>
      <c r="AB10" s="26"/>
      <c r="AC10" s="26">
        <v>6</v>
      </c>
      <c r="AD10" s="30" t="s">
        <v>198</v>
      </c>
      <c r="AE10" s="40" t="s">
        <v>199</v>
      </c>
      <c r="AF10" s="41" t="s">
        <v>82</v>
      </c>
      <c r="AG10" s="41" t="s">
        <v>203</v>
      </c>
      <c r="AH10" s="41" t="s">
        <v>203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だいち</v>
      </c>
      <c r="F11" s="8" t="s">
        <v>201</v>
      </c>
      <c r="G11" s="9">
        <v>-3300</v>
      </c>
      <c r="H11" s="9">
        <v>-1000</v>
      </c>
      <c r="I11" s="48">
        <v>-1000</v>
      </c>
      <c r="J11" s="21">
        <f t="shared" si="2"/>
        <v>44100</v>
      </c>
      <c r="K11" s="8" t="s">
        <v>201</v>
      </c>
      <c r="L11" s="9">
        <v>-2000</v>
      </c>
      <c r="M11" s="9">
        <v>-1000</v>
      </c>
      <c r="N11" s="48">
        <v>-1000</v>
      </c>
      <c r="O11" s="21">
        <f t="shared" si="3"/>
        <v>26700</v>
      </c>
      <c r="P11" s="8" t="s">
        <v>202</v>
      </c>
      <c r="Q11" s="9">
        <v>5300</v>
      </c>
      <c r="R11" s="9">
        <v>2000</v>
      </c>
      <c r="S11" s="48">
        <v>2000</v>
      </c>
      <c r="T11" s="21">
        <f t="shared" si="4"/>
        <v>34200</v>
      </c>
      <c r="U11" s="53">
        <f>IF($J11="","",ROUND(($J11-$J$3)/1000,1)+(_xlfn.RANK.AVG($J11,($J11,$O11,$T11),1)-2)*20)</f>
        <v>29.1</v>
      </c>
      <c r="V11" s="54">
        <f>IF($O11="","",ROUND(($O11-$O$3)/1000,1)+(_xlfn.RANK.AVG($O11,($J11,$O11,$T11),1)-2)*20)</f>
        <v>-28.3</v>
      </c>
      <c r="W11" s="55">
        <f>IF($T11="","",ROUND(($T11-$T$3)/1000,1)+(_xlfn.RANK.AVG($T11,($J11,$O11,$T11),1)-2)*20)</f>
        <v>-0.8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40</v>
      </c>
      <c r="BU11" s="40" t="s">
        <v>104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ぱぱ</v>
      </c>
      <c r="F12" s="8" t="s">
        <v>202</v>
      </c>
      <c r="G12" s="9">
        <v>8000</v>
      </c>
      <c r="H12" s="9">
        <v>1000</v>
      </c>
      <c r="I12" s="48">
        <v>0</v>
      </c>
      <c r="J12" s="21">
        <f t="shared" si="2"/>
        <v>53100</v>
      </c>
      <c r="K12" s="8" t="s">
        <v>201</v>
      </c>
      <c r="L12" s="9">
        <v>-5000</v>
      </c>
      <c r="M12" s="9">
        <v>-1000</v>
      </c>
      <c r="N12" s="48">
        <v>0</v>
      </c>
      <c r="O12" s="21">
        <f t="shared" si="3"/>
        <v>20700</v>
      </c>
      <c r="P12" s="8" t="s">
        <v>201</v>
      </c>
      <c r="Q12" s="9">
        <v>-3000</v>
      </c>
      <c r="R12" s="9"/>
      <c r="S12" s="48">
        <v>0</v>
      </c>
      <c r="T12" s="21">
        <f t="shared" si="4"/>
        <v>31200</v>
      </c>
      <c r="U12" s="53">
        <f>IF($J12="","",ROUND(($J12-$J$3)/1000,1)+(_xlfn.RANK.AVG($J12,($J12,$O12,$T12),1)-2)*20)</f>
        <v>38.1</v>
      </c>
      <c r="V12" s="54">
        <f>IF($O12="","",ROUND(($O12-$O$3)/1000,1)+(_xlfn.RANK.AVG($O12,($J12,$O12,$T12),1)-2)*20)</f>
        <v>-34.299999999999997</v>
      </c>
      <c r="W12" s="55">
        <f>IF($T12="","",ROUND(($T12-$T$3)/1000,1)+(_xlfn.RANK.AVG($T12,($J12,$O12,$T12),1)-2)*20)</f>
        <v>-3.8</v>
      </c>
      <c r="Y12" s="8"/>
      <c r="Z12" s="34"/>
      <c r="AA12" s="26"/>
      <c r="AB12" s="26"/>
      <c r="AC12" s="26">
        <v>5</v>
      </c>
      <c r="AD12" s="30" t="s">
        <v>198</v>
      </c>
      <c r="AE12" s="40" t="s">
        <v>105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 t="s">
        <v>196</v>
      </c>
      <c r="G13" s="9">
        <v>-18000</v>
      </c>
      <c r="H13" s="9">
        <v>-1000</v>
      </c>
      <c r="I13" s="48">
        <v>0</v>
      </c>
      <c r="J13" s="21">
        <f t="shared" si="2"/>
        <v>34100</v>
      </c>
      <c r="K13" s="8"/>
      <c r="L13" s="9"/>
      <c r="M13" s="9"/>
      <c r="N13" s="48"/>
      <c r="O13" s="21">
        <f t="shared" si="3"/>
        <v>20700</v>
      </c>
      <c r="P13" s="8" t="s">
        <v>197</v>
      </c>
      <c r="Q13" s="9">
        <v>18000</v>
      </c>
      <c r="R13" s="9">
        <v>1000</v>
      </c>
      <c r="S13" s="48">
        <v>0</v>
      </c>
      <c r="T13" s="21">
        <f t="shared" si="4"/>
        <v>50200</v>
      </c>
      <c r="U13" s="53">
        <f>IF($J13="","",ROUND(($J13-$J$3)/1000,1)+(_xlfn.RANK.AVG($J13,($J13,$O13,$T13),1)-2)*20)</f>
        <v>-0.9</v>
      </c>
      <c r="V13" s="54">
        <f>IF($O13="","",ROUND(($O13-$O$3)/1000,1)+(_xlfn.RANK.AVG($O13,($J13,$O13,$T13),1)-2)*20)</f>
        <v>-34.299999999999997</v>
      </c>
      <c r="W13" s="55">
        <f>IF($T13="","",ROUND(($T13-$T$3)/1000,1)+(_xlfn.RANK.AVG($T13,($J13,$O13,$T13),1)-2)*20)</f>
        <v>35.200000000000003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198</v>
      </c>
      <c r="BU13" s="40" t="s">
        <v>199</v>
      </c>
      <c r="BV13" s="41" t="s">
        <v>82</v>
      </c>
      <c r="BW13" s="41" t="s">
        <v>79</v>
      </c>
      <c r="BX13" s="41" t="s">
        <v>79</v>
      </c>
      <c r="BY13" s="41" t="s">
        <v>203</v>
      </c>
      <c r="BZ13" s="41" t="s">
        <v>203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8382B3B2-ADEE-4805-8894-9012E9B5422F}">
      <formula1>$U$2:$W$2</formula1>
    </dataValidation>
    <dataValidation type="list" showInputMessage="1" showErrorMessage="1" sqref="K4:K30 P4:P30 F4:F30" xr:uid="{13B89C60-ACEF-401D-ACA2-76197B3101A1}">
      <formula1>"ロン,ツモ,放銃,ツモ支払,流局,チョンボ"</formula1>
    </dataValidation>
    <dataValidation type="list" allowBlank="1" showInputMessage="1" sqref="F1:T1" xr:uid="{937F2BD7-DF56-4AF4-9734-CCBF415A4FFD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CBF3D-169E-4A03-A276-B302EAF8244B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 t="s">
        <v>202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201</v>
      </c>
      <c r="Q4" s="9">
        <v>-4800</v>
      </c>
      <c r="R4" s="9"/>
      <c r="S4" s="48">
        <v>0</v>
      </c>
      <c r="T4" s="21">
        <f>IF(COUNTA($F4,$K4,$P4)&gt;0,T3+SUM(Q4:S4),"")</f>
        <v>30200</v>
      </c>
      <c r="U4" s="53">
        <f>IF($J4="","",ROUND(($J4-$J$3)/1000,1)+(_xlfn.RANK.AVG($J4,($J4,$O4,$T4),1)-2)*20)</f>
        <v>-2.9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-24.8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199</v>
      </c>
      <c r="BA4" s="41" t="s">
        <v>82</v>
      </c>
      <c r="BB4" s="41" t="s">
        <v>86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196</v>
      </c>
      <c r="G5" s="9">
        <v>-8000</v>
      </c>
      <c r="H5" s="9">
        <v>-1000</v>
      </c>
      <c r="I5" s="48">
        <v>0</v>
      </c>
      <c r="J5" s="21">
        <f t="shared" ref="J5:J30" si="2">IF(COUNTA($F5,$K5,$P5)&gt;0,J4+SUM(G5:I5),"")</f>
        <v>23100</v>
      </c>
      <c r="K5" s="8"/>
      <c r="L5" s="9"/>
      <c r="M5" s="9">
        <v>-1000</v>
      </c>
      <c r="N5" s="48"/>
      <c r="O5" s="21">
        <f t="shared" ref="O5:O30" si="3">IF(COUNTA($F5,$K5,$P5)&gt;0,O4+SUM(L5:N5),"")</f>
        <v>41700</v>
      </c>
      <c r="P5" s="8" t="s">
        <v>197</v>
      </c>
      <c r="Q5" s="9">
        <v>8000</v>
      </c>
      <c r="R5" s="9">
        <v>2000</v>
      </c>
      <c r="S5" s="48">
        <v>0</v>
      </c>
      <c r="T5" s="21">
        <f t="shared" ref="T5:T30" si="4">IF(COUNTA($F5,$K5,$P5)&gt;0,T4+SUM(Q5:S5),"")</f>
        <v>40200</v>
      </c>
      <c r="U5" s="53">
        <f>IF($J5="","",ROUND(($J5-$J$3)/1000,1)+(_xlfn.RANK.AVG($J5,($J5,$O5,$T5),1)-2)*20)</f>
        <v>-31.9</v>
      </c>
      <c r="V5" s="54">
        <f>IF($O5="","",ROUND(($O5-$O$3)/1000,1)+(_xlfn.RANK.AVG($O5,($J5,$O5,$T5),1)-2)*20)</f>
        <v>26.7</v>
      </c>
      <c r="W5" s="55">
        <f>IF($T5="","",ROUND(($T5-$T$3)/1000,1)+(_xlfn.RANK.AVG($T5,($J5,$O5,$T5),1)-2)*20)</f>
        <v>5.2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198</v>
      </c>
      <c r="BU5" s="40" t="s">
        <v>207</v>
      </c>
      <c r="BV5" s="41" t="s">
        <v>203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ぱぱ</v>
      </c>
      <c r="F6" s="8" t="s">
        <v>201</v>
      </c>
      <c r="G6" s="9">
        <v>-2000</v>
      </c>
      <c r="H6" s="9"/>
      <c r="I6" s="48">
        <v>0</v>
      </c>
      <c r="J6" s="21">
        <f t="shared" si="2"/>
        <v>21100</v>
      </c>
      <c r="K6" s="8" t="s">
        <v>202</v>
      </c>
      <c r="L6" s="9">
        <v>4000</v>
      </c>
      <c r="M6" s="9"/>
      <c r="N6" s="48">
        <v>0</v>
      </c>
      <c r="O6" s="21">
        <f t="shared" si="3"/>
        <v>45700</v>
      </c>
      <c r="P6" s="8" t="s">
        <v>201</v>
      </c>
      <c r="Q6" s="9">
        <v>-2000</v>
      </c>
      <c r="R6" s="9"/>
      <c r="S6" s="48">
        <v>0</v>
      </c>
      <c r="T6" s="21">
        <f t="shared" si="4"/>
        <v>38200</v>
      </c>
      <c r="U6" s="53">
        <f>IF($J6="","",ROUND(($J6-$J$3)/1000,1)+(_xlfn.RANK.AVG($J6,($J6,$O6,$T6),1)-2)*20)</f>
        <v>-33.9</v>
      </c>
      <c r="V6" s="54">
        <f>IF($O6="","",ROUND(($O6-$O$3)/1000,1)+(_xlfn.RANK.AVG($O6,($J6,$O6,$T6),1)-2)*20)</f>
        <v>30.7</v>
      </c>
      <c r="W6" s="55">
        <f>IF($T6="","",ROUND(($T6-$T$3)/1000,1)+(_xlfn.RANK.AVG($T6,($J6,$O6,$T6),1)-2)*20)</f>
        <v>3.2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20</v>
      </c>
      <c r="AZ6" s="40" t="s">
        <v>85</v>
      </c>
      <c r="BA6" s="41" t="s">
        <v>83</v>
      </c>
      <c r="BB6" s="41" t="s">
        <v>82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IF($K$1="","",$K$1)</f>
        <v>ぱぱ</v>
      </c>
      <c r="F7" s="8" t="s">
        <v>205</v>
      </c>
      <c r="G7" s="9">
        <v>1500</v>
      </c>
      <c r="H7" s="9">
        <v>-1000</v>
      </c>
      <c r="I7" s="48"/>
      <c r="J7" s="21">
        <f t="shared" si="2"/>
        <v>21600</v>
      </c>
      <c r="K7" s="8" t="s">
        <v>205</v>
      </c>
      <c r="L7" s="9">
        <v>1500</v>
      </c>
      <c r="M7" s="9"/>
      <c r="N7" s="48"/>
      <c r="O7" s="21">
        <f t="shared" si="3"/>
        <v>47200</v>
      </c>
      <c r="P7" s="8" t="s">
        <v>205</v>
      </c>
      <c r="Q7" s="9">
        <v>-3000</v>
      </c>
      <c r="R7" s="9"/>
      <c r="S7" s="48"/>
      <c r="T7" s="21">
        <f t="shared" si="4"/>
        <v>35200</v>
      </c>
      <c r="U7" s="53">
        <f>IF($J7="","",ROUND(($J7-$J$3)/1000,1)+(_xlfn.RANK.AVG($J7,($J7,$O7,$T7),1)-2)*20)</f>
        <v>-33.4</v>
      </c>
      <c r="V7" s="54">
        <f>IF($O7="","",ROUND(($O7-$O$3)/1000,1)+(_xlfn.RANK.AVG($O7,($J7,$O7,$T7),1)-2)*20)</f>
        <v>32.200000000000003</v>
      </c>
      <c r="W7" s="55">
        <f>IF($T7="","",ROUND(($T7-$T$3)/1000,1)+(_xlfn.RANK.AVG($T7,($J7,$O7,$T7),1)-2)*20)</f>
        <v>0.2</v>
      </c>
      <c r="Y7" s="8" t="s">
        <v>206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tr">
        <f>IF($K$1="","",$K$1)</f>
        <v>ぱぱ</v>
      </c>
      <c r="F8" s="8" t="s">
        <v>202</v>
      </c>
      <c r="G8" s="9">
        <v>8000</v>
      </c>
      <c r="H8" s="9">
        <v>1000</v>
      </c>
      <c r="I8" s="48">
        <v>2000</v>
      </c>
      <c r="J8" s="21">
        <f t="shared" si="2"/>
        <v>32600</v>
      </c>
      <c r="K8" s="8" t="s">
        <v>201</v>
      </c>
      <c r="L8" s="9">
        <v>-5000</v>
      </c>
      <c r="M8" s="9"/>
      <c r="N8" s="48">
        <v>-1000</v>
      </c>
      <c r="O8" s="21">
        <f t="shared" si="3"/>
        <v>41200</v>
      </c>
      <c r="P8" s="8" t="s">
        <v>201</v>
      </c>
      <c r="Q8" s="9">
        <v>-3000</v>
      </c>
      <c r="R8" s="9"/>
      <c r="S8" s="48">
        <v>-1000</v>
      </c>
      <c r="T8" s="21">
        <f t="shared" si="4"/>
        <v>31200</v>
      </c>
      <c r="U8" s="53">
        <f>IF($J8="","",ROUND(($J8-$J$3)/1000,1)+(_xlfn.RANK.AVG($J8,($J8,$O8,$T8),1)-2)*20)</f>
        <v>-2.4</v>
      </c>
      <c r="V8" s="54">
        <f>IF($O8="","",ROUND(($O8-$O$3)/1000,1)+(_xlfn.RANK.AVG($O8,($J8,$O8,$T8),1)-2)*20)</f>
        <v>26.2</v>
      </c>
      <c r="W8" s="55">
        <f>IF($T8="","",ROUND(($T8-$T$3)/1000,1)+(_xlfn.RANK.AVG($T8,($J8,$O8,$T8),1)-2)*20)</f>
        <v>-23.8</v>
      </c>
      <c r="Y8" s="8"/>
      <c r="Z8" s="34"/>
      <c r="AA8" s="26"/>
      <c r="AB8" s="26">
        <v>1</v>
      </c>
      <c r="AC8" s="26">
        <v>5</v>
      </c>
      <c r="AD8" s="30" t="s">
        <v>198</v>
      </c>
      <c r="AE8" s="40" t="s">
        <v>106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197</v>
      </c>
      <c r="G9" s="9">
        <v>8000</v>
      </c>
      <c r="H9" s="9">
        <v>1000</v>
      </c>
      <c r="I9" s="48">
        <v>0</v>
      </c>
      <c r="J9" s="21">
        <f t="shared" si="2"/>
        <v>41600</v>
      </c>
      <c r="K9" s="8"/>
      <c r="L9" s="9"/>
      <c r="M9" s="9"/>
      <c r="N9" s="48"/>
      <c r="O9" s="21">
        <f t="shared" si="3"/>
        <v>41200</v>
      </c>
      <c r="P9" s="8" t="s">
        <v>196</v>
      </c>
      <c r="Q9" s="9">
        <v>-8000</v>
      </c>
      <c r="R9" s="9">
        <v>-1000</v>
      </c>
      <c r="S9" s="48">
        <v>0</v>
      </c>
      <c r="T9" s="21">
        <f t="shared" si="4"/>
        <v>22200</v>
      </c>
      <c r="U9" s="53">
        <f>IF($J9="","",ROUND(($J9-$J$3)/1000,1)+(_xlfn.RANK.AVG($J9,($J9,$O9,$T9),1)-2)*20)</f>
        <v>26.6</v>
      </c>
      <c r="V9" s="54">
        <f>IF($O9="","",ROUND(($O9-$O$3)/1000,1)+(_xlfn.RANK.AVG($O9,($J9,$O9,$T9),1)-2)*20)</f>
        <v>6.2</v>
      </c>
      <c r="W9" s="55">
        <f>IF($T9="","",ROUND(($T9-$T$3)/1000,1)+(_xlfn.RANK.AVG($T9,($J9,$O9,$T9),1)-2)*20)</f>
        <v>-32.799999999999997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199</v>
      </c>
      <c r="AF9" s="41" t="s">
        <v>203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201</v>
      </c>
      <c r="G10" s="9">
        <v>-5000</v>
      </c>
      <c r="H10" s="9"/>
      <c r="I10" s="48">
        <v>0</v>
      </c>
      <c r="J10" s="21">
        <f t="shared" si="2"/>
        <v>36600</v>
      </c>
      <c r="K10" s="8" t="s">
        <v>201</v>
      </c>
      <c r="L10" s="9">
        <v>-3000</v>
      </c>
      <c r="M10" s="9">
        <v>-1000</v>
      </c>
      <c r="N10" s="48">
        <v>0</v>
      </c>
      <c r="O10" s="21">
        <f t="shared" si="3"/>
        <v>37200</v>
      </c>
      <c r="P10" s="8" t="s">
        <v>202</v>
      </c>
      <c r="Q10" s="9">
        <v>8000</v>
      </c>
      <c r="R10" s="9">
        <v>1000</v>
      </c>
      <c r="S10" s="48">
        <v>0</v>
      </c>
      <c r="T10" s="21">
        <f t="shared" si="4"/>
        <v>31200</v>
      </c>
      <c r="U10" s="53">
        <f>IF($J10="","",ROUND(($J10-$J$3)/1000,1)+(_xlfn.RANK.AVG($J10,($J10,$O10,$T10),1)-2)*20)</f>
        <v>1.6</v>
      </c>
      <c r="V10" s="54">
        <f>IF($O10="","",ROUND(($O10-$O$3)/1000,1)+(_xlfn.RANK.AVG($O10,($J10,$O10,$T10),1)-2)*20)</f>
        <v>22.2</v>
      </c>
      <c r="W10" s="55">
        <f>IF($T10="","",ROUND(($T10-$T$3)/1000,1)+(_xlfn.RANK.AVG($T10,($J10,$O10,$T10),1)-2)*20)</f>
        <v>-23.8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198</v>
      </c>
      <c r="BU10" s="40" t="s">
        <v>199</v>
      </c>
      <c r="BV10" s="41" t="s">
        <v>82</v>
      </c>
      <c r="BW10" s="41" t="s">
        <v>200</v>
      </c>
      <c r="BX10" s="41" t="s">
        <v>83</v>
      </c>
      <c r="BY10" s="41" t="s">
        <v>203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IF($K$1="","",$K$1)</f>
        <v>ぱぱ</v>
      </c>
      <c r="F11" s="8" t="s">
        <v>202</v>
      </c>
      <c r="G11" s="9">
        <v>8000</v>
      </c>
      <c r="H11" s="9"/>
      <c r="I11" s="48">
        <v>0</v>
      </c>
      <c r="J11" s="21">
        <f t="shared" si="2"/>
        <v>44600</v>
      </c>
      <c r="K11" s="8" t="s">
        <v>201</v>
      </c>
      <c r="L11" s="9">
        <v>-5000</v>
      </c>
      <c r="M11" s="9"/>
      <c r="N11" s="48">
        <v>0</v>
      </c>
      <c r="O11" s="21">
        <f t="shared" si="3"/>
        <v>32200</v>
      </c>
      <c r="P11" s="8" t="s">
        <v>201</v>
      </c>
      <c r="Q11" s="9">
        <v>-3000</v>
      </c>
      <c r="R11" s="9"/>
      <c r="S11" s="48">
        <v>0</v>
      </c>
      <c r="T11" s="21">
        <f t="shared" si="4"/>
        <v>28200</v>
      </c>
      <c r="U11" s="53">
        <f>IF($J11="","",ROUND(($J11-$J$3)/1000,1)+(_xlfn.RANK.AVG($J11,($J11,$O11,$T11),1)-2)*20)</f>
        <v>29.6</v>
      </c>
      <c r="V11" s="54">
        <f>IF($O11="","",ROUND(($O11-$O$3)/1000,1)+(_xlfn.RANK.AVG($O11,($J11,$O11,$T11),1)-2)*20)</f>
        <v>-2.8</v>
      </c>
      <c r="W11" s="55">
        <f>IF($T11="","",ROUND(($T11-$T$3)/1000,1)+(_xlfn.RANK.AVG($T11,($J11,$O11,$T11),1)-2)*20)</f>
        <v>-26.8</v>
      </c>
      <c r="Y11" s="8"/>
      <c r="Z11" s="34"/>
      <c r="AA11" s="26"/>
      <c r="AB11" s="26">
        <v>1</v>
      </c>
      <c r="AC11" s="26">
        <v>4</v>
      </c>
      <c r="AD11" s="30">
        <v>40</v>
      </c>
      <c r="AE11" s="40" t="s">
        <v>86</v>
      </c>
      <c r="AF11" s="41" t="s">
        <v>79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34102EDD-DE91-4206-878C-5D56D13775C7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2E8A5D16-0719-4931-A015-4A8A28581EA1}">
      <formula1>"ロン,ツモ,放銃,ツモ支払,流局,チョンボ"</formula1>
    </dataValidation>
    <dataValidation type="list" allowBlank="1" showInputMessage="1" showErrorMessage="1" sqref="E4:E30" xr:uid="{E1479582-81C1-4D53-A123-2AD2BA34942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C534E-EA92-45BA-9C4A-B77866DAE1FB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196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197</v>
      </c>
      <c r="Q4" s="9">
        <v>2900</v>
      </c>
      <c r="R4" s="9">
        <v>1000</v>
      </c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-22.9</v>
      </c>
      <c r="W4" s="55">
        <f>IF($T4="","",ROUND(($T4-$T$3)/1000,1)+(_xlfn.RANK.AVG($T4,($J4,$O4,$T4),1)-2)*20)</f>
        <v>23.9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203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197</v>
      </c>
      <c r="G5" s="9">
        <v>16000</v>
      </c>
      <c r="H5" s="9">
        <v>1000</v>
      </c>
      <c r="I5" s="48">
        <v>1000</v>
      </c>
      <c r="J5" s="21">
        <f t="shared" ref="J5:J30" si="2">IF(COUNTA($F5,$K5,$P5)&gt;0,J4+SUM(G5:I5),"")</f>
        <v>52000</v>
      </c>
      <c r="K5" s="8" t="s">
        <v>196</v>
      </c>
      <c r="L5" s="9">
        <v>-16000</v>
      </c>
      <c r="M5" s="9"/>
      <c r="N5" s="48">
        <v>-1000</v>
      </c>
      <c r="O5" s="21">
        <f t="shared" ref="O5:O30" si="3">IF(COUNTA($F5,$K5,$P5)&gt;0,O4+SUM(L5:N5),"")</f>
        <v>15100</v>
      </c>
      <c r="P5" s="8"/>
      <c r="Q5" s="9"/>
      <c r="R5" s="9">
        <v>-1000</v>
      </c>
      <c r="S5" s="48"/>
      <c r="T5" s="21">
        <f t="shared" ref="T5:T30" si="4">IF(COUNTA($F5,$K5,$P5)&gt;0,T4+SUM(Q5:S5),"")</f>
        <v>37900</v>
      </c>
      <c r="U5" s="53">
        <f>IF($J5="","",ROUND(($J5-$J$3)/1000,1)+(_xlfn.RANK.AVG($J5,($J5,$O5,$T5),1)-2)*20)</f>
        <v>37</v>
      </c>
      <c r="V5" s="54">
        <f>IF($O5="","",ROUND(($O5-$O$3)/1000,1)+(_xlfn.RANK.AVG($O5,($J5,$O5,$T5),1)-2)*20)</f>
        <v>-39.9</v>
      </c>
      <c r="W5" s="55">
        <f>IF($T5="","",ROUND(($T5-$T$3)/1000,1)+(_xlfn.RANK.AVG($T5,($J5,$O5,$T5),1)-2)*20)</f>
        <v>2.9</v>
      </c>
      <c r="Y5" s="8"/>
      <c r="Z5" s="34"/>
      <c r="AA5" s="26">
        <v>1</v>
      </c>
      <c r="AB5" s="26"/>
      <c r="AC5" s="26">
        <v>8</v>
      </c>
      <c r="AD5" s="30" t="s">
        <v>198</v>
      </c>
      <c r="AE5" s="40" t="s">
        <v>199</v>
      </c>
      <c r="AF5" s="41" t="s">
        <v>200</v>
      </c>
      <c r="AG5" s="41" t="s">
        <v>101</v>
      </c>
      <c r="AH5" s="41" t="s">
        <v>79</v>
      </c>
      <c r="AI5" s="41" t="s">
        <v>79</v>
      </c>
      <c r="AJ5" s="41" t="s">
        <v>80</v>
      </c>
      <c r="AK5" s="41" t="s">
        <v>80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/>
      <c r="G6" s="9"/>
      <c r="H6" s="9"/>
      <c r="I6" s="48"/>
      <c r="J6" s="21">
        <f t="shared" si="2"/>
        <v>52000</v>
      </c>
      <c r="K6" s="8" t="s">
        <v>197</v>
      </c>
      <c r="L6" s="9">
        <v>8000</v>
      </c>
      <c r="M6" s="9"/>
      <c r="N6" s="48">
        <v>0</v>
      </c>
      <c r="O6" s="21">
        <f t="shared" si="3"/>
        <v>23100</v>
      </c>
      <c r="P6" s="8" t="s">
        <v>196</v>
      </c>
      <c r="Q6" s="9">
        <v>-8000</v>
      </c>
      <c r="R6" s="9"/>
      <c r="S6" s="48">
        <v>0</v>
      </c>
      <c r="T6" s="21">
        <f t="shared" si="4"/>
        <v>29900</v>
      </c>
      <c r="U6" s="53">
        <f>IF($J6="","",ROUND(($J6-$J$3)/1000,1)+(_xlfn.RANK.AVG($J6,($J6,$O6,$T6),1)-2)*20)</f>
        <v>37</v>
      </c>
      <c r="V6" s="54">
        <f>IF($O6="","",ROUND(($O6-$O$3)/1000,1)+(_xlfn.RANK.AVG($O6,($J6,$O6,$T6),1)-2)*20)</f>
        <v>-31.9</v>
      </c>
      <c r="W6" s="55">
        <f>IF($T6="","",ROUND(($T6-$T$3)/1000,1)+(_xlfn.RANK.AVG($T6,($J6,$O6,$T6),1)-2)*20)</f>
        <v>-5.0999999999999996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198</v>
      </c>
      <c r="AZ6" s="40" t="s">
        <v>199</v>
      </c>
      <c r="BA6" s="41" t="s">
        <v>98</v>
      </c>
      <c r="BB6" s="41" t="s">
        <v>96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ぱぱ</v>
      </c>
      <c r="F7" s="8" t="s">
        <v>205</v>
      </c>
      <c r="G7" s="9">
        <v>-3000</v>
      </c>
      <c r="H7" s="9"/>
      <c r="I7" s="48"/>
      <c r="J7" s="21">
        <f t="shared" si="2"/>
        <v>49000</v>
      </c>
      <c r="K7" s="8" t="s">
        <v>205</v>
      </c>
      <c r="L7" s="9">
        <v>1500</v>
      </c>
      <c r="M7" s="9">
        <v>-1000</v>
      </c>
      <c r="N7" s="48"/>
      <c r="O7" s="21">
        <f t="shared" si="3"/>
        <v>23600</v>
      </c>
      <c r="P7" s="8" t="s">
        <v>205</v>
      </c>
      <c r="Q7" s="9">
        <v>1500</v>
      </c>
      <c r="R7" s="9"/>
      <c r="S7" s="48"/>
      <c r="T7" s="21">
        <f t="shared" si="4"/>
        <v>31400</v>
      </c>
      <c r="U7" s="53">
        <f>IF($J7="","",ROUND(($J7-$J$3)/1000,1)+(_xlfn.RANK.AVG($J7,($J7,$O7,$T7),1)-2)*20)</f>
        <v>34</v>
      </c>
      <c r="V7" s="54">
        <f>IF($O7="","",ROUND(($O7-$O$3)/1000,1)+(_xlfn.RANK.AVG($O7,($J7,$O7,$T7),1)-2)*20)</f>
        <v>-31.4</v>
      </c>
      <c r="W7" s="55">
        <f>IF($T7="","",ROUND(($T7-$T$3)/1000,1)+(_xlfn.RANK.AVG($T7,($J7,$O7,$T7),1)-2)*20)</f>
        <v>-3.6</v>
      </c>
      <c r="Y7" s="8" t="s">
        <v>204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tr">
        <f>IF($K$1="","",$K$1)</f>
        <v>ぱぱ</v>
      </c>
      <c r="F8" s="8" t="s">
        <v>201</v>
      </c>
      <c r="G8" s="9">
        <v>-9000</v>
      </c>
      <c r="H8" s="9"/>
      <c r="I8" s="48">
        <v>-500</v>
      </c>
      <c r="J8" s="21">
        <f t="shared" si="2"/>
        <v>39500</v>
      </c>
      <c r="K8" s="8" t="s">
        <v>202</v>
      </c>
      <c r="L8" s="9">
        <v>18000</v>
      </c>
      <c r="M8" s="9">
        <v>2000</v>
      </c>
      <c r="N8" s="48">
        <v>1000</v>
      </c>
      <c r="O8" s="21">
        <f t="shared" si="3"/>
        <v>44600</v>
      </c>
      <c r="P8" s="8" t="s">
        <v>201</v>
      </c>
      <c r="Q8" s="9">
        <v>-9000</v>
      </c>
      <c r="R8" s="9">
        <v>-1000</v>
      </c>
      <c r="S8" s="48">
        <v>-500</v>
      </c>
      <c r="T8" s="21">
        <f t="shared" si="4"/>
        <v>20900</v>
      </c>
      <c r="U8" s="53">
        <f>IF($J8="","",ROUND(($J8-$J$3)/1000,1)+(_xlfn.RANK.AVG($J8,($J8,$O8,$T8),1)-2)*20)</f>
        <v>4.5</v>
      </c>
      <c r="V8" s="54">
        <f>IF($O8="","",ROUND(($O8-$O$3)/1000,1)+(_xlfn.RANK.AVG($O8,($J8,$O8,$T8),1)-2)*20)</f>
        <v>29.6</v>
      </c>
      <c r="W8" s="55">
        <f>IF($T8="","",ROUND(($T8-$T$3)/1000,1)+(_xlfn.RANK.AVG($T8,($J8,$O8,$T8),1)-2)*20)</f>
        <v>-34.1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6</v>
      </c>
      <c r="AY8" s="30" t="s">
        <v>198</v>
      </c>
      <c r="AZ8" s="40" t="s">
        <v>199</v>
      </c>
      <c r="BA8" s="41" t="s">
        <v>104</v>
      </c>
      <c r="BB8" s="41" t="s">
        <v>101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IF($K$1="","",$K$1)</f>
        <v>ぱぱ</v>
      </c>
      <c r="F9" s="8" t="s">
        <v>196</v>
      </c>
      <c r="G9" s="9">
        <v>-18000</v>
      </c>
      <c r="H9" s="9"/>
      <c r="I9" s="48">
        <v>-2000</v>
      </c>
      <c r="J9" s="21">
        <f t="shared" si="2"/>
        <v>19500</v>
      </c>
      <c r="K9" s="8" t="s">
        <v>197</v>
      </c>
      <c r="L9" s="9">
        <v>18000</v>
      </c>
      <c r="M9" s="9"/>
      <c r="N9" s="48">
        <v>2000</v>
      </c>
      <c r="O9" s="21">
        <f t="shared" si="3"/>
        <v>64600</v>
      </c>
      <c r="P9" s="8"/>
      <c r="Q9" s="9"/>
      <c r="R9" s="9"/>
      <c r="S9" s="48"/>
      <c r="T9" s="21">
        <f t="shared" si="4"/>
        <v>20900</v>
      </c>
      <c r="U9" s="53">
        <f>IF($J9="","",ROUND(($J9-$J$3)/1000,1)+(_xlfn.RANK.AVG($J9,($J9,$O9,$T9),1)-2)*20)</f>
        <v>-35.5</v>
      </c>
      <c r="V9" s="54">
        <f>IF($O9="","",ROUND(($O9-$O$3)/1000,1)+(_xlfn.RANK.AVG($O9,($J9,$O9,$T9),1)-2)*20)</f>
        <v>49.6</v>
      </c>
      <c r="W9" s="55">
        <f>IF($T9="","",ROUND(($T9-$T$3)/1000,1)+(_xlfn.RANK.AVG($T9,($J9,$O9,$T9),1)-2)*20)</f>
        <v>-14.1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198</v>
      </c>
      <c r="AZ9" s="40" t="s">
        <v>199</v>
      </c>
      <c r="BA9" s="41" t="s">
        <v>86</v>
      </c>
      <c r="BB9" s="41" t="s">
        <v>86</v>
      </c>
      <c r="BC9" s="41" t="s">
        <v>79</v>
      </c>
      <c r="BD9" s="41" t="s">
        <v>79</v>
      </c>
      <c r="BE9" s="41" t="s">
        <v>79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IF($K$1="","",$K$1)</f>
        <v>ぱぱ</v>
      </c>
      <c r="F10" s="8"/>
      <c r="G10" s="9"/>
      <c r="H10" s="9"/>
      <c r="I10" s="48"/>
      <c r="J10" s="21">
        <f t="shared" si="2"/>
        <v>19500</v>
      </c>
      <c r="K10" s="8" t="s">
        <v>197</v>
      </c>
      <c r="L10" s="9">
        <v>12000</v>
      </c>
      <c r="M10" s="9">
        <v>1000</v>
      </c>
      <c r="N10" s="48">
        <v>3000</v>
      </c>
      <c r="O10" s="21">
        <f t="shared" si="3"/>
        <v>80600</v>
      </c>
      <c r="P10" s="8" t="s">
        <v>196</v>
      </c>
      <c r="Q10" s="9">
        <v>-12000</v>
      </c>
      <c r="R10" s="9">
        <v>-1000</v>
      </c>
      <c r="S10" s="48">
        <v>-3000</v>
      </c>
      <c r="T10" s="21">
        <f t="shared" si="4"/>
        <v>4900</v>
      </c>
      <c r="U10" s="53">
        <f>IF($J10="","",ROUND(($J10-$J$3)/1000,1)+(_xlfn.RANK.AVG($J10,($J10,$O10,$T10),1)-2)*20)</f>
        <v>-15.5</v>
      </c>
      <c r="V10" s="54">
        <f>IF($O10="","",ROUND(($O10-$O$3)/1000,1)+(_xlfn.RANK.AVG($O10,($J10,$O10,$T10),1)-2)*20)</f>
        <v>65.599999999999994</v>
      </c>
      <c r="W10" s="55">
        <f>IF($T10="","",ROUND(($T10-$T$3)/1000,1)+(_xlfn.RANK.AVG($T10,($J10,$O10,$T10),1)-2)*20)</f>
        <v>-50.1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40</v>
      </c>
      <c r="AZ10" s="40" t="s">
        <v>84</v>
      </c>
      <c r="BA10" s="41" t="s">
        <v>85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4</v>
      </c>
      <c r="D11" s="18">
        <f t="shared" si="1"/>
        <v>0</v>
      </c>
      <c r="E11" s="4" t="str">
        <f>IF($K$1="","",$K$1)</f>
        <v>ぱぱ</v>
      </c>
      <c r="F11" s="8" t="s">
        <v>197</v>
      </c>
      <c r="G11" s="9">
        <v>3200</v>
      </c>
      <c r="H11" s="9">
        <v>1000</v>
      </c>
      <c r="I11" s="48">
        <v>4000</v>
      </c>
      <c r="J11" s="21">
        <f t="shared" si="2"/>
        <v>27700</v>
      </c>
      <c r="K11" s="8" t="s">
        <v>196</v>
      </c>
      <c r="L11" s="9">
        <v>-3200</v>
      </c>
      <c r="M11" s="9"/>
      <c r="N11" s="48">
        <v>-4000</v>
      </c>
      <c r="O11" s="21">
        <f t="shared" si="3"/>
        <v>73400</v>
      </c>
      <c r="P11" s="8"/>
      <c r="Q11" s="9"/>
      <c r="R11" s="9">
        <v>-1000</v>
      </c>
      <c r="S11" s="48"/>
      <c r="T11" s="21">
        <f t="shared" si="4"/>
        <v>3900</v>
      </c>
      <c r="U11" s="53">
        <f>IF($J11="","",ROUND(($J11-$J$3)/1000,1)+(_xlfn.RANK.AVG($J11,($J11,$O11,$T11),1)-2)*20)</f>
        <v>-7.3</v>
      </c>
      <c r="V11" s="54">
        <f>IF($O11="","",ROUND(($O11-$O$3)/1000,1)+(_xlfn.RANK.AVG($O11,($J11,$O11,$T11),1)-2)*20)</f>
        <v>58.4</v>
      </c>
      <c r="W11" s="55">
        <f>IF($T11="","",ROUND(($T11-$T$3)/1000,1)+(_xlfn.RANK.AVG($T11,($J11,$O11,$T11),1)-2)*20)</f>
        <v>-51.1</v>
      </c>
      <c r="Y11" s="8"/>
      <c r="Z11" s="34"/>
      <c r="AA11" s="26">
        <v>1</v>
      </c>
      <c r="AB11" s="26"/>
      <c r="AC11" s="26">
        <v>3</v>
      </c>
      <c r="AD11" s="30">
        <v>25</v>
      </c>
      <c r="AE11" s="40" t="s">
        <v>199</v>
      </c>
      <c r="AF11" s="41" t="s">
        <v>101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/>
      <c r="G12" s="9"/>
      <c r="H12" s="9"/>
      <c r="I12" s="48"/>
      <c r="J12" s="21">
        <f t="shared" si="2"/>
        <v>27700</v>
      </c>
      <c r="K12" s="8" t="s">
        <v>197</v>
      </c>
      <c r="L12" s="9">
        <v>7700</v>
      </c>
      <c r="M12" s="9"/>
      <c r="N12" s="48">
        <v>0</v>
      </c>
      <c r="O12" s="21">
        <f t="shared" si="3"/>
        <v>81100</v>
      </c>
      <c r="P12" s="8" t="s">
        <v>196</v>
      </c>
      <c r="Q12" s="9">
        <v>-7700</v>
      </c>
      <c r="R12" s="9"/>
      <c r="S12" s="48">
        <v>0</v>
      </c>
      <c r="T12" s="21">
        <f t="shared" si="4"/>
        <v>-3800</v>
      </c>
      <c r="U12" s="53">
        <f>IF($J12="","",ROUND(($J12-$J$3)/1000,1)+(_xlfn.RANK.AVG($J12,($J12,$O12,$T12),1)-2)*20)</f>
        <v>-7.3</v>
      </c>
      <c r="V12" s="54">
        <f>IF($O12="","",ROUND(($O12-$O$3)/1000,1)+(_xlfn.RANK.AVG($O12,($J12,$O12,$T12),1)-2)*20)</f>
        <v>66.099999999999994</v>
      </c>
      <c r="W12" s="55">
        <f>IF($T12="","",ROUND(($T12-$T$3)/1000,1)+(_xlfn.RANK.AVG($T12,($J12,$O12,$T12),1)-2)*20)</f>
        <v>-58.8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60</v>
      </c>
      <c r="AZ12" s="40" t="s">
        <v>199</v>
      </c>
      <c r="BA12" s="41" t="s">
        <v>85</v>
      </c>
      <c r="BB12" s="41" t="s">
        <v>203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14B9720C-F56C-4217-B464-9A218D001C24}">
      <formula1>$U$2:$W$2</formula1>
    </dataValidation>
    <dataValidation type="list" showInputMessage="1" showErrorMessage="1" sqref="K4:K30 P4:P30 F4:F30" xr:uid="{9F5DAA45-43D5-4006-BF1B-34638CFCF5ED}">
      <formula1>"ロン,ツモ,放銃,ツモ支払,流局,チョンボ"</formula1>
    </dataValidation>
    <dataValidation type="list" allowBlank="1" showInputMessage="1" sqref="F1:T1" xr:uid="{12E9E4BF-7F94-40D5-BB66-C78B62CF54E8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79C1A-E037-4228-90E5-F64EC3C23137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32000</v>
      </c>
      <c r="H4" s="9">
        <v>1000</v>
      </c>
      <c r="I4" s="48">
        <v>0</v>
      </c>
      <c r="J4" s="21">
        <f>IF(COUNTA($F4,$K4,$P4)&gt;0,J3+SUM(G4:I4),"")</f>
        <v>68000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196</v>
      </c>
      <c r="Q4" s="9">
        <v>-32000</v>
      </c>
      <c r="R4" s="9"/>
      <c r="S4" s="48">
        <v>0</v>
      </c>
      <c r="T4" s="21">
        <f>IF(COUNTA($F4,$K4,$P4)&gt;0,T3+SUM(Q4:S4),"")</f>
        <v>3000</v>
      </c>
      <c r="U4" s="53">
        <f>IF($J4="","",ROUND(($J4-$J$3)/1000,1)+(_xlfn.RANK.AVG($J4,($J4,$O4,$T4),1)-2)*20)</f>
        <v>53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-52</v>
      </c>
      <c r="Y4" s="8"/>
      <c r="Z4" s="34"/>
      <c r="AA4" s="26"/>
      <c r="AB4" s="26"/>
      <c r="AC4" s="26">
        <v>13</v>
      </c>
      <c r="AD4" s="30" t="s">
        <v>198</v>
      </c>
      <c r="AE4" s="40" t="s">
        <v>107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205</v>
      </c>
      <c r="G5" s="9">
        <v>1500</v>
      </c>
      <c r="H5" s="9">
        <v>-1000</v>
      </c>
      <c r="I5" s="48"/>
      <c r="J5" s="21">
        <f t="shared" ref="J5:J30" si="2">IF(COUNTA($F5,$K5,$P5)&gt;0,J4+SUM(G5:I5),"")</f>
        <v>68500</v>
      </c>
      <c r="K5" s="8" t="s">
        <v>205</v>
      </c>
      <c r="L5" s="9">
        <v>1500</v>
      </c>
      <c r="M5" s="9">
        <v>-1000</v>
      </c>
      <c r="N5" s="48"/>
      <c r="O5" s="21">
        <f t="shared" ref="O5:O30" si="3">IF(COUNTA($F5,$K5,$P5)&gt;0,O4+SUM(L5:N5),"")</f>
        <v>34500</v>
      </c>
      <c r="P5" s="8" t="s">
        <v>205</v>
      </c>
      <c r="Q5" s="9">
        <v>-3000</v>
      </c>
      <c r="R5" s="9"/>
      <c r="S5" s="48"/>
      <c r="T5" s="21">
        <f t="shared" ref="T5:T30" si="4">IF(COUNTA($F5,$K5,$P5)&gt;0,T4+SUM(Q5:S5),"")</f>
        <v>0</v>
      </c>
      <c r="U5" s="53">
        <f>IF($J5="","",ROUND(($J5-$J$3)/1000,1)+(_xlfn.RANK.AVG($J5,($J5,$O5,$T5),1)-2)*20)</f>
        <v>53.5</v>
      </c>
      <c r="V5" s="54">
        <f>IF($O5="","",ROUND(($O5-$O$3)/1000,1)+(_xlfn.RANK.AVG($O5,($J5,$O5,$T5),1)-2)*20)</f>
        <v>-0.5</v>
      </c>
      <c r="W5" s="55">
        <f>IF($T5="","",ROUND(($T5-$T$3)/1000,1)+(_xlfn.RANK.AVG($T5,($J5,$O5,$T5),1)-2)*20)</f>
        <v>-55</v>
      </c>
      <c r="Y5" s="8" t="s">
        <v>206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206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tr">
        <f>IF($F$1="","",$F$1)</f>
        <v>だいち</v>
      </c>
      <c r="F6" s="8"/>
      <c r="G6" s="9"/>
      <c r="H6" s="9"/>
      <c r="I6" s="48"/>
      <c r="J6" s="21">
        <f t="shared" si="2"/>
        <v>68500</v>
      </c>
      <c r="K6" s="8" t="s">
        <v>196</v>
      </c>
      <c r="L6" s="9">
        <v>-2000</v>
      </c>
      <c r="M6" s="9"/>
      <c r="N6" s="48">
        <v>-1000</v>
      </c>
      <c r="O6" s="21">
        <f t="shared" si="3"/>
        <v>31500</v>
      </c>
      <c r="P6" s="8" t="s">
        <v>197</v>
      </c>
      <c r="Q6" s="9">
        <v>2000</v>
      </c>
      <c r="R6" s="9">
        <v>2000</v>
      </c>
      <c r="S6" s="48">
        <v>1000</v>
      </c>
      <c r="T6" s="21">
        <f t="shared" si="4"/>
        <v>5000</v>
      </c>
      <c r="U6" s="53">
        <f>IF($J6="","",ROUND(($J6-$J$3)/1000,1)+(_xlfn.RANK.AVG($J6,($J6,$O6,$T6),1)-2)*20)</f>
        <v>53.5</v>
      </c>
      <c r="V6" s="54">
        <f>IF($O6="","",ROUND(($O6-$O$3)/1000,1)+(_xlfn.RANK.AVG($O6,($J6,$O6,$T6),1)-2)*20)</f>
        <v>-3.5</v>
      </c>
      <c r="W6" s="55">
        <f>IF($T6="","",ROUND(($T6-$T$3)/1000,1)+(_xlfn.RANK.AVG($T6,($J6,$O6,$T6),1)-2)*20)</f>
        <v>-50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ぱぱ</v>
      </c>
      <c r="F7" s="8" t="s">
        <v>196</v>
      </c>
      <c r="G7" s="9">
        <v>-7700</v>
      </c>
      <c r="H7" s="9"/>
      <c r="I7" s="48">
        <v>0</v>
      </c>
      <c r="J7" s="21">
        <f t="shared" si="2"/>
        <v>60800</v>
      </c>
      <c r="K7" s="8" t="s">
        <v>197</v>
      </c>
      <c r="L7" s="9">
        <v>7700</v>
      </c>
      <c r="M7" s="9"/>
      <c r="N7" s="48">
        <v>0</v>
      </c>
      <c r="O7" s="21">
        <f t="shared" si="3"/>
        <v>39200</v>
      </c>
      <c r="P7" s="8"/>
      <c r="Q7" s="9"/>
      <c r="R7" s="9"/>
      <c r="S7" s="48"/>
      <c r="T7" s="21">
        <f t="shared" si="4"/>
        <v>5000</v>
      </c>
      <c r="U7" s="53">
        <f>IF($J7="","",ROUND(($J7-$J$3)/1000,1)+(_xlfn.RANK.AVG($J7,($J7,$O7,$T7),1)-2)*20)</f>
        <v>45.8</v>
      </c>
      <c r="V7" s="54">
        <f>IF($O7="","",ROUND(($O7-$O$3)/1000,1)+(_xlfn.RANK.AVG($O7,($J7,$O7,$T7),1)-2)*20)</f>
        <v>4.2</v>
      </c>
      <c r="W7" s="55">
        <f>IF($T7="","",ROUND(($T7-$T$3)/1000,1)+(_xlfn.RANK.AVG($T7,($J7,$O7,$T7),1)-2)*20)</f>
        <v>-50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40</v>
      </c>
      <c r="AZ7" s="40" t="s">
        <v>86</v>
      </c>
      <c r="BA7" s="41" t="s">
        <v>79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IF($K$1="","",$K$1)</f>
        <v>ぱぱ</v>
      </c>
      <c r="F8" s="8" t="s">
        <v>202</v>
      </c>
      <c r="G8" s="9">
        <v>2100</v>
      </c>
      <c r="H8" s="9"/>
      <c r="I8" s="48">
        <v>1000</v>
      </c>
      <c r="J8" s="21">
        <f t="shared" si="2"/>
        <v>63900</v>
      </c>
      <c r="K8" s="8" t="s">
        <v>201</v>
      </c>
      <c r="L8" s="9">
        <v>-1300</v>
      </c>
      <c r="M8" s="9"/>
      <c r="N8" s="48">
        <v>-500</v>
      </c>
      <c r="O8" s="21">
        <f t="shared" si="3"/>
        <v>37400</v>
      </c>
      <c r="P8" s="8" t="s">
        <v>201</v>
      </c>
      <c r="Q8" s="9">
        <v>-800</v>
      </c>
      <c r="R8" s="9"/>
      <c r="S8" s="48">
        <v>-500</v>
      </c>
      <c r="T8" s="21">
        <f t="shared" si="4"/>
        <v>3700</v>
      </c>
      <c r="U8" s="53">
        <f>IF($J8="","",ROUND(($J8-$J$3)/1000,1)+(_xlfn.RANK.AVG($J8,($J8,$O8,$T8),1)-2)*20)</f>
        <v>48.9</v>
      </c>
      <c r="V8" s="54">
        <f>IF($O8="","",ROUND(($O8-$O$3)/1000,1)+(_xlfn.RANK.AVG($O8,($J8,$O8,$T8),1)-2)*20)</f>
        <v>2.4</v>
      </c>
      <c r="W8" s="55">
        <f>IF($T8="","",ROUND(($T8-$T$3)/1000,1)+(_xlfn.RANK.AVG($T8,($J8,$O8,$T8),1)-2)*20)</f>
        <v>-51.3</v>
      </c>
      <c r="Y8" s="8"/>
      <c r="Z8" s="34"/>
      <c r="AA8" s="26">
        <v>1</v>
      </c>
      <c r="AB8" s="26"/>
      <c r="AC8" s="26">
        <v>2</v>
      </c>
      <c r="AD8" s="30">
        <v>30</v>
      </c>
      <c r="AE8" s="40" t="s">
        <v>199</v>
      </c>
      <c r="AF8" s="41" t="s">
        <v>82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205</v>
      </c>
      <c r="G9" s="9">
        <v>3000</v>
      </c>
      <c r="H9" s="9">
        <v>-1000</v>
      </c>
      <c r="I9" s="48"/>
      <c r="J9" s="21">
        <f t="shared" si="2"/>
        <v>65900</v>
      </c>
      <c r="K9" s="8" t="s">
        <v>205</v>
      </c>
      <c r="L9" s="9">
        <v>-1500</v>
      </c>
      <c r="M9" s="9"/>
      <c r="N9" s="48"/>
      <c r="O9" s="21">
        <f t="shared" si="3"/>
        <v>35900</v>
      </c>
      <c r="P9" s="8" t="s">
        <v>205</v>
      </c>
      <c r="Q9" s="9">
        <v>-1500</v>
      </c>
      <c r="R9" s="9"/>
      <c r="S9" s="48"/>
      <c r="T9" s="21">
        <f t="shared" si="4"/>
        <v>2200</v>
      </c>
      <c r="U9" s="53">
        <f>IF($J9="","",ROUND(($J9-$J$3)/1000,1)+(_xlfn.RANK.AVG($J9,($J9,$O9,$T9),1)-2)*20)</f>
        <v>50.9</v>
      </c>
      <c r="V9" s="54">
        <f>IF($O9="","",ROUND(($O9-$O$3)/1000,1)+(_xlfn.RANK.AVG($O9,($J9,$O9,$T9),1)-2)*20)</f>
        <v>0.9</v>
      </c>
      <c r="W9" s="55">
        <f>IF($T9="","",ROUND(($T9-$T$3)/1000,1)+(_xlfn.RANK.AVG($T9,($J9,$O9,$T9),1)-2)*20)</f>
        <v>-52.8</v>
      </c>
      <c r="Y9" s="8" t="s">
        <v>206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tr">
        <f>IF($F$1="","",$F$1)</f>
        <v>だいち</v>
      </c>
      <c r="F10" s="8" t="s">
        <v>201</v>
      </c>
      <c r="G10" s="9">
        <v>-7500</v>
      </c>
      <c r="H10" s="9"/>
      <c r="I10" s="48">
        <v>-500</v>
      </c>
      <c r="J10" s="21">
        <f t="shared" si="2"/>
        <v>57900</v>
      </c>
      <c r="K10" s="8" t="s">
        <v>202</v>
      </c>
      <c r="L10" s="9">
        <v>12000</v>
      </c>
      <c r="M10" s="9">
        <v>1000</v>
      </c>
      <c r="N10" s="48">
        <v>1000</v>
      </c>
      <c r="O10" s="21">
        <f t="shared" si="3"/>
        <v>49900</v>
      </c>
      <c r="P10" s="8" t="s">
        <v>201</v>
      </c>
      <c r="Q10" s="9">
        <v>-4500</v>
      </c>
      <c r="R10" s="9"/>
      <c r="S10" s="48">
        <v>-500</v>
      </c>
      <c r="T10" s="21">
        <f t="shared" si="4"/>
        <v>-2800</v>
      </c>
      <c r="U10" s="53">
        <f>IF($J10="","",ROUND(($J10-$J$3)/1000,1)+(_xlfn.RANK.AVG($J10,($J10,$O10,$T10),1)-2)*20)</f>
        <v>42.9</v>
      </c>
      <c r="V10" s="54">
        <f>IF($O10="","",ROUND(($O10-$O$3)/1000,1)+(_xlfn.RANK.AVG($O10,($J10,$O10,$T10),1)-2)*20)</f>
        <v>14.9</v>
      </c>
      <c r="W10" s="55">
        <f>IF($T10="","",ROUND(($T10-$T$3)/1000,1)+(_xlfn.RANK.AVG($T10,($J10,$O10,$T10),1)-2)*20)</f>
        <v>-57.8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198</v>
      </c>
      <c r="AZ10" s="40" t="s">
        <v>199</v>
      </c>
      <c r="BA10" s="41" t="s">
        <v>82</v>
      </c>
      <c r="BB10" s="41" t="s">
        <v>79</v>
      </c>
      <c r="BC10" s="41" t="s">
        <v>80</v>
      </c>
      <c r="BD10" s="41" t="s">
        <v>80</v>
      </c>
      <c r="BE10" s="41" t="s">
        <v>80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F4291579-A3D8-4C0A-9040-F7C8680D05F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8C46749C-D3B6-498E-9E3D-B67A9D910F51}">
      <formula1>"ロン,ツモ,放銃,ツモ支払,流局,チョンボ"</formula1>
    </dataValidation>
    <dataValidation type="list" allowBlank="1" showInputMessage="1" showErrorMessage="1" sqref="E4:E30" xr:uid="{E4FC1A99-75AD-4623-9EE1-93F2161692B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3544-2689-4BFF-AA3E-159C2572E633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202</v>
      </c>
      <c r="G4" s="9">
        <v>3000</v>
      </c>
      <c r="H4" s="9"/>
      <c r="I4" s="48">
        <v>0</v>
      </c>
      <c r="J4" s="21">
        <f>IF(COUNTA($F4,$K4,$P4)&gt;0,J3+SUM(G4:I4),"")</f>
        <v>38000</v>
      </c>
      <c r="K4" s="8" t="s">
        <v>201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201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23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-11.5</v>
      </c>
      <c r="Y4" s="8"/>
      <c r="Z4" s="34"/>
      <c r="AA4" s="26">
        <v>1</v>
      </c>
      <c r="AB4" s="26"/>
      <c r="AC4" s="26">
        <v>2</v>
      </c>
      <c r="AD4" s="30">
        <v>30</v>
      </c>
      <c r="AE4" s="40" t="s">
        <v>199</v>
      </c>
      <c r="AF4" s="41" t="s">
        <v>82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202</v>
      </c>
      <c r="G5" s="9">
        <v>3000</v>
      </c>
      <c r="H5" s="9"/>
      <c r="I5" s="48">
        <v>1000</v>
      </c>
      <c r="J5" s="21">
        <f t="shared" ref="J5:J30" si="2">IF(COUNTA($F5,$K5,$P5)&gt;0,J4+SUM(G5:I5),"")</f>
        <v>42000</v>
      </c>
      <c r="K5" s="8" t="s">
        <v>201</v>
      </c>
      <c r="L5" s="9">
        <v>-1500</v>
      </c>
      <c r="M5" s="9"/>
      <c r="N5" s="48">
        <v>-500</v>
      </c>
      <c r="O5" s="21">
        <f t="shared" ref="O5:O30" si="3">IF(COUNTA($F5,$K5,$P5)&gt;0,O4+SUM(L5:N5),"")</f>
        <v>31500</v>
      </c>
      <c r="P5" s="8" t="s">
        <v>201</v>
      </c>
      <c r="Q5" s="9">
        <v>-1500</v>
      </c>
      <c r="R5" s="9"/>
      <c r="S5" s="48">
        <v>-500</v>
      </c>
      <c r="T5" s="21">
        <f t="shared" ref="T5:T30" si="4">IF(COUNTA($F5,$K5,$P5)&gt;0,T4+SUM(Q5:S5),"")</f>
        <v>31500</v>
      </c>
      <c r="U5" s="53">
        <f>IF($J5="","",ROUND(($J5-$J$3)/1000,1)+(_xlfn.RANK.AVG($J5,($J5,$O5,$T5),1)-2)*20)</f>
        <v>27</v>
      </c>
      <c r="V5" s="54">
        <f>IF($O5="","",ROUND(($O5-$O$3)/1000,1)+(_xlfn.RANK.AVG($O5,($J5,$O5,$T5),1)-2)*20)</f>
        <v>-13.5</v>
      </c>
      <c r="W5" s="55">
        <f>IF($T5="","",ROUND(($T5-$T$3)/1000,1)+(_xlfn.RANK.AVG($T5,($J5,$O5,$T5),1)-2)*20)</f>
        <v>-13.5</v>
      </c>
      <c r="Y5" s="8"/>
      <c r="Z5" s="34"/>
      <c r="AA5" s="26"/>
      <c r="AB5" s="26"/>
      <c r="AC5" s="26">
        <v>2</v>
      </c>
      <c r="AD5" s="30">
        <v>30</v>
      </c>
      <c r="AE5" s="40" t="s">
        <v>82</v>
      </c>
      <c r="AF5" s="41" t="s">
        <v>84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196</v>
      </c>
      <c r="G6" s="9">
        <v>-8000</v>
      </c>
      <c r="H6" s="9">
        <v>-1000</v>
      </c>
      <c r="I6" s="48">
        <v>-2000</v>
      </c>
      <c r="J6" s="21">
        <f t="shared" si="2"/>
        <v>31000</v>
      </c>
      <c r="K6" s="8" t="s">
        <v>197</v>
      </c>
      <c r="L6" s="9">
        <v>8000</v>
      </c>
      <c r="M6" s="9">
        <v>1000</v>
      </c>
      <c r="N6" s="48">
        <v>2000</v>
      </c>
      <c r="O6" s="21">
        <f t="shared" si="3"/>
        <v>42500</v>
      </c>
      <c r="P6" s="8"/>
      <c r="Q6" s="9"/>
      <c r="R6" s="9"/>
      <c r="S6" s="48"/>
      <c r="T6" s="21">
        <f t="shared" si="4"/>
        <v>31500</v>
      </c>
      <c r="U6" s="53">
        <f>IF($J6="","",ROUND(($J6-$J$3)/1000,1)+(_xlfn.RANK.AVG($J6,($J6,$O6,$T6),1)-2)*20)</f>
        <v>-24</v>
      </c>
      <c r="V6" s="54">
        <f>IF($O6="","",ROUND(($O6-$O$3)/1000,1)+(_xlfn.RANK.AVG($O6,($J6,$O6,$T6),1)-2)*20)</f>
        <v>27.5</v>
      </c>
      <c r="W6" s="55">
        <f>IF($T6="","",ROUND(($T6-$T$3)/1000,1)+(_xlfn.RANK.AVG($T6,($J6,$O6,$T6),1)-2)*20)</f>
        <v>-3.5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198</v>
      </c>
      <c r="AZ6" s="40" t="s">
        <v>101</v>
      </c>
      <c r="BA6" s="41" t="s">
        <v>203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ぱぱ</v>
      </c>
      <c r="F7" s="8" t="s">
        <v>201</v>
      </c>
      <c r="G7" s="9">
        <v>-2900</v>
      </c>
      <c r="H7" s="9">
        <v>-1000</v>
      </c>
      <c r="I7" s="48">
        <v>0</v>
      </c>
      <c r="J7" s="21">
        <f t="shared" si="2"/>
        <v>27100</v>
      </c>
      <c r="K7" s="8" t="s">
        <v>201</v>
      </c>
      <c r="L7" s="9">
        <v>-4800</v>
      </c>
      <c r="M7" s="9">
        <v>-1000</v>
      </c>
      <c r="N7" s="48">
        <v>0</v>
      </c>
      <c r="O7" s="21">
        <f t="shared" si="3"/>
        <v>36700</v>
      </c>
      <c r="P7" s="8" t="s">
        <v>202</v>
      </c>
      <c r="Q7" s="9">
        <v>7700</v>
      </c>
      <c r="R7" s="9">
        <v>2000</v>
      </c>
      <c r="S7" s="48">
        <v>0</v>
      </c>
      <c r="T7" s="21">
        <f t="shared" si="4"/>
        <v>41200</v>
      </c>
      <c r="U7" s="53">
        <f>IF($J7="","",ROUND(($J7-$J$3)/1000,1)+(_xlfn.RANK.AVG($J7,($J7,$O7,$T7),1)-2)*20)</f>
        <v>-27.9</v>
      </c>
      <c r="V7" s="54">
        <f>IF($O7="","",ROUND(($O7-$O$3)/1000,1)+(_xlfn.RANK.AVG($O7,($J7,$O7,$T7),1)-2)*20)</f>
        <v>1.7</v>
      </c>
      <c r="W7" s="55">
        <f>IF($T7="","",ROUND(($T7-$T$3)/1000,1)+(_xlfn.RANK.AVG($T7,($J7,$O7,$T7),1)-2)*20)</f>
        <v>26.2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104</v>
      </c>
      <c r="BV7" s="41" t="s">
        <v>86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202</v>
      </c>
      <c r="G8" s="9">
        <v>12000</v>
      </c>
      <c r="H8" s="9"/>
      <c r="I8" s="48">
        <v>0</v>
      </c>
      <c r="J8" s="21">
        <f t="shared" si="2"/>
        <v>39100</v>
      </c>
      <c r="K8" s="8" t="s">
        <v>201</v>
      </c>
      <c r="L8" s="9">
        <v>-4500</v>
      </c>
      <c r="M8" s="9"/>
      <c r="N8" s="48">
        <v>0</v>
      </c>
      <c r="O8" s="21">
        <f t="shared" si="3"/>
        <v>32200</v>
      </c>
      <c r="P8" s="8" t="s">
        <v>201</v>
      </c>
      <c r="Q8" s="9">
        <v>-7500</v>
      </c>
      <c r="R8" s="9"/>
      <c r="S8" s="48">
        <v>0</v>
      </c>
      <c r="T8" s="21">
        <f t="shared" si="4"/>
        <v>33700</v>
      </c>
      <c r="U8" s="53">
        <f>IF($J8="","",ROUND(($J8-$J$3)/1000,1)+(_xlfn.RANK.AVG($J8,($J8,$O8,$T8),1)-2)*20)</f>
        <v>24.1</v>
      </c>
      <c r="V8" s="54">
        <f>IF($O8="","",ROUND(($O8-$O$3)/1000,1)+(_xlfn.RANK.AVG($O8,($J8,$O8,$T8),1)-2)*20)</f>
        <v>-22.8</v>
      </c>
      <c r="W8" s="55">
        <f>IF($T8="","",ROUND(($T8-$T$3)/1000,1)+(_xlfn.RANK.AVG($T8,($J8,$O8,$T8),1)-2)*20)</f>
        <v>-1.3</v>
      </c>
      <c r="Y8" s="8"/>
      <c r="Z8" s="34"/>
      <c r="AA8" s="26"/>
      <c r="AB8" s="26">
        <v>1</v>
      </c>
      <c r="AC8" s="26">
        <v>7</v>
      </c>
      <c r="AD8" s="30" t="s">
        <v>198</v>
      </c>
      <c r="AE8" s="40" t="s">
        <v>100</v>
      </c>
      <c r="AF8" s="41" t="s">
        <v>98</v>
      </c>
      <c r="AG8" s="41" t="s">
        <v>86</v>
      </c>
      <c r="AH8" s="41" t="s">
        <v>86</v>
      </c>
      <c r="AI8" s="41" t="s">
        <v>86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205</v>
      </c>
      <c r="G9" s="9">
        <v>1500</v>
      </c>
      <c r="H9" s="9">
        <v>-1000</v>
      </c>
      <c r="I9" s="48"/>
      <c r="J9" s="21">
        <f t="shared" si="2"/>
        <v>39600</v>
      </c>
      <c r="K9" s="8" t="s">
        <v>205</v>
      </c>
      <c r="L9" s="9">
        <v>1500</v>
      </c>
      <c r="M9" s="9"/>
      <c r="N9" s="48"/>
      <c r="O9" s="21">
        <f t="shared" si="3"/>
        <v>33700</v>
      </c>
      <c r="P9" s="8" t="s">
        <v>205</v>
      </c>
      <c r="Q9" s="9">
        <v>-3000</v>
      </c>
      <c r="R9" s="9"/>
      <c r="S9" s="48"/>
      <c r="T9" s="21">
        <f t="shared" si="4"/>
        <v>30700</v>
      </c>
      <c r="U9" s="53">
        <f>IF($J9="","",ROUND(($J9-$J$3)/1000,1)+(_xlfn.RANK.AVG($J9,($J9,$O9,$T9),1)-2)*20)</f>
        <v>24.6</v>
      </c>
      <c r="V9" s="54">
        <f>IF($O9="","",ROUND(($O9-$O$3)/1000,1)+(_xlfn.RANK.AVG($O9,($J9,$O9,$T9),1)-2)*20)</f>
        <v>-1.3</v>
      </c>
      <c r="W9" s="55">
        <f>IF($T9="","",ROUND(($T9-$T$3)/1000,1)+(_xlfn.RANK.AVG($T9,($J9,$O9,$T9),1)-2)*20)</f>
        <v>-24.3</v>
      </c>
      <c r="Y9" s="8" t="s">
        <v>206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206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IF($F$1="","",$F$1)</f>
        <v>だいち</v>
      </c>
      <c r="F10" s="8" t="s">
        <v>202</v>
      </c>
      <c r="G10" s="9">
        <v>48000</v>
      </c>
      <c r="H10" s="9">
        <v>1000</v>
      </c>
      <c r="I10" s="48">
        <v>1000</v>
      </c>
      <c r="J10" s="21">
        <f t="shared" si="2"/>
        <v>89600</v>
      </c>
      <c r="K10" s="8" t="s">
        <v>201</v>
      </c>
      <c r="L10" s="9">
        <v>-24000</v>
      </c>
      <c r="M10" s="9"/>
      <c r="N10" s="48">
        <v>-500</v>
      </c>
      <c r="O10" s="21">
        <f t="shared" si="3"/>
        <v>9200</v>
      </c>
      <c r="P10" s="8" t="s">
        <v>201</v>
      </c>
      <c r="Q10" s="9">
        <v>-24000</v>
      </c>
      <c r="R10" s="9"/>
      <c r="S10" s="48">
        <v>-500</v>
      </c>
      <c r="T10" s="21">
        <f t="shared" si="4"/>
        <v>6200</v>
      </c>
      <c r="U10" s="53">
        <f>IF($J10="","",ROUND(($J10-$J$3)/1000,1)+(_xlfn.RANK.AVG($J10,($J10,$O10,$T10),1)-2)*20)</f>
        <v>74.599999999999994</v>
      </c>
      <c r="V10" s="54">
        <f>IF($O10="","",ROUND(($O10-$O$3)/1000,1)+(_xlfn.RANK.AVG($O10,($J10,$O10,$T10),1)-2)*20)</f>
        <v>-25.8</v>
      </c>
      <c r="W10" s="55">
        <f>IF($T10="","",ROUND(($T10-$T$3)/1000,1)+(_xlfn.RANK.AVG($T10,($J10,$O10,$T10),1)-2)*20)</f>
        <v>-48.8</v>
      </c>
      <c r="Y10" s="8"/>
      <c r="Z10" s="34"/>
      <c r="AA10" s="26">
        <v>1</v>
      </c>
      <c r="AB10" s="26"/>
      <c r="AC10" s="26">
        <v>13</v>
      </c>
      <c r="AD10" s="30" t="s">
        <v>198</v>
      </c>
      <c r="AE10" s="40" t="s">
        <v>107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だいち</v>
      </c>
      <c r="F11" s="8" t="s">
        <v>201</v>
      </c>
      <c r="G11" s="9">
        <v>-2000</v>
      </c>
      <c r="H11" s="9"/>
      <c r="I11" s="48">
        <v>-1000</v>
      </c>
      <c r="J11" s="21">
        <f t="shared" si="2"/>
        <v>86600</v>
      </c>
      <c r="K11" s="8" t="s">
        <v>202</v>
      </c>
      <c r="L11" s="9">
        <v>3200</v>
      </c>
      <c r="M11" s="9"/>
      <c r="N11" s="48">
        <v>2000</v>
      </c>
      <c r="O11" s="21">
        <f t="shared" si="3"/>
        <v>14400</v>
      </c>
      <c r="P11" s="8" t="s">
        <v>201</v>
      </c>
      <c r="Q11" s="9">
        <v>-1200</v>
      </c>
      <c r="R11" s="9"/>
      <c r="S11" s="48">
        <v>-1000</v>
      </c>
      <c r="T11" s="21">
        <f t="shared" si="4"/>
        <v>4000</v>
      </c>
      <c r="U11" s="53">
        <f>IF($J11="","",ROUND(($J11-$J$3)/1000,1)+(_xlfn.RANK.AVG($J11,($J11,$O11,$T11),1)-2)*20)</f>
        <v>71.599999999999994</v>
      </c>
      <c r="V11" s="54">
        <f>IF($O11="","",ROUND(($O11-$O$3)/1000,1)+(_xlfn.RANK.AVG($O11,($J11,$O11,$T11),1)-2)*20)</f>
        <v>-20.6</v>
      </c>
      <c r="W11" s="55">
        <f>IF($T11="","",ROUND(($T11-$T$3)/1000,1)+(_xlfn.RANK.AVG($T11,($J11,$O11,$T11),1)-2)*20)</f>
        <v>-51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3</v>
      </c>
      <c r="AY11" s="30">
        <v>25</v>
      </c>
      <c r="AZ11" s="40" t="s">
        <v>82</v>
      </c>
      <c r="BA11" s="41" t="s">
        <v>101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ぱぱ</v>
      </c>
      <c r="F12" s="8" t="s">
        <v>202</v>
      </c>
      <c r="G12" s="9">
        <v>5300</v>
      </c>
      <c r="H12" s="9">
        <v>1000</v>
      </c>
      <c r="I12" s="48">
        <v>0</v>
      </c>
      <c r="J12" s="21">
        <f t="shared" si="2"/>
        <v>92900</v>
      </c>
      <c r="K12" s="8" t="s">
        <v>201</v>
      </c>
      <c r="L12" s="9">
        <v>-3300</v>
      </c>
      <c r="M12" s="9">
        <v>-1000</v>
      </c>
      <c r="N12" s="48">
        <v>0</v>
      </c>
      <c r="O12" s="21">
        <f t="shared" si="3"/>
        <v>10100</v>
      </c>
      <c r="P12" s="8" t="s">
        <v>201</v>
      </c>
      <c r="Q12" s="9">
        <v>-2000</v>
      </c>
      <c r="R12" s="9"/>
      <c r="S12" s="48">
        <v>0</v>
      </c>
      <c r="T12" s="21">
        <f t="shared" si="4"/>
        <v>2000</v>
      </c>
      <c r="U12" s="53">
        <f>IF($J12="","",ROUND(($J12-$J$3)/1000,1)+(_xlfn.RANK.AVG($J12,($J12,$O12,$T12),1)-2)*20)</f>
        <v>77.900000000000006</v>
      </c>
      <c r="V12" s="54">
        <f>IF($O12="","",ROUND(($O12-$O$3)/1000,1)+(_xlfn.RANK.AVG($O12,($J12,$O12,$T12),1)-2)*20)</f>
        <v>-24.9</v>
      </c>
      <c r="W12" s="55">
        <f>IF($T12="","",ROUND(($T12-$T$3)/1000,1)+(_xlfn.RANK.AVG($T12,($J12,$O12,$T12),1)-2)*20)</f>
        <v>-53</v>
      </c>
      <c r="Y12" s="8"/>
      <c r="Z12" s="34"/>
      <c r="AA12" s="26">
        <v>1</v>
      </c>
      <c r="AB12" s="26"/>
      <c r="AC12" s="26">
        <v>4</v>
      </c>
      <c r="AD12" s="30">
        <v>20</v>
      </c>
      <c r="AE12" s="40" t="s">
        <v>199</v>
      </c>
      <c r="AF12" s="41" t="s">
        <v>82</v>
      </c>
      <c r="AG12" s="41" t="s">
        <v>83</v>
      </c>
      <c r="AH12" s="41" t="s">
        <v>200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 t="s">
        <v>197</v>
      </c>
      <c r="G13" s="9">
        <v>7700</v>
      </c>
      <c r="H13" s="9"/>
      <c r="I13" s="48">
        <v>0</v>
      </c>
      <c r="J13" s="21">
        <f t="shared" si="2"/>
        <v>100600</v>
      </c>
      <c r="K13" s="8"/>
      <c r="L13" s="9"/>
      <c r="M13" s="9"/>
      <c r="N13" s="48"/>
      <c r="O13" s="21">
        <f t="shared" si="3"/>
        <v>10100</v>
      </c>
      <c r="P13" s="8" t="s">
        <v>196</v>
      </c>
      <c r="Q13" s="9">
        <v>-7700</v>
      </c>
      <c r="R13" s="9"/>
      <c r="S13" s="48">
        <v>0</v>
      </c>
      <c r="T13" s="21">
        <f t="shared" si="4"/>
        <v>-5700</v>
      </c>
      <c r="U13" s="53">
        <f>IF($J13="","",ROUND(($J13-$J$3)/1000,1)+(_xlfn.RANK.AVG($J13,($J13,$O13,$T13),1)-2)*20)</f>
        <v>85.6</v>
      </c>
      <c r="V13" s="54">
        <f>IF($O13="","",ROUND(($O13-$O$3)/1000,1)+(_xlfn.RANK.AVG($O13,($J13,$O13,$T13),1)-2)*20)</f>
        <v>-24.9</v>
      </c>
      <c r="W13" s="55">
        <f>IF($T13="","",ROUND(($T13-$T$3)/1000,1)+(_xlfn.RANK.AVG($T13,($J13,$O13,$T13),1)-2)*20)</f>
        <v>-60.7</v>
      </c>
      <c r="Y13" s="8"/>
      <c r="Z13" s="34"/>
      <c r="AA13" s="26">
        <v>1</v>
      </c>
      <c r="AB13" s="26"/>
      <c r="AC13" s="26">
        <v>4</v>
      </c>
      <c r="AD13" s="30">
        <v>30</v>
      </c>
      <c r="AE13" s="40" t="s">
        <v>199</v>
      </c>
      <c r="AF13" s="41" t="s">
        <v>83</v>
      </c>
      <c r="AG13" s="41" t="s">
        <v>85</v>
      </c>
      <c r="AH13" s="41" t="s">
        <v>200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13B4B808-C7AA-4334-A95C-AE320444BDDC}">
      <formula1>$U$2:$W$2</formula1>
    </dataValidation>
    <dataValidation type="list" showInputMessage="1" showErrorMessage="1" sqref="K4:K30 P4:P30 F4:F30" xr:uid="{20C18E8A-2551-4D86-8BB5-E18583D8C9EB}">
      <formula1>"ロン,ツモ,放銃,ツモ支払,流局,チョンボ"</formula1>
    </dataValidation>
    <dataValidation type="list" allowBlank="1" showInputMessage="1" sqref="F1:T1" xr:uid="{A8444E47-C02D-46C3-9CFB-FAA05FD2C0EE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70737-8A1D-4CB8-ADC0-9B8539779D0E}">
  <sheetPr codeName="Sheet21">
    <pageSetUpPr fitToPage="1"/>
  </sheetPr>
  <dimension ref="A1:CI30"/>
  <sheetViews>
    <sheetView tabSelected="1" zoomScaleNormal="100" workbookViewId="0">
      <selection activeCell="E13" sqref="E13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205</v>
      </c>
      <c r="G4" s="9">
        <v>-3000</v>
      </c>
      <c r="H4" s="9"/>
      <c r="I4" s="48"/>
      <c r="J4" s="21">
        <f>IF(COUNTA($F4,$K4,$P4)&gt;0,J3+SUM(G4:I4),"")</f>
        <v>32000</v>
      </c>
      <c r="K4" s="8" t="s">
        <v>205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205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0.5</v>
      </c>
      <c r="W4" s="55">
        <f>IF($T4="","",ROUND(($T4-$T$3)/1000,1)+(_xlfn.RANK.AVG($T4,($J4,$O4,$T4),1)-2)*20)</f>
        <v>21.5</v>
      </c>
      <c r="Y4" s="8" t="s">
        <v>204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206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ぱぱ</v>
      </c>
      <c r="F5" s="8" t="s">
        <v>201</v>
      </c>
      <c r="G5" s="9">
        <v>-1100</v>
      </c>
      <c r="H5" s="9"/>
      <c r="I5" s="48">
        <v>-500</v>
      </c>
      <c r="J5" s="21">
        <f t="shared" ref="J5:J30" si="2">IF(COUNTA($F5,$K5,$P5)&gt;0,J4+SUM(G5:I5),"")</f>
        <v>30400</v>
      </c>
      <c r="K5" s="8" t="s">
        <v>202</v>
      </c>
      <c r="L5" s="9">
        <v>2200</v>
      </c>
      <c r="M5" s="9">
        <v>1000</v>
      </c>
      <c r="N5" s="48">
        <v>1000</v>
      </c>
      <c r="O5" s="21">
        <f t="shared" ref="O5:O30" si="3">IF(COUNTA($F5,$K5,$P5)&gt;0,O4+SUM(L5:N5),"")</f>
        <v>39700</v>
      </c>
      <c r="P5" s="8" t="s">
        <v>201</v>
      </c>
      <c r="Q5" s="9">
        <v>-1100</v>
      </c>
      <c r="R5" s="9"/>
      <c r="S5" s="48">
        <v>-500</v>
      </c>
      <c r="T5" s="21">
        <f t="shared" ref="T5:T30" si="4">IF(COUNTA($F5,$K5,$P5)&gt;0,T4+SUM(Q5:S5),"")</f>
        <v>34900</v>
      </c>
      <c r="U5" s="53">
        <f>IF($J5="","",ROUND(($J5-$J$3)/1000,1)+(_xlfn.RANK.AVG($J5,($J5,$O5,$T5),1)-2)*20)</f>
        <v>-24.6</v>
      </c>
      <c r="V5" s="54">
        <f>IF($O5="","",ROUND(($O5-$O$3)/1000,1)+(_xlfn.RANK.AVG($O5,($J5,$O5,$T5),1)-2)*20)</f>
        <v>24.7</v>
      </c>
      <c r="W5" s="55">
        <f>IF($T5="","",ROUND(($T5-$T$3)/1000,1)+(_xlfn.RANK.AVG($T5,($J5,$O5,$T5),1)-2)*20)</f>
        <v>-0.1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20</v>
      </c>
      <c r="AZ5" s="40" t="s">
        <v>82</v>
      </c>
      <c r="BA5" s="41" t="s">
        <v>83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ぱぱ</v>
      </c>
      <c r="F6" s="8"/>
      <c r="G6" s="9"/>
      <c r="H6" s="9"/>
      <c r="I6" s="48"/>
      <c r="J6" s="21">
        <f t="shared" si="2"/>
        <v>30400</v>
      </c>
      <c r="K6" s="8" t="s">
        <v>197</v>
      </c>
      <c r="L6" s="9">
        <v>12000</v>
      </c>
      <c r="M6" s="9"/>
      <c r="N6" s="48">
        <v>2000</v>
      </c>
      <c r="O6" s="21">
        <f t="shared" si="3"/>
        <v>53700</v>
      </c>
      <c r="P6" s="8" t="s">
        <v>196</v>
      </c>
      <c r="Q6" s="9">
        <v>-12000</v>
      </c>
      <c r="R6" s="9"/>
      <c r="S6" s="48">
        <v>-2000</v>
      </c>
      <c r="T6" s="21">
        <f t="shared" si="4"/>
        <v>20900</v>
      </c>
      <c r="U6" s="53">
        <f>IF($J6="","",ROUND(($J6-$J$3)/1000,1)+(_xlfn.RANK.AVG($J6,($J6,$O6,$T6),1)-2)*20)</f>
        <v>-4.5999999999999996</v>
      </c>
      <c r="V6" s="54">
        <f>IF($O6="","",ROUND(($O6-$O$3)/1000,1)+(_xlfn.RANK.AVG($O6,($J6,$O6,$T6),1)-2)*20)</f>
        <v>38.700000000000003</v>
      </c>
      <c r="W6" s="55">
        <f>IF($T6="","",ROUND(($T6-$T$3)/1000,1)+(_xlfn.RANK.AVG($T6,($J6,$O6,$T6),1)-2)*20)</f>
        <v>-34.1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60</v>
      </c>
      <c r="AZ6" s="40" t="s">
        <v>199</v>
      </c>
      <c r="BA6" s="41" t="s">
        <v>203</v>
      </c>
      <c r="BB6" s="41" t="s">
        <v>80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IF($K$1="","",$K$1)</f>
        <v>ぱぱ</v>
      </c>
      <c r="F7" s="8" t="s">
        <v>197</v>
      </c>
      <c r="G7" s="9">
        <v>5200</v>
      </c>
      <c r="H7" s="9"/>
      <c r="I7" s="48">
        <v>3000</v>
      </c>
      <c r="J7" s="21">
        <f t="shared" si="2"/>
        <v>38600</v>
      </c>
      <c r="K7" s="8" t="s">
        <v>196</v>
      </c>
      <c r="L7" s="9">
        <v>-5200</v>
      </c>
      <c r="M7" s="9"/>
      <c r="N7" s="48">
        <v>-3000</v>
      </c>
      <c r="O7" s="21">
        <f t="shared" si="3"/>
        <v>45500</v>
      </c>
      <c r="P7" s="8"/>
      <c r="Q7" s="9"/>
      <c r="R7" s="9"/>
      <c r="S7" s="48"/>
      <c r="T7" s="21">
        <f t="shared" si="4"/>
        <v>20900</v>
      </c>
      <c r="U7" s="53">
        <f>IF($J7="","",ROUND(($J7-$J$3)/1000,1)+(_xlfn.RANK.AVG($J7,($J7,$O7,$T7),1)-2)*20)</f>
        <v>3.6</v>
      </c>
      <c r="V7" s="54">
        <f>IF($O7="","",ROUND(($O7-$O$3)/1000,1)+(_xlfn.RANK.AVG($O7,($J7,$O7,$T7),1)-2)*20)</f>
        <v>30.5</v>
      </c>
      <c r="W7" s="55">
        <f>IF($T7="","",ROUND(($T7-$T$3)/1000,1)+(_xlfn.RANK.AVG($T7,($J7,$O7,$T7),1)-2)*20)</f>
        <v>-34.1</v>
      </c>
      <c r="Y7" s="8"/>
      <c r="Z7" s="34"/>
      <c r="AA7" s="26"/>
      <c r="AB7" s="26"/>
      <c r="AC7" s="26">
        <v>3</v>
      </c>
      <c r="AD7" s="30">
        <v>40</v>
      </c>
      <c r="AE7" s="40" t="s">
        <v>84</v>
      </c>
      <c r="AF7" s="41" t="s">
        <v>79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201</v>
      </c>
      <c r="G8" s="9">
        <v>-1200</v>
      </c>
      <c r="H8" s="9"/>
      <c r="I8" s="48">
        <v>0</v>
      </c>
      <c r="J8" s="21">
        <f t="shared" si="2"/>
        <v>37400</v>
      </c>
      <c r="K8" s="8" t="s">
        <v>201</v>
      </c>
      <c r="L8" s="9">
        <v>-1200</v>
      </c>
      <c r="M8" s="9"/>
      <c r="N8" s="48">
        <v>0</v>
      </c>
      <c r="O8" s="21">
        <f t="shared" si="3"/>
        <v>44300</v>
      </c>
      <c r="P8" s="8" t="s">
        <v>202</v>
      </c>
      <c r="Q8" s="9">
        <v>2400</v>
      </c>
      <c r="R8" s="9"/>
      <c r="S8" s="48">
        <v>0</v>
      </c>
      <c r="T8" s="21">
        <f t="shared" si="4"/>
        <v>23300</v>
      </c>
      <c r="U8" s="53">
        <f>IF($J8="","",ROUND(($J8-$J$3)/1000,1)+(_xlfn.RANK.AVG($J8,($J8,$O8,$T8),1)-2)*20)</f>
        <v>2.4</v>
      </c>
      <c r="V8" s="54">
        <f>IF($O8="","",ROUND(($O8-$O$3)/1000,1)+(_xlfn.RANK.AVG($O8,($J8,$O8,$T8),1)-2)*20)</f>
        <v>29.3</v>
      </c>
      <c r="W8" s="55">
        <f>IF($T8="","",ROUND(($T8-$T$3)/1000,1)+(_xlfn.RANK.AVG($T8,($J8,$O8,$T8),1)-2)*20)</f>
        <v>-31.7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50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IF($P$1="","",$P$1)</f>
        <v>れんたろう</v>
      </c>
      <c r="F9" s="8" t="s">
        <v>196</v>
      </c>
      <c r="G9" s="9">
        <v>-5800</v>
      </c>
      <c r="H9" s="9"/>
      <c r="I9" s="48">
        <v>-1000</v>
      </c>
      <c r="J9" s="21">
        <f t="shared" si="2"/>
        <v>30600</v>
      </c>
      <c r="K9" s="8"/>
      <c r="L9" s="9"/>
      <c r="M9" s="9"/>
      <c r="N9" s="48"/>
      <c r="O9" s="21">
        <f t="shared" si="3"/>
        <v>44300</v>
      </c>
      <c r="P9" s="8" t="s">
        <v>197</v>
      </c>
      <c r="Q9" s="9">
        <v>5800</v>
      </c>
      <c r="R9" s="9"/>
      <c r="S9" s="48">
        <v>1000</v>
      </c>
      <c r="T9" s="21">
        <f t="shared" si="4"/>
        <v>30100</v>
      </c>
      <c r="U9" s="53">
        <f>IF($J9="","",ROUND(($J9-$J$3)/1000,1)+(_xlfn.RANK.AVG($J9,($J9,$O9,$T9),1)-2)*20)</f>
        <v>-4.4000000000000004</v>
      </c>
      <c r="V9" s="54">
        <f>IF($O9="","",ROUND(($O9-$O$3)/1000,1)+(_xlfn.RANK.AVG($O9,($J9,$O9,$T9),1)-2)*20)</f>
        <v>29.3</v>
      </c>
      <c r="W9" s="55">
        <f>IF($T9="","",ROUND(($T9-$T$3)/1000,1)+(_xlfn.RANK.AVG($T9,($J9,$O9,$T9),1)-2)*20)</f>
        <v>-24.9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86</v>
      </c>
      <c r="BV9" s="41" t="s">
        <v>104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tr">
        <f>IF($P$1="","",$P$1)</f>
        <v>れんたろう</v>
      </c>
      <c r="F10" s="8" t="s">
        <v>205</v>
      </c>
      <c r="G10" s="9">
        <v>1500</v>
      </c>
      <c r="H10" s="9"/>
      <c r="I10" s="48"/>
      <c r="J10" s="21">
        <f t="shared" si="2"/>
        <v>32100</v>
      </c>
      <c r="K10" s="8" t="s">
        <v>205</v>
      </c>
      <c r="L10" s="9">
        <v>-3000</v>
      </c>
      <c r="M10" s="9"/>
      <c r="N10" s="48"/>
      <c r="O10" s="21">
        <f t="shared" si="3"/>
        <v>41300</v>
      </c>
      <c r="P10" s="8" t="s">
        <v>205</v>
      </c>
      <c r="Q10" s="9">
        <v>1500</v>
      </c>
      <c r="R10" s="9">
        <v>-1000</v>
      </c>
      <c r="S10" s="48"/>
      <c r="T10" s="21">
        <f t="shared" si="4"/>
        <v>30600</v>
      </c>
      <c r="U10" s="53">
        <f>IF($J10="","",ROUND(($J10-$J$3)/1000,1)+(_xlfn.RANK.AVG($J10,($J10,$O10,$T10),1)-2)*20)</f>
        <v>-2.9</v>
      </c>
      <c r="V10" s="54">
        <f>IF($O10="","",ROUND(($O10-$O$3)/1000,1)+(_xlfn.RANK.AVG($O10,($J10,$O10,$T10),1)-2)*20)</f>
        <v>26.3</v>
      </c>
      <c r="W10" s="55">
        <f>IF($T10="","",ROUND(($T10-$T$3)/1000,1)+(_xlfn.RANK.AVG($T10,($J10,$O10,$T10),1)-2)*20)</f>
        <v>-24.4</v>
      </c>
      <c r="Y10" s="8" t="s">
        <v>206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3</v>
      </c>
      <c r="D11" s="18">
        <f t="shared" si="1"/>
        <v>1</v>
      </c>
      <c r="E11" s="4" t="str">
        <f>IF($P$1="","",$P$1)</f>
        <v>れんたろう</v>
      </c>
      <c r="F11" s="8" t="s">
        <v>196</v>
      </c>
      <c r="G11" s="9">
        <v>-11600</v>
      </c>
      <c r="H11" s="9"/>
      <c r="I11" s="48">
        <v>-3000</v>
      </c>
      <c r="J11" s="21">
        <f t="shared" si="2"/>
        <v>17500</v>
      </c>
      <c r="K11" s="8" t="s">
        <v>197</v>
      </c>
      <c r="L11" s="9">
        <v>2000</v>
      </c>
      <c r="M11" s="9">
        <v>1000</v>
      </c>
      <c r="N11" s="48">
        <v>3000</v>
      </c>
      <c r="O11" s="21">
        <f t="shared" si="3"/>
        <v>47300</v>
      </c>
      <c r="P11" s="8" t="s">
        <v>197</v>
      </c>
      <c r="Q11" s="9">
        <v>9600</v>
      </c>
      <c r="R11" s="9"/>
      <c r="S11" s="48"/>
      <c r="T11" s="21">
        <f t="shared" si="4"/>
        <v>40200</v>
      </c>
      <c r="U11" s="53">
        <f>IF($J11="","",ROUND(($J11-$J$3)/1000,1)+(_xlfn.RANK.AVG($J11,($J11,$O11,$T11),1)-2)*20)</f>
        <v>-37.5</v>
      </c>
      <c r="V11" s="54">
        <f>IF($O11="","",ROUND(($O11-$O$3)/1000,1)+(_xlfn.RANK.AVG($O11,($J11,$O11,$T11),1)-2)*20)</f>
        <v>32.299999999999997</v>
      </c>
      <c r="W11" s="55">
        <f>IF($T11="","",ROUND(($T11-$T$3)/1000,1)+(_xlfn.RANK.AVG($T11,($J11,$O11,$T11),1)-2)*20)</f>
        <v>5.2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203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25</v>
      </c>
      <c r="BU11" s="40" t="s">
        <v>101</v>
      </c>
      <c r="BV11" s="41" t="s">
        <v>79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2</v>
      </c>
      <c r="C12" s="18">
        <f t="shared" si="6"/>
        <v>4</v>
      </c>
      <c r="D12" s="18">
        <f t="shared" si="1"/>
        <v>0</v>
      </c>
      <c r="E12" s="4" t="s">
        <v>194</v>
      </c>
      <c r="F12" s="8" t="s">
        <v>197</v>
      </c>
      <c r="G12" s="9">
        <v>8000</v>
      </c>
      <c r="H12" s="9"/>
      <c r="I12" s="48">
        <v>4000</v>
      </c>
      <c r="J12" s="21">
        <f t="shared" si="2"/>
        <v>29500</v>
      </c>
      <c r="K12" s="8" t="s">
        <v>196</v>
      </c>
      <c r="L12" s="9">
        <v>-8000</v>
      </c>
      <c r="M12" s="9"/>
      <c r="N12" s="48">
        <v>-4000</v>
      </c>
      <c r="O12" s="21">
        <f t="shared" si="3"/>
        <v>35300</v>
      </c>
      <c r="P12" s="8"/>
      <c r="Q12" s="9"/>
      <c r="R12" s="9"/>
      <c r="S12" s="48"/>
      <c r="T12" s="21">
        <f t="shared" si="4"/>
        <v>40200</v>
      </c>
      <c r="U12" s="53">
        <f>IF($J12="","",ROUND(($J12-$J$3)/1000,1)+(_xlfn.RANK.AVG($J12,($J12,$O12,$T12),1)-2)*20)</f>
        <v>-25.5</v>
      </c>
      <c r="V12" s="54">
        <f>IF($O12="","",ROUND(($O12-$O$3)/1000,1)+(_xlfn.RANK.AVG($O12,($J12,$O12,$T12),1)-2)*20)</f>
        <v>0.3</v>
      </c>
      <c r="W12" s="55">
        <f>IF($T12="","",ROUND(($T12-$T$3)/1000,1)+(_xlfn.RANK.AVG($T12,($J12,$O12,$T12),1)-2)*20)</f>
        <v>25.2</v>
      </c>
      <c r="Y12" s="8"/>
      <c r="Z12" s="34"/>
      <c r="AA12" s="26"/>
      <c r="AB12" s="26"/>
      <c r="AC12" s="26">
        <v>4</v>
      </c>
      <c r="AD12" s="30">
        <v>40</v>
      </c>
      <c r="AE12" s="40" t="s">
        <v>85</v>
      </c>
      <c r="AF12" s="41" t="s">
        <v>79</v>
      </c>
      <c r="AG12" s="41" t="s">
        <v>79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IF($F$1="","",$F$1)</f>
        <v>だいち</v>
      </c>
      <c r="F13" s="8" t="s">
        <v>197</v>
      </c>
      <c r="G13" s="9">
        <v>3900</v>
      </c>
      <c r="H13" s="9"/>
      <c r="I13" s="48">
        <v>0</v>
      </c>
      <c r="J13" s="21">
        <f t="shared" si="2"/>
        <v>33400</v>
      </c>
      <c r="K13" s="8"/>
      <c r="L13" s="9"/>
      <c r="M13" s="9"/>
      <c r="N13" s="48"/>
      <c r="O13" s="21">
        <f t="shared" si="3"/>
        <v>35300</v>
      </c>
      <c r="P13" s="8" t="s">
        <v>196</v>
      </c>
      <c r="Q13" s="9">
        <v>-3900</v>
      </c>
      <c r="R13" s="9"/>
      <c r="S13" s="48">
        <v>0</v>
      </c>
      <c r="T13" s="21">
        <f t="shared" si="4"/>
        <v>36300</v>
      </c>
      <c r="U13" s="53">
        <f>IF($J13="","",ROUND(($J13-$J$3)/1000,1)+(_xlfn.RANK.AVG($J13,($J13,$O13,$T13),1)-2)*20)</f>
        <v>-21.6</v>
      </c>
      <c r="V13" s="54">
        <f>IF($O13="","",ROUND(($O13-$O$3)/1000,1)+(_xlfn.RANK.AVG($O13,($J13,$O13,$T13),1)-2)*20)</f>
        <v>0.3</v>
      </c>
      <c r="W13" s="55">
        <f>IF($T13="","",ROUND(($T13-$T$3)/1000,1)+(_xlfn.RANK.AVG($T13,($J13,$O13,$T13),1)-2)*20)</f>
        <v>21.3</v>
      </c>
      <c r="Y13" s="8"/>
      <c r="Z13" s="34"/>
      <c r="AA13" s="26"/>
      <c r="AB13" s="26">
        <v>1</v>
      </c>
      <c r="AC13" s="26">
        <v>2</v>
      </c>
      <c r="AD13" s="30">
        <v>40</v>
      </c>
      <c r="AE13" s="40" t="s">
        <v>86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IF($F$1="","",$F$1)</f>
        <v>だいち</v>
      </c>
      <c r="F14" s="8" t="s">
        <v>201</v>
      </c>
      <c r="G14" s="9">
        <v>-1300</v>
      </c>
      <c r="H14" s="9"/>
      <c r="I14" s="48">
        <v>-500</v>
      </c>
      <c r="J14" s="21">
        <f t="shared" si="2"/>
        <v>31600</v>
      </c>
      <c r="K14" s="8" t="s">
        <v>202</v>
      </c>
      <c r="L14" s="9">
        <v>2100</v>
      </c>
      <c r="M14" s="9"/>
      <c r="N14" s="48">
        <v>1000</v>
      </c>
      <c r="O14" s="21">
        <f t="shared" si="3"/>
        <v>38400</v>
      </c>
      <c r="P14" s="8" t="s">
        <v>201</v>
      </c>
      <c r="Q14" s="9">
        <v>-800</v>
      </c>
      <c r="R14" s="9"/>
      <c r="S14" s="48">
        <v>-500</v>
      </c>
      <c r="T14" s="21">
        <f t="shared" si="4"/>
        <v>35000</v>
      </c>
      <c r="U14" s="53">
        <f>IF($J14="","",ROUND(($J14-$J$3)/1000,1)+(_xlfn.RANK.AVG($J14,($J14,$O14,$T14),1)-2)*20)</f>
        <v>-23.4</v>
      </c>
      <c r="V14" s="54">
        <f>IF($O14="","",ROUND(($O14-$O$3)/1000,1)+(_xlfn.RANK.AVG($O14,($J14,$O14,$T14),1)-2)*20)</f>
        <v>23.4</v>
      </c>
      <c r="W14" s="55">
        <f>IF($T14="","",ROUND(($T14-$T$3)/1000,1)+(_xlfn.RANK.AVG($T14,($J14,$O14,$T14),1)-2)*20)</f>
        <v>0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2</v>
      </c>
      <c r="AY14" s="30">
        <v>30</v>
      </c>
      <c r="AZ14" s="40" t="s">
        <v>86</v>
      </c>
      <c r="BA14" s="41" t="s">
        <v>203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tr">
        <f>IF($K$1="","",$K$1)</f>
        <v>ぱぱ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767AB30-5B27-4976-8947-82011703215B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8B5E7188-BF4F-4672-9B13-2559D086B432}">
      <formula1>"ロン,ツモ,放銃,ツモ支払,流局,チョンボ"</formula1>
    </dataValidation>
    <dataValidation type="list" allowBlank="1" showInputMessage="1" showErrorMessage="1" sqref="E4:E30" xr:uid="{35E8832E-814C-43DF-BFE6-B4693FD0428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2022-07-24T07:59:25Z</dcterms:modified>
</cp:coreProperties>
</file>