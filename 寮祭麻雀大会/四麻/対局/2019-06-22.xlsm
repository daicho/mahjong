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四麻\対局\"/>
    </mc:Choice>
  </mc:AlternateContent>
  <xr:revisionPtr revIDLastSave="0" documentId="13_ncr:1_{B6304B88-D6CF-4354-A2D4-DEDE86175130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D8" i="21"/>
  <c r="D7" i="21"/>
  <c r="C7" i="21"/>
  <c r="C8" i="21" s="1"/>
  <c r="D6" i="21"/>
  <c r="C6" i="21"/>
  <c r="B6" i="21"/>
  <c r="B7" i="21" s="1"/>
  <c r="O5" i="21"/>
  <c r="O6" i="21" s="1"/>
  <c r="D5" i="21"/>
  <c r="C5" i="21"/>
  <c r="B5" i="21"/>
  <c r="A5" i="21"/>
  <c r="Y4" i="21"/>
  <c r="Y5" i="21" s="1"/>
  <c r="T4" i="21"/>
  <c r="T5" i="21" s="1"/>
  <c r="O4" i="21"/>
  <c r="J4" i="21"/>
  <c r="J5" i="21" s="1"/>
  <c r="AC3" i="21"/>
  <c r="AB3" i="21"/>
  <c r="AA3" i="21"/>
  <c r="Z3" i="21"/>
  <c r="AC2" i="21"/>
  <c r="AB2" i="21"/>
  <c r="AA2" i="21"/>
  <c r="Z2" i="21"/>
  <c r="A6" i="21" l="1"/>
  <c r="Y6" i="21"/>
  <c r="AC5" i="21"/>
  <c r="Z5" i="21"/>
  <c r="J6" i="21"/>
  <c r="B8" i="21"/>
  <c r="A8" i="21" s="1"/>
  <c r="O7" i="21"/>
  <c r="AA6" i="21"/>
  <c r="T6" i="21"/>
  <c r="AB5" i="21"/>
  <c r="AC4" i="21"/>
  <c r="A7" i="21"/>
  <c r="AA5" i="21"/>
  <c r="Z4" i="21"/>
  <c r="AA4" i="21"/>
  <c r="AB4" i="21"/>
  <c r="AC3" i="20"/>
  <c r="AB3" i="20"/>
  <c r="AA3" i="20"/>
  <c r="Z3" i="20"/>
  <c r="O8" i="21" l="1"/>
  <c r="AA8" i="21" s="1"/>
  <c r="AA7" i="21"/>
  <c r="J7" i="21"/>
  <c r="Z6" i="21"/>
  <c r="T7" i="21"/>
  <c r="AB6" i="21"/>
  <c r="Y7" i="21"/>
  <c r="AC6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Y8" i="21" l="1"/>
  <c r="AC7" i="21"/>
  <c r="AB7" i="21"/>
  <c r="T8" i="21"/>
  <c r="AB8" i="21" s="1"/>
  <c r="J8" i="21"/>
  <c r="Z8" i="21" s="1"/>
  <c r="Z7" i="21"/>
  <c r="Z4" i="20"/>
  <c r="AA4" i="20"/>
  <c r="AB4" i="20"/>
  <c r="AC4" i="20"/>
  <c r="C6" i="20"/>
  <c r="J5" i="20"/>
  <c r="Y5" i="20"/>
  <c r="O5" i="20"/>
  <c r="T5" i="20"/>
  <c r="A5" i="20"/>
  <c r="T6" i="20"/>
  <c r="AB6" i="20" s="1"/>
  <c r="Y6" i="20"/>
  <c r="AC6" i="20" s="1"/>
  <c r="J6" i="20"/>
  <c r="Z6" i="20" s="1"/>
  <c r="O6" i="20"/>
  <c r="AA6" i="20" s="1"/>
  <c r="A6" i="20"/>
  <c r="B7" i="20"/>
  <c r="AC8" i="21" l="1"/>
  <c r="C7" i="20"/>
  <c r="AB5" i="20"/>
  <c r="AA5" i="20"/>
  <c r="AC5" i="20"/>
  <c r="Z5" i="20"/>
  <c r="B8" i="20"/>
  <c r="O7" i="20"/>
  <c r="Y7" i="20"/>
  <c r="A7" i="20"/>
  <c r="J7" i="20"/>
  <c r="T7" i="20"/>
  <c r="AB7" i="20" l="1"/>
  <c r="AC7" i="20"/>
  <c r="AA7" i="20"/>
  <c r="Z7" i="20"/>
  <c r="B9" i="20"/>
  <c r="O8" i="20"/>
  <c r="T8" i="20"/>
  <c r="J8" i="20"/>
  <c r="Y8" i="20"/>
  <c r="A8" i="20"/>
  <c r="AC8" i="20" l="1"/>
  <c r="Z8" i="20"/>
  <c r="AB8" i="20"/>
  <c r="AA8" i="20"/>
  <c r="J9" i="20"/>
  <c r="B10" i="20"/>
  <c r="O9" i="20"/>
  <c r="Y9" i="20"/>
  <c r="T9" i="20"/>
  <c r="A9" i="20"/>
  <c r="Z9" i="20" l="1"/>
  <c r="AB9" i="20"/>
  <c r="AC9" i="20"/>
  <c r="AA9" i="20"/>
  <c r="B11" i="20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<sst xmlns="http://schemas.openxmlformats.org/spreadsheetml/2006/main" count="430" uniqueCount="42">
  <si>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</si>
  <si>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</si>
  <si>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</si>
  <si>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</si>
  <si>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</si>
  <si>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</si>
  <si>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</si>
  <si>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</si>
  <si>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</si>
  <si>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</si>
  <si>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</si>
  <si>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</si>
  <si>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</si>
  <si>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</si>
  <si>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</si>
  <si>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</si>
  <si>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</si>
  <si>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</si>
  <si>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</si>
  <si>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</si>
  <si>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</si>
  <si>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</si>
  <si>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いしざわ</t>
  </si>
  <si>
    <t>いしざわ</t>
    <phoneticPr fontId="1"/>
  </si>
  <si>
    <t>きたざわ</t>
  </si>
  <si>
    <t>きたざわ</t>
    <phoneticPr fontId="1"/>
  </si>
  <si>
    <t>みずさわ</t>
  </si>
  <si>
    <t>みずさわ</t>
    <phoneticPr fontId="1"/>
  </si>
  <si>
    <t>やがさき</t>
  </si>
  <si>
    <t>やがさき</t>
    <phoneticPr fontId="1"/>
  </si>
  <si>
    <t>ロン</t>
  </si>
  <si>
    <t>放銃</t>
  </si>
  <si>
    <t>ツモ支払</t>
  </si>
  <si>
    <t>ツモ</t>
  </si>
  <si>
    <t>流局</t>
    <phoneticPr fontId="1"/>
  </si>
  <si>
    <t>だいち</t>
  </si>
  <si>
    <t>だいち</t>
    <phoneticPr fontId="1"/>
  </si>
  <si>
    <t>おおいけ</t>
  </si>
  <si>
    <t>おおいけ</t>
    <phoneticPr fontId="1"/>
  </si>
  <si>
    <t>たかの</t>
  </si>
  <si>
    <t>たかの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</si>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</sst>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zoomScale="72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29</v>
      </c>
      <c r="L1" s="44"/>
      <c r="M1" s="44"/>
      <c r="N1" s="45"/>
      <c r="O1" s="46"/>
      <c r="P1" s="43" t="s">
        <v>25</v>
      </c>
      <c r="Q1" s="44"/>
      <c r="R1" s="44"/>
      <c r="S1" s="45"/>
      <c r="T1" s="46"/>
      <c r="U1" s="43" t="s">
        <v>27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いしざわ</v>
      </c>
      <c r="AA2" s="40" t="str">
        <f>$K$1</f>
        <v>やがさき</v>
      </c>
      <c r="AB2" s="40" t="str">
        <f>$P$1</f>
        <v>きたざわ</v>
      </c>
      <c r="AC2" s="16" t="str">
        <f>$U$1</f>
        <v>みずさわ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28</v>
      </c>
      <c r="F4" s="8"/>
      <c r="G4" s="9"/>
      <c r="H4" s="9"/>
      <c r="I4" s="28"/>
      <c r="J4" s="21">
        <f>IF(COUNTA($F4,$K4,$P4,$U4)&gt;0,J3+SUM(G4:I4),"")</f>
        <v>30000</v>
      </c>
      <c r="K4" s="8" t="s">
        <v>30</v>
      </c>
      <c r="L4" s="9">
        <v>2000</v>
      </c>
      <c r="M4" s="9"/>
      <c r="N4" s="28">
        <v>0</v>
      </c>
      <c r="O4" s="21">
        <f>IF(COUNTA($F4,$K4,$P4,$U4)&gt;0,O3+SUM(L4:N4),"")</f>
        <v>32000</v>
      </c>
      <c r="P4" s="8" t="s">
        <v>31</v>
      </c>
      <c r="Q4" s="9">
        <v>-2000</v>
      </c>
      <c r="R4" s="9"/>
      <c r="S4" s="28">
        <v>0</v>
      </c>
      <c r="T4" s="21">
        <f>IF(COUNTA($F4,$K4,$P4,$U4)&gt;0,T3+SUM(Q4:S4),"")</f>
        <v>28000</v>
      </c>
      <c r="U4" s="8"/>
      <c r="V4" s="9"/>
      <c r="W4" s="9"/>
      <c r="X4" s="28"/>
      <c r="Y4" s="21">
        <f>IF(COUNTA($F4,$K4,$P4,$U4)&gt;0,Y3+SUM(V4:X4),"")</f>
        <v>30000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2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9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28</v>
      </c>
      <c r="F5" s="8" t="s">
        <v>30</v>
      </c>
      <c r="G5" s="9">
        <v>6400</v>
      </c>
      <c r="H5" s="9">
        <v>1000</v>
      </c>
      <c r="I5" s="28">
        <v>300</v>
      </c>
      <c r="J5" s="21">
        <f t="shared" ref="J5:J30" si="1">IF(COUNTA($F5,$K5,$P5,$U5)&gt;0,J4+SUM(G5:I5),"")</f>
        <v>37700</v>
      </c>
      <c r="K5" s="8" t="s">
        <v>31</v>
      </c>
      <c r="L5" s="9">
        <v>-6400</v>
      </c>
      <c r="M5" s="9"/>
      <c r="N5" s="28">
        <v>-300</v>
      </c>
      <c r="O5" s="21">
        <f t="shared" ref="O5:O30" si="2">IF(COUNTA($F5,$K5,$P5,$U5)&gt;0,O4+SUM(L5:N5),"")</f>
        <v>25300</v>
      </c>
      <c r="P5" s="8"/>
      <c r="Q5" s="9"/>
      <c r="R5" s="9"/>
      <c r="S5" s="28"/>
      <c r="T5" s="21">
        <f t="shared" ref="T5:T30" si="3">IF(COUNTA($F5,$K5,$P5,$U5)&gt;0,T4+SUM(Q5:S5),"")</f>
        <v>28000</v>
      </c>
      <c r="U5" s="8"/>
      <c r="V5" s="9"/>
      <c r="W5" s="9">
        <v>-1000</v>
      </c>
      <c r="X5" s="28"/>
      <c r="Y5" s="21">
        <f t="shared" ref="Y5:Y30" si="4">IF(COUNTA($F5,$K5,$P5,$U5)&gt;0,Y4+SUM(V5:X5),"")</f>
        <v>29000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37.700000000000003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-14.7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-12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-11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24</v>
      </c>
      <c r="F6" s="8" t="s">
        <v>32</v>
      </c>
      <c r="G6" s="9">
        <v>-500</v>
      </c>
      <c r="H6" s="9"/>
      <c r="I6" s="28">
        <v>0</v>
      </c>
      <c r="J6" s="21">
        <f t="shared" si="1"/>
        <v>37200</v>
      </c>
      <c r="K6" s="8" t="s">
        <v>32</v>
      </c>
      <c r="L6" s="9">
        <v>-500</v>
      </c>
      <c r="M6" s="9"/>
      <c r="N6" s="28">
        <v>0</v>
      </c>
      <c r="O6" s="21">
        <f t="shared" si="2"/>
        <v>24800</v>
      </c>
      <c r="P6" s="8" t="s">
        <v>32</v>
      </c>
      <c r="Q6" s="9">
        <v>-1000</v>
      </c>
      <c r="R6" s="9"/>
      <c r="S6" s="28">
        <v>0</v>
      </c>
      <c r="T6" s="21">
        <f t="shared" si="3"/>
        <v>27000</v>
      </c>
      <c r="U6" s="8" t="s">
        <v>33</v>
      </c>
      <c r="V6" s="9">
        <v>2000</v>
      </c>
      <c r="W6" s="9"/>
      <c r="X6" s="28">
        <v>0</v>
      </c>
      <c r="Y6" s="21">
        <f t="shared" si="4"/>
        <v>31000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22.2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-15.2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-13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6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26</v>
      </c>
      <c r="F7" s="8" t="s">
        <v>34</v>
      </c>
      <c r="G7" s="9">
        <v>-1500</v>
      </c>
      <c r="H7" s="9"/>
      <c r="I7" s="28"/>
      <c r="J7" s="21">
        <f t="shared" si="1"/>
        <v>35700</v>
      </c>
      <c r="K7" s="8" t="s">
        <v>34</v>
      </c>
      <c r="L7" s="9">
        <v>1500</v>
      </c>
      <c r="M7" s="9"/>
      <c r="N7" s="28"/>
      <c r="O7" s="21">
        <f t="shared" si="2"/>
        <v>26300</v>
      </c>
      <c r="P7" s="8" t="s">
        <v>34</v>
      </c>
      <c r="Q7" s="9">
        <v>1500</v>
      </c>
      <c r="R7" s="9"/>
      <c r="S7" s="28"/>
      <c r="T7" s="21">
        <f t="shared" si="3"/>
        <v>28500</v>
      </c>
      <c r="U7" s="8" t="s">
        <v>34</v>
      </c>
      <c r="V7" s="9">
        <v>-1500</v>
      </c>
      <c r="W7" s="9"/>
      <c r="X7" s="28"/>
      <c r="Y7" s="21">
        <f t="shared" si="4"/>
        <v>29500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35.700000000000003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-13.7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-11.5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-10.5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1</v>
      </c>
      <c r="D8" s="18">
        <f>IF($E8="","",IF(OR($F7="流局",$F7="チョンボ"),D7+($H7+$M7+$R7+$W7)/-1000,0))</f>
        <v>0</v>
      </c>
      <c r="E8" s="4" t="s">
        <v>22</v>
      </c>
      <c r="F8" s="8" t="s">
        <v>34</v>
      </c>
      <c r="G8" s="9">
        <v>-1000</v>
      </c>
      <c r="H8" s="9">
        <v>1000</v>
      </c>
      <c r="I8" s="28"/>
      <c r="J8" s="21">
        <f t="shared" si="1"/>
        <v>35700</v>
      </c>
      <c r="K8" s="8" t="s">
        <v>34</v>
      </c>
      <c r="L8" s="9">
        <v>-1000</v>
      </c>
      <c r="M8" s="9"/>
      <c r="N8" s="28"/>
      <c r="O8" s="21">
        <f t="shared" si="2"/>
        <v>25300</v>
      </c>
      <c r="P8" s="8" t="s">
        <v>34</v>
      </c>
      <c r="Q8" s="9">
        <v>-1000</v>
      </c>
      <c r="R8" s="9"/>
      <c r="S8" s="28"/>
      <c r="T8" s="21">
        <f t="shared" si="3"/>
        <v>27500</v>
      </c>
      <c r="U8" s="8" t="s">
        <v>34</v>
      </c>
      <c r="V8" s="9">
        <v>3000</v>
      </c>
      <c r="W8" s="9">
        <v>-1000</v>
      </c>
      <c r="X8" s="28"/>
      <c r="Y8" s="21">
        <f t="shared" si="4"/>
        <v>31500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20.7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-14.7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-12.5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6.5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937E-60BA-4229-A6E2-669D59CF6A27}">
  <sheetPr codeName="Sheet9">
    <pageSetUpPr fitToPage="1"/>
  </sheetPr>
  <dimension ref="A1:AC30"/>
  <sheetViews>
    <sheetView tabSelected="1" zoomScale="72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36</v>
      </c>
      <c r="L1" s="44"/>
      <c r="M1" s="44"/>
      <c r="N1" s="45"/>
      <c r="O1" s="46"/>
      <c r="P1" s="43" t="s">
        <v>38</v>
      </c>
      <c r="Q1" s="44"/>
      <c r="R1" s="44"/>
      <c r="S1" s="45"/>
      <c r="T1" s="46"/>
      <c r="U1" s="43" t="s">
        <v>40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いしざわ</v>
      </c>
      <c r="AA2" s="42" t="str">
        <f>$K$1</f>
        <v>だいち</v>
      </c>
      <c r="AB2" s="42" t="str">
        <f>$P$1</f>
        <v>おおいけ</v>
      </c>
      <c r="AC2" s="16" t="str">
        <f>$U$1</f>
        <v>たかの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39</v>
      </c>
      <c r="F4" s="8" t="s">
        <v>41</v>
      </c>
      <c r="G4" s="9">
        <v>-1500</v>
      </c>
      <c r="H4" s="9"/>
      <c r="I4" s="28"/>
      <c r="J4" s="21">
        <f>IF(COUNTA($F4,$K4,$P4,$U4)&gt;0,J3+SUM(G4:I4),"")</f>
        <v>28500</v>
      </c>
      <c r="K4" s="8" t="s">
        <v>41</v>
      </c>
      <c r="L4" s="9">
        <v>1500</v>
      </c>
      <c r="M4" s="9"/>
      <c r="N4" s="28"/>
      <c r="O4" s="21">
        <f>IF(COUNTA($F4,$K4,$P4,$U4)&gt;0,O3+SUM(L4:N4),"")</f>
        <v>31500</v>
      </c>
      <c r="P4" s="8" t="s">
        <v>41</v>
      </c>
      <c r="Q4" s="9">
        <v>1500</v>
      </c>
      <c r="R4" s="9">
        <v>-1000</v>
      </c>
      <c r="S4" s="28"/>
      <c r="T4" s="21">
        <f>IF(COUNTA($F4,$K4,$P4,$U4)&gt;0,T3+SUM(Q4:S4),"")</f>
        <v>30500</v>
      </c>
      <c r="U4" s="8" t="s">
        <v>41</v>
      </c>
      <c r="V4" s="9">
        <v>-1500</v>
      </c>
      <c r="W4" s="9"/>
      <c r="X4" s="28"/>
      <c r="Y4" s="21">
        <f>IF(COUNTA($F4,$K4,$P4,$U4)&gt;0,Y3+SUM(V4:X4),"")</f>
        <v>28500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-11.5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16.5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5.5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-11.5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1</v>
      </c>
      <c r="E5" s="4" t="s">
        <v>22</v>
      </c>
      <c r="F5" s="8" t="s">
        <v>41</v>
      </c>
      <c r="G5" s="9">
        <v>-1500</v>
      </c>
      <c r="H5" s="9"/>
      <c r="I5" s="28"/>
      <c r="J5" s="21">
        <f t="shared" ref="J5:J30" si="1">IF(COUNTA($F5,$K5,$P5,$U5)&gt;0,J4+SUM(G5:I5),"")</f>
        <v>27000</v>
      </c>
      <c r="K5" s="8" t="s">
        <v>41</v>
      </c>
      <c r="L5" s="9">
        <v>-1500</v>
      </c>
      <c r="M5" s="9"/>
      <c r="N5" s="28"/>
      <c r="O5" s="21">
        <f t="shared" ref="O5:O30" si="2">IF(COUNTA($F5,$K5,$P5,$U5)&gt;0,O4+SUM(L5:N5),"")</f>
        <v>30000</v>
      </c>
      <c r="P5" s="8" t="s">
        <v>41</v>
      </c>
      <c r="Q5" s="9">
        <v>1500</v>
      </c>
      <c r="R5" s="9">
        <v>-1000</v>
      </c>
      <c r="S5" s="28"/>
      <c r="T5" s="21">
        <f t="shared" ref="T5:T30" si="3">IF(COUNTA($F5,$K5,$P5,$U5)&gt;0,T4+SUM(Q5:S5),"")</f>
        <v>31000</v>
      </c>
      <c r="U5" s="8" t="s">
        <v>41</v>
      </c>
      <c r="V5" s="9">
        <v>1500</v>
      </c>
      <c r="W5" s="9"/>
      <c r="X5" s="28"/>
      <c r="Y5" s="21">
        <f t="shared" ref="Y5:Y30" si="4">IF(COUNTA($F5,$K5,$P5,$U5)&gt;0,Y4+SUM(V5:X5),"")</f>
        <v>30000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-13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2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8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2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2</v>
      </c>
      <c r="D6" s="18">
        <f t="shared" ref="D6:D30" si="7">IF($E6="","",IF(OR($F5="流局",$F5="チョンボ"),D5+($H5+$M5+$R5+$W5)/-1000,0))</f>
        <v>2</v>
      </c>
      <c r="E6" s="4" t="s">
        <v>35</v>
      </c>
      <c r="F6" s="8" t="s">
        <v>33</v>
      </c>
      <c r="G6" s="9">
        <v>5200</v>
      </c>
      <c r="H6" s="9">
        <v>2000</v>
      </c>
      <c r="I6" s="28">
        <v>600</v>
      </c>
      <c r="J6" s="21">
        <f t="shared" si="1"/>
        <v>34800</v>
      </c>
      <c r="K6" s="8" t="s">
        <v>32</v>
      </c>
      <c r="L6" s="9">
        <v>-2600</v>
      </c>
      <c r="M6" s="9"/>
      <c r="N6" s="28">
        <v>-200</v>
      </c>
      <c r="O6" s="21">
        <f t="shared" si="2"/>
        <v>27200</v>
      </c>
      <c r="P6" s="8" t="s">
        <v>32</v>
      </c>
      <c r="Q6" s="9">
        <v>-1300</v>
      </c>
      <c r="R6" s="9"/>
      <c r="S6" s="28">
        <v>-200</v>
      </c>
      <c r="T6" s="21">
        <f t="shared" si="3"/>
        <v>29500</v>
      </c>
      <c r="U6" s="8" t="s">
        <v>32</v>
      </c>
      <c r="V6" s="9">
        <v>-1300</v>
      </c>
      <c r="W6" s="9"/>
      <c r="X6" s="28">
        <v>-200</v>
      </c>
      <c r="Y6" s="21">
        <f t="shared" si="4"/>
        <v>28500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34.799999999999997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-12.8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-10.5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-11.5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37</v>
      </c>
      <c r="F7" s="8" t="s">
        <v>32</v>
      </c>
      <c r="G7" s="9">
        <v>-4000</v>
      </c>
      <c r="H7" s="9"/>
      <c r="I7" s="28">
        <v>0</v>
      </c>
      <c r="J7" s="21">
        <f t="shared" si="1"/>
        <v>30800</v>
      </c>
      <c r="K7" s="8" t="s">
        <v>32</v>
      </c>
      <c r="L7" s="9">
        <v>-4000</v>
      </c>
      <c r="M7" s="9"/>
      <c r="N7" s="28">
        <v>0</v>
      </c>
      <c r="O7" s="21">
        <f t="shared" si="2"/>
        <v>23200</v>
      </c>
      <c r="P7" s="8" t="s">
        <v>32</v>
      </c>
      <c r="Q7" s="9">
        <v>-8000</v>
      </c>
      <c r="R7" s="9"/>
      <c r="S7" s="28">
        <v>0</v>
      </c>
      <c r="T7" s="21">
        <f t="shared" si="3"/>
        <v>21500</v>
      </c>
      <c r="U7" s="8" t="s">
        <v>33</v>
      </c>
      <c r="V7" s="9">
        <v>16000</v>
      </c>
      <c r="W7" s="9"/>
      <c r="X7" s="28">
        <v>0</v>
      </c>
      <c r="Y7" s="21">
        <f t="shared" si="4"/>
        <v>44500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5.8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-16.8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-18.5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29.5</v>
      </c>
    </row>
    <row r="8" spans="1:29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39</v>
      </c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EABCF161-B1DD-4595-BED0-9253895FDC40}">
      <formula1>$Z$2:$AC$2</formula1>
    </dataValidation>
    <dataValidation type="list" showInputMessage="1" showErrorMessage="1" sqref="K4:K30 P4:P30 F4:F30 U4:U30" xr:uid="{22D31863-CF30-46B8-97DF-AC5B6DB329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2019-06-22T02:21:01Z</dcterms:modified>
</cp:coreProperties>
</file>