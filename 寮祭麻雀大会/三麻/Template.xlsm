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寮祭麻雀大会\三麻\"/>
    </mc:Choice>
  </mc:AlternateContent>
  <xr:revisionPtr revIDLastSave="0" documentId="13_ncr:1_{3BD757D6-677C-4CB9-9C3B-2D29C7613E42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20" l="1"/>
  <c r="V3" i="20"/>
  <c r="U3" i="20"/>
  <c r="D30" i="20" l="1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J30" i="20"/>
  <c r="U30" i="20" s="1"/>
  <c r="J29" i="20"/>
  <c r="U29" i="20" s="1"/>
  <c r="J28" i="20"/>
  <c r="U28" i="20" s="1"/>
  <c r="J27" i="20"/>
  <c r="U27" i="20" s="1"/>
  <c r="J26" i="20"/>
  <c r="U26" i="20" s="1"/>
  <c r="J25" i="20"/>
  <c r="U25" i="20" s="1"/>
  <c r="J24" i="20"/>
  <c r="U24" i="20" s="1"/>
  <c r="J23" i="20"/>
  <c r="U23" i="20" s="1"/>
  <c r="J22" i="20"/>
  <c r="U22" i="20" s="1"/>
  <c r="J21" i="20"/>
  <c r="U21" i="20" s="1"/>
  <c r="J20" i="20"/>
  <c r="U20" i="20" s="1"/>
  <c r="J19" i="20"/>
  <c r="U19" i="20" s="1"/>
  <c r="J18" i="20"/>
  <c r="U18" i="20" s="1"/>
  <c r="J17" i="20"/>
  <c r="U17" i="20" s="1"/>
  <c r="J16" i="20"/>
  <c r="U16" i="20" s="1"/>
  <c r="J15" i="20"/>
  <c r="U15" i="20" s="1"/>
  <c r="J14" i="20"/>
  <c r="U14" i="20" s="1"/>
  <c r="J13" i="20"/>
  <c r="U13" i="20" s="1"/>
  <c r="J12" i="20"/>
  <c r="U12" i="20" s="1"/>
  <c r="J11" i="20"/>
  <c r="U11" i="20" s="1"/>
  <c r="J10" i="20"/>
  <c r="U10" i="20" s="1"/>
  <c r="J9" i="20"/>
  <c r="U9" i="20" s="1"/>
  <c r="J8" i="20"/>
  <c r="U8" i="20" s="1"/>
  <c r="J7" i="20"/>
  <c r="U7" i="20" s="1"/>
  <c r="J6" i="20"/>
  <c r="U6" i="20" s="1"/>
  <c r="J5" i="20"/>
  <c r="O30" i="20"/>
  <c r="V30" i="20" s="1"/>
  <c r="O29" i="20"/>
  <c r="V29" i="20" s="1"/>
  <c r="O28" i="20"/>
  <c r="V28" i="20" s="1"/>
  <c r="O27" i="20"/>
  <c r="V27" i="20" s="1"/>
  <c r="O26" i="20"/>
  <c r="V26" i="20" s="1"/>
  <c r="O25" i="20"/>
  <c r="V25" i="20" s="1"/>
  <c r="O24" i="20"/>
  <c r="V24" i="20" s="1"/>
  <c r="O23" i="20"/>
  <c r="V23" i="20" s="1"/>
  <c r="O22" i="20"/>
  <c r="V22" i="20" s="1"/>
  <c r="O21" i="20"/>
  <c r="V21" i="20" s="1"/>
  <c r="O20" i="20"/>
  <c r="V20" i="20" s="1"/>
  <c r="O19" i="20"/>
  <c r="V19" i="20" s="1"/>
  <c r="O18" i="20"/>
  <c r="V18" i="20" s="1"/>
  <c r="O17" i="20"/>
  <c r="V17" i="20" s="1"/>
  <c r="O16" i="20"/>
  <c r="V16" i="20" s="1"/>
  <c r="O15" i="20"/>
  <c r="V15" i="20" s="1"/>
  <c r="O14" i="20"/>
  <c r="V14" i="20" s="1"/>
  <c r="O13" i="20"/>
  <c r="V13" i="20" s="1"/>
  <c r="O12" i="20"/>
  <c r="V12" i="20" s="1"/>
  <c r="O11" i="20"/>
  <c r="V11" i="20" s="1"/>
  <c r="O10" i="20"/>
  <c r="V10" i="20" s="1"/>
  <c r="O9" i="20"/>
  <c r="V9" i="20" s="1"/>
  <c r="O8" i="20"/>
  <c r="V8" i="20" s="1"/>
  <c r="O7" i="20"/>
  <c r="V7" i="20" s="1"/>
  <c r="O6" i="20"/>
  <c r="V6" i="20" s="1"/>
  <c r="O5" i="20"/>
  <c r="T30" i="20"/>
  <c r="W30" i="20" s="1"/>
  <c r="T29" i="20"/>
  <c r="W29" i="20" s="1"/>
  <c r="T28" i="20"/>
  <c r="W28" i="20" s="1"/>
  <c r="T27" i="20"/>
  <c r="W27" i="20" s="1"/>
  <c r="T26" i="20"/>
  <c r="W26" i="20" s="1"/>
  <c r="T25" i="20"/>
  <c r="W25" i="20" s="1"/>
  <c r="T24" i="20"/>
  <c r="W24" i="20" s="1"/>
  <c r="T23" i="20"/>
  <c r="W23" i="20" s="1"/>
  <c r="T22" i="20"/>
  <c r="W22" i="20" s="1"/>
  <c r="T21" i="20"/>
  <c r="W21" i="20" s="1"/>
  <c r="T20" i="20"/>
  <c r="W20" i="20" s="1"/>
  <c r="T19" i="20"/>
  <c r="W19" i="20" s="1"/>
  <c r="T18" i="20"/>
  <c r="W18" i="20" s="1"/>
  <c r="T17" i="20"/>
  <c r="W17" i="20" s="1"/>
  <c r="T16" i="20"/>
  <c r="W16" i="20" s="1"/>
  <c r="T15" i="20"/>
  <c r="W15" i="20" s="1"/>
  <c r="T14" i="20"/>
  <c r="W14" i="20" s="1"/>
  <c r="T13" i="20"/>
  <c r="W13" i="20" s="1"/>
  <c r="T12" i="20"/>
  <c r="W12" i="20" s="1"/>
  <c r="T11" i="20"/>
  <c r="W11" i="20" s="1"/>
  <c r="T10" i="20"/>
  <c r="W10" i="20" s="1"/>
  <c r="T9" i="20"/>
  <c r="W9" i="20" s="1"/>
  <c r="T8" i="20"/>
  <c r="W8" i="20" s="1"/>
  <c r="T7" i="20"/>
  <c r="W7" i="20" s="1"/>
  <c r="T6" i="20"/>
  <c r="W6" i="20" s="1"/>
  <c r="T5" i="20"/>
  <c r="W5" i="20" s="1"/>
  <c r="T4" i="20"/>
  <c r="O4" i="20"/>
  <c r="J4" i="20"/>
  <c r="V5" i="20" l="1"/>
  <c r="U5" i="20"/>
  <c r="V4" i="20"/>
  <c r="W4" i="20"/>
  <c r="U4" i="20"/>
  <c r="C30" i="20"/>
  <c r="B30" i="20"/>
  <c r="A30" i="20"/>
  <c r="C29" i="20"/>
  <c r="B29" i="20"/>
  <c r="A29" i="20"/>
  <c r="C28" i="20"/>
  <c r="B28" i="20"/>
  <c r="A28" i="20"/>
  <c r="C27" i="20"/>
  <c r="B27" i="20"/>
  <c r="A27" i="20"/>
  <c r="C26" i="20"/>
  <c r="B26" i="20"/>
  <c r="A26" i="20"/>
  <c r="C25" i="20"/>
  <c r="B25" i="20"/>
  <c r="A25" i="20"/>
  <c r="C24" i="20"/>
  <c r="B24" i="20"/>
  <c r="A24" i="20"/>
  <c r="C23" i="20"/>
  <c r="B23" i="20"/>
  <c r="A23" i="20"/>
  <c r="C22" i="20"/>
  <c r="B22" i="20"/>
  <c r="A22" i="20"/>
  <c r="C21" i="20"/>
  <c r="B21" i="20"/>
  <c r="A21" i="20"/>
  <c r="C20" i="20"/>
  <c r="B20" i="20"/>
  <c r="A20" i="20"/>
  <c r="C19" i="20"/>
  <c r="B19" i="20"/>
  <c r="A19" i="20"/>
  <c r="C18" i="20"/>
  <c r="B18" i="20"/>
  <c r="A18" i="20"/>
  <c r="C17" i="20"/>
  <c r="B17" i="20"/>
  <c r="A17" i="20"/>
  <c r="C16" i="20"/>
  <c r="B16" i="20"/>
  <c r="A16" i="20"/>
  <c r="C15" i="20"/>
  <c r="B15" i="20"/>
  <c r="A15" i="20"/>
  <c r="C14" i="20"/>
  <c r="B14" i="20"/>
  <c r="A14" i="20"/>
  <c r="C13" i="20"/>
  <c r="B13" i="20"/>
  <c r="A13" i="20"/>
  <c r="C12" i="20"/>
  <c r="B12" i="20"/>
  <c r="A12" i="20"/>
  <c r="C11" i="20"/>
  <c r="C10" i="20"/>
  <c r="C9" i="20"/>
  <c r="C8" i="20"/>
  <c r="C5" i="20"/>
  <c r="C6" i="20" s="1"/>
  <c r="C7" i="20" s="1"/>
  <c r="B5" i="20"/>
  <c r="B6" i="20" s="1"/>
  <c r="W2" i="20"/>
  <c r="V2" i="20"/>
  <c r="U2" i="20"/>
  <c r="A5" i="20" l="1"/>
  <c r="A6" i="20"/>
  <c r="B7" i="20"/>
  <c r="B8" i="20" l="1"/>
  <c r="A7" i="20"/>
  <c r="B9" i="20" l="1"/>
  <c r="A8" i="20"/>
  <c r="B10" i="20" l="1"/>
  <c r="A9" i="20"/>
  <c r="B11" i="20" l="1"/>
  <c r="A11" i="20" s="1"/>
  <c r="A10" i="20"/>
</calcChain>
</file>

<file path=xl/sharedStrings.xml><?xml version="1.0" encoding="utf-8"?>
<sst xmlns="http://schemas.openxmlformats.org/spreadsheetml/2006/main" count="351" uniqueCount="25">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</sst>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16384" width="9" style="24"/>
  </cols>
  <sheetData>
    <row r="1" spans="1:23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6</v>
      </c>
      <c r="V1" s="45"/>
      <c r="W1" s="44"/>
    </row>
    <row r="2" spans="1:23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39" t="str">
        <f>$F$1</f>
        <v>Player1</v>
      </c>
      <c r="V2" s="40" t="str">
        <f>$K$1</f>
        <v>Player2</v>
      </c>
      <c r="W2" s="16" t="str">
        <f>$P$1</f>
        <v>Player3</v>
      </c>
    </row>
    <row r="3" spans="1:23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30">
        <f>IF($J3="","",ROUND(($J3-$J$3)/1000,1)+IF($J3&lt;30000,-10,_xlfn.SWITCH(FREQUENCY(($J3,$O3,$T3),29900),2,20,1,_xlfn.SWITCH(_xlfn.RANK.EQ($J3,($J3,$O3,$T3)),1,7,3),0,0)))</f>
        <v>0</v>
      </c>
      <c r="V3" s="31">
        <f>IF($O3="","",ROUND(($O3-$O$3)/1000,1)+IF($O3&lt;30000,-10,_xlfn.SWITCH(FREQUENCY(($J3,$O3,$T3),29900),2,20,1,_xlfn.SWITCH(_xlfn.RANK.EQ($O3,($J3,$O3,$T3)),1,7,3),0,0)))</f>
        <v>0</v>
      </c>
      <c r="W3" s="32">
        <f>IF($T3="","",ROUND(($T3-$T$3)/1000,1)+IF($T3&lt;30000,-10,_xlfn.SWITCH(FREQUENCY(($J3,$O3,$T3),29900),2,20,1,_xlfn.SWITCH(_xlfn.RANK.EQ($T3,($J3,$O3,$T3)),1,7,3),0,0)))</f>
        <v>0</v>
      </c>
    </row>
    <row r="4" spans="1:23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IF(COUNTA($F4,$K4,$P4)&gt;0,J3+SUM(G4:I4),"")</f>
        <v/>
      </c>
      <c r="K4" s="8"/>
      <c r="L4" s="9"/>
      <c r="M4" s="9"/>
      <c r="N4" s="28"/>
      <c r="O4" s="21" t="str">
        <f>IF(COUNTA($F4,$K4,$P4)&gt;0,O3+SUM(L4:N4),"")</f>
        <v/>
      </c>
      <c r="P4" s="8"/>
      <c r="Q4" s="9"/>
      <c r="R4" s="9"/>
      <c r="S4" s="28"/>
      <c r="T4" s="21" t="str">
        <f>IF(COUNTA($F4,$K4,$P4)&gt;0,T3+SUM(Q4:S4),"")</f>
        <v/>
      </c>
      <c r="U4" s="33" t="str">
        <f>IF($J4="","",ROUND(($J4-$J$3)/1000,1)+IF($J4&lt;30000,-10,_xlfn.SWITCH(FREQUENCY(($J4,$O4,$T4),29900),2,20,1,_xlfn.SWITCH(_xlfn.RANK.EQ($J4,($J4,$O4,$T4)),1,7,3),0,0)))</f>
        <v/>
      </c>
      <c r="V4" s="34" t="str">
        <f>IF($O4="","",ROUND(($O4-$O$3)/1000,1)+IF($O4&lt;30000,-10,_xlfn.SWITCH(FREQUENCY(($J4,$O4,$T4),29900),2,20,1,_xlfn.SWITCH(_xlfn.RANK.EQ($O4,($J4,$O4,$T4)),1,7,3),0,0)))</f>
        <v/>
      </c>
      <c r="W4" s="35" t="str">
        <f>IF($T4="","",ROUND(($T4-$T$3)/1000,1)+IF($T4&lt;30000,-10,_xlfn.SWITCH(FREQUENCY(($J4,$O4,$T4),29900),2,20,1,_xlfn.SWITCH(_xlfn.RANK.EQ($T4,($J4,$O4,$T4)),1,7,3),0,0)))</f>
        <v/>
      </c>
    </row>
    <row r="5" spans="1:23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IF($E5="","",IF(OR($F4="流局",$F4="チョンボ"),D4+($H4+$M4+$R4)/-1000,0))</f>
        <v/>
      </c>
      <c r="E5" s="4"/>
      <c r="F5" s="8"/>
      <c r="G5" s="9"/>
      <c r="H5" s="9"/>
      <c r="I5" s="28"/>
      <c r="J5" s="21" t="str">
        <f t="shared" ref="J5:J30" si="1">IF(COUNTA($F5,$K5,$P5)&gt;0,J4+SUM(G5:I5),"")</f>
        <v/>
      </c>
      <c r="K5" s="8"/>
      <c r="L5" s="9"/>
      <c r="M5" s="9"/>
      <c r="N5" s="28"/>
      <c r="O5" s="21" t="str">
        <f t="shared" ref="O5:O30" si="2">IF(COUNTA($F5,$K5,$P5)&gt;0,O4+SUM(L5:N5),"")</f>
        <v/>
      </c>
      <c r="P5" s="8"/>
      <c r="Q5" s="9"/>
      <c r="R5" s="9"/>
      <c r="S5" s="28"/>
      <c r="T5" s="21" t="str">
        <f t="shared" ref="T5:T30" si="3">IF(COUNTA($F5,$K5,$P5)&gt;0,T4+SUM(Q5:S5),"")</f>
        <v/>
      </c>
      <c r="U5" s="33" t="str">
        <f>IF($J5="","",ROUND(($J5-$J$3)/1000,1)+IF($J5&lt;30000,-10,_xlfn.SWITCH(FREQUENCY(($J5,$O5,$T5),29900),2,20,1,_xlfn.SWITCH(_xlfn.RANK.EQ($J5,($J5,$O5,$T5)),1,7,3),0,0)))</f>
        <v/>
      </c>
      <c r="V5" s="34" t="str">
        <f>IF($O5="","",ROUND(($O5-$O$3)/1000,1)+IF($O5&lt;30000,-10,_xlfn.SWITCH(FREQUENCY(($J5,$O5,$T5),29900),2,20,1,_xlfn.SWITCH(_xlfn.RANK.EQ($O5,($J5,$O5,$T5)),1,7,3),0,0)))</f>
        <v/>
      </c>
      <c r="W5" s="35" t="str">
        <f>IF($T5="","",ROUND(($T5-$T$3)/1000,1)+IF($T5&lt;30000,-10,_xlfn.SWITCH(FREQUENCY(($J5,$O5,$T5),29900),2,20,1,_xlfn.SWITCH(_xlfn.RANK.EQ($T5,($J5,$O5,$T5)),1,7,3),0,0)))</f>
        <v/>
      </c>
    </row>
    <row r="6" spans="1:23" x14ac:dyDescent="0.4">
      <c r="A6" s="13" t="str">
        <f t="shared" si="0"/>
        <v/>
      </c>
      <c r="B6" s="18" t="str">
        <f t="shared" ref="B6:B30" si="4">IF($E6="","",IF($E5=$E6,B5,IF(B5=4,1,B5+1)))</f>
        <v/>
      </c>
      <c r="C6" s="18" t="str">
        <f t="shared" ref="C6:C30" si="5">IF($E6="","",IF($F5="チョンボ",C5,IF(OR($E5=$E6,$F5="流局"),C5+1,0)))</f>
        <v/>
      </c>
      <c r="D6" s="18" t="str">
        <f t="shared" ref="D6:D30" si="6">IF($E6="","",IF(OR($F5="流局",$F5="チョンボ"),D5+($H5+$M5+$R5)/-1000,0))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33" t="str">
        <f>IF($J6="","",ROUND(($J6-$J$3)/1000,1)+IF($J6&lt;30000,-10,_xlfn.SWITCH(FREQUENCY(($J6,$O6,$T6),29900),2,20,1,_xlfn.SWITCH(_xlfn.RANK.EQ($J6,($J6,$O6,$T6)),1,7,3),0,0)))</f>
        <v/>
      </c>
      <c r="V6" s="34" t="str">
        <f>IF($O6="","",ROUND(($O6-$O$3)/1000,1)+IF($O6&lt;30000,-10,_xlfn.SWITCH(FREQUENCY(($J6,$O6,$T6),29900),2,20,1,_xlfn.SWITCH(_xlfn.RANK.EQ($O6,($J6,$O6,$T6)),1,7,3),0,0)))</f>
        <v/>
      </c>
      <c r="W6" s="35" t="str">
        <f>IF($T6="","",ROUND(($T6-$T$3)/1000,1)+IF($T6&lt;30000,-10,_xlfn.SWITCH(FREQUENCY(($J6,$O6,$T6),29900),2,20,1,_xlfn.SWITCH(_xlfn.RANK.EQ($T6,($J6,$O6,$T6)),1,7,3),0,0)))</f>
        <v/>
      </c>
    </row>
    <row r="7" spans="1:23" x14ac:dyDescent="0.4">
      <c r="A7" s="13" t="str">
        <f t="shared" si="0"/>
        <v/>
      </c>
      <c r="B7" s="18" t="str">
        <f t="shared" si="4"/>
        <v/>
      </c>
      <c r="C7" s="18" t="str">
        <f t="shared" si="5"/>
        <v/>
      </c>
      <c r="D7" s="18" t="str">
        <f t="shared" si="6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33" t="str">
        <f>IF($J7="","",ROUND(($J7-$J$3)/1000,1)+IF($J7&lt;30000,-10,_xlfn.SWITCH(FREQUENCY(($J7,$O7,$T7),29900),2,20,1,_xlfn.SWITCH(_xlfn.RANK.EQ($J7,($J7,$O7,$T7)),1,7,3),0,0)))</f>
        <v/>
      </c>
      <c r="V7" s="34" t="str">
        <f>IF($O7="","",ROUND(($O7-$O$3)/1000,1)+IF($O7&lt;30000,-10,_xlfn.SWITCH(FREQUENCY(($J7,$O7,$T7),29900),2,20,1,_xlfn.SWITCH(_xlfn.RANK.EQ($O7,($J7,$O7,$T7)),1,7,3),0,0)))</f>
        <v/>
      </c>
      <c r="W7" s="35" t="str">
        <f>IF($T7="","",ROUND(($T7-$T$3)/1000,1)+IF($T7&lt;30000,-10,_xlfn.SWITCH(FREQUENCY(($J7,$O7,$T7),29900),2,20,1,_xlfn.SWITCH(_xlfn.RANK.EQ($T7,($J7,$O7,$T7)),1,7,3),0,0)))</f>
        <v/>
      </c>
    </row>
    <row r="8" spans="1:23" x14ac:dyDescent="0.4">
      <c r="A8" s="13" t="str">
        <f t="shared" si="0"/>
        <v/>
      </c>
      <c r="B8" s="18" t="str">
        <f t="shared" si="4"/>
        <v/>
      </c>
      <c r="C8" s="18" t="str">
        <f t="shared" si="5"/>
        <v/>
      </c>
      <c r="D8" s="18" t="str">
        <f t="shared" si="6"/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33" t="str">
        <f>IF($J8="","",ROUND(($J8-$J$3)/1000,1)+IF($J8&lt;30000,-10,_xlfn.SWITCH(FREQUENCY(($J8,$O8,$T8),29900),2,20,1,_xlfn.SWITCH(_xlfn.RANK.EQ($J8,($J8,$O8,$T8)),1,7,3),0,0)))</f>
        <v/>
      </c>
      <c r="V8" s="34" t="str">
        <f>IF($O8="","",ROUND(($O8-$O$3)/1000,1)+IF($O8&lt;30000,-10,_xlfn.SWITCH(FREQUENCY(($J8,$O8,$T8),29900),2,20,1,_xlfn.SWITCH(_xlfn.RANK.EQ($O8,($J8,$O8,$T8)),1,7,3),0,0)))</f>
        <v/>
      </c>
      <c r="W8" s="35" t="str">
        <f>IF($T8="","",ROUND(($T8-$T$3)/1000,1)+IF($T8&lt;30000,-10,_xlfn.SWITCH(FREQUENCY(($J8,$O8,$T8),29900),2,20,1,_xlfn.SWITCH(_xlfn.RANK.EQ($T8,($J8,$O8,$T8)),1,7,3),0,0)))</f>
        <v/>
      </c>
    </row>
    <row r="9" spans="1:23" x14ac:dyDescent="0.4">
      <c r="A9" s="13" t="str">
        <f t="shared" si="0"/>
        <v/>
      </c>
      <c r="B9" s="18" t="str">
        <f t="shared" si="4"/>
        <v/>
      </c>
      <c r="C9" s="18" t="str">
        <f t="shared" si="5"/>
        <v/>
      </c>
      <c r="D9" s="18" t="str">
        <f t="shared" si="6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33" t="str">
        <f>IF($J9="","",ROUND(($J9-$J$3)/1000,1)+IF($J9&lt;30000,-10,_xlfn.SWITCH(FREQUENCY(($J9,$O9,$T9),29900),2,20,1,_xlfn.SWITCH(_xlfn.RANK.EQ($J9,($J9,$O9,$T9)),1,7,3),0,0)))</f>
        <v/>
      </c>
      <c r="V9" s="34" t="str">
        <f>IF($O9="","",ROUND(($O9-$O$3)/1000,1)+IF($O9&lt;30000,-10,_xlfn.SWITCH(FREQUENCY(($J9,$O9,$T9),29900),2,20,1,_xlfn.SWITCH(_xlfn.RANK.EQ($O9,($J9,$O9,$T9)),1,7,3),0,0)))</f>
        <v/>
      </c>
      <c r="W9" s="35" t="str">
        <f>IF($T9="","",ROUND(($T9-$T$3)/1000,1)+IF($T9&lt;30000,-10,_xlfn.SWITCH(FREQUENCY(($J9,$O9,$T9),29900),2,20,1,_xlfn.SWITCH(_xlfn.RANK.EQ($T9,($J9,$O9,$T9)),1,7,3),0,0)))</f>
        <v/>
      </c>
    </row>
    <row r="10" spans="1:23" x14ac:dyDescent="0.4">
      <c r="A10" s="13" t="str">
        <f>IF($E10="","",IF(AND(B9=4,B10=1),_xlfn.SWITCH(A9,"東","南","南","西","西","北","北","東"),A9))</f>
        <v/>
      </c>
      <c r="B10" s="18" t="str">
        <f t="shared" si="4"/>
        <v/>
      </c>
      <c r="C10" s="18" t="str">
        <f t="shared" si="5"/>
        <v/>
      </c>
      <c r="D10" s="18" t="str">
        <f t="shared" si="6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33" t="str">
        <f>IF($J10="","",ROUND(($J10-$J$3)/1000,1)+IF($J10&lt;30000,-10,_xlfn.SWITCH(FREQUENCY(($J10,$O10,$T10),29900),2,20,1,_xlfn.SWITCH(_xlfn.RANK.EQ($J10,($J10,$O10,$T10)),1,7,3),0,0)))</f>
        <v/>
      </c>
      <c r="V10" s="34" t="str">
        <f>IF($O10="","",ROUND(($O10-$O$3)/1000,1)+IF($O10&lt;30000,-10,_xlfn.SWITCH(FREQUENCY(($J10,$O10,$T10),29900),2,20,1,_xlfn.SWITCH(_xlfn.RANK.EQ($O10,($J10,$O10,$T10)),1,7,3),0,0)))</f>
        <v/>
      </c>
      <c r="W10" s="35" t="str">
        <f>IF($T10="","",ROUND(($T10-$T$3)/1000,1)+IF($T10&lt;30000,-10,_xlfn.SWITCH(FREQUENCY(($J10,$O10,$T10),29900),2,20,1,_xlfn.SWITCH(_xlfn.RANK.EQ($T10,($J10,$O10,$T10)),1,7,3),0,0)))</f>
        <v/>
      </c>
    </row>
    <row r="11" spans="1:23" x14ac:dyDescent="0.4">
      <c r="A11" s="13" t="str">
        <f t="shared" ref="A11:A30" si="7">IF($E11="","",IF(AND(B10=4,B11=1),_xlfn.SWITCH(A10,"東","南","南","西","西","北","北","東"),A10))</f>
        <v/>
      </c>
      <c r="B11" s="18" t="str">
        <f t="shared" si="4"/>
        <v/>
      </c>
      <c r="C11" s="18" t="str">
        <f t="shared" si="5"/>
        <v/>
      </c>
      <c r="D11" s="18" t="str">
        <f t="shared" si="6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33" t="str">
        <f>IF($J11="","",ROUND(($J11-$J$3)/1000,1)+IF($J11&lt;30000,-10,_xlfn.SWITCH(FREQUENCY(($J11,$O11,$T11),29900),2,20,1,_xlfn.SWITCH(_xlfn.RANK.EQ($J11,($J11,$O11,$T11)),1,7,3),0,0)))</f>
        <v/>
      </c>
      <c r="V11" s="34" t="str">
        <f>IF($O11="","",ROUND(($O11-$O$3)/1000,1)+IF($O11&lt;30000,-10,_xlfn.SWITCH(FREQUENCY(($J11,$O11,$T11),29900),2,20,1,_xlfn.SWITCH(_xlfn.RANK.EQ($O11,($J11,$O11,$T11)),1,7,3),0,0)))</f>
        <v/>
      </c>
      <c r="W11" s="35" t="str">
        <f>IF($T11="","",ROUND(($T11-$T$3)/1000,1)+IF($T11&lt;30000,-10,_xlfn.SWITCH(FREQUENCY(($J11,$O11,$T11),29900),2,20,1,_xlfn.SWITCH(_xlfn.RANK.EQ($T11,($J11,$O11,$T11)),1,7,3),0,0)))</f>
        <v/>
      </c>
    </row>
    <row r="12" spans="1:23" x14ac:dyDescent="0.4">
      <c r="A12" s="13" t="str">
        <f t="shared" si="7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33" t="str">
        <f>IF($J12="","",ROUND(($J12-$J$3)/1000,1)+IF($J12&lt;30000,-10,_xlfn.SWITCH(FREQUENCY(($J12,$O12,$T12),29900),2,20,1,_xlfn.SWITCH(_xlfn.RANK.EQ($J12,($J12,$O12,$T12)),1,7,3),0,0)))</f>
        <v/>
      </c>
      <c r="V12" s="34" t="str">
        <f>IF($O12="","",ROUND(($O12-$O$3)/1000,1)+IF($O12&lt;30000,-10,_xlfn.SWITCH(FREQUENCY(($J12,$O12,$T12),29900),2,20,1,_xlfn.SWITCH(_xlfn.RANK.EQ($O12,($J12,$O12,$T12)),1,7,3),0,0)))</f>
        <v/>
      </c>
      <c r="W12" s="35" t="str">
        <f>IF($T12="","",ROUND(($T12-$T$3)/1000,1)+IF($T12&lt;30000,-10,_xlfn.SWITCH(FREQUENCY(($J12,$O12,$T12),29900),2,20,1,_xlfn.SWITCH(_xlfn.RANK.EQ($T12,($J12,$O12,$T12)),1,7,3),0,0)))</f>
        <v/>
      </c>
    </row>
    <row r="13" spans="1:23" x14ac:dyDescent="0.4">
      <c r="A13" s="13" t="str">
        <f t="shared" si="7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33" t="str">
        <f>IF($J13="","",ROUND(($J13-$J$3)/1000,1)+IF($J13&lt;30000,-10,_xlfn.SWITCH(FREQUENCY(($J13,$O13,$T13),29900),2,20,1,_xlfn.SWITCH(_xlfn.RANK.EQ($J13,($J13,$O13,$T13)),1,7,3),0,0)))</f>
        <v/>
      </c>
      <c r="V13" s="34" t="str">
        <f>IF($O13="","",ROUND(($O13-$O$3)/1000,1)+IF($O13&lt;30000,-10,_xlfn.SWITCH(FREQUENCY(($J13,$O13,$T13),29900),2,20,1,_xlfn.SWITCH(_xlfn.RANK.EQ($O13,($J13,$O13,$T13)),1,7,3),0,0)))</f>
        <v/>
      </c>
      <c r="W13" s="35" t="str">
        <f>IF($T13="","",ROUND(($T13-$T$3)/1000,1)+IF($T13&lt;30000,-10,_xlfn.SWITCH(FREQUENCY(($J13,$O13,$T13),29900),2,20,1,_xlfn.SWITCH(_xlfn.RANK.EQ($T13,($J13,$O13,$T13)),1,7,3),0,0)))</f>
        <v/>
      </c>
    </row>
    <row r="14" spans="1:23" x14ac:dyDescent="0.4">
      <c r="A14" s="13" t="str">
        <f t="shared" si="7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33" t="str">
        <f>IF($J14="","",ROUND(($J14-$J$3)/1000,1)+IF($J14&lt;30000,-10,_xlfn.SWITCH(FREQUENCY(($J14,$O14,$T14),29900),2,20,1,_xlfn.SWITCH(_xlfn.RANK.EQ($J14,($J14,$O14,$T14)),1,7,3),0,0)))</f>
        <v/>
      </c>
      <c r="V14" s="34" t="str">
        <f>IF($O14="","",ROUND(($O14-$O$3)/1000,1)+IF($O14&lt;30000,-10,_xlfn.SWITCH(FREQUENCY(($J14,$O14,$T14),29900),2,20,1,_xlfn.SWITCH(_xlfn.RANK.EQ($O14,($J14,$O14,$T14)),1,7,3),0,0)))</f>
        <v/>
      </c>
      <c r="W14" s="35" t="str">
        <f>IF($T14="","",ROUND(($T14-$T$3)/1000,1)+IF($T14&lt;30000,-10,_xlfn.SWITCH(FREQUENCY(($J14,$O14,$T14),29900),2,20,1,_xlfn.SWITCH(_xlfn.RANK.EQ($T14,($J14,$O14,$T14)),1,7,3),0,0)))</f>
        <v/>
      </c>
    </row>
    <row r="15" spans="1:23" x14ac:dyDescent="0.4">
      <c r="A15" s="13" t="str">
        <f t="shared" si="7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33" t="str">
        <f>IF($J15="","",ROUND(($J15-$J$3)/1000,1)+IF($J15&lt;30000,-10,_xlfn.SWITCH(FREQUENCY(($J15,$O15,$T15),29900),2,20,1,_xlfn.SWITCH(_xlfn.RANK.EQ($J15,($J15,$O15,$T15)),1,7,3),0,0)))</f>
        <v/>
      </c>
      <c r="V15" s="34" t="str">
        <f>IF($O15="","",ROUND(($O15-$O$3)/1000,1)+IF($O15&lt;30000,-10,_xlfn.SWITCH(FREQUENCY(($J15,$O15,$T15),29900),2,20,1,_xlfn.SWITCH(_xlfn.RANK.EQ($O15,($J15,$O15,$T15)),1,7,3),0,0)))</f>
        <v/>
      </c>
      <c r="W15" s="35" t="str">
        <f>IF($T15="","",ROUND(($T15-$T$3)/1000,1)+IF($T15&lt;30000,-10,_xlfn.SWITCH(FREQUENCY(($J15,$O15,$T15),29900),2,20,1,_xlfn.SWITCH(_xlfn.RANK.EQ($T15,($J15,$O15,$T15)),1,7,3),0,0)))</f>
        <v/>
      </c>
    </row>
    <row r="16" spans="1:23" x14ac:dyDescent="0.4">
      <c r="A16" s="13" t="str">
        <f t="shared" si="7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33" t="str">
        <f>IF($J16="","",ROUND(($J16-$J$3)/1000,1)+IF($J16&lt;30000,-10,_xlfn.SWITCH(FREQUENCY(($J16,$O16,$T16),29900),2,20,1,_xlfn.SWITCH(_xlfn.RANK.EQ($J16,($J16,$O16,$T16)),1,7,3),0,0)))</f>
        <v/>
      </c>
      <c r="V16" s="34" t="str">
        <f>IF($O16="","",ROUND(($O16-$O$3)/1000,1)+IF($O16&lt;30000,-10,_xlfn.SWITCH(FREQUENCY(($J16,$O16,$T16),29900),2,20,1,_xlfn.SWITCH(_xlfn.RANK.EQ($O16,($J16,$O16,$T16)),1,7,3),0,0)))</f>
        <v/>
      </c>
      <c r="W16" s="35" t="str">
        <f>IF($T16="","",ROUND(($T16-$T$3)/1000,1)+IF($T16&lt;30000,-10,_xlfn.SWITCH(FREQUENCY(($J16,$O16,$T16),29900),2,20,1,_xlfn.SWITCH(_xlfn.RANK.EQ($T16,($J16,$O16,$T16)),1,7,3),0,0)))</f>
        <v/>
      </c>
    </row>
    <row r="17" spans="1:23" x14ac:dyDescent="0.4">
      <c r="A17" s="13" t="str">
        <f t="shared" si="7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33" t="str">
        <f>IF($J17="","",ROUND(($J17-$J$3)/1000,1)+IF($J17&lt;30000,-10,_xlfn.SWITCH(FREQUENCY(($J17,$O17,$T17),29900),2,20,1,_xlfn.SWITCH(_xlfn.RANK.EQ($J17,($J17,$O17,$T17)),1,7,3),0,0)))</f>
        <v/>
      </c>
      <c r="V17" s="34" t="str">
        <f>IF($O17="","",ROUND(($O17-$O$3)/1000,1)+IF($O17&lt;30000,-10,_xlfn.SWITCH(FREQUENCY(($J17,$O17,$T17),29900),2,20,1,_xlfn.SWITCH(_xlfn.RANK.EQ($O17,($J17,$O17,$T17)),1,7,3),0,0)))</f>
        <v/>
      </c>
      <c r="W17" s="35" t="str">
        <f>IF($T17="","",ROUND(($T17-$T$3)/1000,1)+IF($T17&lt;30000,-10,_xlfn.SWITCH(FREQUENCY(($J17,$O17,$T17),29900),2,20,1,_xlfn.SWITCH(_xlfn.RANK.EQ($T17,($J17,$O17,$T17)),1,7,3),0,0)))</f>
        <v/>
      </c>
    </row>
    <row r="18" spans="1:23" x14ac:dyDescent="0.4">
      <c r="A18" s="13" t="str">
        <f t="shared" si="7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33" t="str">
        <f>IF($J18="","",ROUND(($J18-$J$3)/1000,1)+IF($J18&lt;30000,-10,_xlfn.SWITCH(FREQUENCY(($J18,$O18,$T18),29900),2,20,1,_xlfn.SWITCH(_xlfn.RANK.EQ($J18,($J18,$O18,$T18)),1,7,3),0,0)))</f>
        <v/>
      </c>
      <c r="V18" s="34" t="str">
        <f>IF($O18="","",ROUND(($O18-$O$3)/1000,1)+IF($O18&lt;30000,-10,_xlfn.SWITCH(FREQUENCY(($J18,$O18,$T18),29900),2,20,1,_xlfn.SWITCH(_xlfn.RANK.EQ($O18,($J18,$O18,$T18)),1,7,3),0,0)))</f>
        <v/>
      </c>
      <c r="W18" s="35" t="str">
        <f>IF($T18="","",ROUND(($T18-$T$3)/1000,1)+IF($T18&lt;30000,-10,_xlfn.SWITCH(FREQUENCY(($J18,$O18,$T18),29900),2,20,1,_xlfn.SWITCH(_xlfn.RANK.EQ($T18,($J18,$O18,$T18)),1,7,3),0,0)))</f>
        <v/>
      </c>
    </row>
    <row r="19" spans="1:23" x14ac:dyDescent="0.4">
      <c r="A19" s="13" t="str">
        <f t="shared" si="7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33" t="str">
        <f>IF($J19="","",ROUND(($J19-$J$3)/1000,1)+IF($J19&lt;30000,-10,_xlfn.SWITCH(FREQUENCY(($J19,$O19,$T19),29900),2,20,1,_xlfn.SWITCH(_xlfn.RANK.EQ($J19,($J19,$O19,$T19)),1,7,3),0,0)))</f>
        <v/>
      </c>
      <c r="V19" s="34" t="str">
        <f>IF($O19="","",ROUND(($O19-$O$3)/1000,1)+IF($O19&lt;30000,-10,_xlfn.SWITCH(FREQUENCY(($J19,$O19,$T19),29900),2,20,1,_xlfn.SWITCH(_xlfn.RANK.EQ($O19,($J19,$O19,$T19)),1,7,3),0,0)))</f>
        <v/>
      </c>
      <c r="W19" s="35" t="str">
        <f>IF($T19="","",ROUND(($T19-$T$3)/1000,1)+IF($T19&lt;30000,-10,_xlfn.SWITCH(FREQUENCY(($J19,$O19,$T19),29900),2,20,1,_xlfn.SWITCH(_xlfn.RANK.EQ($T19,($J19,$O19,$T19)),1,7,3),0,0)))</f>
        <v/>
      </c>
    </row>
    <row r="20" spans="1:23" x14ac:dyDescent="0.4">
      <c r="A20" s="13" t="str">
        <f t="shared" si="7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33" t="str">
        <f>IF($J20="","",ROUND(($J20-$J$3)/1000,1)+IF($J20&lt;30000,-10,_xlfn.SWITCH(FREQUENCY(($J20,$O20,$T20),29900),2,20,1,_xlfn.SWITCH(_xlfn.RANK.EQ($J20,($J20,$O20,$T20)),1,7,3),0,0)))</f>
        <v/>
      </c>
      <c r="V20" s="34" t="str">
        <f>IF($O20="","",ROUND(($O20-$O$3)/1000,1)+IF($O20&lt;30000,-10,_xlfn.SWITCH(FREQUENCY(($J20,$O20,$T20),29900),2,20,1,_xlfn.SWITCH(_xlfn.RANK.EQ($O20,($J20,$O20,$T20)),1,7,3),0,0)))</f>
        <v/>
      </c>
      <c r="W20" s="35" t="str">
        <f>IF($T20="","",ROUND(($T20-$T$3)/1000,1)+IF($T20&lt;30000,-10,_xlfn.SWITCH(FREQUENCY(($J20,$O20,$T20),29900),2,20,1,_xlfn.SWITCH(_xlfn.RANK.EQ($T20,($J20,$O20,$T20)),1,7,3),0,0)))</f>
        <v/>
      </c>
    </row>
    <row r="21" spans="1:23" x14ac:dyDescent="0.4">
      <c r="A21" s="13" t="str">
        <f t="shared" si="7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33" t="str">
        <f>IF($J21="","",ROUND(($J21-$J$3)/1000,1)+IF($J21&lt;30000,-10,_xlfn.SWITCH(FREQUENCY(($J21,$O21,$T21),29900),2,20,1,_xlfn.SWITCH(_xlfn.RANK.EQ($J21,($J21,$O21,$T21)),1,7,3),0,0)))</f>
        <v/>
      </c>
      <c r="V21" s="34" t="str">
        <f>IF($O21="","",ROUND(($O21-$O$3)/1000,1)+IF($O21&lt;30000,-10,_xlfn.SWITCH(FREQUENCY(($J21,$O21,$T21),29900),2,20,1,_xlfn.SWITCH(_xlfn.RANK.EQ($O21,($J21,$O21,$T21)),1,7,3),0,0)))</f>
        <v/>
      </c>
      <c r="W21" s="35" t="str">
        <f>IF($T21="","",ROUND(($T21-$T$3)/1000,1)+IF($T21&lt;30000,-10,_xlfn.SWITCH(FREQUENCY(($J21,$O21,$T21),29900),2,20,1,_xlfn.SWITCH(_xlfn.RANK.EQ($T21,($J21,$O21,$T21)),1,7,3),0,0)))</f>
        <v/>
      </c>
    </row>
    <row r="22" spans="1:23" x14ac:dyDescent="0.4">
      <c r="A22" s="13" t="str">
        <f t="shared" si="7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33" t="str">
        <f>IF($J22="","",ROUND(($J22-$J$3)/1000,1)+IF($J22&lt;30000,-10,_xlfn.SWITCH(FREQUENCY(($J22,$O22,$T22),29900),2,20,1,_xlfn.SWITCH(_xlfn.RANK.EQ($J22,($J22,$O22,$T22)),1,7,3),0,0)))</f>
        <v/>
      </c>
      <c r="V22" s="34" t="str">
        <f>IF($O22="","",ROUND(($O22-$O$3)/1000,1)+IF($O22&lt;30000,-10,_xlfn.SWITCH(FREQUENCY(($J22,$O22,$T22),29900),2,20,1,_xlfn.SWITCH(_xlfn.RANK.EQ($O22,($J22,$O22,$T22)),1,7,3),0,0)))</f>
        <v/>
      </c>
      <c r="W22" s="35" t="str">
        <f>IF($T22="","",ROUND(($T22-$T$3)/1000,1)+IF($T22&lt;30000,-10,_xlfn.SWITCH(FREQUENCY(($J22,$O22,$T22),29900),2,20,1,_xlfn.SWITCH(_xlfn.RANK.EQ($T22,($J22,$O22,$T22)),1,7,3),0,0)))</f>
        <v/>
      </c>
    </row>
    <row r="23" spans="1:23" x14ac:dyDescent="0.4">
      <c r="A23" s="13" t="str">
        <f t="shared" si="7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33" t="str">
        <f>IF($J23="","",ROUND(($J23-$J$3)/1000,1)+IF($J23&lt;30000,-10,_xlfn.SWITCH(FREQUENCY(($J23,$O23,$T23),29900),2,20,1,_xlfn.SWITCH(_xlfn.RANK.EQ($J23,($J23,$O23,$T23)),1,7,3),0,0)))</f>
        <v/>
      </c>
      <c r="V23" s="34" t="str">
        <f>IF($O23="","",ROUND(($O23-$O$3)/1000,1)+IF($O23&lt;30000,-10,_xlfn.SWITCH(FREQUENCY(($J23,$O23,$T23),29900),2,20,1,_xlfn.SWITCH(_xlfn.RANK.EQ($O23,($J23,$O23,$T23)),1,7,3),0,0)))</f>
        <v/>
      </c>
      <c r="W23" s="35" t="str">
        <f>IF($T23="","",ROUND(($T23-$T$3)/1000,1)+IF($T23&lt;30000,-10,_xlfn.SWITCH(FREQUENCY(($J23,$O23,$T23),29900),2,20,1,_xlfn.SWITCH(_xlfn.RANK.EQ($T23,($J23,$O23,$T23)),1,7,3),0,0)))</f>
        <v/>
      </c>
    </row>
    <row r="24" spans="1:23" x14ac:dyDescent="0.4">
      <c r="A24" s="13" t="str">
        <f t="shared" si="7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33" t="str">
        <f>IF($J24="","",ROUND(($J24-$J$3)/1000,1)+IF($J24&lt;30000,-10,_xlfn.SWITCH(FREQUENCY(($J24,$O24,$T24),29900),2,20,1,_xlfn.SWITCH(_xlfn.RANK.EQ($J24,($J24,$O24,$T24)),1,7,3),0,0)))</f>
        <v/>
      </c>
      <c r="V24" s="34" t="str">
        <f>IF($O24="","",ROUND(($O24-$O$3)/1000,1)+IF($O24&lt;30000,-10,_xlfn.SWITCH(FREQUENCY(($J24,$O24,$T24),29900),2,20,1,_xlfn.SWITCH(_xlfn.RANK.EQ($O24,($J24,$O24,$T24)),1,7,3),0,0)))</f>
        <v/>
      </c>
      <c r="W24" s="35" t="str">
        <f>IF($T24="","",ROUND(($T24-$T$3)/1000,1)+IF($T24&lt;30000,-10,_xlfn.SWITCH(FREQUENCY(($J24,$O24,$T24),29900),2,20,1,_xlfn.SWITCH(_xlfn.RANK.EQ($T24,($J24,$O24,$T24)),1,7,3),0,0)))</f>
        <v/>
      </c>
    </row>
    <row r="25" spans="1:23" x14ac:dyDescent="0.4">
      <c r="A25" s="13" t="str">
        <f t="shared" si="7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33" t="str">
        <f>IF($J25="","",ROUND(($J25-$J$3)/1000,1)+IF($J25&lt;30000,-10,_xlfn.SWITCH(FREQUENCY(($J25,$O25,$T25),29900),2,20,1,_xlfn.SWITCH(_xlfn.RANK.EQ($J25,($J25,$O25,$T25)),1,7,3),0,0)))</f>
        <v/>
      </c>
      <c r="V25" s="34" t="str">
        <f>IF($O25="","",ROUND(($O25-$O$3)/1000,1)+IF($O25&lt;30000,-10,_xlfn.SWITCH(FREQUENCY(($J25,$O25,$T25),29900),2,20,1,_xlfn.SWITCH(_xlfn.RANK.EQ($O25,($J25,$O25,$T25)),1,7,3),0,0)))</f>
        <v/>
      </c>
      <c r="W25" s="35" t="str">
        <f>IF($T25="","",ROUND(($T25-$T$3)/1000,1)+IF($T25&lt;30000,-10,_xlfn.SWITCH(FREQUENCY(($J25,$O25,$T25),29900),2,20,1,_xlfn.SWITCH(_xlfn.RANK.EQ($T25,($J25,$O25,$T25)),1,7,3),0,0)))</f>
        <v/>
      </c>
    </row>
    <row r="26" spans="1:23" x14ac:dyDescent="0.4">
      <c r="A26" s="13" t="str">
        <f t="shared" si="7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33" t="str">
        <f>IF($J26="","",ROUND(($J26-$J$3)/1000,1)+IF($J26&lt;30000,-10,_xlfn.SWITCH(FREQUENCY(($J26,$O26,$T26),29900),2,20,1,_xlfn.SWITCH(_xlfn.RANK.EQ($J26,($J26,$O26,$T26)),1,7,3),0,0)))</f>
        <v/>
      </c>
      <c r="V26" s="34" t="str">
        <f>IF($O26="","",ROUND(($O26-$O$3)/1000,1)+IF($O26&lt;30000,-10,_xlfn.SWITCH(FREQUENCY(($J26,$O26,$T26),29900),2,20,1,_xlfn.SWITCH(_xlfn.RANK.EQ($O26,($J26,$O26,$T26)),1,7,3),0,0)))</f>
        <v/>
      </c>
      <c r="W26" s="35" t="str">
        <f>IF($T26="","",ROUND(($T26-$T$3)/1000,1)+IF($T26&lt;30000,-10,_xlfn.SWITCH(FREQUENCY(($J26,$O26,$T26),29900),2,20,1,_xlfn.SWITCH(_xlfn.RANK.EQ($T26,($J26,$O26,$T26)),1,7,3),0,0)))</f>
        <v/>
      </c>
    </row>
    <row r="27" spans="1:23" x14ac:dyDescent="0.4">
      <c r="A27" s="13" t="str">
        <f t="shared" si="7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33" t="str">
        <f>IF($J27="","",ROUND(($J27-$J$3)/1000,1)+IF($J27&lt;30000,-10,_xlfn.SWITCH(FREQUENCY(($J27,$O27,$T27),29900),2,20,1,_xlfn.SWITCH(_xlfn.RANK.EQ($J27,($J27,$O27,$T27)),1,7,3),0,0)))</f>
        <v/>
      </c>
      <c r="V27" s="34" t="str">
        <f>IF($O27="","",ROUND(($O27-$O$3)/1000,1)+IF($O27&lt;30000,-10,_xlfn.SWITCH(FREQUENCY(($J27,$O27,$T27),29900),2,20,1,_xlfn.SWITCH(_xlfn.RANK.EQ($O27,($J27,$O27,$T27)),1,7,3),0,0)))</f>
        <v/>
      </c>
      <c r="W27" s="35" t="str">
        <f>IF($T27="","",ROUND(($T27-$T$3)/1000,1)+IF($T27&lt;30000,-10,_xlfn.SWITCH(FREQUENCY(($J27,$O27,$T27),29900),2,20,1,_xlfn.SWITCH(_xlfn.RANK.EQ($T27,($J27,$O27,$T27)),1,7,3),0,0)))</f>
        <v/>
      </c>
    </row>
    <row r="28" spans="1:23" x14ac:dyDescent="0.4">
      <c r="A28" s="13" t="str">
        <f t="shared" si="7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33" t="str">
        <f>IF($J28="","",ROUND(($J28-$J$3)/1000,1)+IF($J28&lt;30000,-10,_xlfn.SWITCH(FREQUENCY(($J28,$O28,$T28),29900),2,20,1,_xlfn.SWITCH(_xlfn.RANK.EQ($J28,($J28,$O28,$T28)),1,7,3),0,0)))</f>
        <v/>
      </c>
      <c r="V28" s="34" t="str">
        <f>IF($O28="","",ROUND(($O28-$O$3)/1000,1)+IF($O28&lt;30000,-10,_xlfn.SWITCH(FREQUENCY(($J28,$O28,$T28),29900),2,20,1,_xlfn.SWITCH(_xlfn.RANK.EQ($O28,($J28,$O28,$T28)),1,7,3),0,0)))</f>
        <v/>
      </c>
      <c r="W28" s="35" t="str">
        <f>IF($T28="","",ROUND(($T28-$T$3)/1000,1)+IF($T28&lt;30000,-10,_xlfn.SWITCH(FREQUENCY(($J28,$O28,$T28),29900),2,20,1,_xlfn.SWITCH(_xlfn.RANK.EQ($T28,($J28,$O28,$T28)),1,7,3),0,0)))</f>
        <v/>
      </c>
    </row>
    <row r="29" spans="1:23" x14ac:dyDescent="0.4">
      <c r="A29" s="13" t="str">
        <f t="shared" si="7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33" t="str">
        <f>IF($J29="","",ROUND(($J29-$J$3)/1000,1)+IF($J29&lt;30000,-10,_xlfn.SWITCH(FREQUENCY(($J29,$O29,$T29),29900),2,20,1,_xlfn.SWITCH(_xlfn.RANK.EQ($J29,($J29,$O29,$T29)),1,7,3),0,0)))</f>
        <v/>
      </c>
      <c r="V29" s="34" t="str">
        <f>IF($O29="","",ROUND(($O29-$O$3)/1000,1)+IF($O29&lt;30000,-10,_xlfn.SWITCH(FREQUENCY(($J29,$O29,$T29),29900),2,20,1,_xlfn.SWITCH(_xlfn.RANK.EQ($O29,($J29,$O29,$T29)),1,7,3),0,0)))</f>
        <v/>
      </c>
      <c r="W29" s="35" t="str">
        <f>IF($T29="","",ROUND(($T29-$T$3)/1000,1)+IF($T29&lt;30000,-10,_xlfn.SWITCH(FREQUENCY(($J29,$O29,$T29),29900),2,20,1,_xlfn.SWITCH(_xlfn.RANK.EQ($T29,($J29,$O29,$T29)),1,7,3),0,0)))</f>
        <v/>
      </c>
    </row>
    <row r="30" spans="1:23" x14ac:dyDescent="0.4">
      <c r="A30" s="14" t="str">
        <f t="shared" si="7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36" t="str">
        <f>IF($J30="","",ROUND(($J30-$J$3)/1000,1)+IF($J30&lt;30000,-10,_xlfn.SWITCH(FREQUENCY(($J30,$O30,$T30),29900),2,20,1,_xlfn.SWITCH(_xlfn.RANK.EQ($J30,($J30,$O30,$T30)),1,7,3),0,0)))</f>
        <v/>
      </c>
      <c r="V30" s="37" t="str">
        <f>IF($O30="","",ROUND(($O30-$O$3)/1000,1)+IF($O30&lt;30000,-10,_xlfn.SWITCH(FREQUENCY(($J30,$O30,$T30),29900),2,20,1,_xlfn.SWITCH(_xlfn.RANK.EQ($O30,($J30,$O30,$T30)),1,7,3),0,0)))</f>
        <v/>
      </c>
      <c r="W30" s="38" t="str">
        <f>IF($T30="","",ROUND(($T30-$T$3)/1000,1)+IF($T30&lt;30000,-10,_xlfn.SWITCH(FREQUENCY(($J30,$O30,$T30),29900),2,20,1,_xlfn.SWITCH(_xlfn.RANK.EQ($T30,($J30,$O30,$T30)),1,7,3),0,0)))</f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U3:W30">
    <cfRule type="expression" dxfId="2" priority="11">
      <formula>AND(U4="",SUM($U3:$W3))</formula>
    </cfRule>
  </conditionalFormatting>
  <conditionalFormatting sqref="G4:G30 L4:L30 Q4:Q30">
    <cfRule type="expression" dxfId="1" priority="12">
      <formula>IF(G4&lt;&gt;"",SUM($G4:$I4,$L4:$N4,$Q4:$S4,#REF!)-$D4*1000+$D5*1000)</formula>
    </cfRule>
  </conditionalFormatting>
  <conditionalFormatting sqref="F1:T1">
    <cfRule type="duplicateValues" dxfId="0" priority="15"/>
  </conditionalFormatting>
  <dataValidations count="2">
    <dataValidation type="list" showInputMessage="1" showErrorMessage="1" sqref="K4:K30 P4:P30 F4:F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1400</v>
      </c>
      <c r="E3" s="25">
        <v>2600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1000</v>
      </c>
      <c r="D5" s="25">
        <v>2000</v>
      </c>
      <c r="E5" s="25">
        <v>4000</v>
      </c>
      <c r="F5" s="25">
        <v>7800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1400</v>
      </c>
      <c r="D6" s="25">
        <v>2600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7800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4600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2600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3000</v>
      </c>
      <c r="D11" s="25">
        <v>5800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6000</v>
      </c>
      <c r="H2" s="25">
        <v>9000</v>
      </c>
      <c r="I2" s="25">
        <v>12000</v>
      </c>
      <c r="J2" s="25">
        <v>18000</v>
      </c>
      <c r="K2" s="25">
        <v>24000</v>
      </c>
      <c r="L2" s="25">
        <v>48000</v>
      </c>
      <c r="M2" s="25">
        <v>72000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1100</v>
      </c>
      <c r="E3" s="25">
        <v>2000</v>
      </c>
      <c r="F3" s="25">
        <v>3900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2400</v>
      </c>
      <c r="F4" s="25">
        <v>4800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800</v>
      </c>
      <c r="D5" s="25">
        <v>1500</v>
      </c>
      <c r="E5" s="25">
        <v>3000</v>
      </c>
      <c r="F5" s="25">
        <v>5900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1100</v>
      </c>
      <c r="D6" s="25">
        <v>2000</v>
      </c>
      <c r="E6" s="25">
        <v>3900</v>
      </c>
      <c r="F6" s="25">
        <v>6000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1200</v>
      </c>
      <c r="D7" s="25">
        <v>2400</v>
      </c>
      <c r="E7" s="25">
        <v>4800</v>
      </c>
      <c r="F7" s="25">
        <v>6000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1500</v>
      </c>
      <c r="D8" s="25">
        <v>3000</v>
      </c>
      <c r="E8" s="25">
        <v>5900</v>
      </c>
      <c r="F8" s="25">
        <v>6000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1800</v>
      </c>
      <c r="D9" s="25">
        <v>3500</v>
      </c>
      <c r="E9" s="25">
        <v>6000</v>
      </c>
      <c r="F9" s="25">
        <v>6000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2000</v>
      </c>
      <c r="D10" s="25">
        <v>3900</v>
      </c>
      <c r="E10" s="25">
        <v>6000</v>
      </c>
      <c r="F10" s="25">
        <v>6000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2300</v>
      </c>
      <c r="D11" s="25">
        <v>4400</v>
      </c>
      <c r="E11" s="25">
        <v>6000</v>
      </c>
      <c r="F11" s="25">
        <v>6000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2400</v>
      </c>
      <c r="D12" s="25">
        <v>4800</v>
      </c>
      <c r="E12" s="25">
        <v>6000</v>
      </c>
      <c r="F12" s="25">
        <v>6000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5400</v>
      </c>
      <c r="E13" s="25">
        <v>6000</v>
      </c>
      <c r="F13" s="25">
        <v>6000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2019-06-22T04:48:52Z</dcterms:modified>
</cp:coreProperties>
</file>