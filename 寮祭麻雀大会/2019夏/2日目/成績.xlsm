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"/>
    </mc:Choice>
  </mc:AlternateContent>
  <xr:revisionPtr revIDLastSave="0" documentId="13_ncr:1_{04092487-2C0B-4EE9-8D5D-425B0FDC1224}" xr6:coauthVersionLast="36" xr6:coauthVersionMax="36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福澤" sheetId="525" r:id="rId2"/>
    <sheet name="百瀬" sheetId="526" r:id="rId3"/>
    <sheet name="保谷" sheetId="527" r:id="rId4"/>
    <sheet name="石澤" sheetId="528" r:id="rId5"/>
    <sheet name="滝沢" sheetId="529" r:id="rId6"/>
    <sheet name="依田" sheetId="530" r:id="rId7"/>
    <sheet name="堀内" sheetId="531" r:id="rId8"/>
    <sheet name="大池" sheetId="532" r:id="rId9"/>
    <sheet name="小林" sheetId="533" r:id="rId10"/>
    <sheet name="水澤" sheetId="534" r:id="rId11"/>
    <sheet name="矢ヶ崎" sheetId="535" r:id="rId12"/>
    <sheet name="齋藤" sheetId="536" r:id="rId13"/>
    <sheet name="坂口" sheetId="537" r:id="rId14"/>
    <sheet name="北沢" sheetId="538" r:id="rId15"/>
    <sheet name="高野" sheetId="539" r:id="rId16"/>
    <sheet name="近藤" sheetId="540" r:id="rId17"/>
    <sheet name="Template" sheetId="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540" l="1"/>
  <c r="C15" i="540"/>
  <c r="C14" i="540"/>
  <c r="C13" i="540"/>
  <c r="B12" i="540"/>
  <c r="B16" i="540" s="1"/>
  <c r="C11" i="540"/>
  <c r="C10" i="540"/>
  <c r="C9" i="540"/>
  <c r="C8" i="540"/>
  <c r="C7" i="540"/>
  <c r="B6" i="540"/>
  <c r="B5" i="540"/>
  <c r="C12" i="540" l="1"/>
  <c r="B17" i="539" l="1"/>
  <c r="C15" i="539"/>
  <c r="C14" i="539"/>
  <c r="C13" i="539"/>
  <c r="B12" i="539"/>
  <c r="B16" i="539" s="1"/>
  <c r="C11" i="539"/>
  <c r="C10" i="539"/>
  <c r="C9" i="539"/>
  <c r="C8" i="539"/>
  <c r="C7" i="539"/>
  <c r="B6" i="539"/>
  <c r="B5" i="539"/>
  <c r="B17" i="538"/>
  <c r="C15" i="538"/>
  <c r="C14" i="538"/>
  <c r="C13" i="538"/>
  <c r="B12" i="538"/>
  <c r="B16" i="538" s="1"/>
  <c r="C11" i="538"/>
  <c r="C10" i="538"/>
  <c r="C9" i="538"/>
  <c r="C8" i="538"/>
  <c r="C7" i="538"/>
  <c r="B6" i="538"/>
  <c r="B5" i="538"/>
  <c r="B17" i="537"/>
  <c r="C15" i="537"/>
  <c r="C14" i="537"/>
  <c r="C13" i="537"/>
  <c r="B12" i="537"/>
  <c r="B16" i="537" s="1"/>
  <c r="C11" i="537"/>
  <c r="C10" i="537"/>
  <c r="C9" i="537"/>
  <c r="C8" i="537"/>
  <c r="C7" i="537"/>
  <c r="B6" i="537"/>
  <c r="B5" i="537"/>
  <c r="C12" i="538" l="1"/>
  <c r="C12" i="539"/>
  <c r="C12" i="537"/>
  <c r="B17" i="536" l="1"/>
  <c r="C15" i="536"/>
  <c r="C14" i="536"/>
  <c r="C13" i="536"/>
  <c r="B12" i="536"/>
  <c r="B16" i="536" s="1"/>
  <c r="C11" i="536"/>
  <c r="C10" i="536"/>
  <c r="C9" i="536"/>
  <c r="C8" i="536"/>
  <c r="C7" i="536"/>
  <c r="B6" i="536"/>
  <c r="B5" i="536"/>
  <c r="B17" i="535"/>
  <c r="C15" i="535"/>
  <c r="C14" i="535"/>
  <c r="C13" i="535"/>
  <c r="B12" i="535"/>
  <c r="B16" i="535" s="1"/>
  <c r="C11" i="535"/>
  <c r="C10" i="535"/>
  <c r="C9" i="535"/>
  <c r="C8" i="535"/>
  <c r="C7" i="535"/>
  <c r="B6" i="535"/>
  <c r="B5" i="535"/>
  <c r="B17" i="534"/>
  <c r="C15" i="534"/>
  <c r="C14" i="534"/>
  <c r="C13" i="534"/>
  <c r="B12" i="534"/>
  <c r="B16" i="534" s="1"/>
  <c r="C11" i="534"/>
  <c r="C10" i="534"/>
  <c r="C9" i="534"/>
  <c r="C8" i="534"/>
  <c r="C7" i="534"/>
  <c r="B6" i="534"/>
  <c r="B5" i="534"/>
  <c r="B17" i="533"/>
  <c r="C15" i="533"/>
  <c r="C14" i="533"/>
  <c r="C13" i="533"/>
  <c r="B12" i="533"/>
  <c r="B16" i="533" s="1"/>
  <c r="C11" i="533"/>
  <c r="C10" i="533"/>
  <c r="C9" i="533"/>
  <c r="C8" i="533"/>
  <c r="C7" i="533"/>
  <c r="B6" i="533"/>
  <c r="B5" i="533"/>
  <c r="B17" i="532"/>
  <c r="C15" i="532"/>
  <c r="C14" i="532"/>
  <c r="C13" i="532"/>
  <c r="B12" i="532"/>
  <c r="B16" i="532" s="1"/>
  <c r="C11" i="532"/>
  <c r="C10" i="532"/>
  <c r="C9" i="532"/>
  <c r="C8" i="532"/>
  <c r="C7" i="532"/>
  <c r="B6" i="532"/>
  <c r="B5" i="532"/>
  <c r="C12" i="536" l="1"/>
  <c r="C12" i="535"/>
  <c r="C12" i="534"/>
  <c r="C12" i="533"/>
  <c r="C12" i="532"/>
  <c r="B17" i="531" l="1"/>
  <c r="C15" i="531"/>
  <c r="C14" i="531"/>
  <c r="C13" i="531"/>
  <c r="B12" i="531"/>
  <c r="B16" i="531" s="1"/>
  <c r="C11" i="531"/>
  <c r="C10" i="531"/>
  <c r="C9" i="531"/>
  <c r="C8" i="531"/>
  <c r="C7" i="531"/>
  <c r="B6" i="531"/>
  <c r="B5" i="531"/>
  <c r="B17" i="530"/>
  <c r="C15" i="530"/>
  <c r="C14" i="530"/>
  <c r="C13" i="530"/>
  <c r="B12" i="530"/>
  <c r="B16" i="530" s="1"/>
  <c r="C11" i="530"/>
  <c r="C10" i="530"/>
  <c r="C9" i="530"/>
  <c r="C8" i="530"/>
  <c r="C7" i="530"/>
  <c r="B6" i="530"/>
  <c r="B5" i="530"/>
  <c r="B17" i="529"/>
  <c r="C15" i="529"/>
  <c r="C14" i="529"/>
  <c r="C13" i="529"/>
  <c r="B12" i="529"/>
  <c r="B16" i="529" s="1"/>
  <c r="C11" i="529"/>
  <c r="C10" i="529"/>
  <c r="C9" i="529"/>
  <c r="C8" i="529"/>
  <c r="C7" i="529"/>
  <c r="B6" i="529"/>
  <c r="B5" i="529"/>
  <c r="B17" i="528"/>
  <c r="C15" i="528"/>
  <c r="C14" i="528"/>
  <c r="C13" i="528"/>
  <c r="B12" i="528"/>
  <c r="B16" i="528" s="1"/>
  <c r="C11" i="528"/>
  <c r="C10" i="528"/>
  <c r="C9" i="528"/>
  <c r="C8" i="528"/>
  <c r="C7" i="528"/>
  <c r="B6" i="528"/>
  <c r="B5" i="528"/>
  <c r="B17" i="527"/>
  <c r="C15" i="527"/>
  <c r="C14" i="527"/>
  <c r="C13" i="527"/>
  <c r="B12" i="527"/>
  <c r="B16" i="527" s="1"/>
  <c r="C11" i="527"/>
  <c r="C10" i="527"/>
  <c r="C9" i="527"/>
  <c r="C8" i="527"/>
  <c r="C7" i="527"/>
  <c r="B6" i="527"/>
  <c r="B5" i="527"/>
  <c r="B17" i="526"/>
  <c r="C15" i="526"/>
  <c r="C14" i="526"/>
  <c r="C13" i="526"/>
  <c r="B12" i="526"/>
  <c r="B16" i="526" s="1"/>
  <c r="C11" i="526"/>
  <c r="C10" i="526"/>
  <c r="C9" i="526"/>
  <c r="C8" i="526"/>
  <c r="C7" i="526"/>
  <c r="B6" i="526"/>
  <c r="B5" i="526"/>
  <c r="B17" i="525"/>
  <c r="C15" i="525"/>
  <c r="C14" i="525"/>
  <c r="C13" i="525"/>
  <c r="B12" i="525"/>
  <c r="B16" i="525" s="1"/>
  <c r="C11" i="525"/>
  <c r="C10" i="525"/>
  <c r="C9" i="525"/>
  <c r="C8" i="525"/>
  <c r="C7" i="525"/>
  <c r="B6" i="525"/>
  <c r="B5" i="525"/>
  <c r="C12" i="531" l="1"/>
  <c r="C12" i="530"/>
  <c r="C12" i="529"/>
  <c r="C12" i="528"/>
  <c r="C12" i="527"/>
  <c r="C12" i="526"/>
  <c r="C12" i="525"/>
  <c r="B17" i="1" l="1"/>
  <c r="B16" i="1"/>
  <c r="B6" i="1" l="1"/>
  <c r="B5" i="1"/>
  <c r="C15" i="1"/>
  <c r="C14" i="1"/>
  <c r="C13" i="1"/>
  <c r="C11" i="1"/>
  <c r="C10" i="1"/>
  <c r="C9" i="1"/>
  <c r="C8" i="1"/>
  <c r="C7" i="1"/>
  <c r="B12" i="1" l="1"/>
  <c r="C12" i="1" l="1"/>
</calcChain>
</file>

<file path=xl/sharedStrings.xml><?xml version="1.0" encoding="utf-8"?>
<sst xmlns="http://schemas.openxmlformats.org/spreadsheetml/2006/main" count="458" uniqueCount="55">
  <si>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</si>
  <si>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</si>
  <si>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</si>
  <si>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</si>
  <si>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</si>
  <si>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</si>
  <si>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</si>
  <si>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</si>
  <si>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</si>
  <si>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</si>
  <si>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</si>
  <si>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</si>
  <si>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</si>
  <si>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</si>
  <si>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</si>
  <si>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</si>
  <si>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</si>
  <si>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</si>
  <si>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</si>
  <si>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</si>
  <si>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</si>
  <si>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</si>
  <si>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4位</t>
    <phoneticPr fontId="1"/>
  </si>
  <si>
    <t>大池</t>
  </si>
  <si>
    <t>依田</t>
  </si>
  <si>
    <t>滝沢</t>
  </si>
  <si>
    <t>石澤</t>
  </si>
  <si>
    <t>矢ヶ崎</t>
  </si>
  <si>
    <t>北沢</t>
  </si>
  <si>
    <t>水澤</t>
  </si>
  <si>
    <t>石澤</t>
    <phoneticPr fontId="1"/>
  </si>
  <si>
    <t>福澤</t>
  </si>
  <si>
    <t>高野</t>
  </si>
  <si>
    <t>大池</t>
    <phoneticPr fontId="1"/>
  </si>
  <si>
    <t>齋藤</t>
  </si>
  <si>
    <t>齋藤</t>
    <phoneticPr fontId="1"/>
  </si>
  <si>
    <t>保谷</t>
  </si>
  <si>
    <t>高野</t>
    <phoneticPr fontId="1"/>
  </si>
  <si>
    <t>福澤</t>
    <phoneticPr fontId="1"/>
  </si>
  <si>
    <t>北沢</t>
    <phoneticPr fontId="1"/>
  </si>
  <si>
    <t>矢ヶ崎</t>
    <phoneticPr fontId="1"/>
  </si>
  <si>
    <t>依田</t>
    <phoneticPr fontId="1"/>
  </si>
  <si>
    <t>滝沢</t>
    <phoneticPr fontId="1"/>
  </si>
  <si>
    <t>水澤</t>
    <phoneticPr fontId="1"/>
  </si>
  <si>
    <t>保谷</t>
    <phoneticPr fontId="1"/>
  </si>
  <si>
    <t>百瀬</t>
  </si>
  <si>
    <t>小林</t>
  </si>
  <si>
    <t>小林</t>
    <phoneticPr fontId="1"/>
  </si>
  <si>
    <t>坂口</t>
  </si>
  <si>
    <t>堀内</t>
  </si>
  <si>
    <t>坂口</t>
    <phoneticPr fontId="1"/>
  </si>
  <si>
    <t>百瀬</t>
    <phoneticPr fontId="1"/>
  </si>
  <si>
    <t>近藤</t>
  </si>
  <si>
    <t>近藤</t>
    <phoneticPr fontId="1"/>
  </si>
  <si>
    <t>堀内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</si>
</sst>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  <numFmt numFmtId="183" formatCode="\+0.00;\-0.00;\±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 shrinkToFit="1"/>
    </xf>
    <xf numFmtId="183" fontId="0" fillId="0" borderId="10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3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7"/>
  <sheetViews>
    <sheetView showGridLines="0" tabSelected="1" zoomScale="150" zoomScaleNormal="150" workbookViewId="0"/>
  </sheetViews>
  <sheetFormatPr defaultRowHeight="18.75" x14ac:dyDescent="0.4"/>
  <cols>
    <col min="1" max="1" width="6" style="26" customWidth="1"/>
    <col min="2" max="2" width="10.75" style="25" customWidth="1"/>
    <col min="3" max="3" width="10.75" style="19" customWidth="1"/>
    <col min="4" max="4" width="10.75" style="17" customWidth="1"/>
    <col min="5" max="5" width="10.75" style="32" customWidth="1"/>
    <col min="6" max="6" width="10.75" style="17" customWidth="1"/>
    <col min="7" max="7" width="10.75" style="24" customWidth="1"/>
    <col min="8" max="8" width="10.75" style="17" customWidth="1"/>
    <col min="9" max="9" width="10.75" style="31" customWidth="1"/>
    <col min="10" max="10" width="10.75" style="17" customWidth="1"/>
    <col min="11" max="11" width="10.75" style="31" customWidth="1"/>
    <col min="12" max="12" width="10.75" style="17" customWidth="1"/>
    <col min="13" max="13" width="10.75" style="30" customWidth="1"/>
    <col min="14" max="14" width="10.75" style="17" customWidth="1"/>
    <col min="15" max="15" width="10.75" style="30" customWidth="1"/>
    <col min="16" max="16" width="10.75" style="17" customWidth="1"/>
    <col min="17" max="17" width="10.75" style="18" customWidth="1"/>
    <col min="18" max="18" width="10.75" style="17" customWidth="1"/>
    <col min="19" max="19" width="10.75" style="18" customWidth="1"/>
    <col min="20" max="16384" width="9" style="20"/>
  </cols>
  <sheetData>
    <row r="1" spans="1:19" x14ac:dyDescent="0.4">
      <c r="B1" s="37" t="s">
        <v>6</v>
      </c>
      <c r="C1" s="38"/>
      <c r="D1" s="37" t="s">
        <v>7</v>
      </c>
      <c r="E1" s="38"/>
      <c r="F1" s="37" t="s">
        <v>16</v>
      </c>
      <c r="G1" s="38"/>
      <c r="H1" s="37" t="s">
        <v>15</v>
      </c>
      <c r="I1" s="38"/>
      <c r="J1" s="37" t="s">
        <v>20</v>
      </c>
      <c r="K1" s="38"/>
      <c r="L1" s="37" t="s">
        <v>17</v>
      </c>
      <c r="M1" s="38"/>
      <c r="N1" s="37" t="s">
        <v>18</v>
      </c>
      <c r="O1" s="38"/>
      <c r="P1" s="37" t="s">
        <v>5</v>
      </c>
      <c r="Q1" s="38"/>
      <c r="R1" s="37" t="s">
        <v>19</v>
      </c>
      <c r="S1" s="38"/>
    </row>
    <row r="2" spans="1:19" x14ac:dyDescent="0.4">
      <c r="A2" s="26">
        <v>1</v>
      </c>
      <c r="B2" s="25" t="s">
        <v>49</v>
      </c>
      <c r="C2" s="19">
        <v>48.8</v>
      </c>
      <c r="D2" s="17" t="s">
        <v>49</v>
      </c>
      <c r="E2" s="32">
        <v>24.4</v>
      </c>
      <c r="F2" s="17" t="s">
        <v>49</v>
      </c>
      <c r="G2" s="24">
        <v>1</v>
      </c>
      <c r="H2" s="17" t="s">
        <v>49</v>
      </c>
      <c r="I2" s="31">
        <v>1</v>
      </c>
      <c r="J2" s="17" t="s">
        <v>31</v>
      </c>
      <c r="K2" s="31">
        <v>0</v>
      </c>
      <c r="L2" s="17" t="s">
        <v>25</v>
      </c>
      <c r="M2" s="30">
        <v>0.44444444444444442</v>
      </c>
      <c r="N2" s="17" t="s">
        <v>45</v>
      </c>
      <c r="O2" s="30">
        <v>0</v>
      </c>
      <c r="P2" s="17" t="s">
        <v>48</v>
      </c>
      <c r="Q2" s="18">
        <v>7900</v>
      </c>
      <c r="R2" s="17" t="s">
        <v>45</v>
      </c>
      <c r="S2" s="18">
        <v>0</v>
      </c>
    </row>
    <row r="3" spans="1:19" x14ac:dyDescent="0.4">
      <c r="A3" s="26">
        <v>2</v>
      </c>
      <c r="B3" s="25" t="s">
        <v>25</v>
      </c>
      <c r="C3" s="19">
        <v>29.799999999999997</v>
      </c>
      <c r="D3" s="17" t="s">
        <v>25</v>
      </c>
      <c r="E3" s="32">
        <v>14.899999999999999</v>
      </c>
      <c r="F3" s="17" t="s">
        <v>25</v>
      </c>
      <c r="G3" s="24">
        <v>1.5</v>
      </c>
      <c r="H3" s="17" t="s">
        <v>31</v>
      </c>
      <c r="I3" s="31">
        <v>0.5</v>
      </c>
      <c r="J3" s="17" t="s">
        <v>45</v>
      </c>
      <c r="K3" s="31">
        <v>0</v>
      </c>
      <c r="L3" s="17" t="s">
        <v>49</v>
      </c>
      <c r="M3" s="30">
        <v>0.44444444444444442</v>
      </c>
      <c r="N3" s="17" t="s">
        <v>25</v>
      </c>
      <c r="O3" s="30">
        <v>0</v>
      </c>
      <c r="P3" s="17" t="s">
        <v>36</v>
      </c>
      <c r="Q3" s="18">
        <v>5200</v>
      </c>
      <c r="R3" s="17" t="s">
        <v>25</v>
      </c>
      <c r="S3" s="18">
        <v>0</v>
      </c>
    </row>
    <row r="4" spans="1:19" x14ac:dyDescent="0.4">
      <c r="A4" s="26">
        <v>3</v>
      </c>
      <c r="B4" s="25" t="s">
        <v>31</v>
      </c>
      <c r="C4" s="19">
        <v>24.599999999999998</v>
      </c>
      <c r="D4" s="17" t="s">
        <v>31</v>
      </c>
      <c r="E4" s="32">
        <v>12.299999999999999</v>
      </c>
      <c r="F4" s="17" t="s">
        <v>46</v>
      </c>
      <c r="G4" s="24">
        <v>1.5</v>
      </c>
      <c r="H4" s="17" t="s">
        <v>25</v>
      </c>
      <c r="I4" s="31">
        <v>0.5</v>
      </c>
      <c r="J4" s="17" t="s">
        <v>36</v>
      </c>
      <c r="K4" s="31">
        <v>0</v>
      </c>
      <c r="L4" s="17" t="s">
        <v>31</v>
      </c>
      <c r="M4" s="30">
        <v>0.4</v>
      </c>
      <c r="N4" s="17" t="s">
        <v>49</v>
      </c>
      <c r="O4" s="30">
        <v>0</v>
      </c>
      <c r="P4" s="17" t="s">
        <v>27</v>
      </c>
      <c r="Q4" s="18">
        <v>5200</v>
      </c>
      <c r="R4" s="17" t="s">
        <v>49</v>
      </c>
      <c r="S4" s="18">
        <v>0</v>
      </c>
    </row>
    <row r="5" spans="1:19" x14ac:dyDescent="0.4">
      <c r="A5" s="26">
        <v>4</v>
      </c>
      <c r="B5" s="25" t="s">
        <v>46</v>
      </c>
      <c r="C5" s="19">
        <v>20.7</v>
      </c>
      <c r="D5" s="17" t="s">
        <v>46</v>
      </c>
      <c r="E5" s="32">
        <v>10.35</v>
      </c>
      <c r="F5" s="17" t="s">
        <v>31</v>
      </c>
      <c r="G5" s="24">
        <v>2</v>
      </c>
      <c r="H5" s="17" t="s">
        <v>24</v>
      </c>
      <c r="I5" s="31">
        <v>0.5</v>
      </c>
      <c r="J5" s="17" t="s">
        <v>26</v>
      </c>
      <c r="K5" s="31">
        <v>0</v>
      </c>
      <c r="L5" s="17" t="s">
        <v>46</v>
      </c>
      <c r="M5" s="30">
        <v>0.375</v>
      </c>
      <c r="N5" s="17" t="s">
        <v>36</v>
      </c>
      <c r="O5" s="30">
        <v>0.1111111111111111</v>
      </c>
      <c r="P5" s="17" t="s">
        <v>28</v>
      </c>
      <c r="Q5" s="18">
        <v>5200</v>
      </c>
      <c r="R5" s="17" t="s">
        <v>27</v>
      </c>
      <c r="S5" s="18">
        <v>-1000</v>
      </c>
    </row>
    <row r="6" spans="1:19" x14ac:dyDescent="0.4">
      <c r="A6" s="26">
        <v>5</v>
      </c>
      <c r="B6" s="25" t="s">
        <v>27</v>
      </c>
      <c r="C6" s="19">
        <v>14</v>
      </c>
      <c r="D6" s="17" t="s">
        <v>27</v>
      </c>
      <c r="E6" s="32">
        <v>7</v>
      </c>
      <c r="F6" s="17" t="s">
        <v>27</v>
      </c>
      <c r="G6" s="24">
        <v>2</v>
      </c>
      <c r="H6" s="17" t="s">
        <v>23</v>
      </c>
      <c r="I6" s="31">
        <v>0.5</v>
      </c>
      <c r="J6" s="17" t="s">
        <v>25</v>
      </c>
      <c r="K6" s="31">
        <v>0</v>
      </c>
      <c r="L6" s="17" t="s">
        <v>27</v>
      </c>
      <c r="M6" s="30">
        <v>0.25</v>
      </c>
      <c r="N6" s="17" t="s">
        <v>52</v>
      </c>
      <c r="O6" s="30">
        <v>0.1111111111111111</v>
      </c>
      <c r="P6" s="17" t="s">
        <v>46</v>
      </c>
      <c r="Q6" s="18">
        <v>3966.6666666666665</v>
      </c>
      <c r="R6" s="17" t="s">
        <v>31</v>
      </c>
      <c r="S6" s="18">
        <v>-1150</v>
      </c>
    </row>
    <row r="7" spans="1:19" x14ac:dyDescent="0.4">
      <c r="A7" s="26">
        <v>6</v>
      </c>
      <c r="B7" s="25" t="s">
        <v>32</v>
      </c>
      <c r="C7" s="19">
        <v>6.4</v>
      </c>
      <c r="D7" s="17" t="s">
        <v>32</v>
      </c>
      <c r="E7" s="32">
        <v>3.2</v>
      </c>
      <c r="F7" s="17" t="s">
        <v>32</v>
      </c>
      <c r="G7" s="24">
        <v>2</v>
      </c>
      <c r="H7" s="17" t="s">
        <v>46</v>
      </c>
      <c r="I7" s="31">
        <v>0.5</v>
      </c>
      <c r="J7" s="17" t="s">
        <v>24</v>
      </c>
      <c r="K7" s="31">
        <v>0</v>
      </c>
      <c r="L7" s="17" t="s">
        <v>34</v>
      </c>
      <c r="M7" s="30">
        <v>0.25</v>
      </c>
      <c r="N7" s="17" t="s">
        <v>29</v>
      </c>
      <c r="O7" s="30">
        <v>0.125</v>
      </c>
      <c r="P7" s="17" t="s">
        <v>23</v>
      </c>
      <c r="Q7" s="18">
        <v>3950</v>
      </c>
      <c r="R7" s="17" t="s">
        <v>28</v>
      </c>
      <c r="S7" s="18">
        <v>-1950</v>
      </c>
    </row>
    <row r="8" spans="1:19" x14ac:dyDescent="0.4">
      <c r="A8" s="26">
        <v>7</v>
      </c>
      <c r="B8" s="25" t="s">
        <v>23</v>
      </c>
      <c r="C8" s="19">
        <v>5.4999999999999982</v>
      </c>
      <c r="D8" s="17" t="s">
        <v>23</v>
      </c>
      <c r="E8" s="32">
        <v>2.7499999999999991</v>
      </c>
      <c r="F8" s="17" t="s">
        <v>45</v>
      </c>
      <c r="G8" s="24">
        <v>2.5</v>
      </c>
      <c r="H8" s="17" t="s">
        <v>32</v>
      </c>
      <c r="I8" s="31">
        <v>0.5</v>
      </c>
      <c r="J8" s="17" t="s">
        <v>49</v>
      </c>
      <c r="K8" s="31">
        <v>0</v>
      </c>
      <c r="L8" s="17" t="s">
        <v>32</v>
      </c>
      <c r="M8" s="30">
        <v>0.25</v>
      </c>
      <c r="N8" s="17" t="s">
        <v>27</v>
      </c>
      <c r="O8" s="30">
        <v>0.125</v>
      </c>
      <c r="P8" s="17" t="s">
        <v>32</v>
      </c>
      <c r="Q8" s="18">
        <v>3600</v>
      </c>
      <c r="R8" s="17" t="s">
        <v>36</v>
      </c>
      <c r="S8" s="18">
        <v>-2000</v>
      </c>
    </row>
    <row r="9" spans="1:19" x14ac:dyDescent="0.4">
      <c r="A9" s="26">
        <v>8</v>
      </c>
      <c r="B9" s="25" t="s">
        <v>36</v>
      </c>
      <c r="C9" s="19">
        <v>0.40000000000000036</v>
      </c>
      <c r="D9" s="17" t="s">
        <v>36</v>
      </c>
      <c r="E9" s="32">
        <v>0.20000000000000018</v>
      </c>
      <c r="F9" s="17" t="s">
        <v>36</v>
      </c>
      <c r="G9" s="24">
        <v>2.5</v>
      </c>
      <c r="H9" s="17" t="s">
        <v>45</v>
      </c>
      <c r="I9" s="31">
        <v>0</v>
      </c>
      <c r="J9" s="17" t="s">
        <v>23</v>
      </c>
      <c r="K9" s="31">
        <v>0</v>
      </c>
      <c r="L9" s="17" t="s">
        <v>45</v>
      </c>
      <c r="M9" s="30">
        <v>0.22222222222222221</v>
      </c>
      <c r="N9" s="17" t="s">
        <v>31</v>
      </c>
      <c r="O9" s="30">
        <v>0.2</v>
      </c>
      <c r="P9" s="17" t="s">
        <v>31</v>
      </c>
      <c r="Q9" s="18">
        <v>3425</v>
      </c>
      <c r="R9" s="17" t="s">
        <v>34</v>
      </c>
      <c r="S9" s="18">
        <v>-2300</v>
      </c>
    </row>
    <row r="10" spans="1:19" x14ac:dyDescent="0.4">
      <c r="A10" s="26">
        <v>9</v>
      </c>
      <c r="B10" s="25" t="s">
        <v>45</v>
      </c>
      <c r="C10" s="19">
        <v>-5.0000000000000009</v>
      </c>
      <c r="D10" s="17" t="s">
        <v>45</v>
      </c>
      <c r="E10" s="32">
        <v>-2.5000000000000004</v>
      </c>
      <c r="F10" s="17" t="s">
        <v>24</v>
      </c>
      <c r="G10" s="24">
        <v>2.5</v>
      </c>
      <c r="H10" s="17" t="s">
        <v>36</v>
      </c>
      <c r="I10" s="31">
        <v>0</v>
      </c>
      <c r="J10" s="17" t="s">
        <v>46</v>
      </c>
      <c r="K10" s="31">
        <v>0</v>
      </c>
      <c r="L10" s="17" t="s">
        <v>36</v>
      </c>
      <c r="M10" s="30">
        <v>0.22222222222222221</v>
      </c>
      <c r="N10" s="17" t="s">
        <v>46</v>
      </c>
      <c r="O10" s="30">
        <v>0.25</v>
      </c>
      <c r="P10" s="17" t="s">
        <v>45</v>
      </c>
      <c r="Q10" s="18">
        <v>3250</v>
      </c>
      <c r="R10" s="17" t="s">
        <v>29</v>
      </c>
      <c r="S10" s="18">
        <v>-2600</v>
      </c>
    </row>
    <row r="11" spans="1:19" x14ac:dyDescent="0.4">
      <c r="A11" s="26">
        <v>10</v>
      </c>
      <c r="B11" s="25" t="s">
        <v>24</v>
      </c>
      <c r="C11" s="19">
        <v>-11.6</v>
      </c>
      <c r="D11" s="17" t="s">
        <v>24</v>
      </c>
      <c r="E11" s="32">
        <v>-5.8</v>
      </c>
      <c r="F11" s="17" t="s">
        <v>23</v>
      </c>
      <c r="G11" s="24">
        <v>2.5</v>
      </c>
      <c r="H11" s="17" t="s">
        <v>26</v>
      </c>
      <c r="I11" s="31">
        <v>0</v>
      </c>
      <c r="J11" s="17" t="s">
        <v>29</v>
      </c>
      <c r="K11" s="31">
        <v>0</v>
      </c>
      <c r="L11" s="17" t="s">
        <v>23</v>
      </c>
      <c r="M11" s="30">
        <v>0.22222222222222221</v>
      </c>
      <c r="N11" s="17" t="s">
        <v>34</v>
      </c>
      <c r="O11" s="30">
        <v>0.25</v>
      </c>
      <c r="P11" s="17" t="s">
        <v>25</v>
      </c>
      <c r="Q11" s="18">
        <v>3075</v>
      </c>
      <c r="R11" s="17" t="s">
        <v>24</v>
      </c>
      <c r="S11" s="18">
        <v>-2933.3333333333335</v>
      </c>
    </row>
    <row r="12" spans="1:19" x14ac:dyDescent="0.4">
      <c r="A12" s="26">
        <v>11</v>
      </c>
      <c r="B12" s="25" t="s">
        <v>29</v>
      </c>
      <c r="C12" s="19">
        <v>-13</v>
      </c>
      <c r="D12" s="17" t="s">
        <v>29</v>
      </c>
      <c r="E12" s="32">
        <v>-6.5</v>
      </c>
      <c r="F12" s="17" t="s">
        <v>48</v>
      </c>
      <c r="G12" s="24">
        <v>2.5</v>
      </c>
      <c r="H12" s="17" t="s">
        <v>29</v>
      </c>
      <c r="I12" s="31">
        <v>0</v>
      </c>
      <c r="J12" s="17" t="s">
        <v>27</v>
      </c>
      <c r="K12" s="31">
        <v>0</v>
      </c>
      <c r="L12" s="17" t="s">
        <v>26</v>
      </c>
      <c r="M12" s="30">
        <v>0.2</v>
      </c>
      <c r="N12" s="17" t="s">
        <v>48</v>
      </c>
      <c r="O12" s="30">
        <v>0.25</v>
      </c>
      <c r="P12" s="17" t="s">
        <v>26</v>
      </c>
      <c r="Q12" s="18">
        <v>2600</v>
      </c>
      <c r="R12" s="17" t="s">
        <v>23</v>
      </c>
      <c r="S12" s="18">
        <v>-3033.3333333333335</v>
      </c>
    </row>
    <row r="13" spans="1:19" x14ac:dyDescent="0.4">
      <c r="A13" s="26">
        <v>12</v>
      </c>
      <c r="B13" s="25" t="s">
        <v>26</v>
      </c>
      <c r="C13" s="19">
        <v>-16.099999999999998</v>
      </c>
      <c r="D13" s="17" t="s">
        <v>26</v>
      </c>
      <c r="E13" s="32">
        <v>-8.0499999999999989</v>
      </c>
      <c r="F13" s="17" t="s">
        <v>26</v>
      </c>
      <c r="G13" s="24">
        <v>3</v>
      </c>
      <c r="H13" s="17" t="s">
        <v>27</v>
      </c>
      <c r="I13" s="31">
        <v>0</v>
      </c>
      <c r="J13" s="17" t="s">
        <v>34</v>
      </c>
      <c r="K13" s="31">
        <v>0</v>
      </c>
      <c r="L13" s="17" t="s">
        <v>29</v>
      </c>
      <c r="M13" s="30">
        <v>0.125</v>
      </c>
      <c r="N13" s="17" t="s">
        <v>32</v>
      </c>
      <c r="O13" s="30">
        <v>0.25</v>
      </c>
      <c r="P13" s="17" t="s">
        <v>24</v>
      </c>
      <c r="Q13" s="18">
        <v>2600</v>
      </c>
      <c r="R13" s="17" t="s">
        <v>32</v>
      </c>
      <c r="S13" s="18">
        <v>-3250</v>
      </c>
    </row>
    <row r="14" spans="1:19" x14ac:dyDescent="0.4">
      <c r="A14" s="26">
        <v>13</v>
      </c>
      <c r="B14" s="25" t="s">
        <v>48</v>
      </c>
      <c r="C14" s="19">
        <v>-22.8</v>
      </c>
      <c r="D14" s="17" t="s">
        <v>48</v>
      </c>
      <c r="E14" s="32">
        <v>-11.4</v>
      </c>
      <c r="F14" s="17" t="s">
        <v>34</v>
      </c>
      <c r="G14" s="24">
        <v>3</v>
      </c>
      <c r="H14" s="17" t="s">
        <v>34</v>
      </c>
      <c r="I14" s="31">
        <v>0</v>
      </c>
      <c r="J14" s="17" t="s">
        <v>48</v>
      </c>
      <c r="K14" s="31">
        <v>0</v>
      </c>
      <c r="L14" s="17" t="s">
        <v>48</v>
      </c>
      <c r="M14" s="30">
        <v>0.125</v>
      </c>
      <c r="N14" s="17" t="s">
        <v>26</v>
      </c>
      <c r="O14" s="30">
        <v>0.3</v>
      </c>
      <c r="P14" s="17" t="s">
        <v>29</v>
      </c>
      <c r="Q14" s="18">
        <v>2600</v>
      </c>
      <c r="R14" s="17" t="s">
        <v>48</v>
      </c>
      <c r="S14" s="18">
        <v>-3600</v>
      </c>
    </row>
    <row r="15" spans="1:19" x14ac:dyDescent="0.4">
      <c r="A15" s="26">
        <v>14</v>
      </c>
      <c r="B15" s="25" t="s">
        <v>34</v>
      </c>
      <c r="C15" s="19">
        <v>-24.6</v>
      </c>
      <c r="D15" s="17" t="s">
        <v>34</v>
      </c>
      <c r="E15" s="32">
        <v>-12.3</v>
      </c>
      <c r="F15" s="17" t="s">
        <v>29</v>
      </c>
      <c r="G15" s="24">
        <v>3.5</v>
      </c>
      <c r="H15" s="17" t="s">
        <v>48</v>
      </c>
      <c r="I15" s="31">
        <v>0</v>
      </c>
      <c r="J15" s="17" t="s">
        <v>28</v>
      </c>
      <c r="K15" s="31">
        <v>0</v>
      </c>
      <c r="L15" s="17" t="s">
        <v>24</v>
      </c>
      <c r="M15" s="30">
        <v>0.1111111111111111</v>
      </c>
      <c r="N15" s="17" t="s">
        <v>24</v>
      </c>
      <c r="O15" s="30">
        <v>0.33333333333333331</v>
      </c>
      <c r="P15" s="17" t="s">
        <v>49</v>
      </c>
      <c r="Q15" s="18">
        <v>1800</v>
      </c>
      <c r="R15" s="17" t="s">
        <v>26</v>
      </c>
      <c r="S15" s="18">
        <v>-3900</v>
      </c>
    </row>
    <row r="16" spans="1:19" x14ac:dyDescent="0.4">
      <c r="A16" s="26">
        <v>15</v>
      </c>
      <c r="B16" s="25" t="s">
        <v>28</v>
      </c>
      <c r="C16" s="19">
        <v>-24.799999999999997</v>
      </c>
      <c r="D16" s="17" t="s">
        <v>28</v>
      </c>
      <c r="E16" s="32">
        <v>-12.399999999999999</v>
      </c>
      <c r="F16" s="17" t="s">
        <v>28</v>
      </c>
      <c r="G16" s="24">
        <v>3.5</v>
      </c>
      <c r="H16" s="17" t="s">
        <v>28</v>
      </c>
      <c r="I16" s="31">
        <v>0</v>
      </c>
      <c r="J16" s="17" t="s">
        <v>32</v>
      </c>
      <c r="K16" s="31">
        <v>0</v>
      </c>
      <c r="L16" s="17" t="s">
        <v>28</v>
      </c>
      <c r="M16" s="30">
        <v>0.1111111111111111</v>
      </c>
      <c r="N16" s="17" t="s">
        <v>23</v>
      </c>
      <c r="O16" s="30">
        <v>0.33333333333333331</v>
      </c>
      <c r="P16" s="17" t="s">
        <v>34</v>
      </c>
      <c r="Q16" s="18">
        <v>1400</v>
      </c>
      <c r="R16" s="17" t="s">
        <v>46</v>
      </c>
      <c r="S16" s="18">
        <v>-3900</v>
      </c>
    </row>
    <row r="17" spans="1:19" x14ac:dyDescent="0.4">
      <c r="A17" s="26">
        <v>16</v>
      </c>
      <c r="B17" s="25" t="s">
        <v>52</v>
      </c>
      <c r="C17" s="19">
        <v>-32.299999999999997</v>
      </c>
      <c r="D17" s="17" t="s">
        <v>52</v>
      </c>
      <c r="E17" s="32">
        <v>-16.149999999999999</v>
      </c>
      <c r="F17" s="17" t="s">
        <v>52</v>
      </c>
      <c r="G17" s="24">
        <v>4</v>
      </c>
      <c r="H17" s="17" t="s">
        <v>52</v>
      </c>
      <c r="I17" s="31">
        <v>0</v>
      </c>
      <c r="J17" s="17" t="s">
        <v>52</v>
      </c>
      <c r="K17" s="31">
        <v>0</v>
      </c>
      <c r="L17" s="17" t="s">
        <v>52</v>
      </c>
      <c r="M17" s="30">
        <v>0</v>
      </c>
      <c r="N17" s="17" t="s">
        <v>28</v>
      </c>
      <c r="O17" s="30">
        <v>0.44444444444444442</v>
      </c>
      <c r="P17" s="17" t="s">
        <v>52</v>
      </c>
      <c r="Q17" s="18">
        <v>0</v>
      </c>
      <c r="R17" s="17" t="s">
        <v>52</v>
      </c>
      <c r="S17" s="18">
        <v>-8000</v>
      </c>
    </row>
  </sheetData>
  <sortState ref="R2:S35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AB4C-C0FC-46CB-AE67-8FE2C715D022}">
  <sheetPr codeName="Sheet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38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24.599999999999998</v>
      </c>
      <c r="C4" s="11"/>
    </row>
    <row r="5" spans="1:3" x14ac:dyDescent="0.4">
      <c r="A5" s="4" t="s">
        <v>7</v>
      </c>
      <c r="B5" s="8">
        <f>B4/B$2</f>
        <v>12.299999999999999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</v>
      </c>
    </row>
    <row r="13" spans="1:3" x14ac:dyDescent="0.4">
      <c r="A13" s="4" t="s">
        <v>11</v>
      </c>
      <c r="B13" s="1">
        <v>4</v>
      </c>
      <c r="C13" s="33">
        <f>B13/B$3</f>
        <v>0.4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2</v>
      </c>
      <c r="C15" s="33">
        <f>B15/B$3</f>
        <v>0.2</v>
      </c>
    </row>
    <row r="16" spans="1:3" x14ac:dyDescent="0.4">
      <c r="A16" s="4" t="s">
        <v>5</v>
      </c>
      <c r="B16" s="6">
        <f>IF(B12=0,0,C16/B12)</f>
        <v>3425</v>
      </c>
      <c r="C16" s="14">
        <v>13700</v>
      </c>
    </row>
    <row r="17" spans="1:3" x14ac:dyDescent="0.4">
      <c r="A17" s="5" t="s">
        <v>14</v>
      </c>
      <c r="B17" s="15">
        <f>IF(B15=0,0,C17/B15)</f>
        <v>-1150</v>
      </c>
      <c r="C17" s="16">
        <v>-2300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8838-44E8-46C4-A99D-0594C8DF46FD}">
  <sheetPr codeName="Sheet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51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-5.0000000000000009</v>
      </c>
      <c r="C4" s="11"/>
    </row>
    <row r="5" spans="1:3" x14ac:dyDescent="0.4">
      <c r="A5" s="4" t="s">
        <v>7</v>
      </c>
      <c r="B5" s="8">
        <f>B4/B$2</f>
        <v>-2.5000000000000004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2</v>
      </c>
      <c r="C13" s="33">
        <f>B13/B$3</f>
        <v>0.22222222222222221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3250</v>
      </c>
      <c r="C16" s="14">
        <v>6500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C804D-AC76-441C-9C5F-78E0BBD2F7AC}">
  <sheetPr codeName="Sheet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44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0.40000000000000036</v>
      </c>
      <c r="C4" s="11"/>
    </row>
    <row r="5" spans="1:3" x14ac:dyDescent="0.4">
      <c r="A5" s="4" t="s">
        <v>7</v>
      </c>
      <c r="B5" s="8">
        <f>B4/B$2</f>
        <v>0.20000000000000018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1</v>
      </c>
      <c r="C14" s="33">
        <f>B14/B$3</f>
        <v>0.1111111111111111</v>
      </c>
    </row>
    <row r="15" spans="1:3" x14ac:dyDescent="0.4">
      <c r="A15" s="4" t="s">
        <v>13</v>
      </c>
      <c r="B15" s="1">
        <v>1</v>
      </c>
      <c r="C15" s="33">
        <f>B15/B$3</f>
        <v>0.1111111111111111</v>
      </c>
    </row>
    <row r="16" spans="1:3" x14ac:dyDescent="0.4">
      <c r="A16" s="4" t="s">
        <v>5</v>
      </c>
      <c r="B16" s="6">
        <f>IF(B12=0,0,C16/B12)</f>
        <v>5200</v>
      </c>
      <c r="C16" s="14">
        <v>10400</v>
      </c>
    </row>
    <row r="17" spans="1:3" x14ac:dyDescent="0.4">
      <c r="A17" s="5" t="s">
        <v>14</v>
      </c>
      <c r="B17" s="15">
        <f>IF(B15=0,0,C17/B15)</f>
        <v>-2000</v>
      </c>
      <c r="C17" s="16">
        <v>-2000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A2FFD-5147-40DE-A59D-B6F590790D24}">
  <sheetPr codeName="Sheet5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-16.099999999999998</v>
      </c>
      <c r="C4" s="11"/>
    </row>
    <row r="5" spans="1:3" x14ac:dyDescent="0.4">
      <c r="A5" s="4" t="s">
        <v>7</v>
      </c>
      <c r="B5" s="8">
        <f>B4/B$2</f>
        <v>-8.0499999999999989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</v>
      </c>
    </row>
    <row r="13" spans="1:3" x14ac:dyDescent="0.4">
      <c r="A13" s="4" t="s">
        <v>11</v>
      </c>
      <c r="B13" s="1">
        <v>2</v>
      </c>
      <c r="C13" s="33">
        <f>B13/B$3</f>
        <v>0.2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3</v>
      </c>
      <c r="C15" s="33">
        <f>B15/B$3</f>
        <v>0.3</v>
      </c>
    </row>
    <row r="16" spans="1:3" x14ac:dyDescent="0.4">
      <c r="A16" s="4" t="s">
        <v>5</v>
      </c>
      <c r="B16" s="6">
        <f>IF(B12=0,0,C16/B12)</f>
        <v>2600</v>
      </c>
      <c r="C16" s="14">
        <v>5200</v>
      </c>
    </row>
    <row r="17" spans="1:3" x14ac:dyDescent="0.4">
      <c r="A17" s="5" t="s">
        <v>14</v>
      </c>
      <c r="B17" s="15">
        <f>IF(B15=0,0,C17/B15)</f>
        <v>-3900</v>
      </c>
      <c r="C17" s="16">
        <v>-11700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6FE7-54BE-4C89-88A3-375264A6A725}">
  <sheetPr codeName="Sheet6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42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29.799999999999997</v>
      </c>
      <c r="C4" s="11"/>
    </row>
    <row r="5" spans="1:3" x14ac:dyDescent="0.4">
      <c r="A5" s="4" t="s">
        <v>7</v>
      </c>
      <c r="B5" s="8">
        <f>B4/B$2</f>
        <v>14.899999999999999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0.44444444444444442</v>
      </c>
    </row>
    <row r="13" spans="1:3" x14ac:dyDescent="0.4">
      <c r="A13" s="4" t="s">
        <v>11</v>
      </c>
      <c r="B13" s="1">
        <v>4</v>
      </c>
      <c r="C13" s="33">
        <f>B13/B$3</f>
        <v>0.44444444444444442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3075</v>
      </c>
      <c r="C16" s="14">
        <v>12300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3011C-614F-415D-800F-935704877D31}">
  <sheetPr codeName="Sheet7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41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-11.6</v>
      </c>
      <c r="C4" s="11"/>
    </row>
    <row r="5" spans="1:3" x14ac:dyDescent="0.4">
      <c r="A5" s="4" t="s">
        <v>7</v>
      </c>
      <c r="B5" s="8">
        <f>B4/B$2</f>
        <v>-5.8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0.1111111111111111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3</v>
      </c>
      <c r="C15" s="33">
        <f>B15/B$3</f>
        <v>0.33333333333333331</v>
      </c>
    </row>
    <row r="16" spans="1:3" x14ac:dyDescent="0.4">
      <c r="A16" s="4" t="s">
        <v>5</v>
      </c>
      <c r="B16" s="6">
        <f>IF(B12=0,0,C16/B12)</f>
        <v>2600</v>
      </c>
      <c r="C16" s="14">
        <v>2600</v>
      </c>
    </row>
    <row r="17" spans="1:3" x14ac:dyDescent="0.4">
      <c r="A17" s="5" t="s">
        <v>14</v>
      </c>
      <c r="B17" s="15">
        <f>IF(B15=0,0,C17/B15)</f>
        <v>-2933.3333333333335</v>
      </c>
      <c r="C17" s="16">
        <v>-8800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F814-3E0E-4AB6-8E71-818463C2223D}">
  <sheetPr codeName="Sheet8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54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48.8</v>
      </c>
      <c r="C4" s="11"/>
    </row>
    <row r="5" spans="1:3" x14ac:dyDescent="0.4">
      <c r="A5" s="4" t="s">
        <v>7</v>
      </c>
      <c r="B5" s="8">
        <f>B4/B$2</f>
        <v>24.4</v>
      </c>
      <c r="C5" s="12"/>
    </row>
    <row r="6" spans="1:3" x14ac:dyDescent="0.4">
      <c r="A6" s="4" t="s">
        <v>1</v>
      </c>
      <c r="B6" s="23">
        <f>(B7*1+B8*2+B9*3+B10*4)/B$2</f>
        <v>1</v>
      </c>
      <c r="C6" s="13"/>
    </row>
    <row r="7" spans="1:3" x14ac:dyDescent="0.4">
      <c r="A7" s="4" t="s">
        <v>2</v>
      </c>
      <c r="B7" s="1">
        <v>2</v>
      </c>
      <c r="C7" s="33">
        <f>B7/B$2</f>
        <v>1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4</v>
      </c>
      <c r="C12" s="36">
        <f>B12/B$3</f>
        <v>0.44444444444444442</v>
      </c>
    </row>
    <row r="13" spans="1:3" x14ac:dyDescent="0.4">
      <c r="A13" s="4" t="s">
        <v>11</v>
      </c>
      <c r="B13" s="1">
        <v>4</v>
      </c>
      <c r="C13" s="33">
        <f>B13/B$3</f>
        <v>0.44444444444444442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0</v>
      </c>
      <c r="C15" s="33">
        <f>B15/B$3</f>
        <v>0</v>
      </c>
    </row>
    <row r="16" spans="1:3" x14ac:dyDescent="0.4">
      <c r="A16" s="4" t="s">
        <v>5</v>
      </c>
      <c r="B16" s="6">
        <f>IF(B12=0,0,C16/B12)</f>
        <v>1800</v>
      </c>
      <c r="C16" s="14">
        <v>7200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C649-7E65-443C-B3A4-ABBFEFA3299A}">
  <sheetPr codeName="Sheet9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5.4999999999999982</v>
      </c>
      <c r="C4" s="11"/>
    </row>
    <row r="5" spans="1:3" x14ac:dyDescent="0.4">
      <c r="A5" s="4" t="s">
        <v>7</v>
      </c>
      <c r="B5" s="8">
        <f>B4/B$2</f>
        <v>2.7499999999999991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0.22222222222222221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1</v>
      </c>
      <c r="C14" s="33">
        <f>B14/B$3</f>
        <v>0.1111111111111111</v>
      </c>
    </row>
    <row r="15" spans="1:3" x14ac:dyDescent="0.4">
      <c r="A15" s="4" t="s">
        <v>13</v>
      </c>
      <c r="B15" s="1">
        <v>3</v>
      </c>
      <c r="C15" s="33">
        <f>B15/B$3</f>
        <v>0.33333333333333331</v>
      </c>
    </row>
    <row r="16" spans="1:3" x14ac:dyDescent="0.4">
      <c r="A16" s="4" t="s">
        <v>5</v>
      </c>
      <c r="B16" s="6">
        <f>IF(B12=0,0,C16/B12)</f>
        <v>3950</v>
      </c>
      <c r="C16" s="14">
        <v>7900</v>
      </c>
    </row>
    <row r="17" spans="1:3" x14ac:dyDescent="0.4">
      <c r="A17" s="5" t="s">
        <v>14</v>
      </c>
      <c r="B17" s="15">
        <f>IF(B15=0,0,C17/B15)</f>
        <v>-3033.3333333333335</v>
      </c>
      <c r="C17" s="16">
        <v>-9100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EF6C-4F18-4542-A5A6-855C60FF3705}">
  <sheetPr codeName="Sheet1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47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20.7</v>
      </c>
      <c r="C4" s="11"/>
    </row>
    <row r="5" spans="1:3" x14ac:dyDescent="0.4">
      <c r="A5" s="4" t="s">
        <v>7</v>
      </c>
      <c r="B5" s="8">
        <f>B4/B$2</f>
        <v>10.35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3</v>
      </c>
      <c r="C12" s="36">
        <f>B12/B$3</f>
        <v>0.375</v>
      </c>
    </row>
    <row r="13" spans="1:3" x14ac:dyDescent="0.4">
      <c r="A13" s="4" t="s">
        <v>11</v>
      </c>
      <c r="B13" s="1">
        <v>2</v>
      </c>
      <c r="C13" s="33">
        <f>B13/B$3</f>
        <v>0.25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3966.6666666666665</v>
      </c>
      <c r="C16" s="14">
        <v>11900</v>
      </c>
    </row>
    <row r="17" spans="1:3" x14ac:dyDescent="0.4">
      <c r="A17" s="5" t="s">
        <v>14</v>
      </c>
      <c r="B17" s="15">
        <f>IF(B15=0,0,C17/B15)</f>
        <v>-3900</v>
      </c>
      <c r="C17" s="16">
        <v>-7800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9D6AC-4449-402A-A822-AE87DABC25CD}">
  <sheetPr codeName="Sheet1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-13</v>
      </c>
      <c r="C4" s="11"/>
    </row>
    <row r="5" spans="1:3" x14ac:dyDescent="0.4">
      <c r="A5" s="4" t="s">
        <v>7</v>
      </c>
      <c r="B5" s="8">
        <f>B4/B$2</f>
        <v>-6.5</v>
      </c>
      <c r="C5" s="12"/>
    </row>
    <row r="6" spans="1:3" x14ac:dyDescent="0.4">
      <c r="A6" s="4" t="s">
        <v>1</v>
      </c>
      <c r="B6" s="23">
        <f>(B7*1+B8*2+B9*3+B10*4)/B$2</f>
        <v>3.5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1</v>
      </c>
      <c r="C15" s="33">
        <f>B15/B$3</f>
        <v>0.125</v>
      </c>
    </row>
    <row r="16" spans="1:3" x14ac:dyDescent="0.4">
      <c r="A16" s="4" t="s">
        <v>5</v>
      </c>
      <c r="B16" s="6">
        <f>IF(B12=0,0,C16/B12)</f>
        <v>2600</v>
      </c>
      <c r="C16" s="14">
        <v>2600</v>
      </c>
    </row>
    <row r="17" spans="1:3" x14ac:dyDescent="0.4">
      <c r="A17" s="5" t="s">
        <v>14</v>
      </c>
      <c r="B17" s="15">
        <f>IF(B15=0,0,C17/B15)</f>
        <v>-2600</v>
      </c>
      <c r="C17" s="16">
        <v>-2600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9AAEF-8D28-46AD-A14D-10E87EF9C747}">
  <sheetPr codeName="Sheet1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40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14</v>
      </c>
      <c r="C4" s="11"/>
    </row>
    <row r="5" spans="1:3" x14ac:dyDescent="0.4">
      <c r="A5" s="4" t="s">
        <v>7</v>
      </c>
      <c r="B5" s="8">
        <f>B4/B$2</f>
        <v>7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2</v>
      </c>
      <c r="C8" s="33">
        <f>B8/B$2</f>
        <v>1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1</v>
      </c>
      <c r="C15" s="33">
        <f>B15/B$3</f>
        <v>0.125</v>
      </c>
    </row>
    <row r="16" spans="1:3" x14ac:dyDescent="0.4">
      <c r="A16" s="4" t="s">
        <v>5</v>
      </c>
      <c r="B16" s="6">
        <f>IF(B12=0,0,C16/B12)</f>
        <v>5200</v>
      </c>
      <c r="C16" s="14">
        <v>10400</v>
      </c>
    </row>
    <row r="17" spans="1:3" x14ac:dyDescent="0.4">
      <c r="A17" s="5" t="s">
        <v>14</v>
      </c>
      <c r="B17" s="15">
        <f>IF(B15=0,0,C17/B15)</f>
        <v>-1000</v>
      </c>
      <c r="C17" s="16">
        <v>-1000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1302C-4EB8-4175-ABE4-C129395E7FEB}">
  <sheetPr codeName="Sheet1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35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-24.6</v>
      </c>
      <c r="C4" s="11"/>
    </row>
    <row r="5" spans="1:3" x14ac:dyDescent="0.4">
      <c r="A5" s="4" t="s">
        <v>7</v>
      </c>
      <c r="B5" s="8">
        <f>B4/B$2</f>
        <v>-12.3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1</v>
      </c>
      <c r="C13" s="33">
        <f>B13/B$3</f>
        <v>0.125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1400</v>
      </c>
      <c r="C16" s="14">
        <v>2800</v>
      </c>
    </row>
    <row r="17" spans="1:3" x14ac:dyDescent="0.4">
      <c r="A17" s="5" t="s">
        <v>14</v>
      </c>
      <c r="B17" s="15">
        <f>IF(B15=0,0,C17/B15)</f>
        <v>-2300</v>
      </c>
      <c r="C17" s="16">
        <v>-4600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345AE-2939-4296-A18C-62215942B87D}">
  <sheetPr codeName="Sheet15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50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-22.8</v>
      </c>
      <c r="C4" s="11"/>
    </row>
    <row r="5" spans="1:3" x14ac:dyDescent="0.4">
      <c r="A5" s="4" t="s">
        <v>7</v>
      </c>
      <c r="B5" s="8">
        <f>B4/B$2</f>
        <v>-11.4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1</v>
      </c>
      <c r="C8" s="33">
        <f>B8/B$2</f>
        <v>0.5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0.125</v>
      </c>
    </row>
    <row r="13" spans="1:3" x14ac:dyDescent="0.4">
      <c r="A13" s="4" t="s">
        <v>11</v>
      </c>
      <c r="B13" s="1">
        <v>0</v>
      </c>
      <c r="C13" s="33">
        <f>B13/B$3</f>
        <v>0</v>
      </c>
    </row>
    <row r="14" spans="1:3" x14ac:dyDescent="0.4">
      <c r="A14" s="4" t="s">
        <v>12</v>
      </c>
      <c r="B14" s="1">
        <v>1</v>
      </c>
      <c r="C14" s="33">
        <f>B14/B$3</f>
        <v>0.125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7900</v>
      </c>
      <c r="C16" s="14">
        <v>7900</v>
      </c>
    </row>
    <row r="17" spans="1:3" x14ac:dyDescent="0.4">
      <c r="A17" s="5" t="s">
        <v>14</v>
      </c>
      <c r="B17" s="15">
        <f>IF(B15=0,0,C17/B15)</f>
        <v>-3600</v>
      </c>
      <c r="C17" s="16">
        <v>-7200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D8B63-4869-43D8-9C94-5EDEAB142073}">
  <sheetPr codeName="Sheet16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39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-24.799999999999997</v>
      </c>
      <c r="C4" s="11"/>
    </row>
    <row r="5" spans="1:3" x14ac:dyDescent="0.4">
      <c r="A5" s="4" t="s">
        <v>7</v>
      </c>
      <c r="B5" s="8">
        <f>B4/B$2</f>
        <v>-12.399999999999999</v>
      </c>
      <c r="C5" s="12"/>
    </row>
    <row r="6" spans="1:3" x14ac:dyDescent="0.4">
      <c r="A6" s="4" t="s">
        <v>1</v>
      </c>
      <c r="B6" s="23">
        <f>(B7*1+B8*2+B9*3+B10*4)/B$2</f>
        <v>3.5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1</v>
      </c>
      <c r="C10" s="34">
        <f>B10/B$2</f>
        <v>0.5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36">
        <f>B12/B$3</f>
        <v>0.1111111111111111</v>
      </c>
    </row>
    <row r="13" spans="1:3" x14ac:dyDescent="0.4">
      <c r="A13" s="4" t="s">
        <v>11</v>
      </c>
      <c r="B13" s="1">
        <v>1</v>
      </c>
      <c r="C13" s="33">
        <f>B13/B$3</f>
        <v>0.1111111111111111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4</v>
      </c>
      <c r="C15" s="33">
        <f>B15/B$3</f>
        <v>0.44444444444444442</v>
      </c>
    </row>
    <row r="16" spans="1:3" x14ac:dyDescent="0.4">
      <c r="A16" s="4" t="s">
        <v>5</v>
      </c>
      <c r="B16" s="6">
        <f>IF(B12=0,0,C16/B12)</f>
        <v>5200</v>
      </c>
      <c r="C16" s="14">
        <v>5200</v>
      </c>
    </row>
    <row r="17" spans="1:3" x14ac:dyDescent="0.4">
      <c r="A17" s="5" t="s">
        <v>14</v>
      </c>
      <c r="B17" s="15">
        <f>IF(B15=0,0,C17/B15)</f>
        <v>-1950</v>
      </c>
      <c r="C17" s="16">
        <v>-7800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6D4B6-A9CF-4D60-8ACC-9564FCD5D653}">
  <sheetPr codeName="Sheet17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37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8</v>
      </c>
      <c r="C3" s="10"/>
    </row>
    <row r="4" spans="1:3" x14ac:dyDescent="0.4">
      <c r="A4" s="4" t="s">
        <v>6</v>
      </c>
      <c r="B4" s="8">
        <v>6.4</v>
      </c>
      <c r="C4" s="11"/>
    </row>
    <row r="5" spans="1:3" x14ac:dyDescent="0.4">
      <c r="A5" s="4" t="s">
        <v>7</v>
      </c>
      <c r="B5" s="8">
        <f>B4/B$2</f>
        <v>3.2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1</v>
      </c>
      <c r="C7" s="33">
        <f>B7/B$2</f>
        <v>0.5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1</v>
      </c>
      <c r="C9" s="34">
        <f>B9/B$2</f>
        <v>0.5</v>
      </c>
    </row>
    <row r="10" spans="1:3" x14ac:dyDescent="0.4">
      <c r="A10" s="21" t="s">
        <v>22</v>
      </c>
      <c r="B10" s="22">
        <v>0</v>
      </c>
      <c r="C10" s="34">
        <f>B10/B$2</f>
        <v>0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36">
        <f>B12/B$3</f>
        <v>0.25</v>
      </c>
    </row>
    <row r="13" spans="1:3" x14ac:dyDescent="0.4">
      <c r="A13" s="4" t="s">
        <v>11</v>
      </c>
      <c r="B13" s="1">
        <v>2</v>
      </c>
      <c r="C13" s="33">
        <f>B13/B$3</f>
        <v>0.25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2</v>
      </c>
      <c r="C15" s="33">
        <f>B15/B$3</f>
        <v>0.25</v>
      </c>
    </row>
    <row r="16" spans="1:3" x14ac:dyDescent="0.4">
      <c r="A16" s="4" t="s">
        <v>5</v>
      </c>
      <c r="B16" s="6">
        <f>IF(B12=0,0,C16/B12)</f>
        <v>3600</v>
      </c>
      <c r="C16" s="14">
        <v>7200</v>
      </c>
    </row>
    <row r="17" spans="1:3" x14ac:dyDescent="0.4">
      <c r="A17" s="5" t="s">
        <v>14</v>
      </c>
      <c r="B17" s="15">
        <f>IF(B15=0,0,C17/B15)</f>
        <v>-3250</v>
      </c>
      <c r="C17" s="16">
        <v>-6500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3629-D789-4D50-9ED7-D83423902C81}">
  <sheetPr codeName="Sheet18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 t="s">
        <v>53</v>
      </c>
      <c r="C1" s="40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-32.299999999999997</v>
      </c>
      <c r="C4" s="11"/>
    </row>
    <row r="5" spans="1:3" x14ac:dyDescent="0.4">
      <c r="A5" s="4" t="s">
        <v>7</v>
      </c>
      <c r="B5" s="8">
        <f>B4/B$2</f>
        <v>-16.149999999999999</v>
      </c>
      <c r="C5" s="12"/>
    </row>
    <row r="6" spans="1:3" x14ac:dyDescent="0.4">
      <c r="A6" s="4" t="s">
        <v>1</v>
      </c>
      <c r="B6" s="23">
        <f>(B7*1+B8*2+B9*3+B10*4)/B$2</f>
        <v>4</v>
      </c>
      <c r="C6" s="13"/>
    </row>
    <row r="7" spans="1:3" x14ac:dyDescent="0.4">
      <c r="A7" s="4" t="s">
        <v>2</v>
      </c>
      <c r="B7" s="1">
        <v>0</v>
      </c>
      <c r="C7" s="33">
        <f>B7/B$2</f>
        <v>0</v>
      </c>
    </row>
    <row r="8" spans="1:3" x14ac:dyDescent="0.4">
      <c r="A8" s="4" t="s">
        <v>3</v>
      </c>
      <c r="B8" s="1">
        <v>0</v>
      </c>
      <c r="C8" s="33">
        <f>B8/B$2</f>
        <v>0</v>
      </c>
    </row>
    <row r="9" spans="1:3" x14ac:dyDescent="0.4">
      <c r="A9" s="21" t="s">
        <v>4</v>
      </c>
      <c r="B9" s="22">
        <v>0</v>
      </c>
      <c r="C9" s="34">
        <f>B9/B$2</f>
        <v>0</v>
      </c>
    </row>
    <row r="10" spans="1:3" x14ac:dyDescent="0.4">
      <c r="A10" s="21" t="s">
        <v>22</v>
      </c>
      <c r="B10" s="22">
        <v>2</v>
      </c>
      <c r="C10" s="34">
        <f>B10/B$2</f>
        <v>1</v>
      </c>
    </row>
    <row r="11" spans="1:3" ht="19.5" thickBot="1" x14ac:dyDescent="0.45">
      <c r="A11" s="28" t="s">
        <v>21</v>
      </c>
      <c r="B11" s="29">
        <v>0</v>
      </c>
      <c r="C11" s="35">
        <f>B11/B$2</f>
        <v>0</v>
      </c>
    </row>
    <row r="12" spans="1:3" ht="19.5" thickTop="1" x14ac:dyDescent="0.4">
      <c r="A12" s="3" t="s">
        <v>10</v>
      </c>
      <c r="B12" s="7">
        <f>B13+B14</f>
        <v>0</v>
      </c>
      <c r="C12" s="36">
        <f>B12/B$3</f>
        <v>0</v>
      </c>
    </row>
    <row r="13" spans="1:3" x14ac:dyDescent="0.4">
      <c r="A13" s="4" t="s">
        <v>11</v>
      </c>
      <c r="B13" s="1">
        <v>0</v>
      </c>
      <c r="C13" s="33">
        <f>B13/B$3</f>
        <v>0</v>
      </c>
    </row>
    <row r="14" spans="1:3" x14ac:dyDescent="0.4">
      <c r="A14" s="4" t="s">
        <v>12</v>
      </c>
      <c r="B14" s="1">
        <v>0</v>
      </c>
      <c r="C14" s="33">
        <f>B14/B$3</f>
        <v>0</v>
      </c>
    </row>
    <row r="15" spans="1:3" x14ac:dyDescent="0.4">
      <c r="A15" s="4" t="s">
        <v>13</v>
      </c>
      <c r="B15" s="1">
        <v>1</v>
      </c>
      <c r="C15" s="33">
        <f>B15/B$3</f>
        <v>0.1111111111111111</v>
      </c>
    </row>
    <row r="16" spans="1:3" x14ac:dyDescent="0.4">
      <c r="A16" s="4" t="s">
        <v>5</v>
      </c>
      <c r="B16" s="6">
        <f>IF(B12=0,0,C16/B12)</f>
        <v>0</v>
      </c>
      <c r="C16" s="14">
        <v>0</v>
      </c>
    </row>
    <row r="17" spans="1:3" x14ac:dyDescent="0.4">
      <c r="A17" s="5" t="s">
        <v>14</v>
      </c>
      <c r="B17" s="15">
        <f>IF(B15=0,0,C17/B15)</f>
        <v>-8000</v>
      </c>
      <c r="C17" s="16">
        <v>-8000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9"/>
      <c r="C1" s="40"/>
    </row>
    <row r="2" spans="1:3" ht="19.5" thickTop="1" x14ac:dyDescent="0.4">
      <c r="A2" s="3" t="s">
        <v>9</v>
      </c>
      <c r="B2" s="7">
        <v>0</v>
      </c>
      <c r="C2" s="9"/>
    </row>
    <row r="3" spans="1:3" x14ac:dyDescent="0.4">
      <c r="A3" s="4" t="s">
        <v>8</v>
      </c>
      <c r="B3" s="1">
        <v>0</v>
      </c>
      <c r="C3" s="10"/>
    </row>
    <row r="4" spans="1:3" x14ac:dyDescent="0.4">
      <c r="A4" s="4" t="s">
        <v>6</v>
      </c>
      <c r="B4" s="8">
        <v>0</v>
      </c>
      <c r="C4" s="11"/>
    </row>
    <row r="5" spans="1:3" x14ac:dyDescent="0.4">
      <c r="A5" s="4" t="s">
        <v>7</v>
      </c>
      <c r="B5" s="8" t="e">
        <f>B4/B$2</f>
        <v>#DIV/0!</v>
      </c>
      <c r="C5" s="12"/>
    </row>
    <row r="6" spans="1:3" x14ac:dyDescent="0.4">
      <c r="A6" s="4" t="s">
        <v>1</v>
      </c>
      <c r="B6" s="23" t="e">
        <f>(B7*1+B8*2+B9*3+B10*4)/B$2</f>
        <v>#DIV/0!</v>
      </c>
      <c r="C6" s="13"/>
    </row>
    <row r="7" spans="1:3" x14ac:dyDescent="0.4">
      <c r="A7" s="4" t="s">
        <v>2</v>
      </c>
      <c r="B7" s="1">
        <v>0</v>
      </c>
      <c r="C7" s="33" t="e">
        <f>B7/B$2</f>
        <v>#DIV/0!</v>
      </c>
    </row>
    <row r="8" spans="1:3" x14ac:dyDescent="0.4">
      <c r="A8" s="4" t="s">
        <v>3</v>
      </c>
      <c r="B8" s="1">
        <v>0</v>
      </c>
      <c r="C8" s="33" t="e">
        <f>B8/B$2</f>
        <v>#DIV/0!</v>
      </c>
    </row>
    <row r="9" spans="1:3" x14ac:dyDescent="0.4">
      <c r="A9" s="21" t="s">
        <v>4</v>
      </c>
      <c r="B9" s="22">
        <v>0</v>
      </c>
      <c r="C9" s="34" t="e">
        <f>B9/B$2</f>
        <v>#DIV/0!</v>
      </c>
    </row>
    <row r="10" spans="1:3" x14ac:dyDescent="0.4">
      <c r="A10" s="21" t="s">
        <v>22</v>
      </c>
      <c r="B10" s="22">
        <v>0</v>
      </c>
      <c r="C10" s="34" t="e">
        <f>B10/B$2</f>
        <v>#DIV/0!</v>
      </c>
    </row>
    <row r="11" spans="1:3" ht="19.5" thickBot="1" x14ac:dyDescent="0.45">
      <c r="A11" s="28" t="s">
        <v>21</v>
      </c>
      <c r="B11" s="29">
        <v>0</v>
      </c>
      <c r="C11" s="35" t="e">
        <f>B11/B$2</f>
        <v>#DIV/0!</v>
      </c>
    </row>
    <row r="12" spans="1:3" ht="19.5" thickTop="1" x14ac:dyDescent="0.4">
      <c r="A12" s="3" t="s">
        <v>10</v>
      </c>
      <c r="B12" s="7">
        <f>B13+B14</f>
        <v>0</v>
      </c>
      <c r="C12" s="36" t="e">
        <f>B12/B$3</f>
        <v>#DIV/0!</v>
      </c>
    </row>
    <row r="13" spans="1:3" x14ac:dyDescent="0.4">
      <c r="A13" s="4" t="s">
        <v>11</v>
      </c>
      <c r="B13" s="1">
        <v>0</v>
      </c>
      <c r="C13" s="33" t="e">
        <f>B13/B$3</f>
        <v>#DIV/0!</v>
      </c>
    </row>
    <row r="14" spans="1:3" x14ac:dyDescent="0.4">
      <c r="A14" s="4" t="s">
        <v>12</v>
      </c>
      <c r="B14" s="1">
        <v>0</v>
      </c>
      <c r="C14" s="33" t="e">
        <f>B14/B$3</f>
        <v>#DIV/0!</v>
      </c>
    </row>
    <row r="15" spans="1:3" x14ac:dyDescent="0.4">
      <c r="A15" s="4" t="s">
        <v>13</v>
      </c>
      <c r="B15" s="1">
        <v>0</v>
      </c>
      <c r="C15" s="33" t="e">
        <f>B15/B$3</f>
        <v>#DIV/0!</v>
      </c>
    </row>
    <row r="16" spans="1:3" x14ac:dyDescent="0.4">
      <c r="A16" s="4" t="s">
        <v>5</v>
      </c>
      <c r="B16" s="6">
        <f>IF(B12=0,0,C16/B12)</f>
        <v>0</v>
      </c>
      <c r="C16" s="14">
        <v>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ランキング</vt:lpstr>
      <vt:lpstr>福澤</vt:lpstr>
      <vt:lpstr>百瀬</vt:lpstr>
      <vt:lpstr>保谷</vt:lpstr>
      <vt:lpstr>石澤</vt:lpstr>
      <vt:lpstr>滝沢</vt:lpstr>
      <vt:lpstr>依田</vt:lpstr>
      <vt:lpstr>堀内</vt:lpstr>
      <vt:lpstr>大池</vt:lpstr>
      <vt:lpstr>小林</vt:lpstr>
      <vt:lpstr>水澤</vt:lpstr>
      <vt:lpstr>矢ヶ崎</vt:lpstr>
      <vt:lpstr>齋藤</vt:lpstr>
      <vt:lpstr>坂口</vt:lpstr>
      <vt:lpstr>北沢</vt:lpstr>
      <vt:lpstr>高野</vt:lpstr>
      <vt:lpstr>近藤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2019-06-23T04:58:17Z</dcterms:modified>
</cp:coreProperties>
</file>