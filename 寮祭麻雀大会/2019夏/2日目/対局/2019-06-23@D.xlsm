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対局\"/>
    </mc:Choice>
  </mc:AlternateContent>
  <xr:revisionPtr revIDLastSave="0" documentId="13_ncr:1_{B6BE7CF5-252B-4AF4-9DC1-19D65499651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Y8" i="21"/>
  <c r="T8" i="21"/>
  <c r="O8" i="21"/>
  <c r="AA8" i="21" s="1"/>
  <c r="J8" i="21"/>
  <c r="D8" i="21"/>
  <c r="C8" i="21"/>
  <c r="D7" i="21"/>
  <c r="C7" i="21"/>
  <c r="D6" i="21"/>
  <c r="C6" i="21"/>
  <c r="D5" i="21"/>
  <c r="C5" i="21"/>
  <c r="B5" i="21"/>
  <c r="B6" i="21" s="1"/>
  <c r="Y4" i="21"/>
  <c r="Y5" i="21" s="1"/>
  <c r="T4" i="21"/>
  <c r="T5" i="21" s="1"/>
  <c r="O4" i="21"/>
  <c r="O5" i="21" s="1"/>
  <c r="J4" i="21"/>
  <c r="J5" i="21" s="1"/>
  <c r="AC3" i="21"/>
  <c r="AB3" i="21"/>
  <c r="AA3" i="21"/>
  <c r="Z3" i="21"/>
  <c r="AC2" i="21"/>
  <c r="AB2" i="21"/>
  <c r="AA2" i="21"/>
  <c r="Z2" i="21"/>
  <c r="Z8" i="21" l="1"/>
  <c r="AC8" i="21"/>
  <c r="AB8" i="21"/>
  <c r="O6" i="21"/>
  <c r="AA5" i="21"/>
  <c r="Y6" i="21"/>
  <c r="AC5" i="21"/>
  <c r="T6" i="21"/>
  <c r="AB5" i="21"/>
  <c r="B7" i="21"/>
  <c r="J6" i="21"/>
  <c r="Z5" i="21"/>
  <c r="AC4" i="21"/>
  <c r="A5" i="21"/>
  <c r="A6" i="21" s="1"/>
  <c r="Z4" i="21"/>
  <c r="AA4" i="21"/>
  <c r="AB4" i="21"/>
  <c r="AC3" i="20"/>
  <c r="AB3" i="20"/>
  <c r="AA3" i="20"/>
  <c r="Z3" i="20"/>
  <c r="A7" i="21" l="1"/>
  <c r="B8" i="21"/>
  <c r="J7" i="21"/>
  <c r="Z6" i="21"/>
  <c r="T7" i="21"/>
  <c r="AB7" i="21" s="1"/>
  <c r="AB6" i="21"/>
  <c r="Y7" i="21"/>
  <c r="AC6" i="21"/>
  <c r="O7" i="21"/>
  <c r="AA7" i="21" s="1"/>
  <c r="AA6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B5" i="20"/>
  <c r="B6" i="20" s="1"/>
  <c r="Y4" i="20"/>
  <c r="T4" i="20"/>
  <c r="O4" i="20"/>
  <c r="J4" i="20"/>
  <c r="AC2" i="20"/>
  <c r="AB2" i="20"/>
  <c r="AA2" i="20"/>
  <c r="Z2" i="20"/>
  <c r="A8" i="21" l="1"/>
  <c r="B9" i="21"/>
  <c r="AC7" i="21"/>
  <c r="Z7" i="21"/>
  <c r="Z4" i="20"/>
  <c r="AA4" i="20"/>
  <c r="AB4" i="20"/>
  <c r="AC4" i="20"/>
  <c r="C6" i="20"/>
  <c r="J5" i="20"/>
  <c r="Y5" i="20"/>
  <c r="O5" i="20"/>
  <c r="T5" i="20"/>
  <c r="A5" i="20"/>
  <c r="T6" i="20"/>
  <c r="Y6" i="20"/>
  <c r="J6" i="20"/>
  <c r="Z6" i="20" s="1"/>
  <c r="O6" i="20"/>
  <c r="AA6" i="20" s="1"/>
  <c r="A6" i="20"/>
  <c r="B7" i="20"/>
  <c r="A9" i="21" l="1"/>
  <c r="AC6" i="20"/>
  <c r="AB6" i="20"/>
  <c r="AA5" i="20"/>
  <c r="AC5" i="20"/>
  <c r="AB5" i="20"/>
  <c r="Z5" i="20"/>
  <c r="C7" i="20"/>
  <c r="B8" i="20"/>
  <c r="O7" i="20"/>
  <c r="Y7" i="20"/>
  <c r="A7" i="20"/>
  <c r="J7" i="20"/>
  <c r="T7" i="20"/>
  <c r="AB7" i="20" l="1"/>
  <c r="Z7" i="20"/>
  <c r="AC7" i="20"/>
  <c r="AA7" i="20"/>
  <c r="B9" i="20"/>
  <c r="O8" i="20"/>
  <c r="T8" i="20"/>
  <c r="J8" i="20"/>
  <c r="Y8" i="20"/>
  <c r="A8" i="20"/>
  <c r="AB8" i="20" l="1"/>
  <c r="AA8" i="20"/>
  <c r="AC8" i="20"/>
  <c r="Z8" i="20"/>
  <c r="J9" i="20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<sst xmlns="http://schemas.openxmlformats.org/spreadsheetml/2006/main" count="419" uniqueCount="40">
  <si>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</si>
  <si>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</si>
  <si>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</si>
  <si>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</si>
  <si>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</si>
  <si>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</si>
  <si>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</si>
  <si>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</si>
  <si>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</si>
  <si>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</si>
  <si>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</si>
  <si>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</si>
  <si>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</si>
  <si>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</si>
  <si>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</si>
  <si>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</si>
  <si>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</si>
  <si>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</si>
  <si>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</si>
  <si>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</si>
  <si>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</si>
  <si>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</si>
  <si>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ツモ支払</t>
  </si>
  <si>
    <t>ツモ</t>
  </si>
  <si>
    <t>放銃</t>
  </si>
  <si>
    <t>ロン</t>
  </si>
  <si>
    <t>高野</t>
  </si>
  <si>
    <t>高野</t>
    <rPh sb="0" eb="2">
      <t>タカノ</t>
    </rPh>
    <phoneticPr fontId="1"/>
  </si>
  <si>
    <t>近藤</t>
  </si>
  <si>
    <t>近藤</t>
    <rPh sb="0" eb="2">
      <t>コンドウ</t>
    </rPh>
    <phoneticPr fontId="1"/>
  </si>
  <si>
    <t>滝沢</t>
  </si>
  <si>
    <t>滝沢</t>
    <rPh sb="0" eb="2">
      <t>タキザワ</t>
    </rPh>
    <phoneticPr fontId="1"/>
  </si>
  <si>
    <t>矢ヶ崎</t>
  </si>
  <si>
    <t>矢ヶ崎</t>
    <rPh sb="0" eb="3">
      <t>ヤガサキ</t>
    </rPh>
    <phoneticPr fontId="1"/>
  </si>
  <si>
    <t>石澤</t>
  </si>
  <si>
    <t>石澤</t>
    <rPh sb="0" eb="2">
      <t>イシザワ</t>
    </rPh>
    <phoneticPr fontId="1"/>
  </si>
  <si>
    <t>北沢</t>
  </si>
  <si>
    <t>北沢</t>
    <rPh sb="0" eb="2">
      <t>キタザワ</t>
    </rPh>
    <phoneticPr fontId="1"/>
  </si>
  <si>
    <t>大池</t>
  </si>
  <si>
    <t>大池</t>
    <rPh sb="0" eb="2">
      <t>オオイケ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</si>
</sst>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29</v>
      </c>
      <c r="G1" s="44"/>
      <c r="H1" s="44"/>
      <c r="I1" s="45"/>
      <c r="J1" s="46"/>
      <c r="K1" s="43" t="s">
        <v>27</v>
      </c>
      <c r="L1" s="44"/>
      <c r="M1" s="44"/>
      <c r="N1" s="45"/>
      <c r="O1" s="46"/>
      <c r="P1" s="43" t="s">
        <v>31</v>
      </c>
      <c r="Q1" s="44"/>
      <c r="R1" s="44"/>
      <c r="S1" s="45"/>
      <c r="T1" s="46"/>
      <c r="U1" s="43" t="s">
        <v>33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近藤</v>
      </c>
      <c r="AA2" s="40" t="str">
        <f>$K$1</f>
        <v>高野</v>
      </c>
      <c r="AB2" s="40" t="str">
        <f>$P$1</f>
        <v>滝沢</v>
      </c>
      <c r="AC2" s="16" t="str">
        <f>$U$1</f>
        <v>矢ヶ崎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30</v>
      </c>
      <c r="F4" s="8" t="s">
        <v>22</v>
      </c>
      <c r="G4" s="9">
        <v>-1300</v>
      </c>
      <c r="H4" s="9"/>
      <c r="I4" s="28">
        <v>0</v>
      </c>
      <c r="J4" s="21">
        <f>IF(COUNTA($F4,$K4,$P4,$U4)&gt;0,J3+SUM(G4:I4),"")</f>
        <v>28700</v>
      </c>
      <c r="K4" s="8" t="s">
        <v>22</v>
      </c>
      <c r="L4" s="9">
        <v>-1300</v>
      </c>
      <c r="M4" s="9"/>
      <c r="N4" s="28">
        <v>0</v>
      </c>
      <c r="O4" s="21">
        <f>IF(COUNTA($F4,$K4,$P4,$U4)&gt;0,O3+SUM(L4:N4),"")</f>
        <v>28700</v>
      </c>
      <c r="P4" s="8" t="s">
        <v>22</v>
      </c>
      <c r="Q4" s="9">
        <v>-2600</v>
      </c>
      <c r="R4" s="9"/>
      <c r="S4" s="28">
        <v>0</v>
      </c>
      <c r="T4" s="21">
        <f>IF(COUNTA($F4,$K4,$P4,$U4)&gt;0,T3+SUM(Q4:S4),"")</f>
        <v>27400</v>
      </c>
      <c r="U4" s="8" t="s">
        <v>23</v>
      </c>
      <c r="V4" s="9">
        <v>5200</v>
      </c>
      <c r="W4" s="9"/>
      <c r="X4" s="28">
        <v>0</v>
      </c>
      <c r="Y4" s="21">
        <f>IF(COUNTA($F4,$K4,$P4,$U4)&gt;0,Y3+SUM(V4:X4),"")</f>
        <v>35200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-11.3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-11.3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-12.6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35.200000000000003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32</v>
      </c>
      <c r="F5" s="8" t="s">
        <v>24</v>
      </c>
      <c r="G5" s="9">
        <v>-8000</v>
      </c>
      <c r="H5" s="9"/>
      <c r="I5" s="28">
        <v>0</v>
      </c>
      <c r="J5" s="21">
        <f t="shared" ref="J5:J30" si="1">IF(COUNTA($F5,$K5,$P5,$U5)&gt;0,J4+SUM(G5:I5),"")</f>
        <v>20700</v>
      </c>
      <c r="K5" s="8"/>
      <c r="L5" s="9"/>
      <c r="M5" s="9"/>
      <c r="N5" s="28"/>
      <c r="O5" s="21">
        <f t="shared" ref="O5:O30" si="2">IF(COUNTA($F5,$K5,$P5,$U5)&gt;0,O4+SUM(L5:N5),"")</f>
        <v>28700</v>
      </c>
      <c r="P5" s="8" t="s">
        <v>25</v>
      </c>
      <c r="Q5" s="9">
        <v>8000</v>
      </c>
      <c r="R5" s="9">
        <v>1000</v>
      </c>
      <c r="S5" s="28">
        <v>0</v>
      </c>
      <c r="T5" s="21">
        <f t="shared" ref="T5:T30" si="3">IF(COUNTA($F5,$K5,$P5,$U5)&gt;0,T4+SUM(Q5:S5),"")</f>
        <v>36400</v>
      </c>
      <c r="U5" s="8"/>
      <c r="V5" s="9"/>
      <c r="W5" s="9">
        <v>-1000</v>
      </c>
      <c r="X5" s="28"/>
      <c r="Y5" s="21">
        <f t="shared" ref="Y5:Y30" si="4">IF(COUNTA($F5,$K5,$P5,$U5)&gt;0,Y4+SUM(V5:X5),"")</f>
        <v>34200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-19.3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-11.3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21.4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9.1999999999999993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28</v>
      </c>
      <c r="F6" s="8"/>
      <c r="G6" s="9"/>
      <c r="H6" s="9"/>
      <c r="I6" s="28"/>
      <c r="J6" s="21">
        <f t="shared" si="1"/>
        <v>20700</v>
      </c>
      <c r="K6" s="8" t="s">
        <v>24</v>
      </c>
      <c r="L6" s="9">
        <v>-1300</v>
      </c>
      <c r="M6" s="9"/>
      <c r="N6" s="28">
        <v>0</v>
      </c>
      <c r="O6" s="21">
        <f t="shared" si="2"/>
        <v>27400</v>
      </c>
      <c r="P6" s="8" t="s">
        <v>25</v>
      </c>
      <c r="Q6" s="9">
        <v>1300</v>
      </c>
      <c r="R6" s="9"/>
      <c r="S6" s="28">
        <v>0</v>
      </c>
      <c r="T6" s="21">
        <f t="shared" si="3"/>
        <v>37700</v>
      </c>
      <c r="U6" s="8"/>
      <c r="V6" s="9"/>
      <c r="W6" s="9"/>
      <c r="X6" s="28"/>
      <c r="Y6" s="21">
        <f t="shared" si="4"/>
        <v>34200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-19.3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-12.6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22.7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9.1999999999999993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26</v>
      </c>
      <c r="F7" s="8"/>
      <c r="G7" s="9"/>
      <c r="H7" s="9"/>
      <c r="I7" s="28"/>
      <c r="J7" s="21">
        <f t="shared" si="1"/>
        <v>20700</v>
      </c>
      <c r="K7" s="8"/>
      <c r="L7" s="9"/>
      <c r="M7" s="9"/>
      <c r="N7" s="28"/>
      <c r="O7" s="21">
        <f t="shared" si="2"/>
        <v>27400</v>
      </c>
      <c r="P7" s="8" t="s">
        <v>25</v>
      </c>
      <c r="Q7" s="9">
        <v>1000</v>
      </c>
      <c r="R7" s="9"/>
      <c r="S7" s="28">
        <v>0</v>
      </c>
      <c r="T7" s="21">
        <f t="shared" si="3"/>
        <v>38700</v>
      </c>
      <c r="U7" s="8" t="s">
        <v>24</v>
      </c>
      <c r="V7" s="9">
        <v>-1000</v>
      </c>
      <c r="W7" s="9"/>
      <c r="X7" s="28">
        <v>0</v>
      </c>
      <c r="Y7" s="21">
        <f t="shared" si="4"/>
        <v>33200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-19.3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-12.6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23.7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8.1999999999999993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4A01F-7DF7-4D13-957E-97AF7DD45ECA}">
  <sheetPr codeName="Sheet9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35</v>
      </c>
      <c r="G1" s="44"/>
      <c r="H1" s="44"/>
      <c r="I1" s="45"/>
      <c r="J1" s="46"/>
      <c r="K1" s="43" t="s">
        <v>29</v>
      </c>
      <c r="L1" s="44"/>
      <c r="M1" s="44"/>
      <c r="N1" s="45"/>
      <c r="O1" s="46"/>
      <c r="P1" s="43" t="s">
        <v>39</v>
      </c>
      <c r="Q1" s="44"/>
      <c r="R1" s="44"/>
      <c r="S1" s="45"/>
      <c r="T1" s="46"/>
      <c r="U1" s="43" t="s">
        <v>37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石澤</v>
      </c>
      <c r="AA2" s="42" t="str">
        <f>$K$1</f>
        <v>近藤</v>
      </c>
      <c r="AB2" s="42" t="str">
        <f>$P$1</f>
        <v>大池</v>
      </c>
      <c r="AC2" s="16" t="str">
        <f>$U$1</f>
        <v>北沢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34</v>
      </c>
      <c r="F4" s="8" t="s">
        <v>25</v>
      </c>
      <c r="G4" s="9">
        <v>3900</v>
      </c>
      <c r="H4" s="9"/>
      <c r="I4" s="28">
        <v>0</v>
      </c>
      <c r="J4" s="21">
        <f>IF(COUNTA($F4,$K4,$P4,$U4)&gt;0,J3+SUM(G4:I4),"")</f>
        <v>33900</v>
      </c>
      <c r="K4" s="8"/>
      <c r="L4" s="9"/>
      <c r="M4" s="9"/>
      <c r="N4" s="28"/>
      <c r="O4" s="21">
        <f>IF(COUNTA($F4,$K4,$P4,$U4)&gt;0,O3+SUM(L4:N4),"")</f>
        <v>30000</v>
      </c>
      <c r="P4" s="8"/>
      <c r="Q4" s="9"/>
      <c r="R4" s="9"/>
      <c r="S4" s="28"/>
      <c r="T4" s="21">
        <f>IF(COUNTA($F4,$K4,$P4,$U4)&gt;0,T3+SUM(Q4:S4),"")</f>
        <v>30000</v>
      </c>
      <c r="U4" s="8" t="s">
        <v>24</v>
      </c>
      <c r="V4" s="9">
        <v>-3900</v>
      </c>
      <c r="W4" s="9"/>
      <c r="X4" s="28">
        <v>0</v>
      </c>
      <c r="Y4" s="21">
        <f>IF(COUNTA($F4,$K4,$P4,$U4)&gt;0,Y3+SUM(V4:X4),"")</f>
        <v>26100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10.9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-13.9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34</v>
      </c>
      <c r="F5" s="8"/>
      <c r="G5" s="9"/>
      <c r="H5" s="9"/>
      <c r="I5" s="28"/>
      <c r="J5" s="21">
        <f t="shared" ref="J5:J30" si="1">IF(COUNTA($F5,$K5,$P5,$U5)&gt;0,J4+SUM(G5:I5),"")</f>
        <v>33900</v>
      </c>
      <c r="K5" s="8"/>
      <c r="L5" s="9"/>
      <c r="M5" s="9">
        <v>-1000</v>
      </c>
      <c r="N5" s="28"/>
      <c r="O5" s="21">
        <f t="shared" ref="O5:O30" si="2">IF(COUNTA($F5,$K5,$P5,$U5)&gt;0,O4+SUM(L5:N5),"")</f>
        <v>29000</v>
      </c>
      <c r="P5" s="8" t="s">
        <v>24</v>
      </c>
      <c r="Q5" s="9">
        <v>-5200</v>
      </c>
      <c r="R5" s="9"/>
      <c r="S5" s="28">
        <v>-300</v>
      </c>
      <c r="T5" s="21">
        <f t="shared" ref="T5:T30" si="3">IF(COUNTA($F5,$K5,$P5,$U5)&gt;0,T4+SUM(Q5:S5),"")</f>
        <v>24500</v>
      </c>
      <c r="U5" s="8" t="s">
        <v>25</v>
      </c>
      <c r="V5" s="9">
        <v>5200</v>
      </c>
      <c r="W5" s="9">
        <v>1000</v>
      </c>
      <c r="X5" s="28">
        <v>300</v>
      </c>
      <c r="Y5" s="21">
        <f t="shared" ref="Y5:Y30" si="4">IF(COUNTA($F5,$K5,$P5,$U5)&gt;0,Y4+SUM(V5:X5),"")</f>
        <v>32600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18.899999999999999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-15.5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7.6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28</v>
      </c>
      <c r="F6" s="8" t="s">
        <v>24</v>
      </c>
      <c r="G6" s="9">
        <v>-3900</v>
      </c>
      <c r="H6" s="9"/>
      <c r="I6" s="28">
        <v>0</v>
      </c>
      <c r="J6" s="21">
        <f t="shared" si="1"/>
        <v>30000</v>
      </c>
      <c r="K6" s="8"/>
      <c r="L6" s="9"/>
      <c r="M6" s="9">
        <v>-1000</v>
      </c>
      <c r="N6" s="28"/>
      <c r="O6" s="21">
        <f t="shared" si="2"/>
        <v>28000</v>
      </c>
      <c r="P6" s="8" t="s">
        <v>25</v>
      </c>
      <c r="Q6" s="9">
        <v>3900</v>
      </c>
      <c r="R6" s="9">
        <v>2000</v>
      </c>
      <c r="S6" s="28">
        <v>0</v>
      </c>
      <c r="T6" s="21">
        <f t="shared" si="3"/>
        <v>30400</v>
      </c>
      <c r="U6" s="8"/>
      <c r="V6" s="9"/>
      <c r="W6" s="9">
        <v>-1000</v>
      </c>
      <c r="X6" s="28"/>
      <c r="Y6" s="21">
        <f t="shared" si="4"/>
        <v>31600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1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2.4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8.6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38</v>
      </c>
      <c r="F7" s="8" t="s">
        <v>25</v>
      </c>
      <c r="G7" s="9">
        <v>1300</v>
      </c>
      <c r="H7" s="9"/>
      <c r="I7" s="28">
        <v>0</v>
      </c>
      <c r="J7" s="21">
        <f t="shared" si="1"/>
        <v>31300</v>
      </c>
      <c r="K7" s="8"/>
      <c r="L7" s="9"/>
      <c r="M7" s="9"/>
      <c r="N7" s="28"/>
      <c r="O7" s="21">
        <f t="shared" si="2"/>
        <v>28000</v>
      </c>
      <c r="P7" s="8"/>
      <c r="Q7" s="9"/>
      <c r="R7" s="9"/>
      <c r="S7" s="28"/>
      <c r="T7" s="21">
        <f t="shared" si="3"/>
        <v>30400</v>
      </c>
      <c r="U7" s="8" t="s">
        <v>24</v>
      </c>
      <c r="V7" s="9">
        <v>-1300</v>
      </c>
      <c r="W7" s="9"/>
      <c r="X7" s="28">
        <v>0</v>
      </c>
      <c r="Y7" s="21">
        <f t="shared" si="4"/>
        <v>30300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8.3000000000000007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-12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2.4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1.3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36</v>
      </c>
      <c r="F8" s="8" t="s">
        <v>22</v>
      </c>
      <c r="G8" s="9">
        <v>-1000</v>
      </c>
      <c r="H8" s="9"/>
      <c r="I8" s="28">
        <v>0</v>
      </c>
      <c r="J8" s="21">
        <f t="shared" si="1"/>
        <v>30300</v>
      </c>
      <c r="K8" s="8" t="s">
        <v>22</v>
      </c>
      <c r="L8" s="9">
        <v>-1000</v>
      </c>
      <c r="M8" s="9"/>
      <c r="N8" s="28">
        <v>0</v>
      </c>
      <c r="O8" s="21">
        <f t="shared" si="2"/>
        <v>27000</v>
      </c>
      <c r="P8" s="8" t="s">
        <v>23</v>
      </c>
      <c r="Q8" s="9">
        <v>4000</v>
      </c>
      <c r="R8" s="9"/>
      <c r="S8" s="28">
        <v>0</v>
      </c>
      <c r="T8" s="21">
        <f t="shared" si="3"/>
        <v>34400</v>
      </c>
      <c r="U8" s="8" t="s">
        <v>22</v>
      </c>
      <c r="V8" s="9">
        <v>-2000</v>
      </c>
      <c r="W8" s="9"/>
      <c r="X8" s="28">
        <v>0</v>
      </c>
      <c r="Y8" s="21">
        <f t="shared" si="4"/>
        <v>28300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5.3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-13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19.399999999999999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-11.7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9ADC5D36-EC41-49B5-A091-1FB6695AD811}">
      <formula1>$Z$2:$AC$2</formula1>
    </dataValidation>
    <dataValidation type="list" showInputMessage="1" showErrorMessage="1" sqref="K4:K30 P4:P30 F4:F30 U4:U30" xr:uid="{75440CD2-9D34-469B-A1CE-1C8A1140509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2019-06-23T04:54:35Z</dcterms:modified>
</cp:coreProperties>
</file>