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寮祭麻雀大会\2019夏\2日目\対局\"/>
    </mc:Choice>
  </mc:AlternateContent>
  <xr:revisionPtr revIDLastSave="0" documentId="13_ncr:1_{D48E0C32-0839-49AA-956D-853CE6A394F2}" xr6:coauthVersionLast="36" xr6:coauthVersionMax="36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20" r:id="rId1"/>
    <sheet name="Sheet2" sheetId="21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30" i="21" l="1"/>
  <c r="AC30" i="21" s="1"/>
  <c r="T30" i="21"/>
  <c r="AB30" i="21" s="1"/>
  <c r="O30" i="21"/>
  <c r="AA30" i="21" s="1"/>
  <c r="J30" i="21"/>
  <c r="Z30" i="21" s="1"/>
  <c r="D30" i="21"/>
  <c r="C30" i="21"/>
  <c r="B30" i="21"/>
  <c r="A30" i="21"/>
  <c r="Y29" i="21"/>
  <c r="AC29" i="21" s="1"/>
  <c r="T29" i="21"/>
  <c r="AB29" i="21" s="1"/>
  <c r="O29" i="21"/>
  <c r="AA29" i="21" s="1"/>
  <c r="J29" i="21"/>
  <c r="Z29" i="21" s="1"/>
  <c r="D29" i="21"/>
  <c r="C29" i="21"/>
  <c r="B29" i="21"/>
  <c r="A29" i="21"/>
  <c r="Y28" i="21"/>
  <c r="AC28" i="21" s="1"/>
  <c r="T28" i="21"/>
  <c r="AB28" i="21" s="1"/>
  <c r="O28" i="21"/>
  <c r="AA28" i="21" s="1"/>
  <c r="J28" i="21"/>
  <c r="Z28" i="21" s="1"/>
  <c r="D28" i="21"/>
  <c r="C28" i="21"/>
  <c r="B28" i="21"/>
  <c r="A28" i="21"/>
  <c r="Y27" i="21"/>
  <c r="AC27" i="21" s="1"/>
  <c r="T27" i="21"/>
  <c r="AB27" i="21" s="1"/>
  <c r="O27" i="21"/>
  <c r="AA27" i="21" s="1"/>
  <c r="J27" i="21"/>
  <c r="Z27" i="21" s="1"/>
  <c r="D27" i="21"/>
  <c r="C27" i="21"/>
  <c r="B27" i="21"/>
  <c r="A27" i="21"/>
  <c r="Y26" i="21"/>
  <c r="AC26" i="21" s="1"/>
  <c r="T26" i="21"/>
  <c r="AB26" i="21" s="1"/>
  <c r="O26" i="21"/>
  <c r="AA26" i="21" s="1"/>
  <c r="J26" i="21"/>
  <c r="Z26" i="21" s="1"/>
  <c r="D26" i="21"/>
  <c r="C26" i="21"/>
  <c r="B26" i="21"/>
  <c r="A26" i="21"/>
  <c r="Y25" i="21"/>
  <c r="AC25" i="21" s="1"/>
  <c r="T25" i="21"/>
  <c r="AB25" i="21" s="1"/>
  <c r="O25" i="21"/>
  <c r="AA25" i="21" s="1"/>
  <c r="J25" i="21"/>
  <c r="Z25" i="21" s="1"/>
  <c r="D25" i="21"/>
  <c r="C25" i="21"/>
  <c r="B25" i="21"/>
  <c r="A25" i="21"/>
  <c r="Y24" i="21"/>
  <c r="AC24" i="21" s="1"/>
  <c r="T24" i="21"/>
  <c r="AB24" i="21" s="1"/>
  <c r="O24" i="21"/>
  <c r="AA24" i="21" s="1"/>
  <c r="J24" i="21"/>
  <c r="Z24" i="21" s="1"/>
  <c r="D24" i="21"/>
  <c r="C24" i="21"/>
  <c r="B24" i="21"/>
  <c r="A24" i="21"/>
  <c r="Y23" i="21"/>
  <c r="AC23" i="21" s="1"/>
  <c r="T23" i="21"/>
  <c r="AB23" i="21" s="1"/>
  <c r="O23" i="21"/>
  <c r="AA23" i="21" s="1"/>
  <c r="J23" i="21"/>
  <c r="Z23" i="21" s="1"/>
  <c r="D23" i="21"/>
  <c r="C23" i="21"/>
  <c r="B23" i="21"/>
  <c r="A23" i="21"/>
  <c r="Y22" i="21"/>
  <c r="AC22" i="21" s="1"/>
  <c r="T22" i="21"/>
  <c r="AB22" i="21" s="1"/>
  <c r="O22" i="21"/>
  <c r="AA22" i="21" s="1"/>
  <c r="J22" i="21"/>
  <c r="Z22" i="21" s="1"/>
  <c r="D22" i="21"/>
  <c r="C22" i="21"/>
  <c r="B22" i="21"/>
  <c r="A22" i="21"/>
  <c r="Y21" i="21"/>
  <c r="AC21" i="21" s="1"/>
  <c r="T21" i="21"/>
  <c r="AB21" i="21" s="1"/>
  <c r="O21" i="21"/>
  <c r="AA21" i="21" s="1"/>
  <c r="J21" i="21"/>
  <c r="Z21" i="21" s="1"/>
  <c r="D21" i="21"/>
  <c r="C21" i="21"/>
  <c r="B21" i="21"/>
  <c r="A21" i="21"/>
  <c r="Y20" i="21"/>
  <c r="AC20" i="21" s="1"/>
  <c r="T20" i="21"/>
  <c r="AB20" i="21" s="1"/>
  <c r="O20" i="21"/>
  <c r="AA20" i="21" s="1"/>
  <c r="J20" i="21"/>
  <c r="Z20" i="21" s="1"/>
  <c r="D20" i="21"/>
  <c r="C20" i="21"/>
  <c r="B20" i="21"/>
  <c r="A20" i="21"/>
  <c r="Y19" i="21"/>
  <c r="AC19" i="21" s="1"/>
  <c r="T19" i="21"/>
  <c r="AB19" i="21" s="1"/>
  <c r="O19" i="21"/>
  <c r="AA19" i="21" s="1"/>
  <c r="J19" i="21"/>
  <c r="Z19" i="21" s="1"/>
  <c r="D19" i="21"/>
  <c r="C19" i="21"/>
  <c r="B19" i="21"/>
  <c r="A19" i="21"/>
  <c r="Y18" i="21"/>
  <c r="AC18" i="21" s="1"/>
  <c r="T18" i="21"/>
  <c r="AB18" i="21" s="1"/>
  <c r="O18" i="21"/>
  <c r="AA18" i="21" s="1"/>
  <c r="J18" i="21"/>
  <c r="Z18" i="21" s="1"/>
  <c r="D18" i="21"/>
  <c r="C18" i="21"/>
  <c r="B18" i="21"/>
  <c r="A18" i="21"/>
  <c r="Y17" i="21"/>
  <c r="AC17" i="21" s="1"/>
  <c r="T17" i="21"/>
  <c r="AB17" i="21" s="1"/>
  <c r="O17" i="21"/>
  <c r="AA17" i="21" s="1"/>
  <c r="J17" i="21"/>
  <c r="Z17" i="21" s="1"/>
  <c r="D17" i="21"/>
  <c r="C17" i="21"/>
  <c r="B17" i="21"/>
  <c r="A17" i="21"/>
  <c r="Y16" i="21"/>
  <c r="AC16" i="21" s="1"/>
  <c r="T16" i="21"/>
  <c r="AB16" i="21" s="1"/>
  <c r="O16" i="21"/>
  <c r="AA16" i="21" s="1"/>
  <c r="J16" i="21"/>
  <c r="Z16" i="21" s="1"/>
  <c r="D16" i="21"/>
  <c r="C16" i="21"/>
  <c r="B16" i="21"/>
  <c r="A16" i="21"/>
  <c r="Y15" i="21"/>
  <c r="AC15" i="21" s="1"/>
  <c r="T15" i="21"/>
  <c r="AB15" i="21" s="1"/>
  <c r="O15" i="21"/>
  <c r="AA15" i="21" s="1"/>
  <c r="J15" i="21"/>
  <c r="Z15" i="21" s="1"/>
  <c r="D15" i="21"/>
  <c r="C15" i="21"/>
  <c r="B15" i="21"/>
  <c r="A15" i="21"/>
  <c r="Y14" i="21"/>
  <c r="AC14" i="21" s="1"/>
  <c r="T14" i="21"/>
  <c r="AB14" i="21" s="1"/>
  <c r="O14" i="21"/>
  <c r="AA14" i="21" s="1"/>
  <c r="J14" i="21"/>
  <c r="Z14" i="21" s="1"/>
  <c r="D14" i="21"/>
  <c r="C14" i="21"/>
  <c r="B14" i="21"/>
  <c r="A14" i="21"/>
  <c r="Y13" i="21"/>
  <c r="AC13" i="21" s="1"/>
  <c r="T13" i="21"/>
  <c r="AB13" i="21" s="1"/>
  <c r="O13" i="21"/>
  <c r="AA13" i="21" s="1"/>
  <c r="J13" i="21"/>
  <c r="Z13" i="21" s="1"/>
  <c r="D13" i="21"/>
  <c r="C13" i="21"/>
  <c r="B13" i="21"/>
  <c r="A13" i="21"/>
  <c r="Y12" i="21"/>
  <c r="AC12" i="21" s="1"/>
  <c r="T12" i="21"/>
  <c r="AB12" i="21" s="1"/>
  <c r="O12" i="21"/>
  <c r="AA12" i="21" s="1"/>
  <c r="J12" i="21"/>
  <c r="Z12" i="21" s="1"/>
  <c r="D12" i="21"/>
  <c r="C12" i="21"/>
  <c r="B12" i="21"/>
  <c r="A12" i="21"/>
  <c r="Y11" i="21"/>
  <c r="AC11" i="21" s="1"/>
  <c r="T11" i="21"/>
  <c r="AB11" i="21" s="1"/>
  <c r="O11" i="21"/>
  <c r="AA11" i="21" s="1"/>
  <c r="J11" i="21"/>
  <c r="Z11" i="21" s="1"/>
  <c r="D11" i="21"/>
  <c r="C11" i="21"/>
  <c r="B11" i="21"/>
  <c r="A11" i="21"/>
  <c r="Y10" i="21"/>
  <c r="AC10" i="21" s="1"/>
  <c r="T10" i="21"/>
  <c r="AB10" i="21" s="1"/>
  <c r="O10" i="21"/>
  <c r="AA10" i="21" s="1"/>
  <c r="J10" i="21"/>
  <c r="Z10" i="21" s="1"/>
  <c r="D10" i="21"/>
  <c r="C10" i="21"/>
  <c r="B10" i="21"/>
  <c r="A10" i="21"/>
  <c r="Y9" i="21"/>
  <c r="AC9" i="21" s="1"/>
  <c r="T9" i="21"/>
  <c r="AB9" i="21" s="1"/>
  <c r="O9" i="21"/>
  <c r="AA9" i="21" s="1"/>
  <c r="J9" i="21"/>
  <c r="Z9" i="21" s="1"/>
  <c r="D9" i="21"/>
  <c r="C9" i="21"/>
  <c r="B9" i="21"/>
  <c r="A9" i="21"/>
  <c r="Y8" i="21"/>
  <c r="AC8" i="21" s="1"/>
  <c r="T8" i="21"/>
  <c r="AB8" i="21" s="1"/>
  <c r="O8" i="21"/>
  <c r="AA8" i="21" s="1"/>
  <c r="J8" i="21"/>
  <c r="Z8" i="21" s="1"/>
  <c r="D8" i="21"/>
  <c r="C8" i="21"/>
  <c r="B8" i="21"/>
  <c r="A8" i="21" s="1"/>
  <c r="D7" i="21"/>
  <c r="C7" i="21"/>
  <c r="D6" i="21"/>
  <c r="C6" i="21"/>
  <c r="T5" i="21"/>
  <c r="T6" i="21" s="1"/>
  <c r="D5" i="21"/>
  <c r="C5" i="21"/>
  <c r="B5" i="21"/>
  <c r="B6" i="21" s="1"/>
  <c r="Y4" i="21"/>
  <c r="Y5" i="21" s="1"/>
  <c r="T4" i="21"/>
  <c r="O4" i="21"/>
  <c r="O5" i="21" s="1"/>
  <c r="J4" i="21"/>
  <c r="J5" i="21" s="1"/>
  <c r="AC3" i="21"/>
  <c r="AB3" i="21"/>
  <c r="AA3" i="21"/>
  <c r="Z3" i="21"/>
  <c r="AC2" i="21"/>
  <c r="AB2" i="21"/>
  <c r="AA2" i="21"/>
  <c r="Z2" i="21"/>
  <c r="J6" i="21" l="1"/>
  <c r="AB6" i="21" s="1"/>
  <c r="Z5" i="21"/>
  <c r="AA5" i="21"/>
  <c r="O6" i="21"/>
  <c r="Y6" i="21"/>
  <c r="AC5" i="21"/>
  <c r="T7" i="21"/>
  <c r="B7" i="21"/>
  <c r="AB4" i="21"/>
  <c r="A5" i="21"/>
  <c r="A6" i="21" s="1"/>
  <c r="AB5" i="21"/>
  <c r="Z4" i="21"/>
  <c r="AA4" i="21"/>
  <c r="AC4" i="21"/>
  <c r="AC3" i="20"/>
  <c r="AB3" i="20"/>
  <c r="AA3" i="20"/>
  <c r="Z3" i="20"/>
  <c r="A7" i="21" l="1"/>
  <c r="J7" i="21"/>
  <c r="Z6" i="21"/>
  <c r="Y7" i="21"/>
  <c r="AC6" i="21"/>
  <c r="O7" i="21"/>
  <c r="AA7" i="21" s="1"/>
  <c r="AA6" i="21"/>
  <c r="Y30" i="20"/>
  <c r="AC30" i="20" s="1"/>
  <c r="T30" i="20"/>
  <c r="AB30" i="20" s="1"/>
  <c r="O30" i="20"/>
  <c r="AA30" i="20" s="1"/>
  <c r="J30" i="20"/>
  <c r="Z30" i="20" s="1"/>
  <c r="D30" i="20"/>
  <c r="C30" i="20"/>
  <c r="B30" i="20"/>
  <c r="A30" i="20"/>
  <c r="Y29" i="20"/>
  <c r="AC29" i="20" s="1"/>
  <c r="T29" i="20"/>
  <c r="AB29" i="20" s="1"/>
  <c r="O29" i="20"/>
  <c r="AA29" i="20" s="1"/>
  <c r="J29" i="20"/>
  <c r="Z29" i="20" s="1"/>
  <c r="D29" i="20"/>
  <c r="C29" i="20"/>
  <c r="B29" i="20"/>
  <c r="A29" i="20"/>
  <c r="Y28" i="20"/>
  <c r="AC28" i="20" s="1"/>
  <c r="T28" i="20"/>
  <c r="AB28" i="20" s="1"/>
  <c r="O28" i="20"/>
  <c r="AA28" i="20" s="1"/>
  <c r="J28" i="20"/>
  <c r="Z28" i="20" s="1"/>
  <c r="D28" i="20"/>
  <c r="C28" i="20"/>
  <c r="B28" i="20"/>
  <c r="A28" i="20"/>
  <c r="Y27" i="20"/>
  <c r="AC27" i="20" s="1"/>
  <c r="T27" i="20"/>
  <c r="AB27" i="20" s="1"/>
  <c r="O27" i="20"/>
  <c r="AA27" i="20" s="1"/>
  <c r="J27" i="20"/>
  <c r="Z27" i="20" s="1"/>
  <c r="D27" i="20"/>
  <c r="C27" i="20"/>
  <c r="B27" i="20"/>
  <c r="A27" i="20"/>
  <c r="Y26" i="20"/>
  <c r="AC26" i="20" s="1"/>
  <c r="T26" i="20"/>
  <c r="AB26" i="20" s="1"/>
  <c r="O26" i="20"/>
  <c r="AA26" i="20" s="1"/>
  <c r="J26" i="20"/>
  <c r="Z26" i="20" s="1"/>
  <c r="D26" i="20"/>
  <c r="C26" i="20"/>
  <c r="B26" i="20"/>
  <c r="A26" i="20"/>
  <c r="Y25" i="20"/>
  <c r="AC25" i="20" s="1"/>
  <c r="T25" i="20"/>
  <c r="AB25" i="20" s="1"/>
  <c r="O25" i="20"/>
  <c r="AA25" i="20" s="1"/>
  <c r="J25" i="20"/>
  <c r="Z25" i="20" s="1"/>
  <c r="D25" i="20"/>
  <c r="C25" i="20"/>
  <c r="B25" i="20"/>
  <c r="A25" i="20"/>
  <c r="Y24" i="20"/>
  <c r="AC24" i="20" s="1"/>
  <c r="T24" i="20"/>
  <c r="AB24" i="20" s="1"/>
  <c r="O24" i="20"/>
  <c r="AA24" i="20" s="1"/>
  <c r="J24" i="20"/>
  <c r="Z24" i="20" s="1"/>
  <c r="D24" i="20"/>
  <c r="C24" i="20"/>
  <c r="B24" i="20"/>
  <c r="A24" i="20"/>
  <c r="Y23" i="20"/>
  <c r="AC23" i="20" s="1"/>
  <c r="T23" i="20"/>
  <c r="AB23" i="20" s="1"/>
  <c r="O23" i="20"/>
  <c r="AA23" i="20" s="1"/>
  <c r="J23" i="20"/>
  <c r="Z23" i="20" s="1"/>
  <c r="D23" i="20"/>
  <c r="C23" i="20"/>
  <c r="B23" i="20"/>
  <c r="A23" i="20"/>
  <c r="Y22" i="20"/>
  <c r="AC22" i="20" s="1"/>
  <c r="T22" i="20"/>
  <c r="AB22" i="20" s="1"/>
  <c r="O22" i="20"/>
  <c r="AA22" i="20" s="1"/>
  <c r="J22" i="20"/>
  <c r="Z22" i="20" s="1"/>
  <c r="D22" i="20"/>
  <c r="C22" i="20"/>
  <c r="B22" i="20"/>
  <c r="A22" i="20"/>
  <c r="Y21" i="20"/>
  <c r="AC21" i="20" s="1"/>
  <c r="T21" i="20"/>
  <c r="AB21" i="20" s="1"/>
  <c r="O21" i="20"/>
  <c r="AA21" i="20" s="1"/>
  <c r="J21" i="20"/>
  <c r="Z21" i="20" s="1"/>
  <c r="D21" i="20"/>
  <c r="C21" i="20"/>
  <c r="B21" i="20"/>
  <c r="A21" i="20"/>
  <c r="Y20" i="20"/>
  <c r="AC20" i="20" s="1"/>
  <c r="T20" i="20"/>
  <c r="AB20" i="20" s="1"/>
  <c r="O20" i="20"/>
  <c r="AA20" i="20" s="1"/>
  <c r="J20" i="20"/>
  <c r="Z20" i="20" s="1"/>
  <c r="D20" i="20"/>
  <c r="C20" i="20"/>
  <c r="B20" i="20"/>
  <c r="A20" i="20"/>
  <c r="Y19" i="20"/>
  <c r="AC19" i="20" s="1"/>
  <c r="T19" i="20"/>
  <c r="AB19" i="20" s="1"/>
  <c r="O19" i="20"/>
  <c r="AA19" i="20" s="1"/>
  <c r="J19" i="20"/>
  <c r="Z19" i="20" s="1"/>
  <c r="D19" i="20"/>
  <c r="C19" i="20"/>
  <c r="B19" i="20"/>
  <c r="A19" i="20"/>
  <c r="Y18" i="20"/>
  <c r="AC18" i="20" s="1"/>
  <c r="T18" i="20"/>
  <c r="AB18" i="20" s="1"/>
  <c r="O18" i="20"/>
  <c r="AA18" i="20" s="1"/>
  <c r="J18" i="20"/>
  <c r="Z18" i="20" s="1"/>
  <c r="D18" i="20"/>
  <c r="C18" i="20"/>
  <c r="B18" i="20"/>
  <c r="A18" i="20"/>
  <c r="Y17" i="20"/>
  <c r="AC17" i="20" s="1"/>
  <c r="T17" i="20"/>
  <c r="AB17" i="20" s="1"/>
  <c r="O17" i="20"/>
  <c r="AA17" i="20" s="1"/>
  <c r="J17" i="20"/>
  <c r="Z17" i="20" s="1"/>
  <c r="D17" i="20"/>
  <c r="C17" i="20"/>
  <c r="B17" i="20"/>
  <c r="A17" i="20"/>
  <c r="Y16" i="20"/>
  <c r="AC16" i="20" s="1"/>
  <c r="T16" i="20"/>
  <c r="AB16" i="20" s="1"/>
  <c r="O16" i="20"/>
  <c r="AA16" i="20" s="1"/>
  <c r="J16" i="20"/>
  <c r="Z16" i="20" s="1"/>
  <c r="D16" i="20"/>
  <c r="C16" i="20"/>
  <c r="B16" i="20"/>
  <c r="A16" i="20"/>
  <c r="Y15" i="20"/>
  <c r="AC15" i="20" s="1"/>
  <c r="T15" i="20"/>
  <c r="AB15" i="20" s="1"/>
  <c r="O15" i="20"/>
  <c r="AA15" i="20" s="1"/>
  <c r="J15" i="20"/>
  <c r="Z15" i="20" s="1"/>
  <c r="D15" i="20"/>
  <c r="C15" i="20"/>
  <c r="B15" i="20"/>
  <c r="A15" i="20"/>
  <c r="Y14" i="20"/>
  <c r="AC14" i="20" s="1"/>
  <c r="T14" i="20"/>
  <c r="AB14" i="20" s="1"/>
  <c r="O14" i="20"/>
  <c r="AA14" i="20" s="1"/>
  <c r="J14" i="20"/>
  <c r="Z14" i="20" s="1"/>
  <c r="D14" i="20"/>
  <c r="C14" i="20"/>
  <c r="B14" i="20"/>
  <c r="A14" i="20"/>
  <c r="Y13" i="20"/>
  <c r="AC13" i="20" s="1"/>
  <c r="T13" i="20"/>
  <c r="AB13" i="20" s="1"/>
  <c r="O13" i="20"/>
  <c r="AA13" i="20" s="1"/>
  <c r="J13" i="20"/>
  <c r="Z13" i="20" s="1"/>
  <c r="D13" i="20"/>
  <c r="C13" i="20"/>
  <c r="B13" i="20"/>
  <c r="A13" i="20"/>
  <c r="Y12" i="20"/>
  <c r="AC12" i="20" s="1"/>
  <c r="T12" i="20"/>
  <c r="AB12" i="20" s="1"/>
  <c r="O12" i="20"/>
  <c r="AA12" i="20" s="1"/>
  <c r="J12" i="20"/>
  <c r="Z12" i="20" s="1"/>
  <c r="D12" i="20"/>
  <c r="C12" i="20"/>
  <c r="B12" i="20"/>
  <c r="A12" i="20"/>
  <c r="D11" i="20"/>
  <c r="C11" i="20"/>
  <c r="D10" i="20"/>
  <c r="C10" i="20"/>
  <c r="D9" i="20"/>
  <c r="C9" i="20"/>
  <c r="C8" i="20"/>
  <c r="D7" i="20"/>
  <c r="D8" i="20" s="1"/>
  <c r="D6" i="20"/>
  <c r="D5" i="20"/>
  <c r="C5" i="20"/>
  <c r="B5" i="20"/>
  <c r="B6" i="20" s="1"/>
  <c r="Y4" i="20"/>
  <c r="T4" i="20"/>
  <c r="O4" i="20"/>
  <c r="J4" i="20"/>
  <c r="AC2" i="20"/>
  <c r="AB2" i="20"/>
  <c r="AA2" i="20"/>
  <c r="Z2" i="20"/>
  <c r="Z7" i="21" l="1"/>
  <c r="AC7" i="21"/>
  <c r="AB7" i="21"/>
  <c r="Z4" i="20"/>
  <c r="AA4" i="20"/>
  <c r="AB4" i="20"/>
  <c r="AC4" i="20"/>
  <c r="C6" i="20"/>
  <c r="J5" i="20"/>
  <c r="J6" i="20" s="1"/>
  <c r="Z6" i="20" s="1"/>
  <c r="Y5" i="20"/>
  <c r="Y6" i="20" s="1"/>
  <c r="O5" i="20"/>
  <c r="O6" i="20" s="1"/>
  <c r="AA6" i="20" s="1"/>
  <c r="T5" i="20"/>
  <c r="A5" i="20"/>
  <c r="T6" i="20"/>
  <c r="A6" i="20"/>
  <c r="B7" i="20"/>
  <c r="AC6" i="20" l="1"/>
  <c r="AB6" i="20"/>
  <c r="C7" i="20"/>
  <c r="AA5" i="20"/>
  <c r="AC5" i="20"/>
  <c r="AB5" i="20"/>
  <c r="Z5" i="20"/>
  <c r="B8" i="20"/>
  <c r="O7" i="20"/>
  <c r="Y7" i="20"/>
  <c r="A7" i="20"/>
  <c r="J7" i="20"/>
  <c r="T7" i="20"/>
  <c r="AB7" i="20" l="1"/>
  <c r="AA7" i="20"/>
  <c r="Z7" i="20"/>
  <c r="AC7" i="20"/>
  <c r="B9" i="20"/>
  <c r="O8" i="20"/>
  <c r="T8" i="20"/>
  <c r="J8" i="20"/>
  <c r="Y8" i="20"/>
  <c r="A8" i="20"/>
  <c r="AC8" i="20" l="1"/>
  <c r="Z8" i="20"/>
  <c r="AA8" i="20"/>
  <c r="AB8" i="20"/>
  <c r="J9" i="20"/>
  <c r="Z9" i="20" s="1"/>
  <c r="B10" i="20"/>
  <c r="O9" i="20"/>
  <c r="AA9" i="20" s="1"/>
  <c r="Y9" i="20"/>
  <c r="AC9" i="20" s="1"/>
  <c r="T9" i="20"/>
  <c r="AB9" i="20" s="1"/>
  <c r="A9" i="20"/>
  <c r="B11" i="20" l="1"/>
  <c r="A11" i="20" s="1"/>
  <c r="Y10" i="20"/>
  <c r="AC10" i="20" s="1"/>
  <c r="A10" i="20"/>
  <c r="T10" i="20"/>
  <c r="AB10" i="20" s="1"/>
  <c r="O10" i="20"/>
  <c r="AA10" i="20" s="1"/>
  <c r="J10" i="20"/>
  <c r="Z10" i="20" s="1"/>
  <c r="O11" i="20" l="1"/>
  <c r="AA11" i="20" s="1"/>
  <c r="J11" i="20"/>
  <c r="Z11" i="20" s="1"/>
  <c r="Y11" i="20"/>
  <c r="AC11" i="20" s="1"/>
  <c r="T11" i="20"/>
  <c r="AB11" i="20" s="1"/>
</calcChain>
</file>

<file path=xl/sharedStrings.xml><?xml version="1.0" encoding="utf-8"?>
<sst xmlns="http://schemas.openxmlformats.org/spreadsheetml/2006/main" count="416" uniqueCount="40">
  <si>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</si>
  <si>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</si>
  <si>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</si>
  <si>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</si>
  <si>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</si>
  <si>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</si>
  <si>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</si>
  <si>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</si>
  <si>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</si>
  <si>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</si>
  <si>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</si>
  <si>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</si>
  <si>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</si>
  <si>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</si>
  <si>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</si>
  <si>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</si>
  <si>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</si>
  <si>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</si>
  <si>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供託</t>
    <rPh sb="0" eb="2">
      <t>キョウタク</t>
    </rPh>
    <phoneticPr fontId="1"/>
  </si>
  <si>
    <t>リーチ</t>
    <phoneticPr fontId="1"/>
  </si>
  <si>
    <t>*</t>
    <phoneticPr fontId="1"/>
  </si>
  <si>
    <t>東</t>
    <rPh sb="0" eb="1">
      <t>ヒガシ</t>
    </rPh>
    <phoneticPr fontId="1"/>
  </si>
  <si>
    <t>大池</t>
  </si>
  <si>
    <t>大池</t>
    <rPh sb="0" eb="2">
      <t>オオイケ</t>
    </rPh>
    <phoneticPr fontId="1"/>
  </si>
  <si>
    <t>依田</t>
  </si>
  <si>
    <t>依田</t>
    <rPh sb="0" eb="2">
      <t>ヨダ</t>
    </rPh>
    <phoneticPr fontId="1"/>
  </si>
  <si>
    <t>小林</t>
  </si>
  <si>
    <t>小林</t>
    <rPh sb="0" eb="2">
      <t>コバヤシ</t>
    </rPh>
    <phoneticPr fontId="1"/>
  </si>
  <si>
    <t>放銃</t>
  </si>
  <si>
    <t>ロン</t>
  </si>
  <si>
    <t>水澤</t>
  </si>
  <si>
    <t>水澤</t>
    <rPh sb="0" eb="2">
      <t>ミズサワ</t>
    </rPh>
    <phoneticPr fontId="1"/>
  </si>
  <si>
    <t>ツモ支払</t>
  </si>
  <si>
    <t>ツモ</t>
  </si>
  <si>
    <t>矢ヶ崎</t>
  </si>
  <si>
    <t>矢ヶ崎</t>
    <rPh sb="0" eb="3">
      <t>ヤガサキ</t>
    </rPh>
    <phoneticPr fontId="1"/>
  </si>
  <si>
    <t>保谷</t>
  </si>
  <si>
    <t>保谷</t>
    <rPh sb="0" eb="2">
      <t>ホタニ</t>
    </rPh>
    <phoneticPr fontId="1"/>
  </si>
  <si>
    <t>齋藤</t>
  </si>
  <si>
    <t>齋藤</t>
    <rPh sb="0" eb="2">
      <t>サイトウ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</si>
</sst>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Alignment="1">
      <alignment vertical="center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6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01CF0-2346-4853-9A04-34997F29E7F6}">
  <sheetPr codeName="Sheet1">
    <pageSetUpPr fitToPage="1"/>
  </sheetPr>
  <dimension ref="A1:AC30"/>
  <sheetViews>
    <sheetView topLeftCell="E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8" t="s">
        <v>0</v>
      </c>
      <c r="B1" s="50" t="s">
        <v>2</v>
      </c>
      <c r="C1" s="50" t="s">
        <v>1</v>
      </c>
      <c r="D1" s="50" t="s">
        <v>18</v>
      </c>
      <c r="E1" s="52" t="s">
        <v>3</v>
      </c>
      <c r="F1" s="43" t="s">
        <v>23</v>
      </c>
      <c r="G1" s="44"/>
      <c r="H1" s="44"/>
      <c r="I1" s="45"/>
      <c r="J1" s="46"/>
      <c r="K1" s="43" t="s">
        <v>27</v>
      </c>
      <c r="L1" s="44"/>
      <c r="M1" s="44"/>
      <c r="N1" s="45"/>
      <c r="O1" s="46"/>
      <c r="P1" s="43" t="s">
        <v>25</v>
      </c>
      <c r="Q1" s="44"/>
      <c r="R1" s="44"/>
      <c r="S1" s="45"/>
      <c r="T1" s="46"/>
      <c r="U1" s="43" t="s">
        <v>31</v>
      </c>
      <c r="V1" s="44"/>
      <c r="W1" s="44"/>
      <c r="X1" s="45"/>
      <c r="Y1" s="46"/>
      <c r="Z1" s="43" t="s">
        <v>6</v>
      </c>
      <c r="AA1" s="47"/>
      <c r="AB1" s="44"/>
      <c r="AC1" s="46"/>
    </row>
    <row r="2" spans="1:29" x14ac:dyDescent="0.4">
      <c r="A2" s="49"/>
      <c r="B2" s="51"/>
      <c r="C2" s="51"/>
      <c r="D2" s="51"/>
      <c r="E2" s="53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39" t="str">
        <f>$F$1</f>
        <v>大池</v>
      </c>
      <c r="AA2" s="40" t="str">
        <f>$K$1</f>
        <v>小林</v>
      </c>
      <c r="AB2" s="40" t="str">
        <f>$P$1</f>
        <v>依田</v>
      </c>
      <c r="AC2" s="16" t="str">
        <f>$U$1</f>
        <v>水澤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IF($J3="","",ROUND(($J3-$J$3)/1000,1)+IF($J3&lt;30000,-10,_xlfn.SWITCH(FREQUENCY(($J3,$O3,$T3,$Y3),29900),3,30,2,_xlfn.SWITCH(_xlfn.RANK.EQ($J3,($J3,$O3,$T3,$Y3)),1,15,2,5),1,_xlfn.SWITCH(_xlfn.RANK.EQ($J3,($J3,$O3,$T3,$Y3)),1,7,2,2,3,1),0,0)))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IF($O3="","",ROUND(($O3-$O$3)/1000,1)+IF($O3&lt;30000,-10,_xlfn.SWITCH(FREQUENCY(($J3,$O3,$T3,$Y3),29900),3,30,2,_xlfn.SWITCH(_xlfn.RANK.EQ($O3,($J3,$O3,$T3,$Y3)),1,15,2,5),1,_xlfn.SWITCH(_xlfn.RANK.EQ($O3,($J3,$O3,$T3,$Y3)),1,7,2,2,3,1),0,0)))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IF($T3="","",ROUND(($T3-$T$3)/1000,1)+IF($T3&lt;30000,-10,_xlfn.SWITCH(FREQUENCY(($J3,$O3,$T3,$Y3),29900),3,30,2,_xlfn.SWITCH(_xlfn.RANK.EQ($T3,($J3,$O3,$T3,$Y3)),1,15,2,5),1,_xlfn.SWITCH(_xlfn.RANK.EQ($T3,($J3,$O3,$T3,$Y3)),1,7,2,2,3,1),0,0)))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IF($Y3="","",ROUND(($Y3-$Y$3)/1000,1)+IF($Y3&lt;30000,-10,_xlfn.SWITCH(FREQUENCY(($J3,$O3,$T3,$Y3),29900),3,30,2,_xlfn.SWITCH(_xlfn.RANK.EQ($Y3,($J3,$O3,$T3,$Y3)),1,15,2,5),1,_xlfn.SWITCH(_xlfn.RANK.EQ($Y3,($J3,$O3,$T3,$Y3)),1,7,2,2,3,1),0,0)))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 t="s">
        <v>22</v>
      </c>
      <c r="F4" s="8" t="s">
        <v>28</v>
      </c>
      <c r="G4" s="9">
        <v>-1300</v>
      </c>
      <c r="H4" s="9"/>
      <c r="I4" s="28">
        <v>0</v>
      </c>
      <c r="J4" s="21">
        <f>IF(COUNTA($F4,$K4,$P4,$U4)&gt;0,J3+SUM(G4:I4),"")</f>
        <v>28700</v>
      </c>
      <c r="K4" s="8" t="s">
        <v>29</v>
      </c>
      <c r="L4" s="9">
        <v>1300</v>
      </c>
      <c r="M4" s="9"/>
      <c r="N4" s="28">
        <v>0</v>
      </c>
      <c r="O4" s="21">
        <f>IF(COUNTA($F4,$K4,$P4,$U4)&gt;0,O3+SUM(L4:N4),"")</f>
        <v>31300</v>
      </c>
      <c r="P4" s="8"/>
      <c r="Q4" s="9"/>
      <c r="R4" s="9"/>
      <c r="S4" s="28"/>
      <c r="T4" s="21">
        <f>IF(COUNTA($F4,$K4,$P4,$U4)&gt;0,T3+SUM(Q4:S4),"")</f>
        <v>30000</v>
      </c>
      <c r="U4" s="8"/>
      <c r="V4" s="9"/>
      <c r="W4" s="9"/>
      <c r="X4" s="28"/>
      <c r="Y4" s="21">
        <f>IF(COUNTA($F4,$K4,$P4,$U4)&gt;0,Y3+SUM(V4:X4),"")</f>
        <v>30000</v>
      </c>
      <c r="Z4" s="33">
        <f>IF($J4="","",ROUND(($J4-$J$3)/1000,1)+IF($J4&lt;30000,-10,_xlfn.SWITCH(FREQUENCY(($J4,$O4,$T4,$Y4),29900),3,30,2,_xlfn.SWITCH(_xlfn.RANK.EQ($J4,($J4,$O4,$T4,$Y4)),1,15,2,5),1,_xlfn.SWITCH(_xlfn.RANK.EQ($J4,($J4,$O4,$T4,$Y4)),1,7,2,2,3,1),0,0)))</f>
        <v>-11.3</v>
      </c>
      <c r="AA4" s="34">
        <f>IF($O4="","",ROUND(($O4-$O$3)/1000,1)+IF($O4&lt;30000,-10,_xlfn.SWITCH(FREQUENCY(($J4,$O4,$T4,$Y4),29900),3,30,2,_xlfn.SWITCH(_xlfn.RANK.EQ($O4,($J4,$O4,$T4,$Y4)),1,15,2,5),1,_xlfn.SWITCH(_xlfn.RANK.EQ($O4,($J4,$O4,$T4,$Y4)),1,7,2,2,3,1),0,0)))</f>
        <v>8.3000000000000007</v>
      </c>
      <c r="AB4" s="34">
        <f>IF($T4="","",ROUND(($T4-$T$3)/1000,1)+IF($T4&lt;30000,-10,_xlfn.SWITCH(FREQUENCY(($J4,$O4,$T4,$Y4),29900),3,30,2,_xlfn.SWITCH(_xlfn.RANK.EQ($T4,($J4,$O4,$T4,$Y4)),1,15,2,5),1,_xlfn.SWITCH(_xlfn.RANK.EQ($T4,($J4,$O4,$T4,$Y4)),1,7,2,2,3,1),0,0)))</f>
        <v>2</v>
      </c>
      <c r="AC4" s="35">
        <f>IF($Y4="","",ROUND(($Y4-$Y$3)/1000,1)+IF($Y4&lt;30000,-10,_xlfn.SWITCH(FREQUENCY(($J4,$O4,$T4,$Y4),29900),3,30,2,_xlfn.SWITCH(_xlfn.RANK.EQ($Y4,($J4,$O4,$T4,$Y4)),1,15,2,5),1,_xlfn.SWITCH(_xlfn.RANK.EQ($Y4,($J4,$O4,$T4,$Y4)),1,7,2,2,3,1),0,0)))</f>
        <v>2</v>
      </c>
    </row>
    <row r="5" spans="1:29" x14ac:dyDescent="0.4">
      <c r="A5" s="13" t="str">
        <f t="shared" ref="A5:A9" si="0">IF($E5="","",IF(AND(B4=4,B5=1),_xlfn.SWITCH(A4,"東","南","南","西","西","北","北","東"),A4))</f>
        <v>東</v>
      </c>
      <c r="B5" s="18">
        <f>IF($E5="","",IF($E4=$E5,B4,IF(B4=4,1,B4+1)))</f>
        <v>2</v>
      </c>
      <c r="C5" s="18">
        <f>IF($E5="","",IF($F4="チョンボ",C4,IF(OR($E4=$E5,$F4="流局"),C4+1,0)))</f>
        <v>0</v>
      </c>
      <c r="D5" s="18">
        <f>IF($E5="","",IF(OR($F4="流局",$F4="チョンボ"),D4+($H4+$M4+$R4+$W4)/-1000,0))</f>
        <v>0</v>
      </c>
      <c r="E5" s="4" t="s">
        <v>26</v>
      </c>
      <c r="F5" s="8" t="s">
        <v>28</v>
      </c>
      <c r="G5" s="9">
        <v>-2600</v>
      </c>
      <c r="H5" s="9"/>
      <c r="I5" s="28">
        <v>0</v>
      </c>
      <c r="J5" s="21">
        <f t="shared" ref="J5:J30" si="1">IF(COUNTA($F5,$K5,$P5,$U5)&gt;0,J4+SUM(G5:I5),"")</f>
        <v>26100</v>
      </c>
      <c r="K5" s="8"/>
      <c r="L5" s="9"/>
      <c r="M5" s="9"/>
      <c r="N5" s="28"/>
      <c r="O5" s="21">
        <f t="shared" ref="O5:O30" si="2">IF(COUNTA($F5,$K5,$P5,$U5)&gt;0,O4+SUM(L5:N5),"")</f>
        <v>31300</v>
      </c>
      <c r="P5" s="8" t="s">
        <v>29</v>
      </c>
      <c r="Q5" s="9">
        <v>2600</v>
      </c>
      <c r="R5" s="9"/>
      <c r="S5" s="28">
        <v>0</v>
      </c>
      <c r="T5" s="21">
        <f t="shared" ref="T5:T30" si="3">IF(COUNTA($F5,$K5,$P5,$U5)&gt;0,T4+SUM(Q5:S5),"")</f>
        <v>32600</v>
      </c>
      <c r="U5" s="8"/>
      <c r="V5" s="9"/>
      <c r="W5" s="9"/>
      <c r="X5" s="28"/>
      <c r="Y5" s="21">
        <f t="shared" ref="Y5:Y30" si="4">IF(COUNTA($F5,$K5,$P5,$U5)&gt;0,Y4+SUM(V5:X5),"")</f>
        <v>30000</v>
      </c>
      <c r="Z5" s="33">
        <f>IF($J5="","",ROUND(($J5-$J$3)/1000,1)+IF($J5&lt;30000,-10,_xlfn.SWITCH(FREQUENCY(($J5,$O5,$T5,$Y5),29900),3,30,2,_xlfn.SWITCH(_xlfn.RANK.EQ($J5,($J5,$O5,$T5,$Y5)),1,15,2,5),1,_xlfn.SWITCH(_xlfn.RANK.EQ($J5,($J5,$O5,$T5,$Y5)),1,7,2,2,3,1),0,0)))</f>
        <v>-13.9</v>
      </c>
      <c r="AA5" s="34">
        <f>IF($O5="","",ROUND(($O5-$O$3)/1000,1)+IF($O5&lt;30000,-10,_xlfn.SWITCH(FREQUENCY(($J5,$O5,$T5,$Y5),29900),3,30,2,_xlfn.SWITCH(_xlfn.RANK.EQ($O5,($J5,$O5,$T5,$Y5)),1,15,2,5),1,_xlfn.SWITCH(_xlfn.RANK.EQ($O5,($J5,$O5,$T5,$Y5)),1,7,2,2,3,1),0,0)))</f>
        <v>3.3</v>
      </c>
      <c r="AB5" s="34">
        <f>IF($T5="","",ROUND(($T5-$T$3)/1000,1)+IF($T5&lt;30000,-10,_xlfn.SWITCH(FREQUENCY(($J5,$O5,$T5,$Y5),29900),3,30,2,_xlfn.SWITCH(_xlfn.RANK.EQ($T5,($J5,$O5,$T5,$Y5)),1,15,2,5),1,_xlfn.SWITCH(_xlfn.RANK.EQ($T5,($J5,$O5,$T5,$Y5)),1,7,2,2,3,1),0,0)))</f>
        <v>9.6</v>
      </c>
      <c r="AC5" s="35">
        <f>IF($Y5="","",ROUND(($Y5-$Y$3)/1000,1)+IF($Y5&lt;30000,-10,_xlfn.SWITCH(FREQUENCY(($J5,$O5,$T5,$Y5),29900),3,30,2,_xlfn.SWITCH(_xlfn.RANK.EQ($Y5,($J5,$O5,$T5,$Y5)),1,15,2,5),1,_xlfn.SWITCH(_xlfn.RANK.EQ($Y5,($J5,$O5,$T5,$Y5)),1,7,2,2,3,1),0,0)))</f>
        <v>1</v>
      </c>
    </row>
    <row r="6" spans="1:29" x14ac:dyDescent="0.4">
      <c r="A6" s="13" t="str">
        <f t="shared" si="0"/>
        <v>東</v>
      </c>
      <c r="B6" s="18">
        <f t="shared" ref="B6:B30" si="5">IF($E6="","",IF($E5=$E6,B5,IF(B5=4,1,B5+1)))</f>
        <v>3</v>
      </c>
      <c r="C6" s="18">
        <f t="shared" ref="C6:C30" si="6">IF($E6="","",IF($F5="チョンボ",C5,IF(OR($E5=$E6,$F5="流局"),C5+1,0)))</f>
        <v>0</v>
      </c>
      <c r="D6" s="18">
        <f t="shared" ref="D6:D30" si="7">IF($E6="","",IF(OR($F5="流局",$F5="チョンボ"),D5+($H5+$M5+$R5+$W5)/-1000,0))</f>
        <v>0</v>
      </c>
      <c r="E6" s="4" t="s">
        <v>24</v>
      </c>
      <c r="F6" s="8"/>
      <c r="G6" s="9"/>
      <c r="H6" s="9"/>
      <c r="I6" s="28"/>
      <c r="J6" s="21">
        <f t="shared" si="1"/>
        <v>26100</v>
      </c>
      <c r="K6" s="8" t="s">
        <v>28</v>
      </c>
      <c r="L6" s="9">
        <v>-2600</v>
      </c>
      <c r="M6" s="9"/>
      <c r="N6" s="28">
        <v>0</v>
      </c>
      <c r="O6" s="21">
        <f t="shared" si="2"/>
        <v>28700</v>
      </c>
      <c r="P6" s="8"/>
      <c r="Q6" s="9"/>
      <c r="R6" s="9"/>
      <c r="S6" s="28"/>
      <c r="T6" s="21">
        <f t="shared" si="3"/>
        <v>32600</v>
      </c>
      <c r="U6" s="8" t="s">
        <v>29</v>
      </c>
      <c r="V6" s="9">
        <v>2600</v>
      </c>
      <c r="W6" s="9"/>
      <c r="X6" s="28">
        <v>0</v>
      </c>
      <c r="Y6" s="21">
        <f t="shared" si="4"/>
        <v>32600</v>
      </c>
      <c r="Z6" s="33">
        <f>IF($J6="","",ROUND(($J6-$J$3)/1000,1)+IF($J6&lt;30000,-10,_xlfn.SWITCH(FREQUENCY(($J6,$O6,$T6,$Y6),29900),3,30,2,_xlfn.SWITCH(_xlfn.RANK.EQ($J6,($J6,$O6,$T6,$Y6)),1,15,2,5),1,_xlfn.SWITCH(_xlfn.RANK.EQ($J6,($J6,$O6,$T6,$Y6)),1,7,2,2,3,1),0,0)))</f>
        <v>-13.9</v>
      </c>
      <c r="AA6" s="34">
        <f>IF($O6="","",ROUND(($O6-$O$3)/1000,1)+IF($O6&lt;30000,-10,_xlfn.SWITCH(FREQUENCY(($J6,$O6,$T6,$Y6),29900),3,30,2,_xlfn.SWITCH(_xlfn.RANK.EQ($O6,($J6,$O6,$T6,$Y6)),1,15,2,5),1,_xlfn.SWITCH(_xlfn.RANK.EQ($O6,($J6,$O6,$T6,$Y6)),1,7,2,2,3,1),0,0)))</f>
        <v>-11.3</v>
      </c>
      <c r="AB6" s="34">
        <f>IF($T6="","",ROUND(($T6-$T$3)/1000,1)+IF($T6&lt;30000,-10,_xlfn.SWITCH(FREQUENCY(($J6,$O6,$T6,$Y6),29900),3,30,2,_xlfn.SWITCH(_xlfn.RANK.EQ($T6,($J6,$O6,$T6,$Y6)),1,15,2,5),1,_xlfn.SWITCH(_xlfn.RANK.EQ($T6,($J6,$O6,$T6,$Y6)),1,7,2,2,3,1),0,0)))</f>
        <v>17.600000000000001</v>
      </c>
      <c r="AC6" s="35">
        <f>IF($Y6="","",ROUND(($Y6-$Y$3)/1000,1)+IF($Y6&lt;30000,-10,_xlfn.SWITCH(FREQUENCY(($J6,$O6,$T6,$Y6),29900),3,30,2,_xlfn.SWITCH(_xlfn.RANK.EQ($Y6,($J6,$O6,$T6,$Y6)),1,15,2,5),1,_xlfn.SWITCH(_xlfn.RANK.EQ($Y6,($J6,$O6,$T6,$Y6)),1,7,2,2,3,1),0,0)))</f>
        <v>17.600000000000001</v>
      </c>
    </row>
    <row r="7" spans="1:29" x14ac:dyDescent="0.4">
      <c r="A7" s="13" t="str">
        <f t="shared" si="0"/>
        <v>東</v>
      </c>
      <c r="B7" s="18">
        <f t="shared" si="5"/>
        <v>4</v>
      </c>
      <c r="C7" s="18">
        <f t="shared" si="6"/>
        <v>0</v>
      </c>
      <c r="D7" s="18">
        <f t="shared" si="7"/>
        <v>0</v>
      </c>
      <c r="E7" s="4" t="s">
        <v>30</v>
      </c>
      <c r="F7" s="8"/>
      <c r="G7" s="9"/>
      <c r="H7" s="9"/>
      <c r="I7" s="28"/>
      <c r="J7" s="21">
        <f t="shared" si="1"/>
        <v>26100</v>
      </c>
      <c r="K7" s="8" t="s">
        <v>29</v>
      </c>
      <c r="L7" s="9">
        <v>2600</v>
      </c>
      <c r="M7" s="9"/>
      <c r="N7" s="28">
        <v>0</v>
      </c>
      <c r="O7" s="21">
        <f t="shared" si="2"/>
        <v>31300</v>
      </c>
      <c r="P7" s="8"/>
      <c r="Q7" s="9"/>
      <c r="R7" s="9"/>
      <c r="S7" s="28"/>
      <c r="T7" s="21">
        <f t="shared" si="3"/>
        <v>32600</v>
      </c>
      <c r="U7" s="8" t="s">
        <v>28</v>
      </c>
      <c r="V7" s="9">
        <v>-2600</v>
      </c>
      <c r="W7" s="9"/>
      <c r="X7" s="28">
        <v>0</v>
      </c>
      <c r="Y7" s="21">
        <f t="shared" si="4"/>
        <v>30000</v>
      </c>
      <c r="Z7" s="33">
        <f>IF($J7="","",ROUND(($J7-$J$3)/1000,1)+IF($J7&lt;30000,-10,_xlfn.SWITCH(FREQUENCY(($J7,$O7,$T7,$Y7),29900),3,30,2,_xlfn.SWITCH(_xlfn.RANK.EQ($J7,($J7,$O7,$T7,$Y7)),1,15,2,5),1,_xlfn.SWITCH(_xlfn.RANK.EQ($J7,($J7,$O7,$T7,$Y7)),1,7,2,2,3,1),0,0)))</f>
        <v>-13.9</v>
      </c>
      <c r="AA7" s="34">
        <f>IF($O7="","",ROUND(($O7-$O$3)/1000,1)+IF($O7&lt;30000,-10,_xlfn.SWITCH(FREQUENCY(($J7,$O7,$T7,$Y7),29900),3,30,2,_xlfn.SWITCH(_xlfn.RANK.EQ($O7,($J7,$O7,$T7,$Y7)),1,15,2,5),1,_xlfn.SWITCH(_xlfn.RANK.EQ($O7,($J7,$O7,$T7,$Y7)),1,7,2,2,3,1),0,0)))</f>
        <v>3.3</v>
      </c>
      <c r="AB7" s="34">
        <f>IF($T7="","",ROUND(($T7-$T$3)/1000,1)+IF($T7&lt;30000,-10,_xlfn.SWITCH(FREQUENCY(($J7,$O7,$T7,$Y7),29900),3,30,2,_xlfn.SWITCH(_xlfn.RANK.EQ($T7,($J7,$O7,$T7,$Y7)),1,15,2,5),1,_xlfn.SWITCH(_xlfn.RANK.EQ($T7,($J7,$O7,$T7,$Y7)),1,7,2,2,3,1),0,0)))</f>
        <v>9.6</v>
      </c>
      <c r="AC7" s="35">
        <f>IF($Y7="","",ROUND(($Y7-$Y$3)/1000,1)+IF($Y7&lt;30000,-10,_xlfn.SWITCH(FREQUENCY(($J7,$O7,$T7,$Y7),29900),3,30,2,_xlfn.SWITCH(_xlfn.RANK.EQ($Y7,($J7,$O7,$T7,$Y7)),1,15,2,5),1,_xlfn.SWITCH(_xlfn.RANK.EQ($Y7,($J7,$O7,$T7,$Y7)),1,7,2,2,3,1),0,0)))</f>
        <v>1</v>
      </c>
    </row>
    <row r="8" spans="1:29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>IF($E8="","",IF(OR($F7="流局",$F7="チョンボ"),D7+($H7+$M7+$R7+$W7)/-1000,0))</f>
        <v/>
      </c>
      <c r="E8" s="4"/>
      <c r="F8" s="8"/>
      <c r="G8" s="9"/>
      <c r="H8" s="9"/>
      <c r="I8" s="28"/>
      <c r="J8" s="21" t="str">
        <f t="shared" si="1"/>
        <v/>
      </c>
      <c r="K8" s="8"/>
      <c r="L8" s="9"/>
      <c r="M8" s="9"/>
      <c r="N8" s="28"/>
      <c r="O8" s="21" t="str">
        <f t="shared" si="2"/>
        <v/>
      </c>
      <c r="P8" s="8"/>
      <c r="Q8" s="9"/>
      <c r="R8" s="9"/>
      <c r="S8" s="28"/>
      <c r="T8" s="21" t="str">
        <f t="shared" si="3"/>
        <v/>
      </c>
      <c r="U8" s="8"/>
      <c r="V8" s="9"/>
      <c r="W8" s="9"/>
      <c r="X8" s="28"/>
      <c r="Y8" s="21" t="str">
        <f t="shared" si="4"/>
        <v/>
      </c>
      <c r="Z8" s="33" t="str">
        <f>IF($J8="","",ROUND(($J8-$J$3)/1000,1)+IF($J8&lt;30000,-10,_xlfn.SWITCH(FREQUENCY(($J8,$O8,$T8,$Y8),29900),3,30,2,_xlfn.SWITCH(_xlfn.RANK.EQ($J8,($J8,$O8,$T8,$Y8)),1,15,2,5),1,_xlfn.SWITCH(_xlfn.RANK.EQ($J8,($J8,$O8,$T8,$Y8)),1,7,2,2,3,1),0,0)))</f>
        <v/>
      </c>
      <c r="AA8" s="34" t="str">
        <f>IF($O8="","",ROUND(($O8-$O$3)/1000,1)+IF($O8&lt;30000,-10,_xlfn.SWITCH(FREQUENCY(($J8,$O8,$T8,$Y8),29900),3,30,2,_xlfn.SWITCH(_xlfn.RANK.EQ($O8,($J8,$O8,$T8,$Y8)),1,15,2,5),1,_xlfn.SWITCH(_xlfn.RANK.EQ($O8,($J8,$O8,$T8,$Y8)),1,7,2,2,3,1),0,0)))</f>
        <v/>
      </c>
      <c r="AB8" s="34" t="str">
        <f>IF($T8="","",ROUND(($T8-$T$3)/1000,1)+IF($T8&lt;30000,-10,_xlfn.SWITCH(FREQUENCY(($J8,$O8,$T8,$Y8),29900),3,30,2,_xlfn.SWITCH(_xlfn.RANK.EQ($T8,($J8,$O8,$T8,$Y8)),1,15,2,5),1,_xlfn.SWITCH(_xlfn.RANK.EQ($T8,($J8,$O8,$T8,$Y8)),1,7,2,2,3,1),0,0)))</f>
        <v/>
      </c>
      <c r="AC8" s="35" t="str">
        <f>IF($Y8="","",ROUND(($Y8-$Y$3)/1000,1)+IF($Y8&lt;30000,-10,_xlfn.SWITCH(FREQUENCY(($J8,$O8,$T8,$Y8),29900),3,30,2,_xlfn.SWITCH(_xlfn.RANK.EQ($Y8,($J8,$O8,$T8,$Y8)),1,15,2,5),1,_xlfn.SWITCH(_xlfn.RANK.EQ($Y8,($J8,$O8,$T8,$Y8)),1,7,2,2,3,1),0,0)))</f>
        <v/>
      </c>
    </row>
    <row r="9" spans="1:29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7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8"/>
      <c r="V9" s="9"/>
      <c r="W9" s="9"/>
      <c r="X9" s="28"/>
      <c r="Y9" s="21" t="str">
        <f t="shared" si="4"/>
        <v/>
      </c>
      <c r="Z9" s="33" t="str">
        <f>IF($J9="","",ROUND(($J9-$J$3)/1000,1)+IF($J9&lt;30000,-10,_xlfn.SWITCH(FREQUENCY(($J9,$O9,$T9,$Y9),29900),3,30,2,_xlfn.SWITCH(_xlfn.RANK.EQ($J9,($J9,$O9,$T9,$Y9)),1,15,2,5),1,_xlfn.SWITCH(_xlfn.RANK.EQ($J9,($J9,$O9,$T9,$Y9)),1,7,2,2,3,1),0,0)))</f>
        <v/>
      </c>
      <c r="AA9" s="34" t="str">
        <f>IF($O9="","",ROUND(($O9-$O$3)/1000,1)+IF($O9&lt;30000,-10,_xlfn.SWITCH(FREQUENCY(($J9,$O9,$T9,$Y9),29900),3,30,2,_xlfn.SWITCH(_xlfn.RANK.EQ($O9,($J9,$O9,$T9,$Y9)),1,15,2,5),1,_xlfn.SWITCH(_xlfn.RANK.EQ($O9,($J9,$O9,$T9,$Y9)),1,7,2,2,3,1),0,0)))</f>
        <v/>
      </c>
      <c r="AB9" s="34" t="str">
        <f>IF($T9="","",ROUND(($T9-$T$3)/1000,1)+IF($T9&lt;30000,-10,_xlfn.SWITCH(FREQUENCY(($J9,$O9,$T9,$Y9),29900),3,30,2,_xlfn.SWITCH(_xlfn.RANK.EQ($T9,($J9,$O9,$T9,$Y9)),1,15,2,5),1,_xlfn.SWITCH(_xlfn.RANK.EQ($T9,($J9,$O9,$T9,$Y9)),1,7,2,2,3,1),0,0)))</f>
        <v/>
      </c>
      <c r="AC9" s="35" t="str">
        <f>IF($Y9="","",ROUND(($Y9-$Y$3)/1000,1)+IF($Y9&lt;30000,-10,_xlfn.SWITCH(FREQUENCY(($J9,$O9,$T9,$Y9),29900),3,30,2,_xlfn.SWITCH(_xlfn.RANK.EQ($Y9,($J9,$O9,$T9,$Y9)),1,15,2,5),1,_xlfn.SWITCH(_xlfn.RANK.EQ($Y9,($J9,$O9,$T9,$Y9)),1,7,2,2,3,1),0,0)))</f>
        <v/>
      </c>
    </row>
    <row r="10" spans="1:29" x14ac:dyDescent="0.4">
      <c r="A10" s="13" t="str">
        <f>IF($E10="","",IF(AND(B9=4,B10=1),_xlfn.SWITCH(A9,"東","南","南","西","西","北","北","東"),A9))</f>
        <v/>
      </c>
      <c r="B10" s="18" t="str">
        <f t="shared" si="5"/>
        <v/>
      </c>
      <c r="C10" s="18" t="str">
        <f t="shared" si="6"/>
        <v/>
      </c>
      <c r="D10" s="18" t="str">
        <f t="shared" si="7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8"/>
      <c r="V10" s="9"/>
      <c r="W10" s="9"/>
      <c r="X10" s="28"/>
      <c r="Y10" s="21" t="str">
        <f t="shared" si="4"/>
        <v/>
      </c>
      <c r="Z10" s="33" t="str">
        <f>IF($J10="","",ROUND(($J10-$J$3)/1000,1)+IF($J10&lt;30000,-10,_xlfn.SWITCH(FREQUENCY(($J10,$O10,$T10,$Y10),29900),3,30,2,_xlfn.SWITCH(_xlfn.RANK.EQ($J10,($J10,$O10,$T10,$Y10)),1,15,2,5),1,_xlfn.SWITCH(_xlfn.RANK.EQ($J10,($J10,$O10,$T10,$Y10)),1,7,2,2,3,1),0,0)))</f>
        <v/>
      </c>
      <c r="AA10" s="34" t="str">
        <f>IF($O10="","",ROUND(($O10-$O$3)/1000,1)+IF($O10&lt;30000,-10,_xlfn.SWITCH(FREQUENCY(($J10,$O10,$T10,$Y10),29900),3,30,2,_xlfn.SWITCH(_xlfn.RANK.EQ($O10,($J10,$O10,$T10,$Y10)),1,15,2,5),1,_xlfn.SWITCH(_xlfn.RANK.EQ($O10,($J10,$O10,$T10,$Y10)),1,7,2,2,3,1),0,0)))</f>
        <v/>
      </c>
      <c r="AB10" s="34" t="str">
        <f>IF($T10="","",ROUND(($T10-$T$3)/1000,1)+IF($T10&lt;30000,-10,_xlfn.SWITCH(FREQUENCY(($J10,$O10,$T10,$Y10),29900),3,30,2,_xlfn.SWITCH(_xlfn.RANK.EQ($T10,($J10,$O10,$T10,$Y10)),1,15,2,5),1,_xlfn.SWITCH(_xlfn.RANK.EQ($T10,($J10,$O10,$T10,$Y10)),1,7,2,2,3,1),0,0)))</f>
        <v/>
      </c>
      <c r="AC10" s="35" t="str">
        <f>IF($Y10="","",ROUND(($Y10-$Y$3)/1000,1)+IF($Y10&lt;30000,-10,_xlfn.SWITCH(FREQUENCY(($J10,$O10,$T10,$Y10),29900),3,30,2,_xlfn.SWITCH(_xlfn.RANK.EQ($Y10,($J10,$O10,$T10,$Y10)),1,15,2,5),1,_xlfn.SWITCH(_xlfn.RANK.EQ($Y10,($J10,$O10,$T10,$Y10)),1,7,2,2,3,1),0,0)))</f>
        <v/>
      </c>
    </row>
    <row r="11" spans="1:29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IF($J11="","",ROUND(($J11-$J$3)/1000,1)+IF($J11&lt;30000,-10,_xlfn.SWITCH(FREQUENCY(($J11,$O11,$T11,$Y11),29900),3,30,2,_xlfn.SWITCH(_xlfn.RANK.EQ($J11,($J11,$O11,$T11,$Y11)),1,15,2,5),1,_xlfn.SWITCH(_xlfn.RANK.EQ($J11,($J11,$O11,$T11,$Y11)),1,7,2,2,3,1),0,0)))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IF($O11="","",ROUND(($O11-$O$3)/1000,1)+IF($O11&lt;30000,-10,_xlfn.SWITCH(FREQUENCY(($J11,$O11,$T11,$Y11),29900),3,30,2,_xlfn.SWITCH(_xlfn.RANK.EQ($O11,($J11,$O11,$T11,$Y11)),1,15,2,5),1,_xlfn.SWITCH(_xlfn.RANK.EQ($O11,($J11,$O11,$T11,$Y11)),1,7,2,2,3,1),0,0)))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IF($T11="","",ROUND(($T11-$T$3)/1000,1)+IF($T11&lt;30000,-10,_xlfn.SWITCH(FREQUENCY(($J11,$O11,$T11,$Y11),29900),3,30,2,_xlfn.SWITCH(_xlfn.RANK.EQ($T11,($J11,$O11,$T11,$Y11)),1,15,2,5),1,_xlfn.SWITCH(_xlfn.RANK.EQ($T11,($J11,$O11,$T11,$Y11)),1,7,2,2,3,1),0,0)))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IF($Y11="","",ROUND(($Y11-$Y$3)/1000,1)+IF($Y11&lt;30000,-10,_xlfn.SWITCH(FREQUENCY(($J11,$O11,$T11,$Y11),29900),3,30,2,_xlfn.SWITCH(_xlfn.RANK.EQ($Y11,($J11,$O11,$T11,$Y11)),1,15,2,5),1,_xlfn.SWITCH(_xlfn.RANK.EQ($Y11,($J11,$O11,$T11,$Y11)),1,7,2,2,3,1),0,0)))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IF($J12="","",ROUND(($J12-$J$3)/1000,1)+IF($J12&lt;30000,-10,_xlfn.SWITCH(FREQUENCY(($J12,$O12,$T12,$Y12),29900),3,30,2,_xlfn.SWITCH(_xlfn.RANK.EQ($J12,($J12,$O12,$T12,$Y12)),1,15,2,5),1,_xlfn.SWITCH(_xlfn.RANK.EQ($J12,($J12,$O12,$T12,$Y12)),1,7,2,2,3,1),0,0)))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IF($O12="","",ROUND(($O12-$O$3)/1000,1)+IF($O12&lt;30000,-10,_xlfn.SWITCH(FREQUENCY(($J12,$O12,$T12,$Y12),29900),3,30,2,_xlfn.SWITCH(_xlfn.RANK.EQ($O12,($J12,$O12,$T12,$Y12)),1,15,2,5),1,_xlfn.SWITCH(_xlfn.RANK.EQ($O12,($J12,$O12,$T12,$Y12)),1,7,2,2,3,1),0,0)))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IF($T12="","",ROUND(($T12-$T$3)/1000,1)+IF($T12&lt;30000,-10,_xlfn.SWITCH(FREQUENCY(($J12,$O12,$T12,$Y12),29900),3,30,2,_xlfn.SWITCH(_xlfn.RANK.EQ($T12,($J12,$O12,$T12,$Y12)),1,15,2,5),1,_xlfn.SWITCH(_xlfn.RANK.EQ($T12,($J12,$O12,$T12,$Y12)),1,7,2,2,3,1),0,0)))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IF($Y12="","",ROUND(($Y12-$Y$3)/1000,1)+IF($Y12&lt;30000,-10,_xlfn.SWITCH(FREQUENCY(($J12,$O12,$T12,$Y12),29900),3,30,2,_xlfn.SWITCH(_xlfn.RANK.EQ($Y12,($J12,$O12,$T12,$Y12)),1,15,2,5),1,_xlfn.SWITCH(_xlfn.RANK.EQ($Y12,($J12,$O12,$T12,$Y12)),1,7,2,2,3,1),0,0)))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IF($J13="","",ROUND(($J13-$J$3)/1000,1)+IF($J13&lt;30000,-10,_xlfn.SWITCH(FREQUENCY(($J13,$O13,$T13,$Y13),29900),3,30,2,_xlfn.SWITCH(_xlfn.RANK.EQ($J13,($J13,$O13,$T13,$Y13)),1,15,2,5),1,_xlfn.SWITCH(_xlfn.RANK.EQ($J13,($J13,$O13,$T13,$Y13)),1,7,2,2,3,1),0,0)))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IF($O13="","",ROUND(($O13-$O$3)/1000,1)+IF($O13&lt;30000,-10,_xlfn.SWITCH(FREQUENCY(($J13,$O13,$T13,$Y13),29900),3,30,2,_xlfn.SWITCH(_xlfn.RANK.EQ($O13,($J13,$O13,$T13,$Y13)),1,15,2,5),1,_xlfn.SWITCH(_xlfn.RANK.EQ($O13,($J13,$O13,$T13,$Y13)),1,7,2,2,3,1),0,0)))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IF($T13="","",ROUND(($T13-$T$3)/1000,1)+IF($T13&lt;30000,-10,_xlfn.SWITCH(FREQUENCY(($J13,$O13,$T13,$Y13),29900),3,30,2,_xlfn.SWITCH(_xlfn.RANK.EQ($T13,($J13,$O13,$T13,$Y13)),1,15,2,5),1,_xlfn.SWITCH(_xlfn.RANK.EQ($T13,($J13,$O13,$T13,$Y13)),1,7,2,2,3,1),0,0)))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IF($Y13="","",ROUND(($Y13-$Y$3)/1000,1)+IF($Y13&lt;30000,-10,_xlfn.SWITCH(FREQUENCY(($J13,$O13,$T13,$Y13),29900),3,30,2,_xlfn.SWITCH(_xlfn.RANK.EQ($Y13,($J13,$O13,$T13,$Y13)),1,15,2,5),1,_xlfn.SWITCH(_xlfn.RANK.EQ($Y13,($J13,$O13,$T13,$Y13)),1,7,2,2,3,1),0,0)))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IF($J14="","",ROUND(($J14-$J$3)/1000,1)+IF($J14&lt;30000,-10,_xlfn.SWITCH(FREQUENCY(($J14,$O14,$T14,$Y14),29900),3,30,2,_xlfn.SWITCH(_xlfn.RANK.EQ($J14,($J14,$O14,$T14,$Y14)),1,15,2,5),1,_xlfn.SWITCH(_xlfn.RANK.EQ($J14,($J14,$O14,$T14,$Y14)),1,7,2,2,3,1),0,0)))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IF($O14="","",ROUND(($O14-$O$3)/1000,1)+IF($O14&lt;30000,-10,_xlfn.SWITCH(FREQUENCY(($J14,$O14,$T14,$Y14),29900),3,30,2,_xlfn.SWITCH(_xlfn.RANK.EQ($O14,($J14,$O14,$T14,$Y14)),1,15,2,5),1,_xlfn.SWITCH(_xlfn.RANK.EQ($O14,($J14,$O14,$T14,$Y14)),1,7,2,2,3,1),0,0)))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IF($T14="","",ROUND(($T14-$T$3)/1000,1)+IF($T14&lt;30000,-10,_xlfn.SWITCH(FREQUENCY(($J14,$O14,$T14,$Y14),29900),3,30,2,_xlfn.SWITCH(_xlfn.RANK.EQ($T14,($J14,$O14,$T14,$Y14)),1,15,2,5),1,_xlfn.SWITCH(_xlfn.RANK.EQ($T14,($J14,$O14,$T14,$Y14)),1,7,2,2,3,1),0,0)))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IF($Y14="","",ROUND(($Y14-$Y$3)/1000,1)+IF($Y14&lt;30000,-10,_xlfn.SWITCH(FREQUENCY(($J14,$O14,$T14,$Y14),29900),3,30,2,_xlfn.SWITCH(_xlfn.RANK.EQ($Y14,($J14,$O14,$T14,$Y14)),1,15,2,5),1,_xlfn.SWITCH(_xlfn.RANK.EQ($Y14,($J14,$O14,$T14,$Y14)),1,7,2,2,3,1),0,0)))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IF($J15="","",ROUND(($J15-$J$3)/1000,1)+IF($J15&lt;30000,-10,_xlfn.SWITCH(FREQUENCY(($J15,$O15,$T15,$Y15),29900),3,30,2,_xlfn.SWITCH(_xlfn.RANK.EQ($J15,($J15,$O15,$T15,$Y15)),1,15,2,5),1,_xlfn.SWITCH(_xlfn.RANK.EQ($J15,($J15,$O15,$T15,$Y15)),1,7,2,2,3,1),0,0)))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IF($O15="","",ROUND(($O15-$O$3)/1000,1)+IF($O15&lt;30000,-10,_xlfn.SWITCH(FREQUENCY(($J15,$O15,$T15,$Y15),29900),3,30,2,_xlfn.SWITCH(_xlfn.RANK.EQ($O15,($J15,$O15,$T15,$Y15)),1,15,2,5),1,_xlfn.SWITCH(_xlfn.RANK.EQ($O15,($J15,$O15,$T15,$Y15)),1,7,2,2,3,1),0,0)))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IF($T15="","",ROUND(($T15-$T$3)/1000,1)+IF($T15&lt;30000,-10,_xlfn.SWITCH(FREQUENCY(($J15,$O15,$T15,$Y15),29900),3,30,2,_xlfn.SWITCH(_xlfn.RANK.EQ($T15,($J15,$O15,$T15,$Y15)),1,15,2,5),1,_xlfn.SWITCH(_xlfn.RANK.EQ($T15,($J15,$O15,$T15,$Y15)),1,7,2,2,3,1),0,0)))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IF($Y15="","",ROUND(($Y15-$Y$3)/1000,1)+IF($Y15&lt;30000,-10,_xlfn.SWITCH(FREQUENCY(($J15,$O15,$T15,$Y15),29900),3,30,2,_xlfn.SWITCH(_xlfn.RANK.EQ($Y15,($J15,$O15,$T15,$Y15)),1,15,2,5),1,_xlfn.SWITCH(_xlfn.RANK.EQ($Y15,($J15,$O15,$T15,$Y15)),1,7,2,2,3,1),0,0)))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IF($J16="","",ROUND(($J16-$J$3)/1000,1)+IF($J16&lt;30000,-10,_xlfn.SWITCH(FREQUENCY(($J16,$O16,$T16,$Y16),29900),3,30,2,_xlfn.SWITCH(_xlfn.RANK.EQ($J16,($J16,$O16,$T16,$Y16)),1,15,2,5),1,_xlfn.SWITCH(_xlfn.RANK.EQ($J16,($J16,$O16,$T16,$Y16)),1,7,2,2,3,1),0,0)))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IF($O16="","",ROUND(($O16-$O$3)/1000,1)+IF($O16&lt;30000,-10,_xlfn.SWITCH(FREQUENCY(($J16,$O16,$T16,$Y16),29900),3,30,2,_xlfn.SWITCH(_xlfn.RANK.EQ($O16,($J16,$O16,$T16,$Y16)),1,15,2,5),1,_xlfn.SWITCH(_xlfn.RANK.EQ($O16,($J16,$O16,$T16,$Y16)),1,7,2,2,3,1),0,0)))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IF($T16="","",ROUND(($T16-$T$3)/1000,1)+IF($T16&lt;30000,-10,_xlfn.SWITCH(FREQUENCY(($J16,$O16,$T16,$Y16),29900),3,30,2,_xlfn.SWITCH(_xlfn.RANK.EQ($T16,($J16,$O16,$T16,$Y16)),1,15,2,5),1,_xlfn.SWITCH(_xlfn.RANK.EQ($T16,($J16,$O16,$T16,$Y16)),1,7,2,2,3,1),0,0)))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IF($Y16="","",ROUND(($Y16-$Y$3)/1000,1)+IF($Y16&lt;30000,-10,_xlfn.SWITCH(FREQUENCY(($J16,$O16,$T16,$Y16),29900),3,30,2,_xlfn.SWITCH(_xlfn.RANK.EQ($Y16,($J16,$O16,$T16,$Y16)),1,15,2,5),1,_xlfn.SWITCH(_xlfn.RANK.EQ($Y16,($J16,$O16,$T16,$Y16)),1,7,2,2,3,1),0,0)))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IF($J17="","",ROUND(($J17-$J$3)/1000,1)+IF($J17&lt;30000,-10,_xlfn.SWITCH(FREQUENCY(($J17,$O17,$T17,$Y17),29900),3,30,2,_xlfn.SWITCH(_xlfn.RANK.EQ($J17,($J17,$O17,$T17,$Y17)),1,15,2,5),1,_xlfn.SWITCH(_xlfn.RANK.EQ($J17,($J17,$O17,$T17,$Y17)),1,7,2,2,3,1),0,0)))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IF($O17="","",ROUND(($O17-$O$3)/1000,1)+IF($O17&lt;30000,-10,_xlfn.SWITCH(FREQUENCY(($J17,$O17,$T17,$Y17),29900),3,30,2,_xlfn.SWITCH(_xlfn.RANK.EQ($O17,($J17,$O17,$T17,$Y17)),1,15,2,5),1,_xlfn.SWITCH(_xlfn.RANK.EQ($O17,($J17,$O17,$T17,$Y17)),1,7,2,2,3,1),0,0)))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IF($T17="","",ROUND(($T17-$T$3)/1000,1)+IF($T17&lt;30000,-10,_xlfn.SWITCH(FREQUENCY(($J17,$O17,$T17,$Y17),29900),3,30,2,_xlfn.SWITCH(_xlfn.RANK.EQ($T17,($J17,$O17,$T17,$Y17)),1,15,2,5),1,_xlfn.SWITCH(_xlfn.RANK.EQ($T17,($J17,$O17,$T17,$Y17)),1,7,2,2,3,1),0,0)))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IF($Y17="","",ROUND(($Y17-$Y$3)/1000,1)+IF($Y17&lt;30000,-10,_xlfn.SWITCH(FREQUENCY(($J17,$O17,$T17,$Y17),29900),3,30,2,_xlfn.SWITCH(_xlfn.RANK.EQ($Y17,($J17,$O17,$T17,$Y17)),1,15,2,5),1,_xlfn.SWITCH(_xlfn.RANK.EQ($Y17,($J17,$O17,$T17,$Y17)),1,7,2,2,3,1),0,0)))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IF($J18="","",ROUND(($J18-$J$3)/1000,1)+IF($J18&lt;30000,-10,_xlfn.SWITCH(FREQUENCY(($J18,$O18,$T18,$Y18),29900),3,30,2,_xlfn.SWITCH(_xlfn.RANK.EQ($J18,($J18,$O18,$T18,$Y18)),1,15,2,5),1,_xlfn.SWITCH(_xlfn.RANK.EQ($J18,($J18,$O18,$T18,$Y18)),1,7,2,2,3,1),0,0)))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IF($O18="","",ROUND(($O18-$O$3)/1000,1)+IF($O18&lt;30000,-10,_xlfn.SWITCH(FREQUENCY(($J18,$O18,$T18,$Y18),29900),3,30,2,_xlfn.SWITCH(_xlfn.RANK.EQ($O18,($J18,$O18,$T18,$Y18)),1,15,2,5),1,_xlfn.SWITCH(_xlfn.RANK.EQ($O18,($J18,$O18,$T18,$Y18)),1,7,2,2,3,1),0,0)))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IF($T18="","",ROUND(($T18-$T$3)/1000,1)+IF($T18&lt;30000,-10,_xlfn.SWITCH(FREQUENCY(($J18,$O18,$T18,$Y18),29900),3,30,2,_xlfn.SWITCH(_xlfn.RANK.EQ($T18,($J18,$O18,$T18,$Y18)),1,15,2,5),1,_xlfn.SWITCH(_xlfn.RANK.EQ($T18,($J18,$O18,$T18,$Y18)),1,7,2,2,3,1),0,0)))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IF($Y18="","",ROUND(($Y18-$Y$3)/1000,1)+IF($Y18&lt;30000,-10,_xlfn.SWITCH(FREQUENCY(($J18,$O18,$T18,$Y18),29900),3,30,2,_xlfn.SWITCH(_xlfn.RANK.EQ($Y18,($J18,$O18,$T18,$Y18)),1,15,2,5),1,_xlfn.SWITCH(_xlfn.RANK.EQ($Y18,($J18,$O18,$T18,$Y18)),1,7,2,2,3,1),0,0)))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IF($J19="","",ROUND(($J19-$J$3)/1000,1)+IF($J19&lt;30000,-10,_xlfn.SWITCH(FREQUENCY(($J19,$O19,$T19,$Y19),29900),3,30,2,_xlfn.SWITCH(_xlfn.RANK.EQ($J19,($J19,$O19,$T19,$Y19)),1,15,2,5),1,_xlfn.SWITCH(_xlfn.RANK.EQ($J19,($J19,$O19,$T19,$Y19)),1,7,2,2,3,1),0,0)))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IF($O19="","",ROUND(($O19-$O$3)/1000,1)+IF($O19&lt;30000,-10,_xlfn.SWITCH(FREQUENCY(($J19,$O19,$T19,$Y19),29900),3,30,2,_xlfn.SWITCH(_xlfn.RANK.EQ($O19,($J19,$O19,$T19,$Y19)),1,15,2,5),1,_xlfn.SWITCH(_xlfn.RANK.EQ($O19,($J19,$O19,$T19,$Y19)),1,7,2,2,3,1),0,0)))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IF($T19="","",ROUND(($T19-$T$3)/1000,1)+IF($T19&lt;30000,-10,_xlfn.SWITCH(FREQUENCY(($J19,$O19,$T19,$Y19),29900),3,30,2,_xlfn.SWITCH(_xlfn.RANK.EQ($T19,($J19,$O19,$T19,$Y19)),1,15,2,5),1,_xlfn.SWITCH(_xlfn.RANK.EQ($T19,($J19,$O19,$T19,$Y19)),1,7,2,2,3,1),0,0)))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IF($Y19="","",ROUND(($Y19-$Y$3)/1000,1)+IF($Y19&lt;30000,-10,_xlfn.SWITCH(FREQUENCY(($J19,$O19,$T19,$Y19),29900),3,30,2,_xlfn.SWITCH(_xlfn.RANK.EQ($Y19,($J19,$O19,$T19,$Y19)),1,15,2,5),1,_xlfn.SWITCH(_xlfn.RANK.EQ($Y19,($J19,$O19,$T19,$Y19)),1,7,2,2,3,1),0,0)))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IF($J20="","",ROUND(($J20-$J$3)/1000,1)+IF($J20&lt;30000,-10,_xlfn.SWITCH(FREQUENCY(($J20,$O20,$T20,$Y20),29900),3,30,2,_xlfn.SWITCH(_xlfn.RANK.EQ($J20,($J20,$O20,$T20,$Y20)),1,15,2,5),1,_xlfn.SWITCH(_xlfn.RANK.EQ($J20,($J20,$O20,$T20,$Y20)),1,7,2,2,3,1),0,0)))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IF($O20="","",ROUND(($O20-$O$3)/1000,1)+IF($O20&lt;30000,-10,_xlfn.SWITCH(FREQUENCY(($J20,$O20,$T20,$Y20),29900),3,30,2,_xlfn.SWITCH(_xlfn.RANK.EQ($O20,($J20,$O20,$T20,$Y20)),1,15,2,5),1,_xlfn.SWITCH(_xlfn.RANK.EQ($O20,($J20,$O20,$T20,$Y20)),1,7,2,2,3,1),0,0)))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IF($T20="","",ROUND(($T20-$T$3)/1000,1)+IF($T20&lt;30000,-10,_xlfn.SWITCH(FREQUENCY(($J20,$O20,$T20,$Y20),29900),3,30,2,_xlfn.SWITCH(_xlfn.RANK.EQ($T20,($J20,$O20,$T20,$Y20)),1,15,2,5),1,_xlfn.SWITCH(_xlfn.RANK.EQ($T20,($J20,$O20,$T20,$Y20)),1,7,2,2,3,1),0,0)))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IF($Y20="","",ROUND(($Y20-$Y$3)/1000,1)+IF($Y20&lt;30000,-10,_xlfn.SWITCH(FREQUENCY(($J20,$O20,$T20,$Y20),29900),3,30,2,_xlfn.SWITCH(_xlfn.RANK.EQ($Y20,($J20,$O20,$T20,$Y20)),1,15,2,5),1,_xlfn.SWITCH(_xlfn.RANK.EQ($Y20,($J20,$O20,$T20,$Y20)),1,7,2,2,3,1),0,0)))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IF($J21="","",ROUND(($J21-$J$3)/1000,1)+IF($J21&lt;30000,-10,_xlfn.SWITCH(FREQUENCY(($J21,$O21,$T21,$Y21),29900),3,30,2,_xlfn.SWITCH(_xlfn.RANK.EQ($J21,($J21,$O21,$T21,$Y21)),1,15,2,5),1,_xlfn.SWITCH(_xlfn.RANK.EQ($J21,($J21,$O21,$T21,$Y21)),1,7,2,2,3,1),0,0)))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IF($O21="","",ROUND(($O21-$O$3)/1000,1)+IF($O21&lt;30000,-10,_xlfn.SWITCH(FREQUENCY(($J21,$O21,$T21,$Y21),29900),3,30,2,_xlfn.SWITCH(_xlfn.RANK.EQ($O21,($J21,$O21,$T21,$Y21)),1,15,2,5),1,_xlfn.SWITCH(_xlfn.RANK.EQ($O21,($J21,$O21,$T21,$Y21)),1,7,2,2,3,1),0,0)))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IF($T21="","",ROUND(($T21-$T$3)/1000,1)+IF($T21&lt;30000,-10,_xlfn.SWITCH(FREQUENCY(($J21,$O21,$T21,$Y21),29900),3,30,2,_xlfn.SWITCH(_xlfn.RANK.EQ($T21,($J21,$O21,$T21,$Y21)),1,15,2,5),1,_xlfn.SWITCH(_xlfn.RANK.EQ($T21,($J21,$O21,$T21,$Y21)),1,7,2,2,3,1),0,0)))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IF($Y21="","",ROUND(($Y21-$Y$3)/1000,1)+IF($Y21&lt;30000,-10,_xlfn.SWITCH(FREQUENCY(($J21,$O21,$T21,$Y21),29900),3,30,2,_xlfn.SWITCH(_xlfn.RANK.EQ($Y21,($J21,$O21,$T21,$Y21)),1,15,2,5),1,_xlfn.SWITCH(_xlfn.RANK.EQ($Y21,($J21,$O21,$T21,$Y21)),1,7,2,2,3,1),0,0)))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IF($J22="","",ROUND(($J22-$J$3)/1000,1)+IF($J22&lt;30000,-10,_xlfn.SWITCH(FREQUENCY(($J22,$O22,$T22,$Y22),29900),3,30,2,_xlfn.SWITCH(_xlfn.RANK.EQ($J22,($J22,$O22,$T22,$Y22)),1,15,2,5),1,_xlfn.SWITCH(_xlfn.RANK.EQ($J22,($J22,$O22,$T22,$Y22)),1,7,2,2,3,1),0,0)))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IF($O22="","",ROUND(($O22-$O$3)/1000,1)+IF($O22&lt;30000,-10,_xlfn.SWITCH(FREQUENCY(($J22,$O22,$T22,$Y22),29900),3,30,2,_xlfn.SWITCH(_xlfn.RANK.EQ($O22,($J22,$O22,$T22,$Y22)),1,15,2,5),1,_xlfn.SWITCH(_xlfn.RANK.EQ($O22,($J22,$O22,$T22,$Y22)),1,7,2,2,3,1),0,0)))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IF($T22="","",ROUND(($T22-$T$3)/1000,1)+IF($T22&lt;30000,-10,_xlfn.SWITCH(FREQUENCY(($J22,$O22,$T22,$Y22),29900),3,30,2,_xlfn.SWITCH(_xlfn.RANK.EQ($T22,($J22,$O22,$T22,$Y22)),1,15,2,5),1,_xlfn.SWITCH(_xlfn.RANK.EQ($T22,($J22,$O22,$T22,$Y22)),1,7,2,2,3,1),0,0)))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IF($Y22="","",ROUND(($Y22-$Y$3)/1000,1)+IF($Y22&lt;30000,-10,_xlfn.SWITCH(FREQUENCY(($J22,$O22,$T22,$Y22),29900),3,30,2,_xlfn.SWITCH(_xlfn.RANK.EQ($Y22,($J22,$O22,$T22,$Y22)),1,15,2,5),1,_xlfn.SWITCH(_xlfn.RANK.EQ($Y22,($J22,$O22,$T22,$Y22)),1,7,2,2,3,1),0,0)))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IF($J23="","",ROUND(($J23-$J$3)/1000,1)+IF($J23&lt;30000,-10,_xlfn.SWITCH(FREQUENCY(($J23,$O23,$T23,$Y23),29900),3,30,2,_xlfn.SWITCH(_xlfn.RANK.EQ($J23,($J23,$O23,$T23,$Y23)),1,15,2,5),1,_xlfn.SWITCH(_xlfn.RANK.EQ($J23,($J23,$O23,$T23,$Y23)),1,7,2,2,3,1),0,0)))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IF($O23="","",ROUND(($O23-$O$3)/1000,1)+IF($O23&lt;30000,-10,_xlfn.SWITCH(FREQUENCY(($J23,$O23,$T23,$Y23),29900),3,30,2,_xlfn.SWITCH(_xlfn.RANK.EQ($O23,($J23,$O23,$T23,$Y23)),1,15,2,5),1,_xlfn.SWITCH(_xlfn.RANK.EQ($O23,($J23,$O23,$T23,$Y23)),1,7,2,2,3,1),0,0)))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IF($T23="","",ROUND(($T23-$T$3)/1000,1)+IF($T23&lt;30000,-10,_xlfn.SWITCH(FREQUENCY(($J23,$O23,$T23,$Y23),29900),3,30,2,_xlfn.SWITCH(_xlfn.RANK.EQ($T23,($J23,$O23,$T23,$Y23)),1,15,2,5),1,_xlfn.SWITCH(_xlfn.RANK.EQ($T23,($J23,$O23,$T23,$Y23)),1,7,2,2,3,1),0,0)))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IF($Y23="","",ROUND(($Y23-$Y$3)/1000,1)+IF($Y23&lt;30000,-10,_xlfn.SWITCH(FREQUENCY(($J23,$O23,$T23,$Y23),29900),3,30,2,_xlfn.SWITCH(_xlfn.RANK.EQ($Y23,($J23,$O23,$T23,$Y23)),1,15,2,5),1,_xlfn.SWITCH(_xlfn.RANK.EQ($Y23,($J23,$O23,$T23,$Y23)),1,7,2,2,3,1),0,0)))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IF($J24="","",ROUND(($J24-$J$3)/1000,1)+IF($J24&lt;30000,-10,_xlfn.SWITCH(FREQUENCY(($J24,$O24,$T24,$Y24),29900),3,30,2,_xlfn.SWITCH(_xlfn.RANK.EQ($J24,($J24,$O24,$T24,$Y24)),1,15,2,5),1,_xlfn.SWITCH(_xlfn.RANK.EQ($J24,($J24,$O24,$T24,$Y24)),1,7,2,2,3,1),0,0)))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IF($O24="","",ROUND(($O24-$O$3)/1000,1)+IF($O24&lt;30000,-10,_xlfn.SWITCH(FREQUENCY(($J24,$O24,$T24,$Y24),29900),3,30,2,_xlfn.SWITCH(_xlfn.RANK.EQ($O24,($J24,$O24,$T24,$Y24)),1,15,2,5),1,_xlfn.SWITCH(_xlfn.RANK.EQ($O24,($J24,$O24,$T24,$Y24)),1,7,2,2,3,1),0,0)))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IF($T24="","",ROUND(($T24-$T$3)/1000,1)+IF($T24&lt;30000,-10,_xlfn.SWITCH(FREQUENCY(($J24,$O24,$T24,$Y24),29900),3,30,2,_xlfn.SWITCH(_xlfn.RANK.EQ($T24,($J24,$O24,$T24,$Y24)),1,15,2,5),1,_xlfn.SWITCH(_xlfn.RANK.EQ($T24,($J24,$O24,$T24,$Y24)),1,7,2,2,3,1),0,0)))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IF($Y24="","",ROUND(($Y24-$Y$3)/1000,1)+IF($Y24&lt;30000,-10,_xlfn.SWITCH(FREQUENCY(($J24,$O24,$T24,$Y24),29900),3,30,2,_xlfn.SWITCH(_xlfn.RANK.EQ($Y24,($J24,$O24,$T24,$Y24)),1,15,2,5),1,_xlfn.SWITCH(_xlfn.RANK.EQ($Y24,($J24,$O24,$T24,$Y24)),1,7,2,2,3,1),0,0)))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IF($J25="","",ROUND(($J25-$J$3)/1000,1)+IF($J25&lt;30000,-10,_xlfn.SWITCH(FREQUENCY(($J25,$O25,$T25,$Y25),29900),3,30,2,_xlfn.SWITCH(_xlfn.RANK.EQ($J25,($J25,$O25,$T25,$Y25)),1,15,2,5),1,_xlfn.SWITCH(_xlfn.RANK.EQ($J25,($J25,$O25,$T25,$Y25)),1,7,2,2,3,1),0,0)))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IF($O25="","",ROUND(($O25-$O$3)/1000,1)+IF($O25&lt;30000,-10,_xlfn.SWITCH(FREQUENCY(($J25,$O25,$T25,$Y25),29900),3,30,2,_xlfn.SWITCH(_xlfn.RANK.EQ($O25,($J25,$O25,$T25,$Y25)),1,15,2,5),1,_xlfn.SWITCH(_xlfn.RANK.EQ($O25,($J25,$O25,$T25,$Y25)),1,7,2,2,3,1),0,0)))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IF($T25="","",ROUND(($T25-$T$3)/1000,1)+IF($T25&lt;30000,-10,_xlfn.SWITCH(FREQUENCY(($J25,$O25,$T25,$Y25),29900),3,30,2,_xlfn.SWITCH(_xlfn.RANK.EQ($T25,($J25,$O25,$T25,$Y25)),1,15,2,5),1,_xlfn.SWITCH(_xlfn.RANK.EQ($T25,($J25,$O25,$T25,$Y25)),1,7,2,2,3,1),0,0)))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IF($Y25="","",ROUND(($Y25-$Y$3)/1000,1)+IF($Y25&lt;30000,-10,_xlfn.SWITCH(FREQUENCY(($J25,$O25,$T25,$Y25),29900),3,30,2,_xlfn.SWITCH(_xlfn.RANK.EQ($Y25,($J25,$O25,$T25,$Y25)),1,15,2,5),1,_xlfn.SWITCH(_xlfn.RANK.EQ($Y25,($J25,$O25,$T25,$Y25)),1,7,2,2,3,1),0,0)))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IF($J26="","",ROUND(($J26-$J$3)/1000,1)+IF($J26&lt;30000,-10,_xlfn.SWITCH(FREQUENCY(($J26,$O26,$T26,$Y26),29900),3,30,2,_xlfn.SWITCH(_xlfn.RANK.EQ($J26,($J26,$O26,$T26,$Y26)),1,15,2,5),1,_xlfn.SWITCH(_xlfn.RANK.EQ($J26,($J26,$O26,$T26,$Y26)),1,7,2,2,3,1),0,0)))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IF($O26="","",ROUND(($O26-$O$3)/1000,1)+IF($O26&lt;30000,-10,_xlfn.SWITCH(FREQUENCY(($J26,$O26,$T26,$Y26),29900),3,30,2,_xlfn.SWITCH(_xlfn.RANK.EQ($O26,($J26,$O26,$T26,$Y26)),1,15,2,5),1,_xlfn.SWITCH(_xlfn.RANK.EQ($O26,($J26,$O26,$T26,$Y26)),1,7,2,2,3,1),0,0)))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IF($T26="","",ROUND(($T26-$T$3)/1000,1)+IF($T26&lt;30000,-10,_xlfn.SWITCH(FREQUENCY(($J26,$O26,$T26,$Y26),29900),3,30,2,_xlfn.SWITCH(_xlfn.RANK.EQ($T26,($J26,$O26,$T26,$Y26)),1,15,2,5),1,_xlfn.SWITCH(_xlfn.RANK.EQ($T26,($J26,$O26,$T26,$Y26)),1,7,2,2,3,1),0,0)))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IF($Y26="","",ROUND(($Y26-$Y$3)/1000,1)+IF($Y26&lt;30000,-10,_xlfn.SWITCH(FREQUENCY(($J26,$O26,$T26,$Y26),29900),3,30,2,_xlfn.SWITCH(_xlfn.RANK.EQ($Y26,($J26,$O26,$T26,$Y26)),1,15,2,5),1,_xlfn.SWITCH(_xlfn.RANK.EQ($Y26,($J26,$O26,$T26,$Y26)),1,7,2,2,3,1),0,0)))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IF($J27="","",ROUND(($J27-$J$3)/1000,1)+IF($J27&lt;30000,-10,_xlfn.SWITCH(FREQUENCY(($J27,$O27,$T27,$Y27),29900),3,30,2,_xlfn.SWITCH(_xlfn.RANK.EQ($J27,($J27,$O27,$T27,$Y27)),1,15,2,5),1,_xlfn.SWITCH(_xlfn.RANK.EQ($J27,($J27,$O27,$T27,$Y27)),1,7,2,2,3,1),0,0)))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IF($O27="","",ROUND(($O27-$O$3)/1000,1)+IF($O27&lt;30000,-10,_xlfn.SWITCH(FREQUENCY(($J27,$O27,$T27,$Y27),29900),3,30,2,_xlfn.SWITCH(_xlfn.RANK.EQ($O27,($J27,$O27,$T27,$Y27)),1,15,2,5),1,_xlfn.SWITCH(_xlfn.RANK.EQ($O27,($J27,$O27,$T27,$Y27)),1,7,2,2,3,1),0,0)))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IF($T27="","",ROUND(($T27-$T$3)/1000,1)+IF($T27&lt;30000,-10,_xlfn.SWITCH(FREQUENCY(($J27,$O27,$T27,$Y27),29900),3,30,2,_xlfn.SWITCH(_xlfn.RANK.EQ($T27,($J27,$O27,$T27,$Y27)),1,15,2,5),1,_xlfn.SWITCH(_xlfn.RANK.EQ($T27,($J27,$O27,$T27,$Y27)),1,7,2,2,3,1),0,0)))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IF($Y27="","",ROUND(($Y27-$Y$3)/1000,1)+IF($Y27&lt;30000,-10,_xlfn.SWITCH(FREQUENCY(($J27,$O27,$T27,$Y27),29900),3,30,2,_xlfn.SWITCH(_xlfn.RANK.EQ($Y27,($J27,$O27,$T27,$Y27)),1,15,2,5),1,_xlfn.SWITCH(_xlfn.RANK.EQ($Y27,($J27,$O27,$T27,$Y27)),1,7,2,2,3,1),0,0)))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IF($J28="","",ROUND(($J28-$J$3)/1000,1)+IF($J28&lt;30000,-10,_xlfn.SWITCH(FREQUENCY(($J28,$O28,$T28,$Y28),29900),3,30,2,_xlfn.SWITCH(_xlfn.RANK.EQ($J28,($J28,$O28,$T28,$Y28)),1,15,2,5),1,_xlfn.SWITCH(_xlfn.RANK.EQ($J28,($J28,$O28,$T28,$Y28)),1,7,2,2,3,1),0,0)))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IF($O28="","",ROUND(($O28-$O$3)/1000,1)+IF($O28&lt;30000,-10,_xlfn.SWITCH(FREQUENCY(($J28,$O28,$T28,$Y28),29900),3,30,2,_xlfn.SWITCH(_xlfn.RANK.EQ($O28,($J28,$O28,$T28,$Y28)),1,15,2,5),1,_xlfn.SWITCH(_xlfn.RANK.EQ($O28,($J28,$O28,$T28,$Y28)),1,7,2,2,3,1),0,0)))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IF($T28="","",ROUND(($T28-$T$3)/1000,1)+IF($T28&lt;30000,-10,_xlfn.SWITCH(FREQUENCY(($J28,$O28,$T28,$Y28),29900),3,30,2,_xlfn.SWITCH(_xlfn.RANK.EQ($T28,($J28,$O28,$T28,$Y28)),1,15,2,5),1,_xlfn.SWITCH(_xlfn.RANK.EQ($T28,($J28,$O28,$T28,$Y28)),1,7,2,2,3,1),0,0)))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IF($Y28="","",ROUND(($Y28-$Y$3)/1000,1)+IF($Y28&lt;30000,-10,_xlfn.SWITCH(FREQUENCY(($J28,$O28,$T28,$Y28),29900),3,30,2,_xlfn.SWITCH(_xlfn.RANK.EQ($Y28,($J28,$O28,$T28,$Y28)),1,15,2,5),1,_xlfn.SWITCH(_xlfn.RANK.EQ($Y28,($J28,$O28,$T28,$Y28)),1,7,2,2,3,1),0,0)))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IF($J29="","",ROUND(($J29-$J$3)/1000,1)+IF($J29&lt;30000,-10,_xlfn.SWITCH(FREQUENCY(($J29,$O29,$T29,$Y29),29900),3,30,2,_xlfn.SWITCH(_xlfn.RANK.EQ($J29,($J29,$O29,$T29,$Y29)),1,15,2,5),1,_xlfn.SWITCH(_xlfn.RANK.EQ($J29,($J29,$O29,$T29,$Y29)),1,7,2,2,3,1),0,0)))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IF($O29="","",ROUND(($O29-$O$3)/1000,1)+IF($O29&lt;30000,-10,_xlfn.SWITCH(FREQUENCY(($J29,$O29,$T29,$Y29),29900),3,30,2,_xlfn.SWITCH(_xlfn.RANK.EQ($O29,($J29,$O29,$T29,$Y29)),1,15,2,5),1,_xlfn.SWITCH(_xlfn.RANK.EQ($O29,($J29,$O29,$T29,$Y29)),1,7,2,2,3,1),0,0)))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IF($T29="","",ROUND(($T29-$T$3)/1000,1)+IF($T29&lt;30000,-10,_xlfn.SWITCH(FREQUENCY(($J29,$O29,$T29,$Y29),29900),3,30,2,_xlfn.SWITCH(_xlfn.RANK.EQ($T29,($J29,$O29,$T29,$Y29)),1,15,2,5),1,_xlfn.SWITCH(_xlfn.RANK.EQ($T29,($J29,$O29,$T29,$Y29)),1,7,2,2,3,1),0,0)))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IF($Y29="","",ROUND(($Y29-$Y$3)/1000,1)+IF($Y29&lt;30000,-10,_xlfn.SWITCH(FREQUENCY(($J29,$O29,$T29,$Y29),29900),3,30,2,_xlfn.SWITCH(_xlfn.RANK.EQ($Y29,($J29,$O29,$T29,$Y29)),1,15,2,5),1,_xlfn.SWITCH(_xlfn.RANK.EQ($Y29,($J29,$O29,$T29,$Y29)),1,7,2,2,3,1),0,0)))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IF($J30="","",ROUND(($J30-$J$3)/1000,1)+IF($J30&lt;30000,-10,_xlfn.SWITCH(FREQUENCY(($J30,$O30,$T30,$Y30),29900),3,30,2,_xlfn.SWITCH(_xlfn.RANK.EQ($J30,($J30,$O30,$T30,$Y30)),1,15,2,5),1,_xlfn.SWITCH(_xlfn.RANK.EQ($J30,($J30,$O30,$T30,$Y30)),1,7,2,2,3,1),0,0)))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IF($O30="","",ROUND(($O30-$O$3)/1000,1)+IF($O30&lt;30000,-10,_xlfn.SWITCH(FREQUENCY(($J30,$O30,$T30,$Y30),29900),3,30,2,_xlfn.SWITCH(_xlfn.RANK.EQ($O30,($J30,$O30,$T30,$Y30)),1,15,2,5),1,_xlfn.SWITCH(_xlfn.RANK.EQ($O30,($J30,$O30,$T30,$Y30)),1,7,2,2,3,1),0,0)))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IF($T30="","",ROUND(($T30-$T$3)/1000,1)+IF($T30&lt;30000,-10,_xlfn.SWITCH(FREQUENCY(($J30,$O30,$T30,$Y30),29900),3,30,2,_xlfn.SWITCH(_xlfn.RANK.EQ($T30,($J30,$O30,$T30,$Y30)),1,15,2,5),1,_xlfn.SWITCH(_xlfn.RANK.EQ($T30,($J30,$O30,$T30,$Y30)),1,7,2,2,3,1),0,0)))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IF($Y30="","",ROUND(($Y30-$Y$3)/1000,1)+IF($Y30&lt;30000,-10,_xlfn.SWITCH(FREQUENCY(($J30,$O30,$T30,$Y30),29900),3,30,2,_xlfn.SWITCH(_xlfn.RANK.EQ($Y30,($J30,$O30,$T30,$Y30)),1,15,2,5),1,_xlfn.SWITCH(_xlfn.RANK.EQ($Y30,($J30,$O30,$T30,$Y30)),1,7,2,2,3,1),0,0)))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5" priority="10">
      <formula>IF(G4&lt;&gt;"",SUM($G4:$I4,$L4:$N4,$Q4:$S4,$V4:$X4)-$D4*1000+$D5*1000)</formula>
    </cfRule>
  </conditionalFormatting>
  <conditionalFormatting sqref="F1:Y1">
    <cfRule type="duplicateValues" dxfId="4" priority="2"/>
  </conditionalFormatting>
  <conditionalFormatting sqref="Z3:AC30">
    <cfRule type="expression" dxfId="3" priority="1">
      <formula>AND(Z4="",SUM($Z3:$AC3))</formula>
    </cfRule>
  </conditionalFormatting>
  <dataValidations count="2">
    <dataValidation type="list" showInputMessage="1" showErrorMessage="1" sqref="K4:K30 P4:P30 F4:F30 U4:U30" xr:uid="{F03592A3-3FE5-4C3F-B88D-367B7FE55BD4}">
      <formula1>"ロン,ツモ,放銃,ツモ支払,流局,チョンボ"</formula1>
    </dataValidation>
    <dataValidation type="list" allowBlank="1" showInputMessage="1" showErrorMessage="1" sqref="E4:E30" xr:uid="{E5FF084C-C68B-4314-BA12-9E945498CB22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27DA6-F5EA-469B-A857-27A1E6ACFE84}">
  <sheetPr codeName="Sheet9">
    <pageSetUpPr fitToPage="1"/>
  </sheetPr>
  <dimension ref="A1:AC30"/>
  <sheetViews>
    <sheetView tabSelected="1" zoomScaleNormal="100" workbookViewId="0">
      <selection activeCell="E6" sqref="E6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8" t="s">
        <v>0</v>
      </c>
      <c r="B1" s="50" t="s">
        <v>2</v>
      </c>
      <c r="C1" s="50" t="s">
        <v>1</v>
      </c>
      <c r="D1" s="50" t="s">
        <v>18</v>
      </c>
      <c r="E1" s="52" t="s">
        <v>3</v>
      </c>
      <c r="F1" s="43" t="s">
        <v>35</v>
      </c>
      <c r="G1" s="44"/>
      <c r="H1" s="44"/>
      <c r="I1" s="45"/>
      <c r="J1" s="46"/>
      <c r="K1" s="43" t="s">
        <v>37</v>
      </c>
      <c r="L1" s="44"/>
      <c r="M1" s="44"/>
      <c r="N1" s="45"/>
      <c r="O1" s="46"/>
      <c r="P1" s="43" t="s">
        <v>39</v>
      </c>
      <c r="Q1" s="44"/>
      <c r="R1" s="44"/>
      <c r="S1" s="45"/>
      <c r="T1" s="46"/>
      <c r="U1" s="43" t="s">
        <v>27</v>
      </c>
      <c r="V1" s="44"/>
      <c r="W1" s="44"/>
      <c r="X1" s="45"/>
      <c r="Y1" s="46"/>
      <c r="Z1" s="43" t="s">
        <v>6</v>
      </c>
      <c r="AA1" s="47"/>
      <c r="AB1" s="44"/>
      <c r="AC1" s="46"/>
    </row>
    <row r="2" spans="1:29" x14ac:dyDescent="0.4">
      <c r="A2" s="49"/>
      <c r="B2" s="51"/>
      <c r="C2" s="51"/>
      <c r="D2" s="51"/>
      <c r="E2" s="53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41" t="str">
        <f>$F$1</f>
        <v>矢ヶ崎</v>
      </c>
      <c r="AA2" s="42" t="str">
        <f>$K$1</f>
        <v>保谷</v>
      </c>
      <c r="AB2" s="42" t="str">
        <f>$P$1</f>
        <v>齋藤</v>
      </c>
      <c r="AC2" s="16" t="str">
        <f>$U$1</f>
        <v>小林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IF($J3="","",ROUND(($J3-$J$3)/1000,1)+IF($J3&lt;30000,-10,_xlfn.SWITCH(FREQUENCY(($J3,$O3,$T3,$Y3),29900),3,30,2,_xlfn.SWITCH(_xlfn.RANK.EQ($J3,($J3,$O3,$T3,$Y3)),1,15,2,5),1,_xlfn.SWITCH(_xlfn.RANK.EQ($J3,($J3,$O3,$T3,$Y3)),1,7,2,2,3,1),0,0)))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IF($O3="","",ROUND(($O3-$O$3)/1000,1)+IF($O3&lt;30000,-10,_xlfn.SWITCH(FREQUENCY(($J3,$O3,$T3,$Y3),29900),3,30,2,_xlfn.SWITCH(_xlfn.RANK.EQ($O3,($J3,$O3,$T3,$Y3)),1,15,2,5),1,_xlfn.SWITCH(_xlfn.RANK.EQ($O3,($J3,$O3,$T3,$Y3)),1,7,2,2,3,1),0,0)))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IF($T3="","",ROUND(($T3-$T$3)/1000,1)+IF($T3&lt;30000,-10,_xlfn.SWITCH(FREQUENCY(($J3,$O3,$T3,$Y3),29900),3,30,2,_xlfn.SWITCH(_xlfn.RANK.EQ($T3,($J3,$O3,$T3,$Y3)),1,15,2,5),1,_xlfn.SWITCH(_xlfn.RANK.EQ($T3,($J3,$O3,$T3,$Y3)),1,7,2,2,3,1),0,0)))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IF($Y3="","",ROUND(($Y3-$Y$3)/1000,1)+IF($Y3&lt;30000,-10,_xlfn.SWITCH(FREQUENCY(($J3,$O3,$T3,$Y3),29900),3,30,2,_xlfn.SWITCH(_xlfn.RANK.EQ($Y3,($J3,$O3,$T3,$Y3)),1,15,2,5),1,_xlfn.SWITCH(_xlfn.RANK.EQ($Y3,($J3,$O3,$T3,$Y3)),1,7,2,2,3,1),0,0)))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 t="s">
        <v>36</v>
      </c>
      <c r="F4" s="8" t="s">
        <v>32</v>
      </c>
      <c r="G4" s="9">
        <v>-400</v>
      </c>
      <c r="H4" s="9"/>
      <c r="I4" s="28">
        <v>0</v>
      </c>
      <c r="J4" s="21">
        <f>IF(COUNTA($F4,$K4,$P4,$U4)&gt;0,J3+SUM(G4:I4),"")</f>
        <v>29600</v>
      </c>
      <c r="K4" s="8" t="s">
        <v>32</v>
      </c>
      <c r="L4" s="9">
        <v>-700</v>
      </c>
      <c r="M4" s="9"/>
      <c r="N4" s="28">
        <v>0</v>
      </c>
      <c r="O4" s="21">
        <f>IF(COUNTA($F4,$K4,$P4,$U4)&gt;0,O3+SUM(L4:N4),"")</f>
        <v>29300</v>
      </c>
      <c r="P4" s="8" t="s">
        <v>33</v>
      </c>
      <c r="Q4" s="9">
        <v>1500</v>
      </c>
      <c r="R4" s="9"/>
      <c r="S4" s="28">
        <v>0</v>
      </c>
      <c r="T4" s="21">
        <f>IF(COUNTA($F4,$K4,$P4,$U4)&gt;0,T3+SUM(Q4:S4),"")</f>
        <v>31500</v>
      </c>
      <c r="U4" s="8" t="s">
        <v>32</v>
      </c>
      <c r="V4" s="9">
        <v>-400</v>
      </c>
      <c r="W4" s="9"/>
      <c r="X4" s="28">
        <v>0</v>
      </c>
      <c r="Y4" s="21">
        <f>IF(COUNTA($F4,$K4,$P4,$U4)&gt;0,Y3+SUM(V4:X4),"")</f>
        <v>29600</v>
      </c>
      <c r="Z4" s="33">
        <f>IF($J4="","",ROUND(($J4-$J$3)/1000,1)+IF($J4&lt;30000,-10,_xlfn.SWITCH(FREQUENCY(($J4,$O4,$T4,$Y4),29900),3,30,2,_xlfn.SWITCH(_xlfn.RANK.EQ($J4,($J4,$O4,$T4,$Y4)),1,15,2,5),1,_xlfn.SWITCH(_xlfn.RANK.EQ($J4,($J4,$O4,$T4,$Y4)),1,7,2,2,3,1),0,0)))</f>
        <v>-10.4</v>
      </c>
      <c r="AA4" s="34">
        <f>IF($O4="","",ROUND(($O4-$O$3)/1000,1)+IF($O4&lt;30000,-10,_xlfn.SWITCH(FREQUENCY(($J4,$O4,$T4,$Y4),29900),3,30,2,_xlfn.SWITCH(_xlfn.RANK.EQ($O4,($J4,$O4,$T4,$Y4)),1,15,2,5),1,_xlfn.SWITCH(_xlfn.RANK.EQ($O4,($J4,$O4,$T4,$Y4)),1,7,2,2,3,1),0,0)))</f>
        <v>-10.7</v>
      </c>
      <c r="AB4" s="34">
        <f>IF($T4="","",ROUND(($T4-$T$3)/1000,1)+IF($T4&lt;30000,-10,_xlfn.SWITCH(FREQUENCY(($J4,$O4,$T4,$Y4),29900),3,30,2,_xlfn.SWITCH(_xlfn.RANK.EQ($T4,($J4,$O4,$T4,$Y4)),1,15,2,5),1,_xlfn.SWITCH(_xlfn.RANK.EQ($T4,($J4,$O4,$T4,$Y4)),1,7,2,2,3,1),0,0)))</f>
        <v>31.5</v>
      </c>
      <c r="AC4" s="35">
        <f>IF($Y4="","",ROUND(($Y4-$Y$3)/1000,1)+IF($Y4&lt;30000,-10,_xlfn.SWITCH(FREQUENCY(($J4,$O4,$T4,$Y4),29900),3,30,2,_xlfn.SWITCH(_xlfn.RANK.EQ($Y4,($J4,$O4,$T4,$Y4)),1,15,2,5),1,_xlfn.SWITCH(_xlfn.RANK.EQ($Y4,($J4,$O4,$T4,$Y4)),1,7,2,2,3,1),0,0)))</f>
        <v>-10.4</v>
      </c>
    </row>
    <row r="5" spans="1:29" x14ac:dyDescent="0.4">
      <c r="A5" s="13" t="str">
        <f t="shared" ref="A5:A9" si="0">IF($E5="","",IF(AND(B4=4,B5=1),_xlfn.SWITCH(A4,"東","南","南","西","西","北","北","東"),A4))</f>
        <v>東</v>
      </c>
      <c r="B5" s="18">
        <f>IF($E5="","",IF($E4=$E5,B4,IF(B4=4,1,B4+1)))</f>
        <v>2</v>
      </c>
      <c r="C5" s="18">
        <f>IF($E5="","",IF($F4="チョンボ",C4,IF(OR($E4=$E5,$F4="流局"),C4+1,0)))</f>
        <v>0</v>
      </c>
      <c r="D5" s="18">
        <f>IF($E5="","",IF(OR($F4="流局",$F4="チョンボ"),D4+($H4+$M4+$R4+$W4)/-1000,0))</f>
        <v>0</v>
      </c>
      <c r="E5" s="4" t="s">
        <v>38</v>
      </c>
      <c r="F5" s="8"/>
      <c r="G5" s="9"/>
      <c r="H5" s="9"/>
      <c r="I5" s="28"/>
      <c r="J5" s="21">
        <f t="shared" ref="J5:J30" si="1">IF(COUNTA($F5,$K5,$P5,$U5)&gt;0,J4+SUM(G5:I5),"")</f>
        <v>29600</v>
      </c>
      <c r="K5" s="8" t="s">
        <v>29</v>
      </c>
      <c r="L5" s="9">
        <v>2600</v>
      </c>
      <c r="M5" s="9"/>
      <c r="N5" s="28">
        <v>0</v>
      </c>
      <c r="O5" s="21">
        <f t="shared" ref="O5:O30" si="2">IF(COUNTA($F5,$K5,$P5,$U5)&gt;0,O4+SUM(L5:N5),"")</f>
        <v>31900</v>
      </c>
      <c r="P5" s="8" t="s">
        <v>28</v>
      </c>
      <c r="Q5" s="9">
        <v>-2600</v>
      </c>
      <c r="R5" s="9"/>
      <c r="S5" s="28">
        <v>0</v>
      </c>
      <c r="T5" s="21">
        <f t="shared" ref="T5:T30" si="3">IF(COUNTA($F5,$K5,$P5,$U5)&gt;0,T4+SUM(Q5:S5),"")</f>
        <v>28900</v>
      </c>
      <c r="U5" s="8"/>
      <c r="V5" s="9"/>
      <c r="W5" s="9"/>
      <c r="X5" s="28"/>
      <c r="Y5" s="21">
        <f t="shared" ref="Y5:Y30" si="4">IF(COUNTA($F5,$K5,$P5,$U5)&gt;0,Y4+SUM(V5:X5),"")</f>
        <v>29600</v>
      </c>
      <c r="Z5" s="33">
        <f>IF($J5="","",ROUND(($J5-$J$3)/1000,1)+IF($J5&lt;30000,-10,_xlfn.SWITCH(FREQUENCY(($J5,$O5,$T5,$Y5),29900),3,30,2,_xlfn.SWITCH(_xlfn.RANK.EQ($J5,($J5,$O5,$T5,$Y5)),1,15,2,5),1,_xlfn.SWITCH(_xlfn.RANK.EQ($J5,($J5,$O5,$T5,$Y5)),1,7,2,2,3,1),0,0)))</f>
        <v>-10.4</v>
      </c>
      <c r="AA5" s="34">
        <f>IF($O5="","",ROUND(($O5-$O$3)/1000,1)+IF($O5&lt;30000,-10,_xlfn.SWITCH(FREQUENCY(($J5,$O5,$T5,$Y5),29900),3,30,2,_xlfn.SWITCH(_xlfn.RANK.EQ($O5,($J5,$O5,$T5,$Y5)),1,15,2,5),1,_xlfn.SWITCH(_xlfn.RANK.EQ($O5,($J5,$O5,$T5,$Y5)),1,7,2,2,3,1),0,0)))</f>
        <v>31.9</v>
      </c>
      <c r="AB5" s="34">
        <f>IF($T5="","",ROUND(($T5-$T$3)/1000,1)+IF($T5&lt;30000,-10,_xlfn.SWITCH(FREQUENCY(($J5,$O5,$T5,$Y5),29900),3,30,2,_xlfn.SWITCH(_xlfn.RANK.EQ($T5,($J5,$O5,$T5,$Y5)),1,15,2,5),1,_xlfn.SWITCH(_xlfn.RANK.EQ($T5,($J5,$O5,$T5,$Y5)),1,7,2,2,3,1),0,0)))</f>
        <v>-11.1</v>
      </c>
      <c r="AC5" s="35">
        <f>IF($Y5="","",ROUND(($Y5-$Y$3)/1000,1)+IF($Y5&lt;30000,-10,_xlfn.SWITCH(FREQUENCY(($J5,$O5,$T5,$Y5),29900),3,30,2,_xlfn.SWITCH(_xlfn.RANK.EQ($Y5,($J5,$O5,$T5,$Y5)),1,15,2,5),1,_xlfn.SWITCH(_xlfn.RANK.EQ($Y5,($J5,$O5,$T5,$Y5)),1,7,2,2,3,1),0,0)))</f>
        <v>-10.4</v>
      </c>
    </row>
    <row r="6" spans="1:29" x14ac:dyDescent="0.4">
      <c r="A6" s="13" t="str">
        <f t="shared" si="0"/>
        <v>東</v>
      </c>
      <c r="B6" s="18">
        <f t="shared" ref="B6:B30" si="5">IF($E6="","",IF($E5=$E6,B5,IF(B5=4,1,B5+1)))</f>
        <v>3</v>
      </c>
      <c r="C6" s="18">
        <f t="shared" ref="C6:C30" si="6">IF($E6="","",IF($F5="チョンボ",C5,IF(OR($E5=$E6,$F5="流局"),C5+1,0)))</f>
        <v>0</v>
      </c>
      <c r="D6" s="18">
        <f t="shared" ref="D6:D30" si="7">IF($E6="","",IF(OR($F5="流局",$F5="チョンボ"),D5+($H5+$M5+$R5+$W5)/-1000,0))</f>
        <v>0</v>
      </c>
      <c r="E6" s="4" t="s">
        <v>26</v>
      </c>
      <c r="F6" s="8" t="s">
        <v>29</v>
      </c>
      <c r="G6" s="9">
        <v>5200</v>
      </c>
      <c r="H6" s="9"/>
      <c r="I6" s="28">
        <v>0</v>
      </c>
      <c r="J6" s="21">
        <f t="shared" si="1"/>
        <v>34800</v>
      </c>
      <c r="K6" s="8"/>
      <c r="L6" s="9"/>
      <c r="M6" s="9"/>
      <c r="N6" s="28"/>
      <c r="O6" s="21">
        <f t="shared" si="2"/>
        <v>31900</v>
      </c>
      <c r="P6" s="8"/>
      <c r="Q6" s="9"/>
      <c r="R6" s="9"/>
      <c r="S6" s="28"/>
      <c r="T6" s="21">
        <f t="shared" si="3"/>
        <v>28900</v>
      </c>
      <c r="U6" s="8" t="s">
        <v>28</v>
      </c>
      <c r="V6" s="9">
        <v>-5200</v>
      </c>
      <c r="W6" s="9"/>
      <c r="X6" s="28">
        <v>0</v>
      </c>
      <c r="Y6" s="21">
        <f t="shared" si="4"/>
        <v>24400</v>
      </c>
      <c r="Z6" s="33">
        <f>IF($J6="","",ROUND(($J6-$J$3)/1000,1)+IF($J6&lt;30000,-10,_xlfn.SWITCH(FREQUENCY(($J6,$O6,$T6,$Y6),29900),3,30,2,_xlfn.SWITCH(_xlfn.RANK.EQ($J6,($J6,$O6,$T6,$Y6)),1,15,2,5),1,_xlfn.SWITCH(_xlfn.RANK.EQ($J6,($J6,$O6,$T6,$Y6)),1,7,2,2,3,1),0,0)))</f>
        <v>19.8</v>
      </c>
      <c r="AA6" s="34">
        <f>IF($O6="","",ROUND(($O6-$O$3)/1000,1)+IF($O6&lt;30000,-10,_xlfn.SWITCH(FREQUENCY(($J6,$O6,$T6,$Y6),29900),3,30,2,_xlfn.SWITCH(_xlfn.RANK.EQ($O6,($J6,$O6,$T6,$Y6)),1,15,2,5),1,_xlfn.SWITCH(_xlfn.RANK.EQ($O6,($J6,$O6,$T6,$Y6)),1,7,2,2,3,1),0,0)))</f>
        <v>6.9</v>
      </c>
      <c r="AB6" s="34">
        <f>IF($T6="","",ROUND(($T6-$T$3)/1000,1)+IF($T6&lt;30000,-10,_xlfn.SWITCH(FREQUENCY(($J6,$O6,$T6,$Y6),29900),3,30,2,_xlfn.SWITCH(_xlfn.RANK.EQ($T6,($J6,$O6,$T6,$Y6)),1,15,2,5),1,_xlfn.SWITCH(_xlfn.RANK.EQ($T6,($J6,$O6,$T6,$Y6)),1,7,2,2,3,1),0,0)))</f>
        <v>-11.1</v>
      </c>
      <c r="AC6" s="35">
        <f>IF($Y6="","",ROUND(($Y6-$Y$3)/1000,1)+IF($Y6&lt;30000,-10,_xlfn.SWITCH(FREQUENCY(($J6,$O6,$T6,$Y6),29900),3,30,2,_xlfn.SWITCH(_xlfn.RANK.EQ($Y6,($J6,$O6,$T6,$Y6)),1,15,2,5),1,_xlfn.SWITCH(_xlfn.RANK.EQ($Y6,($J6,$O6,$T6,$Y6)),1,7,2,2,3,1),0,0)))</f>
        <v>-15.6</v>
      </c>
    </row>
    <row r="7" spans="1:29" x14ac:dyDescent="0.4">
      <c r="A7" s="13" t="str">
        <f t="shared" si="0"/>
        <v>東</v>
      </c>
      <c r="B7" s="18">
        <f t="shared" si="5"/>
        <v>4</v>
      </c>
      <c r="C7" s="18">
        <f t="shared" si="6"/>
        <v>0</v>
      </c>
      <c r="D7" s="18">
        <f t="shared" si="7"/>
        <v>0</v>
      </c>
      <c r="E7" s="4" t="s">
        <v>34</v>
      </c>
      <c r="F7" s="8" t="s">
        <v>32</v>
      </c>
      <c r="G7" s="9">
        <v>-4000</v>
      </c>
      <c r="H7" s="9"/>
      <c r="I7" s="28">
        <v>0</v>
      </c>
      <c r="J7" s="21">
        <f t="shared" si="1"/>
        <v>30800</v>
      </c>
      <c r="K7" s="8" t="s">
        <v>32</v>
      </c>
      <c r="L7" s="9">
        <v>-2000</v>
      </c>
      <c r="M7" s="9"/>
      <c r="N7" s="28">
        <v>0</v>
      </c>
      <c r="O7" s="21">
        <f t="shared" si="2"/>
        <v>29900</v>
      </c>
      <c r="P7" s="8" t="s">
        <v>32</v>
      </c>
      <c r="Q7" s="9">
        <v>-2000</v>
      </c>
      <c r="R7" s="9"/>
      <c r="S7" s="28">
        <v>0</v>
      </c>
      <c r="T7" s="21">
        <f t="shared" si="3"/>
        <v>26900</v>
      </c>
      <c r="U7" s="8" t="s">
        <v>33</v>
      </c>
      <c r="V7" s="9">
        <v>8000</v>
      </c>
      <c r="W7" s="9"/>
      <c r="X7" s="28">
        <v>0</v>
      </c>
      <c r="Y7" s="21">
        <f t="shared" si="4"/>
        <v>32400</v>
      </c>
      <c r="Z7" s="33">
        <f>IF($J7="","",ROUND(($J7-$J$3)/1000,1)+IF($J7&lt;30000,-10,_xlfn.SWITCH(FREQUENCY(($J7,$O7,$T7,$Y7),29900),3,30,2,_xlfn.SWITCH(_xlfn.RANK.EQ($J7,($J7,$O7,$T7,$Y7)),1,15,2,5),1,_xlfn.SWITCH(_xlfn.RANK.EQ($J7,($J7,$O7,$T7,$Y7)),1,7,2,2,3,1),0,0)))</f>
        <v>5.8</v>
      </c>
      <c r="AA7" s="34">
        <f>IF($O7="","",ROUND(($O7-$O$3)/1000,1)+IF($O7&lt;30000,-10,_xlfn.SWITCH(FREQUENCY(($J7,$O7,$T7,$Y7),29900),3,30,2,_xlfn.SWITCH(_xlfn.RANK.EQ($O7,($J7,$O7,$T7,$Y7)),1,15,2,5),1,_xlfn.SWITCH(_xlfn.RANK.EQ($O7,($J7,$O7,$T7,$Y7)),1,7,2,2,3,1),0,0)))</f>
        <v>-10.1</v>
      </c>
      <c r="AB7" s="34">
        <f>IF($T7="","",ROUND(($T7-$T$3)/1000,1)+IF($T7&lt;30000,-10,_xlfn.SWITCH(FREQUENCY(($J7,$O7,$T7,$Y7),29900),3,30,2,_xlfn.SWITCH(_xlfn.RANK.EQ($T7,($J7,$O7,$T7,$Y7)),1,15,2,5),1,_xlfn.SWITCH(_xlfn.RANK.EQ($T7,($J7,$O7,$T7,$Y7)),1,7,2,2,3,1),0,0)))</f>
        <v>-13.1</v>
      </c>
      <c r="AC7" s="35">
        <f>IF($Y7="","",ROUND(($Y7-$Y$3)/1000,1)+IF($Y7&lt;30000,-10,_xlfn.SWITCH(FREQUENCY(($J7,$O7,$T7,$Y7),29900),3,30,2,_xlfn.SWITCH(_xlfn.RANK.EQ($Y7,($J7,$O7,$T7,$Y7)),1,15,2,5),1,_xlfn.SWITCH(_xlfn.RANK.EQ($Y7,($J7,$O7,$T7,$Y7)),1,7,2,2,3,1),0,0)))</f>
        <v>17.399999999999999</v>
      </c>
    </row>
    <row r="8" spans="1:29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>IF($E8="","",IF(OR($F7="流局",$F7="チョンボ"),D7+($H7+$M7+$R7+$W7)/-1000,0))</f>
        <v/>
      </c>
      <c r="E8" s="4"/>
      <c r="F8" s="8"/>
      <c r="G8" s="9"/>
      <c r="H8" s="9"/>
      <c r="I8" s="28"/>
      <c r="J8" s="21" t="str">
        <f t="shared" si="1"/>
        <v/>
      </c>
      <c r="K8" s="8"/>
      <c r="L8" s="9"/>
      <c r="M8" s="9"/>
      <c r="N8" s="28"/>
      <c r="O8" s="21" t="str">
        <f t="shared" si="2"/>
        <v/>
      </c>
      <c r="P8" s="8"/>
      <c r="Q8" s="9"/>
      <c r="R8" s="9"/>
      <c r="S8" s="28"/>
      <c r="T8" s="21" t="str">
        <f t="shared" si="3"/>
        <v/>
      </c>
      <c r="U8" s="8"/>
      <c r="V8" s="9"/>
      <c r="W8" s="9"/>
      <c r="X8" s="28"/>
      <c r="Y8" s="21" t="str">
        <f t="shared" si="4"/>
        <v/>
      </c>
      <c r="Z8" s="33" t="str">
        <f>IF($J8="","",ROUND(($J8-$J$3)/1000,1)+IF($J8&lt;30000,-10,_xlfn.SWITCH(FREQUENCY(($J8,$O8,$T8,$Y8),29900),3,30,2,_xlfn.SWITCH(_xlfn.RANK.EQ($J8,($J8,$O8,$T8,$Y8)),1,15,2,5),1,_xlfn.SWITCH(_xlfn.RANK.EQ($J8,($J8,$O8,$T8,$Y8)),1,7,2,2,3,1),0,0)))</f>
        <v/>
      </c>
      <c r="AA8" s="34" t="str">
        <f>IF($O8="","",ROUND(($O8-$O$3)/1000,1)+IF($O8&lt;30000,-10,_xlfn.SWITCH(FREQUENCY(($J8,$O8,$T8,$Y8),29900),3,30,2,_xlfn.SWITCH(_xlfn.RANK.EQ($O8,($J8,$O8,$T8,$Y8)),1,15,2,5),1,_xlfn.SWITCH(_xlfn.RANK.EQ($O8,($J8,$O8,$T8,$Y8)),1,7,2,2,3,1),0,0)))</f>
        <v/>
      </c>
      <c r="AB8" s="34" t="str">
        <f>IF($T8="","",ROUND(($T8-$T$3)/1000,1)+IF($T8&lt;30000,-10,_xlfn.SWITCH(FREQUENCY(($J8,$O8,$T8,$Y8),29900),3,30,2,_xlfn.SWITCH(_xlfn.RANK.EQ($T8,($J8,$O8,$T8,$Y8)),1,15,2,5),1,_xlfn.SWITCH(_xlfn.RANK.EQ($T8,($J8,$O8,$T8,$Y8)),1,7,2,2,3,1),0,0)))</f>
        <v/>
      </c>
      <c r="AC8" s="35" t="str">
        <f>IF($Y8="","",ROUND(($Y8-$Y$3)/1000,1)+IF($Y8&lt;30000,-10,_xlfn.SWITCH(FREQUENCY(($J8,$O8,$T8,$Y8),29900),3,30,2,_xlfn.SWITCH(_xlfn.RANK.EQ($Y8,($J8,$O8,$T8,$Y8)),1,15,2,5),1,_xlfn.SWITCH(_xlfn.RANK.EQ($Y8,($J8,$O8,$T8,$Y8)),1,7,2,2,3,1),0,0)))</f>
        <v/>
      </c>
    </row>
    <row r="9" spans="1:29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7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8"/>
      <c r="V9" s="9"/>
      <c r="W9" s="9"/>
      <c r="X9" s="28"/>
      <c r="Y9" s="21" t="str">
        <f t="shared" si="4"/>
        <v/>
      </c>
      <c r="Z9" s="33" t="str">
        <f>IF($J9="","",ROUND(($J9-$J$3)/1000,1)+IF($J9&lt;30000,-10,_xlfn.SWITCH(FREQUENCY(($J9,$O9,$T9,$Y9),29900),3,30,2,_xlfn.SWITCH(_xlfn.RANK.EQ($J9,($J9,$O9,$T9,$Y9)),1,15,2,5),1,_xlfn.SWITCH(_xlfn.RANK.EQ($J9,($J9,$O9,$T9,$Y9)),1,7,2,2,3,1),0,0)))</f>
        <v/>
      </c>
      <c r="AA9" s="34" t="str">
        <f>IF($O9="","",ROUND(($O9-$O$3)/1000,1)+IF($O9&lt;30000,-10,_xlfn.SWITCH(FREQUENCY(($J9,$O9,$T9,$Y9),29900),3,30,2,_xlfn.SWITCH(_xlfn.RANK.EQ($O9,($J9,$O9,$T9,$Y9)),1,15,2,5),1,_xlfn.SWITCH(_xlfn.RANK.EQ($O9,($J9,$O9,$T9,$Y9)),1,7,2,2,3,1),0,0)))</f>
        <v/>
      </c>
      <c r="AB9" s="34" t="str">
        <f>IF($T9="","",ROUND(($T9-$T$3)/1000,1)+IF($T9&lt;30000,-10,_xlfn.SWITCH(FREQUENCY(($J9,$O9,$T9,$Y9),29900),3,30,2,_xlfn.SWITCH(_xlfn.RANK.EQ($T9,($J9,$O9,$T9,$Y9)),1,15,2,5),1,_xlfn.SWITCH(_xlfn.RANK.EQ($T9,($J9,$O9,$T9,$Y9)),1,7,2,2,3,1),0,0)))</f>
        <v/>
      </c>
      <c r="AC9" s="35" t="str">
        <f>IF($Y9="","",ROUND(($Y9-$Y$3)/1000,1)+IF($Y9&lt;30000,-10,_xlfn.SWITCH(FREQUENCY(($J9,$O9,$T9,$Y9),29900),3,30,2,_xlfn.SWITCH(_xlfn.RANK.EQ($Y9,($J9,$O9,$T9,$Y9)),1,15,2,5),1,_xlfn.SWITCH(_xlfn.RANK.EQ($Y9,($J9,$O9,$T9,$Y9)),1,7,2,2,3,1),0,0)))</f>
        <v/>
      </c>
    </row>
    <row r="10" spans="1:29" x14ac:dyDescent="0.4">
      <c r="A10" s="13" t="str">
        <f>IF($E10="","",IF(AND(B9=4,B10=1),_xlfn.SWITCH(A9,"東","南","南","西","西","北","北","東"),A9))</f>
        <v/>
      </c>
      <c r="B10" s="18" t="str">
        <f t="shared" si="5"/>
        <v/>
      </c>
      <c r="C10" s="18" t="str">
        <f t="shared" si="6"/>
        <v/>
      </c>
      <c r="D10" s="18" t="str">
        <f t="shared" si="7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8"/>
      <c r="V10" s="9"/>
      <c r="W10" s="9"/>
      <c r="X10" s="28"/>
      <c r="Y10" s="21" t="str">
        <f t="shared" si="4"/>
        <v/>
      </c>
      <c r="Z10" s="33" t="str">
        <f>IF($J10="","",ROUND(($J10-$J$3)/1000,1)+IF($J10&lt;30000,-10,_xlfn.SWITCH(FREQUENCY(($J10,$O10,$T10,$Y10),29900),3,30,2,_xlfn.SWITCH(_xlfn.RANK.EQ($J10,($J10,$O10,$T10,$Y10)),1,15,2,5),1,_xlfn.SWITCH(_xlfn.RANK.EQ($J10,($J10,$O10,$T10,$Y10)),1,7,2,2,3,1),0,0)))</f>
        <v/>
      </c>
      <c r="AA10" s="34" t="str">
        <f>IF($O10="","",ROUND(($O10-$O$3)/1000,1)+IF($O10&lt;30000,-10,_xlfn.SWITCH(FREQUENCY(($J10,$O10,$T10,$Y10),29900),3,30,2,_xlfn.SWITCH(_xlfn.RANK.EQ($O10,($J10,$O10,$T10,$Y10)),1,15,2,5),1,_xlfn.SWITCH(_xlfn.RANK.EQ($O10,($J10,$O10,$T10,$Y10)),1,7,2,2,3,1),0,0)))</f>
        <v/>
      </c>
      <c r="AB10" s="34" t="str">
        <f>IF($T10="","",ROUND(($T10-$T$3)/1000,1)+IF($T10&lt;30000,-10,_xlfn.SWITCH(FREQUENCY(($J10,$O10,$T10,$Y10),29900),3,30,2,_xlfn.SWITCH(_xlfn.RANK.EQ($T10,($J10,$O10,$T10,$Y10)),1,15,2,5),1,_xlfn.SWITCH(_xlfn.RANK.EQ($T10,($J10,$O10,$T10,$Y10)),1,7,2,2,3,1),0,0)))</f>
        <v/>
      </c>
      <c r="AC10" s="35" t="str">
        <f>IF($Y10="","",ROUND(($Y10-$Y$3)/1000,1)+IF($Y10&lt;30000,-10,_xlfn.SWITCH(FREQUENCY(($J10,$O10,$T10,$Y10),29900),3,30,2,_xlfn.SWITCH(_xlfn.RANK.EQ($Y10,($J10,$O10,$T10,$Y10)),1,15,2,5),1,_xlfn.SWITCH(_xlfn.RANK.EQ($Y10,($J10,$O10,$T10,$Y10)),1,7,2,2,3,1),0,0)))</f>
        <v/>
      </c>
    </row>
    <row r="11" spans="1:29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IF($J11="","",ROUND(($J11-$J$3)/1000,1)+IF($J11&lt;30000,-10,_xlfn.SWITCH(FREQUENCY(($J11,$O11,$T11,$Y11),29900),3,30,2,_xlfn.SWITCH(_xlfn.RANK.EQ($J11,($J11,$O11,$T11,$Y11)),1,15,2,5),1,_xlfn.SWITCH(_xlfn.RANK.EQ($J11,($J11,$O11,$T11,$Y11)),1,7,2,2,3,1),0,0)))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IF($O11="","",ROUND(($O11-$O$3)/1000,1)+IF($O11&lt;30000,-10,_xlfn.SWITCH(FREQUENCY(($J11,$O11,$T11,$Y11),29900),3,30,2,_xlfn.SWITCH(_xlfn.RANK.EQ($O11,($J11,$O11,$T11,$Y11)),1,15,2,5),1,_xlfn.SWITCH(_xlfn.RANK.EQ($O11,($J11,$O11,$T11,$Y11)),1,7,2,2,3,1),0,0)))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IF($T11="","",ROUND(($T11-$T$3)/1000,1)+IF($T11&lt;30000,-10,_xlfn.SWITCH(FREQUENCY(($J11,$O11,$T11,$Y11),29900),3,30,2,_xlfn.SWITCH(_xlfn.RANK.EQ($T11,($J11,$O11,$T11,$Y11)),1,15,2,5),1,_xlfn.SWITCH(_xlfn.RANK.EQ($T11,($J11,$O11,$T11,$Y11)),1,7,2,2,3,1),0,0)))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IF($Y11="","",ROUND(($Y11-$Y$3)/1000,1)+IF($Y11&lt;30000,-10,_xlfn.SWITCH(FREQUENCY(($J11,$O11,$T11,$Y11),29900),3,30,2,_xlfn.SWITCH(_xlfn.RANK.EQ($Y11,($J11,$O11,$T11,$Y11)),1,15,2,5),1,_xlfn.SWITCH(_xlfn.RANK.EQ($Y11,($J11,$O11,$T11,$Y11)),1,7,2,2,3,1),0,0)))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IF($J12="","",ROUND(($J12-$J$3)/1000,1)+IF($J12&lt;30000,-10,_xlfn.SWITCH(FREQUENCY(($J12,$O12,$T12,$Y12),29900),3,30,2,_xlfn.SWITCH(_xlfn.RANK.EQ($J12,($J12,$O12,$T12,$Y12)),1,15,2,5),1,_xlfn.SWITCH(_xlfn.RANK.EQ($J12,($J12,$O12,$T12,$Y12)),1,7,2,2,3,1),0,0)))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IF($O12="","",ROUND(($O12-$O$3)/1000,1)+IF($O12&lt;30000,-10,_xlfn.SWITCH(FREQUENCY(($J12,$O12,$T12,$Y12),29900),3,30,2,_xlfn.SWITCH(_xlfn.RANK.EQ($O12,($J12,$O12,$T12,$Y12)),1,15,2,5),1,_xlfn.SWITCH(_xlfn.RANK.EQ($O12,($J12,$O12,$T12,$Y12)),1,7,2,2,3,1),0,0)))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IF($T12="","",ROUND(($T12-$T$3)/1000,1)+IF($T12&lt;30000,-10,_xlfn.SWITCH(FREQUENCY(($J12,$O12,$T12,$Y12),29900),3,30,2,_xlfn.SWITCH(_xlfn.RANK.EQ($T12,($J12,$O12,$T12,$Y12)),1,15,2,5),1,_xlfn.SWITCH(_xlfn.RANK.EQ($T12,($J12,$O12,$T12,$Y12)),1,7,2,2,3,1),0,0)))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IF($Y12="","",ROUND(($Y12-$Y$3)/1000,1)+IF($Y12&lt;30000,-10,_xlfn.SWITCH(FREQUENCY(($J12,$O12,$T12,$Y12),29900),3,30,2,_xlfn.SWITCH(_xlfn.RANK.EQ($Y12,($J12,$O12,$T12,$Y12)),1,15,2,5),1,_xlfn.SWITCH(_xlfn.RANK.EQ($Y12,($J12,$O12,$T12,$Y12)),1,7,2,2,3,1),0,0)))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IF($J13="","",ROUND(($J13-$J$3)/1000,1)+IF($J13&lt;30000,-10,_xlfn.SWITCH(FREQUENCY(($J13,$O13,$T13,$Y13),29900),3,30,2,_xlfn.SWITCH(_xlfn.RANK.EQ($J13,($J13,$O13,$T13,$Y13)),1,15,2,5),1,_xlfn.SWITCH(_xlfn.RANK.EQ($J13,($J13,$O13,$T13,$Y13)),1,7,2,2,3,1),0,0)))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IF($O13="","",ROUND(($O13-$O$3)/1000,1)+IF($O13&lt;30000,-10,_xlfn.SWITCH(FREQUENCY(($J13,$O13,$T13,$Y13),29900),3,30,2,_xlfn.SWITCH(_xlfn.RANK.EQ($O13,($J13,$O13,$T13,$Y13)),1,15,2,5),1,_xlfn.SWITCH(_xlfn.RANK.EQ($O13,($J13,$O13,$T13,$Y13)),1,7,2,2,3,1),0,0)))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IF($T13="","",ROUND(($T13-$T$3)/1000,1)+IF($T13&lt;30000,-10,_xlfn.SWITCH(FREQUENCY(($J13,$O13,$T13,$Y13),29900),3,30,2,_xlfn.SWITCH(_xlfn.RANK.EQ($T13,($J13,$O13,$T13,$Y13)),1,15,2,5),1,_xlfn.SWITCH(_xlfn.RANK.EQ($T13,($J13,$O13,$T13,$Y13)),1,7,2,2,3,1),0,0)))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IF($Y13="","",ROUND(($Y13-$Y$3)/1000,1)+IF($Y13&lt;30000,-10,_xlfn.SWITCH(FREQUENCY(($J13,$O13,$T13,$Y13),29900),3,30,2,_xlfn.SWITCH(_xlfn.RANK.EQ($Y13,($J13,$O13,$T13,$Y13)),1,15,2,5),1,_xlfn.SWITCH(_xlfn.RANK.EQ($Y13,($J13,$O13,$T13,$Y13)),1,7,2,2,3,1),0,0)))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IF($J14="","",ROUND(($J14-$J$3)/1000,1)+IF($J14&lt;30000,-10,_xlfn.SWITCH(FREQUENCY(($J14,$O14,$T14,$Y14),29900),3,30,2,_xlfn.SWITCH(_xlfn.RANK.EQ($J14,($J14,$O14,$T14,$Y14)),1,15,2,5),1,_xlfn.SWITCH(_xlfn.RANK.EQ($J14,($J14,$O14,$T14,$Y14)),1,7,2,2,3,1),0,0)))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IF($O14="","",ROUND(($O14-$O$3)/1000,1)+IF($O14&lt;30000,-10,_xlfn.SWITCH(FREQUENCY(($J14,$O14,$T14,$Y14),29900),3,30,2,_xlfn.SWITCH(_xlfn.RANK.EQ($O14,($J14,$O14,$T14,$Y14)),1,15,2,5),1,_xlfn.SWITCH(_xlfn.RANK.EQ($O14,($J14,$O14,$T14,$Y14)),1,7,2,2,3,1),0,0)))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IF($T14="","",ROUND(($T14-$T$3)/1000,1)+IF($T14&lt;30000,-10,_xlfn.SWITCH(FREQUENCY(($J14,$O14,$T14,$Y14),29900),3,30,2,_xlfn.SWITCH(_xlfn.RANK.EQ($T14,($J14,$O14,$T14,$Y14)),1,15,2,5),1,_xlfn.SWITCH(_xlfn.RANK.EQ($T14,($J14,$O14,$T14,$Y14)),1,7,2,2,3,1),0,0)))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IF($Y14="","",ROUND(($Y14-$Y$3)/1000,1)+IF($Y14&lt;30000,-10,_xlfn.SWITCH(FREQUENCY(($J14,$O14,$T14,$Y14),29900),3,30,2,_xlfn.SWITCH(_xlfn.RANK.EQ($Y14,($J14,$O14,$T14,$Y14)),1,15,2,5),1,_xlfn.SWITCH(_xlfn.RANK.EQ($Y14,($J14,$O14,$T14,$Y14)),1,7,2,2,3,1),0,0)))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IF($J15="","",ROUND(($J15-$J$3)/1000,1)+IF($J15&lt;30000,-10,_xlfn.SWITCH(FREQUENCY(($J15,$O15,$T15,$Y15),29900),3,30,2,_xlfn.SWITCH(_xlfn.RANK.EQ($J15,($J15,$O15,$T15,$Y15)),1,15,2,5),1,_xlfn.SWITCH(_xlfn.RANK.EQ($J15,($J15,$O15,$T15,$Y15)),1,7,2,2,3,1),0,0)))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IF($O15="","",ROUND(($O15-$O$3)/1000,1)+IF($O15&lt;30000,-10,_xlfn.SWITCH(FREQUENCY(($J15,$O15,$T15,$Y15),29900),3,30,2,_xlfn.SWITCH(_xlfn.RANK.EQ($O15,($J15,$O15,$T15,$Y15)),1,15,2,5),1,_xlfn.SWITCH(_xlfn.RANK.EQ($O15,($J15,$O15,$T15,$Y15)),1,7,2,2,3,1),0,0)))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IF($T15="","",ROUND(($T15-$T$3)/1000,1)+IF($T15&lt;30000,-10,_xlfn.SWITCH(FREQUENCY(($J15,$O15,$T15,$Y15),29900),3,30,2,_xlfn.SWITCH(_xlfn.RANK.EQ($T15,($J15,$O15,$T15,$Y15)),1,15,2,5),1,_xlfn.SWITCH(_xlfn.RANK.EQ($T15,($J15,$O15,$T15,$Y15)),1,7,2,2,3,1),0,0)))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IF($Y15="","",ROUND(($Y15-$Y$3)/1000,1)+IF($Y15&lt;30000,-10,_xlfn.SWITCH(FREQUENCY(($J15,$O15,$T15,$Y15),29900),3,30,2,_xlfn.SWITCH(_xlfn.RANK.EQ($Y15,($J15,$O15,$T15,$Y15)),1,15,2,5),1,_xlfn.SWITCH(_xlfn.RANK.EQ($Y15,($J15,$O15,$T15,$Y15)),1,7,2,2,3,1),0,0)))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IF($J16="","",ROUND(($J16-$J$3)/1000,1)+IF($J16&lt;30000,-10,_xlfn.SWITCH(FREQUENCY(($J16,$O16,$T16,$Y16),29900),3,30,2,_xlfn.SWITCH(_xlfn.RANK.EQ($J16,($J16,$O16,$T16,$Y16)),1,15,2,5),1,_xlfn.SWITCH(_xlfn.RANK.EQ($J16,($J16,$O16,$T16,$Y16)),1,7,2,2,3,1),0,0)))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IF($O16="","",ROUND(($O16-$O$3)/1000,1)+IF($O16&lt;30000,-10,_xlfn.SWITCH(FREQUENCY(($J16,$O16,$T16,$Y16),29900),3,30,2,_xlfn.SWITCH(_xlfn.RANK.EQ($O16,($J16,$O16,$T16,$Y16)),1,15,2,5),1,_xlfn.SWITCH(_xlfn.RANK.EQ($O16,($J16,$O16,$T16,$Y16)),1,7,2,2,3,1),0,0)))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IF($T16="","",ROUND(($T16-$T$3)/1000,1)+IF($T16&lt;30000,-10,_xlfn.SWITCH(FREQUENCY(($J16,$O16,$T16,$Y16),29900),3,30,2,_xlfn.SWITCH(_xlfn.RANK.EQ($T16,($J16,$O16,$T16,$Y16)),1,15,2,5),1,_xlfn.SWITCH(_xlfn.RANK.EQ($T16,($J16,$O16,$T16,$Y16)),1,7,2,2,3,1),0,0)))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IF($Y16="","",ROUND(($Y16-$Y$3)/1000,1)+IF($Y16&lt;30000,-10,_xlfn.SWITCH(FREQUENCY(($J16,$O16,$T16,$Y16),29900),3,30,2,_xlfn.SWITCH(_xlfn.RANK.EQ($Y16,($J16,$O16,$T16,$Y16)),1,15,2,5),1,_xlfn.SWITCH(_xlfn.RANK.EQ($Y16,($J16,$O16,$T16,$Y16)),1,7,2,2,3,1),0,0)))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IF($J17="","",ROUND(($J17-$J$3)/1000,1)+IF($J17&lt;30000,-10,_xlfn.SWITCH(FREQUENCY(($J17,$O17,$T17,$Y17),29900),3,30,2,_xlfn.SWITCH(_xlfn.RANK.EQ($J17,($J17,$O17,$T17,$Y17)),1,15,2,5),1,_xlfn.SWITCH(_xlfn.RANK.EQ($J17,($J17,$O17,$T17,$Y17)),1,7,2,2,3,1),0,0)))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IF($O17="","",ROUND(($O17-$O$3)/1000,1)+IF($O17&lt;30000,-10,_xlfn.SWITCH(FREQUENCY(($J17,$O17,$T17,$Y17),29900),3,30,2,_xlfn.SWITCH(_xlfn.RANK.EQ($O17,($J17,$O17,$T17,$Y17)),1,15,2,5),1,_xlfn.SWITCH(_xlfn.RANK.EQ($O17,($J17,$O17,$T17,$Y17)),1,7,2,2,3,1),0,0)))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IF($T17="","",ROUND(($T17-$T$3)/1000,1)+IF($T17&lt;30000,-10,_xlfn.SWITCH(FREQUENCY(($J17,$O17,$T17,$Y17),29900),3,30,2,_xlfn.SWITCH(_xlfn.RANK.EQ($T17,($J17,$O17,$T17,$Y17)),1,15,2,5),1,_xlfn.SWITCH(_xlfn.RANK.EQ($T17,($J17,$O17,$T17,$Y17)),1,7,2,2,3,1),0,0)))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IF($Y17="","",ROUND(($Y17-$Y$3)/1000,1)+IF($Y17&lt;30000,-10,_xlfn.SWITCH(FREQUENCY(($J17,$O17,$T17,$Y17),29900),3,30,2,_xlfn.SWITCH(_xlfn.RANK.EQ($Y17,($J17,$O17,$T17,$Y17)),1,15,2,5),1,_xlfn.SWITCH(_xlfn.RANK.EQ($Y17,($J17,$O17,$T17,$Y17)),1,7,2,2,3,1),0,0)))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IF($J18="","",ROUND(($J18-$J$3)/1000,1)+IF($J18&lt;30000,-10,_xlfn.SWITCH(FREQUENCY(($J18,$O18,$T18,$Y18),29900),3,30,2,_xlfn.SWITCH(_xlfn.RANK.EQ($J18,($J18,$O18,$T18,$Y18)),1,15,2,5),1,_xlfn.SWITCH(_xlfn.RANK.EQ($J18,($J18,$O18,$T18,$Y18)),1,7,2,2,3,1),0,0)))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IF($O18="","",ROUND(($O18-$O$3)/1000,1)+IF($O18&lt;30000,-10,_xlfn.SWITCH(FREQUENCY(($J18,$O18,$T18,$Y18),29900),3,30,2,_xlfn.SWITCH(_xlfn.RANK.EQ($O18,($J18,$O18,$T18,$Y18)),1,15,2,5),1,_xlfn.SWITCH(_xlfn.RANK.EQ($O18,($J18,$O18,$T18,$Y18)),1,7,2,2,3,1),0,0)))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IF($T18="","",ROUND(($T18-$T$3)/1000,1)+IF($T18&lt;30000,-10,_xlfn.SWITCH(FREQUENCY(($J18,$O18,$T18,$Y18),29900),3,30,2,_xlfn.SWITCH(_xlfn.RANK.EQ($T18,($J18,$O18,$T18,$Y18)),1,15,2,5),1,_xlfn.SWITCH(_xlfn.RANK.EQ($T18,($J18,$O18,$T18,$Y18)),1,7,2,2,3,1),0,0)))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IF($Y18="","",ROUND(($Y18-$Y$3)/1000,1)+IF($Y18&lt;30000,-10,_xlfn.SWITCH(FREQUENCY(($J18,$O18,$T18,$Y18),29900),3,30,2,_xlfn.SWITCH(_xlfn.RANK.EQ($Y18,($J18,$O18,$T18,$Y18)),1,15,2,5),1,_xlfn.SWITCH(_xlfn.RANK.EQ($Y18,($J18,$O18,$T18,$Y18)),1,7,2,2,3,1),0,0)))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IF($J19="","",ROUND(($J19-$J$3)/1000,1)+IF($J19&lt;30000,-10,_xlfn.SWITCH(FREQUENCY(($J19,$O19,$T19,$Y19),29900),3,30,2,_xlfn.SWITCH(_xlfn.RANK.EQ($J19,($J19,$O19,$T19,$Y19)),1,15,2,5),1,_xlfn.SWITCH(_xlfn.RANK.EQ($J19,($J19,$O19,$T19,$Y19)),1,7,2,2,3,1),0,0)))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IF($O19="","",ROUND(($O19-$O$3)/1000,1)+IF($O19&lt;30000,-10,_xlfn.SWITCH(FREQUENCY(($J19,$O19,$T19,$Y19),29900),3,30,2,_xlfn.SWITCH(_xlfn.RANK.EQ($O19,($J19,$O19,$T19,$Y19)),1,15,2,5),1,_xlfn.SWITCH(_xlfn.RANK.EQ($O19,($J19,$O19,$T19,$Y19)),1,7,2,2,3,1),0,0)))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IF($T19="","",ROUND(($T19-$T$3)/1000,1)+IF($T19&lt;30000,-10,_xlfn.SWITCH(FREQUENCY(($J19,$O19,$T19,$Y19),29900),3,30,2,_xlfn.SWITCH(_xlfn.RANK.EQ($T19,($J19,$O19,$T19,$Y19)),1,15,2,5),1,_xlfn.SWITCH(_xlfn.RANK.EQ($T19,($J19,$O19,$T19,$Y19)),1,7,2,2,3,1),0,0)))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IF($Y19="","",ROUND(($Y19-$Y$3)/1000,1)+IF($Y19&lt;30000,-10,_xlfn.SWITCH(FREQUENCY(($J19,$O19,$T19,$Y19),29900),3,30,2,_xlfn.SWITCH(_xlfn.RANK.EQ($Y19,($J19,$O19,$T19,$Y19)),1,15,2,5),1,_xlfn.SWITCH(_xlfn.RANK.EQ($Y19,($J19,$O19,$T19,$Y19)),1,7,2,2,3,1),0,0)))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IF($J20="","",ROUND(($J20-$J$3)/1000,1)+IF($J20&lt;30000,-10,_xlfn.SWITCH(FREQUENCY(($J20,$O20,$T20,$Y20),29900),3,30,2,_xlfn.SWITCH(_xlfn.RANK.EQ($J20,($J20,$O20,$T20,$Y20)),1,15,2,5),1,_xlfn.SWITCH(_xlfn.RANK.EQ($J20,($J20,$O20,$T20,$Y20)),1,7,2,2,3,1),0,0)))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IF($O20="","",ROUND(($O20-$O$3)/1000,1)+IF($O20&lt;30000,-10,_xlfn.SWITCH(FREQUENCY(($J20,$O20,$T20,$Y20),29900),3,30,2,_xlfn.SWITCH(_xlfn.RANK.EQ($O20,($J20,$O20,$T20,$Y20)),1,15,2,5),1,_xlfn.SWITCH(_xlfn.RANK.EQ($O20,($J20,$O20,$T20,$Y20)),1,7,2,2,3,1),0,0)))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IF($T20="","",ROUND(($T20-$T$3)/1000,1)+IF($T20&lt;30000,-10,_xlfn.SWITCH(FREQUENCY(($J20,$O20,$T20,$Y20),29900),3,30,2,_xlfn.SWITCH(_xlfn.RANK.EQ($T20,($J20,$O20,$T20,$Y20)),1,15,2,5),1,_xlfn.SWITCH(_xlfn.RANK.EQ($T20,($J20,$O20,$T20,$Y20)),1,7,2,2,3,1),0,0)))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IF($Y20="","",ROUND(($Y20-$Y$3)/1000,1)+IF($Y20&lt;30000,-10,_xlfn.SWITCH(FREQUENCY(($J20,$O20,$T20,$Y20),29900),3,30,2,_xlfn.SWITCH(_xlfn.RANK.EQ($Y20,($J20,$O20,$T20,$Y20)),1,15,2,5),1,_xlfn.SWITCH(_xlfn.RANK.EQ($Y20,($J20,$O20,$T20,$Y20)),1,7,2,2,3,1),0,0)))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IF($J21="","",ROUND(($J21-$J$3)/1000,1)+IF($J21&lt;30000,-10,_xlfn.SWITCH(FREQUENCY(($J21,$O21,$T21,$Y21),29900),3,30,2,_xlfn.SWITCH(_xlfn.RANK.EQ($J21,($J21,$O21,$T21,$Y21)),1,15,2,5),1,_xlfn.SWITCH(_xlfn.RANK.EQ($J21,($J21,$O21,$T21,$Y21)),1,7,2,2,3,1),0,0)))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IF($O21="","",ROUND(($O21-$O$3)/1000,1)+IF($O21&lt;30000,-10,_xlfn.SWITCH(FREQUENCY(($J21,$O21,$T21,$Y21),29900),3,30,2,_xlfn.SWITCH(_xlfn.RANK.EQ($O21,($J21,$O21,$T21,$Y21)),1,15,2,5),1,_xlfn.SWITCH(_xlfn.RANK.EQ($O21,($J21,$O21,$T21,$Y21)),1,7,2,2,3,1),0,0)))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IF($T21="","",ROUND(($T21-$T$3)/1000,1)+IF($T21&lt;30000,-10,_xlfn.SWITCH(FREQUENCY(($J21,$O21,$T21,$Y21),29900),3,30,2,_xlfn.SWITCH(_xlfn.RANK.EQ($T21,($J21,$O21,$T21,$Y21)),1,15,2,5),1,_xlfn.SWITCH(_xlfn.RANK.EQ($T21,($J21,$O21,$T21,$Y21)),1,7,2,2,3,1),0,0)))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IF($Y21="","",ROUND(($Y21-$Y$3)/1000,1)+IF($Y21&lt;30000,-10,_xlfn.SWITCH(FREQUENCY(($J21,$O21,$T21,$Y21),29900),3,30,2,_xlfn.SWITCH(_xlfn.RANK.EQ($Y21,($J21,$O21,$T21,$Y21)),1,15,2,5),1,_xlfn.SWITCH(_xlfn.RANK.EQ($Y21,($J21,$O21,$T21,$Y21)),1,7,2,2,3,1),0,0)))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IF($J22="","",ROUND(($J22-$J$3)/1000,1)+IF($J22&lt;30000,-10,_xlfn.SWITCH(FREQUENCY(($J22,$O22,$T22,$Y22),29900),3,30,2,_xlfn.SWITCH(_xlfn.RANK.EQ($J22,($J22,$O22,$T22,$Y22)),1,15,2,5),1,_xlfn.SWITCH(_xlfn.RANK.EQ($J22,($J22,$O22,$T22,$Y22)),1,7,2,2,3,1),0,0)))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IF($O22="","",ROUND(($O22-$O$3)/1000,1)+IF($O22&lt;30000,-10,_xlfn.SWITCH(FREQUENCY(($J22,$O22,$T22,$Y22),29900),3,30,2,_xlfn.SWITCH(_xlfn.RANK.EQ($O22,($J22,$O22,$T22,$Y22)),1,15,2,5),1,_xlfn.SWITCH(_xlfn.RANK.EQ($O22,($J22,$O22,$T22,$Y22)),1,7,2,2,3,1),0,0)))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IF($T22="","",ROUND(($T22-$T$3)/1000,1)+IF($T22&lt;30000,-10,_xlfn.SWITCH(FREQUENCY(($J22,$O22,$T22,$Y22),29900),3,30,2,_xlfn.SWITCH(_xlfn.RANK.EQ($T22,($J22,$O22,$T22,$Y22)),1,15,2,5),1,_xlfn.SWITCH(_xlfn.RANK.EQ($T22,($J22,$O22,$T22,$Y22)),1,7,2,2,3,1),0,0)))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IF($Y22="","",ROUND(($Y22-$Y$3)/1000,1)+IF($Y22&lt;30000,-10,_xlfn.SWITCH(FREQUENCY(($J22,$O22,$T22,$Y22),29900),3,30,2,_xlfn.SWITCH(_xlfn.RANK.EQ($Y22,($J22,$O22,$T22,$Y22)),1,15,2,5),1,_xlfn.SWITCH(_xlfn.RANK.EQ($Y22,($J22,$O22,$T22,$Y22)),1,7,2,2,3,1),0,0)))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IF($J23="","",ROUND(($J23-$J$3)/1000,1)+IF($J23&lt;30000,-10,_xlfn.SWITCH(FREQUENCY(($J23,$O23,$T23,$Y23),29900),3,30,2,_xlfn.SWITCH(_xlfn.RANK.EQ($J23,($J23,$O23,$T23,$Y23)),1,15,2,5),1,_xlfn.SWITCH(_xlfn.RANK.EQ($J23,($J23,$O23,$T23,$Y23)),1,7,2,2,3,1),0,0)))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IF($O23="","",ROUND(($O23-$O$3)/1000,1)+IF($O23&lt;30000,-10,_xlfn.SWITCH(FREQUENCY(($J23,$O23,$T23,$Y23),29900),3,30,2,_xlfn.SWITCH(_xlfn.RANK.EQ($O23,($J23,$O23,$T23,$Y23)),1,15,2,5),1,_xlfn.SWITCH(_xlfn.RANK.EQ($O23,($J23,$O23,$T23,$Y23)),1,7,2,2,3,1),0,0)))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IF($T23="","",ROUND(($T23-$T$3)/1000,1)+IF($T23&lt;30000,-10,_xlfn.SWITCH(FREQUENCY(($J23,$O23,$T23,$Y23),29900),3,30,2,_xlfn.SWITCH(_xlfn.RANK.EQ($T23,($J23,$O23,$T23,$Y23)),1,15,2,5),1,_xlfn.SWITCH(_xlfn.RANK.EQ($T23,($J23,$O23,$T23,$Y23)),1,7,2,2,3,1),0,0)))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IF($Y23="","",ROUND(($Y23-$Y$3)/1000,1)+IF($Y23&lt;30000,-10,_xlfn.SWITCH(FREQUENCY(($J23,$O23,$T23,$Y23),29900),3,30,2,_xlfn.SWITCH(_xlfn.RANK.EQ($Y23,($J23,$O23,$T23,$Y23)),1,15,2,5),1,_xlfn.SWITCH(_xlfn.RANK.EQ($Y23,($J23,$O23,$T23,$Y23)),1,7,2,2,3,1),0,0)))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IF($J24="","",ROUND(($J24-$J$3)/1000,1)+IF($J24&lt;30000,-10,_xlfn.SWITCH(FREQUENCY(($J24,$O24,$T24,$Y24),29900),3,30,2,_xlfn.SWITCH(_xlfn.RANK.EQ($J24,($J24,$O24,$T24,$Y24)),1,15,2,5),1,_xlfn.SWITCH(_xlfn.RANK.EQ($J24,($J24,$O24,$T24,$Y24)),1,7,2,2,3,1),0,0)))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IF($O24="","",ROUND(($O24-$O$3)/1000,1)+IF($O24&lt;30000,-10,_xlfn.SWITCH(FREQUENCY(($J24,$O24,$T24,$Y24),29900),3,30,2,_xlfn.SWITCH(_xlfn.RANK.EQ($O24,($J24,$O24,$T24,$Y24)),1,15,2,5),1,_xlfn.SWITCH(_xlfn.RANK.EQ($O24,($J24,$O24,$T24,$Y24)),1,7,2,2,3,1),0,0)))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IF($T24="","",ROUND(($T24-$T$3)/1000,1)+IF($T24&lt;30000,-10,_xlfn.SWITCH(FREQUENCY(($J24,$O24,$T24,$Y24),29900),3,30,2,_xlfn.SWITCH(_xlfn.RANK.EQ($T24,($J24,$O24,$T24,$Y24)),1,15,2,5),1,_xlfn.SWITCH(_xlfn.RANK.EQ($T24,($J24,$O24,$T24,$Y24)),1,7,2,2,3,1),0,0)))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IF($Y24="","",ROUND(($Y24-$Y$3)/1000,1)+IF($Y24&lt;30000,-10,_xlfn.SWITCH(FREQUENCY(($J24,$O24,$T24,$Y24),29900),3,30,2,_xlfn.SWITCH(_xlfn.RANK.EQ($Y24,($J24,$O24,$T24,$Y24)),1,15,2,5),1,_xlfn.SWITCH(_xlfn.RANK.EQ($Y24,($J24,$O24,$T24,$Y24)),1,7,2,2,3,1),0,0)))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IF($J25="","",ROUND(($J25-$J$3)/1000,1)+IF($J25&lt;30000,-10,_xlfn.SWITCH(FREQUENCY(($J25,$O25,$T25,$Y25),29900),3,30,2,_xlfn.SWITCH(_xlfn.RANK.EQ($J25,($J25,$O25,$T25,$Y25)),1,15,2,5),1,_xlfn.SWITCH(_xlfn.RANK.EQ($J25,($J25,$O25,$T25,$Y25)),1,7,2,2,3,1),0,0)))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IF($O25="","",ROUND(($O25-$O$3)/1000,1)+IF($O25&lt;30000,-10,_xlfn.SWITCH(FREQUENCY(($J25,$O25,$T25,$Y25),29900),3,30,2,_xlfn.SWITCH(_xlfn.RANK.EQ($O25,($J25,$O25,$T25,$Y25)),1,15,2,5),1,_xlfn.SWITCH(_xlfn.RANK.EQ($O25,($J25,$O25,$T25,$Y25)),1,7,2,2,3,1),0,0)))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IF($T25="","",ROUND(($T25-$T$3)/1000,1)+IF($T25&lt;30000,-10,_xlfn.SWITCH(FREQUENCY(($J25,$O25,$T25,$Y25),29900),3,30,2,_xlfn.SWITCH(_xlfn.RANK.EQ($T25,($J25,$O25,$T25,$Y25)),1,15,2,5),1,_xlfn.SWITCH(_xlfn.RANK.EQ($T25,($J25,$O25,$T25,$Y25)),1,7,2,2,3,1),0,0)))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IF($Y25="","",ROUND(($Y25-$Y$3)/1000,1)+IF($Y25&lt;30000,-10,_xlfn.SWITCH(FREQUENCY(($J25,$O25,$T25,$Y25),29900),3,30,2,_xlfn.SWITCH(_xlfn.RANK.EQ($Y25,($J25,$O25,$T25,$Y25)),1,15,2,5),1,_xlfn.SWITCH(_xlfn.RANK.EQ($Y25,($J25,$O25,$T25,$Y25)),1,7,2,2,3,1),0,0)))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IF($J26="","",ROUND(($J26-$J$3)/1000,1)+IF($J26&lt;30000,-10,_xlfn.SWITCH(FREQUENCY(($J26,$O26,$T26,$Y26),29900),3,30,2,_xlfn.SWITCH(_xlfn.RANK.EQ($J26,($J26,$O26,$T26,$Y26)),1,15,2,5),1,_xlfn.SWITCH(_xlfn.RANK.EQ($J26,($J26,$O26,$T26,$Y26)),1,7,2,2,3,1),0,0)))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IF($O26="","",ROUND(($O26-$O$3)/1000,1)+IF($O26&lt;30000,-10,_xlfn.SWITCH(FREQUENCY(($J26,$O26,$T26,$Y26),29900),3,30,2,_xlfn.SWITCH(_xlfn.RANK.EQ($O26,($J26,$O26,$T26,$Y26)),1,15,2,5),1,_xlfn.SWITCH(_xlfn.RANK.EQ($O26,($J26,$O26,$T26,$Y26)),1,7,2,2,3,1),0,0)))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IF($T26="","",ROUND(($T26-$T$3)/1000,1)+IF($T26&lt;30000,-10,_xlfn.SWITCH(FREQUENCY(($J26,$O26,$T26,$Y26),29900),3,30,2,_xlfn.SWITCH(_xlfn.RANK.EQ($T26,($J26,$O26,$T26,$Y26)),1,15,2,5),1,_xlfn.SWITCH(_xlfn.RANK.EQ($T26,($J26,$O26,$T26,$Y26)),1,7,2,2,3,1),0,0)))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IF($Y26="","",ROUND(($Y26-$Y$3)/1000,1)+IF($Y26&lt;30000,-10,_xlfn.SWITCH(FREQUENCY(($J26,$O26,$T26,$Y26),29900),3,30,2,_xlfn.SWITCH(_xlfn.RANK.EQ($Y26,($J26,$O26,$T26,$Y26)),1,15,2,5),1,_xlfn.SWITCH(_xlfn.RANK.EQ($Y26,($J26,$O26,$T26,$Y26)),1,7,2,2,3,1),0,0)))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IF($J27="","",ROUND(($J27-$J$3)/1000,1)+IF($J27&lt;30000,-10,_xlfn.SWITCH(FREQUENCY(($J27,$O27,$T27,$Y27),29900),3,30,2,_xlfn.SWITCH(_xlfn.RANK.EQ($J27,($J27,$O27,$T27,$Y27)),1,15,2,5),1,_xlfn.SWITCH(_xlfn.RANK.EQ($J27,($J27,$O27,$T27,$Y27)),1,7,2,2,3,1),0,0)))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IF($O27="","",ROUND(($O27-$O$3)/1000,1)+IF($O27&lt;30000,-10,_xlfn.SWITCH(FREQUENCY(($J27,$O27,$T27,$Y27),29900),3,30,2,_xlfn.SWITCH(_xlfn.RANK.EQ($O27,($J27,$O27,$T27,$Y27)),1,15,2,5),1,_xlfn.SWITCH(_xlfn.RANK.EQ($O27,($J27,$O27,$T27,$Y27)),1,7,2,2,3,1),0,0)))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IF($T27="","",ROUND(($T27-$T$3)/1000,1)+IF($T27&lt;30000,-10,_xlfn.SWITCH(FREQUENCY(($J27,$O27,$T27,$Y27),29900),3,30,2,_xlfn.SWITCH(_xlfn.RANK.EQ($T27,($J27,$O27,$T27,$Y27)),1,15,2,5),1,_xlfn.SWITCH(_xlfn.RANK.EQ($T27,($J27,$O27,$T27,$Y27)),1,7,2,2,3,1),0,0)))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IF($Y27="","",ROUND(($Y27-$Y$3)/1000,1)+IF($Y27&lt;30000,-10,_xlfn.SWITCH(FREQUENCY(($J27,$O27,$T27,$Y27),29900),3,30,2,_xlfn.SWITCH(_xlfn.RANK.EQ($Y27,($J27,$O27,$T27,$Y27)),1,15,2,5),1,_xlfn.SWITCH(_xlfn.RANK.EQ($Y27,($J27,$O27,$T27,$Y27)),1,7,2,2,3,1),0,0)))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IF($J28="","",ROUND(($J28-$J$3)/1000,1)+IF($J28&lt;30000,-10,_xlfn.SWITCH(FREQUENCY(($J28,$O28,$T28,$Y28),29900),3,30,2,_xlfn.SWITCH(_xlfn.RANK.EQ($J28,($J28,$O28,$T28,$Y28)),1,15,2,5),1,_xlfn.SWITCH(_xlfn.RANK.EQ($J28,($J28,$O28,$T28,$Y28)),1,7,2,2,3,1),0,0)))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IF($O28="","",ROUND(($O28-$O$3)/1000,1)+IF($O28&lt;30000,-10,_xlfn.SWITCH(FREQUENCY(($J28,$O28,$T28,$Y28),29900),3,30,2,_xlfn.SWITCH(_xlfn.RANK.EQ($O28,($J28,$O28,$T28,$Y28)),1,15,2,5),1,_xlfn.SWITCH(_xlfn.RANK.EQ($O28,($J28,$O28,$T28,$Y28)),1,7,2,2,3,1),0,0)))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IF($T28="","",ROUND(($T28-$T$3)/1000,1)+IF($T28&lt;30000,-10,_xlfn.SWITCH(FREQUENCY(($J28,$O28,$T28,$Y28),29900),3,30,2,_xlfn.SWITCH(_xlfn.RANK.EQ($T28,($J28,$O28,$T28,$Y28)),1,15,2,5),1,_xlfn.SWITCH(_xlfn.RANK.EQ($T28,($J28,$O28,$T28,$Y28)),1,7,2,2,3,1),0,0)))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IF($Y28="","",ROUND(($Y28-$Y$3)/1000,1)+IF($Y28&lt;30000,-10,_xlfn.SWITCH(FREQUENCY(($J28,$O28,$T28,$Y28),29900),3,30,2,_xlfn.SWITCH(_xlfn.RANK.EQ($Y28,($J28,$O28,$T28,$Y28)),1,15,2,5),1,_xlfn.SWITCH(_xlfn.RANK.EQ($Y28,($J28,$O28,$T28,$Y28)),1,7,2,2,3,1),0,0)))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IF($J29="","",ROUND(($J29-$J$3)/1000,1)+IF($J29&lt;30000,-10,_xlfn.SWITCH(FREQUENCY(($J29,$O29,$T29,$Y29),29900),3,30,2,_xlfn.SWITCH(_xlfn.RANK.EQ($J29,($J29,$O29,$T29,$Y29)),1,15,2,5),1,_xlfn.SWITCH(_xlfn.RANK.EQ($J29,($J29,$O29,$T29,$Y29)),1,7,2,2,3,1),0,0)))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IF($O29="","",ROUND(($O29-$O$3)/1000,1)+IF($O29&lt;30000,-10,_xlfn.SWITCH(FREQUENCY(($J29,$O29,$T29,$Y29),29900),3,30,2,_xlfn.SWITCH(_xlfn.RANK.EQ($O29,($J29,$O29,$T29,$Y29)),1,15,2,5),1,_xlfn.SWITCH(_xlfn.RANK.EQ($O29,($J29,$O29,$T29,$Y29)),1,7,2,2,3,1),0,0)))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IF($T29="","",ROUND(($T29-$T$3)/1000,1)+IF($T29&lt;30000,-10,_xlfn.SWITCH(FREQUENCY(($J29,$O29,$T29,$Y29),29900),3,30,2,_xlfn.SWITCH(_xlfn.RANK.EQ($T29,($J29,$O29,$T29,$Y29)),1,15,2,5),1,_xlfn.SWITCH(_xlfn.RANK.EQ($T29,($J29,$O29,$T29,$Y29)),1,7,2,2,3,1),0,0)))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IF($Y29="","",ROUND(($Y29-$Y$3)/1000,1)+IF($Y29&lt;30000,-10,_xlfn.SWITCH(FREQUENCY(($J29,$O29,$T29,$Y29),29900),3,30,2,_xlfn.SWITCH(_xlfn.RANK.EQ($Y29,($J29,$O29,$T29,$Y29)),1,15,2,5),1,_xlfn.SWITCH(_xlfn.RANK.EQ($Y29,($J29,$O29,$T29,$Y29)),1,7,2,2,3,1),0,0)))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IF($J30="","",ROUND(($J30-$J$3)/1000,1)+IF($J30&lt;30000,-10,_xlfn.SWITCH(FREQUENCY(($J30,$O30,$T30,$Y30),29900),3,30,2,_xlfn.SWITCH(_xlfn.RANK.EQ($J30,($J30,$O30,$T30,$Y30)),1,15,2,5),1,_xlfn.SWITCH(_xlfn.RANK.EQ($J30,($J30,$O30,$T30,$Y30)),1,7,2,2,3,1),0,0)))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IF($O30="","",ROUND(($O30-$O$3)/1000,1)+IF($O30&lt;30000,-10,_xlfn.SWITCH(FREQUENCY(($J30,$O30,$T30,$Y30),29900),3,30,2,_xlfn.SWITCH(_xlfn.RANK.EQ($O30,($J30,$O30,$T30,$Y30)),1,15,2,5),1,_xlfn.SWITCH(_xlfn.RANK.EQ($O30,($J30,$O30,$T30,$Y30)),1,7,2,2,3,1),0,0)))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IF($T30="","",ROUND(($T30-$T$3)/1000,1)+IF($T30&lt;30000,-10,_xlfn.SWITCH(FREQUENCY(($J30,$O30,$T30,$Y30),29900),3,30,2,_xlfn.SWITCH(_xlfn.RANK.EQ($T30,($J30,$O30,$T30,$Y30)),1,15,2,5),1,_xlfn.SWITCH(_xlfn.RANK.EQ($T30,($J30,$O30,$T30,$Y30)),1,7,2,2,3,1),0,0)))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IF($Y30="","",ROUND(($Y30-$Y$3)/1000,1)+IF($Y30&lt;30000,-10,_xlfn.SWITCH(FREQUENCY(($J30,$O30,$T30,$Y30),29900),3,30,2,_xlfn.SWITCH(_xlfn.RANK.EQ($Y30,($J30,$O30,$T30,$Y30)),1,15,2,5),1,_xlfn.SWITCH(_xlfn.RANK.EQ($Y30,($J30,$O30,$T30,$Y30)),1,7,2,2,3,1),0,0)))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2" priority="3">
      <formula>IF(G4&lt;&gt;"",SUM($G4:$I4,$L4:$N4,$Q4:$S4,$V4:$X4)-$D4*1000+$D5*1000)</formula>
    </cfRule>
  </conditionalFormatting>
  <conditionalFormatting sqref="F1:Y1">
    <cfRule type="duplicateValues" dxfId="1" priority="2"/>
  </conditionalFormatting>
  <conditionalFormatting sqref="Z3:AC30">
    <cfRule type="expression" dxfId="0" priority="1">
      <formula>AND(Z4="",SUM($Z3:$AC3))</formula>
    </cfRule>
  </conditionalFormatting>
  <dataValidations count="2">
    <dataValidation type="list" allowBlank="1" showInputMessage="1" showErrorMessage="1" sqref="E4:E30" xr:uid="{A1C2DC94-D80E-42AA-8DEB-D0102180F225}">
      <formula1>$Z$2:$AC$2</formula1>
    </dataValidation>
    <dataValidation type="list" showInputMessage="1" showErrorMessage="1" sqref="K4:K30 P4:P30 F4:F30 U4:U30" xr:uid="{F3CEAA7B-49C5-45BF-A907-252C3FDF6782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3"/>
  <dimension ref="A1:M13"/>
  <sheetViews>
    <sheetView workbookViewId="0"/>
  </sheetViews>
  <sheetFormatPr defaultColWidth="9" defaultRowHeight="18.75" x14ac:dyDescent="0.4"/>
  <cols>
    <col min="1" max="12" width="9" style="25"/>
    <col min="13" max="13" width="9" style="25" customWidth="1"/>
    <col min="14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E3" s="25">
        <v>3900</v>
      </c>
      <c r="F3" s="25">
        <v>7700</v>
      </c>
    </row>
    <row r="4" spans="1:13" x14ac:dyDescent="0.4">
      <c r="A4" s="15">
        <v>25</v>
      </c>
      <c r="D4" s="25">
        <v>2400</v>
      </c>
      <c r="E4" s="25">
        <v>4800</v>
      </c>
      <c r="F4" s="25">
        <v>9600</v>
      </c>
    </row>
    <row r="5" spans="1:13" x14ac:dyDescent="0.4">
      <c r="A5" s="15">
        <v>30</v>
      </c>
      <c r="C5" s="25">
        <v>1500</v>
      </c>
      <c r="D5" s="25">
        <v>2900</v>
      </c>
      <c r="E5" s="25">
        <v>5800</v>
      </c>
      <c r="F5" s="25">
        <v>11600</v>
      </c>
    </row>
    <row r="6" spans="1:13" x14ac:dyDescent="0.4">
      <c r="A6" s="15">
        <v>40</v>
      </c>
      <c r="C6" s="25">
        <v>2000</v>
      </c>
      <c r="D6" s="25">
        <v>3900</v>
      </c>
      <c r="E6" s="25">
        <v>7700</v>
      </c>
      <c r="F6" s="25">
        <v>12000</v>
      </c>
    </row>
    <row r="7" spans="1:13" x14ac:dyDescent="0.4">
      <c r="A7" s="15">
        <v>50</v>
      </c>
      <c r="C7" s="25">
        <v>2400</v>
      </c>
      <c r="D7" s="25">
        <v>4800</v>
      </c>
      <c r="E7" s="25">
        <v>9600</v>
      </c>
      <c r="F7" s="25">
        <v>12000</v>
      </c>
    </row>
    <row r="8" spans="1:13" x14ac:dyDescent="0.4">
      <c r="A8" s="15">
        <v>60</v>
      </c>
      <c r="C8" s="25">
        <v>2900</v>
      </c>
      <c r="D8" s="25">
        <v>5800</v>
      </c>
      <c r="E8" s="25">
        <v>11600</v>
      </c>
      <c r="F8" s="25">
        <v>12000</v>
      </c>
    </row>
    <row r="9" spans="1:13" x14ac:dyDescent="0.4">
      <c r="A9" s="15">
        <v>70</v>
      </c>
      <c r="C9" s="25">
        <v>3400</v>
      </c>
      <c r="D9" s="25">
        <v>6800</v>
      </c>
      <c r="E9" s="25">
        <v>12000</v>
      </c>
      <c r="F9" s="25">
        <v>12000</v>
      </c>
    </row>
    <row r="10" spans="1:13" x14ac:dyDescent="0.4">
      <c r="A10" s="15">
        <v>80</v>
      </c>
      <c r="C10" s="25">
        <v>3900</v>
      </c>
      <c r="D10" s="25">
        <v>7700</v>
      </c>
      <c r="E10" s="25">
        <v>12000</v>
      </c>
      <c r="F10" s="25">
        <v>12000</v>
      </c>
    </row>
    <row r="11" spans="1:13" x14ac:dyDescent="0.4">
      <c r="A11" s="15">
        <v>90</v>
      </c>
      <c r="C11" s="25">
        <v>4400</v>
      </c>
      <c r="D11" s="25">
        <v>8700</v>
      </c>
      <c r="E11" s="25">
        <v>12000</v>
      </c>
      <c r="F11" s="25">
        <v>12000</v>
      </c>
    </row>
    <row r="12" spans="1:13" x14ac:dyDescent="0.4">
      <c r="A12" s="15">
        <v>100</v>
      </c>
      <c r="C12" s="25">
        <v>4800</v>
      </c>
      <c r="D12" s="25">
        <v>9600</v>
      </c>
      <c r="E12" s="25">
        <v>12000</v>
      </c>
      <c r="F12" s="25">
        <v>12000</v>
      </c>
    </row>
    <row r="13" spans="1:13" x14ac:dyDescent="0.4">
      <c r="A13" s="15">
        <v>110</v>
      </c>
      <c r="D13" s="25">
        <v>10600</v>
      </c>
      <c r="E13" s="25">
        <v>12000</v>
      </c>
      <c r="F13" s="2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7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2100</v>
      </c>
      <c r="E3" s="25">
        <v>3900</v>
      </c>
      <c r="F3" s="25">
        <v>7800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4800</v>
      </c>
      <c r="F4" s="25">
        <v>9600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1500</v>
      </c>
      <c r="D5" s="25">
        <v>3000</v>
      </c>
      <c r="E5" s="25">
        <v>6000</v>
      </c>
      <c r="F5" s="25">
        <v>11700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2100</v>
      </c>
      <c r="D6" s="25">
        <v>3900</v>
      </c>
      <c r="E6" s="25">
        <v>7800</v>
      </c>
      <c r="F6" s="25">
        <v>12000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2400</v>
      </c>
      <c r="D7" s="25">
        <v>4800</v>
      </c>
      <c r="E7" s="25">
        <v>9600</v>
      </c>
      <c r="F7" s="25">
        <v>12000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3000</v>
      </c>
      <c r="D8" s="25">
        <v>6000</v>
      </c>
      <c r="E8" s="25">
        <v>11700</v>
      </c>
      <c r="F8" s="25">
        <v>12000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3600</v>
      </c>
      <c r="D9" s="25">
        <v>6900</v>
      </c>
      <c r="E9" s="25">
        <v>12000</v>
      </c>
      <c r="F9" s="25">
        <v>12000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3900</v>
      </c>
      <c r="D10" s="25">
        <v>7800</v>
      </c>
      <c r="E10" s="25">
        <v>12000</v>
      </c>
      <c r="F10" s="25">
        <v>12000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4500</v>
      </c>
      <c r="D11" s="25">
        <v>8700</v>
      </c>
      <c r="E11" s="25">
        <v>12000</v>
      </c>
      <c r="F11" s="25">
        <v>12000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4800</v>
      </c>
      <c r="D12" s="25">
        <v>9600</v>
      </c>
      <c r="E12" s="25">
        <v>12000</v>
      </c>
      <c r="F12" s="25">
        <v>12000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10800</v>
      </c>
      <c r="E13" s="25">
        <v>12000</v>
      </c>
      <c r="F13" s="25">
        <v>12000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6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2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C3" s="25" t="s">
        <v>10</v>
      </c>
      <c r="D3" s="25" t="s">
        <v>10</v>
      </c>
      <c r="E3" s="25">
        <v>2600</v>
      </c>
      <c r="F3" s="25">
        <v>5200</v>
      </c>
    </row>
    <row r="4" spans="1:13" x14ac:dyDescent="0.4">
      <c r="A4" s="15">
        <v>25</v>
      </c>
      <c r="C4" s="25" t="s">
        <v>10</v>
      </c>
      <c r="D4" s="25">
        <v>1600</v>
      </c>
      <c r="E4" s="25">
        <v>3200</v>
      </c>
      <c r="F4" s="25">
        <v>6400</v>
      </c>
    </row>
    <row r="5" spans="1:13" x14ac:dyDescent="0.4">
      <c r="A5" s="15">
        <v>30</v>
      </c>
      <c r="C5" s="25">
        <v>1000</v>
      </c>
      <c r="D5" s="25">
        <v>2000</v>
      </c>
      <c r="E5" s="25">
        <v>3900</v>
      </c>
      <c r="F5" s="25">
        <v>7700</v>
      </c>
    </row>
    <row r="6" spans="1:13" x14ac:dyDescent="0.4">
      <c r="A6" s="15">
        <v>40</v>
      </c>
      <c r="C6" s="25">
        <v>1300</v>
      </c>
      <c r="D6" s="25">
        <v>2600</v>
      </c>
      <c r="E6" s="25">
        <v>5200</v>
      </c>
      <c r="F6" s="25">
        <v>8000</v>
      </c>
    </row>
    <row r="7" spans="1:13" x14ac:dyDescent="0.4">
      <c r="A7" s="15">
        <v>50</v>
      </c>
      <c r="C7" s="25">
        <v>1600</v>
      </c>
      <c r="D7" s="25">
        <v>3200</v>
      </c>
      <c r="E7" s="25">
        <v>6400</v>
      </c>
      <c r="F7" s="25">
        <v>8000</v>
      </c>
    </row>
    <row r="8" spans="1:13" x14ac:dyDescent="0.4">
      <c r="A8" s="15">
        <v>60</v>
      </c>
      <c r="C8" s="25">
        <v>2000</v>
      </c>
      <c r="D8" s="25">
        <v>3900</v>
      </c>
      <c r="E8" s="25">
        <v>7700</v>
      </c>
      <c r="F8" s="25">
        <v>8000</v>
      </c>
    </row>
    <row r="9" spans="1:13" x14ac:dyDescent="0.4">
      <c r="A9" s="15">
        <v>70</v>
      </c>
      <c r="C9" s="25">
        <v>2300</v>
      </c>
      <c r="D9" s="25">
        <v>4500</v>
      </c>
      <c r="E9" s="25">
        <v>8000</v>
      </c>
      <c r="F9" s="25">
        <v>8000</v>
      </c>
    </row>
    <row r="10" spans="1:13" x14ac:dyDescent="0.4">
      <c r="A10" s="15">
        <v>80</v>
      </c>
      <c r="C10" s="25">
        <v>2600</v>
      </c>
      <c r="D10" s="25">
        <v>5200</v>
      </c>
      <c r="E10" s="25">
        <v>8000</v>
      </c>
      <c r="F10" s="25">
        <v>8000</v>
      </c>
    </row>
    <row r="11" spans="1:13" x14ac:dyDescent="0.4">
      <c r="A11" s="15">
        <v>90</v>
      </c>
      <c r="C11" s="25">
        <v>2900</v>
      </c>
      <c r="D11" s="25">
        <v>5800</v>
      </c>
      <c r="E11" s="25">
        <v>8000</v>
      </c>
      <c r="F11" s="25">
        <v>8000</v>
      </c>
    </row>
    <row r="12" spans="1:13" x14ac:dyDescent="0.4">
      <c r="A12" s="15">
        <v>100</v>
      </c>
      <c r="C12" s="25">
        <v>3200</v>
      </c>
      <c r="D12" s="25">
        <v>6400</v>
      </c>
      <c r="E12" s="25">
        <v>8000</v>
      </c>
      <c r="F12" s="25">
        <v>8000</v>
      </c>
    </row>
    <row r="13" spans="1:13" x14ac:dyDescent="0.4">
      <c r="A13" s="15">
        <v>110</v>
      </c>
      <c r="C13" s="25" t="s">
        <v>10</v>
      </c>
      <c r="D13" s="25">
        <v>7100</v>
      </c>
      <c r="E13" s="25">
        <v>8000</v>
      </c>
      <c r="F13" s="25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8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1500</v>
      </c>
      <c r="E3" s="25">
        <v>2700</v>
      </c>
      <c r="F3" s="25">
        <v>5200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3200</v>
      </c>
      <c r="F4" s="25">
        <v>6400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1100</v>
      </c>
      <c r="D5" s="25">
        <v>2000</v>
      </c>
      <c r="E5" s="25">
        <v>4000</v>
      </c>
      <c r="F5" s="25">
        <v>7900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1500</v>
      </c>
      <c r="D6" s="25">
        <v>2700</v>
      </c>
      <c r="E6" s="25">
        <v>5200</v>
      </c>
      <c r="F6" s="25">
        <v>8000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1600</v>
      </c>
      <c r="D7" s="25">
        <v>3200</v>
      </c>
      <c r="E7" s="25">
        <v>6400</v>
      </c>
      <c r="F7" s="25">
        <v>8000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2000</v>
      </c>
      <c r="D8" s="25">
        <v>4000</v>
      </c>
      <c r="E8" s="25">
        <v>7900</v>
      </c>
      <c r="F8" s="25">
        <v>8000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2400</v>
      </c>
      <c r="D9" s="25">
        <v>4700</v>
      </c>
      <c r="E9" s="25">
        <v>8000</v>
      </c>
      <c r="F9" s="25">
        <v>8000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2700</v>
      </c>
      <c r="D10" s="25">
        <v>5200</v>
      </c>
      <c r="E10" s="25">
        <v>8000</v>
      </c>
      <c r="F10" s="25">
        <v>8000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3100</v>
      </c>
      <c r="D11" s="25">
        <v>5900</v>
      </c>
      <c r="E11" s="25">
        <v>8000</v>
      </c>
      <c r="F11" s="25">
        <v>8000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3200</v>
      </c>
      <c r="D12" s="25">
        <v>6400</v>
      </c>
      <c r="E12" s="25">
        <v>8000</v>
      </c>
      <c r="F12" s="25">
        <v>8000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7200</v>
      </c>
      <c r="E13" s="25">
        <v>8000</v>
      </c>
      <c r="F13" s="25">
        <v>8000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4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-2000</v>
      </c>
      <c r="H2" s="25">
        <v>-3000</v>
      </c>
      <c r="I2" s="25">
        <v>-4000</v>
      </c>
      <c r="J2" s="25">
        <v>-6000</v>
      </c>
      <c r="K2" s="25">
        <v>-8000</v>
      </c>
      <c r="L2" s="25">
        <v>-16000</v>
      </c>
      <c r="M2" s="25">
        <v>-24000</v>
      </c>
    </row>
    <row r="3" spans="1:13" x14ac:dyDescent="0.4">
      <c r="A3" s="15">
        <v>20</v>
      </c>
      <c r="C3" s="25" t="s">
        <v>10</v>
      </c>
      <c r="D3" s="25">
        <v>-400</v>
      </c>
      <c r="E3" s="25">
        <v>-700</v>
      </c>
      <c r="F3" s="25">
        <v>-1300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-800</v>
      </c>
      <c r="F4" s="25">
        <v>-1600</v>
      </c>
      <c r="M4" s="25" t="s">
        <v>10</v>
      </c>
    </row>
    <row r="5" spans="1:13" x14ac:dyDescent="0.4">
      <c r="A5" s="15">
        <v>30</v>
      </c>
      <c r="C5" s="25">
        <v>-300</v>
      </c>
      <c r="D5" s="25">
        <v>-500</v>
      </c>
      <c r="E5" s="25">
        <v>-1000</v>
      </c>
      <c r="F5" s="25">
        <v>-2000</v>
      </c>
      <c r="M5" s="25" t="s">
        <v>10</v>
      </c>
    </row>
    <row r="6" spans="1:13" x14ac:dyDescent="0.4">
      <c r="A6" s="15">
        <v>40</v>
      </c>
      <c r="C6" s="25">
        <v>-400</v>
      </c>
      <c r="D6" s="25">
        <v>-700</v>
      </c>
      <c r="E6" s="25">
        <v>-1300</v>
      </c>
      <c r="F6" s="25">
        <v>-2000</v>
      </c>
      <c r="M6" s="25" t="s">
        <v>10</v>
      </c>
    </row>
    <row r="7" spans="1:13" x14ac:dyDescent="0.4">
      <c r="A7" s="15">
        <v>50</v>
      </c>
      <c r="C7" s="25">
        <v>-400</v>
      </c>
      <c r="D7" s="25">
        <v>-800</v>
      </c>
      <c r="E7" s="25">
        <v>-1600</v>
      </c>
      <c r="F7" s="25">
        <v>-2000</v>
      </c>
      <c r="M7" s="25" t="s">
        <v>10</v>
      </c>
    </row>
    <row r="8" spans="1:13" x14ac:dyDescent="0.4">
      <c r="A8" s="15">
        <v>60</v>
      </c>
      <c r="C8" s="25">
        <v>-500</v>
      </c>
      <c r="D8" s="25">
        <v>-1000</v>
      </c>
      <c r="E8" s="25">
        <v>-2000</v>
      </c>
      <c r="F8" s="25">
        <v>-2000</v>
      </c>
      <c r="M8" s="25" t="s">
        <v>10</v>
      </c>
    </row>
    <row r="9" spans="1:13" x14ac:dyDescent="0.4">
      <c r="A9" s="15">
        <v>70</v>
      </c>
      <c r="C9" s="25">
        <v>-600</v>
      </c>
      <c r="D9" s="25">
        <v>-1200</v>
      </c>
      <c r="E9" s="25">
        <v>-2000</v>
      </c>
      <c r="F9" s="25">
        <v>-2000</v>
      </c>
      <c r="M9" s="25" t="s">
        <v>10</v>
      </c>
    </row>
    <row r="10" spans="1:13" x14ac:dyDescent="0.4">
      <c r="A10" s="15">
        <v>80</v>
      </c>
      <c r="C10" s="25">
        <v>-700</v>
      </c>
      <c r="D10" s="25">
        <v>-1300</v>
      </c>
      <c r="E10" s="25">
        <v>-2000</v>
      </c>
      <c r="F10" s="25">
        <v>-2000</v>
      </c>
      <c r="M10" s="25" t="s">
        <v>10</v>
      </c>
    </row>
    <row r="11" spans="1:13" x14ac:dyDescent="0.4">
      <c r="A11" s="15">
        <v>90</v>
      </c>
      <c r="C11" s="25">
        <v>-800</v>
      </c>
      <c r="D11" s="25">
        <v>-1500</v>
      </c>
      <c r="E11" s="25">
        <v>-2000</v>
      </c>
      <c r="F11" s="25">
        <v>-2000</v>
      </c>
      <c r="M11" s="25" t="s">
        <v>10</v>
      </c>
    </row>
    <row r="12" spans="1:13" x14ac:dyDescent="0.4">
      <c r="A12" s="15">
        <v>100</v>
      </c>
      <c r="C12" s="25">
        <v>-800</v>
      </c>
      <c r="D12" s="25">
        <v>-1600</v>
      </c>
      <c r="E12" s="25">
        <v>-2000</v>
      </c>
      <c r="F12" s="25">
        <v>-2000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-1800</v>
      </c>
      <c r="E13" s="25">
        <v>-2000</v>
      </c>
      <c r="F13" s="25">
        <v>-2000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5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Sheet2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2019-06-23T02:34:18Z</dcterms:modified>
</cp:coreProperties>
</file>