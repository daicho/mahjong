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30FADC23-DE73-41BF-8273-1799CCEA82E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Y8" i="21"/>
  <c r="AC8" i="21" s="1"/>
  <c r="T8" i="21"/>
  <c r="AB8" i="21" s="1"/>
  <c r="O8" i="21"/>
  <c r="AA8" i="21" s="1"/>
  <c r="J8" i="21"/>
  <c r="Z8" i="21" s="1"/>
  <c r="D8" i="21"/>
  <c r="C8" i="21"/>
  <c r="B8" i="21"/>
  <c r="A8" i="21" s="1"/>
  <c r="D7" i="21"/>
  <c r="C7" i="21"/>
  <c r="D6" i="21"/>
  <c r="C6" i="21"/>
  <c r="T5" i="21"/>
  <c r="T6" i="21" s="1"/>
  <c r="D5" i="21"/>
  <c r="C5" i="21"/>
  <c r="B5" i="21"/>
  <c r="B6" i="21" s="1"/>
  <c r="Y4" i="21"/>
  <c r="Y5" i="21" s="1"/>
  <c r="T4" i="21"/>
  <c r="O4" i="21"/>
  <c r="O5" i="21" s="1"/>
  <c r="J4" i="21"/>
  <c r="J5" i="21" s="1"/>
  <c r="AC3" i="21"/>
  <c r="AB3" i="21"/>
  <c r="AA3" i="21"/>
  <c r="Z3" i="21"/>
  <c r="AC2" i="21"/>
  <c r="AB2" i="21"/>
  <c r="AA2" i="21"/>
  <c r="Z2" i="21"/>
  <c r="J6" i="21" l="1"/>
  <c r="AB6" i="21" s="1"/>
  <c r="Z5" i="21"/>
  <c r="AA5" i="21"/>
  <c r="O6" i="21"/>
  <c r="Y6" i="21"/>
  <c r="AC5" i="21"/>
  <c r="T7" i="21"/>
  <c r="B7" i="21"/>
  <c r="AB4" i="21"/>
  <c r="A5" i="21"/>
  <c r="A6" i="21" s="1"/>
  <c r="AB5" i="21"/>
  <c r="Z4" i="21"/>
  <c r="AA4" i="21"/>
  <c r="AC4" i="21"/>
  <c r="AC3" i="20"/>
  <c r="AB3" i="20"/>
  <c r="AA3" i="20"/>
  <c r="Z3" i="20"/>
  <c r="A7" i="21" l="1"/>
  <c r="J7" i="21"/>
  <c r="Z6" i="21"/>
  <c r="Y7" i="21"/>
  <c r="AC6" i="21"/>
  <c r="O7" i="21"/>
  <c r="AA7" i="21" s="1"/>
  <c r="AA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Z7" i="21" l="1"/>
  <c r="AC7" i="21"/>
  <c r="AB7" i="21"/>
  <c r="Z4" i="20"/>
  <c r="AA4" i="20"/>
  <c r="AB4" i="20"/>
  <c r="AC4" i="20"/>
  <c r="C6" i="20"/>
  <c r="J5" i="20"/>
  <c r="J6" i="20" s="1"/>
  <c r="Z6" i="20" s="1"/>
  <c r="Y5" i="20"/>
  <c r="Y6" i="20" s="1"/>
  <c r="O5" i="20"/>
  <c r="O6" i="20" s="1"/>
  <c r="AA6" i="20" s="1"/>
  <c r="T5" i="20"/>
  <c r="A5" i="20"/>
  <c r="T6" i="20"/>
  <c r="A6" i="20"/>
  <c r="B7" i="20"/>
  <c r="AC6" i="20" l="1"/>
  <c r="AB6" i="20"/>
  <c r="C7" i="20"/>
  <c r="AA5" i="20"/>
  <c r="AC5" i="20"/>
  <c r="AB5" i="20"/>
  <c r="Z5" i="20"/>
  <c r="B8" i="20"/>
  <c r="O7" i="20"/>
  <c r="Y7" i="20"/>
  <c r="A7" i="20"/>
  <c r="J7" i="20"/>
  <c r="T7" i="20"/>
  <c r="AB7" i="20" l="1"/>
  <c r="AA7" i="20"/>
  <c r="Z7" i="20"/>
  <c r="AC7" i="20"/>
  <c r="B9" i="20"/>
  <c r="O8" i="20"/>
  <c r="T8" i="20"/>
  <c r="J8" i="20"/>
  <c r="Y8" i="20"/>
  <c r="A8" i="20"/>
  <c r="AC8" i="20" l="1"/>
  <c r="Z8" i="20"/>
  <c r="AA8" i="20"/>
  <c r="AB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<sst xmlns="http://schemas.openxmlformats.org/spreadsheetml/2006/main" count="416" uniqueCount="40">
  <si>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</si>
  <si>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</si>
  <si>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</si>
  <si>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</si>
  <si>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</si>
  <si>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</si>
  <si>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</si>
  <si>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</si>
  <si>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</si>
  <si>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</si>
  <si>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</si>
  <si>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</si>
  <si>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</si>
  <si>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</si>
  <si>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</si>
  <si>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</si>
  <si>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</si>
  <si>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</si>
  <si>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</si>
  <si>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</si>
  <si>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</si>
  <si>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</si>
  <si>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大池</t>
  </si>
  <si>
    <t>大池</t>
    <rPh sb="0" eb="2">
      <t>オオイケ</t>
    </rPh>
    <phoneticPr fontId="1"/>
  </si>
  <si>
    <t>依田</t>
  </si>
  <si>
    <t>依田</t>
    <rPh sb="0" eb="2">
      <t>ヨダ</t>
    </rPh>
    <phoneticPr fontId="1"/>
  </si>
  <si>
    <t>小林</t>
  </si>
  <si>
    <t>小林</t>
    <rPh sb="0" eb="2">
      <t>コバヤシ</t>
    </rPh>
    <phoneticPr fontId="1"/>
  </si>
  <si>
    <t>放銃</t>
  </si>
  <si>
    <t>ロン</t>
  </si>
  <si>
    <t>水澤</t>
  </si>
  <si>
    <t>水澤</t>
    <rPh sb="0" eb="2">
      <t>ミズサワ</t>
    </rPh>
    <phoneticPr fontId="1"/>
  </si>
  <si>
    <t>ツモ支払</t>
  </si>
  <si>
    <t>ツモ</t>
  </si>
  <si>
    <t>矢ヶ崎</t>
  </si>
  <si>
    <t>矢ヶ崎</t>
    <rPh sb="0" eb="3">
      <t>ヤガサキ</t>
    </rPh>
    <phoneticPr fontId="1"/>
  </si>
  <si>
    <t>保谷</t>
  </si>
  <si>
    <t>保谷</t>
    <rPh sb="0" eb="2">
      <t>ホタニ</t>
    </rPh>
    <phoneticPr fontId="1"/>
  </si>
  <si>
    <t>齋藤</t>
  </si>
  <si>
    <t>齋藤</t>
    <rPh sb="0" eb="2">
      <t>サイトウ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</si>
</sst>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\+0;\-0;0"/>
    <numFmt numFmtId="177" formatCode="\+0.0;\-0.0;\±0"/>
    <numFmt numFmtId="198" formatCode="\+0.0000000000000000000000;\-0.0000000000000000000000;\±0.00000000000000000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98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D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30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25</v>
      </c>
      <c r="Q1" s="44"/>
      <c r="R1" s="44"/>
      <c r="S1" s="45"/>
      <c r="T1" s="46"/>
      <c r="U1" s="43" t="s">
        <v>31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30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大池</v>
      </c>
      <c r="AA2" s="40" t="str">
        <f>$K$1</f>
        <v>小林</v>
      </c>
      <c r="AB2" s="40" t="str">
        <f>$P$1</f>
        <v>依田</v>
      </c>
      <c r="AC2" s="16" t="str">
        <f>$U$1</f>
        <v>水澤</v>
      </c>
    </row>
    <row r="3" spans="1:30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30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22</v>
      </c>
      <c r="F4" s="8" t="s">
        <v>28</v>
      </c>
      <c r="G4" s="9">
        <v>-1300</v>
      </c>
      <c r="H4" s="9"/>
      <c r="I4" s="28">
        <v>0</v>
      </c>
      <c r="J4" s="21">
        <f>IF(COUNTA($F4,$K4,$P4,$U4)&gt;0,J3+SUM(G4:I4),"")</f>
        <v>28700</v>
      </c>
      <c r="K4" s="8" t="s">
        <v>29</v>
      </c>
      <c r="L4" s="9">
        <v>1300</v>
      </c>
      <c r="M4" s="9"/>
      <c r="N4" s="28">
        <v>0</v>
      </c>
      <c r="O4" s="21">
        <f>IF(COUNTA($F4,$K4,$P4,$U4)&gt;0,O3+SUM(L4:N4),"")</f>
        <v>31300</v>
      </c>
      <c r="P4" s="8"/>
      <c r="Q4" s="9"/>
      <c r="R4" s="9"/>
      <c r="S4" s="28"/>
      <c r="T4" s="21">
        <f>IF(COUNTA($F4,$K4,$P4,$U4)&gt;0,T3+SUM(Q4:S4),"")</f>
        <v>30000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8.3000000000000007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30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26</v>
      </c>
      <c r="F5" s="8" t="s">
        <v>28</v>
      </c>
      <c r="G5" s="9">
        <v>-2600</v>
      </c>
      <c r="H5" s="9"/>
      <c r="I5" s="28">
        <v>0</v>
      </c>
      <c r="J5" s="21">
        <f t="shared" ref="J5:J30" si="1">IF(COUNTA($F5,$K5,$P5,$U5)&gt;0,J4+SUM(G5:I5),"")</f>
        <v>26100</v>
      </c>
      <c r="K5" s="8"/>
      <c r="L5" s="9"/>
      <c r="M5" s="9"/>
      <c r="N5" s="28"/>
      <c r="O5" s="21">
        <f t="shared" ref="O5:O30" si="2">IF(COUNTA($F5,$K5,$P5,$U5)&gt;0,O4+SUM(L5:N5),"")</f>
        <v>31300</v>
      </c>
      <c r="P5" s="8" t="s">
        <v>29</v>
      </c>
      <c r="Q5" s="9">
        <v>2600</v>
      </c>
      <c r="R5" s="9"/>
      <c r="S5" s="28">
        <v>0</v>
      </c>
      <c r="T5" s="21">
        <f t="shared" ref="T5:T30" si="3">IF(COUNTA($F5,$K5,$P5,$U5)&gt;0,T4+SUM(Q5:S5),"")</f>
        <v>32600</v>
      </c>
      <c r="U5" s="8"/>
      <c r="V5" s="9"/>
      <c r="W5" s="9"/>
      <c r="X5" s="28"/>
      <c r="Y5" s="21">
        <f t="shared" ref="Y5:Y30" si="4">IF(COUNTA($F5,$K5,$P5,$U5)&gt;0,Y4+SUM(V5:X5),"")</f>
        <v>30000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-13.9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9.6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1</v>
      </c>
    </row>
    <row r="6" spans="1:30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24</v>
      </c>
      <c r="F6" s="8"/>
      <c r="G6" s="9"/>
      <c r="H6" s="9"/>
      <c r="I6" s="28"/>
      <c r="J6" s="21">
        <f t="shared" si="1"/>
        <v>26100</v>
      </c>
      <c r="K6" s="8" t="s">
        <v>28</v>
      </c>
      <c r="L6" s="9">
        <v>-2600</v>
      </c>
      <c r="M6" s="9"/>
      <c r="N6" s="28">
        <v>0</v>
      </c>
      <c r="O6" s="21">
        <f t="shared" si="2"/>
        <v>28700</v>
      </c>
      <c r="P6" s="8"/>
      <c r="Q6" s="9"/>
      <c r="R6" s="9"/>
      <c r="S6" s="28"/>
      <c r="T6" s="21">
        <f t="shared" si="3"/>
        <v>32600</v>
      </c>
      <c r="U6" s="8" t="s">
        <v>29</v>
      </c>
      <c r="V6" s="9">
        <v>2600</v>
      </c>
      <c r="W6" s="9"/>
      <c r="X6" s="28">
        <v>0</v>
      </c>
      <c r="Y6" s="21">
        <f t="shared" si="4"/>
        <v>32600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-13.9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-11.3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17.600000000000001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17.600000000000001</v>
      </c>
    </row>
    <row r="7" spans="1:30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30</v>
      </c>
      <c r="F7" s="8"/>
      <c r="G7" s="9"/>
      <c r="H7" s="9"/>
      <c r="I7" s="28"/>
      <c r="J7" s="21">
        <f t="shared" si="1"/>
        <v>26100</v>
      </c>
      <c r="K7" s="8" t="s">
        <v>29</v>
      </c>
      <c r="L7" s="9">
        <v>2600</v>
      </c>
      <c r="M7" s="9"/>
      <c r="N7" s="28">
        <v>0</v>
      </c>
      <c r="O7" s="21">
        <f t="shared" si="2"/>
        <v>31300</v>
      </c>
      <c r="P7" s="8"/>
      <c r="Q7" s="9"/>
      <c r="R7" s="9"/>
      <c r="S7" s="28"/>
      <c r="T7" s="21">
        <f t="shared" si="3"/>
        <v>32600</v>
      </c>
      <c r="U7" s="8" t="s">
        <v>28</v>
      </c>
      <c r="V7" s="9">
        <v>-2600</v>
      </c>
      <c r="W7" s="9"/>
      <c r="X7" s="28">
        <v>0</v>
      </c>
      <c r="Y7" s="21">
        <f t="shared" si="4"/>
        <v>30000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-13.9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3.3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9.6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</v>
      </c>
      <c r="AD7" s="54"/>
    </row>
    <row r="8" spans="1:30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30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30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30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30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30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30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30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30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27DA6-F5EA-469B-A857-27A1E6ACFE84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35</v>
      </c>
      <c r="G1" s="44"/>
      <c r="H1" s="44"/>
      <c r="I1" s="45"/>
      <c r="J1" s="46"/>
      <c r="K1" s="43" t="s">
        <v>37</v>
      </c>
      <c r="L1" s="44"/>
      <c r="M1" s="44"/>
      <c r="N1" s="45"/>
      <c r="O1" s="46"/>
      <c r="P1" s="43" t="s">
        <v>39</v>
      </c>
      <c r="Q1" s="44"/>
      <c r="R1" s="44"/>
      <c r="S1" s="45"/>
      <c r="T1" s="46"/>
      <c r="U1" s="43" t="s">
        <v>27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矢ヶ崎</v>
      </c>
      <c r="AA2" s="42" t="str">
        <f>$K$1</f>
        <v>保谷</v>
      </c>
      <c r="AB2" s="42" t="str">
        <f>$P$1</f>
        <v>齋藤</v>
      </c>
      <c r="AC2" s="16" t="str">
        <f>$U$1</f>
        <v>小林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36</v>
      </c>
      <c r="F4" s="8" t="s">
        <v>32</v>
      </c>
      <c r="G4" s="9">
        <v>-400</v>
      </c>
      <c r="H4" s="9"/>
      <c r="I4" s="28">
        <v>0</v>
      </c>
      <c r="J4" s="21">
        <f>IF(COUNTA($F4,$K4,$P4,$U4)&gt;0,J3+SUM(G4:I4),"")</f>
        <v>29600</v>
      </c>
      <c r="K4" s="8" t="s">
        <v>32</v>
      </c>
      <c r="L4" s="9">
        <v>-700</v>
      </c>
      <c r="M4" s="9"/>
      <c r="N4" s="28">
        <v>0</v>
      </c>
      <c r="O4" s="21">
        <f>IF(COUNTA($F4,$K4,$P4,$U4)&gt;0,O3+SUM(L4:N4),"")</f>
        <v>29300</v>
      </c>
      <c r="P4" s="8" t="s">
        <v>33</v>
      </c>
      <c r="Q4" s="9">
        <v>1500</v>
      </c>
      <c r="R4" s="9"/>
      <c r="S4" s="28">
        <v>0</v>
      </c>
      <c r="T4" s="21">
        <f>IF(COUNTA($F4,$K4,$P4,$U4)&gt;0,T3+SUM(Q4:S4),"")</f>
        <v>31500</v>
      </c>
      <c r="U4" s="8" t="s">
        <v>32</v>
      </c>
      <c r="V4" s="9">
        <v>-400</v>
      </c>
      <c r="W4" s="9"/>
      <c r="X4" s="28">
        <v>0</v>
      </c>
      <c r="Y4" s="21">
        <f>IF(COUNTA($F4,$K4,$P4,$U4)&gt;0,Y3+SUM(V4:X4),"")</f>
        <v>29600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-10.4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-10.7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31.5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-10.4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38</v>
      </c>
      <c r="F5" s="8"/>
      <c r="G5" s="9"/>
      <c r="H5" s="9"/>
      <c r="I5" s="28"/>
      <c r="J5" s="21">
        <f t="shared" ref="J5:J30" si="1">IF(COUNTA($F5,$K5,$P5,$U5)&gt;0,J4+SUM(G5:I5),"")</f>
        <v>29600</v>
      </c>
      <c r="K5" s="8" t="s">
        <v>29</v>
      </c>
      <c r="L5" s="9">
        <v>2600</v>
      </c>
      <c r="M5" s="9"/>
      <c r="N5" s="28">
        <v>0</v>
      </c>
      <c r="O5" s="21">
        <f t="shared" ref="O5:O30" si="2">IF(COUNTA($F5,$K5,$P5,$U5)&gt;0,O4+SUM(L5:N5),"")</f>
        <v>31900</v>
      </c>
      <c r="P5" s="8" t="s">
        <v>28</v>
      </c>
      <c r="Q5" s="9">
        <v>-2600</v>
      </c>
      <c r="R5" s="9"/>
      <c r="S5" s="28">
        <v>0</v>
      </c>
      <c r="T5" s="21">
        <f t="shared" ref="T5:T30" si="3">IF(COUNTA($F5,$K5,$P5,$U5)&gt;0,T4+SUM(Q5:S5),"")</f>
        <v>28900</v>
      </c>
      <c r="U5" s="8"/>
      <c r="V5" s="9"/>
      <c r="W5" s="9"/>
      <c r="X5" s="28"/>
      <c r="Y5" s="21">
        <f t="shared" ref="Y5:Y30" si="4">IF(COUNTA($F5,$K5,$P5,$U5)&gt;0,Y4+SUM(V5:X5),"")</f>
        <v>29600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-10.4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31.9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-11.1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-10.4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26</v>
      </c>
      <c r="F6" s="8" t="s">
        <v>29</v>
      </c>
      <c r="G6" s="9">
        <v>5200</v>
      </c>
      <c r="H6" s="9"/>
      <c r="I6" s="28">
        <v>0</v>
      </c>
      <c r="J6" s="21">
        <f t="shared" si="1"/>
        <v>34800</v>
      </c>
      <c r="K6" s="8"/>
      <c r="L6" s="9"/>
      <c r="M6" s="9"/>
      <c r="N6" s="28"/>
      <c r="O6" s="21">
        <f t="shared" si="2"/>
        <v>31900</v>
      </c>
      <c r="P6" s="8"/>
      <c r="Q6" s="9"/>
      <c r="R6" s="9"/>
      <c r="S6" s="28"/>
      <c r="T6" s="21">
        <f t="shared" si="3"/>
        <v>28900</v>
      </c>
      <c r="U6" s="8" t="s">
        <v>28</v>
      </c>
      <c r="V6" s="9">
        <v>-5200</v>
      </c>
      <c r="W6" s="9"/>
      <c r="X6" s="28">
        <v>0</v>
      </c>
      <c r="Y6" s="21">
        <f t="shared" si="4"/>
        <v>24400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19.8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6.9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-11.1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-15.6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34</v>
      </c>
      <c r="F7" s="8" t="s">
        <v>32</v>
      </c>
      <c r="G7" s="9">
        <v>-4000</v>
      </c>
      <c r="H7" s="9"/>
      <c r="I7" s="28">
        <v>0</v>
      </c>
      <c r="J7" s="21">
        <f t="shared" si="1"/>
        <v>30800</v>
      </c>
      <c r="K7" s="8" t="s">
        <v>32</v>
      </c>
      <c r="L7" s="9">
        <v>-2000</v>
      </c>
      <c r="M7" s="9"/>
      <c r="N7" s="28">
        <v>0</v>
      </c>
      <c r="O7" s="21">
        <f t="shared" si="2"/>
        <v>29900</v>
      </c>
      <c r="P7" s="8" t="s">
        <v>32</v>
      </c>
      <c r="Q7" s="9">
        <v>-2000</v>
      </c>
      <c r="R7" s="9"/>
      <c r="S7" s="28">
        <v>0</v>
      </c>
      <c r="T7" s="21">
        <f t="shared" si="3"/>
        <v>26900</v>
      </c>
      <c r="U7" s="8" t="s">
        <v>33</v>
      </c>
      <c r="V7" s="9">
        <v>8000</v>
      </c>
      <c r="W7" s="9"/>
      <c r="X7" s="28">
        <v>0</v>
      </c>
      <c r="Y7" s="21">
        <f t="shared" si="4"/>
        <v>32400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5.8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-10.1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-13.1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17.399999999999999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A1C2DC94-D80E-42AA-8DEB-D0102180F225}">
      <formula1>$Z$2:$AC$2</formula1>
    </dataValidation>
    <dataValidation type="list" showInputMessage="1" showErrorMessage="1" sqref="K4:K30 P4:P30 F4:F30 U4:U30" xr:uid="{F3CEAA7B-49C5-45BF-A907-252C3FDF67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2019-06-23T04:51:11Z</dcterms:modified>
</cp:coreProperties>
</file>