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2019夏\2日目\対局\"/>
    </mc:Choice>
  </mc:AlternateContent>
  <xr:revisionPtr revIDLastSave="0" documentId="13_ncr:1_{36FE9E2D-5086-45EE-B010-CF5CA69288C3}" xr6:coauthVersionLast="36" xr6:coauthVersionMax="43" xr10:uidLastSave="{00000000-0000-0000-0000-000000000000}"/>
  <bookViews>
    <workbookView xWindow="-105" yWindow="-105" windowWidth="23250" windowHeight="12570" activeTab="1" xr2:uid="{4CDB34E1-560F-4998-ABAB-D6F7F2862621}"/>
  </bookViews>
  <sheets>
    <sheet name="Sheet1" sheetId="20" r:id="rId1"/>
    <sheet name="Sheet2" sheetId="21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Y30" i="21" l="1"/>
  <c r="AC30" i="21" s="1"/>
  <c r="T30" i="21"/>
  <c r="AB30" i="21" s="1"/>
  <c r="O30" i="21"/>
  <c r="AA30" i="21" s="1"/>
  <c r="J30" i="21"/>
  <c r="Z30" i="21" s="1"/>
  <c r="D30" i="21"/>
  <c r="C30" i="21"/>
  <c r="B30" i="21"/>
  <c r="A30" i="21"/>
  <c r="Y29" i="21"/>
  <c r="AC29" i="21" s="1"/>
  <c r="T29" i="21"/>
  <c r="AB29" i="21" s="1"/>
  <c r="O29" i="21"/>
  <c r="AA29" i="21" s="1"/>
  <c r="J29" i="21"/>
  <c r="Z29" i="21" s="1"/>
  <c r="D29" i="21"/>
  <c r="C29" i="21"/>
  <c r="B29" i="21"/>
  <c r="A29" i="21"/>
  <c r="Y28" i="21"/>
  <c r="AC28" i="21" s="1"/>
  <c r="T28" i="21"/>
  <c r="AB28" i="21" s="1"/>
  <c r="O28" i="21"/>
  <c r="AA28" i="21" s="1"/>
  <c r="J28" i="21"/>
  <c r="Z28" i="21" s="1"/>
  <c r="D28" i="21"/>
  <c r="C28" i="21"/>
  <c r="B28" i="21"/>
  <c r="A28" i="21"/>
  <c r="Y27" i="21"/>
  <c r="AC27" i="21" s="1"/>
  <c r="T27" i="21"/>
  <c r="AB27" i="21" s="1"/>
  <c r="O27" i="21"/>
  <c r="AA27" i="21" s="1"/>
  <c r="J27" i="21"/>
  <c r="Z27" i="21" s="1"/>
  <c r="D27" i="21"/>
  <c r="C27" i="21"/>
  <c r="B27" i="21"/>
  <c r="A27" i="21"/>
  <c r="Y26" i="21"/>
  <c r="AC26" i="21" s="1"/>
  <c r="T26" i="21"/>
  <c r="AB26" i="21" s="1"/>
  <c r="O26" i="21"/>
  <c r="AA26" i="21" s="1"/>
  <c r="J26" i="21"/>
  <c r="Z26" i="21" s="1"/>
  <c r="D26" i="21"/>
  <c r="C26" i="21"/>
  <c r="B26" i="21"/>
  <c r="A26" i="21"/>
  <c r="Y25" i="21"/>
  <c r="AC25" i="21" s="1"/>
  <c r="T25" i="21"/>
  <c r="AB25" i="21" s="1"/>
  <c r="O25" i="21"/>
  <c r="AA25" i="21" s="1"/>
  <c r="J25" i="21"/>
  <c r="Z25" i="21" s="1"/>
  <c r="D25" i="21"/>
  <c r="C25" i="21"/>
  <c r="B25" i="21"/>
  <c r="A25" i="21"/>
  <c r="Y24" i="21"/>
  <c r="AC24" i="21" s="1"/>
  <c r="T24" i="21"/>
  <c r="AB24" i="21" s="1"/>
  <c r="O24" i="21"/>
  <c r="AA24" i="21" s="1"/>
  <c r="J24" i="21"/>
  <c r="Z24" i="21" s="1"/>
  <c r="D24" i="21"/>
  <c r="C24" i="21"/>
  <c r="B24" i="21"/>
  <c r="A24" i="21"/>
  <c r="Y23" i="21"/>
  <c r="AC23" i="21" s="1"/>
  <c r="T23" i="21"/>
  <c r="AB23" i="21" s="1"/>
  <c r="O23" i="21"/>
  <c r="AA23" i="21" s="1"/>
  <c r="J23" i="21"/>
  <c r="Z23" i="21" s="1"/>
  <c r="D23" i="21"/>
  <c r="C23" i="21"/>
  <c r="B23" i="21"/>
  <c r="A23" i="21"/>
  <c r="Y22" i="21"/>
  <c r="AC22" i="21" s="1"/>
  <c r="T22" i="21"/>
  <c r="AB22" i="21" s="1"/>
  <c r="O22" i="21"/>
  <c r="AA22" i="21" s="1"/>
  <c r="J22" i="21"/>
  <c r="Z22" i="21" s="1"/>
  <c r="D22" i="21"/>
  <c r="C22" i="21"/>
  <c r="B22" i="21"/>
  <c r="A22" i="21"/>
  <c r="Y21" i="21"/>
  <c r="AC21" i="21" s="1"/>
  <c r="T21" i="21"/>
  <c r="AB21" i="21" s="1"/>
  <c r="O21" i="21"/>
  <c r="AA21" i="21" s="1"/>
  <c r="J21" i="21"/>
  <c r="Z21" i="21" s="1"/>
  <c r="D21" i="21"/>
  <c r="C21" i="21"/>
  <c r="B21" i="21"/>
  <c r="A21" i="21"/>
  <c r="Y20" i="21"/>
  <c r="AC20" i="21" s="1"/>
  <c r="T20" i="21"/>
  <c r="AB20" i="21" s="1"/>
  <c r="O20" i="21"/>
  <c r="AA20" i="21" s="1"/>
  <c r="J20" i="21"/>
  <c r="Z20" i="21" s="1"/>
  <c r="D20" i="21"/>
  <c r="C20" i="21"/>
  <c r="B20" i="21"/>
  <c r="A20" i="21"/>
  <c r="Y19" i="21"/>
  <c r="AC19" i="21" s="1"/>
  <c r="T19" i="21"/>
  <c r="AB19" i="21" s="1"/>
  <c r="O19" i="21"/>
  <c r="AA19" i="21" s="1"/>
  <c r="J19" i="21"/>
  <c r="Z19" i="21" s="1"/>
  <c r="D19" i="21"/>
  <c r="C19" i="21"/>
  <c r="B19" i="21"/>
  <c r="A19" i="21"/>
  <c r="Y18" i="21"/>
  <c r="AC18" i="21" s="1"/>
  <c r="T18" i="21"/>
  <c r="AB18" i="21" s="1"/>
  <c r="O18" i="21"/>
  <c r="AA18" i="21" s="1"/>
  <c r="J18" i="21"/>
  <c r="Z18" i="21" s="1"/>
  <c r="D18" i="21"/>
  <c r="C18" i="21"/>
  <c r="B18" i="21"/>
  <c r="A18" i="21"/>
  <c r="Y17" i="21"/>
  <c r="AC17" i="21" s="1"/>
  <c r="T17" i="21"/>
  <c r="AB17" i="21" s="1"/>
  <c r="O17" i="21"/>
  <c r="AA17" i="21" s="1"/>
  <c r="J17" i="21"/>
  <c r="Z17" i="21" s="1"/>
  <c r="D17" i="21"/>
  <c r="C17" i="21"/>
  <c r="B17" i="21"/>
  <c r="A17" i="21"/>
  <c r="Y16" i="21"/>
  <c r="AC16" i="21" s="1"/>
  <c r="T16" i="21"/>
  <c r="AB16" i="21" s="1"/>
  <c r="O16" i="21"/>
  <c r="AA16" i="21" s="1"/>
  <c r="J16" i="21"/>
  <c r="Z16" i="21" s="1"/>
  <c r="D16" i="21"/>
  <c r="C16" i="21"/>
  <c r="B16" i="21"/>
  <c r="A16" i="21"/>
  <c r="Y15" i="21"/>
  <c r="AC15" i="21" s="1"/>
  <c r="T15" i="21"/>
  <c r="AB15" i="21" s="1"/>
  <c r="O15" i="21"/>
  <c r="AA15" i="21" s="1"/>
  <c r="J15" i="21"/>
  <c r="Z15" i="21" s="1"/>
  <c r="D15" i="21"/>
  <c r="C15" i="21"/>
  <c r="B15" i="21"/>
  <c r="A15" i="21"/>
  <c r="Y14" i="21"/>
  <c r="AC14" i="21" s="1"/>
  <c r="T14" i="21"/>
  <c r="AB14" i="21" s="1"/>
  <c r="O14" i="21"/>
  <c r="AA14" i="21" s="1"/>
  <c r="J14" i="21"/>
  <c r="Z14" i="21" s="1"/>
  <c r="D14" i="21"/>
  <c r="C14" i="21"/>
  <c r="B14" i="21"/>
  <c r="A14" i="21"/>
  <c r="Y13" i="21"/>
  <c r="AC13" i="21" s="1"/>
  <c r="T13" i="21"/>
  <c r="AB13" i="21" s="1"/>
  <c r="O13" i="21"/>
  <c r="AA13" i="21" s="1"/>
  <c r="J13" i="21"/>
  <c r="Z13" i="21" s="1"/>
  <c r="D13" i="21"/>
  <c r="C13" i="21"/>
  <c r="B13" i="21"/>
  <c r="A13" i="21"/>
  <c r="Y12" i="21"/>
  <c r="AC12" i="21" s="1"/>
  <c r="T12" i="21"/>
  <c r="AB12" i="21" s="1"/>
  <c r="O12" i="21"/>
  <c r="AA12" i="21" s="1"/>
  <c r="J12" i="21"/>
  <c r="Z12" i="21" s="1"/>
  <c r="D12" i="21"/>
  <c r="C12" i="21"/>
  <c r="B12" i="21"/>
  <c r="A12" i="21"/>
  <c r="Y11" i="21"/>
  <c r="AC11" i="21" s="1"/>
  <c r="T11" i="21"/>
  <c r="AB11" i="21" s="1"/>
  <c r="O11" i="21"/>
  <c r="AA11" i="21" s="1"/>
  <c r="J11" i="21"/>
  <c r="Z11" i="21" s="1"/>
  <c r="D11" i="21"/>
  <c r="C11" i="21"/>
  <c r="B11" i="21"/>
  <c r="A11" i="21"/>
  <c r="Y10" i="21"/>
  <c r="AC10" i="21" s="1"/>
  <c r="T10" i="21"/>
  <c r="AB10" i="21" s="1"/>
  <c r="O10" i="21"/>
  <c r="AA10" i="21" s="1"/>
  <c r="J10" i="21"/>
  <c r="Z10" i="21" s="1"/>
  <c r="D10" i="21"/>
  <c r="C10" i="21"/>
  <c r="B10" i="21"/>
  <c r="A10" i="21"/>
  <c r="Y9" i="21"/>
  <c r="AC9" i="21" s="1"/>
  <c r="T9" i="21"/>
  <c r="AB9" i="21" s="1"/>
  <c r="O9" i="21"/>
  <c r="AA9" i="21" s="1"/>
  <c r="J9" i="21"/>
  <c r="Z9" i="21" s="1"/>
  <c r="D9" i="21"/>
  <c r="C9" i="21"/>
  <c r="B9" i="21"/>
  <c r="A9" i="21"/>
  <c r="Y8" i="21"/>
  <c r="AC8" i="21" s="1"/>
  <c r="T8" i="21"/>
  <c r="AB8" i="21" s="1"/>
  <c r="O8" i="21"/>
  <c r="AA8" i="21" s="1"/>
  <c r="J8" i="21"/>
  <c r="Z8" i="21" s="1"/>
  <c r="D8" i="21"/>
  <c r="C8" i="21"/>
  <c r="B8" i="21"/>
  <c r="A8" i="21" s="1"/>
  <c r="D7" i="21"/>
  <c r="D6" i="21"/>
  <c r="C6" i="21"/>
  <c r="C7" i="21" s="1"/>
  <c r="Y5" i="21"/>
  <c r="T5" i="21"/>
  <c r="T6" i="21" s="1"/>
  <c r="O5" i="21"/>
  <c r="O6" i="21" s="1"/>
  <c r="D5" i="21"/>
  <c r="C5" i="21"/>
  <c r="B5" i="21"/>
  <c r="B6" i="21" s="1"/>
  <c r="B7" i="21" s="1"/>
  <c r="Y4" i="21"/>
  <c r="AC4" i="21" s="1"/>
  <c r="T4" i="21"/>
  <c r="O4" i="21"/>
  <c r="J4" i="21"/>
  <c r="AC3" i="21"/>
  <c r="AB3" i="21"/>
  <c r="AA3" i="21"/>
  <c r="Z3" i="21"/>
  <c r="AC2" i="21"/>
  <c r="AB2" i="21"/>
  <c r="AA2" i="21"/>
  <c r="Z2" i="21"/>
  <c r="A5" i="21" l="1"/>
  <c r="A6" i="21" s="1"/>
  <c r="A7" i="21" s="1"/>
  <c r="AA4" i="21"/>
  <c r="AB4" i="21"/>
  <c r="O7" i="21"/>
  <c r="AA7" i="21" s="1"/>
  <c r="T7" i="21"/>
  <c r="AA5" i="21"/>
  <c r="Y6" i="21"/>
  <c r="Z4" i="21"/>
  <c r="J5" i="21"/>
  <c r="AC5" i="21" s="1"/>
  <c r="AC3" i="20"/>
  <c r="AB3" i="20"/>
  <c r="AA3" i="20"/>
  <c r="Z3" i="20"/>
  <c r="Y7" i="21" l="1"/>
  <c r="J6" i="21"/>
  <c r="AC6" i="21" s="1"/>
  <c r="Z5" i="21"/>
  <c r="AB5" i="21"/>
  <c r="Y30" i="20"/>
  <c r="AC30" i="20" s="1"/>
  <c r="T30" i="20"/>
  <c r="AB30" i="20" s="1"/>
  <c r="O30" i="20"/>
  <c r="AA30" i="20" s="1"/>
  <c r="J30" i="20"/>
  <c r="Z30" i="20" s="1"/>
  <c r="D30" i="20"/>
  <c r="C30" i="20"/>
  <c r="B30" i="20"/>
  <c r="A30" i="20"/>
  <c r="Y29" i="20"/>
  <c r="AC29" i="20" s="1"/>
  <c r="T29" i="20"/>
  <c r="AB29" i="20" s="1"/>
  <c r="O29" i="20"/>
  <c r="AA29" i="20" s="1"/>
  <c r="J29" i="20"/>
  <c r="Z29" i="20" s="1"/>
  <c r="D29" i="20"/>
  <c r="C29" i="20"/>
  <c r="B29" i="20"/>
  <c r="A29" i="20"/>
  <c r="Y28" i="20"/>
  <c r="AC28" i="20" s="1"/>
  <c r="T28" i="20"/>
  <c r="AB28" i="20" s="1"/>
  <c r="O28" i="20"/>
  <c r="AA28" i="20" s="1"/>
  <c r="J28" i="20"/>
  <c r="Z28" i="20" s="1"/>
  <c r="D28" i="20"/>
  <c r="C28" i="20"/>
  <c r="B28" i="20"/>
  <c r="A28" i="20"/>
  <c r="Y27" i="20"/>
  <c r="AC27" i="20" s="1"/>
  <c r="T27" i="20"/>
  <c r="AB27" i="20" s="1"/>
  <c r="O27" i="20"/>
  <c r="AA27" i="20" s="1"/>
  <c r="J27" i="20"/>
  <c r="Z27" i="20" s="1"/>
  <c r="D27" i="20"/>
  <c r="C27" i="20"/>
  <c r="B27" i="20"/>
  <c r="A27" i="20"/>
  <c r="Y26" i="20"/>
  <c r="AC26" i="20" s="1"/>
  <c r="T26" i="20"/>
  <c r="AB26" i="20" s="1"/>
  <c r="O26" i="20"/>
  <c r="AA26" i="20" s="1"/>
  <c r="J26" i="20"/>
  <c r="Z26" i="20" s="1"/>
  <c r="D26" i="20"/>
  <c r="C26" i="20"/>
  <c r="B26" i="20"/>
  <c r="A26" i="20"/>
  <c r="Y25" i="20"/>
  <c r="AC25" i="20" s="1"/>
  <c r="T25" i="20"/>
  <c r="AB25" i="20" s="1"/>
  <c r="O25" i="20"/>
  <c r="AA25" i="20" s="1"/>
  <c r="J25" i="20"/>
  <c r="Z25" i="20" s="1"/>
  <c r="D25" i="20"/>
  <c r="C25" i="20"/>
  <c r="B25" i="20"/>
  <c r="A25" i="20"/>
  <c r="Y24" i="20"/>
  <c r="AC24" i="20" s="1"/>
  <c r="T24" i="20"/>
  <c r="AB24" i="20" s="1"/>
  <c r="O24" i="20"/>
  <c r="AA24" i="20" s="1"/>
  <c r="J24" i="20"/>
  <c r="Z24" i="20" s="1"/>
  <c r="D24" i="20"/>
  <c r="C24" i="20"/>
  <c r="B24" i="20"/>
  <c r="A24" i="20"/>
  <c r="Y23" i="20"/>
  <c r="AC23" i="20" s="1"/>
  <c r="T23" i="20"/>
  <c r="AB23" i="20" s="1"/>
  <c r="O23" i="20"/>
  <c r="AA23" i="20" s="1"/>
  <c r="J23" i="20"/>
  <c r="Z23" i="20" s="1"/>
  <c r="D23" i="20"/>
  <c r="C23" i="20"/>
  <c r="B23" i="20"/>
  <c r="A23" i="20"/>
  <c r="Y22" i="20"/>
  <c r="AC22" i="20" s="1"/>
  <c r="T22" i="20"/>
  <c r="AB22" i="20" s="1"/>
  <c r="O22" i="20"/>
  <c r="AA22" i="20" s="1"/>
  <c r="J22" i="20"/>
  <c r="Z22" i="20" s="1"/>
  <c r="D22" i="20"/>
  <c r="C22" i="20"/>
  <c r="B22" i="20"/>
  <c r="A22" i="20"/>
  <c r="Y21" i="20"/>
  <c r="AC21" i="20" s="1"/>
  <c r="T21" i="20"/>
  <c r="AB21" i="20" s="1"/>
  <c r="O21" i="20"/>
  <c r="AA21" i="20" s="1"/>
  <c r="J21" i="20"/>
  <c r="Z21" i="20" s="1"/>
  <c r="D21" i="20"/>
  <c r="C21" i="20"/>
  <c r="B21" i="20"/>
  <c r="A21" i="20"/>
  <c r="Y20" i="20"/>
  <c r="AC20" i="20" s="1"/>
  <c r="T20" i="20"/>
  <c r="AB20" i="20" s="1"/>
  <c r="O20" i="20"/>
  <c r="AA20" i="20" s="1"/>
  <c r="J20" i="20"/>
  <c r="Z20" i="20" s="1"/>
  <c r="D20" i="20"/>
  <c r="C20" i="20"/>
  <c r="B20" i="20"/>
  <c r="A20" i="20"/>
  <c r="Y19" i="20"/>
  <c r="AC19" i="20" s="1"/>
  <c r="T19" i="20"/>
  <c r="AB19" i="20" s="1"/>
  <c r="O19" i="20"/>
  <c r="AA19" i="20" s="1"/>
  <c r="J19" i="20"/>
  <c r="Z19" i="20" s="1"/>
  <c r="D19" i="20"/>
  <c r="C19" i="20"/>
  <c r="B19" i="20"/>
  <c r="A19" i="20"/>
  <c r="Y18" i="20"/>
  <c r="AC18" i="20" s="1"/>
  <c r="T18" i="20"/>
  <c r="AB18" i="20" s="1"/>
  <c r="O18" i="20"/>
  <c r="AA18" i="20" s="1"/>
  <c r="J18" i="20"/>
  <c r="Z18" i="20" s="1"/>
  <c r="D18" i="20"/>
  <c r="C18" i="20"/>
  <c r="B18" i="20"/>
  <c r="A18" i="20"/>
  <c r="Y17" i="20"/>
  <c r="AC17" i="20" s="1"/>
  <c r="T17" i="20"/>
  <c r="AB17" i="20" s="1"/>
  <c r="O17" i="20"/>
  <c r="AA17" i="20" s="1"/>
  <c r="J17" i="20"/>
  <c r="Z17" i="20" s="1"/>
  <c r="D17" i="20"/>
  <c r="C17" i="20"/>
  <c r="B17" i="20"/>
  <c r="A17" i="20"/>
  <c r="Y16" i="20"/>
  <c r="AC16" i="20" s="1"/>
  <c r="T16" i="20"/>
  <c r="AB16" i="20" s="1"/>
  <c r="O16" i="20"/>
  <c r="AA16" i="20" s="1"/>
  <c r="J16" i="20"/>
  <c r="Z16" i="20" s="1"/>
  <c r="D16" i="20"/>
  <c r="C16" i="20"/>
  <c r="B16" i="20"/>
  <c r="A16" i="20"/>
  <c r="Y15" i="20"/>
  <c r="AC15" i="20" s="1"/>
  <c r="T15" i="20"/>
  <c r="AB15" i="20" s="1"/>
  <c r="O15" i="20"/>
  <c r="AA15" i="20" s="1"/>
  <c r="J15" i="20"/>
  <c r="Z15" i="20" s="1"/>
  <c r="D15" i="20"/>
  <c r="C15" i="20"/>
  <c r="B15" i="20"/>
  <c r="A15" i="20"/>
  <c r="Y14" i="20"/>
  <c r="AC14" i="20" s="1"/>
  <c r="T14" i="20"/>
  <c r="AB14" i="20" s="1"/>
  <c r="O14" i="20"/>
  <c r="AA14" i="20" s="1"/>
  <c r="J14" i="20"/>
  <c r="Z14" i="20" s="1"/>
  <c r="D14" i="20"/>
  <c r="C14" i="20"/>
  <c r="B14" i="20"/>
  <c r="A14" i="20"/>
  <c r="Y13" i="20"/>
  <c r="AC13" i="20" s="1"/>
  <c r="T13" i="20"/>
  <c r="AB13" i="20" s="1"/>
  <c r="O13" i="20"/>
  <c r="AA13" i="20" s="1"/>
  <c r="J13" i="20"/>
  <c r="Z13" i="20" s="1"/>
  <c r="D13" i="20"/>
  <c r="C13" i="20"/>
  <c r="B13" i="20"/>
  <c r="A13" i="20"/>
  <c r="Y12" i="20"/>
  <c r="AC12" i="20" s="1"/>
  <c r="T12" i="20"/>
  <c r="AB12" i="20" s="1"/>
  <c r="O12" i="20"/>
  <c r="AA12" i="20" s="1"/>
  <c r="J12" i="20"/>
  <c r="Z12" i="20" s="1"/>
  <c r="D12" i="20"/>
  <c r="C12" i="20"/>
  <c r="B12" i="20"/>
  <c r="A12" i="20"/>
  <c r="D11" i="20"/>
  <c r="C11" i="20"/>
  <c r="D10" i="20"/>
  <c r="C10" i="20"/>
  <c r="D9" i="20"/>
  <c r="C9" i="20"/>
  <c r="C8" i="20"/>
  <c r="D7" i="20"/>
  <c r="D8" i="20" s="1"/>
  <c r="D6" i="20"/>
  <c r="D5" i="20"/>
  <c r="C5" i="20"/>
  <c r="C6" i="20" s="1"/>
  <c r="C7" i="20" s="1"/>
  <c r="B5" i="20"/>
  <c r="B6" i="20" s="1"/>
  <c r="Y4" i="20"/>
  <c r="T4" i="20"/>
  <c r="O4" i="20"/>
  <c r="J4" i="20"/>
  <c r="AC2" i="20"/>
  <c r="AB2" i="20"/>
  <c r="AA2" i="20"/>
  <c r="Z2" i="20"/>
  <c r="J7" i="21" l="1"/>
  <c r="AC7" i="21" s="1"/>
  <c r="Z6" i="21"/>
  <c r="AA6" i="21"/>
  <c r="AB6" i="21"/>
  <c r="AB4" i="20"/>
  <c r="Z4" i="20"/>
  <c r="AA4" i="20"/>
  <c r="AC4" i="20"/>
  <c r="J5" i="20"/>
  <c r="Y5" i="20"/>
  <c r="AC5" i="20" s="1"/>
  <c r="O5" i="20"/>
  <c r="T5" i="20"/>
  <c r="A5" i="20"/>
  <c r="A6" i="20" s="1"/>
  <c r="T6" i="20"/>
  <c r="Y6" i="20"/>
  <c r="AC6" i="20" s="1"/>
  <c r="J6" i="20"/>
  <c r="O6" i="20"/>
  <c r="B7" i="20"/>
  <c r="Z7" i="21" l="1"/>
  <c r="AB7" i="21"/>
  <c r="AA6" i="20"/>
  <c r="AB6" i="20"/>
  <c r="Z6" i="20"/>
  <c r="AA5" i="20"/>
  <c r="AB5" i="20"/>
  <c r="Z5" i="20"/>
  <c r="B8" i="20"/>
  <c r="O7" i="20"/>
  <c r="AA7" i="20" s="1"/>
  <c r="Y7" i="20"/>
  <c r="AC7" i="20" s="1"/>
  <c r="A7" i="20"/>
  <c r="J7" i="20"/>
  <c r="Z7" i="20" s="1"/>
  <c r="T7" i="20"/>
  <c r="AB7" i="20" l="1"/>
  <c r="B9" i="20"/>
  <c r="O8" i="20"/>
  <c r="AA8" i="20" s="1"/>
  <c r="T8" i="20"/>
  <c r="AB8" i="20" s="1"/>
  <c r="J8" i="20"/>
  <c r="Z8" i="20" s="1"/>
  <c r="Y8" i="20"/>
  <c r="AC8" i="20" s="1"/>
  <c r="A8" i="20"/>
  <c r="J9" i="20" l="1"/>
  <c r="Z9" i="20" s="1"/>
  <c r="B10" i="20"/>
  <c r="O9" i="20"/>
  <c r="AA9" i="20" s="1"/>
  <c r="Y9" i="20"/>
  <c r="AC9" i="20" s="1"/>
  <c r="T9" i="20"/>
  <c r="AB9" i="20" s="1"/>
  <c r="A9" i="20"/>
  <c r="B11" i="20" l="1"/>
  <c r="A11" i="20" s="1"/>
  <c r="Y10" i="20"/>
  <c r="AC10" i="20" s="1"/>
  <c r="A10" i="20"/>
  <c r="T10" i="20"/>
  <c r="AB10" i="20" s="1"/>
  <c r="O10" i="20"/>
  <c r="AA10" i="20" s="1"/>
  <c r="J10" i="20"/>
  <c r="Z10" i="20" s="1"/>
  <c r="O11" i="20" l="1"/>
  <c r="AA11" i="20" s="1"/>
  <c r="J11" i="20"/>
  <c r="Z11" i="20" s="1"/>
  <c r="Y11" i="20"/>
  <c r="AC11" i="20" s="1"/>
  <c r="T11" i="20"/>
  <c r="AB11" i="20" s="1"/>
</calcChain>
</file>

<file path=xl/sharedStrings.xml><?xml version="1.0" encoding="utf-8"?>
<sst xmlns="http://schemas.openxmlformats.org/spreadsheetml/2006/main" count="416" uniqueCount="40">
  <si>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</si>
  <si>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</si>
  <si>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</si>
  <si>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</si>
  <si>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</si>
  <si>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</si>
  <si>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</si>
  <si>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</si>
  <si>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</si>
  <si>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</si>
  <si>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</si>
  <si>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</si>
  <si>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</si>
  <si>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</si>
  <si>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</si>
  <si>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</si>
  <si>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</si>
  <si>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</si>
  <si>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</si>
  <si>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</si>
  <si>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</si>
  <si>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</si>
  <si>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ロン</t>
  </si>
  <si>
    <t>放銃</t>
  </si>
  <si>
    <t>流局</t>
    <phoneticPr fontId="1"/>
  </si>
  <si>
    <t>ツモ支払</t>
  </si>
  <si>
    <t>ツモ</t>
  </si>
  <si>
    <t>堀内</t>
  </si>
  <si>
    <t>堀内</t>
    <rPh sb="0" eb="2">
      <t>ホリウチ</t>
    </rPh>
    <phoneticPr fontId="1"/>
  </si>
  <si>
    <t>坂口</t>
  </si>
  <si>
    <t>坂口</t>
    <rPh sb="0" eb="2">
      <t>サカグチ</t>
    </rPh>
    <phoneticPr fontId="1"/>
  </si>
  <si>
    <t>齋藤</t>
  </si>
  <si>
    <t>齋藤</t>
    <rPh sb="0" eb="2">
      <t>サイトウ</t>
    </rPh>
    <phoneticPr fontId="1"/>
  </si>
  <si>
    <t>北沢</t>
    <rPh sb="0" eb="2">
      <t>キタザワ</t>
    </rPh>
    <phoneticPr fontId="1"/>
  </si>
  <si>
    <t>百瀬</t>
  </si>
  <si>
    <t>百瀬</t>
    <rPh sb="0" eb="2">
      <t>モモセ</t>
    </rPh>
    <phoneticPr fontId="1"/>
  </si>
  <si>
    <t>高野</t>
  </si>
  <si>
    <t>高野</t>
    <rPh sb="0" eb="2">
      <t>タカノ</t>
    </rPh>
    <phoneticPr fontId="1"/>
  </si>
  <si>
    <t>水澤</t>
  </si>
  <si>
    <t>水澤</t>
    <rPh sb="0" eb="2">
      <t>ミズサワ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</si>
</sst>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AC30"/>
  <sheetViews>
    <sheetView zoomScaleNormal="100" workbookViewId="0">
      <selection activeCell="E5" sqref="E5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30</v>
      </c>
      <c r="G1" s="44"/>
      <c r="H1" s="44"/>
      <c r="I1" s="45"/>
      <c r="J1" s="46"/>
      <c r="K1" s="43" t="s">
        <v>32</v>
      </c>
      <c r="L1" s="44"/>
      <c r="M1" s="44"/>
      <c r="N1" s="45"/>
      <c r="O1" s="46"/>
      <c r="P1" s="43" t="s">
        <v>28</v>
      </c>
      <c r="Q1" s="44"/>
      <c r="R1" s="44"/>
      <c r="S1" s="45"/>
      <c r="T1" s="46"/>
      <c r="U1" s="43" t="s">
        <v>33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坂口</v>
      </c>
      <c r="AA2" s="40" t="str">
        <f>$K$1</f>
        <v>齋藤</v>
      </c>
      <c r="AB2" s="40" t="str">
        <f>$P$1</f>
        <v>堀内</v>
      </c>
      <c r="AC2" s="16" t="str">
        <f>$U$1</f>
        <v>北沢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29</v>
      </c>
      <c r="F4" s="8"/>
      <c r="G4" s="9"/>
      <c r="H4" s="9"/>
      <c r="I4" s="28"/>
      <c r="J4" s="21">
        <f>IF(COUNTA($F4,$K4,$P4,$U4)&gt;0,J3+SUM(G4:I4),"")</f>
        <v>30000</v>
      </c>
      <c r="K4" s="8" t="s">
        <v>22</v>
      </c>
      <c r="L4" s="9">
        <v>1300</v>
      </c>
      <c r="M4" s="9">
        <v>1000</v>
      </c>
      <c r="N4" s="28">
        <v>0</v>
      </c>
      <c r="O4" s="21">
        <f>IF(COUNTA($F4,$K4,$P4,$U4)&gt;0,O3+SUM(L4:N4),"")</f>
        <v>32300</v>
      </c>
      <c r="P4" s="8"/>
      <c r="Q4" s="9"/>
      <c r="R4" s="9"/>
      <c r="S4" s="28"/>
      <c r="T4" s="21">
        <f>IF(COUNTA($F4,$K4,$P4,$U4)&gt;0,T3+SUM(Q4:S4),"")</f>
        <v>30000</v>
      </c>
      <c r="U4" s="8" t="s">
        <v>23</v>
      </c>
      <c r="V4" s="9">
        <v>-1300</v>
      </c>
      <c r="W4" s="9">
        <v>-1000</v>
      </c>
      <c r="X4" s="28">
        <v>0</v>
      </c>
      <c r="Y4" s="21">
        <f>IF(COUNTA($F4,$K4,$P4,$U4)&gt;0,Y3+SUM(V4:X4),"")</f>
        <v>27700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2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9.3000000000000007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2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-12.3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31</v>
      </c>
      <c r="F5" s="8"/>
      <c r="G5" s="9"/>
      <c r="H5" s="9"/>
      <c r="I5" s="28"/>
      <c r="J5" s="21">
        <f t="shared" ref="J5:J30" si="1">IF(COUNTA($F5,$K5,$P5,$U5)&gt;0,J4+SUM(G5:I5),"")</f>
        <v>30000</v>
      </c>
      <c r="K5" s="8"/>
      <c r="L5" s="9"/>
      <c r="M5" s="9"/>
      <c r="N5" s="28"/>
      <c r="O5" s="21">
        <f t="shared" ref="O5:O30" si="2">IF(COUNTA($F5,$K5,$P5,$U5)&gt;0,O4+SUM(L5:N5),"")</f>
        <v>32300</v>
      </c>
      <c r="P5" s="8" t="s">
        <v>22</v>
      </c>
      <c r="Q5" s="9">
        <v>1300</v>
      </c>
      <c r="R5" s="9"/>
      <c r="S5" s="28">
        <v>0</v>
      </c>
      <c r="T5" s="21">
        <f t="shared" ref="T5:T30" si="3">IF(COUNTA($F5,$K5,$P5,$U5)&gt;0,T4+SUM(Q5:S5),"")</f>
        <v>31300</v>
      </c>
      <c r="U5" s="8" t="s">
        <v>23</v>
      </c>
      <c r="V5" s="9">
        <v>-1300</v>
      </c>
      <c r="W5" s="9"/>
      <c r="X5" s="28">
        <v>0</v>
      </c>
      <c r="Y5" s="21">
        <f t="shared" ref="Y5:Y30" si="4">IF(COUNTA($F5,$K5,$P5,$U5)&gt;0,Y4+SUM(V5:X5),"")</f>
        <v>26400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1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9.3000000000000007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3.3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-13.6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3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27</v>
      </c>
      <c r="F6" s="8" t="s">
        <v>24</v>
      </c>
      <c r="G6" s="9">
        <v>-1500</v>
      </c>
      <c r="H6" s="9"/>
      <c r="I6" s="28"/>
      <c r="J6" s="21">
        <f t="shared" si="1"/>
        <v>28500</v>
      </c>
      <c r="K6" s="8" t="s">
        <v>24</v>
      </c>
      <c r="L6" s="9">
        <v>-1500</v>
      </c>
      <c r="M6" s="9"/>
      <c r="N6" s="28"/>
      <c r="O6" s="21">
        <f t="shared" si="2"/>
        <v>30800</v>
      </c>
      <c r="P6" s="8" t="s">
        <v>24</v>
      </c>
      <c r="Q6" s="9">
        <v>1500</v>
      </c>
      <c r="R6" s="9"/>
      <c r="S6" s="28"/>
      <c r="T6" s="21">
        <f t="shared" si="3"/>
        <v>32800</v>
      </c>
      <c r="U6" s="8" t="s">
        <v>24</v>
      </c>
      <c r="V6" s="9">
        <v>1500</v>
      </c>
      <c r="W6" s="9">
        <v>-1000</v>
      </c>
      <c r="X6" s="28"/>
      <c r="Y6" s="21">
        <f t="shared" si="4"/>
        <v>26900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-11.5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5.8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17.8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-13.1</v>
      </c>
    </row>
    <row r="7" spans="1:29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7"/>
        <v>1</v>
      </c>
      <c r="E7" s="4" t="s">
        <v>27</v>
      </c>
      <c r="F7" s="8"/>
      <c r="G7" s="9"/>
      <c r="H7" s="9"/>
      <c r="I7" s="28"/>
      <c r="J7" s="21">
        <f t="shared" si="1"/>
        <v>28500</v>
      </c>
      <c r="K7" s="8" t="s">
        <v>23</v>
      </c>
      <c r="L7" s="9">
        <v>-2000</v>
      </c>
      <c r="M7" s="9"/>
      <c r="N7" s="28">
        <v>-300</v>
      </c>
      <c r="O7" s="21">
        <f t="shared" si="2"/>
        <v>28500</v>
      </c>
      <c r="P7" s="8" t="s">
        <v>22</v>
      </c>
      <c r="Q7" s="9">
        <v>2000</v>
      </c>
      <c r="R7" s="9">
        <v>1000</v>
      </c>
      <c r="S7" s="28">
        <v>300</v>
      </c>
      <c r="T7" s="21">
        <f t="shared" si="3"/>
        <v>36100</v>
      </c>
      <c r="U7" s="8"/>
      <c r="V7" s="9"/>
      <c r="W7" s="9"/>
      <c r="X7" s="28"/>
      <c r="Y7" s="21">
        <f t="shared" si="4"/>
        <v>26900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-11.5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-11.5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36.1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-13.1</v>
      </c>
    </row>
    <row r="8" spans="1:29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IF($J8="","",ROUND(($J8-$J$3)/1000,1)+IF($J8&lt;30000,-10,_xlfn.SWITCH(FREQUENCY(($J8,$O8,$T8,$Y8),29900),3,30,2,_xlfn.SWITCH(_xlfn.RANK.EQ($J8,($J8,$O8,$T8,$Y8)),1,15,2,5),1,_xlfn.SWITCH(_xlfn.RANK.EQ($J8,($J8,$O8,$T8,$Y8)),1,7,2,2,3,1),0,0)))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IF($O8="","",ROUND(($O8-$O$3)/1000,1)+IF($O8&lt;30000,-10,_xlfn.SWITCH(FREQUENCY(($J8,$O8,$T8,$Y8),29900),3,30,2,_xlfn.SWITCH(_xlfn.RANK.EQ($O8,($J8,$O8,$T8,$Y8)),1,15,2,5),1,_xlfn.SWITCH(_xlfn.RANK.EQ($O8,($J8,$O8,$T8,$Y8)),1,7,2,2,3,1),0,0)))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IF($T8="","",ROUND(($T8-$T$3)/1000,1)+IF($T8&lt;30000,-10,_xlfn.SWITCH(FREQUENCY(($J8,$O8,$T8,$Y8),29900),3,30,2,_xlfn.SWITCH(_xlfn.RANK.EQ($T8,($J8,$O8,$T8,$Y8)),1,15,2,5),1,_xlfn.SWITCH(_xlfn.RANK.EQ($T8,($J8,$O8,$T8,$Y8)),1,7,2,2,3,1),0,0)))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IF($Y8="","",ROUND(($Y8-$Y$3)/1000,1)+IF($Y8&lt;30000,-10,_xlfn.SWITCH(FREQUENCY(($J8,$O8,$T8,$Y8),29900),3,30,2,_xlfn.SWITCH(_xlfn.RANK.EQ($Y8,($J8,$O8,$T8,$Y8)),1,15,2,5),1,_xlfn.SWITCH(_xlfn.RANK.EQ($Y8,($J8,$O8,$T8,$Y8)),1,7,2,2,3,1),0,0)))</f>
        <v/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5" priority="10">
      <formula>IF(G4&lt;&gt;"",SUM($G4:$I4,$L4:$N4,$Q4:$S4,$V4:$X4)-$D4*1000+$D5*1000)</formula>
    </cfRule>
  </conditionalFormatting>
  <conditionalFormatting sqref="F1:Y1">
    <cfRule type="duplicateValues" dxfId="4" priority="2"/>
  </conditionalFormatting>
  <conditionalFormatting sqref="Z3:AC30">
    <cfRule type="expression" dxfId="3" priority="1">
      <formula>AND(Z4="",SUM($Z3:$AC3))</formula>
    </cfRule>
  </conditionalFormatting>
  <dataValidations count="2">
    <dataValidation type="list" showInputMessage="1" showErrorMessage="1" sqref="K4:K30 P4:P30 F4:F30 U4:U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FB387-1D1E-485C-AE30-C7B2701ADF91}">
  <sheetPr codeName="Sheet9">
    <pageSetUpPr fitToPage="1"/>
  </sheetPr>
  <dimension ref="A1:AC30"/>
  <sheetViews>
    <sheetView tabSelected="1" zoomScaleNormal="100" workbookViewId="0">
      <selection activeCell="E6" sqref="E6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37</v>
      </c>
      <c r="G1" s="44"/>
      <c r="H1" s="44"/>
      <c r="I1" s="45"/>
      <c r="J1" s="46"/>
      <c r="K1" s="43" t="s">
        <v>39</v>
      </c>
      <c r="L1" s="44"/>
      <c r="M1" s="44"/>
      <c r="N1" s="45"/>
      <c r="O1" s="46"/>
      <c r="P1" s="43" t="s">
        <v>30</v>
      </c>
      <c r="Q1" s="44"/>
      <c r="R1" s="44"/>
      <c r="S1" s="45"/>
      <c r="T1" s="46"/>
      <c r="U1" s="43" t="s">
        <v>35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41" t="str">
        <f>$F$1</f>
        <v>高野</v>
      </c>
      <c r="AA2" s="42" t="str">
        <f>$K$1</f>
        <v>水澤</v>
      </c>
      <c r="AB2" s="42" t="str">
        <f>$P$1</f>
        <v>坂口</v>
      </c>
      <c r="AC2" s="16" t="str">
        <f>$U$1</f>
        <v>百瀬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36</v>
      </c>
      <c r="F4" s="8" t="s">
        <v>23</v>
      </c>
      <c r="G4" s="9">
        <v>-5200</v>
      </c>
      <c r="H4" s="9"/>
      <c r="I4" s="28">
        <v>0</v>
      </c>
      <c r="J4" s="21">
        <f>IF(COUNTA($F4,$K4,$P4,$U4)&gt;0,J3+SUM(G4:I4),"")</f>
        <v>24800</v>
      </c>
      <c r="K4" s="8"/>
      <c r="L4" s="9"/>
      <c r="M4" s="9"/>
      <c r="N4" s="28"/>
      <c r="O4" s="21">
        <f>IF(COUNTA($F4,$K4,$P4,$U4)&gt;0,O3+SUM(L4:N4),"")</f>
        <v>30000</v>
      </c>
      <c r="P4" s="8"/>
      <c r="Q4" s="9"/>
      <c r="R4" s="9"/>
      <c r="S4" s="28"/>
      <c r="T4" s="21">
        <f>IF(COUNTA($F4,$K4,$P4,$U4)&gt;0,T3+SUM(Q4:S4),"")</f>
        <v>30000</v>
      </c>
      <c r="U4" s="8" t="s">
        <v>22</v>
      </c>
      <c r="V4" s="9">
        <v>5200</v>
      </c>
      <c r="W4" s="9"/>
      <c r="X4" s="28">
        <v>0</v>
      </c>
      <c r="Y4" s="21">
        <f>IF(COUNTA($F4,$K4,$P4,$U4)&gt;0,Y3+SUM(V4:X4),"")</f>
        <v>35200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-15.2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2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2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12.2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38</v>
      </c>
      <c r="F5" s="8" t="s">
        <v>22</v>
      </c>
      <c r="G5" s="9">
        <v>2000</v>
      </c>
      <c r="H5" s="9">
        <v>2000</v>
      </c>
      <c r="I5" s="28">
        <v>0</v>
      </c>
      <c r="J5" s="21">
        <f t="shared" ref="J5:J30" si="1">IF(COUNTA($F5,$K5,$P5,$U5)&gt;0,J4+SUM(G5:I5),"")</f>
        <v>28800</v>
      </c>
      <c r="K5" s="8"/>
      <c r="L5" s="9"/>
      <c r="M5" s="9">
        <v>-1000</v>
      </c>
      <c r="N5" s="28"/>
      <c r="O5" s="21">
        <f t="shared" ref="O5:O30" si="2">IF(COUNTA($F5,$K5,$P5,$U5)&gt;0,O4+SUM(L5:N5),"")</f>
        <v>29000</v>
      </c>
      <c r="P5" s="8" t="s">
        <v>23</v>
      </c>
      <c r="Q5" s="9">
        <v>-2000</v>
      </c>
      <c r="R5" s="9">
        <v>-1000</v>
      </c>
      <c r="S5" s="28">
        <v>0</v>
      </c>
      <c r="T5" s="21">
        <f t="shared" ref="T5:T30" si="3">IF(COUNTA($F5,$K5,$P5,$U5)&gt;0,T4+SUM(Q5:S5),"")</f>
        <v>27000</v>
      </c>
      <c r="U5" s="8"/>
      <c r="V5" s="9"/>
      <c r="W5" s="9"/>
      <c r="X5" s="28"/>
      <c r="Y5" s="21">
        <f t="shared" ref="Y5:Y30" si="4">IF(COUNTA($F5,$K5,$P5,$U5)&gt;0,Y4+SUM(V5:X5),"")</f>
        <v>35200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-11.2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-11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-13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35.200000000000003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3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29</v>
      </c>
      <c r="F6" s="8" t="s">
        <v>22</v>
      </c>
      <c r="G6" s="9">
        <v>5200</v>
      </c>
      <c r="H6" s="9">
        <v>2000</v>
      </c>
      <c r="I6" s="28">
        <v>0</v>
      </c>
      <c r="J6" s="21">
        <f t="shared" si="1"/>
        <v>36000</v>
      </c>
      <c r="K6" s="8"/>
      <c r="L6" s="9"/>
      <c r="M6" s="9">
        <v>-1000</v>
      </c>
      <c r="N6" s="28"/>
      <c r="O6" s="21">
        <f t="shared" si="2"/>
        <v>28000</v>
      </c>
      <c r="P6" s="8" t="s">
        <v>23</v>
      </c>
      <c r="Q6" s="9">
        <v>-5200</v>
      </c>
      <c r="R6" s="9">
        <v>-1000</v>
      </c>
      <c r="S6" s="28">
        <v>0</v>
      </c>
      <c r="T6" s="21">
        <f t="shared" si="3"/>
        <v>20800</v>
      </c>
      <c r="U6" s="8"/>
      <c r="V6" s="9"/>
      <c r="W6" s="9"/>
      <c r="X6" s="28"/>
      <c r="Y6" s="21">
        <f t="shared" si="4"/>
        <v>35200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21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-12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-19.2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10.199999999999999</v>
      </c>
    </row>
    <row r="7" spans="1:29" x14ac:dyDescent="0.4">
      <c r="A7" s="13" t="str">
        <f t="shared" si="0"/>
        <v>東</v>
      </c>
      <c r="B7" s="18">
        <f t="shared" si="5"/>
        <v>4</v>
      </c>
      <c r="C7" s="18">
        <f t="shared" si="6"/>
        <v>0</v>
      </c>
      <c r="D7" s="18">
        <f t="shared" si="7"/>
        <v>0</v>
      </c>
      <c r="E7" s="4" t="s">
        <v>34</v>
      </c>
      <c r="F7" s="8" t="s">
        <v>25</v>
      </c>
      <c r="G7" s="9">
        <v>-2000</v>
      </c>
      <c r="H7" s="9"/>
      <c r="I7" s="28">
        <v>0</v>
      </c>
      <c r="J7" s="21">
        <f t="shared" si="1"/>
        <v>34000</v>
      </c>
      <c r="K7" s="8" t="s">
        <v>25</v>
      </c>
      <c r="L7" s="9">
        <v>-2000</v>
      </c>
      <c r="M7" s="9"/>
      <c r="N7" s="28">
        <v>0</v>
      </c>
      <c r="O7" s="21">
        <f t="shared" si="2"/>
        <v>26000</v>
      </c>
      <c r="P7" s="8" t="s">
        <v>26</v>
      </c>
      <c r="Q7" s="9">
        <v>7900</v>
      </c>
      <c r="R7" s="9"/>
      <c r="S7" s="28">
        <v>0</v>
      </c>
      <c r="T7" s="21">
        <f t="shared" si="3"/>
        <v>28700</v>
      </c>
      <c r="U7" s="8" t="s">
        <v>25</v>
      </c>
      <c r="V7" s="9">
        <v>-3900</v>
      </c>
      <c r="W7" s="9"/>
      <c r="X7" s="28">
        <v>0</v>
      </c>
      <c r="Y7" s="21">
        <f t="shared" si="4"/>
        <v>31300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19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-14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-11.3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6.3</v>
      </c>
    </row>
    <row r="8" spans="1:29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IF($J8="","",ROUND(($J8-$J$3)/1000,1)+IF($J8&lt;30000,-10,_xlfn.SWITCH(FREQUENCY(($J8,$O8,$T8,$Y8),29900),3,30,2,_xlfn.SWITCH(_xlfn.RANK.EQ($J8,($J8,$O8,$T8,$Y8)),1,15,2,5),1,_xlfn.SWITCH(_xlfn.RANK.EQ($J8,($J8,$O8,$T8,$Y8)),1,7,2,2,3,1),0,0)))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IF($O8="","",ROUND(($O8-$O$3)/1000,1)+IF($O8&lt;30000,-10,_xlfn.SWITCH(FREQUENCY(($J8,$O8,$T8,$Y8),29900),3,30,2,_xlfn.SWITCH(_xlfn.RANK.EQ($O8,($J8,$O8,$T8,$Y8)),1,15,2,5),1,_xlfn.SWITCH(_xlfn.RANK.EQ($O8,($J8,$O8,$T8,$Y8)),1,7,2,2,3,1),0,0)))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IF($T8="","",ROUND(($T8-$T$3)/1000,1)+IF($T8&lt;30000,-10,_xlfn.SWITCH(FREQUENCY(($J8,$O8,$T8,$Y8),29900),3,30,2,_xlfn.SWITCH(_xlfn.RANK.EQ($T8,($J8,$O8,$T8,$Y8)),1,15,2,5),1,_xlfn.SWITCH(_xlfn.RANK.EQ($T8,($J8,$O8,$T8,$Y8)),1,7,2,2,3,1),0,0)))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IF($Y8="","",ROUND(($Y8-$Y$3)/1000,1)+IF($Y8&lt;30000,-10,_xlfn.SWITCH(FREQUENCY(($J8,$O8,$T8,$Y8),29900),3,30,2,_xlfn.SWITCH(_xlfn.RANK.EQ($Y8,($J8,$O8,$T8,$Y8)),1,15,2,5),1,_xlfn.SWITCH(_xlfn.RANK.EQ($Y8,($J8,$O8,$T8,$Y8)),1,7,2,2,3,1),0,0)))</f>
        <v/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allowBlank="1" showInputMessage="1" showErrorMessage="1" sqref="E4:E30" xr:uid="{79C702FB-A794-46CC-9B1B-EA18ABD030F2}">
      <formula1>$Z$2:$AC$2</formula1>
    </dataValidation>
    <dataValidation type="list" showInputMessage="1" showErrorMessage="1" sqref="K4:K30 P4:P30 F4:F30 U4:U30" xr:uid="{A05F9099-9F69-437E-B92D-5CDE09573DE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2100</v>
      </c>
      <c r="E3" s="25">
        <v>3900</v>
      </c>
      <c r="F3" s="25">
        <v>7800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4800</v>
      </c>
      <c r="F4" s="25">
        <v>9600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1500</v>
      </c>
      <c r="D5" s="25">
        <v>3000</v>
      </c>
      <c r="E5" s="25">
        <v>6000</v>
      </c>
      <c r="F5" s="25">
        <v>11700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2100</v>
      </c>
      <c r="D6" s="25">
        <v>3900</v>
      </c>
      <c r="E6" s="25">
        <v>7800</v>
      </c>
      <c r="F6" s="25">
        <v>12000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2400</v>
      </c>
      <c r="D7" s="25">
        <v>4800</v>
      </c>
      <c r="E7" s="25">
        <v>9600</v>
      </c>
      <c r="F7" s="25">
        <v>12000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3000</v>
      </c>
      <c r="D8" s="25">
        <v>6000</v>
      </c>
      <c r="E8" s="25">
        <v>11700</v>
      </c>
      <c r="F8" s="25">
        <v>12000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3600</v>
      </c>
      <c r="D9" s="25">
        <v>6900</v>
      </c>
      <c r="E9" s="25">
        <v>12000</v>
      </c>
      <c r="F9" s="25">
        <v>12000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3900</v>
      </c>
      <c r="D10" s="25">
        <v>7800</v>
      </c>
      <c r="E10" s="25">
        <v>12000</v>
      </c>
      <c r="F10" s="25">
        <v>12000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4500</v>
      </c>
      <c r="D11" s="25">
        <v>8700</v>
      </c>
      <c r="E11" s="25">
        <v>12000</v>
      </c>
      <c r="F11" s="25">
        <v>12000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4800</v>
      </c>
      <c r="D12" s="25">
        <v>9600</v>
      </c>
      <c r="E12" s="25">
        <v>12000</v>
      </c>
      <c r="F12" s="25">
        <v>12000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10800</v>
      </c>
      <c r="E13" s="25">
        <v>12000</v>
      </c>
      <c r="F13" s="25">
        <v>12000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1500</v>
      </c>
      <c r="E3" s="25">
        <v>2700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1100</v>
      </c>
      <c r="D5" s="25">
        <v>2000</v>
      </c>
      <c r="E5" s="25">
        <v>4000</v>
      </c>
      <c r="F5" s="25">
        <v>7900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1500</v>
      </c>
      <c r="D6" s="25">
        <v>2700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7900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4700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2700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3100</v>
      </c>
      <c r="D11" s="25">
        <v>5900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2019-06-23T02:33:43Z</dcterms:modified>
</cp:coreProperties>
</file>