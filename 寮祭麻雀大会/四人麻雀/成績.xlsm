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1日目\"/>
    </mc:Choice>
  </mc:AlternateContent>
  <xr:revisionPtr revIDLastSave="0" documentId="13_ncr:1_{EED7520B-549A-43F9-8E16-941574973C9A}" xr6:coauthVersionLast="36" xr6:coauthVersionMax="36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石澤" sheetId="496" r:id="rId2"/>
    <sheet name="矢ヶ崎" sheetId="497" r:id="rId3"/>
    <sheet name="北沢" sheetId="498" r:id="rId4"/>
    <sheet name="水澤" sheetId="499" r:id="rId5"/>
    <sheet name="福澤" sheetId="500" r:id="rId6"/>
    <sheet name="大池" sheetId="501" r:id="rId7"/>
    <sheet name="高野" sheetId="502" r:id="rId8"/>
    <sheet name="齋藤" sheetId="503" r:id="rId9"/>
    <sheet name="依田" sheetId="504" r:id="rId10"/>
    <sheet name="滝沢" sheetId="505" r:id="rId11"/>
    <sheet name="保谷" sheetId="506" r:id="rId12"/>
    <sheet name="齊藤" sheetId="507" r:id="rId13"/>
    <sheet name="Template" sheetId="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7" i="507" l="1"/>
  <c r="C15" i="507"/>
  <c r="C14" i="507"/>
  <c r="C13" i="507"/>
  <c r="B12" i="507"/>
  <c r="B16" i="507" s="1"/>
  <c r="C11" i="507"/>
  <c r="C10" i="507"/>
  <c r="C9" i="507"/>
  <c r="C8" i="507"/>
  <c r="C7" i="507"/>
  <c r="B6" i="507"/>
  <c r="B5" i="507"/>
  <c r="C12" i="507" l="1"/>
  <c r="B17" i="506" l="1"/>
  <c r="C15" i="506"/>
  <c r="C14" i="506"/>
  <c r="C13" i="506"/>
  <c r="B12" i="506"/>
  <c r="B16" i="506" s="1"/>
  <c r="C11" i="506"/>
  <c r="C10" i="506"/>
  <c r="C9" i="506"/>
  <c r="C8" i="506"/>
  <c r="C7" i="506"/>
  <c r="B6" i="506"/>
  <c r="B5" i="506"/>
  <c r="B17" i="505"/>
  <c r="C15" i="505"/>
  <c r="C14" i="505"/>
  <c r="C13" i="505"/>
  <c r="B12" i="505"/>
  <c r="B16" i="505" s="1"/>
  <c r="C11" i="505"/>
  <c r="C10" i="505"/>
  <c r="C9" i="505"/>
  <c r="C8" i="505"/>
  <c r="C7" i="505"/>
  <c r="B6" i="505"/>
  <c r="B5" i="505"/>
  <c r="B17" i="504"/>
  <c r="C15" i="504"/>
  <c r="C14" i="504"/>
  <c r="C13" i="504"/>
  <c r="B12" i="504"/>
  <c r="B16" i="504" s="1"/>
  <c r="C11" i="504"/>
  <c r="C10" i="504"/>
  <c r="C9" i="504"/>
  <c r="C8" i="504"/>
  <c r="C7" i="504"/>
  <c r="B6" i="504"/>
  <c r="B5" i="504"/>
  <c r="B17" i="503"/>
  <c r="C15" i="503"/>
  <c r="C14" i="503"/>
  <c r="C13" i="503"/>
  <c r="B12" i="503"/>
  <c r="B16" i="503" s="1"/>
  <c r="C11" i="503"/>
  <c r="C10" i="503"/>
  <c r="C9" i="503"/>
  <c r="C8" i="503"/>
  <c r="C7" i="503"/>
  <c r="B6" i="503"/>
  <c r="B5" i="503"/>
  <c r="C12" i="506" l="1"/>
  <c r="C12" i="505"/>
  <c r="C12" i="504"/>
  <c r="C12" i="503"/>
  <c r="B17" i="502" l="1"/>
  <c r="C15" i="502"/>
  <c r="C14" i="502"/>
  <c r="C13" i="502"/>
  <c r="B12" i="502"/>
  <c r="B16" i="502" s="1"/>
  <c r="C11" i="502"/>
  <c r="C10" i="502"/>
  <c r="C9" i="502"/>
  <c r="C8" i="502"/>
  <c r="C7" i="502"/>
  <c r="B6" i="502"/>
  <c r="B5" i="502"/>
  <c r="B17" i="501"/>
  <c r="C15" i="501"/>
  <c r="C14" i="501"/>
  <c r="C13" i="501"/>
  <c r="B12" i="501"/>
  <c r="B16" i="501" s="1"/>
  <c r="C11" i="501"/>
  <c r="C10" i="501"/>
  <c r="C9" i="501"/>
  <c r="C8" i="501"/>
  <c r="C7" i="501"/>
  <c r="B6" i="501"/>
  <c r="B5" i="501"/>
  <c r="B17" i="500"/>
  <c r="C15" i="500"/>
  <c r="C14" i="500"/>
  <c r="C13" i="500"/>
  <c r="B12" i="500"/>
  <c r="B16" i="500" s="1"/>
  <c r="C11" i="500"/>
  <c r="C10" i="500"/>
  <c r="C9" i="500"/>
  <c r="C8" i="500"/>
  <c r="C7" i="500"/>
  <c r="B6" i="500"/>
  <c r="B5" i="500"/>
  <c r="B17" i="499"/>
  <c r="C15" i="499"/>
  <c r="C14" i="499"/>
  <c r="C13" i="499"/>
  <c r="B12" i="499"/>
  <c r="B16" i="499" s="1"/>
  <c r="C11" i="499"/>
  <c r="C10" i="499"/>
  <c r="C9" i="499"/>
  <c r="C8" i="499"/>
  <c r="C7" i="499"/>
  <c r="B6" i="499"/>
  <c r="B5" i="499"/>
  <c r="B17" i="498"/>
  <c r="C15" i="498"/>
  <c r="C14" i="498"/>
  <c r="C13" i="498"/>
  <c r="B12" i="498"/>
  <c r="B16" i="498" s="1"/>
  <c r="C11" i="498"/>
  <c r="C10" i="498"/>
  <c r="C9" i="498"/>
  <c r="C8" i="498"/>
  <c r="C7" i="498"/>
  <c r="B6" i="498"/>
  <c r="B5" i="498"/>
  <c r="B17" i="497"/>
  <c r="C15" i="497"/>
  <c r="C14" i="497"/>
  <c r="C13" i="497"/>
  <c r="B12" i="497"/>
  <c r="B16" i="497" s="1"/>
  <c r="C11" i="497"/>
  <c r="C10" i="497"/>
  <c r="C9" i="497"/>
  <c r="C8" i="497"/>
  <c r="C7" i="497"/>
  <c r="B6" i="497"/>
  <c r="B5" i="497"/>
  <c r="B17" i="496"/>
  <c r="C15" i="496"/>
  <c r="C14" i="496"/>
  <c r="C13" i="496"/>
  <c r="B12" i="496"/>
  <c r="B16" i="496" s="1"/>
  <c r="C11" i="496"/>
  <c r="C10" i="496"/>
  <c r="C9" i="496"/>
  <c r="C8" i="496"/>
  <c r="C7" i="496"/>
  <c r="B6" i="496"/>
  <c r="B5" i="496"/>
  <c r="C12" i="502" l="1"/>
  <c r="C12" i="501"/>
  <c r="C12" i="500"/>
  <c r="C12" i="499"/>
  <c r="C12" i="498"/>
  <c r="C12" i="497"/>
  <c r="C12" i="496"/>
  <c r="B17" i="1" l="1"/>
  <c r="B16" i="1"/>
  <c r="B6" i="1" l="1"/>
  <c r="B5" i="1"/>
  <c r="C15" i="1"/>
  <c r="C14" i="1"/>
  <c r="C13" i="1"/>
  <c r="C11" i="1"/>
  <c r="C10" i="1"/>
  <c r="C9" i="1"/>
  <c r="C8" i="1"/>
  <c r="C7" i="1"/>
  <c r="B12" i="1" l="1"/>
  <c r="C12" i="1" l="1"/>
</calcChain>
</file>

<file path=xl/sharedStrings.xml><?xml version="1.0" encoding="utf-8"?>
<sst xmlns="http://schemas.openxmlformats.org/spreadsheetml/2006/main" count="350" uniqueCount="47">
  <si>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</si>
  <si>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</si>
  <si>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</si>
  <si>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</si>
  <si>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</si>
  <si>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</si>
  <si>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</si>
  <si>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</si>
  <si>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</si>
  <si>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</si>
  <si>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</si>
  <si>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</si>
  <si>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</si>
  <si>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</si>
  <si>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</si>
  <si>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</si>
  <si>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</si>
  <si>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</si>
  <si>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</si>
  <si>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</si>
  <si>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</si>
  <si>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</si>
  <si>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4位</t>
    <phoneticPr fontId="1"/>
  </si>
  <si>
    <t>大池</t>
  </si>
  <si>
    <t>依田</t>
  </si>
  <si>
    <t>滝沢</t>
  </si>
  <si>
    <t>石澤</t>
  </si>
  <si>
    <t>矢ヶ崎</t>
  </si>
  <si>
    <t>北沢</t>
  </si>
  <si>
    <t>水澤</t>
  </si>
  <si>
    <t>石澤</t>
    <phoneticPr fontId="1"/>
  </si>
  <si>
    <t>福澤</t>
  </si>
  <si>
    <t>高野</t>
  </si>
  <si>
    <t>大池</t>
    <phoneticPr fontId="1"/>
  </si>
  <si>
    <t>齋藤</t>
  </si>
  <si>
    <t>齋藤</t>
    <phoneticPr fontId="1"/>
  </si>
  <si>
    <t>齊藤</t>
  </si>
  <si>
    <t>保谷</t>
  </si>
  <si>
    <t>高野</t>
    <phoneticPr fontId="1"/>
  </si>
  <si>
    <t>福澤</t>
    <phoneticPr fontId="1"/>
  </si>
  <si>
    <t>北沢</t>
    <phoneticPr fontId="1"/>
  </si>
  <si>
    <t>齊藤</t>
    <phoneticPr fontId="1"/>
  </si>
  <si>
    <t>矢ヶ崎</t>
    <phoneticPr fontId="1"/>
  </si>
  <si>
    <t>依田</t>
    <phoneticPr fontId="1"/>
  </si>
  <si>
    <t>滝沢</t>
    <phoneticPr fontId="1"/>
  </si>
  <si>
    <t>水澤</t>
    <phoneticPr fontId="1"/>
  </si>
  <si>
    <t>保谷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</si>
</sst>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3" formatCode="0.0%"/>
    <numFmt numFmtId="184" formatCode="\+0.00;\-0.00;\±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83" fontId="0" fillId="0" borderId="10" xfId="0" applyNumberFormat="1" applyBorder="1" applyAlignment="1">
      <alignment horizontal="center" vertical="center"/>
    </xf>
    <xf numFmtId="183" fontId="0" fillId="0" borderId="10" xfId="0" applyNumberFormat="1" applyBorder="1" applyAlignment="1">
      <alignment horizontal="center" vertical="center" shrinkToFit="1"/>
    </xf>
    <xf numFmtId="184" fontId="0" fillId="0" borderId="10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/>
    </xf>
    <xf numFmtId="183" fontId="0" fillId="0" borderId="13" xfId="0" applyNumberFormat="1" applyBorder="1" applyAlignment="1">
      <alignment horizontal="center" vertical="center"/>
    </xf>
    <xf numFmtId="183" fontId="0" fillId="0" borderId="23" xfId="0" applyNumberFormat="1" applyBorder="1" applyAlignment="1">
      <alignment horizontal="center" vertical="center"/>
    </xf>
    <xf numFmtId="183" fontId="0" fillId="0" borderId="8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3"/>
  <sheetViews>
    <sheetView showGridLines="0" tabSelected="1" zoomScale="150" zoomScaleNormal="150" workbookViewId="0"/>
  </sheetViews>
  <sheetFormatPr defaultRowHeight="18.75" x14ac:dyDescent="0.4"/>
  <cols>
    <col min="1" max="1" width="6" style="26" customWidth="1"/>
    <col min="2" max="2" width="10.75" style="25" customWidth="1"/>
    <col min="3" max="3" width="10.75" style="19" customWidth="1"/>
    <col min="4" max="4" width="10.75" style="17" customWidth="1"/>
    <col min="5" max="5" width="10.75" style="36" customWidth="1"/>
    <col min="6" max="6" width="10.75" style="17" customWidth="1"/>
    <col min="7" max="7" width="10.75" style="24" customWidth="1"/>
    <col min="8" max="8" width="10.75" style="17" customWidth="1"/>
    <col min="9" max="9" width="10.75" style="35" customWidth="1"/>
    <col min="10" max="10" width="10.75" style="17" customWidth="1"/>
    <col min="11" max="11" width="10.75" style="35" customWidth="1"/>
    <col min="12" max="12" width="10.75" style="17" customWidth="1"/>
    <col min="13" max="13" width="10.75" style="34" customWidth="1"/>
    <col min="14" max="14" width="10.75" style="17" customWidth="1"/>
    <col min="15" max="15" width="10.75" style="34" customWidth="1"/>
    <col min="16" max="16" width="10.75" style="17" customWidth="1"/>
    <col min="17" max="17" width="10.75" style="18" customWidth="1"/>
    <col min="18" max="18" width="10.75" style="17" customWidth="1"/>
    <col min="19" max="19" width="10.75" style="18" customWidth="1"/>
    <col min="20" max="16384" width="9" style="20"/>
  </cols>
  <sheetData>
    <row r="1" spans="1:19" x14ac:dyDescent="0.4">
      <c r="B1" s="30" t="s">
        <v>6</v>
      </c>
      <c r="C1" s="31"/>
      <c r="D1" s="30" t="s">
        <v>7</v>
      </c>
      <c r="E1" s="31"/>
      <c r="F1" s="30" t="s">
        <v>16</v>
      </c>
      <c r="G1" s="31"/>
      <c r="H1" s="30" t="s">
        <v>15</v>
      </c>
      <c r="I1" s="31"/>
      <c r="J1" s="30" t="s">
        <v>20</v>
      </c>
      <c r="K1" s="31"/>
      <c r="L1" s="30" t="s">
        <v>17</v>
      </c>
      <c r="M1" s="31"/>
      <c r="N1" s="30" t="s">
        <v>18</v>
      </c>
      <c r="O1" s="31"/>
      <c r="P1" s="30" t="s">
        <v>5</v>
      </c>
      <c r="Q1" s="31"/>
      <c r="R1" s="30" t="s">
        <v>19</v>
      </c>
      <c r="S1" s="31"/>
    </row>
    <row r="2" spans="1:19" x14ac:dyDescent="0.4">
      <c r="A2" s="26">
        <v>1</v>
      </c>
      <c r="B2" s="25" t="s">
        <v>25</v>
      </c>
      <c r="C2" s="19">
        <v>51.5</v>
      </c>
      <c r="D2" s="17" t="s">
        <v>25</v>
      </c>
      <c r="E2" s="36">
        <v>25.75</v>
      </c>
      <c r="F2" s="17" t="s">
        <v>32</v>
      </c>
      <c r="G2" s="24">
        <v>1</v>
      </c>
      <c r="H2" s="17" t="s">
        <v>32</v>
      </c>
      <c r="I2" s="35">
        <v>1</v>
      </c>
      <c r="J2" s="17" t="s">
        <v>26</v>
      </c>
      <c r="K2" s="35">
        <v>0</v>
      </c>
      <c r="L2" s="17" t="s">
        <v>25</v>
      </c>
      <c r="M2" s="34">
        <v>0.55555555555555558</v>
      </c>
      <c r="N2" s="17" t="s">
        <v>26</v>
      </c>
      <c r="O2" s="34">
        <v>0</v>
      </c>
      <c r="P2" s="17" t="s">
        <v>36</v>
      </c>
      <c r="Q2" s="18">
        <v>8000</v>
      </c>
      <c r="R2" s="17" t="s">
        <v>26</v>
      </c>
      <c r="S2" s="18">
        <v>0</v>
      </c>
    </row>
    <row r="3" spans="1:19" x14ac:dyDescent="0.4">
      <c r="A3" s="26">
        <v>2</v>
      </c>
      <c r="B3" s="25" t="s">
        <v>32</v>
      </c>
      <c r="C3" s="19">
        <v>47.6</v>
      </c>
      <c r="D3" s="17" t="s">
        <v>32</v>
      </c>
      <c r="E3" s="36">
        <v>23.8</v>
      </c>
      <c r="F3" s="17" t="s">
        <v>26</v>
      </c>
      <c r="G3" s="24">
        <v>1.5</v>
      </c>
      <c r="H3" s="17" t="s">
        <v>26</v>
      </c>
      <c r="I3" s="35">
        <v>0.5</v>
      </c>
      <c r="J3" s="17" t="s">
        <v>27</v>
      </c>
      <c r="K3" s="35">
        <v>0</v>
      </c>
      <c r="L3" s="17" t="s">
        <v>32</v>
      </c>
      <c r="M3" s="34">
        <v>0.33333333333333331</v>
      </c>
      <c r="N3" s="17" t="s">
        <v>29</v>
      </c>
      <c r="O3" s="34">
        <v>0</v>
      </c>
      <c r="P3" s="17" t="s">
        <v>24</v>
      </c>
      <c r="Q3" s="18">
        <v>7800</v>
      </c>
      <c r="R3" s="17" t="s">
        <v>29</v>
      </c>
      <c r="S3" s="18">
        <v>0</v>
      </c>
    </row>
    <row r="4" spans="1:19" x14ac:dyDescent="0.4">
      <c r="A4" s="26">
        <v>3</v>
      </c>
      <c r="B4" s="25" t="s">
        <v>26</v>
      </c>
      <c r="C4" s="19">
        <v>26.5</v>
      </c>
      <c r="D4" s="17" t="s">
        <v>26</v>
      </c>
      <c r="E4" s="36">
        <v>13.25</v>
      </c>
      <c r="F4" s="17" t="s">
        <v>25</v>
      </c>
      <c r="G4" s="24">
        <v>1.5</v>
      </c>
      <c r="H4" s="17" t="s">
        <v>28</v>
      </c>
      <c r="I4" s="35">
        <v>0.5</v>
      </c>
      <c r="J4" s="17" t="s">
        <v>28</v>
      </c>
      <c r="K4" s="35">
        <v>0</v>
      </c>
      <c r="L4" s="17" t="s">
        <v>26</v>
      </c>
      <c r="M4" s="34">
        <v>0.22222222222222221</v>
      </c>
      <c r="N4" s="17" t="s">
        <v>31</v>
      </c>
      <c r="O4" s="34">
        <v>0</v>
      </c>
      <c r="P4" s="17" t="s">
        <v>32</v>
      </c>
      <c r="Q4" s="18">
        <v>7666.666666666667</v>
      </c>
      <c r="R4" s="17" t="s">
        <v>31</v>
      </c>
      <c r="S4" s="18">
        <v>0</v>
      </c>
    </row>
    <row r="5" spans="1:19" x14ac:dyDescent="0.4">
      <c r="A5" s="26">
        <v>4</v>
      </c>
      <c r="B5" s="25" t="s">
        <v>28</v>
      </c>
      <c r="C5" s="19">
        <v>7.8000000000000007</v>
      </c>
      <c r="D5" s="17" t="s">
        <v>28</v>
      </c>
      <c r="E5" s="36">
        <v>3.9000000000000004</v>
      </c>
      <c r="F5" s="17" t="s">
        <v>28</v>
      </c>
      <c r="G5" s="24">
        <v>2</v>
      </c>
      <c r="H5" s="17" t="s">
        <v>23</v>
      </c>
      <c r="I5" s="35">
        <v>0.5</v>
      </c>
      <c r="J5" s="17" t="s">
        <v>29</v>
      </c>
      <c r="K5" s="35">
        <v>0</v>
      </c>
      <c r="L5" s="17" t="s">
        <v>31</v>
      </c>
      <c r="M5" s="34">
        <v>0.22222222222222221</v>
      </c>
      <c r="N5" s="17" t="s">
        <v>34</v>
      </c>
      <c r="O5" s="34">
        <v>0</v>
      </c>
      <c r="P5" s="17" t="s">
        <v>26</v>
      </c>
      <c r="Q5" s="18">
        <v>5800</v>
      </c>
      <c r="R5" s="17" t="s">
        <v>34</v>
      </c>
      <c r="S5" s="18">
        <v>0</v>
      </c>
    </row>
    <row r="6" spans="1:19" x14ac:dyDescent="0.4">
      <c r="A6" s="26">
        <v>5</v>
      </c>
      <c r="B6" s="25" t="s">
        <v>36</v>
      </c>
      <c r="C6" s="19">
        <v>-5</v>
      </c>
      <c r="D6" s="17" t="s">
        <v>36</v>
      </c>
      <c r="E6" s="36">
        <v>-2.5</v>
      </c>
      <c r="F6" s="17" t="s">
        <v>31</v>
      </c>
      <c r="G6" s="24">
        <v>2.5</v>
      </c>
      <c r="H6" s="17" t="s">
        <v>25</v>
      </c>
      <c r="I6" s="35">
        <v>0.5</v>
      </c>
      <c r="J6" s="17" t="s">
        <v>31</v>
      </c>
      <c r="K6" s="35">
        <v>0</v>
      </c>
      <c r="L6" s="17" t="s">
        <v>29</v>
      </c>
      <c r="M6" s="34">
        <v>0.1111111111111111</v>
      </c>
      <c r="N6" s="17" t="s">
        <v>25</v>
      </c>
      <c r="O6" s="34">
        <v>0</v>
      </c>
      <c r="P6" s="17" t="s">
        <v>28</v>
      </c>
      <c r="Q6" s="18">
        <v>3900</v>
      </c>
      <c r="R6" s="17" t="s">
        <v>25</v>
      </c>
      <c r="S6" s="18">
        <v>0</v>
      </c>
    </row>
    <row r="7" spans="1:19" x14ac:dyDescent="0.4">
      <c r="A7" s="26">
        <v>6</v>
      </c>
      <c r="B7" s="25" t="s">
        <v>23</v>
      </c>
      <c r="C7" s="19">
        <v>-7.5</v>
      </c>
      <c r="D7" s="17" t="s">
        <v>23</v>
      </c>
      <c r="E7" s="36">
        <v>-3.75</v>
      </c>
      <c r="F7" s="17" t="s">
        <v>23</v>
      </c>
      <c r="G7" s="24">
        <v>2.5</v>
      </c>
      <c r="H7" s="17" t="s">
        <v>27</v>
      </c>
      <c r="I7" s="35">
        <v>0</v>
      </c>
      <c r="J7" s="17" t="s">
        <v>23</v>
      </c>
      <c r="K7" s="35">
        <v>0</v>
      </c>
      <c r="L7" s="17" t="s">
        <v>23</v>
      </c>
      <c r="M7" s="34">
        <v>0.1111111111111111</v>
      </c>
      <c r="N7" s="17" t="s">
        <v>28</v>
      </c>
      <c r="O7" s="34">
        <v>0.1</v>
      </c>
      <c r="P7" s="17" t="s">
        <v>25</v>
      </c>
      <c r="Q7" s="18">
        <v>3520</v>
      </c>
      <c r="R7" s="17" t="s">
        <v>23</v>
      </c>
      <c r="S7" s="18">
        <v>-1000</v>
      </c>
    </row>
    <row r="8" spans="1:19" x14ac:dyDescent="0.4">
      <c r="A8" s="26">
        <v>7</v>
      </c>
      <c r="B8" s="25" t="s">
        <v>31</v>
      </c>
      <c r="C8" s="19">
        <v>-9.2000000000000011</v>
      </c>
      <c r="D8" s="17" t="s">
        <v>31</v>
      </c>
      <c r="E8" s="36">
        <v>-4.6000000000000005</v>
      </c>
      <c r="F8" s="17" t="s">
        <v>34</v>
      </c>
      <c r="G8" s="24">
        <v>2.5</v>
      </c>
      <c r="H8" s="17" t="s">
        <v>29</v>
      </c>
      <c r="I8" s="35">
        <v>0</v>
      </c>
      <c r="J8" s="17" t="s">
        <v>32</v>
      </c>
      <c r="K8" s="35">
        <v>0</v>
      </c>
      <c r="L8" s="17" t="s">
        <v>34</v>
      </c>
      <c r="M8" s="34">
        <v>0.1111111111111111</v>
      </c>
      <c r="N8" s="17" t="s">
        <v>23</v>
      </c>
      <c r="O8" s="34">
        <v>0.1111111111111111</v>
      </c>
      <c r="P8" s="17" t="s">
        <v>23</v>
      </c>
      <c r="Q8" s="18">
        <v>2600</v>
      </c>
      <c r="R8" s="17" t="s">
        <v>36</v>
      </c>
      <c r="S8" s="18">
        <v>-1000</v>
      </c>
    </row>
    <row r="9" spans="1:19" x14ac:dyDescent="0.4">
      <c r="A9" s="26">
        <v>8</v>
      </c>
      <c r="B9" s="25" t="s">
        <v>29</v>
      </c>
      <c r="C9" s="19">
        <v>-11.100000000000001</v>
      </c>
      <c r="D9" s="17" t="s">
        <v>29</v>
      </c>
      <c r="E9" s="36">
        <v>-5.5500000000000007</v>
      </c>
      <c r="F9" s="17" t="s">
        <v>29</v>
      </c>
      <c r="G9" s="24">
        <v>3</v>
      </c>
      <c r="H9" s="17" t="s">
        <v>31</v>
      </c>
      <c r="I9" s="35">
        <v>0</v>
      </c>
      <c r="J9" s="17" t="s">
        <v>34</v>
      </c>
      <c r="K9" s="35">
        <v>0</v>
      </c>
      <c r="L9" s="17" t="s">
        <v>37</v>
      </c>
      <c r="M9" s="34">
        <v>0.1111111111111111</v>
      </c>
      <c r="N9" s="17" t="s">
        <v>37</v>
      </c>
      <c r="O9" s="34">
        <v>0.1111111111111111</v>
      </c>
      <c r="P9" s="17" t="s">
        <v>27</v>
      </c>
      <c r="Q9" s="18">
        <v>2000</v>
      </c>
      <c r="R9" s="17" t="s">
        <v>32</v>
      </c>
      <c r="S9" s="18">
        <v>-1800</v>
      </c>
    </row>
    <row r="10" spans="1:19" x14ac:dyDescent="0.4">
      <c r="A10" s="26">
        <v>9</v>
      </c>
      <c r="B10" s="25" t="s">
        <v>34</v>
      </c>
      <c r="C10" s="19">
        <v>-11.8</v>
      </c>
      <c r="D10" s="17" t="s">
        <v>34</v>
      </c>
      <c r="E10" s="36">
        <v>-5.9</v>
      </c>
      <c r="F10" s="17" t="s">
        <v>37</v>
      </c>
      <c r="G10" s="24">
        <v>3</v>
      </c>
      <c r="H10" s="17" t="s">
        <v>34</v>
      </c>
      <c r="I10" s="35">
        <v>0</v>
      </c>
      <c r="J10" s="17" t="s">
        <v>24</v>
      </c>
      <c r="K10" s="35">
        <v>0</v>
      </c>
      <c r="L10" s="17" t="s">
        <v>27</v>
      </c>
      <c r="M10" s="34">
        <v>0.1</v>
      </c>
      <c r="N10" s="17" t="s">
        <v>27</v>
      </c>
      <c r="O10" s="34">
        <v>0.2</v>
      </c>
      <c r="P10" s="17" t="s">
        <v>29</v>
      </c>
      <c r="Q10" s="18">
        <v>2000</v>
      </c>
      <c r="R10" s="17" t="s">
        <v>28</v>
      </c>
      <c r="S10" s="18">
        <v>-2000</v>
      </c>
    </row>
    <row r="11" spans="1:19" x14ac:dyDescent="0.4">
      <c r="A11" s="26">
        <v>10</v>
      </c>
      <c r="B11" s="25" t="s">
        <v>24</v>
      </c>
      <c r="C11" s="19">
        <v>-27.5</v>
      </c>
      <c r="D11" s="17" t="s">
        <v>24</v>
      </c>
      <c r="E11" s="36">
        <v>-13.75</v>
      </c>
      <c r="F11" s="17" t="s">
        <v>36</v>
      </c>
      <c r="G11" s="24">
        <v>3</v>
      </c>
      <c r="H11" s="17" t="s">
        <v>24</v>
      </c>
      <c r="I11" s="35">
        <v>0</v>
      </c>
      <c r="J11" s="17" t="s">
        <v>25</v>
      </c>
      <c r="K11" s="35">
        <v>0</v>
      </c>
      <c r="L11" s="17" t="s">
        <v>28</v>
      </c>
      <c r="M11" s="34">
        <v>0.1</v>
      </c>
      <c r="N11" s="17" t="s">
        <v>36</v>
      </c>
      <c r="O11" s="34">
        <v>0.2</v>
      </c>
      <c r="P11" s="17" t="s">
        <v>31</v>
      </c>
      <c r="Q11" s="18">
        <v>1800</v>
      </c>
      <c r="R11" s="17" t="s">
        <v>37</v>
      </c>
      <c r="S11" s="18">
        <v>-2000</v>
      </c>
    </row>
    <row r="12" spans="1:19" x14ac:dyDescent="0.4">
      <c r="A12" s="26">
        <v>11</v>
      </c>
      <c r="B12" s="25" t="s">
        <v>37</v>
      </c>
      <c r="C12" s="19">
        <v>-28.099999999999998</v>
      </c>
      <c r="D12" s="17" t="s">
        <v>37</v>
      </c>
      <c r="E12" s="36">
        <v>-14.049999999999999</v>
      </c>
      <c r="F12" s="17" t="s">
        <v>24</v>
      </c>
      <c r="G12" s="24">
        <v>3.5</v>
      </c>
      <c r="H12" s="17" t="s">
        <v>37</v>
      </c>
      <c r="I12" s="35">
        <v>0</v>
      </c>
      <c r="J12" s="17" t="s">
        <v>37</v>
      </c>
      <c r="K12" s="35">
        <v>0</v>
      </c>
      <c r="L12" s="17" t="s">
        <v>24</v>
      </c>
      <c r="M12" s="34">
        <v>0.1</v>
      </c>
      <c r="N12" s="17" t="s">
        <v>32</v>
      </c>
      <c r="O12" s="34">
        <v>0.22222222222222221</v>
      </c>
      <c r="P12" s="17" t="s">
        <v>34</v>
      </c>
      <c r="Q12" s="18">
        <v>1600</v>
      </c>
      <c r="R12" s="17" t="s">
        <v>24</v>
      </c>
      <c r="S12" s="18">
        <v>-3425</v>
      </c>
    </row>
    <row r="13" spans="1:19" x14ac:dyDescent="0.4">
      <c r="A13" s="26">
        <v>12</v>
      </c>
      <c r="B13" s="25" t="s">
        <v>27</v>
      </c>
      <c r="C13" s="19">
        <v>-33.200000000000003</v>
      </c>
      <c r="D13" s="17" t="s">
        <v>27</v>
      </c>
      <c r="E13" s="36">
        <v>-16.600000000000001</v>
      </c>
      <c r="F13" s="17" t="s">
        <v>27</v>
      </c>
      <c r="G13" s="24">
        <v>4</v>
      </c>
      <c r="H13" s="17" t="s">
        <v>36</v>
      </c>
      <c r="I13" s="35">
        <v>0</v>
      </c>
      <c r="J13" s="17" t="s">
        <v>36</v>
      </c>
      <c r="K13" s="35">
        <v>0</v>
      </c>
      <c r="L13" s="17" t="s">
        <v>36</v>
      </c>
      <c r="M13" s="34">
        <v>0.1</v>
      </c>
      <c r="N13" s="17" t="s">
        <v>24</v>
      </c>
      <c r="O13" s="34">
        <v>0.4</v>
      </c>
      <c r="P13" s="17" t="s">
        <v>37</v>
      </c>
      <c r="Q13" s="18">
        <v>1000</v>
      </c>
      <c r="R13" s="17" t="s">
        <v>27</v>
      </c>
      <c r="S13" s="18">
        <v>-5150</v>
      </c>
    </row>
  </sheetData>
  <sortState ref="R2:S21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D6A4A-3602-43E5-8BA2-A6EEA30ABF9C}">
  <sheetPr codeName="Sheet2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30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26.5</v>
      </c>
      <c r="C4" s="11"/>
    </row>
    <row r="5" spans="1:3" x14ac:dyDescent="0.4">
      <c r="A5" s="4" t="s">
        <v>7</v>
      </c>
      <c r="B5" s="8">
        <f>B4/B$2</f>
        <v>13.25</v>
      </c>
      <c r="C5" s="12"/>
    </row>
    <row r="6" spans="1:3" x14ac:dyDescent="0.4">
      <c r="A6" s="4" t="s">
        <v>1</v>
      </c>
      <c r="B6" s="23">
        <f>(B7*1+B8*2+B9*3+B10*4)/B$2</f>
        <v>1.5</v>
      </c>
      <c r="C6" s="13"/>
    </row>
    <row r="7" spans="1:3" x14ac:dyDescent="0.4">
      <c r="A7" s="4" t="s">
        <v>2</v>
      </c>
      <c r="B7" s="1">
        <v>1</v>
      </c>
      <c r="C7" s="37">
        <f>B7/B$2</f>
        <v>0.5</v>
      </c>
    </row>
    <row r="8" spans="1:3" x14ac:dyDescent="0.4">
      <c r="A8" s="4" t="s">
        <v>3</v>
      </c>
      <c r="B8" s="1">
        <v>1</v>
      </c>
      <c r="C8" s="37">
        <f>B8/B$2</f>
        <v>0.5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40">
        <f>B12/B$3</f>
        <v>0.22222222222222221</v>
      </c>
    </row>
    <row r="13" spans="1:3" x14ac:dyDescent="0.4">
      <c r="A13" s="4" t="s">
        <v>11</v>
      </c>
      <c r="B13" s="1">
        <v>1</v>
      </c>
      <c r="C13" s="37">
        <f>B13/B$3</f>
        <v>0.1111111111111111</v>
      </c>
    </row>
    <row r="14" spans="1:3" x14ac:dyDescent="0.4">
      <c r="A14" s="4" t="s">
        <v>12</v>
      </c>
      <c r="B14" s="1">
        <v>1</v>
      </c>
      <c r="C14" s="37">
        <f>B14/B$3</f>
        <v>0.1111111111111111</v>
      </c>
    </row>
    <row r="15" spans="1:3" x14ac:dyDescent="0.4">
      <c r="A15" s="4" t="s">
        <v>13</v>
      </c>
      <c r="B15" s="1">
        <v>0</v>
      </c>
      <c r="C15" s="37">
        <f>B15/B$3</f>
        <v>0</v>
      </c>
    </row>
    <row r="16" spans="1:3" x14ac:dyDescent="0.4">
      <c r="A16" s="4" t="s">
        <v>5</v>
      </c>
      <c r="B16" s="6">
        <f>IF(B12=0,0,C16/B12)</f>
        <v>5800</v>
      </c>
      <c r="C16" s="14">
        <v>11600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19310-FF6D-4BB8-88AA-8DD30BAD270D}">
  <sheetPr codeName="Sheet3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42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-33.200000000000003</v>
      </c>
      <c r="C4" s="11"/>
    </row>
    <row r="5" spans="1:3" x14ac:dyDescent="0.4">
      <c r="A5" s="4" t="s">
        <v>7</v>
      </c>
      <c r="B5" s="8">
        <f>B4/B$2</f>
        <v>-16.600000000000001</v>
      </c>
      <c r="C5" s="12"/>
    </row>
    <row r="6" spans="1:3" x14ac:dyDescent="0.4">
      <c r="A6" s="4" t="s">
        <v>1</v>
      </c>
      <c r="B6" s="23">
        <f>(B7*1+B8*2+B9*3+B10*4)/B$2</f>
        <v>4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0</v>
      </c>
      <c r="C8" s="37">
        <f>B8/B$2</f>
        <v>0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2</v>
      </c>
      <c r="C10" s="38">
        <f>B10/B$2</f>
        <v>1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</v>
      </c>
    </row>
    <row r="13" spans="1:3" x14ac:dyDescent="0.4">
      <c r="A13" s="4" t="s">
        <v>11</v>
      </c>
      <c r="B13" s="1">
        <v>1</v>
      </c>
      <c r="C13" s="37">
        <f>B13/B$3</f>
        <v>0.1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2</v>
      </c>
      <c r="C15" s="37">
        <f>B15/B$3</f>
        <v>0.2</v>
      </c>
    </row>
    <row r="16" spans="1:3" x14ac:dyDescent="0.4">
      <c r="A16" s="4" t="s">
        <v>5</v>
      </c>
      <c r="B16" s="6">
        <f>IF(B12=0,0,C16/B12)</f>
        <v>2000</v>
      </c>
      <c r="C16" s="14">
        <v>2000</v>
      </c>
    </row>
    <row r="17" spans="1:3" x14ac:dyDescent="0.4">
      <c r="A17" s="5" t="s">
        <v>14</v>
      </c>
      <c r="B17" s="15">
        <f>IF(B15=0,0,C17/B15)</f>
        <v>-5150</v>
      </c>
      <c r="C17" s="16">
        <v>-10300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D650-12EC-4E78-B0E6-AFE174C7952E}">
  <sheetPr codeName="Sheet4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40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7.8000000000000007</v>
      </c>
      <c r="C4" s="11"/>
    </row>
    <row r="5" spans="1:3" x14ac:dyDescent="0.4">
      <c r="A5" s="4" t="s">
        <v>7</v>
      </c>
      <c r="B5" s="8">
        <f>B4/B$2</f>
        <v>3.9000000000000004</v>
      </c>
      <c r="C5" s="12"/>
    </row>
    <row r="6" spans="1:3" x14ac:dyDescent="0.4">
      <c r="A6" s="4" t="s">
        <v>1</v>
      </c>
      <c r="B6" s="23">
        <f>(B7*1+B8*2+B9*3+B10*4)/B$2</f>
        <v>2</v>
      </c>
      <c r="C6" s="13"/>
    </row>
    <row r="7" spans="1:3" x14ac:dyDescent="0.4">
      <c r="A7" s="4" t="s">
        <v>2</v>
      </c>
      <c r="B7" s="1">
        <v>1</v>
      </c>
      <c r="C7" s="37">
        <f>B7/B$2</f>
        <v>0.5</v>
      </c>
    </row>
    <row r="8" spans="1:3" x14ac:dyDescent="0.4">
      <c r="A8" s="4" t="s">
        <v>3</v>
      </c>
      <c r="B8" s="1">
        <v>0</v>
      </c>
      <c r="C8" s="37">
        <f>B8/B$2</f>
        <v>0</v>
      </c>
    </row>
    <row r="9" spans="1:3" x14ac:dyDescent="0.4">
      <c r="A9" s="21" t="s">
        <v>4</v>
      </c>
      <c r="B9" s="22">
        <v>1</v>
      </c>
      <c r="C9" s="38">
        <f>B9/B$2</f>
        <v>0.5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</v>
      </c>
    </row>
    <row r="13" spans="1:3" x14ac:dyDescent="0.4">
      <c r="A13" s="4" t="s">
        <v>11</v>
      </c>
      <c r="B13" s="1">
        <v>1</v>
      </c>
      <c r="C13" s="37">
        <f>B13/B$3</f>
        <v>0.1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1</v>
      </c>
      <c r="C15" s="37">
        <f>B15/B$3</f>
        <v>0.1</v>
      </c>
    </row>
    <row r="16" spans="1:3" x14ac:dyDescent="0.4">
      <c r="A16" s="4" t="s">
        <v>5</v>
      </c>
      <c r="B16" s="6">
        <f>IF(B12=0,0,C16/B12)</f>
        <v>3900</v>
      </c>
      <c r="C16" s="14">
        <v>3900</v>
      </c>
    </row>
    <row r="17" spans="1:3" x14ac:dyDescent="0.4">
      <c r="A17" s="5" t="s">
        <v>14</v>
      </c>
      <c r="B17" s="15">
        <f>IF(B15=0,0,C17/B15)</f>
        <v>-2000</v>
      </c>
      <c r="C17" s="16">
        <v>-2000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3677-17B0-4071-B33F-9B551D07103B}">
  <sheetPr codeName="Sheet5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45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-11.100000000000001</v>
      </c>
      <c r="C4" s="11"/>
    </row>
    <row r="5" spans="1:3" x14ac:dyDescent="0.4">
      <c r="A5" s="4" t="s">
        <v>7</v>
      </c>
      <c r="B5" s="8">
        <f>B4/B$2</f>
        <v>-5.5500000000000007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1</v>
      </c>
      <c r="C8" s="37">
        <f>B8/B$2</f>
        <v>0.5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1</v>
      </c>
      <c r="C10" s="38">
        <f>B10/B$2</f>
        <v>0.5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0.1111111111111111</v>
      </c>
    </row>
    <row r="13" spans="1:3" x14ac:dyDescent="0.4">
      <c r="A13" s="4" t="s">
        <v>11</v>
      </c>
      <c r="B13" s="1">
        <v>0</v>
      </c>
      <c r="C13" s="37">
        <f>B13/B$3</f>
        <v>0</v>
      </c>
    </row>
    <row r="14" spans="1:3" x14ac:dyDescent="0.4">
      <c r="A14" s="4" t="s">
        <v>12</v>
      </c>
      <c r="B14" s="1">
        <v>1</v>
      </c>
      <c r="C14" s="37">
        <f>B14/B$3</f>
        <v>0.1111111111111111</v>
      </c>
    </row>
    <row r="15" spans="1:3" x14ac:dyDescent="0.4">
      <c r="A15" s="4" t="s">
        <v>13</v>
      </c>
      <c r="B15" s="1">
        <v>0</v>
      </c>
      <c r="C15" s="37">
        <f>B15/B$3</f>
        <v>0</v>
      </c>
    </row>
    <row r="16" spans="1:3" x14ac:dyDescent="0.4">
      <c r="A16" s="4" t="s">
        <v>5</v>
      </c>
      <c r="B16" s="6">
        <f>IF(B12=0,0,C16/B12)</f>
        <v>2000</v>
      </c>
      <c r="C16" s="14">
        <v>2000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05B3-EC14-44F8-B973-46B0B79F0F39}">
  <sheetPr codeName="Sheet6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39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-9.2000000000000011</v>
      </c>
      <c r="C4" s="11"/>
    </row>
    <row r="5" spans="1:3" x14ac:dyDescent="0.4">
      <c r="A5" s="4" t="s">
        <v>7</v>
      </c>
      <c r="B5" s="8">
        <f>B4/B$2</f>
        <v>-4.6000000000000005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1</v>
      </c>
      <c r="C8" s="37">
        <f>B8/B$2</f>
        <v>0.5</v>
      </c>
    </row>
    <row r="9" spans="1:3" x14ac:dyDescent="0.4">
      <c r="A9" s="21" t="s">
        <v>4</v>
      </c>
      <c r="B9" s="22">
        <v>1</v>
      </c>
      <c r="C9" s="38">
        <f>B9/B$2</f>
        <v>0.5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2</v>
      </c>
      <c r="C12" s="40">
        <f>B12/B$3</f>
        <v>0.22222222222222221</v>
      </c>
    </row>
    <row r="13" spans="1:3" x14ac:dyDescent="0.4">
      <c r="A13" s="4" t="s">
        <v>11</v>
      </c>
      <c r="B13" s="1">
        <v>2</v>
      </c>
      <c r="C13" s="37">
        <f>B13/B$3</f>
        <v>0.22222222222222221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0</v>
      </c>
      <c r="C15" s="37">
        <f>B15/B$3</f>
        <v>0</v>
      </c>
    </row>
    <row r="16" spans="1:3" x14ac:dyDescent="0.4">
      <c r="A16" s="4" t="s">
        <v>5</v>
      </c>
      <c r="B16" s="6">
        <f>IF(B12=0,0,C16/B12)</f>
        <v>1800</v>
      </c>
      <c r="C16" s="14">
        <v>3600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EEEB-AD08-410C-B551-B3467BE33012}">
  <sheetPr codeName="Sheet7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33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-7.5</v>
      </c>
      <c r="C4" s="11"/>
    </row>
    <row r="5" spans="1:3" x14ac:dyDescent="0.4">
      <c r="A5" s="4" t="s">
        <v>7</v>
      </c>
      <c r="B5" s="8">
        <f>B4/B$2</f>
        <v>-3.75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1</v>
      </c>
      <c r="C7" s="37">
        <f>B7/B$2</f>
        <v>0.5</v>
      </c>
    </row>
    <row r="8" spans="1:3" x14ac:dyDescent="0.4">
      <c r="A8" s="4" t="s">
        <v>3</v>
      </c>
      <c r="B8" s="1">
        <v>0</v>
      </c>
      <c r="C8" s="37">
        <f>B8/B$2</f>
        <v>0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1</v>
      </c>
      <c r="C10" s="38">
        <f>B10/B$2</f>
        <v>0.5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0.1111111111111111</v>
      </c>
    </row>
    <row r="13" spans="1:3" x14ac:dyDescent="0.4">
      <c r="A13" s="4" t="s">
        <v>11</v>
      </c>
      <c r="B13" s="1">
        <v>1</v>
      </c>
      <c r="C13" s="37">
        <f>B13/B$3</f>
        <v>0.1111111111111111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1</v>
      </c>
      <c r="C15" s="37">
        <f>B15/B$3</f>
        <v>0.1111111111111111</v>
      </c>
    </row>
    <row r="16" spans="1:3" x14ac:dyDescent="0.4">
      <c r="A16" s="4" t="s">
        <v>5</v>
      </c>
      <c r="B16" s="6">
        <f>IF(B12=0,0,C16/B12)</f>
        <v>2600</v>
      </c>
      <c r="C16" s="14">
        <v>2600</v>
      </c>
    </row>
    <row r="17" spans="1:3" x14ac:dyDescent="0.4">
      <c r="A17" s="5" t="s">
        <v>14</v>
      </c>
      <c r="B17" s="15">
        <f>IF(B15=0,0,C17/B15)</f>
        <v>-1000</v>
      </c>
      <c r="C17" s="16">
        <v>-1000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BECA6-3767-4057-9FB8-F47C7FC0D5DE}">
  <sheetPr codeName="Sheet8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38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47.6</v>
      </c>
      <c r="C4" s="11"/>
    </row>
    <row r="5" spans="1:3" x14ac:dyDescent="0.4">
      <c r="A5" s="4" t="s">
        <v>7</v>
      </c>
      <c r="B5" s="8">
        <f>B4/B$2</f>
        <v>23.8</v>
      </c>
      <c r="C5" s="12"/>
    </row>
    <row r="6" spans="1:3" x14ac:dyDescent="0.4">
      <c r="A6" s="4" t="s">
        <v>1</v>
      </c>
      <c r="B6" s="23">
        <f>(B7*1+B8*2+B9*3+B10*4)/B$2</f>
        <v>1</v>
      </c>
      <c r="C6" s="13"/>
    </row>
    <row r="7" spans="1:3" x14ac:dyDescent="0.4">
      <c r="A7" s="4" t="s">
        <v>2</v>
      </c>
      <c r="B7" s="1">
        <v>2</v>
      </c>
      <c r="C7" s="37">
        <f>B7/B$2</f>
        <v>1</v>
      </c>
    </row>
    <row r="8" spans="1:3" x14ac:dyDescent="0.4">
      <c r="A8" s="4" t="s">
        <v>3</v>
      </c>
      <c r="B8" s="1">
        <v>0</v>
      </c>
      <c r="C8" s="37">
        <f>B8/B$2</f>
        <v>0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3</v>
      </c>
      <c r="C12" s="40">
        <f>B12/B$3</f>
        <v>0.33333333333333331</v>
      </c>
    </row>
    <row r="13" spans="1:3" x14ac:dyDescent="0.4">
      <c r="A13" s="4" t="s">
        <v>11</v>
      </c>
      <c r="B13" s="1">
        <v>1</v>
      </c>
      <c r="C13" s="37">
        <f>B13/B$3</f>
        <v>0.1111111111111111</v>
      </c>
    </row>
    <row r="14" spans="1:3" x14ac:dyDescent="0.4">
      <c r="A14" s="4" t="s">
        <v>12</v>
      </c>
      <c r="B14" s="1">
        <v>2</v>
      </c>
      <c r="C14" s="37">
        <f>B14/B$3</f>
        <v>0.22222222222222221</v>
      </c>
    </row>
    <row r="15" spans="1:3" x14ac:dyDescent="0.4">
      <c r="A15" s="4" t="s">
        <v>13</v>
      </c>
      <c r="B15" s="1">
        <v>2</v>
      </c>
      <c r="C15" s="37">
        <f>B15/B$3</f>
        <v>0.22222222222222221</v>
      </c>
    </row>
    <row r="16" spans="1:3" x14ac:dyDescent="0.4">
      <c r="A16" s="4" t="s">
        <v>5</v>
      </c>
      <c r="B16" s="6">
        <f>IF(B12=0,0,C16/B12)</f>
        <v>7666.666666666667</v>
      </c>
      <c r="C16" s="14">
        <v>23000</v>
      </c>
    </row>
    <row r="17" spans="1:3" x14ac:dyDescent="0.4">
      <c r="A17" s="5" t="s">
        <v>14</v>
      </c>
      <c r="B17" s="15">
        <f>IF(B15=0,0,C17/B15)</f>
        <v>-1800</v>
      </c>
      <c r="C17" s="16">
        <v>-3600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C4D59-1BF8-47F1-91D8-697E27FF6D4C}">
  <sheetPr codeName="Sheet9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35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-11.8</v>
      </c>
      <c r="C4" s="11"/>
    </row>
    <row r="5" spans="1:3" x14ac:dyDescent="0.4">
      <c r="A5" s="4" t="s">
        <v>7</v>
      </c>
      <c r="B5" s="8">
        <f>B4/B$2</f>
        <v>-5.9</v>
      </c>
      <c r="C5" s="12"/>
    </row>
    <row r="6" spans="1:3" x14ac:dyDescent="0.4">
      <c r="A6" s="4" t="s">
        <v>1</v>
      </c>
      <c r="B6" s="23">
        <f>(B7*1+B8*2+B9*3+B10*4)/B$2</f>
        <v>2.5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1</v>
      </c>
      <c r="C8" s="37">
        <f>B8/B$2</f>
        <v>0.5</v>
      </c>
    </row>
    <row r="9" spans="1:3" x14ac:dyDescent="0.4">
      <c r="A9" s="21" t="s">
        <v>4</v>
      </c>
      <c r="B9" s="22">
        <v>1</v>
      </c>
      <c r="C9" s="38">
        <f>B9/B$2</f>
        <v>0.5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0.1111111111111111</v>
      </c>
    </row>
    <row r="13" spans="1:3" x14ac:dyDescent="0.4">
      <c r="A13" s="4" t="s">
        <v>11</v>
      </c>
      <c r="B13" s="1">
        <v>1</v>
      </c>
      <c r="C13" s="37">
        <f>B13/B$3</f>
        <v>0.1111111111111111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0</v>
      </c>
      <c r="C15" s="37">
        <f>B15/B$3</f>
        <v>0</v>
      </c>
    </row>
    <row r="16" spans="1:3" x14ac:dyDescent="0.4">
      <c r="A16" s="4" t="s">
        <v>5</v>
      </c>
      <c r="B16" s="6">
        <f>IF(B12=0,0,C16/B12)</f>
        <v>1600</v>
      </c>
      <c r="C16" s="14">
        <v>1600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C984D-CFF2-4F2A-A1E6-2C6AFFF3A385}">
  <sheetPr codeName="Sheet11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43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-27.5</v>
      </c>
      <c r="C4" s="11"/>
    </row>
    <row r="5" spans="1:3" x14ac:dyDescent="0.4">
      <c r="A5" s="4" t="s">
        <v>7</v>
      </c>
      <c r="B5" s="8">
        <f>B4/B$2</f>
        <v>-13.75</v>
      </c>
      <c r="C5" s="12"/>
    </row>
    <row r="6" spans="1:3" x14ac:dyDescent="0.4">
      <c r="A6" s="4" t="s">
        <v>1</v>
      </c>
      <c r="B6" s="23">
        <f>(B7*1+B8*2+B9*3+B10*4)/B$2</f>
        <v>3.5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0</v>
      </c>
      <c r="C8" s="37">
        <f>B8/B$2</f>
        <v>0</v>
      </c>
    </row>
    <row r="9" spans="1:3" x14ac:dyDescent="0.4">
      <c r="A9" s="21" t="s">
        <v>4</v>
      </c>
      <c r="B9" s="22">
        <v>1</v>
      </c>
      <c r="C9" s="38">
        <f>B9/B$2</f>
        <v>0.5</v>
      </c>
    </row>
    <row r="10" spans="1:3" x14ac:dyDescent="0.4">
      <c r="A10" s="21" t="s">
        <v>22</v>
      </c>
      <c r="B10" s="22">
        <v>1</v>
      </c>
      <c r="C10" s="38">
        <f>B10/B$2</f>
        <v>0.5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</v>
      </c>
    </row>
    <row r="13" spans="1:3" x14ac:dyDescent="0.4">
      <c r="A13" s="4" t="s">
        <v>11</v>
      </c>
      <c r="B13" s="1">
        <v>0</v>
      </c>
      <c r="C13" s="37">
        <f>B13/B$3</f>
        <v>0</v>
      </c>
    </row>
    <row r="14" spans="1:3" x14ac:dyDescent="0.4">
      <c r="A14" s="4" t="s">
        <v>12</v>
      </c>
      <c r="B14" s="1">
        <v>1</v>
      </c>
      <c r="C14" s="37">
        <f>B14/B$3</f>
        <v>0.1</v>
      </c>
    </row>
    <row r="15" spans="1:3" x14ac:dyDescent="0.4">
      <c r="A15" s="4" t="s">
        <v>13</v>
      </c>
      <c r="B15" s="1">
        <v>4</v>
      </c>
      <c r="C15" s="37">
        <f>B15/B$3</f>
        <v>0.4</v>
      </c>
    </row>
    <row r="16" spans="1:3" x14ac:dyDescent="0.4">
      <c r="A16" s="4" t="s">
        <v>5</v>
      </c>
      <c r="B16" s="6">
        <f>IF(B12=0,0,C16/B12)</f>
        <v>7800</v>
      </c>
      <c r="C16" s="14">
        <v>7800</v>
      </c>
    </row>
    <row r="17" spans="1:3" x14ac:dyDescent="0.4">
      <c r="A17" s="5" t="s">
        <v>14</v>
      </c>
      <c r="B17" s="15">
        <f>IF(B15=0,0,C17/B15)</f>
        <v>-3425</v>
      </c>
      <c r="C17" s="16">
        <v>-13700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10EE-41D9-41C0-B0DD-A04F8FBBA12C}">
  <sheetPr codeName="Sheet12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44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51.5</v>
      </c>
      <c r="C4" s="11"/>
    </row>
    <row r="5" spans="1:3" x14ac:dyDescent="0.4">
      <c r="A5" s="4" t="s">
        <v>7</v>
      </c>
      <c r="B5" s="8">
        <f>B4/B$2</f>
        <v>25.75</v>
      </c>
      <c r="C5" s="12"/>
    </row>
    <row r="6" spans="1:3" x14ac:dyDescent="0.4">
      <c r="A6" s="4" t="s">
        <v>1</v>
      </c>
      <c r="B6" s="23">
        <f>(B7*1+B8*2+B9*3+B10*4)/B$2</f>
        <v>1.5</v>
      </c>
      <c r="C6" s="13"/>
    </row>
    <row r="7" spans="1:3" x14ac:dyDescent="0.4">
      <c r="A7" s="4" t="s">
        <v>2</v>
      </c>
      <c r="B7" s="1">
        <v>1</v>
      </c>
      <c r="C7" s="37">
        <f>B7/B$2</f>
        <v>0.5</v>
      </c>
    </row>
    <row r="8" spans="1:3" x14ac:dyDescent="0.4">
      <c r="A8" s="4" t="s">
        <v>3</v>
      </c>
      <c r="B8" s="1">
        <v>1</v>
      </c>
      <c r="C8" s="37">
        <f>B8/B$2</f>
        <v>0.5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5</v>
      </c>
      <c r="C12" s="40">
        <f>B12/B$3</f>
        <v>0.55555555555555558</v>
      </c>
    </row>
    <row r="13" spans="1:3" x14ac:dyDescent="0.4">
      <c r="A13" s="4" t="s">
        <v>11</v>
      </c>
      <c r="B13" s="1">
        <v>3</v>
      </c>
      <c r="C13" s="37">
        <f>B13/B$3</f>
        <v>0.33333333333333331</v>
      </c>
    </row>
    <row r="14" spans="1:3" x14ac:dyDescent="0.4">
      <c r="A14" s="4" t="s">
        <v>12</v>
      </c>
      <c r="B14" s="1">
        <v>2</v>
      </c>
      <c r="C14" s="37">
        <f>B14/B$3</f>
        <v>0.22222222222222221</v>
      </c>
    </row>
    <row r="15" spans="1:3" x14ac:dyDescent="0.4">
      <c r="A15" s="4" t="s">
        <v>13</v>
      </c>
      <c r="B15" s="1">
        <v>0</v>
      </c>
      <c r="C15" s="37">
        <f>B15/B$3</f>
        <v>0</v>
      </c>
    </row>
    <row r="16" spans="1:3" x14ac:dyDescent="0.4">
      <c r="A16" s="4" t="s">
        <v>5</v>
      </c>
      <c r="B16" s="6">
        <f>IF(B12=0,0,C16/B12)</f>
        <v>3520</v>
      </c>
      <c r="C16" s="14">
        <v>17600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A0B67-4D80-4C55-BA33-931DDEBF58D2}">
  <sheetPr codeName="Sheet13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46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9</v>
      </c>
      <c r="C3" s="10"/>
    </row>
    <row r="4" spans="1:3" x14ac:dyDescent="0.4">
      <c r="A4" s="4" t="s">
        <v>6</v>
      </c>
      <c r="B4" s="8">
        <v>-28.099999999999998</v>
      </c>
      <c r="C4" s="11"/>
    </row>
    <row r="5" spans="1:3" x14ac:dyDescent="0.4">
      <c r="A5" s="4" t="s">
        <v>7</v>
      </c>
      <c r="B5" s="8">
        <f>B4/B$2</f>
        <v>-14.049999999999999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0</v>
      </c>
      <c r="C8" s="37">
        <f>B8/B$2</f>
        <v>0</v>
      </c>
    </row>
    <row r="9" spans="1:3" x14ac:dyDescent="0.4">
      <c r="A9" s="21" t="s">
        <v>4</v>
      </c>
      <c r="B9" s="22">
        <v>2</v>
      </c>
      <c r="C9" s="38">
        <f>B9/B$2</f>
        <v>1</v>
      </c>
    </row>
    <row r="10" spans="1:3" x14ac:dyDescent="0.4">
      <c r="A10" s="21" t="s">
        <v>22</v>
      </c>
      <c r="B10" s="22">
        <v>0</v>
      </c>
      <c r="C10" s="38">
        <f>B10/B$2</f>
        <v>0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0.1111111111111111</v>
      </c>
    </row>
    <row r="13" spans="1:3" x14ac:dyDescent="0.4">
      <c r="A13" s="4" t="s">
        <v>11</v>
      </c>
      <c r="B13" s="1">
        <v>1</v>
      </c>
      <c r="C13" s="37">
        <f>B13/B$3</f>
        <v>0.1111111111111111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1</v>
      </c>
      <c r="C15" s="37">
        <f>B15/B$3</f>
        <v>0.1111111111111111</v>
      </c>
    </row>
    <row r="16" spans="1:3" x14ac:dyDescent="0.4">
      <c r="A16" s="4" t="s">
        <v>5</v>
      </c>
      <c r="B16" s="6">
        <f>IF(B12=0,0,C16/B12)</f>
        <v>1000</v>
      </c>
      <c r="C16" s="14">
        <v>1000</v>
      </c>
    </row>
    <row r="17" spans="1:3" x14ac:dyDescent="0.4">
      <c r="A17" s="5" t="s">
        <v>14</v>
      </c>
      <c r="B17" s="15">
        <f>IF(B15=0,0,C17/B15)</f>
        <v>-2000</v>
      </c>
      <c r="C17" s="16">
        <v>-2000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B4001-9E3F-4E80-A967-0DAE59B4ABA5}">
  <sheetPr codeName="Sheet14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 t="s">
        <v>41</v>
      </c>
      <c r="C1" s="33"/>
    </row>
    <row r="2" spans="1:3" ht="19.5" thickTop="1" x14ac:dyDescent="0.4">
      <c r="A2" s="3" t="s">
        <v>9</v>
      </c>
      <c r="B2" s="7">
        <v>2</v>
      </c>
      <c r="C2" s="9"/>
    </row>
    <row r="3" spans="1:3" x14ac:dyDescent="0.4">
      <c r="A3" s="4" t="s">
        <v>8</v>
      </c>
      <c r="B3" s="1">
        <v>10</v>
      </c>
      <c r="C3" s="10"/>
    </row>
    <row r="4" spans="1:3" x14ac:dyDescent="0.4">
      <c r="A4" s="4" t="s">
        <v>6</v>
      </c>
      <c r="B4" s="8">
        <v>-5</v>
      </c>
      <c r="C4" s="11"/>
    </row>
    <row r="5" spans="1:3" x14ac:dyDescent="0.4">
      <c r="A5" s="4" t="s">
        <v>7</v>
      </c>
      <c r="B5" s="8">
        <f>B4/B$2</f>
        <v>-2.5</v>
      </c>
      <c r="C5" s="12"/>
    </row>
    <row r="6" spans="1:3" x14ac:dyDescent="0.4">
      <c r="A6" s="4" t="s">
        <v>1</v>
      </c>
      <c r="B6" s="23">
        <f>(B7*1+B8*2+B9*3+B10*4)/B$2</f>
        <v>3</v>
      </c>
      <c r="C6" s="13"/>
    </row>
    <row r="7" spans="1:3" x14ac:dyDescent="0.4">
      <c r="A7" s="4" t="s">
        <v>2</v>
      </c>
      <c r="B7" s="1">
        <v>0</v>
      </c>
      <c r="C7" s="37">
        <f>B7/B$2</f>
        <v>0</v>
      </c>
    </row>
    <row r="8" spans="1:3" x14ac:dyDescent="0.4">
      <c r="A8" s="4" t="s">
        <v>3</v>
      </c>
      <c r="B8" s="1">
        <v>1</v>
      </c>
      <c r="C8" s="37">
        <f>B8/B$2</f>
        <v>0.5</v>
      </c>
    </row>
    <row r="9" spans="1:3" x14ac:dyDescent="0.4">
      <c r="A9" s="21" t="s">
        <v>4</v>
      </c>
      <c r="B9" s="22">
        <v>0</v>
      </c>
      <c r="C9" s="38">
        <f>B9/B$2</f>
        <v>0</v>
      </c>
    </row>
    <row r="10" spans="1:3" x14ac:dyDescent="0.4">
      <c r="A10" s="21" t="s">
        <v>22</v>
      </c>
      <c r="B10" s="22">
        <v>1</v>
      </c>
      <c r="C10" s="38">
        <f>B10/B$2</f>
        <v>0.5</v>
      </c>
    </row>
    <row r="11" spans="1:3" ht="19.5" thickBot="1" x14ac:dyDescent="0.45">
      <c r="A11" s="28" t="s">
        <v>21</v>
      </c>
      <c r="B11" s="29">
        <v>0</v>
      </c>
      <c r="C11" s="39">
        <f>B11/B$2</f>
        <v>0</v>
      </c>
    </row>
    <row r="12" spans="1:3" ht="19.5" thickTop="1" x14ac:dyDescent="0.4">
      <c r="A12" s="3" t="s">
        <v>10</v>
      </c>
      <c r="B12" s="7">
        <f>B13+B14</f>
        <v>1</v>
      </c>
      <c r="C12" s="40">
        <f>B12/B$3</f>
        <v>0.1</v>
      </c>
    </row>
    <row r="13" spans="1:3" x14ac:dyDescent="0.4">
      <c r="A13" s="4" t="s">
        <v>11</v>
      </c>
      <c r="B13" s="1">
        <v>1</v>
      </c>
      <c r="C13" s="37">
        <f>B13/B$3</f>
        <v>0.1</v>
      </c>
    </row>
    <row r="14" spans="1:3" x14ac:dyDescent="0.4">
      <c r="A14" s="4" t="s">
        <v>12</v>
      </c>
      <c r="B14" s="1">
        <v>0</v>
      </c>
      <c r="C14" s="37">
        <f>B14/B$3</f>
        <v>0</v>
      </c>
    </row>
    <row r="15" spans="1:3" x14ac:dyDescent="0.4">
      <c r="A15" s="4" t="s">
        <v>13</v>
      </c>
      <c r="B15" s="1">
        <v>2</v>
      </c>
      <c r="C15" s="37">
        <f>B15/B$3</f>
        <v>0.2</v>
      </c>
    </row>
    <row r="16" spans="1:3" x14ac:dyDescent="0.4">
      <c r="A16" s="4" t="s">
        <v>5</v>
      </c>
      <c r="B16" s="6">
        <f>IF(B12=0,0,C16/B12)</f>
        <v>8000</v>
      </c>
      <c r="C16" s="14">
        <v>8000</v>
      </c>
    </row>
    <row r="17" spans="1:3" x14ac:dyDescent="0.4">
      <c r="A17" s="5" t="s">
        <v>14</v>
      </c>
      <c r="B17" s="15">
        <f>IF(B15=0,0,C17/B15)</f>
        <v>-1000</v>
      </c>
      <c r="C17" s="16">
        <v>-2000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7"/>
  <sheetViews>
    <sheetView showGridLines="0" zoomScale="200" zoomScaleNormal="200" workbookViewId="0"/>
  </sheetViews>
  <sheetFormatPr defaultRowHeight="18.75" x14ac:dyDescent="0.4"/>
  <cols>
    <col min="1" max="1" width="13" style="2" customWidth="1"/>
    <col min="2" max="3" width="10.75" style="2" customWidth="1"/>
    <col min="4" max="16384" width="9" style="2"/>
  </cols>
  <sheetData>
    <row r="1" spans="1:3" ht="19.5" thickBot="1" x14ac:dyDescent="0.45">
      <c r="A1" s="27" t="s">
        <v>0</v>
      </c>
      <c r="B1" s="32"/>
      <c r="C1" s="33"/>
    </row>
    <row r="2" spans="1:3" ht="19.5" thickTop="1" x14ac:dyDescent="0.4">
      <c r="A2" s="3" t="s">
        <v>9</v>
      </c>
      <c r="B2" s="7">
        <v>0</v>
      </c>
      <c r="C2" s="9"/>
    </row>
    <row r="3" spans="1:3" x14ac:dyDescent="0.4">
      <c r="A3" s="4" t="s">
        <v>8</v>
      </c>
      <c r="B3" s="1">
        <v>0</v>
      </c>
      <c r="C3" s="10"/>
    </row>
    <row r="4" spans="1:3" x14ac:dyDescent="0.4">
      <c r="A4" s="4" t="s">
        <v>6</v>
      </c>
      <c r="B4" s="8">
        <v>0</v>
      </c>
      <c r="C4" s="11"/>
    </row>
    <row r="5" spans="1:3" x14ac:dyDescent="0.4">
      <c r="A5" s="4" t="s">
        <v>7</v>
      </c>
      <c r="B5" s="8" t="e">
        <f>B4/B$2</f>
        <v>#DIV/0!</v>
      </c>
      <c r="C5" s="12"/>
    </row>
    <row r="6" spans="1:3" x14ac:dyDescent="0.4">
      <c r="A6" s="4" t="s">
        <v>1</v>
      </c>
      <c r="B6" s="23" t="e">
        <f>(B7*1+B8*2+B9*3+B10*4)/B$2</f>
        <v>#DIV/0!</v>
      </c>
      <c r="C6" s="13"/>
    </row>
    <row r="7" spans="1:3" x14ac:dyDescent="0.4">
      <c r="A7" s="4" t="s">
        <v>2</v>
      </c>
      <c r="B7" s="1">
        <v>0</v>
      </c>
      <c r="C7" s="37" t="e">
        <f>B7/B$2</f>
        <v>#DIV/0!</v>
      </c>
    </row>
    <row r="8" spans="1:3" x14ac:dyDescent="0.4">
      <c r="A8" s="4" t="s">
        <v>3</v>
      </c>
      <c r="B8" s="1">
        <v>0</v>
      </c>
      <c r="C8" s="37" t="e">
        <f>B8/B$2</f>
        <v>#DIV/0!</v>
      </c>
    </row>
    <row r="9" spans="1:3" x14ac:dyDescent="0.4">
      <c r="A9" s="21" t="s">
        <v>4</v>
      </c>
      <c r="B9" s="22">
        <v>0</v>
      </c>
      <c r="C9" s="38" t="e">
        <f>B9/B$2</f>
        <v>#DIV/0!</v>
      </c>
    </row>
    <row r="10" spans="1:3" x14ac:dyDescent="0.4">
      <c r="A10" s="21" t="s">
        <v>22</v>
      </c>
      <c r="B10" s="22">
        <v>0</v>
      </c>
      <c r="C10" s="38" t="e">
        <f>B10/B$2</f>
        <v>#DIV/0!</v>
      </c>
    </row>
    <row r="11" spans="1:3" ht="19.5" thickBot="1" x14ac:dyDescent="0.45">
      <c r="A11" s="28" t="s">
        <v>21</v>
      </c>
      <c r="B11" s="29">
        <v>0</v>
      </c>
      <c r="C11" s="39" t="e">
        <f>B11/B$2</f>
        <v>#DIV/0!</v>
      </c>
    </row>
    <row r="12" spans="1:3" ht="19.5" thickTop="1" x14ac:dyDescent="0.4">
      <c r="A12" s="3" t="s">
        <v>10</v>
      </c>
      <c r="B12" s="7">
        <f>B13+B14</f>
        <v>0</v>
      </c>
      <c r="C12" s="40" t="e">
        <f>B12/B$3</f>
        <v>#DIV/0!</v>
      </c>
    </row>
    <row r="13" spans="1:3" x14ac:dyDescent="0.4">
      <c r="A13" s="4" t="s">
        <v>11</v>
      </c>
      <c r="B13" s="1">
        <v>0</v>
      </c>
      <c r="C13" s="37" t="e">
        <f>B13/B$3</f>
        <v>#DIV/0!</v>
      </c>
    </row>
    <row r="14" spans="1:3" x14ac:dyDescent="0.4">
      <c r="A14" s="4" t="s">
        <v>12</v>
      </c>
      <c r="B14" s="1">
        <v>0</v>
      </c>
      <c r="C14" s="37" t="e">
        <f>B14/B$3</f>
        <v>#DIV/0!</v>
      </c>
    </row>
    <row r="15" spans="1:3" x14ac:dyDescent="0.4">
      <c r="A15" s="4" t="s">
        <v>13</v>
      </c>
      <c r="B15" s="1">
        <v>0</v>
      </c>
      <c r="C15" s="37" t="e">
        <f>B15/B$3</f>
        <v>#DIV/0!</v>
      </c>
    </row>
    <row r="16" spans="1:3" x14ac:dyDescent="0.4">
      <c r="A16" s="4" t="s">
        <v>5</v>
      </c>
      <c r="B16" s="6">
        <f>IF(B12=0,0,C16/B12)</f>
        <v>0</v>
      </c>
      <c r="C16" s="14">
        <v>0</v>
      </c>
    </row>
    <row r="17" spans="1:3" x14ac:dyDescent="0.4">
      <c r="A17" s="5" t="s">
        <v>14</v>
      </c>
      <c r="B17" s="15">
        <f>IF(B15=0,0,C17/B15)</f>
        <v>0</v>
      </c>
      <c r="C17" s="16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ランキング</vt:lpstr>
      <vt:lpstr>石澤</vt:lpstr>
      <vt:lpstr>矢ヶ崎</vt:lpstr>
      <vt:lpstr>北沢</vt:lpstr>
      <vt:lpstr>水澤</vt:lpstr>
      <vt:lpstr>福澤</vt:lpstr>
      <vt:lpstr>大池</vt:lpstr>
      <vt:lpstr>高野</vt:lpstr>
      <vt:lpstr>齋藤</vt:lpstr>
      <vt:lpstr>依田</vt:lpstr>
      <vt:lpstr>滝沢</vt:lpstr>
      <vt:lpstr>保谷</vt:lpstr>
      <vt:lpstr>齊藤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2019-06-22T04:54:34Z</dcterms:modified>
</cp:coreProperties>
</file>