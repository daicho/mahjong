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寮祭麻雀大会\四麻\"/>
    </mc:Choice>
  </mc:AlternateContent>
  <xr:revisionPtr revIDLastSave="0" documentId="13_ncr:1_{9BA8408C-5443-447B-BFDE-579062ECA043}" xr6:coauthVersionLast="36" xr6:coauthVersionMax="36" xr10:uidLastSave="{00000000-0000-0000-0000-000000000000}"/>
  <bookViews>
    <workbookView xWindow="0" yWindow="0" windowWidth="16410" windowHeight="837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C6" i="1"/>
  <c r="F6" i="1"/>
  <c r="D6" i="1"/>
  <c r="B3" i="1" l="1"/>
  <c r="D7" i="1" l="1"/>
  <c r="F7" i="1"/>
  <c r="E7" i="1"/>
  <c r="C7" i="1"/>
  <c r="C5" i="1" l="1"/>
  <c r="E5" i="1"/>
  <c r="F5" i="1"/>
  <c r="D5" i="1"/>
  <c r="B2" i="1"/>
  <c r="C8" i="1"/>
  <c r="E8" i="1"/>
  <c r="D8" i="1"/>
  <c r="F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<sst xmlns="http://schemas.openxmlformats.org/spreadsheetml/2006/main" count="6" uniqueCount="6">
  <si>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</si>
  <si>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</si>
  <si>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</si>
  <si>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</si>
  <si>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</si>
  <si>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2019-06-22.xlsm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</si>
</sst>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F8"/>
  <sheetViews>
    <sheetView showGridLines="0" tabSelected="1" zoomScale="53" zoomScaleNormal="75" workbookViewId="0"/>
  </sheetViews>
  <sheetFormatPr defaultRowHeight="18.75" x14ac:dyDescent="0.4"/>
  <cols>
    <col min="1" max="1" width="1" customWidth="1"/>
    <col min="2" max="2" width="23.5" customWidth="1"/>
    <col min="3" max="6" width="70.625" customWidth="1"/>
  </cols>
  <sheetData>
    <row r="1" spans="2:6" ht="13.5" customHeight="1" x14ac:dyDescent="0.4"/>
    <row r="2" spans="2:6" ht="123.75" customHeight="1" x14ac:dyDescent="0.4">
      <c r="B2" s="18" t="str">
        <f ca="1">MJINFO(Book!$B$1,1)&amp;MJINFO(Book!$B$1,2)&amp;"局"</f>
        <v>南1局</v>
      </c>
      <c r="C2" s="18"/>
      <c r="D2" s="18"/>
      <c r="E2" s="18"/>
      <c r="F2" s="18"/>
    </row>
    <row r="3" spans="2:6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  <c r="F3" s="17"/>
    </row>
    <row r="4" spans="2:6" ht="19.5" thickBot="1" x14ac:dyDescent="0.45"/>
    <row r="5" spans="2:6" ht="97.5" customHeight="1" x14ac:dyDescent="0.4">
      <c r="B5" s="1" t="s">
        <v>1</v>
      </c>
      <c r="C5" s="8">
        <f ca="1">_xlfn.RANK.EQ(C$7,$C$7:$F$7)</f>
        <v>2</v>
      </c>
      <c r="D5" s="9">
        <f ca="1">_xlfn.RANK.EQ(D$7,$C$7:$F$7)</f>
        <v>3</v>
      </c>
      <c r="E5" s="9">
        <f ca="1">_xlfn.RANK.EQ(E$7,$C$7:$F$7)</f>
        <v>4</v>
      </c>
      <c r="F5" s="10">
        <f ca="1">_xlfn.RANK.EQ(F$7,$C$7:$F$7)</f>
        <v>1</v>
      </c>
    </row>
    <row r="6" spans="2:6" ht="154.5" customHeight="1" x14ac:dyDescent="0.4">
      <c r="B6" s="2" t="s">
        <v>2</v>
      </c>
      <c r="C6" s="3" t="str">
        <f ca="1">NAME(Book!$B$1,0)</f>
        <v>いしざわ</v>
      </c>
      <c r="D6" s="4" t="str">
        <f ca="1">NAME(Book!$B$1,1)</f>
        <v>だいち</v>
      </c>
      <c r="E6" s="4" t="str">
        <f ca="1">NAME(Book!$B$1,2)</f>
        <v>おおいけ</v>
      </c>
      <c r="F6" s="5" t="str">
        <f ca="1">NAME(Book!$B$1,3)</f>
        <v>たかの</v>
      </c>
    </row>
    <row r="7" spans="2:6" ht="154.5" customHeight="1" x14ac:dyDescent="0.4">
      <c r="B7" s="2" t="s">
        <v>3</v>
      </c>
      <c r="C7" s="11">
        <f ca="1">POINT(Book!$B$1,0)</f>
        <v>30800</v>
      </c>
      <c r="D7" s="12">
        <f ca="1">POINT(Book!$B$1,1)</f>
        <v>23200</v>
      </c>
      <c r="E7" s="12">
        <f ca="1">POINT(Book!$B$1,2)</f>
        <v>21500</v>
      </c>
      <c r="F7" s="13">
        <f ca="1">POINT(Book!$B$1,3)</f>
        <v>44500</v>
      </c>
    </row>
    <row r="8" spans="2:6" ht="97.5" customHeight="1" thickBot="1" x14ac:dyDescent="0.45">
      <c r="B8" s="6" t="s">
        <v>4</v>
      </c>
      <c r="C8" s="14">
        <f ca="1">score(Book!$B$1,0)</f>
        <v>5.8</v>
      </c>
      <c r="D8" s="15">
        <f ca="1">score(Book!$B$1,1)</f>
        <v>-16.8</v>
      </c>
      <c r="E8" s="15">
        <f ca="1">score(Book!$B$1,2)</f>
        <v>-18.5</v>
      </c>
      <c r="F8" s="16">
        <f ca="1">score(Book!$B$1,3)</f>
        <v>29.5</v>
      </c>
    </row>
  </sheetData>
  <mergeCells count="2">
    <mergeCell ref="B3:F3"/>
    <mergeCell ref="B2:F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C5:C8 E5:F8</xm:sqref>
        </x14:conditionalFormatting>
        <x14:conditionalFormatting xmlns:xm="http://schemas.microsoft.com/office/excel/2006/main">
          <x14:cfRule type="expression" priority="1" id="{8783E894-B758-43AA-99E0-C4D98CC79658}">
            <xm:f>MJINFO(Book!$B$1,5)=D$6</xm:f>
            <x14:dxf>
              <fill>
                <patternFill>
                  <bgColor theme="9" tint="0.79998168889431442"/>
                </patternFill>
              </fill>
            </x14:dxf>
          </x14:cfRule>
          <xm:sqref>D5:D8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2019-06-22T02:28:37Z</dcterms:modified>
</cp:coreProperties>
</file>