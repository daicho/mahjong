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burdock\Documents\mahjong\寮祭麻雀大会\対局\"/>
    </mc:Choice>
  </mc:AlternateContent>
  <xr:revisionPtr revIDLastSave="0" documentId="13_ncr:1_{7969CB6C-3A33-456E-9813-4AE0F78B2EDD}" xr6:coauthVersionLast="36" xr6:coauthVersionMax="36" xr10:uidLastSave="{00000000-0000-0000-0000-000000000000}"/>
  <bookViews>
    <workbookView xWindow="0" yWindow="0" windowWidth="28800" windowHeight="12720" activeTab="2" xr2:uid="{4CDB34E1-560F-4998-ABAB-D6F7F2862621}"/>
  </bookViews>
  <sheets>
    <sheet name="Sheet1" sheetId="20" r:id="rId1"/>
    <sheet name="Sheet2" sheetId="21" r:id="rId2"/>
    <sheet name="Sheet3" sheetId="22" r:id="rId3"/>
    <sheet name="点数表(親ロン)" sheetId="4" state="hidden" r:id="rId4"/>
    <sheet name="点数表(親ツモ)" sheetId="9" state="hidden" r:id="rId5"/>
    <sheet name="点数表(子→親)" sheetId="7" state="hidden" r:id="rId6"/>
    <sheet name="点数表(子ロン)" sheetId="3" state="hidden" r:id="rId7"/>
    <sheet name="点数表(子ツモ)" sheetId="10" state="hidden" r:id="rId8"/>
    <sheet name="点数表(子→子)" sheetId="5" state="hidden" r:id="rId9"/>
    <sheet name="点数表(親→子)" sheetId="6" state="hidden" r:id="rId10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AC7" i="22" l="1"/>
  <c r="AB7" i="22"/>
  <c r="AA7" i="22"/>
  <c r="Z7" i="22"/>
  <c r="AC6" i="22"/>
  <c r="AB6" i="22"/>
  <c r="AA6" i="22"/>
  <c r="Z6" i="22"/>
  <c r="AC5" i="22"/>
  <c r="AB5" i="22"/>
  <c r="AA5" i="22"/>
  <c r="Z5" i="22"/>
  <c r="AC4" i="22"/>
  <c r="AB4" i="22"/>
  <c r="AA4" i="22"/>
  <c r="Z4" i="22"/>
  <c r="AC3" i="22"/>
  <c r="AB3" i="22"/>
  <c r="AA3" i="22"/>
  <c r="Z3" i="22"/>
  <c r="AC8" i="22"/>
  <c r="AB8" i="22"/>
  <c r="AA8" i="22"/>
  <c r="Z8" i="22"/>
  <c r="Y30" i="22"/>
  <c r="AC30" i="22" s="1"/>
  <c r="T30" i="22"/>
  <c r="AB30" i="22" s="1"/>
  <c r="O30" i="22"/>
  <c r="AA30" i="22" s="1"/>
  <c r="J30" i="22"/>
  <c r="Z30" i="22" s="1"/>
  <c r="D30" i="22"/>
  <c r="C30" i="22"/>
  <c r="B30" i="22"/>
  <c r="A30" i="22"/>
  <c r="Y29" i="22"/>
  <c r="AC29" i="22" s="1"/>
  <c r="T29" i="22"/>
  <c r="AB29" i="22" s="1"/>
  <c r="O29" i="22"/>
  <c r="AA29" i="22" s="1"/>
  <c r="J29" i="22"/>
  <c r="Z29" i="22" s="1"/>
  <c r="D29" i="22"/>
  <c r="C29" i="22"/>
  <c r="B29" i="22"/>
  <c r="A29" i="22"/>
  <c r="Y28" i="22"/>
  <c r="AC28" i="22" s="1"/>
  <c r="T28" i="22"/>
  <c r="AB28" i="22" s="1"/>
  <c r="O28" i="22"/>
  <c r="AA28" i="22" s="1"/>
  <c r="J28" i="22"/>
  <c r="Z28" i="22" s="1"/>
  <c r="D28" i="22"/>
  <c r="C28" i="22"/>
  <c r="B28" i="22"/>
  <c r="A28" i="22"/>
  <c r="Y27" i="22"/>
  <c r="AC27" i="22" s="1"/>
  <c r="T27" i="22"/>
  <c r="AB27" i="22" s="1"/>
  <c r="O27" i="22"/>
  <c r="AA27" i="22" s="1"/>
  <c r="J27" i="22"/>
  <c r="Z27" i="22" s="1"/>
  <c r="D27" i="22"/>
  <c r="C27" i="22"/>
  <c r="B27" i="22"/>
  <c r="A27" i="22"/>
  <c r="Y26" i="22"/>
  <c r="AC26" i="22" s="1"/>
  <c r="T26" i="22"/>
  <c r="AB26" i="22" s="1"/>
  <c r="O26" i="22"/>
  <c r="AA26" i="22" s="1"/>
  <c r="J26" i="22"/>
  <c r="Z26" i="22" s="1"/>
  <c r="D26" i="22"/>
  <c r="C26" i="22"/>
  <c r="B26" i="22"/>
  <c r="A26" i="22"/>
  <c r="Y25" i="22"/>
  <c r="AC25" i="22" s="1"/>
  <c r="T25" i="22"/>
  <c r="AB25" i="22" s="1"/>
  <c r="O25" i="22"/>
  <c r="AA25" i="22" s="1"/>
  <c r="J25" i="22"/>
  <c r="Z25" i="22" s="1"/>
  <c r="D25" i="22"/>
  <c r="C25" i="22"/>
  <c r="B25" i="22"/>
  <c r="A25" i="22"/>
  <c r="Y24" i="22"/>
  <c r="AC24" i="22" s="1"/>
  <c r="T24" i="22"/>
  <c r="AB24" i="22" s="1"/>
  <c r="O24" i="22"/>
  <c r="AA24" i="22" s="1"/>
  <c r="J24" i="22"/>
  <c r="Z24" i="22" s="1"/>
  <c r="D24" i="22"/>
  <c r="C24" i="22"/>
  <c r="B24" i="22"/>
  <c r="A24" i="22"/>
  <c r="Y23" i="22"/>
  <c r="AC23" i="22" s="1"/>
  <c r="T23" i="22"/>
  <c r="AB23" i="22" s="1"/>
  <c r="O23" i="22"/>
  <c r="AA23" i="22" s="1"/>
  <c r="J23" i="22"/>
  <c r="Z23" i="22" s="1"/>
  <c r="D23" i="22"/>
  <c r="C23" i="22"/>
  <c r="B23" i="22"/>
  <c r="A23" i="22"/>
  <c r="Y22" i="22"/>
  <c r="AC22" i="22" s="1"/>
  <c r="T22" i="22"/>
  <c r="AB22" i="22" s="1"/>
  <c r="O22" i="22"/>
  <c r="AA22" i="22" s="1"/>
  <c r="J22" i="22"/>
  <c r="Z22" i="22" s="1"/>
  <c r="D22" i="22"/>
  <c r="C22" i="22"/>
  <c r="B22" i="22"/>
  <c r="A22" i="22"/>
  <c r="Y21" i="22"/>
  <c r="AC21" i="22" s="1"/>
  <c r="T21" i="22"/>
  <c r="AB21" i="22" s="1"/>
  <c r="O21" i="22"/>
  <c r="AA21" i="22" s="1"/>
  <c r="J21" i="22"/>
  <c r="Z21" i="22" s="1"/>
  <c r="D21" i="22"/>
  <c r="C21" i="22"/>
  <c r="B21" i="22"/>
  <c r="A21" i="22"/>
  <c r="Y20" i="22"/>
  <c r="AC20" i="22" s="1"/>
  <c r="T20" i="22"/>
  <c r="AB20" i="22" s="1"/>
  <c r="O20" i="22"/>
  <c r="AA20" i="22" s="1"/>
  <c r="J20" i="22"/>
  <c r="Z20" i="22" s="1"/>
  <c r="D20" i="22"/>
  <c r="C20" i="22"/>
  <c r="B20" i="22"/>
  <c r="A20" i="22"/>
  <c r="Y19" i="22"/>
  <c r="AC19" i="22" s="1"/>
  <c r="T19" i="22"/>
  <c r="AB19" i="22" s="1"/>
  <c r="O19" i="22"/>
  <c r="AA19" i="22" s="1"/>
  <c r="J19" i="22"/>
  <c r="Z19" i="22" s="1"/>
  <c r="D19" i="22"/>
  <c r="C19" i="22"/>
  <c r="B19" i="22"/>
  <c r="A19" i="22"/>
  <c r="Y18" i="22"/>
  <c r="AC18" i="22" s="1"/>
  <c r="T18" i="22"/>
  <c r="AB18" i="22" s="1"/>
  <c r="O18" i="22"/>
  <c r="AA18" i="22" s="1"/>
  <c r="J18" i="22"/>
  <c r="Z18" i="22" s="1"/>
  <c r="D18" i="22"/>
  <c r="C18" i="22"/>
  <c r="B18" i="22"/>
  <c r="A18" i="22"/>
  <c r="Y17" i="22"/>
  <c r="AC17" i="22" s="1"/>
  <c r="T17" i="22"/>
  <c r="AB17" i="22" s="1"/>
  <c r="O17" i="22"/>
  <c r="AA17" i="22" s="1"/>
  <c r="J17" i="22"/>
  <c r="Z17" i="22" s="1"/>
  <c r="D17" i="22"/>
  <c r="C17" i="22"/>
  <c r="B17" i="22"/>
  <c r="A17" i="22"/>
  <c r="Y16" i="22"/>
  <c r="AC16" i="22" s="1"/>
  <c r="T16" i="22"/>
  <c r="AB16" i="22" s="1"/>
  <c r="O16" i="22"/>
  <c r="AA16" i="22" s="1"/>
  <c r="J16" i="22"/>
  <c r="Z16" i="22" s="1"/>
  <c r="D16" i="22"/>
  <c r="C16" i="22"/>
  <c r="B16" i="22"/>
  <c r="A16" i="22"/>
  <c r="Y15" i="22"/>
  <c r="AC15" i="22" s="1"/>
  <c r="T15" i="22"/>
  <c r="AB15" i="22" s="1"/>
  <c r="O15" i="22"/>
  <c r="AA15" i="22" s="1"/>
  <c r="J15" i="22"/>
  <c r="Z15" i="22" s="1"/>
  <c r="D15" i="22"/>
  <c r="C15" i="22"/>
  <c r="B15" i="22"/>
  <c r="A15" i="22"/>
  <c r="Y14" i="22"/>
  <c r="AC14" i="22" s="1"/>
  <c r="T14" i="22"/>
  <c r="AB14" i="22" s="1"/>
  <c r="O14" i="22"/>
  <c r="AA14" i="22" s="1"/>
  <c r="J14" i="22"/>
  <c r="Z14" i="22" s="1"/>
  <c r="D14" i="22"/>
  <c r="C14" i="22"/>
  <c r="B14" i="22"/>
  <c r="A14" i="22"/>
  <c r="Y13" i="22"/>
  <c r="AC13" i="22" s="1"/>
  <c r="T13" i="22"/>
  <c r="AB13" i="22" s="1"/>
  <c r="O13" i="22"/>
  <c r="AA13" i="22" s="1"/>
  <c r="J13" i="22"/>
  <c r="Z13" i="22" s="1"/>
  <c r="D13" i="22"/>
  <c r="C13" i="22"/>
  <c r="B13" i="22"/>
  <c r="A13" i="22"/>
  <c r="Y12" i="22"/>
  <c r="AC12" i="22" s="1"/>
  <c r="T12" i="22"/>
  <c r="AB12" i="22" s="1"/>
  <c r="O12" i="22"/>
  <c r="AA12" i="22" s="1"/>
  <c r="J12" i="22"/>
  <c r="Z12" i="22" s="1"/>
  <c r="D12" i="22"/>
  <c r="C12" i="22"/>
  <c r="B12" i="22"/>
  <c r="A12" i="22"/>
  <c r="Y11" i="22"/>
  <c r="AC11" i="22" s="1"/>
  <c r="T11" i="22"/>
  <c r="AB11" i="22" s="1"/>
  <c r="O11" i="22"/>
  <c r="AA11" i="22" s="1"/>
  <c r="J11" i="22"/>
  <c r="Z11" i="22" s="1"/>
  <c r="D11" i="22"/>
  <c r="C11" i="22"/>
  <c r="B11" i="22"/>
  <c r="A11" i="22" s="1"/>
  <c r="Y10" i="22"/>
  <c r="AC10" i="22" s="1"/>
  <c r="T10" i="22"/>
  <c r="AB10" i="22" s="1"/>
  <c r="O10" i="22"/>
  <c r="AA10" i="22" s="1"/>
  <c r="J10" i="22"/>
  <c r="D10" i="22"/>
  <c r="C10" i="22"/>
  <c r="B10" i="22"/>
  <c r="A10" i="22" s="1"/>
  <c r="Y9" i="22"/>
  <c r="AC9" i="22" s="1"/>
  <c r="T9" i="22"/>
  <c r="AB9" i="22" s="1"/>
  <c r="O9" i="22"/>
  <c r="J9" i="22"/>
  <c r="D9" i="22"/>
  <c r="C9" i="22"/>
  <c r="B9" i="22"/>
  <c r="A9" i="22"/>
  <c r="Y8" i="22"/>
  <c r="T8" i="22"/>
  <c r="O8" i="22"/>
  <c r="J8" i="22"/>
  <c r="D8" i="22"/>
  <c r="C8" i="22"/>
  <c r="B8" i="22"/>
  <c r="A8" i="22"/>
  <c r="D7" i="22"/>
  <c r="C7" i="22"/>
  <c r="D6" i="22"/>
  <c r="C6" i="22"/>
  <c r="Y5" i="22"/>
  <c r="Y6" i="22" s="1"/>
  <c r="T5" i="22"/>
  <c r="T6" i="22" s="1"/>
  <c r="D5" i="22"/>
  <c r="C5" i="22"/>
  <c r="B5" i="22"/>
  <c r="B6" i="22" s="1"/>
  <c r="Y4" i="22"/>
  <c r="T4" i="22"/>
  <c r="O4" i="22"/>
  <c r="O5" i="22" s="1"/>
  <c r="J4" i="22"/>
  <c r="AC2" i="22"/>
  <c r="AB2" i="22"/>
  <c r="AA2" i="22"/>
  <c r="Z2" i="22"/>
  <c r="Y30" i="21"/>
  <c r="AC30" i="21" s="1"/>
  <c r="T30" i="21"/>
  <c r="AB30" i="21" s="1"/>
  <c r="O30" i="21"/>
  <c r="AA30" i="21" s="1"/>
  <c r="J30" i="21"/>
  <c r="Z30" i="21" s="1"/>
  <c r="D30" i="21"/>
  <c r="C30" i="21"/>
  <c r="B30" i="21"/>
  <c r="A30" i="21"/>
  <c r="Y29" i="21"/>
  <c r="AC29" i="21" s="1"/>
  <c r="T29" i="21"/>
  <c r="AB29" i="21" s="1"/>
  <c r="O29" i="21"/>
  <c r="AA29" i="21" s="1"/>
  <c r="J29" i="21"/>
  <c r="Z29" i="21" s="1"/>
  <c r="D29" i="21"/>
  <c r="C29" i="21"/>
  <c r="B29" i="21"/>
  <c r="A29" i="21"/>
  <c r="Y28" i="21"/>
  <c r="AC28" i="21" s="1"/>
  <c r="T28" i="21"/>
  <c r="AB28" i="21" s="1"/>
  <c r="O28" i="21"/>
  <c r="AA28" i="21" s="1"/>
  <c r="J28" i="21"/>
  <c r="Z28" i="21" s="1"/>
  <c r="D28" i="21"/>
  <c r="C28" i="21"/>
  <c r="B28" i="21"/>
  <c r="A28" i="21"/>
  <c r="Y27" i="21"/>
  <c r="AC27" i="21" s="1"/>
  <c r="T27" i="21"/>
  <c r="AB27" i="21" s="1"/>
  <c r="O27" i="21"/>
  <c r="AA27" i="21" s="1"/>
  <c r="J27" i="21"/>
  <c r="Z27" i="21" s="1"/>
  <c r="D27" i="21"/>
  <c r="C27" i="21"/>
  <c r="B27" i="21"/>
  <c r="A27" i="21"/>
  <c r="Y26" i="21"/>
  <c r="AC26" i="21" s="1"/>
  <c r="T26" i="21"/>
  <c r="AB26" i="21" s="1"/>
  <c r="O26" i="21"/>
  <c r="AA26" i="21" s="1"/>
  <c r="J26" i="21"/>
  <c r="Z26" i="21" s="1"/>
  <c r="D26" i="21"/>
  <c r="C26" i="21"/>
  <c r="B26" i="21"/>
  <c r="A26" i="21"/>
  <c r="Y25" i="21"/>
  <c r="AC25" i="21" s="1"/>
  <c r="T25" i="21"/>
  <c r="AB25" i="21" s="1"/>
  <c r="O25" i="21"/>
  <c r="AA25" i="21" s="1"/>
  <c r="J25" i="21"/>
  <c r="Z25" i="21" s="1"/>
  <c r="D25" i="21"/>
  <c r="C25" i="21"/>
  <c r="B25" i="21"/>
  <c r="A25" i="21"/>
  <c r="Y24" i="21"/>
  <c r="AC24" i="21" s="1"/>
  <c r="T24" i="21"/>
  <c r="AB24" i="21" s="1"/>
  <c r="O24" i="21"/>
  <c r="AA24" i="21" s="1"/>
  <c r="J24" i="21"/>
  <c r="Z24" i="21" s="1"/>
  <c r="D24" i="21"/>
  <c r="C24" i="21"/>
  <c r="B24" i="21"/>
  <c r="A24" i="21"/>
  <c r="Y23" i="21"/>
  <c r="AC23" i="21" s="1"/>
  <c r="T23" i="21"/>
  <c r="AB23" i="21" s="1"/>
  <c r="O23" i="21"/>
  <c r="AA23" i="21" s="1"/>
  <c r="J23" i="21"/>
  <c r="Z23" i="21" s="1"/>
  <c r="D23" i="21"/>
  <c r="C23" i="21"/>
  <c r="B23" i="21"/>
  <c r="A23" i="21"/>
  <c r="Y22" i="21"/>
  <c r="AC22" i="21" s="1"/>
  <c r="T22" i="21"/>
  <c r="AB22" i="21" s="1"/>
  <c r="O22" i="21"/>
  <c r="AA22" i="21" s="1"/>
  <c r="J22" i="21"/>
  <c r="Z22" i="21" s="1"/>
  <c r="D22" i="21"/>
  <c r="C22" i="21"/>
  <c r="B22" i="21"/>
  <c r="A22" i="21"/>
  <c r="Y21" i="21"/>
  <c r="AC21" i="21" s="1"/>
  <c r="T21" i="21"/>
  <c r="AB21" i="21" s="1"/>
  <c r="O21" i="21"/>
  <c r="AA21" i="21" s="1"/>
  <c r="J21" i="21"/>
  <c r="Z21" i="21" s="1"/>
  <c r="D21" i="21"/>
  <c r="C21" i="21"/>
  <c r="B21" i="21"/>
  <c r="A21" i="21"/>
  <c r="Y20" i="21"/>
  <c r="AC20" i="21" s="1"/>
  <c r="T20" i="21"/>
  <c r="AB20" i="21" s="1"/>
  <c r="O20" i="21"/>
  <c r="AA20" i="21" s="1"/>
  <c r="J20" i="21"/>
  <c r="Z20" i="21" s="1"/>
  <c r="D20" i="21"/>
  <c r="C20" i="21"/>
  <c r="B20" i="21"/>
  <c r="A20" i="21"/>
  <c r="Y19" i="21"/>
  <c r="AC19" i="21" s="1"/>
  <c r="T19" i="21"/>
  <c r="AB19" i="21" s="1"/>
  <c r="O19" i="21"/>
  <c r="AA19" i="21" s="1"/>
  <c r="J19" i="21"/>
  <c r="Z19" i="21" s="1"/>
  <c r="D19" i="21"/>
  <c r="C19" i="21"/>
  <c r="B19" i="21"/>
  <c r="A19" i="21"/>
  <c r="Y18" i="21"/>
  <c r="AC18" i="21" s="1"/>
  <c r="T18" i="21"/>
  <c r="AB18" i="21" s="1"/>
  <c r="O18" i="21"/>
  <c r="AA18" i="21" s="1"/>
  <c r="J18" i="21"/>
  <c r="Z18" i="21" s="1"/>
  <c r="D18" i="21"/>
  <c r="C18" i="21"/>
  <c r="B18" i="21"/>
  <c r="A18" i="21"/>
  <c r="Y17" i="21"/>
  <c r="AC17" i="21" s="1"/>
  <c r="T17" i="21"/>
  <c r="AB17" i="21" s="1"/>
  <c r="O17" i="21"/>
  <c r="AA17" i="21" s="1"/>
  <c r="J17" i="21"/>
  <c r="Z17" i="21" s="1"/>
  <c r="D17" i="21"/>
  <c r="C17" i="21"/>
  <c r="B17" i="21"/>
  <c r="A17" i="21"/>
  <c r="Y16" i="21"/>
  <c r="AC16" i="21" s="1"/>
  <c r="T16" i="21"/>
  <c r="AB16" i="21" s="1"/>
  <c r="O16" i="21"/>
  <c r="AA16" i="21" s="1"/>
  <c r="J16" i="21"/>
  <c r="Z16" i="21" s="1"/>
  <c r="D16" i="21"/>
  <c r="C16" i="21"/>
  <c r="B16" i="21"/>
  <c r="A16" i="21"/>
  <c r="Y15" i="21"/>
  <c r="AC15" i="21" s="1"/>
  <c r="T15" i="21"/>
  <c r="AB15" i="21" s="1"/>
  <c r="O15" i="21"/>
  <c r="AA15" i="21" s="1"/>
  <c r="J15" i="21"/>
  <c r="Z15" i="21" s="1"/>
  <c r="D15" i="21"/>
  <c r="C15" i="21"/>
  <c r="B15" i="21"/>
  <c r="A15" i="21"/>
  <c r="Y14" i="21"/>
  <c r="AC14" i="21" s="1"/>
  <c r="T14" i="21"/>
  <c r="AB14" i="21" s="1"/>
  <c r="O14" i="21"/>
  <c r="AA14" i="21" s="1"/>
  <c r="J14" i="21"/>
  <c r="Z14" i="21" s="1"/>
  <c r="D14" i="21"/>
  <c r="C14" i="21"/>
  <c r="B14" i="21"/>
  <c r="A14" i="21"/>
  <c r="Y13" i="21"/>
  <c r="AC13" i="21" s="1"/>
  <c r="T13" i="21"/>
  <c r="AB13" i="21" s="1"/>
  <c r="O13" i="21"/>
  <c r="AA13" i="21" s="1"/>
  <c r="J13" i="21"/>
  <c r="Z13" i="21" s="1"/>
  <c r="D13" i="21"/>
  <c r="C13" i="21"/>
  <c r="B13" i="21"/>
  <c r="A13" i="21"/>
  <c r="Y12" i="21"/>
  <c r="AC12" i="21" s="1"/>
  <c r="T12" i="21"/>
  <c r="AB12" i="21" s="1"/>
  <c r="O12" i="21"/>
  <c r="AA12" i="21" s="1"/>
  <c r="J12" i="21"/>
  <c r="Z12" i="21" s="1"/>
  <c r="D12" i="21"/>
  <c r="C12" i="21"/>
  <c r="B12" i="21"/>
  <c r="A12" i="21"/>
  <c r="Y11" i="21"/>
  <c r="AC11" i="21" s="1"/>
  <c r="T11" i="21"/>
  <c r="AB11" i="21" s="1"/>
  <c r="O11" i="21"/>
  <c r="AA11" i="21" s="1"/>
  <c r="J11" i="21"/>
  <c r="Z11" i="21" s="1"/>
  <c r="D11" i="21"/>
  <c r="C11" i="21"/>
  <c r="B11" i="21"/>
  <c r="A11" i="21"/>
  <c r="Y10" i="21"/>
  <c r="AC10" i="21" s="1"/>
  <c r="T10" i="21"/>
  <c r="AB10" i="21" s="1"/>
  <c r="O10" i="21"/>
  <c r="AA10" i="21" s="1"/>
  <c r="J10" i="21"/>
  <c r="Z10" i="21" s="1"/>
  <c r="D10" i="21"/>
  <c r="C10" i="21"/>
  <c r="B10" i="21"/>
  <c r="A10" i="21"/>
  <c r="Y9" i="21"/>
  <c r="AC9" i="21" s="1"/>
  <c r="T9" i="21"/>
  <c r="AB9" i="21" s="1"/>
  <c r="O9" i="21"/>
  <c r="AA9" i="21" s="1"/>
  <c r="J9" i="21"/>
  <c r="Z9" i="21" s="1"/>
  <c r="D9" i="21"/>
  <c r="C9" i="21"/>
  <c r="B9" i="21"/>
  <c r="A9" i="21"/>
  <c r="D8" i="21"/>
  <c r="C8" i="21"/>
  <c r="D7" i="21"/>
  <c r="C7" i="21"/>
  <c r="D6" i="21"/>
  <c r="C6" i="21"/>
  <c r="Y5" i="21"/>
  <c r="T5" i="21"/>
  <c r="T6" i="21" s="1"/>
  <c r="D5" i="21"/>
  <c r="C5" i="21"/>
  <c r="B5" i="21"/>
  <c r="B6" i="21" s="1"/>
  <c r="Y4" i="21"/>
  <c r="T4" i="21"/>
  <c r="O4" i="21"/>
  <c r="O5" i="21" s="1"/>
  <c r="J4" i="21"/>
  <c r="AC3" i="21"/>
  <c r="AB3" i="21"/>
  <c r="AA3" i="21"/>
  <c r="Z3" i="21"/>
  <c r="AC2" i="21"/>
  <c r="AB2" i="21"/>
  <c r="AA2" i="21"/>
  <c r="Z2" i="21"/>
  <c r="Z10" i="22" l="1"/>
  <c r="AA9" i="22"/>
  <c r="Z9" i="22"/>
  <c r="A5" i="22"/>
  <c r="Y7" i="22"/>
  <c r="A6" i="22"/>
  <c r="B7" i="22"/>
  <c r="A7" i="22" s="1"/>
  <c r="O6" i="22"/>
  <c r="T7" i="22"/>
  <c r="J5" i="22"/>
  <c r="A5" i="21"/>
  <c r="AB4" i="21"/>
  <c r="AC4" i="21"/>
  <c r="A6" i="21"/>
  <c r="B7" i="21"/>
  <c r="O6" i="21"/>
  <c r="AA5" i="21"/>
  <c r="AB6" i="21"/>
  <c r="T7" i="21"/>
  <c r="Y6" i="21"/>
  <c r="AB5" i="21"/>
  <c r="Z4" i="21"/>
  <c r="J5" i="21"/>
  <c r="AC5" i="21" s="1"/>
  <c r="AA4" i="21"/>
  <c r="AC3" i="20"/>
  <c r="AB3" i="20"/>
  <c r="AA3" i="20"/>
  <c r="Z3" i="20"/>
  <c r="O7" i="22" l="1"/>
  <c r="J6" i="22"/>
  <c r="B8" i="21"/>
  <c r="A8" i="21" s="1"/>
  <c r="AB7" i="21"/>
  <c r="T8" i="21"/>
  <c r="AB8" i="21" s="1"/>
  <c r="J6" i="21"/>
  <c r="Z5" i="21"/>
  <c r="O7" i="21"/>
  <c r="AA6" i="21"/>
  <c r="Y7" i="21"/>
  <c r="AC6" i="21"/>
  <c r="A7" i="21"/>
  <c r="Y30" i="20"/>
  <c r="AC30" i="20" s="1"/>
  <c r="T30" i="20"/>
  <c r="AB30" i="20" s="1"/>
  <c r="O30" i="20"/>
  <c r="AA30" i="20" s="1"/>
  <c r="J30" i="20"/>
  <c r="Z30" i="20" s="1"/>
  <c r="D30" i="20"/>
  <c r="C30" i="20"/>
  <c r="B30" i="20"/>
  <c r="A30" i="20"/>
  <c r="Y29" i="20"/>
  <c r="AC29" i="20" s="1"/>
  <c r="T29" i="20"/>
  <c r="AB29" i="20" s="1"/>
  <c r="O29" i="20"/>
  <c r="AA29" i="20" s="1"/>
  <c r="J29" i="20"/>
  <c r="Z29" i="20" s="1"/>
  <c r="D29" i="20"/>
  <c r="C29" i="20"/>
  <c r="B29" i="20"/>
  <c r="A29" i="20"/>
  <c r="Y28" i="20"/>
  <c r="AC28" i="20" s="1"/>
  <c r="T28" i="20"/>
  <c r="AB28" i="20" s="1"/>
  <c r="O28" i="20"/>
  <c r="AA28" i="20" s="1"/>
  <c r="J28" i="20"/>
  <c r="Z28" i="20" s="1"/>
  <c r="D28" i="20"/>
  <c r="C28" i="20"/>
  <c r="B28" i="20"/>
  <c r="A28" i="20"/>
  <c r="Y27" i="20"/>
  <c r="AC27" i="20" s="1"/>
  <c r="T27" i="20"/>
  <c r="AB27" i="20" s="1"/>
  <c r="O27" i="20"/>
  <c r="AA27" i="20" s="1"/>
  <c r="J27" i="20"/>
  <c r="Z27" i="20" s="1"/>
  <c r="D27" i="20"/>
  <c r="C27" i="20"/>
  <c r="B27" i="20"/>
  <c r="A27" i="20"/>
  <c r="Y26" i="20"/>
  <c r="AC26" i="20" s="1"/>
  <c r="T26" i="20"/>
  <c r="AB26" i="20" s="1"/>
  <c r="O26" i="20"/>
  <c r="AA26" i="20" s="1"/>
  <c r="J26" i="20"/>
  <c r="Z26" i="20" s="1"/>
  <c r="D26" i="20"/>
  <c r="C26" i="20"/>
  <c r="B26" i="20"/>
  <c r="A26" i="20"/>
  <c r="Y25" i="20"/>
  <c r="AC25" i="20" s="1"/>
  <c r="T25" i="20"/>
  <c r="AB25" i="20" s="1"/>
  <c r="O25" i="20"/>
  <c r="AA25" i="20" s="1"/>
  <c r="J25" i="20"/>
  <c r="Z25" i="20" s="1"/>
  <c r="D25" i="20"/>
  <c r="C25" i="20"/>
  <c r="B25" i="20"/>
  <c r="A25" i="20"/>
  <c r="Y24" i="20"/>
  <c r="AC24" i="20" s="1"/>
  <c r="T24" i="20"/>
  <c r="AB24" i="20" s="1"/>
  <c r="O24" i="20"/>
  <c r="AA24" i="20" s="1"/>
  <c r="J24" i="20"/>
  <c r="Z24" i="20" s="1"/>
  <c r="D24" i="20"/>
  <c r="C24" i="20"/>
  <c r="B24" i="20"/>
  <c r="A24" i="20"/>
  <c r="Y23" i="20"/>
  <c r="AC23" i="20" s="1"/>
  <c r="T23" i="20"/>
  <c r="AB23" i="20" s="1"/>
  <c r="O23" i="20"/>
  <c r="AA23" i="20" s="1"/>
  <c r="J23" i="20"/>
  <c r="Z23" i="20" s="1"/>
  <c r="D23" i="20"/>
  <c r="C23" i="20"/>
  <c r="B23" i="20"/>
  <c r="A23" i="20"/>
  <c r="Y22" i="20"/>
  <c r="AC22" i="20" s="1"/>
  <c r="T22" i="20"/>
  <c r="AB22" i="20" s="1"/>
  <c r="O22" i="20"/>
  <c r="AA22" i="20" s="1"/>
  <c r="J22" i="20"/>
  <c r="Z22" i="20" s="1"/>
  <c r="D22" i="20"/>
  <c r="C22" i="20"/>
  <c r="B22" i="20"/>
  <c r="A22" i="20"/>
  <c r="Y21" i="20"/>
  <c r="AC21" i="20" s="1"/>
  <c r="T21" i="20"/>
  <c r="AB21" i="20" s="1"/>
  <c r="O21" i="20"/>
  <c r="AA21" i="20" s="1"/>
  <c r="J21" i="20"/>
  <c r="Z21" i="20" s="1"/>
  <c r="D21" i="20"/>
  <c r="C21" i="20"/>
  <c r="B21" i="20"/>
  <c r="A21" i="20"/>
  <c r="Y20" i="20"/>
  <c r="AC20" i="20" s="1"/>
  <c r="T20" i="20"/>
  <c r="AB20" i="20" s="1"/>
  <c r="O20" i="20"/>
  <c r="AA20" i="20" s="1"/>
  <c r="J20" i="20"/>
  <c r="Z20" i="20" s="1"/>
  <c r="D20" i="20"/>
  <c r="C20" i="20"/>
  <c r="B20" i="20"/>
  <c r="A20" i="20"/>
  <c r="Y19" i="20"/>
  <c r="AC19" i="20" s="1"/>
  <c r="T19" i="20"/>
  <c r="AB19" i="20" s="1"/>
  <c r="O19" i="20"/>
  <c r="AA19" i="20" s="1"/>
  <c r="J19" i="20"/>
  <c r="Z19" i="20" s="1"/>
  <c r="D19" i="20"/>
  <c r="C19" i="20"/>
  <c r="B19" i="20"/>
  <c r="A19" i="20"/>
  <c r="Y18" i="20"/>
  <c r="AC18" i="20" s="1"/>
  <c r="T18" i="20"/>
  <c r="AB18" i="20" s="1"/>
  <c r="O18" i="20"/>
  <c r="AA18" i="20" s="1"/>
  <c r="J18" i="20"/>
  <c r="Z18" i="20" s="1"/>
  <c r="D18" i="20"/>
  <c r="C18" i="20"/>
  <c r="B18" i="20"/>
  <c r="A18" i="20"/>
  <c r="Y17" i="20"/>
  <c r="AC17" i="20" s="1"/>
  <c r="T17" i="20"/>
  <c r="AB17" i="20" s="1"/>
  <c r="O17" i="20"/>
  <c r="AA17" i="20" s="1"/>
  <c r="J17" i="20"/>
  <c r="Z17" i="20" s="1"/>
  <c r="D17" i="20"/>
  <c r="C17" i="20"/>
  <c r="B17" i="20"/>
  <c r="A17" i="20"/>
  <c r="Y16" i="20"/>
  <c r="AC16" i="20" s="1"/>
  <c r="T16" i="20"/>
  <c r="AB16" i="20" s="1"/>
  <c r="O16" i="20"/>
  <c r="AA16" i="20" s="1"/>
  <c r="J16" i="20"/>
  <c r="Z16" i="20" s="1"/>
  <c r="D16" i="20"/>
  <c r="C16" i="20"/>
  <c r="B16" i="20"/>
  <c r="A16" i="20"/>
  <c r="Y15" i="20"/>
  <c r="AC15" i="20" s="1"/>
  <c r="T15" i="20"/>
  <c r="AB15" i="20" s="1"/>
  <c r="O15" i="20"/>
  <c r="AA15" i="20" s="1"/>
  <c r="J15" i="20"/>
  <c r="Z15" i="20" s="1"/>
  <c r="D15" i="20"/>
  <c r="C15" i="20"/>
  <c r="B15" i="20"/>
  <c r="A15" i="20"/>
  <c r="Y14" i="20"/>
  <c r="AC14" i="20" s="1"/>
  <c r="T14" i="20"/>
  <c r="AB14" i="20" s="1"/>
  <c r="O14" i="20"/>
  <c r="AA14" i="20" s="1"/>
  <c r="J14" i="20"/>
  <c r="Z14" i="20" s="1"/>
  <c r="D14" i="20"/>
  <c r="C14" i="20"/>
  <c r="B14" i="20"/>
  <c r="A14" i="20"/>
  <c r="Y13" i="20"/>
  <c r="AC13" i="20" s="1"/>
  <c r="T13" i="20"/>
  <c r="AB13" i="20" s="1"/>
  <c r="O13" i="20"/>
  <c r="AA13" i="20" s="1"/>
  <c r="J13" i="20"/>
  <c r="Z13" i="20" s="1"/>
  <c r="D13" i="20"/>
  <c r="C13" i="20"/>
  <c r="B13" i="20"/>
  <c r="A13" i="20"/>
  <c r="Y12" i="20"/>
  <c r="AC12" i="20" s="1"/>
  <c r="T12" i="20"/>
  <c r="AB12" i="20" s="1"/>
  <c r="O12" i="20"/>
  <c r="AA12" i="20" s="1"/>
  <c r="J12" i="20"/>
  <c r="Z12" i="20" s="1"/>
  <c r="D12" i="20"/>
  <c r="C12" i="20"/>
  <c r="B12" i="20"/>
  <c r="A12" i="20"/>
  <c r="D11" i="20"/>
  <c r="C11" i="20"/>
  <c r="D10" i="20"/>
  <c r="C10" i="20"/>
  <c r="D9" i="20"/>
  <c r="C9" i="20"/>
  <c r="C8" i="20"/>
  <c r="D7" i="20"/>
  <c r="D8" i="20" s="1"/>
  <c r="D6" i="20"/>
  <c r="D5" i="20"/>
  <c r="C5" i="20"/>
  <c r="C6" i="20" s="1"/>
  <c r="C7" i="20" s="1"/>
  <c r="B5" i="20"/>
  <c r="B6" i="20" s="1"/>
  <c r="Y4" i="20"/>
  <c r="T4" i="20"/>
  <c r="O4" i="20"/>
  <c r="J4" i="20"/>
  <c r="AC2" i="20"/>
  <c r="AB2" i="20"/>
  <c r="AA2" i="20"/>
  <c r="Z2" i="20"/>
  <c r="J7" i="22" l="1"/>
  <c r="O8" i="21"/>
  <c r="AA7" i="21"/>
  <c r="J7" i="21"/>
  <c r="Z6" i="21"/>
  <c r="Y8" i="21"/>
  <c r="AC7" i="21"/>
  <c r="AC4" i="20"/>
  <c r="AB4" i="20"/>
  <c r="AA4" i="20"/>
  <c r="Z4" i="20"/>
  <c r="J5" i="20"/>
  <c r="Y5" i="20"/>
  <c r="AC5" i="20" s="1"/>
  <c r="O5" i="20"/>
  <c r="T5" i="20"/>
  <c r="AB5" i="20" s="1"/>
  <c r="A5" i="20"/>
  <c r="T6" i="20"/>
  <c r="Y6" i="20"/>
  <c r="AC6" i="20" s="1"/>
  <c r="J6" i="20"/>
  <c r="Z6" i="20" s="1"/>
  <c r="O6" i="20"/>
  <c r="AA6" i="20" s="1"/>
  <c r="A6" i="20"/>
  <c r="B7" i="20"/>
  <c r="AC8" i="21" l="1"/>
  <c r="J8" i="21"/>
  <c r="Z8" i="21" s="1"/>
  <c r="Z7" i="21"/>
  <c r="AB6" i="20"/>
  <c r="AA5" i="20"/>
  <c r="Z5" i="20"/>
  <c r="B8" i="20"/>
  <c r="O7" i="20"/>
  <c r="Y7" i="20"/>
  <c r="A7" i="20"/>
  <c r="J7" i="20"/>
  <c r="T7" i="20"/>
  <c r="AA8" i="21" l="1"/>
  <c r="Z7" i="20"/>
  <c r="AC7" i="20"/>
  <c r="AB7" i="20"/>
  <c r="AA7" i="20"/>
  <c r="B9" i="20"/>
  <c r="O8" i="20"/>
  <c r="T8" i="20"/>
  <c r="J8" i="20"/>
  <c r="Y8" i="20"/>
  <c r="A8" i="20"/>
  <c r="Z8" i="20" l="1"/>
  <c r="AC8" i="20"/>
  <c r="AB8" i="20"/>
  <c r="AA8" i="20"/>
  <c r="J9" i="20"/>
  <c r="B10" i="20"/>
  <c r="O9" i="20"/>
  <c r="Y9" i="20"/>
  <c r="T9" i="20"/>
  <c r="A9" i="20"/>
  <c r="AA9" i="20" l="1"/>
  <c r="AB9" i="20"/>
  <c r="Z9" i="20"/>
  <c r="AC9" i="20"/>
  <c r="B11" i="20"/>
  <c r="A11" i="20" s="1"/>
  <c r="Y10" i="20"/>
  <c r="AC10" i="20" s="1"/>
  <c r="A10" i="20"/>
  <c r="T10" i="20"/>
  <c r="AB10" i="20" s="1"/>
  <c r="O10" i="20"/>
  <c r="AA10" i="20" s="1"/>
  <c r="J10" i="20"/>
  <c r="Z10" i="20" s="1"/>
  <c r="O11" i="20" l="1"/>
  <c r="AA11" i="20" s="1"/>
  <c r="J11" i="20"/>
  <c r="Z11" i="20" s="1"/>
  <c r="Y11" i="20"/>
  <c r="AC11" i="20" s="1"/>
  <c r="T11" i="20"/>
  <c r="AB11" i="20" s="1"/>
</calcChain>
</file>

<file path=xl/sharedStrings.xml><?xml version="1.0" encoding="utf-8"?>
<sst xmlns="http://schemas.openxmlformats.org/spreadsheetml/2006/main" count="486" uniqueCount="36">
  <si>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</si>
  <si>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</si>
  <si>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</si>
  <si>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</si>
  <si>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</si>
  <si>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</si>
  <si>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</si>
  <si>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</si>
  <si>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</si>
  <si>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</si>
  <si>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</si>
  <si>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</si>
  <si>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</si>
  <si>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</si>
  <si>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</si>
  <si>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</si>
  <si>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</si>
  <si>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</si>
  <si>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供託</t>
    <rPh sb="0" eb="2">
      <t>キョウタク</t>
    </rPh>
    <phoneticPr fontId="1"/>
  </si>
  <si>
    <t>リーチ</t>
    <phoneticPr fontId="1"/>
  </si>
  <si>
    <t>*</t>
    <phoneticPr fontId="1"/>
  </si>
  <si>
    <t>東</t>
    <rPh sb="0" eb="1">
      <t>ヒガシ</t>
    </rPh>
    <phoneticPr fontId="1"/>
  </si>
  <si>
    <t>たかの</t>
  </si>
  <si>
    <t>たかの</t>
    <phoneticPr fontId="1"/>
  </si>
  <si>
    <t>まっつん</t>
  </si>
  <si>
    <t>まっつん</t>
    <phoneticPr fontId="1"/>
  </si>
  <si>
    <t>だいち</t>
  </si>
  <si>
    <t>だいち</t>
    <phoneticPr fontId="1"/>
  </si>
  <si>
    <t>ただ</t>
  </si>
  <si>
    <t>ただ</t>
    <phoneticPr fontId="1"/>
  </si>
  <si>
    <t>流局</t>
    <phoneticPr fontId="1"/>
  </si>
  <si>
    <t>ツモ支払</t>
  </si>
  <si>
    <t>ツモ</t>
  </si>
  <si>
    <t>ロン</t>
  </si>
  <si>
    <t>放銃</t>
  </si>
  <si>
    <t>流局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</si>
</sst>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1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4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Alignment="1">
      <alignment vertical="center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</cellXfs>
  <cellStyles count="1">
    <cellStyle name="標準" xfId="0" builtinId="0"/>
  </cellStyles>
  <dxfs count="9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801CF0-2346-4853-9A04-34997F29E7F6}">
  <sheetPr codeName="Sheet1">
    <pageSetUpPr fitToPage="1"/>
  </sheetPr>
  <dimension ref="A1:AC30"/>
  <sheetViews>
    <sheetView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25</v>
      </c>
      <c r="L1" s="44"/>
      <c r="M1" s="44"/>
      <c r="N1" s="45"/>
      <c r="O1" s="46"/>
      <c r="P1" s="43" t="s">
        <v>27</v>
      </c>
      <c r="Q1" s="44"/>
      <c r="R1" s="44"/>
      <c r="S1" s="45"/>
      <c r="T1" s="46"/>
      <c r="U1" s="43" t="s">
        <v>29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39" t="str">
        <f>$F$1</f>
        <v>たかの</v>
      </c>
      <c r="AA2" s="40" t="str">
        <f>$K$1</f>
        <v>まっつん</v>
      </c>
      <c r="AB2" s="40" t="str">
        <f>$P$1</f>
        <v>だいち</v>
      </c>
      <c r="AC2" s="16" t="str">
        <f>$U$1</f>
        <v>ただ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IF($J3="","",ROUND(($J3-$J$3)/1000,1)+IF($J3&lt;30000,-10,_xlfn.SWITCH(FREQUENCY(($J3,$O3,$T3,$Y3),29500),3,30,2,_xlfn.SWITCH(_xlfn.RANK.EQ($J3,($J3,$O3,$T3,$Y3)),1,15,2,5),1,_xlfn.SWITCH(_xlfn.RANK.EQ($J3,($J3,$O3,$T3,$Y3)),1,7,2,2,3,1),0,0)))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IF($O3="","",ROUND(($O3-$O$3)/1000,1)+IF($O3&lt;30000,-10,_xlfn.SWITCH(FREQUENCY(($J3,$O3,$T3,$Y3),29500),3,30,2,_xlfn.SWITCH(_xlfn.RANK.EQ($O3,($J3,$O3,$T3,$Y3)),1,15,2,5),1,_xlfn.SWITCH(_xlfn.RANK.EQ($O3,($J3,$O3,$T3,$Y3)),1,7,2,2,3,1),0,0)))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IF($T3="","",ROUND(($T3-$T$3)/1000,1)+IF($T3&lt;30000,-10,_xlfn.SWITCH(FREQUENCY(($J3,$O3,$T3,$Y3),29500),3,30,2,_xlfn.SWITCH(_xlfn.RANK.EQ($T3,($J3,$O3,$T3,$Y3)),1,15,2,5),1,_xlfn.SWITCH(_xlfn.RANK.EQ($T3,($J3,$O3,$T3,$Y3)),1,7,2,2,3,1),0,0)))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IF($Y3="","",ROUND(($Y3-$Y$3)/1000,1)+IF($Y3&lt;30000,-10,_xlfn.SWITCH(FREQUENCY(($J3,$O3,$T3,$Y3),29500),3,30,2,_xlfn.SWITCH(_xlfn.RANK.EQ($Y3,($J3,$O3,$T3,$Y3)),1,15,2,5),1,_xlfn.SWITCH(_xlfn.RANK.EQ($Y3,($J3,$O3,$T3,$Y3)),1,7,2,2,3,1),0,0)))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22</v>
      </c>
      <c r="F4" s="8" t="s">
        <v>30</v>
      </c>
      <c r="G4" s="9">
        <v>1000</v>
      </c>
      <c r="H4" s="9"/>
      <c r="I4" s="28"/>
      <c r="J4" s="21">
        <f>IF(COUNTA($F4,$K4,$P4,$U4)&gt;0,J3+SUM(G4:I4),"")</f>
        <v>31000</v>
      </c>
      <c r="K4" s="8" t="s">
        <v>30</v>
      </c>
      <c r="L4" s="9">
        <v>-3000</v>
      </c>
      <c r="M4" s="9"/>
      <c r="N4" s="28"/>
      <c r="O4" s="21">
        <f>IF(COUNTA($F4,$K4,$P4,$U4)&gt;0,O3+SUM(L4:N4),"")</f>
        <v>27000</v>
      </c>
      <c r="P4" s="8" t="s">
        <v>30</v>
      </c>
      <c r="Q4" s="9">
        <v>1000</v>
      </c>
      <c r="R4" s="9"/>
      <c r="S4" s="28"/>
      <c r="T4" s="21">
        <f>IF(COUNTA($F4,$K4,$P4,$U4)&gt;0,T3+SUM(Q4:S4),"")</f>
        <v>31000</v>
      </c>
      <c r="U4" s="8" t="s">
        <v>30</v>
      </c>
      <c r="V4" s="9">
        <v>1000</v>
      </c>
      <c r="W4" s="9"/>
      <c r="X4" s="28"/>
      <c r="Y4" s="21">
        <f>IF(COUNTA($F4,$K4,$P4,$U4)&gt;0,Y3+SUM(V4:X4),"")</f>
        <v>31000</v>
      </c>
      <c r="Z4" s="33">
        <f>IF($J4="","",ROUND(($J4-$J$3)/1000,1)+IF($J4&lt;30000,-10,_xlfn.SWITCH(FREQUENCY(($J4,$O4,$T4,$Y4),29500),3,30,2,_xlfn.SWITCH(_xlfn.RANK.EQ($J4,($J4,$O4,$T4,$Y4)),1,15,2,5),1,_xlfn.SWITCH(_xlfn.RANK.EQ($J4,($J4,$O4,$T4,$Y4)),1,7,2,2,3,1),0,0)))</f>
        <v>8</v>
      </c>
      <c r="AA4" s="34">
        <f>IF($O4="","",ROUND(($O4-$O$3)/1000,1)+IF($O4&lt;30000,-10,_xlfn.SWITCH(FREQUENCY(($J4,$O4,$T4,$Y4),29500),3,30,2,_xlfn.SWITCH(_xlfn.RANK.EQ($O4,($J4,$O4,$T4,$Y4)),1,15,2,5),1,_xlfn.SWITCH(_xlfn.RANK.EQ($O4,($J4,$O4,$T4,$Y4)),1,7,2,2,3,1),0,0)))</f>
        <v>-13</v>
      </c>
      <c r="AB4" s="34">
        <f>IF($T4="","",ROUND(($T4-$T$3)/1000,1)+IF($T4&lt;30000,-10,_xlfn.SWITCH(FREQUENCY(($J4,$O4,$T4,$Y4),29500),3,30,2,_xlfn.SWITCH(_xlfn.RANK.EQ($T4,($J4,$O4,$T4,$Y4)),1,15,2,5),1,_xlfn.SWITCH(_xlfn.RANK.EQ($T4,($J4,$O4,$T4,$Y4)),1,7,2,2,3,1),0,0)))</f>
        <v>8</v>
      </c>
      <c r="AC4" s="35">
        <f>IF($Y4="","",ROUND(($Y4-$Y$3)/1000,1)+IF($Y4&lt;30000,-10,_xlfn.SWITCH(FREQUENCY(($J4,$O4,$T4,$Y4),29500),3,30,2,_xlfn.SWITCH(_xlfn.RANK.EQ($Y4,($J4,$O4,$T4,$Y4)),1,15,2,5),1,_xlfn.SWITCH(_xlfn.RANK.EQ($Y4,($J4,$O4,$T4,$Y4)),1,7,2,2,3,1),0,0)))</f>
        <v>8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1</v>
      </c>
      <c r="C5" s="18">
        <f>IF($E5="","",IF($F4="チョンボ",C4,IF(OR($E4=$E5,$F4="流局"),C4+1,0)))</f>
        <v>1</v>
      </c>
      <c r="D5" s="18">
        <f>IF($E5="","",IF(OR($F4="流局",$F4="チョンボ"),D4+($H4+$M4+$R4+$W4)/-1000,0))</f>
        <v>0</v>
      </c>
      <c r="E5" s="4" t="s">
        <v>22</v>
      </c>
      <c r="F5" s="8" t="s">
        <v>31</v>
      </c>
      <c r="G5" s="9">
        <v>-1000</v>
      </c>
      <c r="H5" s="9"/>
      <c r="I5" s="28">
        <v>-100</v>
      </c>
      <c r="J5" s="21">
        <f t="shared" ref="J5:J30" si="1">IF(COUNTA($F5,$K5,$P5,$U5)&gt;0,J4+SUM(G5:I5),"")</f>
        <v>29900</v>
      </c>
      <c r="K5" s="8" t="s">
        <v>31</v>
      </c>
      <c r="L5" s="9">
        <v>-500</v>
      </c>
      <c r="M5" s="9"/>
      <c r="N5" s="28">
        <v>-100</v>
      </c>
      <c r="O5" s="21">
        <f t="shared" ref="O5:O30" si="2">IF(COUNTA($F5,$K5,$P5,$U5)&gt;0,O4+SUM(L5:N5),"")</f>
        <v>26400</v>
      </c>
      <c r="P5" s="8" t="s">
        <v>31</v>
      </c>
      <c r="Q5" s="9">
        <v>-500</v>
      </c>
      <c r="R5" s="9"/>
      <c r="S5" s="28">
        <v>-100</v>
      </c>
      <c r="T5" s="21">
        <f t="shared" ref="T5:T30" si="3">IF(COUNTA($F5,$K5,$P5,$U5)&gt;0,T4+SUM(Q5:S5),"")</f>
        <v>30400</v>
      </c>
      <c r="U5" s="8" t="s">
        <v>32</v>
      </c>
      <c r="V5" s="9">
        <v>2000</v>
      </c>
      <c r="W5" s="9"/>
      <c r="X5" s="28">
        <v>300</v>
      </c>
      <c r="Y5" s="21">
        <f t="shared" ref="Y5:Y30" si="4">IF(COUNTA($F5,$K5,$P5,$U5)&gt;0,Y4+SUM(V5:X5),"")</f>
        <v>33300</v>
      </c>
      <c r="Z5" s="33">
        <f>IF($J5="","",ROUND(($J5-$J$3)/1000,1)+IF($J5&lt;30000,-10,_xlfn.SWITCH(FREQUENCY(($J5,$O5,$T5,$Y5),29500),3,30,2,_xlfn.SWITCH(_xlfn.RANK.EQ($J5,($J5,$O5,$T5,$Y5)),1,15,2,5),1,_xlfn.SWITCH(_xlfn.RANK.EQ($J5,($J5,$O5,$T5,$Y5)),1,7,2,2,3,1),0,0)))</f>
        <v>-10.1</v>
      </c>
      <c r="AA5" s="34">
        <f>IF($O5="","",ROUND(($O5-$O$3)/1000,1)+IF($O5&lt;30000,-10,_xlfn.SWITCH(FREQUENCY(($J5,$O5,$T5,$Y5),29500),3,30,2,_xlfn.SWITCH(_xlfn.RANK.EQ($O5,($J5,$O5,$T5,$Y5)),1,15,2,5),1,_xlfn.SWITCH(_xlfn.RANK.EQ($O5,($J5,$O5,$T5,$Y5)),1,7,2,2,3,1),0,0)))</f>
        <v>-13.6</v>
      </c>
      <c r="AB5" s="34">
        <f>IF($T5="","",ROUND(($T5-$T$3)/1000,1)+IF($T5&lt;30000,-10,_xlfn.SWITCH(FREQUENCY(($J5,$O5,$T5,$Y5),29500),3,30,2,_xlfn.SWITCH(_xlfn.RANK.EQ($T5,($J5,$O5,$T5,$Y5)),1,15,2,5),1,_xlfn.SWITCH(_xlfn.RANK.EQ($T5,($J5,$O5,$T5,$Y5)),1,7,2,2,3,1),0,0)))</f>
        <v>2.4</v>
      </c>
      <c r="AC5" s="35">
        <f>IF($Y5="","",ROUND(($Y5-$Y$3)/1000,1)+IF($Y5&lt;30000,-10,_xlfn.SWITCH(FREQUENCY(($J5,$O5,$T5,$Y5),29500),3,30,2,_xlfn.SWITCH(_xlfn.RANK.EQ($Y5,($J5,$O5,$T5,$Y5)),1,15,2,5),1,_xlfn.SWITCH(_xlfn.RANK.EQ($Y5,($J5,$O5,$T5,$Y5)),1,7,2,2,3,1),0,0)))</f>
        <v>10.3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24</v>
      </c>
      <c r="F6" s="8" t="s">
        <v>31</v>
      </c>
      <c r="G6" s="9">
        <v>-1300</v>
      </c>
      <c r="H6" s="9"/>
      <c r="I6" s="28">
        <v>0</v>
      </c>
      <c r="J6" s="21">
        <f t="shared" si="1"/>
        <v>28600</v>
      </c>
      <c r="K6" s="8" t="s">
        <v>31</v>
      </c>
      <c r="L6" s="9">
        <v>-2600</v>
      </c>
      <c r="M6" s="9"/>
      <c r="N6" s="28">
        <v>0</v>
      </c>
      <c r="O6" s="21">
        <f t="shared" si="2"/>
        <v>23800</v>
      </c>
      <c r="P6" s="8" t="s">
        <v>31</v>
      </c>
      <c r="Q6" s="9">
        <v>-1300</v>
      </c>
      <c r="R6" s="9"/>
      <c r="S6" s="28">
        <v>0</v>
      </c>
      <c r="T6" s="21">
        <f t="shared" si="3"/>
        <v>29100</v>
      </c>
      <c r="U6" s="8" t="s">
        <v>32</v>
      </c>
      <c r="V6" s="9">
        <v>5200</v>
      </c>
      <c r="W6" s="9"/>
      <c r="X6" s="28">
        <v>0</v>
      </c>
      <c r="Y6" s="21">
        <f t="shared" si="4"/>
        <v>38500</v>
      </c>
      <c r="Z6" s="33">
        <f>IF($J6="","",ROUND(($J6-$J$3)/1000,1)+IF($J6&lt;30000,-10,_xlfn.SWITCH(FREQUENCY(($J6,$O6,$T6,$Y6),29500),3,30,2,_xlfn.SWITCH(_xlfn.RANK.EQ($J6,($J6,$O6,$T6,$Y6)),1,15,2,5),1,_xlfn.SWITCH(_xlfn.RANK.EQ($J6,($J6,$O6,$T6,$Y6)),1,7,2,2,3,1),0,0)))</f>
        <v>-11.4</v>
      </c>
      <c r="AA6" s="34">
        <f>IF($O6="","",ROUND(($O6-$O$3)/1000,1)+IF($O6&lt;30000,-10,_xlfn.SWITCH(FREQUENCY(($J6,$O6,$T6,$Y6),29500),3,30,2,_xlfn.SWITCH(_xlfn.RANK.EQ($O6,($J6,$O6,$T6,$Y6)),1,15,2,5),1,_xlfn.SWITCH(_xlfn.RANK.EQ($O6,($J6,$O6,$T6,$Y6)),1,7,2,2,3,1),0,0)))</f>
        <v>-16.2</v>
      </c>
      <c r="AB6" s="34">
        <f>IF($T6="","",ROUND(($T6-$T$3)/1000,1)+IF($T6&lt;30000,-10,_xlfn.SWITCH(FREQUENCY(($J6,$O6,$T6,$Y6),29500),3,30,2,_xlfn.SWITCH(_xlfn.RANK.EQ($T6,($J6,$O6,$T6,$Y6)),1,15,2,5),1,_xlfn.SWITCH(_xlfn.RANK.EQ($T6,($J6,$O6,$T6,$Y6)),1,7,2,2,3,1),0,0)))</f>
        <v>-10.9</v>
      </c>
      <c r="AC6" s="35">
        <f>IF($Y6="","",ROUND(($Y6-$Y$3)/1000,1)+IF($Y6&lt;30000,-10,_xlfn.SWITCH(FREQUENCY(($J6,$O6,$T6,$Y6),29500),3,30,2,_xlfn.SWITCH(_xlfn.RANK.EQ($Y6,($J6,$O6,$T6,$Y6)),1,15,2,5),1,_xlfn.SWITCH(_xlfn.RANK.EQ($Y6,($J6,$O6,$T6,$Y6)),1,7,2,2,3,1),0,0)))</f>
        <v>38.5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26</v>
      </c>
      <c r="F7" s="8" t="s">
        <v>33</v>
      </c>
      <c r="G7" s="9">
        <v>12000</v>
      </c>
      <c r="H7" s="9"/>
      <c r="I7" s="28">
        <v>0</v>
      </c>
      <c r="J7" s="21">
        <f t="shared" si="1"/>
        <v>40600</v>
      </c>
      <c r="K7" s="8"/>
      <c r="L7" s="9"/>
      <c r="M7" s="9"/>
      <c r="N7" s="28"/>
      <c r="O7" s="21">
        <f t="shared" si="2"/>
        <v>23800</v>
      </c>
      <c r="P7" s="8" t="s">
        <v>34</v>
      </c>
      <c r="Q7" s="9">
        <v>-12000</v>
      </c>
      <c r="R7" s="9"/>
      <c r="S7" s="28">
        <v>0</v>
      </c>
      <c r="T7" s="21">
        <f t="shared" si="3"/>
        <v>17100</v>
      </c>
      <c r="U7" s="8"/>
      <c r="V7" s="9"/>
      <c r="W7" s="9"/>
      <c r="X7" s="28"/>
      <c r="Y7" s="21">
        <f t="shared" si="4"/>
        <v>38500</v>
      </c>
      <c r="Z7" s="33">
        <f>IF($J7="","",ROUND(($J7-$J$3)/1000,1)+IF($J7&lt;30000,-10,_xlfn.SWITCH(FREQUENCY(($J7,$O7,$T7,$Y7),29500),3,30,2,_xlfn.SWITCH(_xlfn.RANK.EQ($J7,($J7,$O7,$T7,$Y7)),1,15,2,5),1,_xlfn.SWITCH(_xlfn.RANK.EQ($J7,($J7,$O7,$T7,$Y7)),1,7,2,2,3,1),0,0)))</f>
        <v>25.6</v>
      </c>
      <c r="AA7" s="34">
        <f>IF($O7="","",ROUND(($O7-$O$3)/1000,1)+IF($O7&lt;30000,-10,_xlfn.SWITCH(FREQUENCY(($J7,$O7,$T7,$Y7),29500),3,30,2,_xlfn.SWITCH(_xlfn.RANK.EQ($O7,($J7,$O7,$T7,$Y7)),1,15,2,5),1,_xlfn.SWITCH(_xlfn.RANK.EQ($O7,($J7,$O7,$T7,$Y7)),1,7,2,2,3,1),0,0)))</f>
        <v>-16.2</v>
      </c>
      <c r="AB7" s="34">
        <f>IF($T7="","",ROUND(($T7-$T$3)/1000,1)+IF($T7&lt;30000,-10,_xlfn.SWITCH(FREQUENCY(($J7,$O7,$T7,$Y7),29500),3,30,2,_xlfn.SWITCH(_xlfn.RANK.EQ($T7,($J7,$O7,$T7,$Y7)),1,15,2,5),1,_xlfn.SWITCH(_xlfn.RANK.EQ($T7,($J7,$O7,$T7,$Y7)),1,7,2,2,3,1),0,0)))</f>
        <v>-22.9</v>
      </c>
      <c r="AC7" s="35">
        <f>IF($Y7="","",ROUND(($Y7-$Y$3)/1000,1)+IF($Y7&lt;30000,-10,_xlfn.SWITCH(FREQUENCY(($J7,$O7,$T7,$Y7),29500),3,30,2,_xlfn.SWITCH(_xlfn.RANK.EQ($Y7,($J7,$O7,$T7,$Y7)),1,15,2,5),1,_xlfn.SWITCH(_xlfn.RANK.EQ($Y7,($J7,$O7,$T7,$Y7)),1,7,2,2,3,1),0,0)))</f>
        <v>13.5</v>
      </c>
    </row>
    <row r="8" spans="1:29" x14ac:dyDescent="0.4">
      <c r="A8" s="13" t="str">
        <f t="shared" si="0"/>
        <v>東</v>
      </c>
      <c r="B8" s="18">
        <f t="shared" si="5"/>
        <v>4</v>
      </c>
      <c r="C8" s="18">
        <f t="shared" si="6"/>
        <v>0</v>
      </c>
      <c r="D8" s="18">
        <f>IF($E8="","",IF(OR($F7="流局",$F7="チョンボ"),D7+($H7+$M7+$R7+$W7)/-1000,0))</f>
        <v>0</v>
      </c>
      <c r="E8" s="4" t="s">
        <v>28</v>
      </c>
      <c r="F8" s="8"/>
      <c r="G8" s="9"/>
      <c r="H8" s="9"/>
      <c r="I8" s="28"/>
      <c r="J8" s="21">
        <f t="shared" si="1"/>
        <v>40600</v>
      </c>
      <c r="K8" s="8" t="s">
        <v>33</v>
      </c>
      <c r="L8" s="9">
        <v>8000</v>
      </c>
      <c r="M8" s="9"/>
      <c r="N8" s="28">
        <v>0</v>
      </c>
      <c r="O8" s="21">
        <f t="shared" si="2"/>
        <v>31800</v>
      </c>
      <c r="P8" s="8" t="s">
        <v>34</v>
      </c>
      <c r="Q8" s="9">
        <v>-8000</v>
      </c>
      <c r="R8" s="9"/>
      <c r="S8" s="28">
        <v>0</v>
      </c>
      <c r="T8" s="21">
        <f t="shared" si="3"/>
        <v>9100</v>
      </c>
      <c r="U8" s="8"/>
      <c r="V8" s="9"/>
      <c r="W8" s="9"/>
      <c r="X8" s="28"/>
      <c r="Y8" s="21">
        <f t="shared" si="4"/>
        <v>38500</v>
      </c>
      <c r="Z8" s="33">
        <f>IF($J8="","",ROUND(($J8-$J$3)/1000,1)+IF($J8&lt;30000,-10,_xlfn.SWITCH(FREQUENCY(($J8,$O8,$T8,$Y8),29500),3,30,2,_xlfn.SWITCH(_xlfn.RANK.EQ($J8,($J8,$O8,$T8,$Y8)),1,15,2,5),1,_xlfn.SWITCH(_xlfn.RANK.EQ($J8,($J8,$O8,$T8,$Y8)),1,7,2,2,3,1),0,0)))</f>
        <v>17.600000000000001</v>
      </c>
      <c r="AA8" s="34">
        <f>IF($O8="","",ROUND(($O8-$O$3)/1000,1)+IF($O8&lt;30000,-10,_xlfn.SWITCH(FREQUENCY(($J8,$O8,$T8,$Y8),29500),3,30,2,_xlfn.SWITCH(_xlfn.RANK.EQ($O8,($J8,$O8,$T8,$Y8)),1,15,2,5),1,_xlfn.SWITCH(_xlfn.RANK.EQ($O8,($J8,$O8,$T8,$Y8)),1,7,2,2,3,1),0,0)))</f>
        <v>2.8</v>
      </c>
      <c r="AB8" s="34">
        <f>IF($T8="","",ROUND(($T8-$T$3)/1000,1)+IF($T8&lt;30000,-10,_xlfn.SWITCH(FREQUENCY(($J8,$O8,$T8,$Y8),29500),3,30,2,_xlfn.SWITCH(_xlfn.RANK.EQ($T8,($J8,$O8,$T8,$Y8)),1,15,2,5),1,_xlfn.SWITCH(_xlfn.RANK.EQ($T8,($J8,$O8,$T8,$Y8)),1,7,2,2,3,1),0,0)))</f>
        <v>-30.9</v>
      </c>
      <c r="AC8" s="35">
        <f>IF($Y8="","",ROUND(($Y8-$Y$3)/1000,1)+IF($Y8&lt;30000,-10,_xlfn.SWITCH(FREQUENCY(($J8,$O8,$T8,$Y8),29500),3,30,2,_xlfn.SWITCH(_xlfn.RANK.EQ($Y8,($J8,$O8,$T8,$Y8)),1,15,2,5),1,_xlfn.SWITCH(_xlfn.RANK.EQ($Y8,($J8,$O8,$T8,$Y8)),1,7,2,2,3,1),0,0)))</f>
        <v>10.5</v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IF($J9="","",ROUND(($J9-$J$3)/1000,1)+IF($J9&lt;30000,-10,_xlfn.SWITCH(FREQUENCY(($J9,$O9,$T9,$Y9),29500),3,30,2,_xlfn.SWITCH(_xlfn.RANK.EQ($J9,($J9,$O9,$T9,$Y9)),1,15,2,5),1,_xlfn.SWITCH(_xlfn.RANK.EQ($J9,($J9,$O9,$T9,$Y9)),1,7,2,2,3,1),0,0)))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IF($O9="","",ROUND(($O9-$O$3)/1000,1)+IF($O9&lt;30000,-10,_xlfn.SWITCH(FREQUENCY(($J9,$O9,$T9,$Y9),29500),3,30,2,_xlfn.SWITCH(_xlfn.RANK.EQ($O9,($J9,$O9,$T9,$Y9)),1,15,2,5),1,_xlfn.SWITCH(_xlfn.RANK.EQ($O9,($J9,$O9,$T9,$Y9)),1,7,2,2,3,1),0,0)))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IF($T9="","",ROUND(($T9-$T$3)/1000,1)+IF($T9&lt;30000,-10,_xlfn.SWITCH(FREQUENCY(($J9,$O9,$T9,$Y9),29500),3,30,2,_xlfn.SWITCH(_xlfn.RANK.EQ($T9,($J9,$O9,$T9,$Y9)),1,15,2,5),1,_xlfn.SWITCH(_xlfn.RANK.EQ($T9,($J9,$O9,$T9,$Y9)),1,7,2,2,3,1),0,0)))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IF($Y9="","",ROUND(($Y9-$Y$3)/1000,1)+IF($Y9&lt;30000,-10,_xlfn.SWITCH(FREQUENCY(($J9,$O9,$T9,$Y9),29500),3,30,2,_xlfn.SWITCH(_xlfn.RANK.EQ($Y9,($J9,$O9,$T9,$Y9)),1,15,2,5),1,_xlfn.SWITCH(_xlfn.RANK.EQ($Y9,($J9,$O9,$T9,$Y9)),1,7,2,2,3,1),0,0)))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IF($J10="","",ROUND(($J10-$J$3)/1000,1)+IF($J10&lt;30000,-10,_xlfn.SWITCH(FREQUENCY(($J10,$O10,$T10,$Y10),29500),3,30,2,_xlfn.SWITCH(_xlfn.RANK.EQ($J10,($J10,$O10,$T10,$Y10)),1,15,2,5),1,_xlfn.SWITCH(_xlfn.RANK.EQ($J10,($J10,$O10,$T10,$Y10)),1,7,2,2,3,1),0,0)))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IF($O10="","",ROUND(($O10-$O$3)/1000,1)+IF($O10&lt;30000,-10,_xlfn.SWITCH(FREQUENCY(($J10,$O10,$T10,$Y10),29500),3,30,2,_xlfn.SWITCH(_xlfn.RANK.EQ($O10,($J10,$O10,$T10,$Y10)),1,15,2,5),1,_xlfn.SWITCH(_xlfn.RANK.EQ($O10,($J10,$O10,$T10,$Y10)),1,7,2,2,3,1),0,0)))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IF($T10="","",ROUND(($T10-$T$3)/1000,1)+IF($T10&lt;30000,-10,_xlfn.SWITCH(FREQUENCY(($J10,$O10,$T10,$Y10),29500),3,30,2,_xlfn.SWITCH(_xlfn.RANK.EQ($T10,($J10,$O10,$T10,$Y10)),1,15,2,5),1,_xlfn.SWITCH(_xlfn.RANK.EQ($T10,($J10,$O10,$T10,$Y10)),1,7,2,2,3,1),0,0)))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IF($Y10="","",ROUND(($Y10-$Y$3)/1000,1)+IF($Y10&lt;30000,-10,_xlfn.SWITCH(FREQUENCY(($J10,$O10,$T10,$Y10),29500),3,30,2,_xlfn.SWITCH(_xlfn.RANK.EQ($Y10,($J10,$O10,$T10,$Y10)),1,15,2,5),1,_xlfn.SWITCH(_xlfn.RANK.EQ($Y10,($J10,$O10,$T10,$Y10)),1,7,2,2,3,1),0,0)))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IF($J11="","",ROUND(($J11-$J$3)/1000,1)+IF($J11&lt;30000,-10,_xlfn.SWITCH(FREQUENCY(($J11,$O11,$T11,$Y11),29500),3,30,2,_xlfn.SWITCH(_xlfn.RANK.EQ($J11,($J11,$O11,$T11,$Y11)),1,15,2,5),1,_xlfn.SWITCH(_xlfn.RANK.EQ($J11,($J11,$O11,$T11,$Y11)),1,7,2,2,3,1),0,0)))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IF($O11="","",ROUND(($O11-$O$3)/1000,1)+IF($O11&lt;30000,-10,_xlfn.SWITCH(FREQUENCY(($J11,$O11,$T11,$Y11),29500),3,30,2,_xlfn.SWITCH(_xlfn.RANK.EQ($O11,($J11,$O11,$T11,$Y11)),1,15,2,5),1,_xlfn.SWITCH(_xlfn.RANK.EQ($O11,($J11,$O11,$T11,$Y11)),1,7,2,2,3,1),0,0)))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IF($T11="","",ROUND(($T11-$T$3)/1000,1)+IF($T11&lt;30000,-10,_xlfn.SWITCH(FREQUENCY(($J11,$O11,$T11,$Y11),29500),3,30,2,_xlfn.SWITCH(_xlfn.RANK.EQ($T11,($J11,$O11,$T11,$Y11)),1,15,2,5),1,_xlfn.SWITCH(_xlfn.RANK.EQ($T11,($J11,$O11,$T11,$Y11)),1,7,2,2,3,1),0,0)))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IF($Y11="","",ROUND(($Y11-$Y$3)/1000,1)+IF($Y11&lt;30000,-10,_xlfn.SWITCH(FREQUENCY(($J11,$O11,$T11,$Y11),29500),3,30,2,_xlfn.SWITCH(_xlfn.RANK.EQ($Y11,($J11,$O11,$T11,$Y11)),1,15,2,5),1,_xlfn.SWITCH(_xlfn.RANK.EQ($Y11,($J11,$O11,$T11,$Y11)),1,7,2,2,3,1),0,0)))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IF($J12="","",ROUND(($J12-$J$3)/1000,1)+IF($J12&lt;30000,-10,_xlfn.SWITCH(FREQUENCY(($J12,$O12,$T12,$Y12),29500),3,30,2,_xlfn.SWITCH(_xlfn.RANK.EQ($J12,($J12,$O12,$T12,$Y12)),1,15,2,5),1,_xlfn.SWITCH(_xlfn.RANK.EQ($J12,($J12,$O12,$T12,$Y12)),1,7,2,2,3,1),0,0)))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IF($O12="","",ROUND(($O12-$O$3)/1000,1)+IF($O12&lt;30000,-10,_xlfn.SWITCH(FREQUENCY(($J12,$O12,$T12,$Y12),29500),3,30,2,_xlfn.SWITCH(_xlfn.RANK.EQ($O12,($J12,$O12,$T12,$Y12)),1,15,2,5),1,_xlfn.SWITCH(_xlfn.RANK.EQ($O12,($J12,$O12,$T12,$Y12)),1,7,2,2,3,1),0,0)))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IF($T12="","",ROUND(($T12-$T$3)/1000,1)+IF($T12&lt;30000,-10,_xlfn.SWITCH(FREQUENCY(($J12,$O12,$T12,$Y12),29500),3,30,2,_xlfn.SWITCH(_xlfn.RANK.EQ($T12,($J12,$O12,$T12,$Y12)),1,15,2,5),1,_xlfn.SWITCH(_xlfn.RANK.EQ($T12,($J12,$O12,$T12,$Y12)),1,7,2,2,3,1),0,0)))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IF($Y12="","",ROUND(($Y12-$Y$3)/1000,1)+IF($Y12&lt;30000,-10,_xlfn.SWITCH(FREQUENCY(($J12,$O12,$T12,$Y12),29500),3,30,2,_xlfn.SWITCH(_xlfn.RANK.EQ($Y12,($J12,$O12,$T12,$Y12)),1,15,2,5),1,_xlfn.SWITCH(_xlfn.RANK.EQ($Y12,($J12,$O12,$T12,$Y12)),1,7,2,2,3,1),0,0)))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IF($J13="","",ROUND(($J13-$J$3)/1000,1)+IF($J13&lt;30000,-10,_xlfn.SWITCH(FREQUENCY(($J13,$O13,$T13,$Y13),29500),3,30,2,_xlfn.SWITCH(_xlfn.RANK.EQ($J13,($J13,$O13,$T13,$Y13)),1,15,2,5),1,_xlfn.SWITCH(_xlfn.RANK.EQ($J13,($J13,$O13,$T13,$Y13)),1,7,2,2,3,1),0,0)))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IF($O13="","",ROUND(($O13-$O$3)/1000,1)+IF($O13&lt;30000,-10,_xlfn.SWITCH(FREQUENCY(($J13,$O13,$T13,$Y13),29500),3,30,2,_xlfn.SWITCH(_xlfn.RANK.EQ($O13,($J13,$O13,$T13,$Y13)),1,15,2,5),1,_xlfn.SWITCH(_xlfn.RANK.EQ($O13,($J13,$O13,$T13,$Y13)),1,7,2,2,3,1),0,0)))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IF($T13="","",ROUND(($T13-$T$3)/1000,1)+IF($T13&lt;30000,-10,_xlfn.SWITCH(FREQUENCY(($J13,$O13,$T13,$Y13),29500),3,30,2,_xlfn.SWITCH(_xlfn.RANK.EQ($T13,($J13,$O13,$T13,$Y13)),1,15,2,5),1,_xlfn.SWITCH(_xlfn.RANK.EQ($T13,($J13,$O13,$T13,$Y13)),1,7,2,2,3,1),0,0)))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IF($Y13="","",ROUND(($Y13-$Y$3)/1000,1)+IF($Y13&lt;30000,-10,_xlfn.SWITCH(FREQUENCY(($J13,$O13,$T13,$Y13),29500),3,30,2,_xlfn.SWITCH(_xlfn.RANK.EQ($Y13,($J13,$O13,$T13,$Y13)),1,15,2,5),1,_xlfn.SWITCH(_xlfn.RANK.EQ($Y13,($J13,$O13,$T13,$Y13)),1,7,2,2,3,1),0,0)))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IF($J14="","",ROUND(($J14-$J$3)/1000,1)+IF($J14&lt;30000,-10,_xlfn.SWITCH(FREQUENCY(($J14,$O14,$T14,$Y14),29500),3,30,2,_xlfn.SWITCH(_xlfn.RANK.EQ($J14,($J14,$O14,$T14,$Y14)),1,15,2,5),1,_xlfn.SWITCH(_xlfn.RANK.EQ($J14,($J14,$O14,$T14,$Y14)),1,7,2,2,3,1),0,0)))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IF($O14="","",ROUND(($O14-$O$3)/1000,1)+IF($O14&lt;30000,-10,_xlfn.SWITCH(FREQUENCY(($J14,$O14,$T14,$Y14),29500),3,30,2,_xlfn.SWITCH(_xlfn.RANK.EQ($O14,($J14,$O14,$T14,$Y14)),1,15,2,5),1,_xlfn.SWITCH(_xlfn.RANK.EQ($O14,($J14,$O14,$T14,$Y14)),1,7,2,2,3,1),0,0)))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IF($T14="","",ROUND(($T14-$T$3)/1000,1)+IF($T14&lt;30000,-10,_xlfn.SWITCH(FREQUENCY(($J14,$O14,$T14,$Y14),29500),3,30,2,_xlfn.SWITCH(_xlfn.RANK.EQ($T14,($J14,$O14,$T14,$Y14)),1,15,2,5),1,_xlfn.SWITCH(_xlfn.RANK.EQ($T14,($J14,$O14,$T14,$Y14)),1,7,2,2,3,1),0,0)))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IF($Y14="","",ROUND(($Y14-$Y$3)/1000,1)+IF($Y14&lt;30000,-10,_xlfn.SWITCH(FREQUENCY(($J14,$O14,$T14,$Y14),29500),3,30,2,_xlfn.SWITCH(_xlfn.RANK.EQ($Y14,($J14,$O14,$T14,$Y14)),1,15,2,5),1,_xlfn.SWITCH(_xlfn.RANK.EQ($Y14,($J14,$O14,$T14,$Y14)),1,7,2,2,3,1),0,0)))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IF($J15="","",ROUND(($J15-$J$3)/1000,1)+IF($J15&lt;30000,-10,_xlfn.SWITCH(FREQUENCY(($J15,$O15,$T15,$Y15),29500),3,30,2,_xlfn.SWITCH(_xlfn.RANK.EQ($J15,($J15,$O15,$T15,$Y15)),1,15,2,5),1,_xlfn.SWITCH(_xlfn.RANK.EQ($J15,($J15,$O15,$T15,$Y15)),1,7,2,2,3,1),0,0)))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IF($O15="","",ROUND(($O15-$O$3)/1000,1)+IF($O15&lt;30000,-10,_xlfn.SWITCH(FREQUENCY(($J15,$O15,$T15,$Y15),29500),3,30,2,_xlfn.SWITCH(_xlfn.RANK.EQ($O15,($J15,$O15,$T15,$Y15)),1,15,2,5),1,_xlfn.SWITCH(_xlfn.RANK.EQ($O15,($J15,$O15,$T15,$Y15)),1,7,2,2,3,1),0,0)))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IF($T15="","",ROUND(($T15-$T$3)/1000,1)+IF($T15&lt;30000,-10,_xlfn.SWITCH(FREQUENCY(($J15,$O15,$T15,$Y15),29500),3,30,2,_xlfn.SWITCH(_xlfn.RANK.EQ($T15,($J15,$O15,$T15,$Y15)),1,15,2,5),1,_xlfn.SWITCH(_xlfn.RANK.EQ($T15,($J15,$O15,$T15,$Y15)),1,7,2,2,3,1),0,0)))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IF($Y15="","",ROUND(($Y15-$Y$3)/1000,1)+IF($Y15&lt;30000,-10,_xlfn.SWITCH(FREQUENCY(($J15,$O15,$T15,$Y15),29500),3,30,2,_xlfn.SWITCH(_xlfn.RANK.EQ($Y15,($J15,$O15,$T15,$Y15)),1,15,2,5),1,_xlfn.SWITCH(_xlfn.RANK.EQ($Y15,($J15,$O15,$T15,$Y15)),1,7,2,2,3,1),0,0)))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IF($J16="","",ROUND(($J16-$J$3)/1000,1)+IF($J16&lt;30000,-10,_xlfn.SWITCH(FREQUENCY(($J16,$O16,$T16,$Y16),29500),3,30,2,_xlfn.SWITCH(_xlfn.RANK.EQ($J16,($J16,$O16,$T16,$Y16)),1,15,2,5),1,_xlfn.SWITCH(_xlfn.RANK.EQ($J16,($J16,$O16,$T16,$Y16)),1,7,2,2,3,1),0,0)))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IF($O16="","",ROUND(($O16-$O$3)/1000,1)+IF($O16&lt;30000,-10,_xlfn.SWITCH(FREQUENCY(($J16,$O16,$T16,$Y16),29500),3,30,2,_xlfn.SWITCH(_xlfn.RANK.EQ($O16,($J16,$O16,$T16,$Y16)),1,15,2,5),1,_xlfn.SWITCH(_xlfn.RANK.EQ($O16,($J16,$O16,$T16,$Y16)),1,7,2,2,3,1),0,0)))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IF($T16="","",ROUND(($T16-$T$3)/1000,1)+IF($T16&lt;30000,-10,_xlfn.SWITCH(FREQUENCY(($J16,$O16,$T16,$Y16),29500),3,30,2,_xlfn.SWITCH(_xlfn.RANK.EQ($T16,($J16,$O16,$T16,$Y16)),1,15,2,5),1,_xlfn.SWITCH(_xlfn.RANK.EQ($T16,($J16,$O16,$T16,$Y16)),1,7,2,2,3,1),0,0)))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IF($Y16="","",ROUND(($Y16-$Y$3)/1000,1)+IF($Y16&lt;30000,-10,_xlfn.SWITCH(FREQUENCY(($J16,$O16,$T16,$Y16),29500),3,30,2,_xlfn.SWITCH(_xlfn.RANK.EQ($Y16,($J16,$O16,$T16,$Y16)),1,15,2,5),1,_xlfn.SWITCH(_xlfn.RANK.EQ($Y16,($J16,$O16,$T16,$Y16)),1,7,2,2,3,1),0,0)))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IF($J17="","",ROUND(($J17-$J$3)/1000,1)+IF($J17&lt;30000,-10,_xlfn.SWITCH(FREQUENCY(($J17,$O17,$T17,$Y17),29500),3,30,2,_xlfn.SWITCH(_xlfn.RANK.EQ($J17,($J17,$O17,$T17,$Y17)),1,15,2,5),1,_xlfn.SWITCH(_xlfn.RANK.EQ($J17,($J17,$O17,$T17,$Y17)),1,7,2,2,3,1),0,0)))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IF($O17="","",ROUND(($O17-$O$3)/1000,1)+IF($O17&lt;30000,-10,_xlfn.SWITCH(FREQUENCY(($J17,$O17,$T17,$Y17),29500),3,30,2,_xlfn.SWITCH(_xlfn.RANK.EQ($O17,($J17,$O17,$T17,$Y17)),1,15,2,5),1,_xlfn.SWITCH(_xlfn.RANK.EQ($O17,($J17,$O17,$T17,$Y17)),1,7,2,2,3,1),0,0)))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IF($T17="","",ROUND(($T17-$T$3)/1000,1)+IF($T17&lt;30000,-10,_xlfn.SWITCH(FREQUENCY(($J17,$O17,$T17,$Y17),29500),3,30,2,_xlfn.SWITCH(_xlfn.RANK.EQ($T17,($J17,$O17,$T17,$Y17)),1,15,2,5),1,_xlfn.SWITCH(_xlfn.RANK.EQ($T17,($J17,$O17,$T17,$Y17)),1,7,2,2,3,1),0,0)))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IF($Y17="","",ROUND(($Y17-$Y$3)/1000,1)+IF($Y17&lt;30000,-10,_xlfn.SWITCH(FREQUENCY(($J17,$O17,$T17,$Y17),29500),3,30,2,_xlfn.SWITCH(_xlfn.RANK.EQ($Y17,($J17,$O17,$T17,$Y17)),1,15,2,5),1,_xlfn.SWITCH(_xlfn.RANK.EQ($Y17,($J17,$O17,$T17,$Y17)),1,7,2,2,3,1),0,0)))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IF($J18="","",ROUND(($J18-$J$3)/1000,1)+IF($J18&lt;30000,-10,_xlfn.SWITCH(FREQUENCY(($J18,$O18,$T18,$Y18),29500),3,30,2,_xlfn.SWITCH(_xlfn.RANK.EQ($J18,($J18,$O18,$T18,$Y18)),1,15,2,5),1,_xlfn.SWITCH(_xlfn.RANK.EQ($J18,($J18,$O18,$T18,$Y18)),1,7,2,2,3,1),0,0)))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IF($O18="","",ROUND(($O18-$O$3)/1000,1)+IF($O18&lt;30000,-10,_xlfn.SWITCH(FREQUENCY(($J18,$O18,$T18,$Y18),29500),3,30,2,_xlfn.SWITCH(_xlfn.RANK.EQ($O18,($J18,$O18,$T18,$Y18)),1,15,2,5),1,_xlfn.SWITCH(_xlfn.RANK.EQ($O18,($J18,$O18,$T18,$Y18)),1,7,2,2,3,1),0,0)))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IF($T18="","",ROUND(($T18-$T$3)/1000,1)+IF($T18&lt;30000,-10,_xlfn.SWITCH(FREQUENCY(($J18,$O18,$T18,$Y18),29500),3,30,2,_xlfn.SWITCH(_xlfn.RANK.EQ($T18,($J18,$O18,$T18,$Y18)),1,15,2,5),1,_xlfn.SWITCH(_xlfn.RANK.EQ($T18,($J18,$O18,$T18,$Y18)),1,7,2,2,3,1),0,0)))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IF($Y18="","",ROUND(($Y18-$Y$3)/1000,1)+IF($Y18&lt;30000,-10,_xlfn.SWITCH(FREQUENCY(($J18,$O18,$T18,$Y18),29500),3,30,2,_xlfn.SWITCH(_xlfn.RANK.EQ($Y18,($J18,$O18,$T18,$Y18)),1,15,2,5),1,_xlfn.SWITCH(_xlfn.RANK.EQ($Y18,($J18,$O18,$T18,$Y18)),1,7,2,2,3,1),0,0)))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IF($J19="","",ROUND(($J19-$J$3)/1000,1)+IF($J19&lt;30000,-10,_xlfn.SWITCH(FREQUENCY(($J19,$O19,$T19,$Y19),29500),3,30,2,_xlfn.SWITCH(_xlfn.RANK.EQ($J19,($J19,$O19,$T19,$Y19)),1,15,2,5),1,_xlfn.SWITCH(_xlfn.RANK.EQ($J19,($J19,$O19,$T19,$Y19)),1,7,2,2,3,1),0,0)))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IF($O19="","",ROUND(($O19-$O$3)/1000,1)+IF($O19&lt;30000,-10,_xlfn.SWITCH(FREQUENCY(($J19,$O19,$T19,$Y19),29500),3,30,2,_xlfn.SWITCH(_xlfn.RANK.EQ($O19,($J19,$O19,$T19,$Y19)),1,15,2,5),1,_xlfn.SWITCH(_xlfn.RANK.EQ($O19,($J19,$O19,$T19,$Y19)),1,7,2,2,3,1),0,0)))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IF($T19="","",ROUND(($T19-$T$3)/1000,1)+IF($T19&lt;30000,-10,_xlfn.SWITCH(FREQUENCY(($J19,$O19,$T19,$Y19),29500),3,30,2,_xlfn.SWITCH(_xlfn.RANK.EQ($T19,($J19,$O19,$T19,$Y19)),1,15,2,5),1,_xlfn.SWITCH(_xlfn.RANK.EQ($T19,($J19,$O19,$T19,$Y19)),1,7,2,2,3,1),0,0)))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IF($Y19="","",ROUND(($Y19-$Y$3)/1000,1)+IF($Y19&lt;30000,-10,_xlfn.SWITCH(FREQUENCY(($J19,$O19,$T19,$Y19),29500),3,30,2,_xlfn.SWITCH(_xlfn.RANK.EQ($Y19,($J19,$O19,$T19,$Y19)),1,15,2,5),1,_xlfn.SWITCH(_xlfn.RANK.EQ($Y19,($J19,$O19,$T19,$Y19)),1,7,2,2,3,1),0,0)))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IF($J20="","",ROUND(($J20-$J$3)/1000,1)+IF($J20&lt;30000,-10,_xlfn.SWITCH(FREQUENCY(($J20,$O20,$T20,$Y20),29500),3,30,2,_xlfn.SWITCH(_xlfn.RANK.EQ($J20,($J20,$O20,$T20,$Y20)),1,15,2,5),1,_xlfn.SWITCH(_xlfn.RANK.EQ($J20,($J20,$O20,$T20,$Y20)),1,7,2,2,3,1),0,0)))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IF($O20="","",ROUND(($O20-$O$3)/1000,1)+IF($O20&lt;30000,-10,_xlfn.SWITCH(FREQUENCY(($J20,$O20,$T20,$Y20),29500),3,30,2,_xlfn.SWITCH(_xlfn.RANK.EQ($O20,($J20,$O20,$T20,$Y20)),1,15,2,5),1,_xlfn.SWITCH(_xlfn.RANK.EQ($O20,($J20,$O20,$T20,$Y20)),1,7,2,2,3,1),0,0)))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IF($T20="","",ROUND(($T20-$T$3)/1000,1)+IF($T20&lt;30000,-10,_xlfn.SWITCH(FREQUENCY(($J20,$O20,$T20,$Y20),29500),3,30,2,_xlfn.SWITCH(_xlfn.RANK.EQ($T20,($J20,$O20,$T20,$Y20)),1,15,2,5),1,_xlfn.SWITCH(_xlfn.RANK.EQ($T20,($J20,$O20,$T20,$Y20)),1,7,2,2,3,1),0,0)))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IF($Y20="","",ROUND(($Y20-$Y$3)/1000,1)+IF($Y20&lt;30000,-10,_xlfn.SWITCH(FREQUENCY(($J20,$O20,$T20,$Y20),29500),3,30,2,_xlfn.SWITCH(_xlfn.RANK.EQ($Y20,($J20,$O20,$T20,$Y20)),1,15,2,5),1,_xlfn.SWITCH(_xlfn.RANK.EQ($Y20,($J20,$O20,$T20,$Y20)),1,7,2,2,3,1),0,0)))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IF($J21="","",ROUND(($J21-$J$3)/1000,1)+IF($J21&lt;30000,-10,_xlfn.SWITCH(FREQUENCY(($J21,$O21,$T21,$Y21),29500),3,30,2,_xlfn.SWITCH(_xlfn.RANK.EQ($J21,($J21,$O21,$T21,$Y21)),1,15,2,5),1,_xlfn.SWITCH(_xlfn.RANK.EQ($J21,($J21,$O21,$T21,$Y21)),1,7,2,2,3,1),0,0)))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IF($O21="","",ROUND(($O21-$O$3)/1000,1)+IF($O21&lt;30000,-10,_xlfn.SWITCH(FREQUENCY(($J21,$O21,$T21,$Y21),29500),3,30,2,_xlfn.SWITCH(_xlfn.RANK.EQ($O21,($J21,$O21,$T21,$Y21)),1,15,2,5),1,_xlfn.SWITCH(_xlfn.RANK.EQ($O21,($J21,$O21,$T21,$Y21)),1,7,2,2,3,1),0,0)))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IF($T21="","",ROUND(($T21-$T$3)/1000,1)+IF($T21&lt;30000,-10,_xlfn.SWITCH(FREQUENCY(($J21,$O21,$T21,$Y21),29500),3,30,2,_xlfn.SWITCH(_xlfn.RANK.EQ($T21,($J21,$O21,$T21,$Y21)),1,15,2,5),1,_xlfn.SWITCH(_xlfn.RANK.EQ($T21,($J21,$O21,$T21,$Y21)),1,7,2,2,3,1),0,0)))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IF($Y21="","",ROUND(($Y21-$Y$3)/1000,1)+IF($Y21&lt;30000,-10,_xlfn.SWITCH(FREQUENCY(($J21,$O21,$T21,$Y21),29500),3,30,2,_xlfn.SWITCH(_xlfn.RANK.EQ($Y21,($J21,$O21,$T21,$Y21)),1,15,2,5),1,_xlfn.SWITCH(_xlfn.RANK.EQ($Y21,($J21,$O21,$T21,$Y21)),1,7,2,2,3,1),0,0)))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IF($J22="","",ROUND(($J22-$J$3)/1000,1)+IF($J22&lt;30000,-10,_xlfn.SWITCH(FREQUENCY(($J22,$O22,$T22,$Y22),29500),3,30,2,_xlfn.SWITCH(_xlfn.RANK.EQ($J22,($J22,$O22,$T22,$Y22)),1,15,2,5),1,_xlfn.SWITCH(_xlfn.RANK.EQ($J22,($J22,$O22,$T22,$Y22)),1,7,2,2,3,1),0,0)))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IF($O22="","",ROUND(($O22-$O$3)/1000,1)+IF($O22&lt;30000,-10,_xlfn.SWITCH(FREQUENCY(($J22,$O22,$T22,$Y22),29500),3,30,2,_xlfn.SWITCH(_xlfn.RANK.EQ($O22,($J22,$O22,$T22,$Y22)),1,15,2,5),1,_xlfn.SWITCH(_xlfn.RANK.EQ($O22,($J22,$O22,$T22,$Y22)),1,7,2,2,3,1),0,0)))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IF($T22="","",ROUND(($T22-$T$3)/1000,1)+IF($T22&lt;30000,-10,_xlfn.SWITCH(FREQUENCY(($J22,$O22,$T22,$Y22),29500),3,30,2,_xlfn.SWITCH(_xlfn.RANK.EQ($T22,($J22,$O22,$T22,$Y22)),1,15,2,5),1,_xlfn.SWITCH(_xlfn.RANK.EQ($T22,($J22,$O22,$T22,$Y22)),1,7,2,2,3,1),0,0)))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IF($Y22="","",ROUND(($Y22-$Y$3)/1000,1)+IF($Y22&lt;30000,-10,_xlfn.SWITCH(FREQUENCY(($J22,$O22,$T22,$Y22),29500),3,30,2,_xlfn.SWITCH(_xlfn.RANK.EQ($Y22,($J22,$O22,$T22,$Y22)),1,15,2,5),1,_xlfn.SWITCH(_xlfn.RANK.EQ($Y22,($J22,$O22,$T22,$Y22)),1,7,2,2,3,1),0,0)))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IF($J23="","",ROUND(($J23-$J$3)/1000,1)+IF($J23&lt;30000,-10,_xlfn.SWITCH(FREQUENCY(($J23,$O23,$T23,$Y23),29500),3,30,2,_xlfn.SWITCH(_xlfn.RANK.EQ($J23,($J23,$O23,$T23,$Y23)),1,15,2,5),1,_xlfn.SWITCH(_xlfn.RANK.EQ($J23,($J23,$O23,$T23,$Y23)),1,7,2,2,3,1),0,0)))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IF($O23="","",ROUND(($O23-$O$3)/1000,1)+IF($O23&lt;30000,-10,_xlfn.SWITCH(FREQUENCY(($J23,$O23,$T23,$Y23),29500),3,30,2,_xlfn.SWITCH(_xlfn.RANK.EQ($O23,($J23,$O23,$T23,$Y23)),1,15,2,5),1,_xlfn.SWITCH(_xlfn.RANK.EQ($O23,($J23,$O23,$T23,$Y23)),1,7,2,2,3,1),0,0)))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IF($T23="","",ROUND(($T23-$T$3)/1000,1)+IF($T23&lt;30000,-10,_xlfn.SWITCH(FREQUENCY(($J23,$O23,$T23,$Y23),29500),3,30,2,_xlfn.SWITCH(_xlfn.RANK.EQ($T23,($J23,$O23,$T23,$Y23)),1,15,2,5),1,_xlfn.SWITCH(_xlfn.RANK.EQ($T23,($J23,$O23,$T23,$Y23)),1,7,2,2,3,1),0,0)))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IF($Y23="","",ROUND(($Y23-$Y$3)/1000,1)+IF($Y23&lt;30000,-10,_xlfn.SWITCH(FREQUENCY(($J23,$O23,$T23,$Y23),29500),3,30,2,_xlfn.SWITCH(_xlfn.RANK.EQ($Y23,($J23,$O23,$T23,$Y23)),1,15,2,5),1,_xlfn.SWITCH(_xlfn.RANK.EQ($Y23,($J23,$O23,$T23,$Y23)),1,7,2,2,3,1),0,0)))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IF($J24="","",ROUND(($J24-$J$3)/1000,1)+IF($J24&lt;30000,-10,_xlfn.SWITCH(FREQUENCY(($J24,$O24,$T24,$Y24),29500),3,30,2,_xlfn.SWITCH(_xlfn.RANK.EQ($J24,($J24,$O24,$T24,$Y24)),1,15,2,5),1,_xlfn.SWITCH(_xlfn.RANK.EQ($J24,($J24,$O24,$T24,$Y24)),1,7,2,2,3,1),0,0)))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IF($O24="","",ROUND(($O24-$O$3)/1000,1)+IF($O24&lt;30000,-10,_xlfn.SWITCH(FREQUENCY(($J24,$O24,$T24,$Y24),29500),3,30,2,_xlfn.SWITCH(_xlfn.RANK.EQ($O24,($J24,$O24,$T24,$Y24)),1,15,2,5),1,_xlfn.SWITCH(_xlfn.RANK.EQ($O24,($J24,$O24,$T24,$Y24)),1,7,2,2,3,1),0,0)))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IF($T24="","",ROUND(($T24-$T$3)/1000,1)+IF($T24&lt;30000,-10,_xlfn.SWITCH(FREQUENCY(($J24,$O24,$T24,$Y24),29500),3,30,2,_xlfn.SWITCH(_xlfn.RANK.EQ($T24,($J24,$O24,$T24,$Y24)),1,15,2,5),1,_xlfn.SWITCH(_xlfn.RANK.EQ($T24,($J24,$O24,$T24,$Y24)),1,7,2,2,3,1),0,0)))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IF($Y24="","",ROUND(($Y24-$Y$3)/1000,1)+IF($Y24&lt;30000,-10,_xlfn.SWITCH(FREQUENCY(($J24,$O24,$T24,$Y24),29500),3,30,2,_xlfn.SWITCH(_xlfn.RANK.EQ($Y24,($J24,$O24,$T24,$Y24)),1,15,2,5),1,_xlfn.SWITCH(_xlfn.RANK.EQ($Y24,($J24,$O24,$T24,$Y24)),1,7,2,2,3,1),0,0)))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IF($J25="","",ROUND(($J25-$J$3)/1000,1)+IF($J25&lt;30000,-10,_xlfn.SWITCH(FREQUENCY(($J25,$O25,$T25,$Y25),29500),3,30,2,_xlfn.SWITCH(_xlfn.RANK.EQ($J25,($J25,$O25,$T25,$Y25)),1,15,2,5),1,_xlfn.SWITCH(_xlfn.RANK.EQ($J25,($J25,$O25,$T25,$Y25)),1,7,2,2,3,1),0,0)))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IF($O25="","",ROUND(($O25-$O$3)/1000,1)+IF($O25&lt;30000,-10,_xlfn.SWITCH(FREQUENCY(($J25,$O25,$T25,$Y25),29500),3,30,2,_xlfn.SWITCH(_xlfn.RANK.EQ($O25,($J25,$O25,$T25,$Y25)),1,15,2,5),1,_xlfn.SWITCH(_xlfn.RANK.EQ($O25,($J25,$O25,$T25,$Y25)),1,7,2,2,3,1),0,0)))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IF($T25="","",ROUND(($T25-$T$3)/1000,1)+IF($T25&lt;30000,-10,_xlfn.SWITCH(FREQUENCY(($J25,$O25,$T25,$Y25),29500),3,30,2,_xlfn.SWITCH(_xlfn.RANK.EQ($T25,($J25,$O25,$T25,$Y25)),1,15,2,5),1,_xlfn.SWITCH(_xlfn.RANK.EQ($T25,($J25,$O25,$T25,$Y25)),1,7,2,2,3,1),0,0)))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IF($Y25="","",ROUND(($Y25-$Y$3)/1000,1)+IF($Y25&lt;30000,-10,_xlfn.SWITCH(FREQUENCY(($J25,$O25,$T25,$Y25),29500),3,30,2,_xlfn.SWITCH(_xlfn.RANK.EQ($Y25,($J25,$O25,$T25,$Y25)),1,15,2,5),1,_xlfn.SWITCH(_xlfn.RANK.EQ($Y25,($J25,$O25,$T25,$Y25)),1,7,2,2,3,1),0,0)))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IF($J26="","",ROUND(($J26-$J$3)/1000,1)+IF($J26&lt;30000,-10,_xlfn.SWITCH(FREQUENCY(($J26,$O26,$T26,$Y26),29500),3,30,2,_xlfn.SWITCH(_xlfn.RANK.EQ($J26,($J26,$O26,$T26,$Y26)),1,15,2,5),1,_xlfn.SWITCH(_xlfn.RANK.EQ($J26,($J26,$O26,$T26,$Y26)),1,7,2,2,3,1),0,0)))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IF($O26="","",ROUND(($O26-$O$3)/1000,1)+IF($O26&lt;30000,-10,_xlfn.SWITCH(FREQUENCY(($J26,$O26,$T26,$Y26),29500),3,30,2,_xlfn.SWITCH(_xlfn.RANK.EQ($O26,($J26,$O26,$T26,$Y26)),1,15,2,5),1,_xlfn.SWITCH(_xlfn.RANK.EQ($O26,($J26,$O26,$T26,$Y26)),1,7,2,2,3,1),0,0)))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IF($T26="","",ROUND(($T26-$T$3)/1000,1)+IF($T26&lt;30000,-10,_xlfn.SWITCH(FREQUENCY(($J26,$O26,$T26,$Y26),29500),3,30,2,_xlfn.SWITCH(_xlfn.RANK.EQ($T26,($J26,$O26,$T26,$Y26)),1,15,2,5),1,_xlfn.SWITCH(_xlfn.RANK.EQ($T26,($J26,$O26,$T26,$Y26)),1,7,2,2,3,1),0,0)))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IF($Y26="","",ROUND(($Y26-$Y$3)/1000,1)+IF($Y26&lt;30000,-10,_xlfn.SWITCH(FREQUENCY(($J26,$O26,$T26,$Y26),29500),3,30,2,_xlfn.SWITCH(_xlfn.RANK.EQ($Y26,($J26,$O26,$T26,$Y26)),1,15,2,5),1,_xlfn.SWITCH(_xlfn.RANK.EQ($Y26,($J26,$O26,$T26,$Y26)),1,7,2,2,3,1),0,0)))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IF($J27="","",ROUND(($J27-$J$3)/1000,1)+IF($J27&lt;30000,-10,_xlfn.SWITCH(FREQUENCY(($J27,$O27,$T27,$Y27),29500),3,30,2,_xlfn.SWITCH(_xlfn.RANK.EQ($J27,($J27,$O27,$T27,$Y27)),1,15,2,5),1,_xlfn.SWITCH(_xlfn.RANK.EQ($J27,($J27,$O27,$T27,$Y27)),1,7,2,2,3,1),0,0)))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IF($O27="","",ROUND(($O27-$O$3)/1000,1)+IF($O27&lt;30000,-10,_xlfn.SWITCH(FREQUENCY(($J27,$O27,$T27,$Y27),29500),3,30,2,_xlfn.SWITCH(_xlfn.RANK.EQ($O27,($J27,$O27,$T27,$Y27)),1,15,2,5),1,_xlfn.SWITCH(_xlfn.RANK.EQ($O27,($J27,$O27,$T27,$Y27)),1,7,2,2,3,1),0,0)))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IF($T27="","",ROUND(($T27-$T$3)/1000,1)+IF($T27&lt;30000,-10,_xlfn.SWITCH(FREQUENCY(($J27,$O27,$T27,$Y27),29500),3,30,2,_xlfn.SWITCH(_xlfn.RANK.EQ($T27,($J27,$O27,$T27,$Y27)),1,15,2,5),1,_xlfn.SWITCH(_xlfn.RANK.EQ($T27,($J27,$O27,$T27,$Y27)),1,7,2,2,3,1),0,0)))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IF($Y27="","",ROUND(($Y27-$Y$3)/1000,1)+IF($Y27&lt;30000,-10,_xlfn.SWITCH(FREQUENCY(($J27,$O27,$T27,$Y27),29500),3,30,2,_xlfn.SWITCH(_xlfn.RANK.EQ($Y27,($J27,$O27,$T27,$Y27)),1,15,2,5),1,_xlfn.SWITCH(_xlfn.RANK.EQ($Y27,($J27,$O27,$T27,$Y27)),1,7,2,2,3,1),0,0)))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IF($J28="","",ROUND(($J28-$J$3)/1000,1)+IF($J28&lt;30000,-10,_xlfn.SWITCH(FREQUENCY(($J28,$O28,$T28,$Y28),29500),3,30,2,_xlfn.SWITCH(_xlfn.RANK.EQ($J28,($J28,$O28,$T28,$Y28)),1,15,2,5),1,_xlfn.SWITCH(_xlfn.RANK.EQ($J28,($J28,$O28,$T28,$Y28)),1,7,2,2,3,1),0,0)))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IF($O28="","",ROUND(($O28-$O$3)/1000,1)+IF($O28&lt;30000,-10,_xlfn.SWITCH(FREQUENCY(($J28,$O28,$T28,$Y28),29500),3,30,2,_xlfn.SWITCH(_xlfn.RANK.EQ($O28,($J28,$O28,$T28,$Y28)),1,15,2,5),1,_xlfn.SWITCH(_xlfn.RANK.EQ($O28,($J28,$O28,$T28,$Y28)),1,7,2,2,3,1),0,0)))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IF($T28="","",ROUND(($T28-$T$3)/1000,1)+IF($T28&lt;30000,-10,_xlfn.SWITCH(FREQUENCY(($J28,$O28,$T28,$Y28),29500),3,30,2,_xlfn.SWITCH(_xlfn.RANK.EQ($T28,($J28,$O28,$T28,$Y28)),1,15,2,5),1,_xlfn.SWITCH(_xlfn.RANK.EQ($T28,($J28,$O28,$T28,$Y28)),1,7,2,2,3,1),0,0)))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IF($Y28="","",ROUND(($Y28-$Y$3)/1000,1)+IF($Y28&lt;30000,-10,_xlfn.SWITCH(FREQUENCY(($J28,$O28,$T28,$Y28),29500),3,30,2,_xlfn.SWITCH(_xlfn.RANK.EQ($Y28,($J28,$O28,$T28,$Y28)),1,15,2,5),1,_xlfn.SWITCH(_xlfn.RANK.EQ($Y28,($J28,$O28,$T28,$Y28)),1,7,2,2,3,1),0,0)))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IF($J29="","",ROUND(($J29-$J$3)/1000,1)+IF($J29&lt;30000,-10,_xlfn.SWITCH(FREQUENCY(($J29,$O29,$T29,$Y29),29500),3,30,2,_xlfn.SWITCH(_xlfn.RANK.EQ($J29,($J29,$O29,$T29,$Y29)),1,15,2,5),1,_xlfn.SWITCH(_xlfn.RANK.EQ($J29,($J29,$O29,$T29,$Y29)),1,7,2,2,3,1),0,0)))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IF($O29="","",ROUND(($O29-$O$3)/1000,1)+IF($O29&lt;30000,-10,_xlfn.SWITCH(FREQUENCY(($J29,$O29,$T29,$Y29),29500),3,30,2,_xlfn.SWITCH(_xlfn.RANK.EQ($O29,($J29,$O29,$T29,$Y29)),1,15,2,5),1,_xlfn.SWITCH(_xlfn.RANK.EQ($O29,($J29,$O29,$T29,$Y29)),1,7,2,2,3,1),0,0)))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IF($T29="","",ROUND(($T29-$T$3)/1000,1)+IF($T29&lt;30000,-10,_xlfn.SWITCH(FREQUENCY(($J29,$O29,$T29,$Y29),29500),3,30,2,_xlfn.SWITCH(_xlfn.RANK.EQ($T29,($J29,$O29,$T29,$Y29)),1,15,2,5),1,_xlfn.SWITCH(_xlfn.RANK.EQ($T29,($J29,$O29,$T29,$Y29)),1,7,2,2,3,1),0,0)))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IF($Y29="","",ROUND(($Y29-$Y$3)/1000,1)+IF($Y29&lt;30000,-10,_xlfn.SWITCH(FREQUENCY(($J29,$O29,$T29,$Y29),29500),3,30,2,_xlfn.SWITCH(_xlfn.RANK.EQ($Y29,($J29,$O29,$T29,$Y29)),1,15,2,5),1,_xlfn.SWITCH(_xlfn.RANK.EQ($Y29,($J29,$O29,$T29,$Y29)),1,7,2,2,3,1),0,0)))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IF($J30="","",ROUND(($J30-$J$3)/1000,1)+IF($J30&lt;30000,-10,_xlfn.SWITCH(FREQUENCY(($J30,$O30,$T30,$Y30),29500),3,30,2,_xlfn.SWITCH(_xlfn.RANK.EQ($J30,($J30,$O30,$T30,$Y30)),1,15,2,5),1,_xlfn.SWITCH(_xlfn.RANK.EQ($J30,($J30,$O30,$T30,$Y30)),1,7,2,2,3,1),0,0)))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IF($O30="","",ROUND(($O30-$O$3)/1000,1)+IF($O30&lt;30000,-10,_xlfn.SWITCH(FREQUENCY(($J30,$O30,$T30,$Y30),29500),3,30,2,_xlfn.SWITCH(_xlfn.RANK.EQ($O30,($J30,$O30,$T30,$Y30)),1,15,2,5),1,_xlfn.SWITCH(_xlfn.RANK.EQ($O30,($J30,$O30,$T30,$Y30)),1,7,2,2,3,1),0,0)))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IF($T30="","",ROUND(($T30-$T$3)/1000,1)+IF($T30&lt;30000,-10,_xlfn.SWITCH(FREQUENCY(($J30,$O30,$T30,$Y30),29500),3,30,2,_xlfn.SWITCH(_xlfn.RANK.EQ($T30,($J30,$O30,$T30,$Y30)),1,15,2,5),1,_xlfn.SWITCH(_xlfn.RANK.EQ($T30,($J30,$O30,$T30,$Y30)),1,7,2,2,3,1),0,0)))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IF($Y30="","",ROUND(($Y30-$Y$3)/1000,1)+IF($Y30&lt;30000,-10,_xlfn.SWITCH(FREQUENCY(($J30,$O30,$T30,$Y30),29500),3,30,2,_xlfn.SWITCH(_xlfn.RANK.EQ($Y30,($J30,$O30,$T30,$Y30)),1,15,2,5),1,_xlfn.SWITCH(_xlfn.RANK.EQ($Y30,($J30,$O30,$T30,$Y30)),1,7,2,2,3,1),0,0)))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8" priority="10">
      <formula>IF(G4&lt;&gt;"",SUM($G4:$I4,$L4:$N4,$Q4:$S4,$V4:$X4)-$D4*1000+$D5*1000)</formula>
    </cfRule>
  </conditionalFormatting>
  <conditionalFormatting sqref="F1:Y1">
    <cfRule type="duplicateValues" dxfId="7" priority="2"/>
  </conditionalFormatting>
  <conditionalFormatting sqref="Z3:AC30">
    <cfRule type="expression" dxfId="6" priority="1">
      <formula>AND(Z4="",SUM($Z3:$AC3))</formula>
    </cfRule>
  </conditionalFormatting>
  <dataValidations count="2">
    <dataValidation type="list" showInputMessage="1" showErrorMessage="1" sqref="K4:K30 P4:P30 F4:F30 U4:U30" xr:uid="{F03592A3-3FE5-4C3F-B88D-367B7FE55BD4}">
      <formula1>"ロン,ツモ,放銃,ツモ支払,流局,チョンボ"</formula1>
    </dataValidation>
    <dataValidation type="list" allowBlank="1" showInputMessage="1" showErrorMessage="1" sqref="E4:E30" xr:uid="{E5FF084C-C68B-4314-BA12-9E945498CB22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0AF2BDC-56BB-43C8-8AC4-F07150C87312}">
  <sheetPr codeName="Sheet9">
    <pageSetUpPr fitToPage="1"/>
  </sheetPr>
  <dimension ref="A1:AC30"/>
  <sheetViews>
    <sheetView topLeftCell="E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25</v>
      </c>
      <c r="L1" s="44"/>
      <c r="M1" s="44"/>
      <c r="N1" s="45"/>
      <c r="O1" s="46"/>
      <c r="P1" s="43" t="s">
        <v>27</v>
      </c>
      <c r="Q1" s="44"/>
      <c r="R1" s="44"/>
      <c r="S1" s="45"/>
      <c r="T1" s="46"/>
      <c r="U1" s="43" t="s">
        <v>29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たかの</v>
      </c>
      <c r="AA2" s="42" t="str">
        <f>$K$1</f>
        <v>まっつん</v>
      </c>
      <c r="AB2" s="42" t="str">
        <f>$P$1</f>
        <v>だいち</v>
      </c>
      <c r="AC2" s="16" t="str">
        <f>$U$1</f>
        <v>ただ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IF($J3="","",ROUND(($J3-$J$3)/1000,1)+IF($J3&lt;30000,-10,_xlfn.SWITCH(FREQUENCY(($J3,$O3,$T3,$Y3),29500),3,30,2,_xlfn.SWITCH(_xlfn.RANK.EQ($J3,($J3,$O3,$T3,$Y3)),1,15,2,5),1,_xlfn.SWITCH(_xlfn.RANK.EQ($J3,($J3,$O3,$T3,$Y3)),1,7,2,2,3,1),0,0)))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IF($O3="","",ROUND(($O3-$O$3)/1000,1)+IF($O3&lt;30000,-10,_xlfn.SWITCH(FREQUENCY(($J3,$O3,$T3,$Y3),29500),3,30,2,_xlfn.SWITCH(_xlfn.RANK.EQ($O3,($J3,$O3,$T3,$Y3)),1,15,2,5),1,_xlfn.SWITCH(_xlfn.RANK.EQ($O3,($J3,$O3,$T3,$Y3)),1,7,2,2,3,1),0,0)))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IF($T3="","",ROUND(($T3-$T$3)/1000,1)+IF($T3&lt;30000,-10,_xlfn.SWITCH(FREQUENCY(($J3,$O3,$T3,$Y3),29500),3,30,2,_xlfn.SWITCH(_xlfn.RANK.EQ($T3,($J3,$O3,$T3,$Y3)),1,15,2,5),1,_xlfn.SWITCH(_xlfn.RANK.EQ($T3,($J3,$O3,$T3,$Y3)),1,7,2,2,3,1),0,0)))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IF($Y3="","",ROUND(($Y3-$Y$3)/1000,1)+IF($Y3&lt;30000,-10,_xlfn.SWITCH(FREQUENCY(($J3,$O3,$T3,$Y3),29500),3,30,2,_xlfn.SWITCH(_xlfn.RANK.EQ($Y3,($J3,$O3,$T3,$Y3)),1,15,2,5),1,_xlfn.SWITCH(_xlfn.RANK.EQ($Y3,($J3,$O3,$T3,$Y3)),1,7,2,2,3,1),0,0)))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26</v>
      </c>
      <c r="F4" s="8" t="s">
        <v>31</v>
      </c>
      <c r="G4" s="9">
        <v>-500</v>
      </c>
      <c r="H4" s="9"/>
      <c r="I4" s="28">
        <v>0</v>
      </c>
      <c r="J4" s="21">
        <f>IF(COUNTA($F4,$K4,$P4,$U4)&gt;0,J3+SUM(G4:I4),"")</f>
        <v>29500</v>
      </c>
      <c r="K4" s="8" t="s">
        <v>31</v>
      </c>
      <c r="L4" s="9">
        <v>-500</v>
      </c>
      <c r="M4" s="9"/>
      <c r="N4" s="28">
        <v>0</v>
      </c>
      <c r="O4" s="21">
        <f>IF(COUNTA($F4,$K4,$P4,$U4)&gt;0,O3+SUM(L4:N4),"")</f>
        <v>29500</v>
      </c>
      <c r="P4" s="8" t="s">
        <v>31</v>
      </c>
      <c r="Q4" s="9">
        <v>-1000</v>
      </c>
      <c r="R4" s="9"/>
      <c r="S4" s="28">
        <v>0</v>
      </c>
      <c r="T4" s="21">
        <f>IF(COUNTA($F4,$K4,$P4,$U4)&gt;0,T3+SUM(Q4:S4),"")</f>
        <v>29000</v>
      </c>
      <c r="U4" s="8" t="s">
        <v>32</v>
      </c>
      <c r="V4" s="9">
        <v>2000</v>
      </c>
      <c r="W4" s="9"/>
      <c r="X4" s="28">
        <v>0</v>
      </c>
      <c r="Y4" s="21">
        <f>IF(COUNTA($F4,$K4,$P4,$U4)&gt;0,Y3+SUM(V4:X4),"")</f>
        <v>32000</v>
      </c>
      <c r="Z4" s="33">
        <f>IF($J4="","",ROUND(($J4-$J$3)/1000,1)+IF($J4&lt;30000,-10,_xlfn.SWITCH(FREQUENCY(($J4,$O4,$T4,$Y4),29500),3,30,2,_xlfn.SWITCH(_xlfn.RANK.EQ($J4,($J4,$O4,$T4,$Y4)),1,15,2,5),1,_xlfn.SWITCH(_xlfn.RANK.EQ($J4,($J4,$O4,$T4,$Y4)),1,7,2,2,3,1),0,0)))</f>
        <v>-10.5</v>
      </c>
      <c r="AA4" s="34">
        <f>IF($O4="","",ROUND(($O4-$O$3)/1000,1)+IF($O4&lt;30000,-10,_xlfn.SWITCH(FREQUENCY(($J4,$O4,$T4,$Y4),29500),3,30,2,_xlfn.SWITCH(_xlfn.RANK.EQ($O4,($J4,$O4,$T4,$Y4)),1,15,2,5),1,_xlfn.SWITCH(_xlfn.RANK.EQ($O4,($J4,$O4,$T4,$Y4)),1,7,2,2,3,1),0,0)))</f>
        <v>-10.5</v>
      </c>
      <c r="AB4" s="34">
        <f>IF($T4="","",ROUND(($T4-$T$3)/1000,1)+IF($T4&lt;30000,-10,_xlfn.SWITCH(FREQUENCY(($J4,$O4,$T4,$Y4),29500),3,30,2,_xlfn.SWITCH(_xlfn.RANK.EQ($T4,($J4,$O4,$T4,$Y4)),1,15,2,5),1,_xlfn.SWITCH(_xlfn.RANK.EQ($T4,($J4,$O4,$T4,$Y4)),1,7,2,2,3,1),0,0)))</f>
        <v>-11</v>
      </c>
      <c r="AC4" s="35">
        <f>IF($Y4="","",ROUND(($Y4-$Y$3)/1000,1)+IF($Y4&lt;30000,-10,_xlfn.SWITCH(FREQUENCY(($J4,$O4,$T4,$Y4),29500),3,30,2,_xlfn.SWITCH(_xlfn.RANK.EQ($Y4,($J4,$O4,$T4,$Y4)),1,15,2,5),1,_xlfn.SWITCH(_xlfn.RANK.EQ($Y4,($J4,$O4,$T4,$Y4)),1,7,2,2,3,1),0,0)))</f>
        <v>32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28</v>
      </c>
      <c r="F5" s="8" t="s">
        <v>31</v>
      </c>
      <c r="G5" s="9">
        <v>-3000</v>
      </c>
      <c r="H5" s="9"/>
      <c r="I5" s="28">
        <v>0</v>
      </c>
      <c r="J5" s="21">
        <f t="shared" ref="J5:J30" si="1">IF(COUNTA($F5,$K5,$P5,$U5)&gt;0,J4+SUM(G5:I5),"")</f>
        <v>26500</v>
      </c>
      <c r="K5" s="8" t="s">
        <v>32</v>
      </c>
      <c r="L5" s="9">
        <v>12000</v>
      </c>
      <c r="M5" s="9"/>
      <c r="N5" s="28">
        <v>0</v>
      </c>
      <c r="O5" s="21">
        <f t="shared" ref="O5:O30" si="2">IF(COUNTA($F5,$K5,$P5,$U5)&gt;0,O4+SUM(L5:N5),"")</f>
        <v>41500</v>
      </c>
      <c r="P5" s="8" t="s">
        <v>31</v>
      </c>
      <c r="Q5" s="9">
        <v>-3000</v>
      </c>
      <c r="R5" s="9"/>
      <c r="S5" s="28">
        <v>0</v>
      </c>
      <c r="T5" s="21">
        <f t="shared" ref="T5:T30" si="3">IF(COUNTA($F5,$K5,$P5,$U5)&gt;0,T4+SUM(Q5:S5),"")</f>
        <v>26000</v>
      </c>
      <c r="U5" s="8" t="s">
        <v>31</v>
      </c>
      <c r="V5" s="9">
        <v>-6000</v>
      </c>
      <c r="W5" s="9"/>
      <c r="X5" s="28">
        <v>0</v>
      </c>
      <c r="Y5" s="21">
        <f t="shared" ref="Y5:Y30" si="4">IF(COUNTA($F5,$K5,$P5,$U5)&gt;0,Y4+SUM(V5:X5),"")</f>
        <v>26000</v>
      </c>
      <c r="Z5" s="33">
        <f>IF($J5="","",ROUND(($J5-$J$3)/1000,1)+IF($J5&lt;30000,-10,_xlfn.SWITCH(FREQUENCY(($J5,$O5,$T5,$Y5),29500),3,30,2,_xlfn.SWITCH(_xlfn.RANK.EQ($J5,($J5,$O5,$T5,$Y5)),1,15,2,5),1,_xlfn.SWITCH(_xlfn.RANK.EQ($J5,($J5,$O5,$T5,$Y5)),1,7,2,2,3,1),0,0)))</f>
        <v>-13.5</v>
      </c>
      <c r="AA5" s="34">
        <f>IF($O5="","",ROUND(($O5-$O$3)/1000,1)+IF($O5&lt;30000,-10,_xlfn.SWITCH(FREQUENCY(($J5,$O5,$T5,$Y5),29500),3,30,2,_xlfn.SWITCH(_xlfn.RANK.EQ($O5,($J5,$O5,$T5,$Y5)),1,15,2,5),1,_xlfn.SWITCH(_xlfn.RANK.EQ($O5,($J5,$O5,$T5,$Y5)),1,7,2,2,3,1),0,0)))</f>
        <v>41.5</v>
      </c>
      <c r="AB5" s="34">
        <f>IF($T5="","",ROUND(($T5-$T$3)/1000,1)+IF($T5&lt;30000,-10,_xlfn.SWITCH(FREQUENCY(($J5,$O5,$T5,$Y5),29500),3,30,2,_xlfn.SWITCH(_xlfn.RANK.EQ($T5,($J5,$O5,$T5,$Y5)),1,15,2,5),1,_xlfn.SWITCH(_xlfn.RANK.EQ($T5,($J5,$O5,$T5,$Y5)),1,7,2,2,3,1),0,0)))</f>
        <v>-14</v>
      </c>
      <c r="AC5" s="35">
        <f>IF($Y5="","",ROUND(($Y5-$Y$3)/1000,1)+IF($Y5&lt;30000,-10,_xlfn.SWITCH(FREQUENCY(($J5,$O5,$T5,$Y5),29500),3,30,2,_xlfn.SWITCH(_xlfn.RANK.EQ($Y5,($J5,$O5,$T5,$Y5)),1,15,2,5),1,_xlfn.SWITCH(_xlfn.RANK.EQ($Y5,($J5,$O5,$T5,$Y5)),1,7,2,2,3,1),0,0)))</f>
        <v>-14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3</v>
      </c>
      <c r="C6" s="18">
        <f t="shared" ref="C6:C30" si="6">IF($E6="","",IF($F5="チョンボ",C5,IF(OR($E5=$E6,$F5="流局"),C5+1,0)))</f>
        <v>0</v>
      </c>
      <c r="D6" s="18">
        <f t="shared" ref="D6:D30" si="7">IF($E6="","",IF(OR($F5="流局",$F5="チョンボ"),D5+($H5+$M5+$R5+$W5)/-1000,0))</f>
        <v>0</v>
      </c>
      <c r="E6" s="4" t="s">
        <v>22</v>
      </c>
      <c r="F6" s="8"/>
      <c r="G6" s="9"/>
      <c r="H6" s="9"/>
      <c r="I6" s="28"/>
      <c r="J6" s="21">
        <f t="shared" si="1"/>
        <v>26500</v>
      </c>
      <c r="K6" s="8"/>
      <c r="L6" s="9"/>
      <c r="M6" s="9"/>
      <c r="N6" s="28"/>
      <c r="O6" s="21">
        <f t="shared" si="2"/>
        <v>41500</v>
      </c>
      <c r="P6" s="8" t="s">
        <v>34</v>
      </c>
      <c r="Q6" s="9">
        <v>-2600</v>
      </c>
      <c r="R6" s="9"/>
      <c r="S6" s="28">
        <v>0</v>
      </c>
      <c r="T6" s="21">
        <f t="shared" si="3"/>
        <v>23400</v>
      </c>
      <c r="U6" s="8" t="s">
        <v>33</v>
      </c>
      <c r="V6" s="9">
        <v>2600</v>
      </c>
      <c r="W6" s="9"/>
      <c r="X6" s="28">
        <v>0</v>
      </c>
      <c r="Y6" s="21">
        <f t="shared" si="4"/>
        <v>28600</v>
      </c>
      <c r="Z6" s="33">
        <f>IF($J6="","",ROUND(($J6-$J$3)/1000,1)+IF($J6&lt;30000,-10,_xlfn.SWITCH(FREQUENCY(($J6,$O6,$T6,$Y6),29500),3,30,2,_xlfn.SWITCH(_xlfn.RANK.EQ($J6,($J6,$O6,$T6,$Y6)),1,15,2,5),1,_xlfn.SWITCH(_xlfn.RANK.EQ($J6,($J6,$O6,$T6,$Y6)),1,7,2,2,3,1),0,0)))</f>
        <v>-13.5</v>
      </c>
      <c r="AA6" s="34">
        <f>IF($O6="","",ROUND(($O6-$O$3)/1000,1)+IF($O6&lt;30000,-10,_xlfn.SWITCH(FREQUENCY(($J6,$O6,$T6,$Y6),29500),3,30,2,_xlfn.SWITCH(_xlfn.RANK.EQ($O6,($J6,$O6,$T6,$Y6)),1,15,2,5),1,_xlfn.SWITCH(_xlfn.RANK.EQ($O6,($J6,$O6,$T6,$Y6)),1,7,2,2,3,1),0,0)))</f>
        <v>41.5</v>
      </c>
      <c r="AB6" s="34">
        <f>IF($T6="","",ROUND(($T6-$T$3)/1000,1)+IF($T6&lt;30000,-10,_xlfn.SWITCH(FREQUENCY(($J6,$O6,$T6,$Y6),29500),3,30,2,_xlfn.SWITCH(_xlfn.RANK.EQ($T6,($J6,$O6,$T6,$Y6)),1,15,2,5),1,_xlfn.SWITCH(_xlfn.RANK.EQ($T6,($J6,$O6,$T6,$Y6)),1,7,2,2,3,1),0,0)))</f>
        <v>-16.600000000000001</v>
      </c>
      <c r="AC6" s="35">
        <f>IF($Y6="","",ROUND(($Y6-$Y$3)/1000,1)+IF($Y6&lt;30000,-10,_xlfn.SWITCH(FREQUENCY(($J6,$O6,$T6,$Y6),29500),3,30,2,_xlfn.SWITCH(_xlfn.RANK.EQ($Y6,($J6,$O6,$T6,$Y6)),1,15,2,5),1,_xlfn.SWITCH(_xlfn.RANK.EQ($Y6,($J6,$O6,$T6,$Y6)),1,7,2,2,3,1),0,0)))</f>
        <v>-11.4</v>
      </c>
    </row>
    <row r="7" spans="1:29" x14ac:dyDescent="0.4">
      <c r="A7" s="13" t="str">
        <f t="shared" si="0"/>
        <v>東</v>
      </c>
      <c r="B7" s="18">
        <f t="shared" si="5"/>
        <v>4</v>
      </c>
      <c r="C7" s="18">
        <f t="shared" si="6"/>
        <v>0</v>
      </c>
      <c r="D7" s="18">
        <f t="shared" si="7"/>
        <v>0</v>
      </c>
      <c r="E7" s="4" t="s">
        <v>24</v>
      </c>
      <c r="F7" s="8" t="s">
        <v>33</v>
      </c>
      <c r="G7" s="9">
        <v>1000</v>
      </c>
      <c r="H7" s="9"/>
      <c r="I7" s="28">
        <v>0</v>
      </c>
      <c r="J7" s="21">
        <f t="shared" si="1"/>
        <v>27500</v>
      </c>
      <c r="K7" s="8" t="s">
        <v>34</v>
      </c>
      <c r="L7" s="9">
        <v>-1000</v>
      </c>
      <c r="M7" s="9"/>
      <c r="N7" s="28">
        <v>0</v>
      </c>
      <c r="O7" s="21">
        <f t="shared" si="2"/>
        <v>40500</v>
      </c>
      <c r="P7" s="8"/>
      <c r="Q7" s="9"/>
      <c r="R7" s="9"/>
      <c r="S7" s="28"/>
      <c r="T7" s="21">
        <f t="shared" si="3"/>
        <v>23400</v>
      </c>
      <c r="U7" s="8"/>
      <c r="V7" s="9"/>
      <c r="W7" s="9"/>
      <c r="X7" s="28"/>
      <c r="Y7" s="21">
        <f t="shared" si="4"/>
        <v>28600</v>
      </c>
      <c r="Z7" s="33">
        <f>IF($J7="","",ROUND(($J7-$J$3)/1000,1)+IF($J7&lt;30000,-10,_xlfn.SWITCH(FREQUENCY(($J7,$O7,$T7,$Y7),29500),3,30,2,_xlfn.SWITCH(_xlfn.RANK.EQ($J7,($J7,$O7,$T7,$Y7)),1,15,2,5),1,_xlfn.SWITCH(_xlfn.RANK.EQ($J7,($J7,$O7,$T7,$Y7)),1,7,2,2,3,1),0,0)))</f>
        <v>-12.5</v>
      </c>
      <c r="AA7" s="34">
        <f>IF($O7="","",ROUND(($O7-$O$3)/1000,1)+IF($O7&lt;30000,-10,_xlfn.SWITCH(FREQUENCY(($J7,$O7,$T7,$Y7),29500),3,30,2,_xlfn.SWITCH(_xlfn.RANK.EQ($O7,($J7,$O7,$T7,$Y7)),1,15,2,5),1,_xlfn.SWITCH(_xlfn.RANK.EQ($O7,($J7,$O7,$T7,$Y7)),1,7,2,2,3,1),0,0)))</f>
        <v>40.5</v>
      </c>
      <c r="AB7" s="34">
        <f>IF($T7="","",ROUND(($T7-$T$3)/1000,1)+IF($T7&lt;30000,-10,_xlfn.SWITCH(FREQUENCY(($J7,$O7,$T7,$Y7),29500),3,30,2,_xlfn.SWITCH(_xlfn.RANK.EQ($T7,($J7,$O7,$T7,$Y7)),1,15,2,5),1,_xlfn.SWITCH(_xlfn.RANK.EQ($T7,($J7,$O7,$T7,$Y7)),1,7,2,2,3,1),0,0)))</f>
        <v>-16.600000000000001</v>
      </c>
      <c r="AC7" s="35">
        <f>IF($Y7="","",ROUND(($Y7-$Y$3)/1000,1)+IF($Y7&lt;30000,-10,_xlfn.SWITCH(FREQUENCY(($J7,$O7,$T7,$Y7),29500),3,30,2,_xlfn.SWITCH(_xlfn.RANK.EQ($Y7,($J7,$O7,$T7,$Y7)),1,15,2,5),1,_xlfn.SWITCH(_xlfn.RANK.EQ($Y7,($J7,$O7,$T7,$Y7)),1,7,2,2,3,1),0,0)))</f>
        <v>-11.4</v>
      </c>
    </row>
    <row r="8" spans="1:29" x14ac:dyDescent="0.4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>IF($E8="","",IF(OR($F7="流局",$F7="チョンボ"),D7+($H7+$M7+$R7+$W7)/-1000,0))</f>
        <v/>
      </c>
      <c r="E8" s="4"/>
      <c r="F8" s="8"/>
      <c r="G8" s="9"/>
      <c r="H8" s="9"/>
      <c r="I8" s="28"/>
      <c r="J8" s="21" t="str">
        <f t="shared" si="1"/>
        <v/>
      </c>
      <c r="K8" s="8"/>
      <c r="L8" s="9"/>
      <c r="M8" s="9"/>
      <c r="N8" s="28"/>
      <c r="O8" s="21" t="str">
        <f t="shared" si="2"/>
        <v/>
      </c>
      <c r="P8" s="8"/>
      <c r="Q8" s="9"/>
      <c r="R8" s="9"/>
      <c r="S8" s="28"/>
      <c r="T8" s="21" t="str">
        <f t="shared" si="3"/>
        <v/>
      </c>
      <c r="U8" s="8"/>
      <c r="V8" s="9"/>
      <c r="W8" s="9"/>
      <c r="X8" s="28"/>
      <c r="Y8" s="21" t="str">
        <f t="shared" si="4"/>
        <v/>
      </c>
      <c r="Z8" s="33" t="str">
        <f>IF($J8="","",ROUND(($J8-$J$3)/1000,1)+IF($J8&lt;30000,-10,_xlfn.SWITCH(FREQUENCY(($J8,$O8,$T8,$Y8),29500),3,30,2,_xlfn.SWITCH(_xlfn.RANK.EQ($J8,($J8,$O8,$T8,$Y8)),1,15,2,5),1,_xlfn.SWITCH(_xlfn.RANK.EQ($J8,($J8,$O8,$T8,$Y8)),1,7,2,2,3,1),0,0)))</f>
        <v/>
      </c>
      <c r="AA8" s="34" t="str">
        <f>IF($O8="","",ROUND(($O8-$O$3)/1000,1)+IF($O8&lt;30000,-10,_xlfn.SWITCH(FREQUENCY(($J8,$O8,$T8,$Y8),29500),3,30,2,_xlfn.SWITCH(_xlfn.RANK.EQ($O8,($J8,$O8,$T8,$Y8)),1,15,2,5),1,_xlfn.SWITCH(_xlfn.RANK.EQ($O8,($J8,$O8,$T8,$Y8)),1,7,2,2,3,1),0,0)))</f>
        <v/>
      </c>
      <c r="AB8" s="34" t="str">
        <f>IF($T8="","",ROUND(($T8-$T$3)/1000,1)+IF($T8&lt;30000,-10,_xlfn.SWITCH(FREQUENCY(($J8,$O8,$T8,$Y8),29500),3,30,2,_xlfn.SWITCH(_xlfn.RANK.EQ($T8,($J8,$O8,$T8,$Y8)),1,15,2,5),1,_xlfn.SWITCH(_xlfn.RANK.EQ($T8,($J8,$O8,$T8,$Y8)),1,7,2,2,3,1),0,0)))</f>
        <v/>
      </c>
      <c r="AC8" s="35" t="str">
        <f>IF($Y8="","",ROUND(($Y8-$Y$3)/1000,1)+IF($Y8&lt;30000,-10,_xlfn.SWITCH(FREQUENCY(($J8,$O8,$T8,$Y8),29500),3,30,2,_xlfn.SWITCH(_xlfn.RANK.EQ($Y8,($J8,$O8,$T8,$Y8)),1,15,2,5),1,_xlfn.SWITCH(_xlfn.RANK.EQ($Y8,($J8,$O8,$T8,$Y8)),1,7,2,2,3,1),0,0)))</f>
        <v/>
      </c>
    </row>
    <row r="9" spans="1:29" x14ac:dyDescent="0.4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7"/>
        <v/>
      </c>
      <c r="E9" s="4"/>
      <c r="F9" s="8"/>
      <c r="G9" s="9"/>
      <c r="H9" s="9"/>
      <c r="I9" s="28"/>
      <c r="J9" s="21" t="str">
        <f t="shared" si="1"/>
        <v/>
      </c>
      <c r="K9" s="8"/>
      <c r="L9" s="9"/>
      <c r="M9" s="9"/>
      <c r="N9" s="28"/>
      <c r="O9" s="21" t="str">
        <f t="shared" si="2"/>
        <v/>
      </c>
      <c r="P9" s="8"/>
      <c r="Q9" s="9"/>
      <c r="R9" s="9"/>
      <c r="S9" s="28"/>
      <c r="T9" s="21" t="str">
        <f t="shared" si="3"/>
        <v/>
      </c>
      <c r="U9" s="8"/>
      <c r="V9" s="9"/>
      <c r="W9" s="9"/>
      <c r="X9" s="28"/>
      <c r="Y9" s="21" t="str">
        <f t="shared" si="4"/>
        <v/>
      </c>
      <c r="Z9" s="33" t="str">
        <f>IF($J9="","",ROUND(($J9-$J$3)/1000,1)+IF($J9&lt;30000,-10,_xlfn.SWITCH(FREQUENCY(($J9,$O9,$T9,$Y9),29500),3,30,2,_xlfn.SWITCH(_xlfn.RANK.EQ($J9,($J9,$O9,$T9,$Y9)),1,15,2,5),1,_xlfn.SWITCH(_xlfn.RANK.EQ($J9,($J9,$O9,$T9,$Y9)),1,7,2,2,3,1),0,0)))</f>
        <v/>
      </c>
      <c r="AA9" s="34" t="str">
        <f>IF($O9="","",ROUND(($O9-$O$3)/1000,1)+IF($O9&lt;30000,-10,_xlfn.SWITCH(FREQUENCY(($J9,$O9,$T9,$Y9),29500),3,30,2,_xlfn.SWITCH(_xlfn.RANK.EQ($O9,($J9,$O9,$T9,$Y9)),1,15,2,5),1,_xlfn.SWITCH(_xlfn.RANK.EQ($O9,($J9,$O9,$T9,$Y9)),1,7,2,2,3,1),0,0)))</f>
        <v/>
      </c>
      <c r="AB9" s="34" t="str">
        <f>IF($T9="","",ROUND(($T9-$T$3)/1000,1)+IF($T9&lt;30000,-10,_xlfn.SWITCH(FREQUENCY(($J9,$O9,$T9,$Y9),29500),3,30,2,_xlfn.SWITCH(_xlfn.RANK.EQ($T9,($J9,$O9,$T9,$Y9)),1,15,2,5),1,_xlfn.SWITCH(_xlfn.RANK.EQ($T9,($J9,$O9,$T9,$Y9)),1,7,2,2,3,1),0,0)))</f>
        <v/>
      </c>
      <c r="AC9" s="35" t="str">
        <f>IF($Y9="","",ROUND(($Y9-$Y$3)/1000,1)+IF($Y9&lt;30000,-10,_xlfn.SWITCH(FREQUENCY(($J9,$O9,$T9,$Y9),29500),3,30,2,_xlfn.SWITCH(_xlfn.RANK.EQ($Y9,($J9,$O9,$T9,$Y9)),1,15,2,5),1,_xlfn.SWITCH(_xlfn.RANK.EQ($Y9,($J9,$O9,$T9,$Y9)),1,7,2,2,3,1),0,0)))</f>
        <v/>
      </c>
    </row>
    <row r="10" spans="1:29" x14ac:dyDescent="0.4">
      <c r="A10" s="13" t="str">
        <f>IF($E10="","",IF(AND(B9=4,B10=1),_xlfn.SWITCH(A9,"東","南","南","西","西","北","北","東"),A9))</f>
        <v/>
      </c>
      <c r="B10" s="18" t="str">
        <f t="shared" si="5"/>
        <v/>
      </c>
      <c r="C10" s="18" t="str">
        <f t="shared" si="6"/>
        <v/>
      </c>
      <c r="D10" s="18" t="str">
        <f t="shared" si="7"/>
        <v/>
      </c>
      <c r="E10" s="4"/>
      <c r="F10" s="8"/>
      <c r="G10" s="9"/>
      <c r="H10" s="9"/>
      <c r="I10" s="28"/>
      <c r="J10" s="21" t="str">
        <f t="shared" si="1"/>
        <v/>
      </c>
      <c r="K10" s="8"/>
      <c r="L10" s="9"/>
      <c r="M10" s="9"/>
      <c r="N10" s="28"/>
      <c r="O10" s="21" t="str">
        <f t="shared" si="2"/>
        <v/>
      </c>
      <c r="P10" s="8"/>
      <c r="Q10" s="9"/>
      <c r="R10" s="9"/>
      <c r="S10" s="28"/>
      <c r="T10" s="21" t="str">
        <f t="shared" si="3"/>
        <v/>
      </c>
      <c r="U10" s="8"/>
      <c r="V10" s="9"/>
      <c r="W10" s="9"/>
      <c r="X10" s="28"/>
      <c r="Y10" s="21" t="str">
        <f t="shared" si="4"/>
        <v/>
      </c>
      <c r="Z10" s="33" t="str">
        <f>IF($J10="","",ROUND(($J10-$J$3)/1000,1)+IF($J10&lt;30000,-10,_xlfn.SWITCH(FREQUENCY(($J10,$O10,$T10,$Y10),29500),3,30,2,_xlfn.SWITCH(_xlfn.RANK.EQ($J10,($J10,$O10,$T10,$Y10)),1,15,2,5),1,_xlfn.SWITCH(_xlfn.RANK.EQ($J10,($J10,$O10,$T10,$Y10)),1,7,2,2,3,1),0,0)))</f>
        <v/>
      </c>
      <c r="AA10" s="34" t="str">
        <f>IF($O10="","",ROUND(($O10-$O$3)/1000,1)+IF($O10&lt;30000,-10,_xlfn.SWITCH(FREQUENCY(($J10,$O10,$T10,$Y10),29500),3,30,2,_xlfn.SWITCH(_xlfn.RANK.EQ($O10,($J10,$O10,$T10,$Y10)),1,15,2,5),1,_xlfn.SWITCH(_xlfn.RANK.EQ($O10,($J10,$O10,$T10,$Y10)),1,7,2,2,3,1),0,0)))</f>
        <v/>
      </c>
      <c r="AB10" s="34" t="str">
        <f>IF($T10="","",ROUND(($T10-$T$3)/1000,1)+IF($T10&lt;30000,-10,_xlfn.SWITCH(FREQUENCY(($J10,$O10,$T10,$Y10),29500),3,30,2,_xlfn.SWITCH(_xlfn.RANK.EQ($T10,($J10,$O10,$T10,$Y10)),1,15,2,5),1,_xlfn.SWITCH(_xlfn.RANK.EQ($T10,($J10,$O10,$T10,$Y10)),1,7,2,2,3,1),0,0)))</f>
        <v/>
      </c>
      <c r="AC10" s="35" t="str">
        <f>IF($Y10="","",ROUND(($Y10-$Y$3)/1000,1)+IF($Y10&lt;30000,-10,_xlfn.SWITCH(FREQUENCY(($J10,$O10,$T10,$Y10),29500),3,30,2,_xlfn.SWITCH(_xlfn.RANK.EQ($Y10,($J10,$O10,$T10,$Y10)),1,15,2,5),1,_xlfn.SWITCH(_xlfn.RANK.EQ($Y10,($J10,$O10,$T10,$Y10)),1,7,2,2,3,1),0,0)))</f>
        <v/>
      </c>
    </row>
    <row r="11" spans="1:29" x14ac:dyDescent="0.4">
      <c r="A11" s="13" t="str">
        <f t="shared" ref="A11:A30" si="8">IF($E11="","",IF(AND(B10=4,B11=1),_xlfn.SWITCH(A10,"東","南","南","西","西","北","北","東"),A10))</f>
        <v/>
      </c>
      <c r="B11" s="18" t="str">
        <f t="shared" si="5"/>
        <v/>
      </c>
      <c r="C11" s="18" t="str">
        <f t="shared" si="6"/>
        <v/>
      </c>
      <c r="D11" s="18" t="str">
        <f t="shared" si="7"/>
        <v/>
      </c>
      <c r="E11" s="4"/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IF($J11="","",ROUND(($J11-$J$3)/1000,1)+IF($J11&lt;30000,-10,_xlfn.SWITCH(FREQUENCY(($J11,$O11,$T11,$Y11),29500),3,30,2,_xlfn.SWITCH(_xlfn.RANK.EQ($J11,($J11,$O11,$T11,$Y11)),1,15,2,5),1,_xlfn.SWITCH(_xlfn.RANK.EQ($J11,($J11,$O11,$T11,$Y11)),1,7,2,2,3,1),0,0)))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IF($O11="","",ROUND(($O11-$O$3)/1000,1)+IF($O11&lt;30000,-10,_xlfn.SWITCH(FREQUENCY(($J11,$O11,$T11,$Y11),29500),3,30,2,_xlfn.SWITCH(_xlfn.RANK.EQ($O11,($J11,$O11,$T11,$Y11)),1,15,2,5),1,_xlfn.SWITCH(_xlfn.RANK.EQ($O11,($J11,$O11,$T11,$Y11)),1,7,2,2,3,1),0,0)))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IF($T11="","",ROUND(($T11-$T$3)/1000,1)+IF($T11&lt;30000,-10,_xlfn.SWITCH(FREQUENCY(($J11,$O11,$T11,$Y11),29500),3,30,2,_xlfn.SWITCH(_xlfn.RANK.EQ($T11,($J11,$O11,$T11,$Y11)),1,15,2,5),1,_xlfn.SWITCH(_xlfn.RANK.EQ($T11,($J11,$O11,$T11,$Y11)),1,7,2,2,3,1),0,0)))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IF($Y11="","",ROUND(($Y11-$Y$3)/1000,1)+IF($Y11&lt;30000,-10,_xlfn.SWITCH(FREQUENCY(($J11,$O11,$T11,$Y11),29500),3,30,2,_xlfn.SWITCH(_xlfn.RANK.EQ($Y11,($J11,$O11,$T11,$Y11)),1,15,2,5),1,_xlfn.SWITCH(_xlfn.RANK.EQ($Y11,($J11,$O11,$T11,$Y11)),1,7,2,2,3,1),0,0)))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IF($J12="","",ROUND(($J12-$J$3)/1000,1)+IF($J12&lt;30000,-10,_xlfn.SWITCH(FREQUENCY(($J12,$O12,$T12,$Y12),29500),3,30,2,_xlfn.SWITCH(_xlfn.RANK.EQ($J12,($J12,$O12,$T12,$Y12)),1,15,2,5),1,_xlfn.SWITCH(_xlfn.RANK.EQ($J12,($J12,$O12,$T12,$Y12)),1,7,2,2,3,1),0,0)))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IF($O12="","",ROUND(($O12-$O$3)/1000,1)+IF($O12&lt;30000,-10,_xlfn.SWITCH(FREQUENCY(($J12,$O12,$T12,$Y12),29500),3,30,2,_xlfn.SWITCH(_xlfn.RANK.EQ($O12,($J12,$O12,$T12,$Y12)),1,15,2,5),1,_xlfn.SWITCH(_xlfn.RANK.EQ($O12,($J12,$O12,$T12,$Y12)),1,7,2,2,3,1),0,0)))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IF($T12="","",ROUND(($T12-$T$3)/1000,1)+IF($T12&lt;30000,-10,_xlfn.SWITCH(FREQUENCY(($J12,$O12,$T12,$Y12),29500),3,30,2,_xlfn.SWITCH(_xlfn.RANK.EQ($T12,($J12,$O12,$T12,$Y12)),1,15,2,5),1,_xlfn.SWITCH(_xlfn.RANK.EQ($T12,($J12,$O12,$T12,$Y12)),1,7,2,2,3,1),0,0)))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IF($Y12="","",ROUND(($Y12-$Y$3)/1000,1)+IF($Y12&lt;30000,-10,_xlfn.SWITCH(FREQUENCY(($J12,$O12,$T12,$Y12),29500),3,30,2,_xlfn.SWITCH(_xlfn.RANK.EQ($Y12,($J12,$O12,$T12,$Y12)),1,15,2,5),1,_xlfn.SWITCH(_xlfn.RANK.EQ($Y12,($J12,$O12,$T12,$Y12)),1,7,2,2,3,1),0,0)))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IF($J13="","",ROUND(($J13-$J$3)/1000,1)+IF($J13&lt;30000,-10,_xlfn.SWITCH(FREQUENCY(($J13,$O13,$T13,$Y13),29500),3,30,2,_xlfn.SWITCH(_xlfn.RANK.EQ($J13,($J13,$O13,$T13,$Y13)),1,15,2,5),1,_xlfn.SWITCH(_xlfn.RANK.EQ($J13,($J13,$O13,$T13,$Y13)),1,7,2,2,3,1),0,0)))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IF($O13="","",ROUND(($O13-$O$3)/1000,1)+IF($O13&lt;30000,-10,_xlfn.SWITCH(FREQUENCY(($J13,$O13,$T13,$Y13),29500),3,30,2,_xlfn.SWITCH(_xlfn.RANK.EQ($O13,($J13,$O13,$T13,$Y13)),1,15,2,5),1,_xlfn.SWITCH(_xlfn.RANK.EQ($O13,($J13,$O13,$T13,$Y13)),1,7,2,2,3,1),0,0)))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IF($T13="","",ROUND(($T13-$T$3)/1000,1)+IF($T13&lt;30000,-10,_xlfn.SWITCH(FREQUENCY(($J13,$O13,$T13,$Y13),29500),3,30,2,_xlfn.SWITCH(_xlfn.RANK.EQ($T13,($J13,$O13,$T13,$Y13)),1,15,2,5),1,_xlfn.SWITCH(_xlfn.RANK.EQ($T13,($J13,$O13,$T13,$Y13)),1,7,2,2,3,1),0,0)))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IF($Y13="","",ROUND(($Y13-$Y$3)/1000,1)+IF($Y13&lt;30000,-10,_xlfn.SWITCH(FREQUENCY(($J13,$O13,$T13,$Y13),29500),3,30,2,_xlfn.SWITCH(_xlfn.RANK.EQ($Y13,($J13,$O13,$T13,$Y13)),1,15,2,5),1,_xlfn.SWITCH(_xlfn.RANK.EQ($Y13,($J13,$O13,$T13,$Y13)),1,7,2,2,3,1),0,0)))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IF($J14="","",ROUND(($J14-$J$3)/1000,1)+IF($J14&lt;30000,-10,_xlfn.SWITCH(FREQUENCY(($J14,$O14,$T14,$Y14),29500),3,30,2,_xlfn.SWITCH(_xlfn.RANK.EQ($J14,($J14,$O14,$T14,$Y14)),1,15,2,5),1,_xlfn.SWITCH(_xlfn.RANK.EQ($J14,($J14,$O14,$T14,$Y14)),1,7,2,2,3,1),0,0)))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IF($O14="","",ROUND(($O14-$O$3)/1000,1)+IF($O14&lt;30000,-10,_xlfn.SWITCH(FREQUENCY(($J14,$O14,$T14,$Y14),29500),3,30,2,_xlfn.SWITCH(_xlfn.RANK.EQ($O14,($J14,$O14,$T14,$Y14)),1,15,2,5),1,_xlfn.SWITCH(_xlfn.RANK.EQ($O14,($J14,$O14,$T14,$Y14)),1,7,2,2,3,1),0,0)))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IF($T14="","",ROUND(($T14-$T$3)/1000,1)+IF($T14&lt;30000,-10,_xlfn.SWITCH(FREQUENCY(($J14,$O14,$T14,$Y14),29500),3,30,2,_xlfn.SWITCH(_xlfn.RANK.EQ($T14,($J14,$O14,$T14,$Y14)),1,15,2,5),1,_xlfn.SWITCH(_xlfn.RANK.EQ($T14,($J14,$O14,$T14,$Y14)),1,7,2,2,3,1),0,0)))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IF($Y14="","",ROUND(($Y14-$Y$3)/1000,1)+IF($Y14&lt;30000,-10,_xlfn.SWITCH(FREQUENCY(($J14,$O14,$T14,$Y14),29500),3,30,2,_xlfn.SWITCH(_xlfn.RANK.EQ($Y14,($J14,$O14,$T14,$Y14)),1,15,2,5),1,_xlfn.SWITCH(_xlfn.RANK.EQ($Y14,($J14,$O14,$T14,$Y14)),1,7,2,2,3,1),0,0)))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IF($J15="","",ROUND(($J15-$J$3)/1000,1)+IF($J15&lt;30000,-10,_xlfn.SWITCH(FREQUENCY(($J15,$O15,$T15,$Y15),29500),3,30,2,_xlfn.SWITCH(_xlfn.RANK.EQ($J15,($J15,$O15,$T15,$Y15)),1,15,2,5),1,_xlfn.SWITCH(_xlfn.RANK.EQ($J15,($J15,$O15,$T15,$Y15)),1,7,2,2,3,1),0,0)))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IF($O15="","",ROUND(($O15-$O$3)/1000,1)+IF($O15&lt;30000,-10,_xlfn.SWITCH(FREQUENCY(($J15,$O15,$T15,$Y15),29500),3,30,2,_xlfn.SWITCH(_xlfn.RANK.EQ($O15,($J15,$O15,$T15,$Y15)),1,15,2,5),1,_xlfn.SWITCH(_xlfn.RANK.EQ($O15,($J15,$O15,$T15,$Y15)),1,7,2,2,3,1),0,0)))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IF($T15="","",ROUND(($T15-$T$3)/1000,1)+IF($T15&lt;30000,-10,_xlfn.SWITCH(FREQUENCY(($J15,$O15,$T15,$Y15),29500),3,30,2,_xlfn.SWITCH(_xlfn.RANK.EQ($T15,($J15,$O15,$T15,$Y15)),1,15,2,5),1,_xlfn.SWITCH(_xlfn.RANK.EQ($T15,($J15,$O15,$T15,$Y15)),1,7,2,2,3,1),0,0)))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IF($Y15="","",ROUND(($Y15-$Y$3)/1000,1)+IF($Y15&lt;30000,-10,_xlfn.SWITCH(FREQUENCY(($J15,$O15,$T15,$Y15),29500),3,30,2,_xlfn.SWITCH(_xlfn.RANK.EQ($Y15,($J15,$O15,$T15,$Y15)),1,15,2,5),1,_xlfn.SWITCH(_xlfn.RANK.EQ($Y15,($J15,$O15,$T15,$Y15)),1,7,2,2,3,1),0,0)))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IF($J16="","",ROUND(($J16-$J$3)/1000,1)+IF($J16&lt;30000,-10,_xlfn.SWITCH(FREQUENCY(($J16,$O16,$T16,$Y16),29500),3,30,2,_xlfn.SWITCH(_xlfn.RANK.EQ($J16,($J16,$O16,$T16,$Y16)),1,15,2,5),1,_xlfn.SWITCH(_xlfn.RANK.EQ($J16,($J16,$O16,$T16,$Y16)),1,7,2,2,3,1),0,0)))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IF($O16="","",ROUND(($O16-$O$3)/1000,1)+IF($O16&lt;30000,-10,_xlfn.SWITCH(FREQUENCY(($J16,$O16,$T16,$Y16),29500),3,30,2,_xlfn.SWITCH(_xlfn.RANK.EQ($O16,($J16,$O16,$T16,$Y16)),1,15,2,5),1,_xlfn.SWITCH(_xlfn.RANK.EQ($O16,($J16,$O16,$T16,$Y16)),1,7,2,2,3,1),0,0)))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IF($T16="","",ROUND(($T16-$T$3)/1000,1)+IF($T16&lt;30000,-10,_xlfn.SWITCH(FREQUENCY(($J16,$O16,$T16,$Y16),29500),3,30,2,_xlfn.SWITCH(_xlfn.RANK.EQ($T16,($J16,$O16,$T16,$Y16)),1,15,2,5),1,_xlfn.SWITCH(_xlfn.RANK.EQ($T16,($J16,$O16,$T16,$Y16)),1,7,2,2,3,1),0,0)))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IF($Y16="","",ROUND(($Y16-$Y$3)/1000,1)+IF($Y16&lt;30000,-10,_xlfn.SWITCH(FREQUENCY(($J16,$O16,$T16,$Y16),29500),3,30,2,_xlfn.SWITCH(_xlfn.RANK.EQ($Y16,($J16,$O16,$T16,$Y16)),1,15,2,5),1,_xlfn.SWITCH(_xlfn.RANK.EQ($Y16,($J16,$O16,$T16,$Y16)),1,7,2,2,3,1),0,0)))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IF($J17="","",ROUND(($J17-$J$3)/1000,1)+IF($J17&lt;30000,-10,_xlfn.SWITCH(FREQUENCY(($J17,$O17,$T17,$Y17),29500),3,30,2,_xlfn.SWITCH(_xlfn.RANK.EQ($J17,($J17,$O17,$T17,$Y17)),1,15,2,5),1,_xlfn.SWITCH(_xlfn.RANK.EQ($J17,($J17,$O17,$T17,$Y17)),1,7,2,2,3,1),0,0)))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IF($O17="","",ROUND(($O17-$O$3)/1000,1)+IF($O17&lt;30000,-10,_xlfn.SWITCH(FREQUENCY(($J17,$O17,$T17,$Y17),29500),3,30,2,_xlfn.SWITCH(_xlfn.RANK.EQ($O17,($J17,$O17,$T17,$Y17)),1,15,2,5),1,_xlfn.SWITCH(_xlfn.RANK.EQ($O17,($J17,$O17,$T17,$Y17)),1,7,2,2,3,1),0,0)))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IF($T17="","",ROUND(($T17-$T$3)/1000,1)+IF($T17&lt;30000,-10,_xlfn.SWITCH(FREQUENCY(($J17,$O17,$T17,$Y17),29500),3,30,2,_xlfn.SWITCH(_xlfn.RANK.EQ($T17,($J17,$O17,$T17,$Y17)),1,15,2,5),1,_xlfn.SWITCH(_xlfn.RANK.EQ($T17,($J17,$O17,$T17,$Y17)),1,7,2,2,3,1),0,0)))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IF($Y17="","",ROUND(($Y17-$Y$3)/1000,1)+IF($Y17&lt;30000,-10,_xlfn.SWITCH(FREQUENCY(($J17,$O17,$T17,$Y17),29500),3,30,2,_xlfn.SWITCH(_xlfn.RANK.EQ($Y17,($J17,$O17,$T17,$Y17)),1,15,2,5),1,_xlfn.SWITCH(_xlfn.RANK.EQ($Y17,($J17,$O17,$T17,$Y17)),1,7,2,2,3,1),0,0)))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IF($J18="","",ROUND(($J18-$J$3)/1000,1)+IF($J18&lt;30000,-10,_xlfn.SWITCH(FREQUENCY(($J18,$O18,$T18,$Y18),29500),3,30,2,_xlfn.SWITCH(_xlfn.RANK.EQ($J18,($J18,$O18,$T18,$Y18)),1,15,2,5),1,_xlfn.SWITCH(_xlfn.RANK.EQ($J18,($J18,$O18,$T18,$Y18)),1,7,2,2,3,1),0,0)))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IF($O18="","",ROUND(($O18-$O$3)/1000,1)+IF($O18&lt;30000,-10,_xlfn.SWITCH(FREQUENCY(($J18,$O18,$T18,$Y18),29500),3,30,2,_xlfn.SWITCH(_xlfn.RANK.EQ($O18,($J18,$O18,$T18,$Y18)),1,15,2,5),1,_xlfn.SWITCH(_xlfn.RANK.EQ($O18,($J18,$O18,$T18,$Y18)),1,7,2,2,3,1),0,0)))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IF($T18="","",ROUND(($T18-$T$3)/1000,1)+IF($T18&lt;30000,-10,_xlfn.SWITCH(FREQUENCY(($J18,$O18,$T18,$Y18),29500),3,30,2,_xlfn.SWITCH(_xlfn.RANK.EQ($T18,($J18,$O18,$T18,$Y18)),1,15,2,5),1,_xlfn.SWITCH(_xlfn.RANK.EQ($T18,($J18,$O18,$T18,$Y18)),1,7,2,2,3,1),0,0)))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IF($Y18="","",ROUND(($Y18-$Y$3)/1000,1)+IF($Y18&lt;30000,-10,_xlfn.SWITCH(FREQUENCY(($J18,$O18,$T18,$Y18),29500),3,30,2,_xlfn.SWITCH(_xlfn.RANK.EQ($Y18,($J18,$O18,$T18,$Y18)),1,15,2,5),1,_xlfn.SWITCH(_xlfn.RANK.EQ($Y18,($J18,$O18,$T18,$Y18)),1,7,2,2,3,1),0,0)))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IF($J19="","",ROUND(($J19-$J$3)/1000,1)+IF($J19&lt;30000,-10,_xlfn.SWITCH(FREQUENCY(($J19,$O19,$T19,$Y19),29500),3,30,2,_xlfn.SWITCH(_xlfn.RANK.EQ($J19,($J19,$O19,$T19,$Y19)),1,15,2,5),1,_xlfn.SWITCH(_xlfn.RANK.EQ($J19,($J19,$O19,$T19,$Y19)),1,7,2,2,3,1),0,0)))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IF($O19="","",ROUND(($O19-$O$3)/1000,1)+IF($O19&lt;30000,-10,_xlfn.SWITCH(FREQUENCY(($J19,$O19,$T19,$Y19),29500),3,30,2,_xlfn.SWITCH(_xlfn.RANK.EQ($O19,($J19,$O19,$T19,$Y19)),1,15,2,5),1,_xlfn.SWITCH(_xlfn.RANK.EQ($O19,($J19,$O19,$T19,$Y19)),1,7,2,2,3,1),0,0)))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IF($T19="","",ROUND(($T19-$T$3)/1000,1)+IF($T19&lt;30000,-10,_xlfn.SWITCH(FREQUENCY(($J19,$O19,$T19,$Y19),29500),3,30,2,_xlfn.SWITCH(_xlfn.RANK.EQ($T19,($J19,$O19,$T19,$Y19)),1,15,2,5),1,_xlfn.SWITCH(_xlfn.RANK.EQ($T19,($J19,$O19,$T19,$Y19)),1,7,2,2,3,1),0,0)))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IF($Y19="","",ROUND(($Y19-$Y$3)/1000,1)+IF($Y19&lt;30000,-10,_xlfn.SWITCH(FREQUENCY(($J19,$O19,$T19,$Y19),29500),3,30,2,_xlfn.SWITCH(_xlfn.RANK.EQ($Y19,($J19,$O19,$T19,$Y19)),1,15,2,5),1,_xlfn.SWITCH(_xlfn.RANK.EQ($Y19,($J19,$O19,$T19,$Y19)),1,7,2,2,3,1),0,0)))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IF($J20="","",ROUND(($J20-$J$3)/1000,1)+IF($J20&lt;30000,-10,_xlfn.SWITCH(FREQUENCY(($J20,$O20,$T20,$Y20),29500),3,30,2,_xlfn.SWITCH(_xlfn.RANK.EQ($J20,($J20,$O20,$T20,$Y20)),1,15,2,5),1,_xlfn.SWITCH(_xlfn.RANK.EQ($J20,($J20,$O20,$T20,$Y20)),1,7,2,2,3,1),0,0)))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IF($O20="","",ROUND(($O20-$O$3)/1000,1)+IF($O20&lt;30000,-10,_xlfn.SWITCH(FREQUENCY(($J20,$O20,$T20,$Y20),29500),3,30,2,_xlfn.SWITCH(_xlfn.RANK.EQ($O20,($J20,$O20,$T20,$Y20)),1,15,2,5),1,_xlfn.SWITCH(_xlfn.RANK.EQ($O20,($J20,$O20,$T20,$Y20)),1,7,2,2,3,1),0,0)))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IF($T20="","",ROUND(($T20-$T$3)/1000,1)+IF($T20&lt;30000,-10,_xlfn.SWITCH(FREQUENCY(($J20,$O20,$T20,$Y20),29500),3,30,2,_xlfn.SWITCH(_xlfn.RANK.EQ($T20,($J20,$O20,$T20,$Y20)),1,15,2,5),1,_xlfn.SWITCH(_xlfn.RANK.EQ($T20,($J20,$O20,$T20,$Y20)),1,7,2,2,3,1),0,0)))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IF($Y20="","",ROUND(($Y20-$Y$3)/1000,1)+IF($Y20&lt;30000,-10,_xlfn.SWITCH(FREQUENCY(($J20,$O20,$T20,$Y20),29500),3,30,2,_xlfn.SWITCH(_xlfn.RANK.EQ($Y20,($J20,$O20,$T20,$Y20)),1,15,2,5),1,_xlfn.SWITCH(_xlfn.RANK.EQ($Y20,($J20,$O20,$T20,$Y20)),1,7,2,2,3,1),0,0)))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IF($J21="","",ROUND(($J21-$J$3)/1000,1)+IF($J21&lt;30000,-10,_xlfn.SWITCH(FREQUENCY(($J21,$O21,$T21,$Y21),29500),3,30,2,_xlfn.SWITCH(_xlfn.RANK.EQ($J21,($J21,$O21,$T21,$Y21)),1,15,2,5),1,_xlfn.SWITCH(_xlfn.RANK.EQ($J21,($J21,$O21,$T21,$Y21)),1,7,2,2,3,1),0,0)))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IF($O21="","",ROUND(($O21-$O$3)/1000,1)+IF($O21&lt;30000,-10,_xlfn.SWITCH(FREQUENCY(($J21,$O21,$T21,$Y21),29500),3,30,2,_xlfn.SWITCH(_xlfn.RANK.EQ($O21,($J21,$O21,$T21,$Y21)),1,15,2,5),1,_xlfn.SWITCH(_xlfn.RANK.EQ($O21,($J21,$O21,$T21,$Y21)),1,7,2,2,3,1),0,0)))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IF($T21="","",ROUND(($T21-$T$3)/1000,1)+IF($T21&lt;30000,-10,_xlfn.SWITCH(FREQUENCY(($J21,$O21,$T21,$Y21),29500),3,30,2,_xlfn.SWITCH(_xlfn.RANK.EQ($T21,($J21,$O21,$T21,$Y21)),1,15,2,5),1,_xlfn.SWITCH(_xlfn.RANK.EQ($T21,($J21,$O21,$T21,$Y21)),1,7,2,2,3,1),0,0)))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IF($Y21="","",ROUND(($Y21-$Y$3)/1000,1)+IF($Y21&lt;30000,-10,_xlfn.SWITCH(FREQUENCY(($J21,$O21,$T21,$Y21),29500),3,30,2,_xlfn.SWITCH(_xlfn.RANK.EQ($Y21,($J21,$O21,$T21,$Y21)),1,15,2,5),1,_xlfn.SWITCH(_xlfn.RANK.EQ($Y21,($J21,$O21,$T21,$Y21)),1,7,2,2,3,1),0,0)))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IF($J22="","",ROUND(($J22-$J$3)/1000,1)+IF($J22&lt;30000,-10,_xlfn.SWITCH(FREQUENCY(($J22,$O22,$T22,$Y22),29500),3,30,2,_xlfn.SWITCH(_xlfn.RANK.EQ($J22,($J22,$O22,$T22,$Y22)),1,15,2,5),1,_xlfn.SWITCH(_xlfn.RANK.EQ($J22,($J22,$O22,$T22,$Y22)),1,7,2,2,3,1),0,0)))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IF($O22="","",ROUND(($O22-$O$3)/1000,1)+IF($O22&lt;30000,-10,_xlfn.SWITCH(FREQUENCY(($J22,$O22,$T22,$Y22),29500),3,30,2,_xlfn.SWITCH(_xlfn.RANK.EQ($O22,($J22,$O22,$T22,$Y22)),1,15,2,5),1,_xlfn.SWITCH(_xlfn.RANK.EQ($O22,($J22,$O22,$T22,$Y22)),1,7,2,2,3,1),0,0)))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IF($T22="","",ROUND(($T22-$T$3)/1000,1)+IF($T22&lt;30000,-10,_xlfn.SWITCH(FREQUENCY(($J22,$O22,$T22,$Y22),29500),3,30,2,_xlfn.SWITCH(_xlfn.RANK.EQ($T22,($J22,$O22,$T22,$Y22)),1,15,2,5),1,_xlfn.SWITCH(_xlfn.RANK.EQ($T22,($J22,$O22,$T22,$Y22)),1,7,2,2,3,1),0,0)))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IF($Y22="","",ROUND(($Y22-$Y$3)/1000,1)+IF($Y22&lt;30000,-10,_xlfn.SWITCH(FREQUENCY(($J22,$O22,$T22,$Y22),29500),3,30,2,_xlfn.SWITCH(_xlfn.RANK.EQ($Y22,($J22,$O22,$T22,$Y22)),1,15,2,5),1,_xlfn.SWITCH(_xlfn.RANK.EQ($Y22,($J22,$O22,$T22,$Y22)),1,7,2,2,3,1),0,0)))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IF($J23="","",ROUND(($J23-$J$3)/1000,1)+IF($J23&lt;30000,-10,_xlfn.SWITCH(FREQUENCY(($J23,$O23,$T23,$Y23),29500),3,30,2,_xlfn.SWITCH(_xlfn.RANK.EQ($J23,($J23,$O23,$T23,$Y23)),1,15,2,5),1,_xlfn.SWITCH(_xlfn.RANK.EQ($J23,($J23,$O23,$T23,$Y23)),1,7,2,2,3,1),0,0)))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IF($O23="","",ROUND(($O23-$O$3)/1000,1)+IF($O23&lt;30000,-10,_xlfn.SWITCH(FREQUENCY(($J23,$O23,$T23,$Y23),29500),3,30,2,_xlfn.SWITCH(_xlfn.RANK.EQ($O23,($J23,$O23,$T23,$Y23)),1,15,2,5),1,_xlfn.SWITCH(_xlfn.RANK.EQ($O23,($J23,$O23,$T23,$Y23)),1,7,2,2,3,1),0,0)))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IF($T23="","",ROUND(($T23-$T$3)/1000,1)+IF($T23&lt;30000,-10,_xlfn.SWITCH(FREQUENCY(($J23,$O23,$T23,$Y23),29500),3,30,2,_xlfn.SWITCH(_xlfn.RANK.EQ($T23,($J23,$O23,$T23,$Y23)),1,15,2,5),1,_xlfn.SWITCH(_xlfn.RANK.EQ($T23,($J23,$O23,$T23,$Y23)),1,7,2,2,3,1),0,0)))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IF($Y23="","",ROUND(($Y23-$Y$3)/1000,1)+IF($Y23&lt;30000,-10,_xlfn.SWITCH(FREQUENCY(($J23,$O23,$T23,$Y23),29500),3,30,2,_xlfn.SWITCH(_xlfn.RANK.EQ($Y23,($J23,$O23,$T23,$Y23)),1,15,2,5),1,_xlfn.SWITCH(_xlfn.RANK.EQ($Y23,($J23,$O23,$T23,$Y23)),1,7,2,2,3,1),0,0)))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IF($J24="","",ROUND(($J24-$J$3)/1000,1)+IF($J24&lt;30000,-10,_xlfn.SWITCH(FREQUENCY(($J24,$O24,$T24,$Y24),29500),3,30,2,_xlfn.SWITCH(_xlfn.RANK.EQ($J24,($J24,$O24,$T24,$Y24)),1,15,2,5),1,_xlfn.SWITCH(_xlfn.RANK.EQ($J24,($J24,$O24,$T24,$Y24)),1,7,2,2,3,1),0,0)))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IF($O24="","",ROUND(($O24-$O$3)/1000,1)+IF($O24&lt;30000,-10,_xlfn.SWITCH(FREQUENCY(($J24,$O24,$T24,$Y24),29500),3,30,2,_xlfn.SWITCH(_xlfn.RANK.EQ($O24,($J24,$O24,$T24,$Y24)),1,15,2,5),1,_xlfn.SWITCH(_xlfn.RANK.EQ($O24,($J24,$O24,$T24,$Y24)),1,7,2,2,3,1),0,0)))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IF($T24="","",ROUND(($T24-$T$3)/1000,1)+IF($T24&lt;30000,-10,_xlfn.SWITCH(FREQUENCY(($J24,$O24,$T24,$Y24),29500),3,30,2,_xlfn.SWITCH(_xlfn.RANK.EQ($T24,($J24,$O24,$T24,$Y24)),1,15,2,5),1,_xlfn.SWITCH(_xlfn.RANK.EQ($T24,($J24,$O24,$T24,$Y24)),1,7,2,2,3,1),0,0)))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IF($Y24="","",ROUND(($Y24-$Y$3)/1000,1)+IF($Y24&lt;30000,-10,_xlfn.SWITCH(FREQUENCY(($J24,$O24,$T24,$Y24),29500),3,30,2,_xlfn.SWITCH(_xlfn.RANK.EQ($Y24,($J24,$O24,$T24,$Y24)),1,15,2,5),1,_xlfn.SWITCH(_xlfn.RANK.EQ($Y24,($J24,$O24,$T24,$Y24)),1,7,2,2,3,1),0,0)))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IF($J25="","",ROUND(($J25-$J$3)/1000,1)+IF($J25&lt;30000,-10,_xlfn.SWITCH(FREQUENCY(($J25,$O25,$T25,$Y25),29500),3,30,2,_xlfn.SWITCH(_xlfn.RANK.EQ($J25,($J25,$O25,$T25,$Y25)),1,15,2,5),1,_xlfn.SWITCH(_xlfn.RANK.EQ($J25,($J25,$O25,$T25,$Y25)),1,7,2,2,3,1),0,0)))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IF($O25="","",ROUND(($O25-$O$3)/1000,1)+IF($O25&lt;30000,-10,_xlfn.SWITCH(FREQUENCY(($J25,$O25,$T25,$Y25),29500),3,30,2,_xlfn.SWITCH(_xlfn.RANK.EQ($O25,($J25,$O25,$T25,$Y25)),1,15,2,5),1,_xlfn.SWITCH(_xlfn.RANK.EQ($O25,($J25,$O25,$T25,$Y25)),1,7,2,2,3,1),0,0)))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IF($T25="","",ROUND(($T25-$T$3)/1000,1)+IF($T25&lt;30000,-10,_xlfn.SWITCH(FREQUENCY(($J25,$O25,$T25,$Y25),29500),3,30,2,_xlfn.SWITCH(_xlfn.RANK.EQ($T25,($J25,$O25,$T25,$Y25)),1,15,2,5),1,_xlfn.SWITCH(_xlfn.RANK.EQ($T25,($J25,$O25,$T25,$Y25)),1,7,2,2,3,1),0,0)))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IF($Y25="","",ROUND(($Y25-$Y$3)/1000,1)+IF($Y25&lt;30000,-10,_xlfn.SWITCH(FREQUENCY(($J25,$O25,$T25,$Y25),29500),3,30,2,_xlfn.SWITCH(_xlfn.RANK.EQ($Y25,($J25,$O25,$T25,$Y25)),1,15,2,5),1,_xlfn.SWITCH(_xlfn.RANK.EQ($Y25,($J25,$O25,$T25,$Y25)),1,7,2,2,3,1),0,0)))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IF($J26="","",ROUND(($J26-$J$3)/1000,1)+IF($J26&lt;30000,-10,_xlfn.SWITCH(FREQUENCY(($J26,$O26,$T26,$Y26),29500),3,30,2,_xlfn.SWITCH(_xlfn.RANK.EQ($J26,($J26,$O26,$T26,$Y26)),1,15,2,5),1,_xlfn.SWITCH(_xlfn.RANK.EQ($J26,($J26,$O26,$T26,$Y26)),1,7,2,2,3,1),0,0)))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IF($O26="","",ROUND(($O26-$O$3)/1000,1)+IF($O26&lt;30000,-10,_xlfn.SWITCH(FREQUENCY(($J26,$O26,$T26,$Y26),29500),3,30,2,_xlfn.SWITCH(_xlfn.RANK.EQ($O26,($J26,$O26,$T26,$Y26)),1,15,2,5),1,_xlfn.SWITCH(_xlfn.RANK.EQ($O26,($J26,$O26,$T26,$Y26)),1,7,2,2,3,1),0,0)))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IF($T26="","",ROUND(($T26-$T$3)/1000,1)+IF($T26&lt;30000,-10,_xlfn.SWITCH(FREQUENCY(($J26,$O26,$T26,$Y26),29500),3,30,2,_xlfn.SWITCH(_xlfn.RANK.EQ($T26,($J26,$O26,$T26,$Y26)),1,15,2,5),1,_xlfn.SWITCH(_xlfn.RANK.EQ($T26,($J26,$O26,$T26,$Y26)),1,7,2,2,3,1),0,0)))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IF($Y26="","",ROUND(($Y26-$Y$3)/1000,1)+IF($Y26&lt;30000,-10,_xlfn.SWITCH(FREQUENCY(($J26,$O26,$T26,$Y26),29500),3,30,2,_xlfn.SWITCH(_xlfn.RANK.EQ($Y26,($J26,$O26,$T26,$Y26)),1,15,2,5),1,_xlfn.SWITCH(_xlfn.RANK.EQ($Y26,($J26,$O26,$T26,$Y26)),1,7,2,2,3,1),0,0)))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IF($J27="","",ROUND(($J27-$J$3)/1000,1)+IF($J27&lt;30000,-10,_xlfn.SWITCH(FREQUENCY(($J27,$O27,$T27,$Y27),29500),3,30,2,_xlfn.SWITCH(_xlfn.RANK.EQ($J27,($J27,$O27,$T27,$Y27)),1,15,2,5),1,_xlfn.SWITCH(_xlfn.RANK.EQ($J27,($J27,$O27,$T27,$Y27)),1,7,2,2,3,1),0,0)))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IF($O27="","",ROUND(($O27-$O$3)/1000,1)+IF($O27&lt;30000,-10,_xlfn.SWITCH(FREQUENCY(($J27,$O27,$T27,$Y27),29500),3,30,2,_xlfn.SWITCH(_xlfn.RANK.EQ($O27,($J27,$O27,$T27,$Y27)),1,15,2,5),1,_xlfn.SWITCH(_xlfn.RANK.EQ($O27,($J27,$O27,$T27,$Y27)),1,7,2,2,3,1),0,0)))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IF($T27="","",ROUND(($T27-$T$3)/1000,1)+IF($T27&lt;30000,-10,_xlfn.SWITCH(FREQUENCY(($J27,$O27,$T27,$Y27),29500),3,30,2,_xlfn.SWITCH(_xlfn.RANK.EQ($T27,($J27,$O27,$T27,$Y27)),1,15,2,5),1,_xlfn.SWITCH(_xlfn.RANK.EQ($T27,($J27,$O27,$T27,$Y27)),1,7,2,2,3,1),0,0)))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IF($Y27="","",ROUND(($Y27-$Y$3)/1000,1)+IF($Y27&lt;30000,-10,_xlfn.SWITCH(FREQUENCY(($J27,$O27,$T27,$Y27),29500),3,30,2,_xlfn.SWITCH(_xlfn.RANK.EQ($Y27,($J27,$O27,$T27,$Y27)),1,15,2,5),1,_xlfn.SWITCH(_xlfn.RANK.EQ($Y27,($J27,$O27,$T27,$Y27)),1,7,2,2,3,1),0,0)))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IF($J28="","",ROUND(($J28-$J$3)/1000,1)+IF($J28&lt;30000,-10,_xlfn.SWITCH(FREQUENCY(($J28,$O28,$T28,$Y28),29500),3,30,2,_xlfn.SWITCH(_xlfn.RANK.EQ($J28,($J28,$O28,$T28,$Y28)),1,15,2,5),1,_xlfn.SWITCH(_xlfn.RANK.EQ($J28,($J28,$O28,$T28,$Y28)),1,7,2,2,3,1),0,0)))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IF($O28="","",ROUND(($O28-$O$3)/1000,1)+IF($O28&lt;30000,-10,_xlfn.SWITCH(FREQUENCY(($J28,$O28,$T28,$Y28),29500),3,30,2,_xlfn.SWITCH(_xlfn.RANK.EQ($O28,($J28,$O28,$T28,$Y28)),1,15,2,5),1,_xlfn.SWITCH(_xlfn.RANK.EQ($O28,($J28,$O28,$T28,$Y28)),1,7,2,2,3,1),0,0)))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IF($T28="","",ROUND(($T28-$T$3)/1000,1)+IF($T28&lt;30000,-10,_xlfn.SWITCH(FREQUENCY(($J28,$O28,$T28,$Y28),29500),3,30,2,_xlfn.SWITCH(_xlfn.RANK.EQ($T28,($J28,$O28,$T28,$Y28)),1,15,2,5),1,_xlfn.SWITCH(_xlfn.RANK.EQ($T28,($J28,$O28,$T28,$Y28)),1,7,2,2,3,1),0,0)))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IF($Y28="","",ROUND(($Y28-$Y$3)/1000,1)+IF($Y28&lt;30000,-10,_xlfn.SWITCH(FREQUENCY(($J28,$O28,$T28,$Y28),29500),3,30,2,_xlfn.SWITCH(_xlfn.RANK.EQ($Y28,($J28,$O28,$T28,$Y28)),1,15,2,5),1,_xlfn.SWITCH(_xlfn.RANK.EQ($Y28,($J28,$O28,$T28,$Y28)),1,7,2,2,3,1),0,0)))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IF($J29="","",ROUND(($J29-$J$3)/1000,1)+IF($J29&lt;30000,-10,_xlfn.SWITCH(FREQUENCY(($J29,$O29,$T29,$Y29),29500),3,30,2,_xlfn.SWITCH(_xlfn.RANK.EQ($J29,($J29,$O29,$T29,$Y29)),1,15,2,5),1,_xlfn.SWITCH(_xlfn.RANK.EQ($J29,($J29,$O29,$T29,$Y29)),1,7,2,2,3,1),0,0)))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IF($O29="","",ROUND(($O29-$O$3)/1000,1)+IF($O29&lt;30000,-10,_xlfn.SWITCH(FREQUENCY(($J29,$O29,$T29,$Y29),29500),3,30,2,_xlfn.SWITCH(_xlfn.RANK.EQ($O29,($J29,$O29,$T29,$Y29)),1,15,2,5),1,_xlfn.SWITCH(_xlfn.RANK.EQ($O29,($J29,$O29,$T29,$Y29)),1,7,2,2,3,1),0,0)))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IF($T29="","",ROUND(($T29-$T$3)/1000,1)+IF($T29&lt;30000,-10,_xlfn.SWITCH(FREQUENCY(($J29,$O29,$T29,$Y29),29500),3,30,2,_xlfn.SWITCH(_xlfn.RANK.EQ($T29,($J29,$O29,$T29,$Y29)),1,15,2,5),1,_xlfn.SWITCH(_xlfn.RANK.EQ($T29,($J29,$O29,$T29,$Y29)),1,7,2,2,3,1),0,0)))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IF($Y29="","",ROUND(($Y29-$Y$3)/1000,1)+IF($Y29&lt;30000,-10,_xlfn.SWITCH(FREQUENCY(($J29,$O29,$T29,$Y29),29500),3,30,2,_xlfn.SWITCH(_xlfn.RANK.EQ($Y29,($J29,$O29,$T29,$Y29)),1,15,2,5),1,_xlfn.SWITCH(_xlfn.RANK.EQ($Y29,($J29,$O29,$T29,$Y29)),1,7,2,2,3,1),0,0)))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IF($J30="","",ROUND(($J30-$J$3)/1000,1)+IF($J30&lt;30000,-10,_xlfn.SWITCH(FREQUENCY(($J30,$O30,$T30,$Y30),29500),3,30,2,_xlfn.SWITCH(_xlfn.RANK.EQ($J30,($J30,$O30,$T30,$Y30)),1,15,2,5),1,_xlfn.SWITCH(_xlfn.RANK.EQ($J30,($J30,$O30,$T30,$Y30)),1,7,2,2,3,1),0,0)))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IF($O30="","",ROUND(($O30-$O$3)/1000,1)+IF($O30&lt;30000,-10,_xlfn.SWITCH(FREQUENCY(($J30,$O30,$T30,$Y30),29500),3,30,2,_xlfn.SWITCH(_xlfn.RANK.EQ($O30,($J30,$O30,$T30,$Y30)),1,15,2,5),1,_xlfn.SWITCH(_xlfn.RANK.EQ($O30,($J30,$O30,$T30,$Y30)),1,7,2,2,3,1),0,0)))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IF($T30="","",ROUND(($T30-$T$3)/1000,1)+IF($T30&lt;30000,-10,_xlfn.SWITCH(FREQUENCY(($J30,$O30,$T30,$Y30),29500),3,30,2,_xlfn.SWITCH(_xlfn.RANK.EQ($T30,($J30,$O30,$T30,$Y30)),1,15,2,5),1,_xlfn.SWITCH(_xlfn.RANK.EQ($T30,($J30,$O30,$T30,$Y30)),1,7,2,2,3,1),0,0)))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IF($Y30="","",ROUND(($Y30-$Y$3)/1000,1)+IF($Y30&lt;30000,-10,_xlfn.SWITCH(FREQUENCY(($J30,$O30,$T30,$Y30),29500),3,30,2,_xlfn.SWITCH(_xlfn.RANK.EQ($Y30,($J30,$O30,$T30,$Y30)),1,15,2,5),1,_xlfn.SWITCH(_xlfn.RANK.EQ($Y30,($J30,$O30,$T30,$Y30)),1,7,2,2,3,1),0,0)))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5" priority="3">
      <formula>IF(G4&lt;&gt;"",SUM($G4:$I4,$L4:$N4,$Q4:$S4,$V4:$X4)-$D4*1000+$D5*1000)</formula>
    </cfRule>
  </conditionalFormatting>
  <conditionalFormatting sqref="F1:Y1">
    <cfRule type="duplicateValues" dxfId="4" priority="2"/>
  </conditionalFormatting>
  <conditionalFormatting sqref="Z3:AC30">
    <cfRule type="expression" dxfId="3" priority="1">
      <formula>AND(Z4="",SUM($Z3:$AC3))</formula>
    </cfRule>
  </conditionalFormatting>
  <dataValidations count="2">
    <dataValidation type="list" allowBlank="1" showInputMessage="1" showErrorMessage="1" sqref="E4:E30" xr:uid="{AF54F1FF-8C0C-44BF-9158-68D24179C363}">
      <formula1>$Z$2:$AC$2</formula1>
    </dataValidation>
    <dataValidation type="list" showInputMessage="1" showErrorMessage="1" sqref="K4:K30 P4:P30 F4:F30 U4:U30" xr:uid="{A43EF867-6915-440A-9A06-F30E8F9D4AE0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F1D5E-D504-4191-AAFE-48F3AC941F63}">
  <sheetPr codeName="Sheet10">
    <pageSetUpPr fitToPage="1"/>
  </sheetPr>
  <dimension ref="A1:AC30"/>
  <sheetViews>
    <sheetView tabSelected="1" zoomScaleNormal="100" workbookViewId="0">
      <selection sqref="A1:A2"/>
    </sheetView>
  </sheetViews>
  <sheetFormatPr defaultColWidth="9" defaultRowHeight="18.75" x14ac:dyDescent="0.4"/>
  <cols>
    <col min="1" max="4" width="5.2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5" width="9" style="24"/>
    <col min="26" max="29" width="9" style="24" customWidth="1"/>
    <col min="30" max="16384" width="9" style="24"/>
  </cols>
  <sheetData>
    <row r="1" spans="1:29" x14ac:dyDescent="0.4">
      <c r="A1" s="48" t="s">
        <v>0</v>
      </c>
      <c r="B1" s="50" t="s">
        <v>2</v>
      </c>
      <c r="C1" s="50" t="s">
        <v>1</v>
      </c>
      <c r="D1" s="50" t="s">
        <v>18</v>
      </c>
      <c r="E1" s="52" t="s">
        <v>3</v>
      </c>
      <c r="F1" s="43" t="s">
        <v>23</v>
      </c>
      <c r="G1" s="44"/>
      <c r="H1" s="44"/>
      <c r="I1" s="45"/>
      <c r="J1" s="46"/>
      <c r="K1" s="43" t="s">
        <v>25</v>
      </c>
      <c r="L1" s="44"/>
      <c r="M1" s="44"/>
      <c r="N1" s="45"/>
      <c r="O1" s="46"/>
      <c r="P1" s="43" t="s">
        <v>27</v>
      </c>
      <c r="Q1" s="44"/>
      <c r="R1" s="44"/>
      <c r="S1" s="45"/>
      <c r="T1" s="46"/>
      <c r="U1" s="43" t="s">
        <v>29</v>
      </c>
      <c r="V1" s="44"/>
      <c r="W1" s="44"/>
      <c r="X1" s="45"/>
      <c r="Y1" s="46"/>
      <c r="Z1" s="43" t="s">
        <v>6</v>
      </c>
      <c r="AA1" s="47"/>
      <c r="AB1" s="44"/>
      <c r="AC1" s="46"/>
    </row>
    <row r="2" spans="1:29" x14ac:dyDescent="0.4">
      <c r="A2" s="49"/>
      <c r="B2" s="51"/>
      <c r="C2" s="51"/>
      <c r="D2" s="51"/>
      <c r="E2" s="53"/>
      <c r="F2" s="1" t="s">
        <v>5</v>
      </c>
      <c r="G2" s="2" t="s">
        <v>8</v>
      </c>
      <c r="H2" s="2" t="s">
        <v>19</v>
      </c>
      <c r="I2" s="26" t="s">
        <v>1</v>
      </c>
      <c r="J2" s="6" t="s">
        <v>4</v>
      </c>
      <c r="K2" s="1" t="s">
        <v>5</v>
      </c>
      <c r="L2" s="2" t="s">
        <v>9</v>
      </c>
      <c r="M2" s="2" t="s">
        <v>19</v>
      </c>
      <c r="N2" s="26" t="s">
        <v>7</v>
      </c>
      <c r="O2" s="6" t="s">
        <v>4</v>
      </c>
      <c r="P2" s="1" t="s">
        <v>5</v>
      </c>
      <c r="Q2" s="2" t="s">
        <v>9</v>
      </c>
      <c r="R2" s="2" t="s">
        <v>19</v>
      </c>
      <c r="S2" s="26" t="s">
        <v>7</v>
      </c>
      <c r="T2" s="6" t="s">
        <v>4</v>
      </c>
      <c r="U2" s="1" t="s">
        <v>5</v>
      </c>
      <c r="V2" s="2" t="s">
        <v>9</v>
      </c>
      <c r="W2" s="2" t="s">
        <v>19</v>
      </c>
      <c r="X2" s="26" t="s">
        <v>7</v>
      </c>
      <c r="Y2" s="6" t="s">
        <v>4</v>
      </c>
      <c r="Z2" s="41" t="str">
        <f>$F$1</f>
        <v>たかの</v>
      </c>
      <c r="AA2" s="42" t="str">
        <f>$K$1</f>
        <v>まっつん</v>
      </c>
      <c r="AB2" s="42" t="str">
        <f>$P$1</f>
        <v>だいち</v>
      </c>
      <c r="AC2" s="16" t="str">
        <f>$U$1</f>
        <v>ただ</v>
      </c>
    </row>
    <row r="3" spans="1:29" x14ac:dyDescent="0.4">
      <c r="A3" s="12"/>
      <c r="B3" s="17"/>
      <c r="C3" s="17"/>
      <c r="D3" s="17"/>
      <c r="E3" s="3"/>
      <c r="F3" s="7"/>
      <c r="G3" s="23"/>
      <c r="H3" s="23"/>
      <c r="I3" s="27"/>
      <c r="J3" s="20">
        <v>30000</v>
      </c>
      <c r="K3" s="7"/>
      <c r="L3" s="23"/>
      <c r="M3" s="23"/>
      <c r="N3" s="27"/>
      <c r="O3" s="20">
        <v>30000</v>
      </c>
      <c r="P3" s="7"/>
      <c r="Q3" s="23"/>
      <c r="R3" s="23"/>
      <c r="S3" s="27"/>
      <c r="T3" s="20">
        <v>30000</v>
      </c>
      <c r="U3" s="7"/>
      <c r="V3" s="23"/>
      <c r="W3" s="23"/>
      <c r="X3" s="27"/>
      <c r="Y3" s="20">
        <v>30000</v>
      </c>
      <c r="Z3" s="30">
        <f>IF($J3="","",ROUND(($J3-$J$3)/1000,1)+IF($J3&lt;30000,-10,_xlfn.SWITCH(FREQUENCY(($J3,$O3,$T3,$Y3),29900),3,30,2,_xlfn.SWITCH(_xlfn.RANK.EQ($J3,($J3,$O3,$T3,$Y3)),1,15,2,5),1,_xlfn.SWITCH(_xlfn.RANK.EQ($J3,($J3,$O3,$T3,$Y3)),1,7,2,2,3,1),0,0)))</f>
        <v>0</v>
      </c>
      <c r="AA3" s="31">
        <f>IF($O3="","",ROUND(($O3-$O$3)/1000,1)+IF($O3&lt;30000,-10,_xlfn.SWITCH(FREQUENCY(($J3,$O3,$T3,$Y3),29900),3,30,2,_xlfn.SWITCH(_xlfn.RANK.EQ($O3,($J3,$O3,$T3,$Y3)),1,15,2,5),1,_xlfn.SWITCH(_xlfn.RANK.EQ($O3,($J3,$O3,$T3,$Y3)),1,7,2,2,3,1),0,0)))</f>
        <v>0</v>
      </c>
      <c r="AB3" s="31">
        <f>IF($T3="","",ROUND(($T3-$T$3)/1000,1)+IF($T3&lt;30000,-10,_xlfn.SWITCH(FREQUENCY(($J3,$O3,$T3,$Y3),29900),3,30,2,_xlfn.SWITCH(_xlfn.RANK.EQ($T3,($J3,$O3,$T3,$Y3)),1,15,2,5),1,_xlfn.SWITCH(_xlfn.RANK.EQ($T3,($J3,$O3,$T3,$Y3)),1,7,2,2,3,1),0,0)))</f>
        <v>0</v>
      </c>
      <c r="AC3" s="32">
        <f>IF($Y3="","",ROUND(($Y3-$Y$3)/1000,1)+IF($Y3&lt;30000,-10,_xlfn.SWITCH(FREQUENCY(($J3,$O3,$T3,$Y3),29900),3,30,2,_xlfn.SWITCH(_xlfn.RANK.EQ($Y3,($J3,$O3,$T3,$Y3)),1,15,2,5),1,_xlfn.SWITCH(_xlfn.RANK.EQ($Y3,($J3,$O3,$T3,$Y3)),1,7,2,2,3,1),0,0)))</f>
        <v>0</v>
      </c>
    </row>
    <row r="4" spans="1:29" x14ac:dyDescent="0.4">
      <c r="A4" s="13" t="s">
        <v>21</v>
      </c>
      <c r="B4" s="18">
        <v>1</v>
      </c>
      <c r="C4" s="18">
        <v>0</v>
      </c>
      <c r="D4" s="18">
        <v>0</v>
      </c>
      <c r="E4" s="4" t="s">
        <v>24</v>
      </c>
      <c r="F4" s="8" t="s">
        <v>32</v>
      </c>
      <c r="G4" s="9">
        <v>2700</v>
      </c>
      <c r="H4" s="9"/>
      <c r="I4" s="28">
        <v>0</v>
      </c>
      <c r="J4" s="21">
        <f>IF(COUNTA($F4,$K4,$P4,$U4)&gt;0,J3+SUM(G4:I4),"")</f>
        <v>32700</v>
      </c>
      <c r="K4" s="8" t="s">
        <v>31</v>
      </c>
      <c r="L4" s="9">
        <v>-1300</v>
      </c>
      <c r="M4" s="9"/>
      <c r="N4" s="28">
        <v>0</v>
      </c>
      <c r="O4" s="21">
        <f>IF(COUNTA($F4,$K4,$P4,$U4)&gt;0,O3+SUM(L4:N4),"")</f>
        <v>28700</v>
      </c>
      <c r="P4" s="8" t="s">
        <v>31</v>
      </c>
      <c r="Q4" s="9">
        <v>-700</v>
      </c>
      <c r="R4" s="9"/>
      <c r="S4" s="28">
        <v>0</v>
      </c>
      <c r="T4" s="21">
        <f>IF(COUNTA($F4,$K4,$P4,$U4)&gt;0,T3+SUM(Q4:S4),"")</f>
        <v>29300</v>
      </c>
      <c r="U4" s="8" t="s">
        <v>31</v>
      </c>
      <c r="V4" s="9">
        <v>-700</v>
      </c>
      <c r="W4" s="9"/>
      <c r="X4" s="28">
        <v>0</v>
      </c>
      <c r="Y4" s="21">
        <f>IF(COUNTA($F4,$K4,$P4,$U4)&gt;0,Y3+SUM(V4:X4),"")</f>
        <v>29300</v>
      </c>
      <c r="Z4" s="33">
        <f>IF($J4="","",ROUND(($J4-$J$3)/1000,1)+IF($J4&lt;30000,-10,_xlfn.SWITCH(FREQUENCY(($J4,$O4,$T4,$Y4),29900),3,30,2,_xlfn.SWITCH(_xlfn.RANK.EQ($J4,($J4,$O4,$T4,$Y4)),1,15,2,5),1,_xlfn.SWITCH(_xlfn.RANK.EQ($J4,($J4,$O4,$T4,$Y4)),1,7,2,2,3,1),0,0)))</f>
        <v>32.700000000000003</v>
      </c>
      <c r="AA4" s="34">
        <f>IF($O4="","",ROUND(($O4-$O$3)/1000,1)+IF($O4&lt;30000,-10,_xlfn.SWITCH(FREQUENCY(($J4,$O4,$T4,$Y4),29900),3,30,2,_xlfn.SWITCH(_xlfn.RANK.EQ($O4,($J4,$O4,$T4,$Y4)),1,15,2,5),1,_xlfn.SWITCH(_xlfn.RANK.EQ($O4,($J4,$O4,$T4,$Y4)),1,7,2,2,3,1),0,0)))</f>
        <v>-11.3</v>
      </c>
      <c r="AB4" s="34">
        <f>IF($T4="","",ROUND(($T4-$T$3)/1000,1)+IF($T4&lt;30000,-10,_xlfn.SWITCH(FREQUENCY(($J4,$O4,$T4,$Y4),29900),3,30,2,_xlfn.SWITCH(_xlfn.RANK.EQ($T4,($J4,$O4,$T4,$Y4)),1,15,2,5),1,_xlfn.SWITCH(_xlfn.RANK.EQ($T4,($J4,$O4,$T4,$Y4)),1,7,2,2,3,1),0,0)))</f>
        <v>-10.7</v>
      </c>
      <c r="AC4" s="35">
        <f>IF($Y4="","",ROUND(($Y4-$Y$3)/1000,1)+IF($Y4&lt;30000,-10,_xlfn.SWITCH(FREQUENCY(($J4,$O4,$T4,$Y4),29900),3,30,2,_xlfn.SWITCH(_xlfn.RANK.EQ($Y4,($J4,$O4,$T4,$Y4)),1,15,2,5),1,_xlfn.SWITCH(_xlfn.RANK.EQ($Y4,($J4,$O4,$T4,$Y4)),1,7,2,2,3,1),0,0)))</f>
        <v>-10.7</v>
      </c>
    </row>
    <row r="5" spans="1:29" x14ac:dyDescent="0.4">
      <c r="A5" s="13" t="str">
        <f t="shared" ref="A5:A9" si="0">IF($E5="","",IF(AND(B4=4,B5=1),_xlfn.SWITCH(A4,"東","南","南","西","西","北","北","東"),A4))</f>
        <v>東</v>
      </c>
      <c r="B5" s="18">
        <f>IF($E5="","",IF($E4=$E5,B4,IF(B4=4,1,B4+1)))</f>
        <v>2</v>
      </c>
      <c r="C5" s="18">
        <f>IF($E5="","",IF($F4="チョンボ",C4,IF(OR($E4=$E5,$F4="流局"),C4+1,0)))</f>
        <v>0</v>
      </c>
      <c r="D5" s="18">
        <f>IF($E5="","",IF(OR($F4="流局",$F4="チョンボ"),D4+($H4+$M4+$R4+$W4)/-1000,0))</f>
        <v>0</v>
      </c>
      <c r="E5" s="4" t="s">
        <v>26</v>
      </c>
      <c r="F5" s="8"/>
      <c r="G5" s="9"/>
      <c r="H5" s="9"/>
      <c r="I5" s="28"/>
      <c r="J5" s="21">
        <f t="shared" ref="J5:J30" si="1">IF(COUNTA($F5,$K5,$P5,$U5)&gt;0,J4+SUM(G5:I5),"")</f>
        <v>32700</v>
      </c>
      <c r="K5" s="8"/>
      <c r="L5" s="9"/>
      <c r="M5" s="9"/>
      <c r="N5" s="28"/>
      <c r="O5" s="21">
        <f t="shared" ref="O5:O30" si="2">IF(COUNTA($F5,$K5,$P5,$U5)&gt;0,O4+SUM(L5:N5),"")</f>
        <v>28700</v>
      </c>
      <c r="P5" s="8" t="s">
        <v>33</v>
      </c>
      <c r="Q5" s="9">
        <v>2900</v>
      </c>
      <c r="R5" s="9"/>
      <c r="S5" s="28">
        <v>0</v>
      </c>
      <c r="T5" s="21">
        <f t="shared" ref="T5:T30" si="3">IF(COUNTA($F5,$K5,$P5,$U5)&gt;0,T4+SUM(Q5:S5),"")</f>
        <v>32200</v>
      </c>
      <c r="U5" s="8" t="s">
        <v>34</v>
      </c>
      <c r="V5" s="9">
        <v>-2900</v>
      </c>
      <c r="W5" s="9"/>
      <c r="X5" s="28">
        <v>0</v>
      </c>
      <c r="Y5" s="21">
        <f t="shared" ref="Y5:Y30" si="4">IF(COUNTA($F5,$K5,$P5,$U5)&gt;0,Y4+SUM(V5:X5),"")</f>
        <v>26400</v>
      </c>
      <c r="Z5" s="33">
        <f>IF($J5="","",ROUND(($J5-$J$3)/1000,1)+IF($J5&lt;30000,-10,_xlfn.SWITCH(FREQUENCY(($J5,$O5,$T5,$Y5),29900),3,30,2,_xlfn.SWITCH(_xlfn.RANK.EQ($J5,($J5,$O5,$T5,$Y5)),1,15,2,5),1,_xlfn.SWITCH(_xlfn.RANK.EQ($J5,($J5,$O5,$T5,$Y5)),1,7,2,2,3,1),0,0)))</f>
        <v>17.7</v>
      </c>
      <c r="AA5" s="34">
        <f>IF($O5="","",ROUND(($O5-$O$3)/1000,1)+IF($O5&lt;30000,-10,_xlfn.SWITCH(FREQUENCY(($J5,$O5,$T5,$Y5),29900),3,30,2,_xlfn.SWITCH(_xlfn.RANK.EQ($O5,($J5,$O5,$T5,$Y5)),1,15,2,5),1,_xlfn.SWITCH(_xlfn.RANK.EQ($O5,($J5,$O5,$T5,$Y5)),1,7,2,2,3,1),0,0)))</f>
        <v>-11.3</v>
      </c>
      <c r="AB5" s="34">
        <f>IF($T5="","",ROUND(($T5-$T$3)/1000,1)+IF($T5&lt;30000,-10,_xlfn.SWITCH(FREQUENCY(($J5,$O5,$T5,$Y5),29900),3,30,2,_xlfn.SWITCH(_xlfn.RANK.EQ($T5,($J5,$O5,$T5,$Y5)),1,15,2,5),1,_xlfn.SWITCH(_xlfn.RANK.EQ($T5,($J5,$O5,$T5,$Y5)),1,7,2,2,3,1),0,0)))</f>
        <v>7.2</v>
      </c>
      <c r="AC5" s="35">
        <f>IF($Y5="","",ROUND(($Y5-$Y$3)/1000,1)+IF($Y5&lt;30000,-10,_xlfn.SWITCH(FREQUENCY(($J5,$O5,$T5,$Y5),29900),3,30,2,_xlfn.SWITCH(_xlfn.RANK.EQ($Y5,($J5,$O5,$T5,$Y5)),1,15,2,5),1,_xlfn.SWITCH(_xlfn.RANK.EQ($Y5,($J5,$O5,$T5,$Y5)),1,7,2,2,3,1),0,0)))</f>
        <v>-13.6</v>
      </c>
    </row>
    <row r="6" spans="1:29" x14ac:dyDescent="0.4">
      <c r="A6" s="13" t="str">
        <f t="shared" si="0"/>
        <v>東</v>
      </c>
      <c r="B6" s="18">
        <f t="shared" ref="B6:B30" si="5">IF($E6="","",IF($E5=$E6,B5,IF(B5=4,1,B5+1)))</f>
        <v>2</v>
      </c>
      <c r="C6" s="18">
        <f t="shared" ref="C6:C30" si="6">IF($E6="","",IF($F5="チョンボ",C5,IF(OR($E5=$E6,$F5="流局"),C5+1,0)))</f>
        <v>1</v>
      </c>
      <c r="D6" s="18">
        <f t="shared" ref="D6:D30" si="7">IF($E6="","",IF(OR($F5="流局",$F5="チョンボ"),D5+($H5+$M5+$R5+$W5)/-1000,0))</f>
        <v>0</v>
      </c>
      <c r="E6" s="4" t="s">
        <v>26</v>
      </c>
      <c r="F6" s="8" t="s">
        <v>31</v>
      </c>
      <c r="G6" s="9">
        <v>-700</v>
      </c>
      <c r="H6" s="9"/>
      <c r="I6" s="28">
        <v>-100</v>
      </c>
      <c r="J6" s="21">
        <f t="shared" si="1"/>
        <v>31900</v>
      </c>
      <c r="K6" s="8" t="s">
        <v>32</v>
      </c>
      <c r="L6" s="9">
        <v>2700</v>
      </c>
      <c r="M6" s="9"/>
      <c r="N6" s="28">
        <v>300</v>
      </c>
      <c r="O6" s="21">
        <f t="shared" si="2"/>
        <v>31700</v>
      </c>
      <c r="P6" s="8" t="s">
        <v>31</v>
      </c>
      <c r="Q6" s="9">
        <v>-1300</v>
      </c>
      <c r="R6" s="9"/>
      <c r="S6" s="28">
        <v>-100</v>
      </c>
      <c r="T6" s="21">
        <f t="shared" si="3"/>
        <v>30800</v>
      </c>
      <c r="U6" s="8" t="s">
        <v>31</v>
      </c>
      <c r="V6" s="9">
        <v>-700</v>
      </c>
      <c r="W6" s="9"/>
      <c r="X6" s="28">
        <v>-100</v>
      </c>
      <c r="Y6" s="21">
        <f t="shared" si="4"/>
        <v>25600</v>
      </c>
      <c r="Z6" s="33">
        <f>IF($J6="","",ROUND(($J6-$J$3)/1000,1)+IF($J6&lt;30000,-10,_xlfn.SWITCH(FREQUENCY(($J6,$O6,$T6,$Y6),29900),3,30,2,_xlfn.SWITCH(_xlfn.RANK.EQ($J6,($J6,$O6,$T6,$Y6)),1,15,2,5),1,_xlfn.SWITCH(_xlfn.RANK.EQ($J6,($J6,$O6,$T6,$Y6)),1,7,2,2,3,1),0,0)))</f>
        <v>8.9</v>
      </c>
      <c r="AA6" s="34">
        <f>IF($O6="","",ROUND(($O6-$O$3)/1000,1)+IF($O6&lt;30000,-10,_xlfn.SWITCH(FREQUENCY(($J6,$O6,$T6,$Y6),29900),3,30,2,_xlfn.SWITCH(_xlfn.RANK.EQ($O6,($J6,$O6,$T6,$Y6)),1,15,2,5),1,_xlfn.SWITCH(_xlfn.RANK.EQ($O6,($J6,$O6,$T6,$Y6)),1,7,2,2,3,1),0,0)))</f>
        <v>3.7</v>
      </c>
      <c r="AB6" s="34">
        <f>IF($T6="","",ROUND(($T6-$T$3)/1000,1)+IF($T6&lt;30000,-10,_xlfn.SWITCH(FREQUENCY(($J6,$O6,$T6,$Y6),29900),3,30,2,_xlfn.SWITCH(_xlfn.RANK.EQ($T6,($J6,$O6,$T6,$Y6)),1,15,2,5),1,_xlfn.SWITCH(_xlfn.RANK.EQ($T6,($J6,$O6,$T6,$Y6)),1,7,2,2,3,1),0,0)))</f>
        <v>1.8</v>
      </c>
      <c r="AC6" s="35">
        <f>IF($Y6="","",ROUND(($Y6-$Y$3)/1000,1)+IF($Y6&lt;30000,-10,_xlfn.SWITCH(FREQUENCY(($J6,$O6,$T6,$Y6),29900),3,30,2,_xlfn.SWITCH(_xlfn.RANK.EQ($Y6,($J6,$O6,$T6,$Y6)),1,15,2,5),1,_xlfn.SWITCH(_xlfn.RANK.EQ($Y6,($J6,$O6,$T6,$Y6)),1,7,2,2,3,1),0,0)))</f>
        <v>-14.4</v>
      </c>
    </row>
    <row r="7" spans="1:29" x14ac:dyDescent="0.4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7"/>
        <v>0</v>
      </c>
      <c r="E7" s="4" t="s">
        <v>28</v>
      </c>
      <c r="F7" s="8" t="s">
        <v>35</v>
      </c>
      <c r="G7" s="9">
        <v>1000</v>
      </c>
      <c r="H7" s="9"/>
      <c r="I7" s="28"/>
      <c r="J7" s="21">
        <f t="shared" si="1"/>
        <v>32900</v>
      </c>
      <c r="K7" s="8" t="s">
        <v>35</v>
      </c>
      <c r="L7" s="9">
        <v>1000</v>
      </c>
      <c r="M7" s="9"/>
      <c r="N7" s="28"/>
      <c r="O7" s="21">
        <f t="shared" si="2"/>
        <v>32700</v>
      </c>
      <c r="P7" s="8" t="s">
        <v>35</v>
      </c>
      <c r="Q7" s="9">
        <v>-3000</v>
      </c>
      <c r="R7" s="9"/>
      <c r="S7" s="28"/>
      <c r="T7" s="21">
        <f t="shared" si="3"/>
        <v>27800</v>
      </c>
      <c r="U7" s="8" t="s">
        <v>35</v>
      </c>
      <c r="V7" s="9">
        <v>1000</v>
      </c>
      <c r="W7" s="9"/>
      <c r="X7" s="28"/>
      <c r="Y7" s="21">
        <f t="shared" si="4"/>
        <v>26600</v>
      </c>
      <c r="Z7" s="33">
        <f>IF($J7="","",ROUND(($J7-$J$3)/1000,1)+IF($J7&lt;30000,-10,_xlfn.SWITCH(FREQUENCY(($J7,$O7,$T7,$Y7),29900),3,30,2,_xlfn.SWITCH(_xlfn.RANK.EQ($J7,($J7,$O7,$T7,$Y7)),1,15,2,5),1,_xlfn.SWITCH(_xlfn.RANK.EQ($J7,($J7,$O7,$T7,$Y7)),1,7,2,2,3,1),0,0)))</f>
        <v>17.899999999999999</v>
      </c>
      <c r="AA7" s="34">
        <f>IF($O7="","",ROUND(($O7-$O$3)/1000,1)+IF($O7&lt;30000,-10,_xlfn.SWITCH(FREQUENCY(($J7,$O7,$T7,$Y7),29900),3,30,2,_xlfn.SWITCH(_xlfn.RANK.EQ($O7,($J7,$O7,$T7,$Y7)),1,15,2,5),1,_xlfn.SWITCH(_xlfn.RANK.EQ($O7,($J7,$O7,$T7,$Y7)),1,7,2,2,3,1),0,0)))</f>
        <v>7.7</v>
      </c>
      <c r="AB7" s="34">
        <f>IF($T7="","",ROUND(($T7-$T$3)/1000,1)+IF($T7&lt;30000,-10,_xlfn.SWITCH(FREQUENCY(($J7,$O7,$T7,$Y7),29900),3,30,2,_xlfn.SWITCH(_xlfn.RANK.EQ($T7,($J7,$O7,$T7,$Y7)),1,15,2,5),1,_xlfn.SWITCH(_xlfn.RANK.EQ($T7,($J7,$O7,$T7,$Y7)),1,7,2,2,3,1),0,0)))</f>
        <v>-12.2</v>
      </c>
      <c r="AC7" s="35">
        <f>IF($Y7="","",ROUND(($Y7-$Y$3)/1000,1)+IF($Y7&lt;30000,-10,_xlfn.SWITCH(FREQUENCY(($J7,$O7,$T7,$Y7),29900),3,30,2,_xlfn.SWITCH(_xlfn.RANK.EQ($Y7,($J7,$O7,$T7,$Y7)),1,15,2,5),1,_xlfn.SWITCH(_xlfn.RANK.EQ($Y7,($J7,$O7,$T7,$Y7)),1,7,2,2,3,1),0,0)))</f>
        <v>-13.4</v>
      </c>
    </row>
    <row r="8" spans="1:29" x14ac:dyDescent="0.4">
      <c r="A8" s="13" t="str">
        <f t="shared" si="0"/>
        <v>東</v>
      </c>
      <c r="B8" s="18">
        <f t="shared" si="5"/>
        <v>3</v>
      </c>
      <c r="C8" s="18">
        <f t="shared" si="6"/>
        <v>1</v>
      </c>
      <c r="D8" s="18">
        <f>IF($E8="","",IF(OR($F7="流局",$F7="チョンボ"),D7+($H7+$M7+$R7+$W7)/-1000,0))</f>
        <v>0</v>
      </c>
      <c r="E8" s="4" t="s">
        <v>28</v>
      </c>
      <c r="F8" s="8" t="s">
        <v>35</v>
      </c>
      <c r="G8" s="9">
        <v>1000</v>
      </c>
      <c r="H8" s="9"/>
      <c r="I8" s="28"/>
      <c r="J8" s="21">
        <f t="shared" si="1"/>
        <v>33900</v>
      </c>
      <c r="K8" s="8" t="s">
        <v>35</v>
      </c>
      <c r="L8" s="9">
        <v>-3000</v>
      </c>
      <c r="M8" s="9"/>
      <c r="N8" s="28"/>
      <c r="O8" s="21">
        <f t="shared" si="2"/>
        <v>29700</v>
      </c>
      <c r="P8" s="8" t="s">
        <v>35</v>
      </c>
      <c r="Q8" s="9">
        <v>1000</v>
      </c>
      <c r="R8" s="9"/>
      <c r="S8" s="28"/>
      <c r="T8" s="21">
        <f t="shared" si="3"/>
        <v>28800</v>
      </c>
      <c r="U8" s="8" t="s">
        <v>35</v>
      </c>
      <c r="V8" s="9">
        <v>1000</v>
      </c>
      <c r="W8" s="9"/>
      <c r="X8" s="28"/>
      <c r="Y8" s="21">
        <f t="shared" si="4"/>
        <v>27600</v>
      </c>
      <c r="Z8" s="33">
        <f>IF($J8="","",ROUND(($J8-$J$3)/1000,1)+IF($J8&lt;30000,-10,_xlfn.SWITCH(FREQUENCY(($J8,$O8,$T8,$Y8),29900),3,30,2,_xlfn.SWITCH(_xlfn.RANK.EQ($J8,($J8,$O8,$T8,$Y8)),1,15,2,5),1,_xlfn.SWITCH(_xlfn.RANK.EQ($J8,($J8,$O8,$T8,$Y8)),1,7,2,2,3,1),0,0)))</f>
        <v>33.9</v>
      </c>
      <c r="AA8" s="34">
        <f>IF($O8="","",ROUND(($O8-$O$3)/1000,1)+IF($O8&lt;30000,-10,_xlfn.SWITCH(FREQUENCY(($J8,$O8,$T8,$Y8),29900),3,30,2,_xlfn.SWITCH(_xlfn.RANK.EQ($O8,($J8,$O8,$T8,$Y8)),1,15,2,5),1,_xlfn.SWITCH(_xlfn.RANK.EQ($O8,($J8,$O8,$T8,$Y8)),1,7,2,2,3,1),0,0)))</f>
        <v>-10.3</v>
      </c>
      <c r="AB8" s="34">
        <f>IF($T8="","",ROUND(($T8-$T$3)/1000,1)+IF($T8&lt;30000,-10,_xlfn.SWITCH(FREQUENCY(($J8,$O8,$T8,$Y8),29900),3,30,2,_xlfn.SWITCH(_xlfn.RANK.EQ($T8,($J8,$O8,$T8,$Y8)),1,15,2,5),1,_xlfn.SWITCH(_xlfn.RANK.EQ($T8,($J8,$O8,$T8,$Y8)),1,7,2,2,3,1),0,0)))</f>
        <v>-11.2</v>
      </c>
      <c r="AC8" s="35">
        <f>IF($Y8="","",ROUND(($Y8-$Y$3)/1000,1)+IF($Y8&lt;30000,-10,_xlfn.SWITCH(FREQUENCY(($J8,$O8,$T8,$Y8),29900),3,30,2,_xlfn.SWITCH(_xlfn.RANK.EQ($Y8,($J8,$O8,$T8,$Y8)),1,15,2,5),1,_xlfn.SWITCH(_xlfn.RANK.EQ($Y8,($J8,$O8,$T8,$Y8)),1,7,2,2,3,1),0,0)))</f>
        <v>-12.4</v>
      </c>
    </row>
    <row r="9" spans="1:29" x14ac:dyDescent="0.4">
      <c r="A9" s="13" t="str">
        <f t="shared" si="0"/>
        <v>東</v>
      </c>
      <c r="B9" s="18">
        <f t="shared" si="5"/>
        <v>3</v>
      </c>
      <c r="C9" s="18">
        <f t="shared" si="6"/>
        <v>2</v>
      </c>
      <c r="D9" s="18">
        <f t="shared" si="7"/>
        <v>0</v>
      </c>
      <c r="E9" s="4" t="s">
        <v>28</v>
      </c>
      <c r="F9" s="8"/>
      <c r="G9" s="9"/>
      <c r="H9" s="9"/>
      <c r="I9" s="28"/>
      <c r="J9" s="21">
        <f t="shared" si="1"/>
        <v>33900</v>
      </c>
      <c r="K9" s="8" t="s">
        <v>33</v>
      </c>
      <c r="L9" s="9">
        <v>1000</v>
      </c>
      <c r="M9" s="9"/>
      <c r="N9" s="28">
        <v>600</v>
      </c>
      <c r="O9" s="21">
        <f t="shared" si="2"/>
        <v>31300</v>
      </c>
      <c r="P9" s="8" t="s">
        <v>34</v>
      </c>
      <c r="Q9" s="9">
        <v>-1000</v>
      </c>
      <c r="R9" s="9"/>
      <c r="S9" s="28">
        <v>-600</v>
      </c>
      <c r="T9" s="21">
        <f t="shared" si="3"/>
        <v>27200</v>
      </c>
      <c r="U9" s="8"/>
      <c r="V9" s="9"/>
      <c r="W9" s="9"/>
      <c r="X9" s="28"/>
      <c r="Y9" s="21">
        <f t="shared" si="4"/>
        <v>27600</v>
      </c>
      <c r="Z9" s="33">
        <f>IF($J9="","",ROUND(($J9-$J$3)/1000,1)+IF($J9&lt;30000,-10,_xlfn.SWITCH(FREQUENCY(($J9,$O9,$T9,$Y9),29900),3,30,2,_xlfn.SWITCH(_xlfn.RANK.EQ($J9,($J9,$O9,$T9,$Y9)),1,15,2,5),1,_xlfn.SWITCH(_xlfn.RANK.EQ($J9,($J9,$O9,$T9,$Y9)),1,7,2,2,3,1),0,0)))</f>
        <v>18.899999999999999</v>
      </c>
      <c r="AA9" s="34">
        <f>IF($O9="","",ROUND(($O9-$O$3)/1000,1)+IF($O9&lt;30000,-10,_xlfn.SWITCH(FREQUENCY(($J9,$O9,$T9,$Y9),29900),3,30,2,_xlfn.SWITCH(_xlfn.RANK.EQ($O9,($J9,$O9,$T9,$Y9)),1,15,2,5),1,_xlfn.SWITCH(_xlfn.RANK.EQ($O9,($J9,$O9,$T9,$Y9)),1,7,2,2,3,1),0,0)))</f>
        <v>6.3</v>
      </c>
      <c r="AB9" s="34">
        <f>IF($T9="","",ROUND(($T9-$T$3)/1000,1)+IF($T9&lt;30000,-10,_xlfn.SWITCH(FREQUENCY(($J9,$O9,$T9,$Y9),29900),3,30,2,_xlfn.SWITCH(_xlfn.RANK.EQ($T9,($J9,$O9,$T9,$Y9)),1,15,2,5),1,_xlfn.SWITCH(_xlfn.RANK.EQ($T9,($J9,$O9,$T9,$Y9)),1,7,2,2,3,1),0,0)))</f>
        <v>-12.8</v>
      </c>
      <c r="AC9" s="35">
        <f>IF($Y9="","",ROUND(($Y9-$Y$3)/1000,1)+IF($Y9&lt;30000,-10,_xlfn.SWITCH(FREQUENCY(($J9,$O9,$T9,$Y9),29900),3,30,2,_xlfn.SWITCH(_xlfn.RANK.EQ($Y9,($J9,$O9,$T9,$Y9)),1,15,2,5),1,_xlfn.SWITCH(_xlfn.RANK.EQ($Y9,($J9,$O9,$T9,$Y9)),1,7,2,2,3,1),0,0)))</f>
        <v>-12.4</v>
      </c>
    </row>
    <row r="10" spans="1:29" x14ac:dyDescent="0.4">
      <c r="A10" s="13" t="str">
        <f>IF($E10="","",IF(AND(B9=4,B10=1),_xlfn.SWITCH(A9,"東","南","南","西","西","北","北","東"),A9))</f>
        <v>東</v>
      </c>
      <c r="B10" s="18">
        <f t="shared" si="5"/>
        <v>4</v>
      </c>
      <c r="C10" s="18">
        <f t="shared" si="6"/>
        <v>0</v>
      </c>
      <c r="D10" s="18">
        <f t="shared" si="7"/>
        <v>0</v>
      </c>
      <c r="E10" s="4" t="s">
        <v>22</v>
      </c>
      <c r="F10" s="8"/>
      <c r="G10" s="9"/>
      <c r="H10" s="9"/>
      <c r="I10" s="28"/>
      <c r="J10" s="21">
        <f t="shared" si="1"/>
        <v>33900</v>
      </c>
      <c r="K10" s="8" t="s">
        <v>34</v>
      </c>
      <c r="L10" s="9">
        <v>-5200</v>
      </c>
      <c r="M10" s="9"/>
      <c r="N10" s="28">
        <v>0</v>
      </c>
      <c r="O10" s="21">
        <f t="shared" si="2"/>
        <v>26100</v>
      </c>
      <c r="P10" s="8" t="s">
        <v>33</v>
      </c>
      <c r="Q10" s="9">
        <v>5200</v>
      </c>
      <c r="R10" s="9"/>
      <c r="S10" s="28">
        <v>0</v>
      </c>
      <c r="T10" s="21">
        <f t="shared" si="3"/>
        <v>32400</v>
      </c>
      <c r="U10" s="8"/>
      <c r="V10" s="9"/>
      <c r="W10" s="9"/>
      <c r="X10" s="28"/>
      <c r="Y10" s="21">
        <f t="shared" si="4"/>
        <v>27600</v>
      </c>
      <c r="Z10" s="33">
        <f>IF($J10="","",ROUND(($J10-$J$3)/1000,1)+IF($J10&lt;30000,-10,_xlfn.SWITCH(FREQUENCY(($J10,$O10,$T10,$Y10),29900),3,30,2,_xlfn.SWITCH(_xlfn.RANK.EQ($J10,($J10,$O10,$T10,$Y10)),1,15,2,5),1,_xlfn.SWITCH(_xlfn.RANK.EQ($J10,($J10,$O10,$T10,$Y10)),1,7,2,2,3,1),0,0)))</f>
        <v>18.899999999999999</v>
      </c>
      <c r="AA10" s="34">
        <f>IF($O10="","",ROUND(($O10-$O$3)/1000,1)+IF($O10&lt;30000,-10,_xlfn.SWITCH(FREQUENCY(($J10,$O10,$T10,$Y10),29900),3,30,2,_xlfn.SWITCH(_xlfn.RANK.EQ($O10,($J10,$O10,$T10,$Y10)),1,15,2,5),1,_xlfn.SWITCH(_xlfn.RANK.EQ($O10,($J10,$O10,$T10,$Y10)),1,7,2,2,3,1),0,0)))</f>
        <v>-13.9</v>
      </c>
      <c r="AB10" s="34">
        <f>IF($T10="","",ROUND(($T10-$T$3)/1000,1)+IF($T10&lt;30000,-10,_xlfn.SWITCH(FREQUENCY(($J10,$O10,$T10,$Y10),29900),3,30,2,_xlfn.SWITCH(_xlfn.RANK.EQ($T10,($J10,$O10,$T10,$Y10)),1,15,2,5),1,_xlfn.SWITCH(_xlfn.RANK.EQ($T10,($J10,$O10,$T10,$Y10)),1,7,2,2,3,1),0,0)))</f>
        <v>7.4</v>
      </c>
      <c r="AC10" s="35">
        <f>IF($Y10="","",ROUND(($Y10-$Y$3)/1000,1)+IF($Y10&lt;30000,-10,_xlfn.SWITCH(FREQUENCY(($J10,$O10,$T10,$Y10),29900),3,30,2,_xlfn.SWITCH(_xlfn.RANK.EQ($Y10,($J10,$O10,$T10,$Y10)),1,15,2,5),1,_xlfn.SWITCH(_xlfn.RANK.EQ($Y10,($J10,$O10,$T10,$Y10)),1,7,2,2,3,1),0,0)))</f>
        <v>-12.4</v>
      </c>
    </row>
    <row r="11" spans="1:29" x14ac:dyDescent="0.4">
      <c r="A11" s="13" t="str">
        <f t="shared" ref="A11:A30" si="8">IF($E11="","",IF(AND(B10=4,B11=1),_xlfn.SWITCH(A10,"東","南","南","西","西","北","北","東"),A10))</f>
        <v>南</v>
      </c>
      <c r="B11" s="18">
        <f t="shared" si="5"/>
        <v>1</v>
      </c>
      <c r="C11" s="18">
        <f t="shared" si="6"/>
        <v>0</v>
      </c>
      <c r="D11" s="18">
        <f t="shared" si="7"/>
        <v>0</v>
      </c>
      <c r="E11" s="4" t="s">
        <v>24</v>
      </c>
      <c r="F11" s="8"/>
      <c r="G11" s="9"/>
      <c r="H11" s="9"/>
      <c r="I11" s="28"/>
      <c r="J11" s="21" t="str">
        <f t="shared" si="1"/>
        <v/>
      </c>
      <c r="K11" s="8"/>
      <c r="L11" s="9"/>
      <c r="M11" s="9"/>
      <c r="N11" s="28"/>
      <c r="O11" s="21" t="str">
        <f t="shared" si="2"/>
        <v/>
      </c>
      <c r="P11" s="8"/>
      <c r="Q11" s="9"/>
      <c r="R11" s="9"/>
      <c r="S11" s="28"/>
      <c r="T11" s="21" t="str">
        <f t="shared" si="3"/>
        <v/>
      </c>
      <c r="U11" s="8"/>
      <c r="V11" s="9"/>
      <c r="W11" s="9"/>
      <c r="X11" s="28"/>
      <c r="Y11" s="21" t="str">
        <f t="shared" si="4"/>
        <v/>
      </c>
      <c r="Z11" s="33" t="str">
        <f>IF($J11="","",ROUND(($J11-$J$3)/1000,1)+IF($J11&lt;30000,-10,_xlfn.SWITCH(FREQUENCY(($J11,$O11,$T11,$Y11),29900),3,30,2,_xlfn.SWITCH(_xlfn.RANK.EQ($J11,($J11,$O11,$T11,$Y11)),1,15,2,5),1,_xlfn.SWITCH(_xlfn.RANK.EQ($J11,($J11,$O11,$T11,$Y11)),1,7,2,2,3,1),0,0)))</f>
        <v/>
      </c>
      <c r="AA11" s="34" t="str">
        <f>IF($O11="","",ROUND(($O11-$O$3)/1000,1)+IF($O11&lt;30000,-10,_xlfn.SWITCH(FREQUENCY(($J11,$O11,$T11,$Y11),29900),3,30,2,_xlfn.SWITCH(_xlfn.RANK.EQ($O11,($J11,$O11,$T11,$Y11)),1,15,2,5),1,_xlfn.SWITCH(_xlfn.RANK.EQ($O11,($J11,$O11,$T11,$Y11)),1,7,2,2,3,1),0,0)))</f>
        <v/>
      </c>
      <c r="AB11" s="34" t="str">
        <f>IF($T11="","",ROUND(($T11-$T$3)/1000,1)+IF($T11&lt;30000,-10,_xlfn.SWITCH(FREQUENCY(($J11,$O11,$T11,$Y11),29900),3,30,2,_xlfn.SWITCH(_xlfn.RANK.EQ($T11,($J11,$O11,$T11,$Y11)),1,15,2,5),1,_xlfn.SWITCH(_xlfn.RANK.EQ($T11,($J11,$O11,$T11,$Y11)),1,7,2,2,3,1),0,0)))</f>
        <v/>
      </c>
      <c r="AC11" s="35" t="str">
        <f>IF($Y11="","",ROUND(($Y11-$Y$3)/1000,1)+IF($Y11&lt;30000,-10,_xlfn.SWITCH(FREQUENCY(($J11,$O11,$T11,$Y11),29900),3,30,2,_xlfn.SWITCH(_xlfn.RANK.EQ($Y11,($J11,$O11,$T11,$Y11)),1,15,2,5),1,_xlfn.SWITCH(_xlfn.RANK.EQ($Y11,($J11,$O11,$T11,$Y11)),1,7,2,2,3,1),0,0)))</f>
        <v/>
      </c>
    </row>
    <row r="12" spans="1:29" x14ac:dyDescent="0.4">
      <c r="A12" s="13" t="str">
        <f t="shared" si="8"/>
        <v/>
      </c>
      <c r="B12" s="18" t="str">
        <f t="shared" si="5"/>
        <v/>
      </c>
      <c r="C12" s="18" t="str">
        <f t="shared" si="6"/>
        <v/>
      </c>
      <c r="D12" s="18" t="str">
        <f t="shared" si="7"/>
        <v/>
      </c>
      <c r="E12" s="4"/>
      <c r="F12" s="8"/>
      <c r="G12" s="9"/>
      <c r="H12" s="9"/>
      <c r="I12" s="28"/>
      <c r="J12" s="21" t="str">
        <f t="shared" si="1"/>
        <v/>
      </c>
      <c r="K12" s="8"/>
      <c r="L12" s="9"/>
      <c r="M12" s="9"/>
      <c r="N12" s="28"/>
      <c r="O12" s="21" t="str">
        <f t="shared" si="2"/>
        <v/>
      </c>
      <c r="P12" s="8"/>
      <c r="Q12" s="9"/>
      <c r="R12" s="9"/>
      <c r="S12" s="28"/>
      <c r="T12" s="21" t="str">
        <f t="shared" si="3"/>
        <v/>
      </c>
      <c r="U12" s="8"/>
      <c r="V12" s="9"/>
      <c r="W12" s="9"/>
      <c r="X12" s="28"/>
      <c r="Y12" s="21" t="str">
        <f t="shared" si="4"/>
        <v/>
      </c>
      <c r="Z12" s="33" t="str">
        <f>IF($J12="","",ROUND(($J12-$J$3)/1000,1)+IF($J12&lt;30000,-10,_xlfn.SWITCH(FREQUENCY(($J12,$O12,$T12,$Y12),29900),3,30,2,_xlfn.SWITCH(_xlfn.RANK.EQ($J12,($J12,$O12,$T12,$Y12)),1,15,2,5),1,_xlfn.SWITCH(_xlfn.RANK.EQ($J12,($J12,$O12,$T12,$Y12)),1,7,2,2,3,1),0,0)))</f>
        <v/>
      </c>
      <c r="AA12" s="34" t="str">
        <f>IF($O12="","",ROUND(($O12-$O$3)/1000,1)+IF($O12&lt;30000,-10,_xlfn.SWITCH(FREQUENCY(($J12,$O12,$T12,$Y12),29900),3,30,2,_xlfn.SWITCH(_xlfn.RANK.EQ($O12,($J12,$O12,$T12,$Y12)),1,15,2,5),1,_xlfn.SWITCH(_xlfn.RANK.EQ($O12,($J12,$O12,$T12,$Y12)),1,7,2,2,3,1),0,0)))</f>
        <v/>
      </c>
      <c r="AB12" s="34" t="str">
        <f>IF($T12="","",ROUND(($T12-$T$3)/1000,1)+IF($T12&lt;30000,-10,_xlfn.SWITCH(FREQUENCY(($J12,$O12,$T12,$Y12),29900),3,30,2,_xlfn.SWITCH(_xlfn.RANK.EQ($T12,($J12,$O12,$T12,$Y12)),1,15,2,5),1,_xlfn.SWITCH(_xlfn.RANK.EQ($T12,($J12,$O12,$T12,$Y12)),1,7,2,2,3,1),0,0)))</f>
        <v/>
      </c>
      <c r="AC12" s="35" t="str">
        <f>IF($Y12="","",ROUND(($Y12-$Y$3)/1000,1)+IF($Y12&lt;30000,-10,_xlfn.SWITCH(FREQUENCY(($J12,$O12,$T12,$Y12),29900),3,30,2,_xlfn.SWITCH(_xlfn.RANK.EQ($Y12,($J12,$O12,$T12,$Y12)),1,15,2,5),1,_xlfn.SWITCH(_xlfn.RANK.EQ($Y12,($J12,$O12,$T12,$Y12)),1,7,2,2,3,1),0,0)))</f>
        <v/>
      </c>
    </row>
    <row r="13" spans="1:29" x14ac:dyDescent="0.4">
      <c r="A13" s="13" t="str">
        <f t="shared" si="8"/>
        <v/>
      </c>
      <c r="B13" s="18" t="str">
        <f t="shared" si="5"/>
        <v/>
      </c>
      <c r="C13" s="18" t="str">
        <f t="shared" si="6"/>
        <v/>
      </c>
      <c r="D13" s="18" t="str">
        <f t="shared" si="7"/>
        <v/>
      </c>
      <c r="E13" s="4"/>
      <c r="F13" s="8"/>
      <c r="G13" s="9"/>
      <c r="H13" s="9"/>
      <c r="I13" s="28"/>
      <c r="J13" s="21" t="str">
        <f t="shared" si="1"/>
        <v/>
      </c>
      <c r="K13" s="8"/>
      <c r="L13" s="9"/>
      <c r="M13" s="9"/>
      <c r="N13" s="28"/>
      <c r="O13" s="21" t="str">
        <f t="shared" si="2"/>
        <v/>
      </c>
      <c r="P13" s="8"/>
      <c r="Q13" s="9"/>
      <c r="R13" s="9"/>
      <c r="S13" s="28"/>
      <c r="T13" s="21" t="str">
        <f t="shared" si="3"/>
        <v/>
      </c>
      <c r="U13" s="8"/>
      <c r="V13" s="9"/>
      <c r="W13" s="9"/>
      <c r="X13" s="28"/>
      <c r="Y13" s="21" t="str">
        <f t="shared" si="4"/>
        <v/>
      </c>
      <c r="Z13" s="33" t="str">
        <f>IF($J13="","",ROUND(($J13-$J$3)/1000,1)+IF($J13&lt;30000,-10,_xlfn.SWITCH(FREQUENCY(($J13,$O13,$T13,$Y13),29900),3,30,2,_xlfn.SWITCH(_xlfn.RANK.EQ($J13,($J13,$O13,$T13,$Y13)),1,15,2,5),1,_xlfn.SWITCH(_xlfn.RANK.EQ($J13,($J13,$O13,$T13,$Y13)),1,7,2,2,3,1),0,0)))</f>
        <v/>
      </c>
      <c r="AA13" s="34" t="str">
        <f>IF($O13="","",ROUND(($O13-$O$3)/1000,1)+IF($O13&lt;30000,-10,_xlfn.SWITCH(FREQUENCY(($J13,$O13,$T13,$Y13),29900),3,30,2,_xlfn.SWITCH(_xlfn.RANK.EQ($O13,($J13,$O13,$T13,$Y13)),1,15,2,5),1,_xlfn.SWITCH(_xlfn.RANK.EQ($O13,($J13,$O13,$T13,$Y13)),1,7,2,2,3,1),0,0)))</f>
        <v/>
      </c>
      <c r="AB13" s="34" t="str">
        <f>IF($T13="","",ROUND(($T13-$T$3)/1000,1)+IF($T13&lt;30000,-10,_xlfn.SWITCH(FREQUENCY(($J13,$O13,$T13,$Y13),29900),3,30,2,_xlfn.SWITCH(_xlfn.RANK.EQ($T13,($J13,$O13,$T13,$Y13)),1,15,2,5),1,_xlfn.SWITCH(_xlfn.RANK.EQ($T13,($J13,$O13,$T13,$Y13)),1,7,2,2,3,1),0,0)))</f>
        <v/>
      </c>
      <c r="AC13" s="35" t="str">
        <f>IF($Y13="","",ROUND(($Y13-$Y$3)/1000,1)+IF($Y13&lt;30000,-10,_xlfn.SWITCH(FREQUENCY(($J13,$O13,$T13,$Y13),29900),3,30,2,_xlfn.SWITCH(_xlfn.RANK.EQ($Y13,($J13,$O13,$T13,$Y13)),1,15,2,5),1,_xlfn.SWITCH(_xlfn.RANK.EQ($Y13,($J13,$O13,$T13,$Y13)),1,7,2,2,3,1),0,0)))</f>
        <v/>
      </c>
    </row>
    <row r="14" spans="1:29" x14ac:dyDescent="0.4">
      <c r="A14" s="13" t="str">
        <f t="shared" si="8"/>
        <v/>
      </c>
      <c r="B14" s="18" t="str">
        <f t="shared" si="5"/>
        <v/>
      </c>
      <c r="C14" s="18" t="str">
        <f t="shared" si="6"/>
        <v/>
      </c>
      <c r="D14" s="18" t="str">
        <f t="shared" si="7"/>
        <v/>
      </c>
      <c r="E14" s="4"/>
      <c r="F14" s="8"/>
      <c r="G14" s="9"/>
      <c r="H14" s="9"/>
      <c r="I14" s="28"/>
      <c r="J14" s="21" t="str">
        <f t="shared" si="1"/>
        <v/>
      </c>
      <c r="K14" s="8"/>
      <c r="L14" s="9"/>
      <c r="M14" s="9"/>
      <c r="N14" s="28"/>
      <c r="O14" s="21" t="str">
        <f t="shared" si="2"/>
        <v/>
      </c>
      <c r="P14" s="8"/>
      <c r="Q14" s="9"/>
      <c r="R14" s="9"/>
      <c r="S14" s="28"/>
      <c r="T14" s="21" t="str">
        <f t="shared" si="3"/>
        <v/>
      </c>
      <c r="U14" s="8"/>
      <c r="V14" s="9"/>
      <c r="W14" s="9"/>
      <c r="X14" s="28"/>
      <c r="Y14" s="21" t="str">
        <f>IF(COUNTA($F14,$K14,$P14,$U14)&gt;0,Y13+SUM(V14:X14),"")</f>
        <v/>
      </c>
      <c r="Z14" s="33" t="str">
        <f>IF($J14="","",ROUND(($J14-$J$3)/1000,1)+IF($J14&lt;30000,-10,_xlfn.SWITCH(FREQUENCY(($J14,$O14,$T14,$Y14),29900),3,30,2,_xlfn.SWITCH(_xlfn.RANK.EQ($J14,($J14,$O14,$T14,$Y14)),1,15,2,5),1,_xlfn.SWITCH(_xlfn.RANK.EQ($J14,($J14,$O14,$T14,$Y14)),1,7,2,2,3,1),0,0)))</f>
        <v/>
      </c>
      <c r="AA14" s="34" t="str">
        <f>IF($O14="","",ROUND(($O14-$O$3)/1000,1)+IF($O14&lt;30000,-10,_xlfn.SWITCH(FREQUENCY(($J14,$O14,$T14,$Y14),29900),3,30,2,_xlfn.SWITCH(_xlfn.RANK.EQ($O14,($J14,$O14,$T14,$Y14)),1,15,2,5),1,_xlfn.SWITCH(_xlfn.RANK.EQ($O14,($J14,$O14,$T14,$Y14)),1,7,2,2,3,1),0,0)))</f>
        <v/>
      </c>
      <c r="AB14" s="34" t="str">
        <f>IF($T14="","",ROUND(($T14-$T$3)/1000,1)+IF($T14&lt;30000,-10,_xlfn.SWITCH(FREQUENCY(($J14,$O14,$T14,$Y14),29900),3,30,2,_xlfn.SWITCH(_xlfn.RANK.EQ($T14,($J14,$O14,$T14,$Y14)),1,15,2,5),1,_xlfn.SWITCH(_xlfn.RANK.EQ($T14,($J14,$O14,$T14,$Y14)),1,7,2,2,3,1),0,0)))</f>
        <v/>
      </c>
      <c r="AC14" s="35" t="str">
        <f>IF($Y14="","",ROUND(($Y14-$Y$3)/1000,1)+IF($Y14&lt;30000,-10,_xlfn.SWITCH(FREQUENCY(($J14,$O14,$T14,$Y14),29900),3,30,2,_xlfn.SWITCH(_xlfn.RANK.EQ($Y14,($J14,$O14,$T14,$Y14)),1,15,2,5),1,_xlfn.SWITCH(_xlfn.RANK.EQ($Y14,($J14,$O14,$T14,$Y14)),1,7,2,2,3,1),0,0)))</f>
        <v/>
      </c>
    </row>
    <row r="15" spans="1:29" x14ac:dyDescent="0.4">
      <c r="A15" s="13" t="str">
        <f t="shared" si="8"/>
        <v/>
      </c>
      <c r="B15" s="18" t="str">
        <f t="shared" si="5"/>
        <v/>
      </c>
      <c r="C15" s="18" t="str">
        <f t="shared" si="6"/>
        <v/>
      </c>
      <c r="D15" s="18" t="str">
        <f t="shared" si="7"/>
        <v/>
      </c>
      <c r="E15" s="4"/>
      <c r="F15" s="8"/>
      <c r="G15" s="9"/>
      <c r="H15" s="9"/>
      <c r="I15" s="28"/>
      <c r="J15" s="21" t="str">
        <f t="shared" si="1"/>
        <v/>
      </c>
      <c r="K15" s="8"/>
      <c r="L15" s="9"/>
      <c r="M15" s="9"/>
      <c r="N15" s="28"/>
      <c r="O15" s="21" t="str">
        <f t="shared" si="2"/>
        <v/>
      </c>
      <c r="P15" s="8"/>
      <c r="Q15" s="9"/>
      <c r="R15" s="9"/>
      <c r="S15" s="28"/>
      <c r="T15" s="21" t="str">
        <f t="shared" si="3"/>
        <v/>
      </c>
      <c r="U15" s="8"/>
      <c r="V15" s="9"/>
      <c r="W15" s="9"/>
      <c r="X15" s="28"/>
      <c r="Y15" s="21" t="str">
        <f t="shared" si="4"/>
        <v/>
      </c>
      <c r="Z15" s="33" t="str">
        <f>IF($J15="","",ROUND(($J15-$J$3)/1000,1)+IF($J15&lt;30000,-10,_xlfn.SWITCH(FREQUENCY(($J15,$O15,$T15,$Y15),29900),3,30,2,_xlfn.SWITCH(_xlfn.RANK.EQ($J15,($J15,$O15,$T15,$Y15)),1,15,2,5),1,_xlfn.SWITCH(_xlfn.RANK.EQ($J15,($J15,$O15,$T15,$Y15)),1,7,2,2,3,1),0,0)))</f>
        <v/>
      </c>
      <c r="AA15" s="34" t="str">
        <f>IF($O15="","",ROUND(($O15-$O$3)/1000,1)+IF($O15&lt;30000,-10,_xlfn.SWITCH(FREQUENCY(($J15,$O15,$T15,$Y15),29900),3,30,2,_xlfn.SWITCH(_xlfn.RANK.EQ($O15,($J15,$O15,$T15,$Y15)),1,15,2,5),1,_xlfn.SWITCH(_xlfn.RANK.EQ($O15,($J15,$O15,$T15,$Y15)),1,7,2,2,3,1),0,0)))</f>
        <v/>
      </c>
      <c r="AB15" s="34" t="str">
        <f>IF($T15="","",ROUND(($T15-$T$3)/1000,1)+IF($T15&lt;30000,-10,_xlfn.SWITCH(FREQUENCY(($J15,$O15,$T15,$Y15),29900),3,30,2,_xlfn.SWITCH(_xlfn.RANK.EQ($T15,($J15,$O15,$T15,$Y15)),1,15,2,5),1,_xlfn.SWITCH(_xlfn.RANK.EQ($T15,($J15,$O15,$T15,$Y15)),1,7,2,2,3,1),0,0)))</f>
        <v/>
      </c>
      <c r="AC15" s="35" t="str">
        <f>IF($Y15="","",ROUND(($Y15-$Y$3)/1000,1)+IF($Y15&lt;30000,-10,_xlfn.SWITCH(FREQUENCY(($J15,$O15,$T15,$Y15),29900),3,30,2,_xlfn.SWITCH(_xlfn.RANK.EQ($Y15,($J15,$O15,$T15,$Y15)),1,15,2,5),1,_xlfn.SWITCH(_xlfn.RANK.EQ($Y15,($J15,$O15,$T15,$Y15)),1,7,2,2,3,1),0,0)))</f>
        <v/>
      </c>
    </row>
    <row r="16" spans="1:29" x14ac:dyDescent="0.4">
      <c r="A16" s="13" t="str">
        <f t="shared" si="8"/>
        <v/>
      </c>
      <c r="B16" s="18" t="str">
        <f t="shared" si="5"/>
        <v/>
      </c>
      <c r="C16" s="18" t="str">
        <f t="shared" si="6"/>
        <v/>
      </c>
      <c r="D16" s="18" t="str">
        <f t="shared" si="7"/>
        <v/>
      </c>
      <c r="E16" s="4"/>
      <c r="F16" s="8"/>
      <c r="G16" s="9"/>
      <c r="H16" s="9"/>
      <c r="I16" s="28"/>
      <c r="J16" s="21" t="str">
        <f t="shared" si="1"/>
        <v/>
      </c>
      <c r="K16" s="8"/>
      <c r="L16" s="9"/>
      <c r="M16" s="9"/>
      <c r="N16" s="28"/>
      <c r="O16" s="21" t="str">
        <f t="shared" si="2"/>
        <v/>
      </c>
      <c r="P16" s="8"/>
      <c r="Q16" s="9"/>
      <c r="R16" s="9"/>
      <c r="S16" s="28"/>
      <c r="T16" s="21" t="str">
        <f t="shared" si="3"/>
        <v/>
      </c>
      <c r="U16" s="8"/>
      <c r="V16" s="9"/>
      <c r="W16" s="9"/>
      <c r="X16" s="28"/>
      <c r="Y16" s="21" t="str">
        <f t="shared" si="4"/>
        <v/>
      </c>
      <c r="Z16" s="33" t="str">
        <f>IF($J16="","",ROUND(($J16-$J$3)/1000,1)+IF($J16&lt;30000,-10,_xlfn.SWITCH(FREQUENCY(($J16,$O16,$T16,$Y16),29900),3,30,2,_xlfn.SWITCH(_xlfn.RANK.EQ($J16,($J16,$O16,$T16,$Y16)),1,15,2,5),1,_xlfn.SWITCH(_xlfn.RANK.EQ($J16,($J16,$O16,$T16,$Y16)),1,7,2,2,3,1),0,0)))</f>
        <v/>
      </c>
      <c r="AA16" s="34" t="str">
        <f>IF($O16="","",ROUND(($O16-$O$3)/1000,1)+IF($O16&lt;30000,-10,_xlfn.SWITCH(FREQUENCY(($J16,$O16,$T16,$Y16),29900),3,30,2,_xlfn.SWITCH(_xlfn.RANK.EQ($O16,($J16,$O16,$T16,$Y16)),1,15,2,5),1,_xlfn.SWITCH(_xlfn.RANK.EQ($O16,($J16,$O16,$T16,$Y16)),1,7,2,2,3,1),0,0)))</f>
        <v/>
      </c>
      <c r="AB16" s="34" t="str">
        <f>IF($T16="","",ROUND(($T16-$T$3)/1000,1)+IF($T16&lt;30000,-10,_xlfn.SWITCH(FREQUENCY(($J16,$O16,$T16,$Y16),29900),3,30,2,_xlfn.SWITCH(_xlfn.RANK.EQ($T16,($J16,$O16,$T16,$Y16)),1,15,2,5),1,_xlfn.SWITCH(_xlfn.RANK.EQ($T16,($J16,$O16,$T16,$Y16)),1,7,2,2,3,1),0,0)))</f>
        <v/>
      </c>
      <c r="AC16" s="35" t="str">
        <f>IF($Y16="","",ROUND(($Y16-$Y$3)/1000,1)+IF($Y16&lt;30000,-10,_xlfn.SWITCH(FREQUENCY(($J16,$O16,$T16,$Y16),29900),3,30,2,_xlfn.SWITCH(_xlfn.RANK.EQ($Y16,($J16,$O16,$T16,$Y16)),1,15,2,5),1,_xlfn.SWITCH(_xlfn.RANK.EQ($Y16,($J16,$O16,$T16,$Y16)),1,7,2,2,3,1),0,0)))</f>
        <v/>
      </c>
    </row>
    <row r="17" spans="1:29" x14ac:dyDescent="0.4">
      <c r="A17" s="13" t="str">
        <f t="shared" si="8"/>
        <v/>
      </c>
      <c r="B17" s="18" t="str">
        <f t="shared" si="5"/>
        <v/>
      </c>
      <c r="C17" s="18" t="str">
        <f t="shared" si="6"/>
        <v/>
      </c>
      <c r="D17" s="18" t="str">
        <f t="shared" si="7"/>
        <v/>
      </c>
      <c r="E17" s="4"/>
      <c r="F17" s="8"/>
      <c r="G17" s="9"/>
      <c r="H17" s="9"/>
      <c r="I17" s="28"/>
      <c r="J17" s="21" t="str">
        <f t="shared" si="1"/>
        <v/>
      </c>
      <c r="K17" s="8"/>
      <c r="L17" s="9"/>
      <c r="M17" s="9"/>
      <c r="N17" s="28"/>
      <c r="O17" s="21" t="str">
        <f t="shared" si="2"/>
        <v/>
      </c>
      <c r="P17" s="8"/>
      <c r="Q17" s="9"/>
      <c r="R17" s="9"/>
      <c r="S17" s="28"/>
      <c r="T17" s="21" t="str">
        <f t="shared" si="3"/>
        <v/>
      </c>
      <c r="U17" s="8"/>
      <c r="V17" s="9"/>
      <c r="W17" s="9"/>
      <c r="X17" s="28"/>
      <c r="Y17" s="21" t="str">
        <f t="shared" si="4"/>
        <v/>
      </c>
      <c r="Z17" s="33" t="str">
        <f>IF($J17="","",ROUND(($J17-$J$3)/1000,1)+IF($J17&lt;30000,-10,_xlfn.SWITCH(FREQUENCY(($J17,$O17,$T17,$Y17),29900),3,30,2,_xlfn.SWITCH(_xlfn.RANK.EQ($J17,($J17,$O17,$T17,$Y17)),1,15,2,5),1,_xlfn.SWITCH(_xlfn.RANK.EQ($J17,($J17,$O17,$T17,$Y17)),1,7,2,2,3,1),0,0)))</f>
        <v/>
      </c>
      <c r="AA17" s="34" t="str">
        <f>IF($O17="","",ROUND(($O17-$O$3)/1000,1)+IF($O17&lt;30000,-10,_xlfn.SWITCH(FREQUENCY(($J17,$O17,$T17,$Y17),29900),3,30,2,_xlfn.SWITCH(_xlfn.RANK.EQ($O17,($J17,$O17,$T17,$Y17)),1,15,2,5),1,_xlfn.SWITCH(_xlfn.RANK.EQ($O17,($J17,$O17,$T17,$Y17)),1,7,2,2,3,1),0,0)))</f>
        <v/>
      </c>
      <c r="AB17" s="34" t="str">
        <f>IF($T17="","",ROUND(($T17-$T$3)/1000,1)+IF($T17&lt;30000,-10,_xlfn.SWITCH(FREQUENCY(($J17,$O17,$T17,$Y17),29900),3,30,2,_xlfn.SWITCH(_xlfn.RANK.EQ($T17,($J17,$O17,$T17,$Y17)),1,15,2,5),1,_xlfn.SWITCH(_xlfn.RANK.EQ($T17,($J17,$O17,$T17,$Y17)),1,7,2,2,3,1),0,0)))</f>
        <v/>
      </c>
      <c r="AC17" s="35" t="str">
        <f>IF($Y17="","",ROUND(($Y17-$Y$3)/1000,1)+IF($Y17&lt;30000,-10,_xlfn.SWITCH(FREQUENCY(($J17,$O17,$T17,$Y17),29900),3,30,2,_xlfn.SWITCH(_xlfn.RANK.EQ($Y17,($J17,$O17,$T17,$Y17)),1,15,2,5),1,_xlfn.SWITCH(_xlfn.RANK.EQ($Y17,($J17,$O17,$T17,$Y17)),1,7,2,2,3,1),0,0)))</f>
        <v/>
      </c>
    </row>
    <row r="18" spans="1:29" x14ac:dyDescent="0.4">
      <c r="A18" s="13" t="str">
        <f t="shared" si="8"/>
        <v/>
      </c>
      <c r="B18" s="18" t="str">
        <f t="shared" si="5"/>
        <v/>
      </c>
      <c r="C18" s="18" t="str">
        <f t="shared" si="6"/>
        <v/>
      </c>
      <c r="D18" s="18" t="str">
        <f t="shared" si="7"/>
        <v/>
      </c>
      <c r="E18" s="4"/>
      <c r="F18" s="8"/>
      <c r="G18" s="9"/>
      <c r="H18" s="9"/>
      <c r="I18" s="28"/>
      <c r="J18" s="21" t="str">
        <f t="shared" si="1"/>
        <v/>
      </c>
      <c r="K18" s="8"/>
      <c r="L18" s="9"/>
      <c r="M18" s="9"/>
      <c r="N18" s="28"/>
      <c r="O18" s="21" t="str">
        <f t="shared" si="2"/>
        <v/>
      </c>
      <c r="P18" s="8"/>
      <c r="Q18" s="9"/>
      <c r="R18" s="9"/>
      <c r="S18" s="28"/>
      <c r="T18" s="21" t="str">
        <f t="shared" si="3"/>
        <v/>
      </c>
      <c r="U18" s="8"/>
      <c r="V18" s="9"/>
      <c r="W18" s="9"/>
      <c r="X18" s="28"/>
      <c r="Y18" s="21" t="str">
        <f t="shared" si="4"/>
        <v/>
      </c>
      <c r="Z18" s="33" t="str">
        <f>IF($J18="","",ROUND(($J18-$J$3)/1000,1)+IF($J18&lt;30000,-10,_xlfn.SWITCH(FREQUENCY(($J18,$O18,$T18,$Y18),29900),3,30,2,_xlfn.SWITCH(_xlfn.RANK.EQ($J18,($J18,$O18,$T18,$Y18)),1,15,2,5),1,_xlfn.SWITCH(_xlfn.RANK.EQ($J18,($J18,$O18,$T18,$Y18)),1,7,2,2,3,1),0,0)))</f>
        <v/>
      </c>
      <c r="AA18" s="34" t="str">
        <f>IF($O18="","",ROUND(($O18-$O$3)/1000,1)+IF($O18&lt;30000,-10,_xlfn.SWITCH(FREQUENCY(($J18,$O18,$T18,$Y18),29900),3,30,2,_xlfn.SWITCH(_xlfn.RANK.EQ($O18,($J18,$O18,$T18,$Y18)),1,15,2,5),1,_xlfn.SWITCH(_xlfn.RANK.EQ($O18,($J18,$O18,$T18,$Y18)),1,7,2,2,3,1),0,0)))</f>
        <v/>
      </c>
      <c r="AB18" s="34" t="str">
        <f>IF($T18="","",ROUND(($T18-$T$3)/1000,1)+IF($T18&lt;30000,-10,_xlfn.SWITCH(FREQUENCY(($J18,$O18,$T18,$Y18),29900),3,30,2,_xlfn.SWITCH(_xlfn.RANK.EQ($T18,($J18,$O18,$T18,$Y18)),1,15,2,5),1,_xlfn.SWITCH(_xlfn.RANK.EQ($T18,($J18,$O18,$T18,$Y18)),1,7,2,2,3,1),0,0)))</f>
        <v/>
      </c>
      <c r="AC18" s="35" t="str">
        <f>IF($Y18="","",ROUND(($Y18-$Y$3)/1000,1)+IF($Y18&lt;30000,-10,_xlfn.SWITCH(FREQUENCY(($J18,$O18,$T18,$Y18),29900),3,30,2,_xlfn.SWITCH(_xlfn.RANK.EQ($Y18,($J18,$O18,$T18,$Y18)),1,15,2,5),1,_xlfn.SWITCH(_xlfn.RANK.EQ($Y18,($J18,$O18,$T18,$Y18)),1,7,2,2,3,1),0,0)))</f>
        <v/>
      </c>
    </row>
    <row r="19" spans="1:29" x14ac:dyDescent="0.4">
      <c r="A19" s="13" t="str">
        <f t="shared" si="8"/>
        <v/>
      </c>
      <c r="B19" s="18" t="str">
        <f t="shared" si="5"/>
        <v/>
      </c>
      <c r="C19" s="18" t="str">
        <f t="shared" si="6"/>
        <v/>
      </c>
      <c r="D19" s="18" t="str">
        <f t="shared" si="7"/>
        <v/>
      </c>
      <c r="E19" s="4"/>
      <c r="F19" s="8"/>
      <c r="G19" s="9"/>
      <c r="H19" s="9"/>
      <c r="I19" s="28"/>
      <c r="J19" s="21" t="str">
        <f t="shared" si="1"/>
        <v/>
      </c>
      <c r="K19" s="8"/>
      <c r="L19" s="9"/>
      <c r="M19" s="9"/>
      <c r="N19" s="28"/>
      <c r="O19" s="21" t="str">
        <f t="shared" si="2"/>
        <v/>
      </c>
      <c r="P19" s="8"/>
      <c r="Q19" s="9"/>
      <c r="R19" s="9"/>
      <c r="S19" s="28"/>
      <c r="T19" s="21" t="str">
        <f t="shared" si="3"/>
        <v/>
      </c>
      <c r="U19" s="8"/>
      <c r="V19" s="9"/>
      <c r="W19" s="9"/>
      <c r="X19" s="28"/>
      <c r="Y19" s="21" t="str">
        <f t="shared" si="4"/>
        <v/>
      </c>
      <c r="Z19" s="33" t="str">
        <f>IF($J19="","",ROUND(($J19-$J$3)/1000,1)+IF($J19&lt;30000,-10,_xlfn.SWITCH(FREQUENCY(($J19,$O19,$T19,$Y19),29900),3,30,2,_xlfn.SWITCH(_xlfn.RANK.EQ($J19,($J19,$O19,$T19,$Y19)),1,15,2,5),1,_xlfn.SWITCH(_xlfn.RANK.EQ($J19,($J19,$O19,$T19,$Y19)),1,7,2,2,3,1),0,0)))</f>
        <v/>
      </c>
      <c r="AA19" s="34" t="str">
        <f>IF($O19="","",ROUND(($O19-$O$3)/1000,1)+IF($O19&lt;30000,-10,_xlfn.SWITCH(FREQUENCY(($J19,$O19,$T19,$Y19),29900),3,30,2,_xlfn.SWITCH(_xlfn.RANK.EQ($O19,($J19,$O19,$T19,$Y19)),1,15,2,5),1,_xlfn.SWITCH(_xlfn.RANK.EQ($O19,($J19,$O19,$T19,$Y19)),1,7,2,2,3,1),0,0)))</f>
        <v/>
      </c>
      <c r="AB19" s="34" t="str">
        <f>IF($T19="","",ROUND(($T19-$T$3)/1000,1)+IF($T19&lt;30000,-10,_xlfn.SWITCH(FREQUENCY(($J19,$O19,$T19,$Y19),29900),3,30,2,_xlfn.SWITCH(_xlfn.RANK.EQ($T19,($J19,$O19,$T19,$Y19)),1,15,2,5),1,_xlfn.SWITCH(_xlfn.RANK.EQ($T19,($J19,$O19,$T19,$Y19)),1,7,2,2,3,1),0,0)))</f>
        <v/>
      </c>
      <c r="AC19" s="35" t="str">
        <f>IF($Y19="","",ROUND(($Y19-$Y$3)/1000,1)+IF($Y19&lt;30000,-10,_xlfn.SWITCH(FREQUENCY(($J19,$O19,$T19,$Y19),29900),3,30,2,_xlfn.SWITCH(_xlfn.RANK.EQ($Y19,($J19,$O19,$T19,$Y19)),1,15,2,5),1,_xlfn.SWITCH(_xlfn.RANK.EQ($Y19,($J19,$O19,$T19,$Y19)),1,7,2,2,3,1),0,0)))</f>
        <v/>
      </c>
    </row>
    <row r="20" spans="1:29" x14ac:dyDescent="0.4">
      <c r="A20" s="13" t="str">
        <f t="shared" si="8"/>
        <v/>
      </c>
      <c r="B20" s="18" t="str">
        <f t="shared" si="5"/>
        <v/>
      </c>
      <c r="C20" s="18" t="str">
        <f t="shared" si="6"/>
        <v/>
      </c>
      <c r="D20" s="18" t="str">
        <f t="shared" si="7"/>
        <v/>
      </c>
      <c r="E20" s="4"/>
      <c r="F20" s="8"/>
      <c r="G20" s="9"/>
      <c r="H20" s="9"/>
      <c r="I20" s="28"/>
      <c r="J20" s="21" t="str">
        <f t="shared" si="1"/>
        <v/>
      </c>
      <c r="K20" s="8"/>
      <c r="L20" s="9"/>
      <c r="M20" s="9"/>
      <c r="N20" s="28"/>
      <c r="O20" s="21" t="str">
        <f t="shared" si="2"/>
        <v/>
      </c>
      <c r="P20" s="8"/>
      <c r="Q20" s="9"/>
      <c r="R20" s="9"/>
      <c r="S20" s="28"/>
      <c r="T20" s="21" t="str">
        <f t="shared" si="3"/>
        <v/>
      </c>
      <c r="U20" s="8"/>
      <c r="V20" s="9"/>
      <c r="W20" s="9"/>
      <c r="X20" s="28"/>
      <c r="Y20" s="21" t="str">
        <f t="shared" si="4"/>
        <v/>
      </c>
      <c r="Z20" s="33" t="str">
        <f>IF($J20="","",ROUND(($J20-$J$3)/1000,1)+IF($J20&lt;30000,-10,_xlfn.SWITCH(FREQUENCY(($J20,$O20,$T20,$Y20),29900),3,30,2,_xlfn.SWITCH(_xlfn.RANK.EQ($J20,($J20,$O20,$T20,$Y20)),1,15,2,5),1,_xlfn.SWITCH(_xlfn.RANK.EQ($J20,($J20,$O20,$T20,$Y20)),1,7,2,2,3,1),0,0)))</f>
        <v/>
      </c>
      <c r="AA20" s="34" t="str">
        <f>IF($O20="","",ROUND(($O20-$O$3)/1000,1)+IF($O20&lt;30000,-10,_xlfn.SWITCH(FREQUENCY(($J20,$O20,$T20,$Y20),29900),3,30,2,_xlfn.SWITCH(_xlfn.RANK.EQ($O20,($J20,$O20,$T20,$Y20)),1,15,2,5),1,_xlfn.SWITCH(_xlfn.RANK.EQ($O20,($J20,$O20,$T20,$Y20)),1,7,2,2,3,1),0,0)))</f>
        <v/>
      </c>
      <c r="AB20" s="34" t="str">
        <f>IF($T20="","",ROUND(($T20-$T$3)/1000,1)+IF($T20&lt;30000,-10,_xlfn.SWITCH(FREQUENCY(($J20,$O20,$T20,$Y20),29900),3,30,2,_xlfn.SWITCH(_xlfn.RANK.EQ($T20,($J20,$O20,$T20,$Y20)),1,15,2,5),1,_xlfn.SWITCH(_xlfn.RANK.EQ($T20,($J20,$O20,$T20,$Y20)),1,7,2,2,3,1),0,0)))</f>
        <v/>
      </c>
      <c r="AC20" s="35" t="str">
        <f>IF($Y20="","",ROUND(($Y20-$Y$3)/1000,1)+IF($Y20&lt;30000,-10,_xlfn.SWITCH(FREQUENCY(($J20,$O20,$T20,$Y20),29900),3,30,2,_xlfn.SWITCH(_xlfn.RANK.EQ($Y20,($J20,$O20,$T20,$Y20)),1,15,2,5),1,_xlfn.SWITCH(_xlfn.RANK.EQ($Y20,($J20,$O20,$T20,$Y20)),1,7,2,2,3,1),0,0)))</f>
        <v/>
      </c>
    </row>
    <row r="21" spans="1:29" x14ac:dyDescent="0.4">
      <c r="A21" s="13" t="str">
        <f t="shared" si="8"/>
        <v/>
      </c>
      <c r="B21" s="18" t="str">
        <f t="shared" si="5"/>
        <v/>
      </c>
      <c r="C21" s="18" t="str">
        <f t="shared" si="6"/>
        <v/>
      </c>
      <c r="D21" s="18" t="str">
        <f t="shared" si="7"/>
        <v/>
      </c>
      <c r="E21" s="4"/>
      <c r="F21" s="8"/>
      <c r="G21" s="9"/>
      <c r="H21" s="9"/>
      <c r="I21" s="28"/>
      <c r="J21" s="21" t="str">
        <f t="shared" si="1"/>
        <v/>
      </c>
      <c r="K21" s="8"/>
      <c r="L21" s="9"/>
      <c r="M21" s="9"/>
      <c r="N21" s="28"/>
      <c r="O21" s="21" t="str">
        <f t="shared" si="2"/>
        <v/>
      </c>
      <c r="P21" s="8"/>
      <c r="Q21" s="9"/>
      <c r="R21" s="9"/>
      <c r="S21" s="28"/>
      <c r="T21" s="21" t="str">
        <f t="shared" si="3"/>
        <v/>
      </c>
      <c r="U21" s="8"/>
      <c r="V21" s="9"/>
      <c r="W21" s="9"/>
      <c r="X21" s="28"/>
      <c r="Y21" s="21" t="str">
        <f t="shared" si="4"/>
        <v/>
      </c>
      <c r="Z21" s="33" t="str">
        <f>IF($J21="","",ROUND(($J21-$J$3)/1000,1)+IF($J21&lt;30000,-10,_xlfn.SWITCH(FREQUENCY(($J21,$O21,$T21,$Y21),29900),3,30,2,_xlfn.SWITCH(_xlfn.RANK.EQ($J21,($J21,$O21,$T21,$Y21)),1,15,2,5),1,_xlfn.SWITCH(_xlfn.RANK.EQ($J21,($J21,$O21,$T21,$Y21)),1,7,2,2,3,1),0,0)))</f>
        <v/>
      </c>
      <c r="AA21" s="34" t="str">
        <f>IF($O21="","",ROUND(($O21-$O$3)/1000,1)+IF($O21&lt;30000,-10,_xlfn.SWITCH(FREQUENCY(($J21,$O21,$T21,$Y21),29900),3,30,2,_xlfn.SWITCH(_xlfn.RANK.EQ($O21,($J21,$O21,$T21,$Y21)),1,15,2,5),1,_xlfn.SWITCH(_xlfn.RANK.EQ($O21,($J21,$O21,$T21,$Y21)),1,7,2,2,3,1),0,0)))</f>
        <v/>
      </c>
      <c r="AB21" s="34" t="str">
        <f>IF($T21="","",ROUND(($T21-$T$3)/1000,1)+IF($T21&lt;30000,-10,_xlfn.SWITCH(FREQUENCY(($J21,$O21,$T21,$Y21),29900),3,30,2,_xlfn.SWITCH(_xlfn.RANK.EQ($T21,($J21,$O21,$T21,$Y21)),1,15,2,5),1,_xlfn.SWITCH(_xlfn.RANK.EQ($T21,($J21,$O21,$T21,$Y21)),1,7,2,2,3,1),0,0)))</f>
        <v/>
      </c>
      <c r="AC21" s="35" t="str">
        <f>IF($Y21="","",ROUND(($Y21-$Y$3)/1000,1)+IF($Y21&lt;30000,-10,_xlfn.SWITCH(FREQUENCY(($J21,$O21,$T21,$Y21),29900),3,30,2,_xlfn.SWITCH(_xlfn.RANK.EQ($Y21,($J21,$O21,$T21,$Y21)),1,15,2,5),1,_xlfn.SWITCH(_xlfn.RANK.EQ($Y21,($J21,$O21,$T21,$Y21)),1,7,2,2,3,1),0,0)))</f>
        <v/>
      </c>
    </row>
    <row r="22" spans="1:29" x14ac:dyDescent="0.4">
      <c r="A22" s="13" t="str">
        <f t="shared" si="8"/>
        <v/>
      </c>
      <c r="B22" s="18" t="str">
        <f t="shared" si="5"/>
        <v/>
      </c>
      <c r="C22" s="18" t="str">
        <f t="shared" si="6"/>
        <v/>
      </c>
      <c r="D22" s="18" t="str">
        <f t="shared" si="7"/>
        <v/>
      </c>
      <c r="E22" s="4"/>
      <c r="F22" s="8"/>
      <c r="G22" s="9"/>
      <c r="H22" s="9"/>
      <c r="I22" s="28"/>
      <c r="J22" s="21" t="str">
        <f t="shared" si="1"/>
        <v/>
      </c>
      <c r="K22" s="8"/>
      <c r="L22" s="9"/>
      <c r="M22" s="9"/>
      <c r="N22" s="28"/>
      <c r="O22" s="21" t="str">
        <f t="shared" si="2"/>
        <v/>
      </c>
      <c r="P22" s="8"/>
      <c r="Q22" s="9"/>
      <c r="R22" s="9"/>
      <c r="S22" s="28"/>
      <c r="T22" s="21" t="str">
        <f t="shared" si="3"/>
        <v/>
      </c>
      <c r="U22" s="8"/>
      <c r="V22" s="9"/>
      <c r="W22" s="9"/>
      <c r="X22" s="28"/>
      <c r="Y22" s="21" t="str">
        <f t="shared" si="4"/>
        <v/>
      </c>
      <c r="Z22" s="33" t="str">
        <f>IF($J22="","",ROUND(($J22-$J$3)/1000,1)+IF($J22&lt;30000,-10,_xlfn.SWITCH(FREQUENCY(($J22,$O22,$T22,$Y22),29900),3,30,2,_xlfn.SWITCH(_xlfn.RANK.EQ($J22,($J22,$O22,$T22,$Y22)),1,15,2,5),1,_xlfn.SWITCH(_xlfn.RANK.EQ($J22,($J22,$O22,$T22,$Y22)),1,7,2,2,3,1),0,0)))</f>
        <v/>
      </c>
      <c r="AA22" s="34" t="str">
        <f>IF($O22="","",ROUND(($O22-$O$3)/1000,1)+IF($O22&lt;30000,-10,_xlfn.SWITCH(FREQUENCY(($J22,$O22,$T22,$Y22),29900),3,30,2,_xlfn.SWITCH(_xlfn.RANK.EQ($O22,($J22,$O22,$T22,$Y22)),1,15,2,5),1,_xlfn.SWITCH(_xlfn.RANK.EQ($O22,($J22,$O22,$T22,$Y22)),1,7,2,2,3,1),0,0)))</f>
        <v/>
      </c>
      <c r="AB22" s="34" t="str">
        <f>IF($T22="","",ROUND(($T22-$T$3)/1000,1)+IF($T22&lt;30000,-10,_xlfn.SWITCH(FREQUENCY(($J22,$O22,$T22,$Y22),29900),3,30,2,_xlfn.SWITCH(_xlfn.RANK.EQ($T22,($J22,$O22,$T22,$Y22)),1,15,2,5),1,_xlfn.SWITCH(_xlfn.RANK.EQ($T22,($J22,$O22,$T22,$Y22)),1,7,2,2,3,1),0,0)))</f>
        <v/>
      </c>
      <c r="AC22" s="35" t="str">
        <f>IF($Y22="","",ROUND(($Y22-$Y$3)/1000,1)+IF($Y22&lt;30000,-10,_xlfn.SWITCH(FREQUENCY(($J22,$O22,$T22,$Y22),29900),3,30,2,_xlfn.SWITCH(_xlfn.RANK.EQ($Y22,($J22,$O22,$T22,$Y22)),1,15,2,5),1,_xlfn.SWITCH(_xlfn.RANK.EQ($Y22,($J22,$O22,$T22,$Y22)),1,7,2,2,3,1),0,0)))</f>
        <v/>
      </c>
    </row>
    <row r="23" spans="1:29" x14ac:dyDescent="0.4">
      <c r="A23" s="13" t="str">
        <f t="shared" si="8"/>
        <v/>
      </c>
      <c r="B23" s="18" t="str">
        <f t="shared" si="5"/>
        <v/>
      </c>
      <c r="C23" s="18" t="str">
        <f t="shared" si="6"/>
        <v/>
      </c>
      <c r="D23" s="18" t="str">
        <f t="shared" si="7"/>
        <v/>
      </c>
      <c r="E23" s="4"/>
      <c r="F23" s="8"/>
      <c r="G23" s="9"/>
      <c r="H23" s="9"/>
      <c r="I23" s="28"/>
      <c r="J23" s="21" t="str">
        <f t="shared" si="1"/>
        <v/>
      </c>
      <c r="K23" s="8"/>
      <c r="L23" s="9"/>
      <c r="M23" s="9"/>
      <c r="N23" s="28"/>
      <c r="O23" s="21" t="str">
        <f t="shared" si="2"/>
        <v/>
      </c>
      <c r="P23" s="8"/>
      <c r="Q23" s="9"/>
      <c r="R23" s="9"/>
      <c r="S23" s="28"/>
      <c r="T23" s="21" t="str">
        <f t="shared" si="3"/>
        <v/>
      </c>
      <c r="U23" s="8"/>
      <c r="V23" s="9"/>
      <c r="W23" s="9"/>
      <c r="X23" s="28"/>
      <c r="Y23" s="21" t="str">
        <f t="shared" si="4"/>
        <v/>
      </c>
      <c r="Z23" s="33" t="str">
        <f>IF($J23="","",ROUND(($J23-$J$3)/1000,1)+IF($J23&lt;30000,-10,_xlfn.SWITCH(FREQUENCY(($J23,$O23,$T23,$Y23),29900),3,30,2,_xlfn.SWITCH(_xlfn.RANK.EQ($J23,($J23,$O23,$T23,$Y23)),1,15,2,5),1,_xlfn.SWITCH(_xlfn.RANK.EQ($J23,($J23,$O23,$T23,$Y23)),1,7,2,2,3,1),0,0)))</f>
        <v/>
      </c>
      <c r="AA23" s="34" t="str">
        <f>IF($O23="","",ROUND(($O23-$O$3)/1000,1)+IF($O23&lt;30000,-10,_xlfn.SWITCH(FREQUENCY(($J23,$O23,$T23,$Y23),29900),3,30,2,_xlfn.SWITCH(_xlfn.RANK.EQ($O23,($J23,$O23,$T23,$Y23)),1,15,2,5),1,_xlfn.SWITCH(_xlfn.RANK.EQ($O23,($J23,$O23,$T23,$Y23)),1,7,2,2,3,1),0,0)))</f>
        <v/>
      </c>
      <c r="AB23" s="34" t="str">
        <f>IF($T23="","",ROUND(($T23-$T$3)/1000,1)+IF($T23&lt;30000,-10,_xlfn.SWITCH(FREQUENCY(($J23,$O23,$T23,$Y23),29900),3,30,2,_xlfn.SWITCH(_xlfn.RANK.EQ($T23,($J23,$O23,$T23,$Y23)),1,15,2,5),1,_xlfn.SWITCH(_xlfn.RANK.EQ($T23,($J23,$O23,$T23,$Y23)),1,7,2,2,3,1),0,0)))</f>
        <v/>
      </c>
      <c r="AC23" s="35" t="str">
        <f>IF($Y23="","",ROUND(($Y23-$Y$3)/1000,1)+IF($Y23&lt;30000,-10,_xlfn.SWITCH(FREQUENCY(($J23,$O23,$T23,$Y23),29900),3,30,2,_xlfn.SWITCH(_xlfn.RANK.EQ($Y23,($J23,$O23,$T23,$Y23)),1,15,2,5),1,_xlfn.SWITCH(_xlfn.RANK.EQ($Y23,($J23,$O23,$T23,$Y23)),1,7,2,2,3,1),0,0)))</f>
        <v/>
      </c>
    </row>
    <row r="24" spans="1:29" x14ac:dyDescent="0.4">
      <c r="A24" s="13" t="str">
        <f t="shared" si="8"/>
        <v/>
      </c>
      <c r="B24" s="18" t="str">
        <f t="shared" si="5"/>
        <v/>
      </c>
      <c r="C24" s="18" t="str">
        <f t="shared" si="6"/>
        <v/>
      </c>
      <c r="D24" s="18" t="str">
        <f t="shared" si="7"/>
        <v/>
      </c>
      <c r="E24" s="4"/>
      <c r="F24" s="8"/>
      <c r="G24" s="9"/>
      <c r="H24" s="9"/>
      <c r="I24" s="28"/>
      <c r="J24" s="21" t="str">
        <f t="shared" si="1"/>
        <v/>
      </c>
      <c r="K24" s="8"/>
      <c r="L24" s="9"/>
      <c r="M24" s="9"/>
      <c r="N24" s="28"/>
      <c r="O24" s="21" t="str">
        <f t="shared" si="2"/>
        <v/>
      </c>
      <c r="P24" s="8"/>
      <c r="Q24" s="9"/>
      <c r="R24" s="9"/>
      <c r="S24" s="28"/>
      <c r="T24" s="21" t="str">
        <f t="shared" si="3"/>
        <v/>
      </c>
      <c r="U24" s="8"/>
      <c r="V24" s="9"/>
      <c r="W24" s="9"/>
      <c r="X24" s="28"/>
      <c r="Y24" s="21" t="str">
        <f t="shared" si="4"/>
        <v/>
      </c>
      <c r="Z24" s="33" t="str">
        <f>IF($J24="","",ROUND(($J24-$J$3)/1000,1)+IF($J24&lt;30000,-10,_xlfn.SWITCH(FREQUENCY(($J24,$O24,$T24,$Y24),29900),3,30,2,_xlfn.SWITCH(_xlfn.RANK.EQ($J24,($J24,$O24,$T24,$Y24)),1,15,2,5),1,_xlfn.SWITCH(_xlfn.RANK.EQ($J24,($J24,$O24,$T24,$Y24)),1,7,2,2,3,1),0,0)))</f>
        <v/>
      </c>
      <c r="AA24" s="34" t="str">
        <f>IF($O24="","",ROUND(($O24-$O$3)/1000,1)+IF($O24&lt;30000,-10,_xlfn.SWITCH(FREQUENCY(($J24,$O24,$T24,$Y24),29900),3,30,2,_xlfn.SWITCH(_xlfn.RANK.EQ($O24,($J24,$O24,$T24,$Y24)),1,15,2,5),1,_xlfn.SWITCH(_xlfn.RANK.EQ($O24,($J24,$O24,$T24,$Y24)),1,7,2,2,3,1),0,0)))</f>
        <v/>
      </c>
      <c r="AB24" s="34" t="str">
        <f>IF($T24="","",ROUND(($T24-$T$3)/1000,1)+IF($T24&lt;30000,-10,_xlfn.SWITCH(FREQUENCY(($J24,$O24,$T24,$Y24),29900),3,30,2,_xlfn.SWITCH(_xlfn.RANK.EQ($T24,($J24,$O24,$T24,$Y24)),1,15,2,5),1,_xlfn.SWITCH(_xlfn.RANK.EQ($T24,($J24,$O24,$T24,$Y24)),1,7,2,2,3,1),0,0)))</f>
        <v/>
      </c>
      <c r="AC24" s="35" t="str">
        <f>IF($Y24="","",ROUND(($Y24-$Y$3)/1000,1)+IF($Y24&lt;30000,-10,_xlfn.SWITCH(FREQUENCY(($J24,$O24,$T24,$Y24),29900),3,30,2,_xlfn.SWITCH(_xlfn.RANK.EQ($Y24,($J24,$O24,$T24,$Y24)),1,15,2,5),1,_xlfn.SWITCH(_xlfn.RANK.EQ($Y24,($J24,$O24,$T24,$Y24)),1,7,2,2,3,1),0,0)))</f>
        <v/>
      </c>
    </row>
    <row r="25" spans="1:29" x14ac:dyDescent="0.4">
      <c r="A25" s="13" t="str">
        <f t="shared" si="8"/>
        <v/>
      </c>
      <c r="B25" s="18" t="str">
        <f t="shared" si="5"/>
        <v/>
      </c>
      <c r="C25" s="18" t="str">
        <f t="shared" si="6"/>
        <v/>
      </c>
      <c r="D25" s="18" t="str">
        <f t="shared" si="7"/>
        <v/>
      </c>
      <c r="E25" s="4"/>
      <c r="F25" s="8"/>
      <c r="G25" s="9"/>
      <c r="H25" s="9"/>
      <c r="I25" s="28"/>
      <c r="J25" s="21" t="str">
        <f t="shared" si="1"/>
        <v/>
      </c>
      <c r="K25" s="8"/>
      <c r="L25" s="9"/>
      <c r="M25" s="9"/>
      <c r="N25" s="28"/>
      <c r="O25" s="21" t="str">
        <f t="shared" si="2"/>
        <v/>
      </c>
      <c r="P25" s="8"/>
      <c r="Q25" s="9"/>
      <c r="R25" s="9"/>
      <c r="S25" s="28"/>
      <c r="T25" s="21" t="str">
        <f t="shared" si="3"/>
        <v/>
      </c>
      <c r="U25" s="8"/>
      <c r="V25" s="9"/>
      <c r="W25" s="9"/>
      <c r="X25" s="28"/>
      <c r="Y25" s="21" t="str">
        <f t="shared" si="4"/>
        <v/>
      </c>
      <c r="Z25" s="33" t="str">
        <f>IF($J25="","",ROUND(($J25-$J$3)/1000,1)+IF($J25&lt;30000,-10,_xlfn.SWITCH(FREQUENCY(($J25,$O25,$T25,$Y25),29900),3,30,2,_xlfn.SWITCH(_xlfn.RANK.EQ($J25,($J25,$O25,$T25,$Y25)),1,15,2,5),1,_xlfn.SWITCH(_xlfn.RANK.EQ($J25,($J25,$O25,$T25,$Y25)),1,7,2,2,3,1),0,0)))</f>
        <v/>
      </c>
      <c r="AA25" s="34" t="str">
        <f>IF($O25="","",ROUND(($O25-$O$3)/1000,1)+IF($O25&lt;30000,-10,_xlfn.SWITCH(FREQUENCY(($J25,$O25,$T25,$Y25),29900),3,30,2,_xlfn.SWITCH(_xlfn.RANK.EQ($O25,($J25,$O25,$T25,$Y25)),1,15,2,5),1,_xlfn.SWITCH(_xlfn.RANK.EQ($O25,($J25,$O25,$T25,$Y25)),1,7,2,2,3,1),0,0)))</f>
        <v/>
      </c>
      <c r="AB25" s="34" t="str">
        <f>IF($T25="","",ROUND(($T25-$T$3)/1000,1)+IF($T25&lt;30000,-10,_xlfn.SWITCH(FREQUENCY(($J25,$O25,$T25,$Y25),29900),3,30,2,_xlfn.SWITCH(_xlfn.RANK.EQ($T25,($J25,$O25,$T25,$Y25)),1,15,2,5),1,_xlfn.SWITCH(_xlfn.RANK.EQ($T25,($J25,$O25,$T25,$Y25)),1,7,2,2,3,1),0,0)))</f>
        <v/>
      </c>
      <c r="AC25" s="35" t="str">
        <f>IF($Y25="","",ROUND(($Y25-$Y$3)/1000,1)+IF($Y25&lt;30000,-10,_xlfn.SWITCH(FREQUENCY(($J25,$O25,$T25,$Y25),29900),3,30,2,_xlfn.SWITCH(_xlfn.RANK.EQ($Y25,($J25,$O25,$T25,$Y25)),1,15,2,5),1,_xlfn.SWITCH(_xlfn.RANK.EQ($Y25,($J25,$O25,$T25,$Y25)),1,7,2,2,3,1),0,0)))</f>
        <v/>
      </c>
    </row>
    <row r="26" spans="1:29" x14ac:dyDescent="0.4">
      <c r="A26" s="13" t="str">
        <f t="shared" si="8"/>
        <v/>
      </c>
      <c r="B26" s="18" t="str">
        <f t="shared" si="5"/>
        <v/>
      </c>
      <c r="C26" s="18" t="str">
        <f t="shared" si="6"/>
        <v/>
      </c>
      <c r="D26" s="18" t="str">
        <f t="shared" si="7"/>
        <v/>
      </c>
      <c r="E26" s="4"/>
      <c r="F26" s="8"/>
      <c r="G26" s="9"/>
      <c r="H26" s="9"/>
      <c r="I26" s="28"/>
      <c r="J26" s="21" t="str">
        <f t="shared" si="1"/>
        <v/>
      </c>
      <c r="K26" s="8"/>
      <c r="L26" s="9"/>
      <c r="M26" s="9"/>
      <c r="N26" s="28"/>
      <c r="O26" s="21" t="str">
        <f t="shared" si="2"/>
        <v/>
      </c>
      <c r="P26" s="8"/>
      <c r="Q26" s="9"/>
      <c r="R26" s="9"/>
      <c r="S26" s="28"/>
      <c r="T26" s="21" t="str">
        <f t="shared" si="3"/>
        <v/>
      </c>
      <c r="U26" s="8"/>
      <c r="V26" s="9"/>
      <c r="W26" s="9"/>
      <c r="X26" s="28"/>
      <c r="Y26" s="21" t="str">
        <f t="shared" si="4"/>
        <v/>
      </c>
      <c r="Z26" s="33" t="str">
        <f>IF($J26="","",ROUND(($J26-$J$3)/1000,1)+IF($J26&lt;30000,-10,_xlfn.SWITCH(FREQUENCY(($J26,$O26,$T26,$Y26),29900),3,30,2,_xlfn.SWITCH(_xlfn.RANK.EQ($J26,($J26,$O26,$T26,$Y26)),1,15,2,5),1,_xlfn.SWITCH(_xlfn.RANK.EQ($J26,($J26,$O26,$T26,$Y26)),1,7,2,2,3,1),0,0)))</f>
        <v/>
      </c>
      <c r="AA26" s="34" t="str">
        <f>IF($O26="","",ROUND(($O26-$O$3)/1000,1)+IF($O26&lt;30000,-10,_xlfn.SWITCH(FREQUENCY(($J26,$O26,$T26,$Y26),29900),3,30,2,_xlfn.SWITCH(_xlfn.RANK.EQ($O26,($J26,$O26,$T26,$Y26)),1,15,2,5),1,_xlfn.SWITCH(_xlfn.RANK.EQ($O26,($J26,$O26,$T26,$Y26)),1,7,2,2,3,1),0,0)))</f>
        <v/>
      </c>
      <c r="AB26" s="34" t="str">
        <f>IF($T26="","",ROUND(($T26-$T$3)/1000,1)+IF($T26&lt;30000,-10,_xlfn.SWITCH(FREQUENCY(($J26,$O26,$T26,$Y26),29900),3,30,2,_xlfn.SWITCH(_xlfn.RANK.EQ($T26,($J26,$O26,$T26,$Y26)),1,15,2,5),1,_xlfn.SWITCH(_xlfn.RANK.EQ($T26,($J26,$O26,$T26,$Y26)),1,7,2,2,3,1),0,0)))</f>
        <v/>
      </c>
      <c r="AC26" s="35" t="str">
        <f>IF($Y26="","",ROUND(($Y26-$Y$3)/1000,1)+IF($Y26&lt;30000,-10,_xlfn.SWITCH(FREQUENCY(($J26,$O26,$T26,$Y26),29900),3,30,2,_xlfn.SWITCH(_xlfn.RANK.EQ($Y26,($J26,$O26,$T26,$Y26)),1,15,2,5),1,_xlfn.SWITCH(_xlfn.RANK.EQ($Y26,($J26,$O26,$T26,$Y26)),1,7,2,2,3,1),0,0)))</f>
        <v/>
      </c>
    </row>
    <row r="27" spans="1:29" x14ac:dyDescent="0.4">
      <c r="A27" s="13" t="str">
        <f t="shared" si="8"/>
        <v/>
      </c>
      <c r="B27" s="18" t="str">
        <f t="shared" si="5"/>
        <v/>
      </c>
      <c r="C27" s="18" t="str">
        <f t="shared" si="6"/>
        <v/>
      </c>
      <c r="D27" s="18" t="str">
        <f t="shared" si="7"/>
        <v/>
      </c>
      <c r="E27" s="4"/>
      <c r="F27" s="8"/>
      <c r="G27" s="9"/>
      <c r="H27" s="9"/>
      <c r="I27" s="28"/>
      <c r="J27" s="21" t="str">
        <f t="shared" si="1"/>
        <v/>
      </c>
      <c r="K27" s="8"/>
      <c r="L27" s="9"/>
      <c r="M27" s="9"/>
      <c r="N27" s="28"/>
      <c r="O27" s="21" t="str">
        <f t="shared" si="2"/>
        <v/>
      </c>
      <c r="P27" s="8"/>
      <c r="Q27" s="9"/>
      <c r="R27" s="9"/>
      <c r="S27" s="28"/>
      <c r="T27" s="21" t="str">
        <f t="shared" si="3"/>
        <v/>
      </c>
      <c r="U27" s="8"/>
      <c r="V27" s="9"/>
      <c r="W27" s="9"/>
      <c r="X27" s="28"/>
      <c r="Y27" s="21" t="str">
        <f t="shared" si="4"/>
        <v/>
      </c>
      <c r="Z27" s="33" t="str">
        <f>IF($J27="","",ROUND(($J27-$J$3)/1000,1)+IF($J27&lt;30000,-10,_xlfn.SWITCH(FREQUENCY(($J27,$O27,$T27,$Y27),29900),3,30,2,_xlfn.SWITCH(_xlfn.RANK.EQ($J27,($J27,$O27,$T27,$Y27)),1,15,2,5),1,_xlfn.SWITCH(_xlfn.RANK.EQ($J27,($J27,$O27,$T27,$Y27)),1,7,2,2,3,1),0,0)))</f>
        <v/>
      </c>
      <c r="AA27" s="34" t="str">
        <f>IF($O27="","",ROUND(($O27-$O$3)/1000,1)+IF($O27&lt;30000,-10,_xlfn.SWITCH(FREQUENCY(($J27,$O27,$T27,$Y27),29900),3,30,2,_xlfn.SWITCH(_xlfn.RANK.EQ($O27,($J27,$O27,$T27,$Y27)),1,15,2,5),1,_xlfn.SWITCH(_xlfn.RANK.EQ($O27,($J27,$O27,$T27,$Y27)),1,7,2,2,3,1),0,0)))</f>
        <v/>
      </c>
      <c r="AB27" s="34" t="str">
        <f>IF($T27="","",ROUND(($T27-$T$3)/1000,1)+IF($T27&lt;30000,-10,_xlfn.SWITCH(FREQUENCY(($J27,$O27,$T27,$Y27),29900),3,30,2,_xlfn.SWITCH(_xlfn.RANK.EQ($T27,($J27,$O27,$T27,$Y27)),1,15,2,5),1,_xlfn.SWITCH(_xlfn.RANK.EQ($T27,($J27,$O27,$T27,$Y27)),1,7,2,2,3,1),0,0)))</f>
        <v/>
      </c>
      <c r="AC27" s="35" t="str">
        <f>IF($Y27="","",ROUND(($Y27-$Y$3)/1000,1)+IF($Y27&lt;30000,-10,_xlfn.SWITCH(FREQUENCY(($J27,$O27,$T27,$Y27),29900),3,30,2,_xlfn.SWITCH(_xlfn.RANK.EQ($Y27,($J27,$O27,$T27,$Y27)),1,15,2,5),1,_xlfn.SWITCH(_xlfn.RANK.EQ($Y27,($J27,$O27,$T27,$Y27)),1,7,2,2,3,1),0,0)))</f>
        <v/>
      </c>
    </row>
    <row r="28" spans="1:29" x14ac:dyDescent="0.4">
      <c r="A28" s="13" t="str">
        <f t="shared" si="8"/>
        <v/>
      </c>
      <c r="B28" s="18" t="str">
        <f t="shared" si="5"/>
        <v/>
      </c>
      <c r="C28" s="18" t="str">
        <f t="shared" si="6"/>
        <v/>
      </c>
      <c r="D28" s="18" t="str">
        <f t="shared" si="7"/>
        <v/>
      </c>
      <c r="E28" s="4"/>
      <c r="F28" s="8"/>
      <c r="G28" s="9"/>
      <c r="H28" s="9"/>
      <c r="I28" s="28"/>
      <c r="J28" s="21" t="str">
        <f t="shared" si="1"/>
        <v/>
      </c>
      <c r="K28" s="8"/>
      <c r="L28" s="9"/>
      <c r="M28" s="9"/>
      <c r="N28" s="28"/>
      <c r="O28" s="21" t="str">
        <f t="shared" si="2"/>
        <v/>
      </c>
      <c r="P28" s="8"/>
      <c r="Q28" s="9"/>
      <c r="R28" s="9"/>
      <c r="S28" s="28"/>
      <c r="T28" s="21" t="str">
        <f t="shared" si="3"/>
        <v/>
      </c>
      <c r="U28" s="8"/>
      <c r="V28" s="9"/>
      <c r="W28" s="9"/>
      <c r="X28" s="28"/>
      <c r="Y28" s="21" t="str">
        <f t="shared" si="4"/>
        <v/>
      </c>
      <c r="Z28" s="33" t="str">
        <f>IF($J28="","",ROUND(($J28-$J$3)/1000,1)+IF($J28&lt;30000,-10,_xlfn.SWITCH(FREQUENCY(($J28,$O28,$T28,$Y28),29900),3,30,2,_xlfn.SWITCH(_xlfn.RANK.EQ($J28,($J28,$O28,$T28,$Y28)),1,15,2,5),1,_xlfn.SWITCH(_xlfn.RANK.EQ($J28,($J28,$O28,$T28,$Y28)),1,7,2,2,3,1),0,0)))</f>
        <v/>
      </c>
      <c r="AA28" s="34" t="str">
        <f>IF($O28="","",ROUND(($O28-$O$3)/1000,1)+IF($O28&lt;30000,-10,_xlfn.SWITCH(FREQUENCY(($J28,$O28,$T28,$Y28),29900),3,30,2,_xlfn.SWITCH(_xlfn.RANK.EQ($O28,($J28,$O28,$T28,$Y28)),1,15,2,5),1,_xlfn.SWITCH(_xlfn.RANK.EQ($O28,($J28,$O28,$T28,$Y28)),1,7,2,2,3,1),0,0)))</f>
        <v/>
      </c>
      <c r="AB28" s="34" t="str">
        <f>IF($T28="","",ROUND(($T28-$T$3)/1000,1)+IF($T28&lt;30000,-10,_xlfn.SWITCH(FREQUENCY(($J28,$O28,$T28,$Y28),29900),3,30,2,_xlfn.SWITCH(_xlfn.RANK.EQ($T28,($J28,$O28,$T28,$Y28)),1,15,2,5),1,_xlfn.SWITCH(_xlfn.RANK.EQ($T28,($J28,$O28,$T28,$Y28)),1,7,2,2,3,1),0,0)))</f>
        <v/>
      </c>
      <c r="AC28" s="35" t="str">
        <f>IF($Y28="","",ROUND(($Y28-$Y$3)/1000,1)+IF($Y28&lt;30000,-10,_xlfn.SWITCH(FREQUENCY(($J28,$O28,$T28,$Y28),29900),3,30,2,_xlfn.SWITCH(_xlfn.RANK.EQ($Y28,($J28,$O28,$T28,$Y28)),1,15,2,5),1,_xlfn.SWITCH(_xlfn.RANK.EQ($Y28,($J28,$O28,$T28,$Y28)),1,7,2,2,3,1),0,0)))</f>
        <v/>
      </c>
    </row>
    <row r="29" spans="1:29" x14ac:dyDescent="0.4">
      <c r="A29" s="13" t="str">
        <f t="shared" si="8"/>
        <v/>
      </c>
      <c r="B29" s="18" t="str">
        <f t="shared" si="5"/>
        <v/>
      </c>
      <c r="C29" s="18" t="str">
        <f t="shared" si="6"/>
        <v/>
      </c>
      <c r="D29" s="18" t="str">
        <f t="shared" si="7"/>
        <v/>
      </c>
      <c r="E29" s="4"/>
      <c r="F29" s="8"/>
      <c r="G29" s="9"/>
      <c r="H29" s="9"/>
      <c r="I29" s="28"/>
      <c r="J29" s="21" t="str">
        <f t="shared" si="1"/>
        <v/>
      </c>
      <c r="K29" s="8"/>
      <c r="L29" s="9"/>
      <c r="M29" s="9"/>
      <c r="N29" s="28"/>
      <c r="O29" s="21" t="str">
        <f t="shared" si="2"/>
        <v/>
      </c>
      <c r="P29" s="8"/>
      <c r="Q29" s="9"/>
      <c r="R29" s="9"/>
      <c r="S29" s="28"/>
      <c r="T29" s="21" t="str">
        <f t="shared" si="3"/>
        <v/>
      </c>
      <c r="U29" s="8"/>
      <c r="V29" s="9"/>
      <c r="W29" s="9"/>
      <c r="X29" s="28"/>
      <c r="Y29" s="21" t="str">
        <f t="shared" si="4"/>
        <v/>
      </c>
      <c r="Z29" s="33" t="str">
        <f>IF($J29="","",ROUND(($J29-$J$3)/1000,1)+IF($J29&lt;30000,-10,_xlfn.SWITCH(FREQUENCY(($J29,$O29,$T29,$Y29),29900),3,30,2,_xlfn.SWITCH(_xlfn.RANK.EQ($J29,($J29,$O29,$T29,$Y29)),1,15,2,5),1,_xlfn.SWITCH(_xlfn.RANK.EQ($J29,($J29,$O29,$T29,$Y29)),1,7,2,2,3,1),0,0)))</f>
        <v/>
      </c>
      <c r="AA29" s="34" t="str">
        <f>IF($O29="","",ROUND(($O29-$O$3)/1000,1)+IF($O29&lt;30000,-10,_xlfn.SWITCH(FREQUENCY(($J29,$O29,$T29,$Y29),29900),3,30,2,_xlfn.SWITCH(_xlfn.RANK.EQ($O29,($J29,$O29,$T29,$Y29)),1,15,2,5),1,_xlfn.SWITCH(_xlfn.RANK.EQ($O29,($J29,$O29,$T29,$Y29)),1,7,2,2,3,1),0,0)))</f>
        <v/>
      </c>
      <c r="AB29" s="34" t="str">
        <f>IF($T29="","",ROUND(($T29-$T$3)/1000,1)+IF($T29&lt;30000,-10,_xlfn.SWITCH(FREQUENCY(($J29,$O29,$T29,$Y29),29900),3,30,2,_xlfn.SWITCH(_xlfn.RANK.EQ($T29,($J29,$O29,$T29,$Y29)),1,15,2,5),1,_xlfn.SWITCH(_xlfn.RANK.EQ($T29,($J29,$O29,$T29,$Y29)),1,7,2,2,3,1),0,0)))</f>
        <v/>
      </c>
      <c r="AC29" s="35" t="str">
        <f>IF($Y29="","",ROUND(($Y29-$Y$3)/1000,1)+IF($Y29&lt;30000,-10,_xlfn.SWITCH(FREQUENCY(($J29,$O29,$T29,$Y29),29900),3,30,2,_xlfn.SWITCH(_xlfn.RANK.EQ($Y29,($J29,$O29,$T29,$Y29)),1,15,2,5),1,_xlfn.SWITCH(_xlfn.RANK.EQ($Y29,($J29,$O29,$T29,$Y29)),1,7,2,2,3,1),0,0)))</f>
        <v/>
      </c>
    </row>
    <row r="30" spans="1:29" x14ac:dyDescent="0.4">
      <c r="A30" s="14" t="str">
        <f t="shared" si="8"/>
        <v/>
      </c>
      <c r="B30" s="19" t="str">
        <f t="shared" si="5"/>
        <v/>
      </c>
      <c r="C30" s="19" t="str">
        <f t="shared" si="6"/>
        <v/>
      </c>
      <c r="D30" s="19" t="str">
        <f t="shared" si="7"/>
        <v/>
      </c>
      <c r="E30" s="5"/>
      <c r="F30" s="10"/>
      <c r="G30" s="11"/>
      <c r="H30" s="11"/>
      <c r="I30" s="29"/>
      <c r="J30" s="22" t="str">
        <f t="shared" si="1"/>
        <v/>
      </c>
      <c r="K30" s="10"/>
      <c r="L30" s="11"/>
      <c r="M30" s="11"/>
      <c r="N30" s="29"/>
      <c r="O30" s="22" t="str">
        <f t="shared" si="2"/>
        <v/>
      </c>
      <c r="P30" s="10"/>
      <c r="Q30" s="11"/>
      <c r="R30" s="11"/>
      <c r="S30" s="29"/>
      <c r="T30" s="22" t="str">
        <f t="shared" si="3"/>
        <v/>
      </c>
      <c r="U30" s="10"/>
      <c r="V30" s="11"/>
      <c r="W30" s="11"/>
      <c r="X30" s="29"/>
      <c r="Y30" s="22" t="str">
        <f t="shared" si="4"/>
        <v/>
      </c>
      <c r="Z30" s="36" t="str">
        <f>IF($J30="","",ROUND(($J30-$J$3)/1000,1)+IF($J30&lt;30000,-10,_xlfn.SWITCH(FREQUENCY(($J30,$O30,$T30,$Y30),29900),3,30,2,_xlfn.SWITCH(_xlfn.RANK.EQ($J30,($J30,$O30,$T30,$Y30)),1,15,2,5),1,_xlfn.SWITCH(_xlfn.RANK.EQ($J30,($J30,$O30,$T30,$Y30)),1,7,2,2,3,1),0,0)))</f>
        <v/>
      </c>
      <c r="AA30" s="37" t="str">
        <f>IF($O30="","",ROUND(($O30-$O$3)/1000,1)+IF($O30&lt;30000,-10,_xlfn.SWITCH(FREQUENCY(($J30,$O30,$T30,$Y30),29900),3,30,2,_xlfn.SWITCH(_xlfn.RANK.EQ($O30,($J30,$O30,$T30,$Y30)),1,15,2,5),1,_xlfn.SWITCH(_xlfn.RANK.EQ($O30,($J30,$O30,$T30,$Y30)),1,7,2,2,3,1),0,0)))</f>
        <v/>
      </c>
      <c r="AB30" s="37" t="str">
        <f>IF($T30="","",ROUND(($T30-$T$3)/1000,1)+IF($T30&lt;30000,-10,_xlfn.SWITCH(FREQUENCY(($J30,$O30,$T30,$Y30),29900),3,30,2,_xlfn.SWITCH(_xlfn.RANK.EQ($T30,($J30,$O30,$T30,$Y30)),1,15,2,5),1,_xlfn.SWITCH(_xlfn.RANK.EQ($T30,($J30,$O30,$T30,$Y30)),1,7,2,2,3,1),0,0)))</f>
        <v/>
      </c>
      <c r="AC30" s="38" t="str">
        <f>IF($Y30="","",ROUND(($Y30-$Y$3)/1000,1)+IF($Y30&lt;30000,-10,_xlfn.SWITCH(FREQUENCY(($J30,$O30,$T30,$Y30),29900),3,30,2,_xlfn.SWITCH(_xlfn.RANK.EQ($Y30,($J30,$O30,$T30,$Y30)),1,15,2,5),1,_xlfn.SWITCH(_xlfn.RANK.EQ($Y30,($J30,$O30,$T30,$Y30)),1,7,2,2,3,1),0,0)))</f>
        <v/>
      </c>
    </row>
  </sheetData>
  <mergeCells count="10">
    <mergeCell ref="K1:O1"/>
    <mergeCell ref="P1:T1"/>
    <mergeCell ref="U1:Y1"/>
    <mergeCell ref="Z1:AC1"/>
    <mergeCell ref="A1:A2"/>
    <mergeCell ref="B1:B2"/>
    <mergeCell ref="C1:C2"/>
    <mergeCell ref="D1:D2"/>
    <mergeCell ref="E1:E2"/>
    <mergeCell ref="F1:J1"/>
  </mergeCells>
  <phoneticPr fontId="1"/>
  <conditionalFormatting sqref="G4:G30 L4:L30 Q4:Q30 V4:V30">
    <cfRule type="expression" dxfId="2" priority="3">
      <formula>IF(G4&lt;&gt;"",SUM($G4:$I4,$L4:$N4,$Q4:$S4,$V4:$X4)-$D4*1000+$D5*1000)</formula>
    </cfRule>
  </conditionalFormatting>
  <conditionalFormatting sqref="F1:Y1">
    <cfRule type="duplicateValues" dxfId="1" priority="2"/>
  </conditionalFormatting>
  <conditionalFormatting sqref="Z3:AC30">
    <cfRule type="expression" dxfId="0" priority="1">
      <formula>AND(Z4="",SUM($Z3:$AC3))</formula>
    </cfRule>
  </conditionalFormatting>
  <dataValidations count="2">
    <dataValidation type="list" showInputMessage="1" showErrorMessage="1" sqref="K4:K30 P4:P30 F4:F30 U4:U30" xr:uid="{1856CEA4-B56E-4BCA-90FF-5F2426BE0C3F}">
      <formula1>"ロン,ツモ,放銃,ツモ支払,流局,チョンボ"</formula1>
    </dataValidation>
    <dataValidation type="list" allowBlank="1" showInputMessage="1" showErrorMessage="1" sqref="E4:E30" xr:uid="{2DFA1CED-771A-42E8-AC51-E91F4DEBDB59}">
      <formula1>$Z$2:$AC$2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3"/>
  <dimension ref="A1:M13"/>
  <sheetViews>
    <sheetView workbookViewId="0"/>
  </sheetViews>
  <sheetFormatPr defaultColWidth="9" defaultRowHeight="18.75" x14ac:dyDescent="0.4"/>
  <cols>
    <col min="1" max="12" width="9" style="25"/>
    <col min="13" max="13" width="9" style="25" customWidth="1"/>
    <col min="14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E3" s="25">
        <v>3900</v>
      </c>
      <c r="F3" s="25">
        <v>7700</v>
      </c>
    </row>
    <row r="4" spans="1:13" x14ac:dyDescent="0.4">
      <c r="A4" s="15">
        <v>25</v>
      </c>
      <c r="D4" s="25">
        <v>2400</v>
      </c>
      <c r="E4" s="25">
        <v>4800</v>
      </c>
      <c r="F4" s="25">
        <v>9600</v>
      </c>
    </row>
    <row r="5" spans="1:13" x14ac:dyDescent="0.4">
      <c r="A5" s="15">
        <v>30</v>
      </c>
      <c r="C5" s="25">
        <v>1500</v>
      </c>
      <c r="D5" s="25">
        <v>2900</v>
      </c>
      <c r="E5" s="25">
        <v>5800</v>
      </c>
      <c r="F5" s="25">
        <v>11600</v>
      </c>
    </row>
    <row r="6" spans="1:13" x14ac:dyDescent="0.4">
      <c r="A6" s="15">
        <v>40</v>
      </c>
      <c r="C6" s="25">
        <v>2000</v>
      </c>
      <c r="D6" s="25">
        <v>3900</v>
      </c>
      <c r="E6" s="25">
        <v>7700</v>
      </c>
      <c r="F6" s="25">
        <v>12000</v>
      </c>
    </row>
    <row r="7" spans="1:13" x14ac:dyDescent="0.4">
      <c r="A7" s="15">
        <v>50</v>
      </c>
      <c r="C7" s="25">
        <v>2400</v>
      </c>
      <c r="D7" s="25">
        <v>4800</v>
      </c>
      <c r="E7" s="25">
        <v>9600</v>
      </c>
      <c r="F7" s="25">
        <v>12000</v>
      </c>
    </row>
    <row r="8" spans="1:13" x14ac:dyDescent="0.4">
      <c r="A8" s="15">
        <v>60</v>
      </c>
      <c r="C8" s="25">
        <v>2900</v>
      </c>
      <c r="D8" s="25">
        <v>5800</v>
      </c>
      <c r="E8" s="25">
        <v>11600</v>
      </c>
      <c r="F8" s="25">
        <v>12000</v>
      </c>
    </row>
    <row r="9" spans="1:13" x14ac:dyDescent="0.4">
      <c r="A9" s="15">
        <v>70</v>
      </c>
      <c r="C9" s="25">
        <v>3400</v>
      </c>
      <c r="D9" s="25">
        <v>6800</v>
      </c>
      <c r="E9" s="25">
        <v>12000</v>
      </c>
      <c r="F9" s="25">
        <v>12000</v>
      </c>
    </row>
    <row r="10" spans="1:13" x14ac:dyDescent="0.4">
      <c r="A10" s="15">
        <v>80</v>
      </c>
      <c r="C10" s="25">
        <v>3900</v>
      </c>
      <c r="D10" s="25">
        <v>7700</v>
      </c>
      <c r="E10" s="25">
        <v>12000</v>
      </c>
      <c r="F10" s="25">
        <v>12000</v>
      </c>
    </row>
    <row r="11" spans="1:13" x14ac:dyDescent="0.4">
      <c r="A11" s="15">
        <v>90</v>
      </c>
      <c r="C11" s="25">
        <v>4400</v>
      </c>
      <c r="D11" s="25">
        <v>8700</v>
      </c>
      <c r="E11" s="25">
        <v>12000</v>
      </c>
      <c r="F11" s="25">
        <v>12000</v>
      </c>
    </row>
    <row r="12" spans="1:13" x14ac:dyDescent="0.4">
      <c r="A12" s="15">
        <v>100</v>
      </c>
      <c r="C12" s="25">
        <v>4800</v>
      </c>
      <c r="D12" s="25">
        <v>9600</v>
      </c>
      <c r="E12" s="25">
        <v>12000</v>
      </c>
      <c r="F12" s="25">
        <v>12000</v>
      </c>
    </row>
    <row r="13" spans="1:13" x14ac:dyDescent="0.4">
      <c r="A13" s="15">
        <v>110</v>
      </c>
      <c r="D13" s="25">
        <v>10600</v>
      </c>
      <c r="E13" s="25">
        <v>12000</v>
      </c>
      <c r="F13" s="25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7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12000</v>
      </c>
      <c r="H2" s="25">
        <v>18000</v>
      </c>
      <c r="I2" s="25">
        <v>24000</v>
      </c>
      <c r="J2" s="25">
        <v>36000</v>
      </c>
      <c r="K2" s="25">
        <v>48000</v>
      </c>
      <c r="L2" s="25">
        <v>96000</v>
      </c>
      <c r="M2" s="25">
        <v>144000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2100</v>
      </c>
      <c r="E3" s="25">
        <v>3900</v>
      </c>
      <c r="F3" s="25">
        <v>7800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4800</v>
      </c>
      <c r="F4" s="25">
        <v>9600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1500</v>
      </c>
      <c r="D5" s="25">
        <v>3000</v>
      </c>
      <c r="E5" s="25">
        <v>6000</v>
      </c>
      <c r="F5" s="25">
        <v>11700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2100</v>
      </c>
      <c r="D6" s="25">
        <v>3900</v>
      </c>
      <c r="E6" s="25">
        <v>7800</v>
      </c>
      <c r="F6" s="25">
        <v>12000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2400</v>
      </c>
      <c r="D7" s="25">
        <v>4800</v>
      </c>
      <c r="E7" s="25">
        <v>9600</v>
      </c>
      <c r="F7" s="25">
        <v>12000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3000</v>
      </c>
      <c r="D8" s="25">
        <v>6000</v>
      </c>
      <c r="E8" s="25">
        <v>11700</v>
      </c>
      <c r="F8" s="25">
        <v>12000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3600</v>
      </c>
      <c r="D9" s="25">
        <v>6900</v>
      </c>
      <c r="E9" s="25">
        <v>12000</v>
      </c>
      <c r="F9" s="25">
        <v>12000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3900</v>
      </c>
      <c r="D10" s="25">
        <v>7800</v>
      </c>
      <c r="E10" s="25">
        <v>12000</v>
      </c>
      <c r="F10" s="25">
        <v>12000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4500</v>
      </c>
      <c r="D11" s="25">
        <v>8700</v>
      </c>
      <c r="E11" s="25">
        <v>12000</v>
      </c>
      <c r="F11" s="25">
        <v>12000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4800</v>
      </c>
      <c r="D12" s="25">
        <v>9600</v>
      </c>
      <c r="E12" s="25">
        <v>12000</v>
      </c>
      <c r="F12" s="25">
        <v>12000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10800</v>
      </c>
      <c r="E13" s="25">
        <v>12000</v>
      </c>
      <c r="F13" s="25">
        <v>12000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6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2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C3" s="25" t="s">
        <v>10</v>
      </c>
      <c r="D3" s="25" t="s">
        <v>10</v>
      </c>
      <c r="E3" s="25">
        <v>2600</v>
      </c>
      <c r="F3" s="25">
        <v>5200</v>
      </c>
    </row>
    <row r="4" spans="1:13" x14ac:dyDescent="0.4">
      <c r="A4" s="15">
        <v>25</v>
      </c>
      <c r="C4" s="25" t="s">
        <v>10</v>
      </c>
      <c r="D4" s="25">
        <v>1600</v>
      </c>
      <c r="E4" s="25">
        <v>3200</v>
      </c>
      <c r="F4" s="25">
        <v>6400</v>
      </c>
    </row>
    <row r="5" spans="1:13" x14ac:dyDescent="0.4">
      <c r="A5" s="15">
        <v>30</v>
      </c>
      <c r="C5" s="25">
        <v>1000</v>
      </c>
      <c r="D5" s="25">
        <v>2000</v>
      </c>
      <c r="E5" s="25">
        <v>3900</v>
      </c>
      <c r="F5" s="25">
        <v>7700</v>
      </c>
    </row>
    <row r="6" spans="1:13" x14ac:dyDescent="0.4">
      <c r="A6" s="15">
        <v>40</v>
      </c>
      <c r="C6" s="25">
        <v>1300</v>
      </c>
      <c r="D6" s="25">
        <v>2600</v>
      </c>
      <c r="E6" s="25">
        <v>5200</v>
      </c>
      <c r="F6" s="25">
        <v>8000</v>
      </c>
    </row>
    <row r="7" spans="1:13" x14ac:dyDescent="0.4">
      <c r="A7" s="15">
        <v>50</v>
      </c>
      <c r="C7" s="25">
        <v>1600</v>
      </c>
      <c r="D7" s="25">
        <v>3200</v>
      </c>
      <c r="E7" s="25">
        <v>6400</v>
      </c>
      <c r="F7" s="25">
        <v>8000</v>
      </c>
    </row>
    <row r="8" spans="1:13" x14ac:dyDescent="0.4">
      <c r="A8" s="15">
        <v>60</v>
      </c>
      <c r="C8" s="25">
        <v>2000</v>
      </c>
      <c r="D8" s="25">
        <v>3900</v>
      </c>
      <c r="E8" s="25">
        <v>7700</v>
      </c>
      <c r="F8" s="25">
        <v>8000</v>
      </c>
    </row>
    <row r="9" spans="1:13" x14ac:dyDescent="0.4">
      <c r="A9" s="15">
        <v>70</v>
      </c>
      <c r="C9" s="25">
        <v>2300</v>
      </c>
      <c r="D9" s="25">
        <v>4500</v>
      </c>
      <c r="E9" s="25">
        <v>8000</v>
      </c>
      <c r="F9" s="25">
        <v>8000</v>
      </c>
    </row>
    <row r="10" spans="1:13" x14ac:dyDescent="0.4">
      <c r="A10" s="15">
        <v>80</v>
      </c>
      <c r="C10" s="25">
        <v>2600</v>
      </c>
      <c r="D10" s="25">
        <v>5200</v>
      </c>
      <c r="E10" s="25">
        <v>8000</v>
      </c>
      <c r="F10" s="25">
        <v>8000</v>
      </c>
    </row>
    <row r="11" spans="1:13" x14ac:dyDescent="0.4">
      <c r="A11" s="15">
        <v>90</v>
      </c>
      <c r="C11" s="25">
        <v>2900</v>
      </c>
      <c r="D11" s="25">
        <v>5800</v>
      </c>
      <c r="E11" s="25">
        <v>8000</v>
      </c>
      <c r="F11" s="25">
        <v>8000</v>
      </c>
    </row>
    <row r="12" spans="1:13" x14ac:dyDescent="0.4">
      <c r="A12" s="15">
        <v>100</v>
      </c>
      <c r="C12" s="25">
        <v>3200</v>
      </c>
      <c r="D12" s="25">
        <v>6400</v>
      </c>
      <c r="E12" s="25">
        <v>8000</v>
      </c>
      <c r="F12" s="25">
        <v>8000</v>
      </c>
    </row>
    <row r="13" spans="1:13" x14ac:dyDescent="0.4">
      <c r="A13" s="15">
        <v>110</v>
      </c>
      <c r="C13" s="25" t="s">
        <v>10</v>
      </c>
      <c r="D13" s="25">
        <v>7100</v>
      </c>
      <c r="E13" s="25">
        <v>8000</v>
      </c>
      <c r="F13" s="25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8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8000</v>
      </c>
      <c r="H2" s="25">
        <v>12000</v>
      </c>
      <c r="I2" s="25">
        <v>16000</v>
      </c>
      <c r="J2" s="25">
        <v>24000</v>
      </c>
      <c r="K2" s="25">
        <v>32000</v>
      </c>
      <c r="L2" s="25">
        <v>64000</v>
      </c>
      <c r="M2" s="25">
        <v>96000</v>
      </c>
    </row>
    <row r="3" spans="1:13" x14ac:dyDescent="0.4">
      <c r="A3" s="15">
        <v>20</v>
      </c>
      <c r="B3" s="25" t="s">
        <v>10</v>
      </c>
      <c r="C3" s="25" t="s">
        <v>10</v>
      </c>
      <c r="D3" s="25">
        <v>1500</v>
      </c>
      <c r="E3" s="25">
        <v>2700</v>
      </c>
      <c r="F3" s="25">
        <v>5200</v>
      </c>
      <c r="G3" s="25" t="s">
        <v>10</v>
      </c>
      <c r="H3" s="25" t="s">
        <v>10</v>
      </c>
      <c r="I3" s="25" t="s">
        <v>10</v>
      </c>
      <c r="J3" s="25" t="s">
        <v>10</v>
      </c>
      <c r="K3" s="25" t="s">
        <v>10</v>
      </c>
      <c r="L3" s="25" t="s">
        <v>10</v>
      </c>
      <c r="M3" s="25" t="s">
        <v>10</v>
      </c>
    </row>
    <row r="4" spans="1:13" x14ac:dyDescent="0.4">
      <c r="A4" s="15">
        <v>25</v>
      </c>
      <c r="B4" s="25" t="s">
        <v>10</v>
      </c>
      <c r="C4" s="25" t="s">
        <v>10</v>
      </c>
      <c r="D4" s="25" t="s">
        <v>10</v>
      </c>
      <c r="E4" s="25">
        <v>3200</v>
      </c>
      <c r="F4" s="25">
        <v>6400</v>
      </c>
      <c r="G4" s="25" t="s">
        <v>10</v>
      </c>
      <c r="H4" s="25" t="s">
        <v>10</v>
      </c>
      <c r="I4" s="25" t="s">
        <v>10</v>
      </c>
      <c r="J4" s="25" t="s">
        <v>10</v>
      </c>
      <c r="K4" s="25" t="s">
        <v>10</v>
      </c>
      <c r="L4" s="25" t="s">
        <v>10</v>
      </c>
      <c r="M4" s="25" t="s">
        <v>10</v>
      </c>
    </row>
    <row r="5" spans="1:13" x14ac:dyDescent="0.4">
      <c r="A5" s="15">
        <v>30</v>
      </c>
      <c r="B5" s="25" t="s">
        <v>10</v>
      </c>
      <c r="C5" s="25">
        <v>1100</v>
      </c>
      <c r="D5" s="25">
        <v>2000</v>
      </c>
      <c r="E5" s="25">
        <v>4000</v>
      </c>
      <c r="F5" s="25">
        <v>7900</v>
      </c>
      <c r="G5" s="25" t="s">
        <v>10</v>
      </c>
      <c r="H5" s="25" t="s">
        <v>10</v>
      </c>
      <c r="I5" s="25" t="s">
        <v>10</v>
      </c>
      <c r="J5" s="25" t="s">
        <v>10</v>
      </c>
      <c r="K5" s="25" t="s">
        <v>10</v>
      </c>
      <c r="L5" s="25" t="s">
        <v>10</v>
      </c>
      <c r="M5" s="25" t="s">
        <v>10</v>
      </c>
    </row>
    <row r="6" spans="1:13" x14ac:dyDescent="0.4">
      <c r="A6" s="15">
        <v>40</v>
      </c>
      <c r="B6" s="25" t="s">
        <v>10</v>
      </c>
      <c r="C6" s="25">
        <v>1500</v>
      </c>
      <c r="D6" s="25">
        <v>2700</v>
      </c>
      <c r="E6" s="25">
        <v>5200</v>
      </c>
      <c r="F6" s="25">
        <v>8000</v>
      </c>
      <c r="G6" s="25" t="s">
        <v>10</v>
      </c>
      <c r="H6" s="25" t="s">
        <v>10</v>
      </c>
      <c r="I6" s="25" t="s">
        <v>10</v>
      </c>
      <c r="J6" s="25" t="s">
        <v>10</v>
      </c>
      <c r="K6" s="25" t="s">
        <v>10</v>
      </c>
      <c r="L6" s="25" t="s">
        <v>10</v>
      </c>
      <c r="M6" s="25" t="s">
        <v>10</v>
      </c>
    </row>
    <row r="7" spans="1:13" x14ac:dyDescent="0.4">
      <c r="A7" s="15">
        <v>50</v>
      </c>
      <c r="B7" s="25" t="s">
        <v>10</v>
      </c>
      <c r="C7" s="25">
        <v>1600</v>
      </c>
      <c r="D7" s="25">
        <v>3200</v>
      </c>
      <c r="E7" s="25">
        <v>6400</v>
      </c>
      <c r="F7" s="25">
        <v>8000</v>
      </c>
      <c r="G7" s="25" t="s">
        <v>10</v>
      </c>
      <c r="H7" s="25" t="s">
        <v>10</v>
      </c>
      <c r="I7" s="25" t="s">
        <v>10</v>
      </c>
      <c r="J7" s="25" t="s">
        <v>10</v>
      </c>
      <c r="K7" s="25" t="s">
        <v>10</v>
      </c>
      <c r="L7" s="25" t="s">
        <v>10</v>
      </c>
      <c r="M7" s="25" t="s">
        <v>10</v>
      </c>
    </row>
    <row r="8" spans="1:13" x14ac:dyDescent="0.4">
      <c r="A8" s="15">
        <v>60</v>
      </c>
      <c r="B8" s="25" t="s">
        <v>10</v>
      </c>
      <c r="C8" s="25">
        <v>2000</v>
      </c>
      <c r="D8" s="25">
        <v>4000</v>
      </c>
      <c r="E8" s="25">
        <v>7900</v>
      </c>
      <c r="F8" s="25">
        <v>8000</v>
      </c>
      <c r="G8" s="25" t="s">
        <v>10</v>
      </c>
      <c r="H8" s="25" t="s">
        <v>10</v>
      </c>
      <c r="I8" s="25" t="s">
        <v>10</v>
      </c>
      <c r="J8" s="25" t="s">
        <v>10</v>
      </c>
      <c r="K8" s="25" t="s">
        <v>10</v>
      </c>
      <c r="L8" s="25" t="s">
        <v>10</v>
      </c>
      <c r="M8" s="25" t="s">
        <v>10</v>
      </c>
    </row>
    <row r="9" spans="1:13" x14ac:dyDescent="0.4">
      <c r="A9" s="15">
        <v>70</v>
      </c>
      <c r="B9" s="25" t="s">
        <v>10</v>
      </c>
      <c r="C9" s="25">
        <v>2400</v>
      </c>
      <c r="D9" s="25">
        <v>4700</v>
      </c>
      <c r="E9" s="25">
        <v>8000</v>
      </c>
      <c r="F9" s="25">
        <v>8000</v>
      </c>
      <c r="G9" s="25" t="s">
        <v>10</v>
      </c>
      <c r="H9" s="25" t="s">
        <v>10</v>
      </c>
      <c r="I9" s="25" t="s">
        <v>10</v>
      </c>
      <c r="J9" s="25" t="s">
        <v>10</v>
      </c>
      <c r="K9" s="25" t="s">
        <v>10</v>
      </c>
      <c r="L9" s="25" t="s">
        <v>10</v>
      </c>
      <c r="M9" s="25" t="s">
        <v>10</v>
      </c>
    </row>
    <row r="10" spans="1:13" x14ac:dyDescent="0.4">
      <c r="A10" s="15">
        <v>80</v>
      </c>
      <c r="B10" s="25" t="s">
        <v>10</v>
      </c>
      <c r="C10" s="25">
        <v>2700</v>
      </c>
      <c r="D10" s="25">
        <v>5200</v>
      </c>
      <c r="E10" s="25">
        <v>8000</v>
      </c>
      <c r="F10" s="25">
        <v>8000</v>
      </c>
      <c r="G10" s="25" t="s">
        <v>10</v>
      </c>
      <c r="H10" s="25" t="s">
        <v>10</v>
      </c>
      <c r="I10" s="25" t="s">
        <v>10</v>
      </c>
      <c r="J10" s="25" t="s">
        <v>10</v>
      </c>
      <c r="K10" s="25" t="s">
        <v>10</v>
      </c>
      <c r="L10" s="25" t="s">
        <v>10</v>
      </c>
      <c r="M10" s="25" t="s">
        <v>10</v>
      </c>
    </row>
    <row r="11" spans="1:13" x14ac:dyDescent="0.4">
      <c r="A11" s="15">
        <v>90</v>
      </c>
      <c r="B11" s="25" t="s">
        <v>10</v>
      </c>
      <c r="C11" s="25">
        <v>3100</v>
      </c>
      <c r="D11" s="25">
        <v>5900</v>
      </c>
      <c r="E11" s="25">
        <v>8000</v>
      </c>
      <c r="F11" s="25">
        <v>8000</v>
      </c>
      <c r="G11" s="25" t="s">
        <v>10</v>
      </c>
      <c r="H11" s="25" t="s">
        <v>10</v>
      </c>
      <c r="I11" s="25" t="s">
        <v>10</v>
      </c>
      <c r="J11" s="25" t="s">
        <v>10</v>
      </c>
      <c r="K11" s="25" t="s">
        <v>10</v>
      </c>
      <c r="L11" s="25" t="s">
        <v>10</v>
      </c>
      <c r="M11" s="25" t="s">
        <v>10</v>
      </c>
    </row>
    <row r="12" spans="1:13" x14ac:dyDescent="0.4">
      <c r="A12" s="15">
        <v>100</v>
      </c>
      <c r="B12" s="25" t="s">
        <v>10</v>
      </c>
      <c r="C12" s="25">
        <v>3200</v>
      </c>
      <c r="D12" s="25">
        <v>6400</v>
      </c>
      <c r="E12" s="25">
        <v>8000</v>
      </c>
      <c r="F12" s="25">
        <v>8000</v>
      </c>
      <c r="G12" s="25" t="s">
        <v>10</v>
      </c>
      <c r="H12" s="25" t="s">
        <v>10</v>
      </c>
      <c r="I12" s="25" t="s">
        <v>10</v>
      </c>
      <c r="J12" s="25" t="s">
        <v>10</v>
      </c>
      <c r="K12" s="25" t="s">
        <v>10</v>
      </c>
      <c r="L12" s="25" t="s">
        <v>10</v>
      </c>
      <c r="M12" s="25" t="s">
        <v>10</v>
      </c>
    </row>
    <row r="13" spans="1:13" x14ac:dyDescent="0.4">
      <c r="A13" s="15">
        <v>110</v>
      </c>
      <c r="B13" s="25" t="s">
        <v>10</v>
      </c>
      <c r="C13" s="25" t="s">
        <v>10</v>
      </c>
      <c r="D13" s="25">
        <v>7200</v>
      </c>
      <c r="E13" s="25">
        <v>8000</v>
      </c>
      <c r="F13" s="25">
        <v>8000</v>
      </c>
      <c r="G13" s="25" t="s">
        <v>10</v>
      </c>
      <c r="H13" s="25" t="s">
        <v>10</v>
      </c>
      <c r="I13" s="25" t="s">
        <v>10</v>
      </c>
      <c r="J13" s="25" t="s">
        <v>10</v>
      </c>
      <c r="K13" s="25" t="s">
        <v>10</v>
      </c>
      <c r="L13" s="25" t="s">
        <v>10</v>
      </c>
      <c r="M13" s="25" t="s">
        <v>10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4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-2000</v>
      </c>
      <c r="H2" s="25">
        <v>-3000</v>
      </c>
      <c r="I2" s="25">
        <v>-4000</v>
      </c>
      <c r="J2" s="25">
        <v>-6000</v>
      </c>
      <c r="K2" s="25">
        <v>-8000</v>
      </c>
      <c r="L2" s="25">
        <v>-16000</v>
      </c>
      <c r="M2" s="25">
        <v>-24000</v>
      </c>
    </row>
    <row r="3" spans="1:13" x14ac:dyDescent="0.4">
      <c r="A3" s="15">
        <v>20</v>
      </c>
      <c r="C3" s="25" t="s">
        <v>10</v>
      </c>
      <c r="D3" s="25">
        <v>-400</v>
      </c>
      <c r="E3" s="25">
        <v>-700</v>
      </c>
      <c r="F3" s="25">
        <v>-1300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-800</v>
      </c>
      <c r="F4" s="25">
        <v>-1600</v>
      </c>
      <c r="M4" s="25" t="s">
        <v>10</v>
      </c>
    </row>
    <row r="5" spans="1:13" x14ac:dyDescent="0.4">
      <c r="A5" s="15">
        <v>30</v>
      </c>
      <c r="C5" s="25">
        <v>-300</v>
      </c>
      <c r="D5" s="25">
        <v>-500</v>
      </c>
      <c r="E5" s="25">
        <v>-1000</v>
      </c>
      <c r="F5" s="25">
        <v>-2000</v>
      </c>
      <c r="M5" s="25" t="s">
        <v>10</v>
      </c>
    </row>
    <row r="6" spans="1:13" x14ac:dyDescent="0.4">
      <c r="A6" s="15">
        <v>40</v>
      </c>
      <c r="C6" s="25">
        <v>-400</v>
      </c>
      <c r="D6" s="25">
        <v>-700</v>
      </c>
      <c r="E6" s="25">
        <v>-1300</v>
      </c>
      <c r="F6" s="25">
        <v>-2000</v>
      </c>
      <c r="M6" s="25" t="s">
        <v>10</v>
      </c>
    </row>
    <row r="7" spans="1:13" x14ac:dyDescent="0.4">
      <c r="A7" s="15">
        <v>50</v>
      </c>
      <c r="C7" s="25">
        <v>-400</v>
      </c>
      <c r="D7" s="25">
        <v>-800</v>
      </c>
      <c r="E7" s="25">
        <v>-1600</v>
      </c>
      <c r="F7" s="25">
        <v>-2000</v>
      </c>
      <c r="M7" s="25" t="s">
        <v>10</v>
      </c>
    </row>
    <row r="8" spans="1:13" x14ac:dyDescent="0.4">
      <c r="A8" s="15">
        <v>60</v>
      </c>
      <c r="C8" s="25">
        <v>-500</v>
      </c>
      <c r="D8" s="25">
        <v>-1000</v>
      </c>
      <c r="E8" s="25">
        <v>-2000</v>
      </c>
      <c r="F8" s="25">
        <v>-2000</v>
      </c>
      <c r="M8" s="25" t="s">
        <v>10</v>
      </c>
    </row>
    <row r="9" spans="1:13" x14ac:dyDescent="0.4">
      <c r="A9" s="15">
        <v>70</v>
      </c>
      <c r="C9" s="25">
        <v>-600</v>
      </c>
      <c r="D9" s="25">
        <v>-1200</v>
      </c>
      <c r="E9" s="25">
        <v>-2000</v>
      </c>
      <c r="F9" s="25">
        <v>-2000</v>
      </c>
      <c r="M9" s="25" t="s">
        <v>10</v>
      </c>
    </row>
    <row r="10" spans="1:13" x14ac:dyDescent="0.4">
      <c r="A10" s="15">
        <v>80</v>
      </c>
      <c r="C10" s="25">
        <v>-700</v>
      </c>
      <c r="D10" s="25">
        <v>-1300</v>
      </c>
      <c r="E10" s="25">
        <v>-2000</v>
      </c>
      <c r="F10" s="25">
        <v>-2000</v>
      </c>
      <c r="M10" s="25" t="s">
        <v>10</v>
      </c>
    </row>
    <row r="11" spans="1:13" x14ac:dyDescent="0.4">
      <c r="A11" s="15">
        <v>90</v>
      </c>
      <c r="C11" s="25">
        <v>-800</v>
      </c>
      <c r="D11" s="25">
        <v>-1500</v>
      </c>
      <c r="E11" s="25">
        <v>-2000</v>
      </c>
      <c r="F11" s="25">
        <v>-2000</v>
      </c>
      <c r="M11" s="25" t="s">
        <v>10</v>
      </c>
    </row>
    <row r="12" spans="1:13" x14ac:dyDescent="0.4">
      <c r="A12" s="15">
        <v>100</v>
      </c>
      <c r="C12" s="25">
        <v>-800</v>
      </c>
      <c r="D12" s="25">
        <v>-1600</v>
      </c>
      <c r="E12" s="25">
        <v>-2000</v>
      </c>
      <c r="F12" s="25">
        <v>-2000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-1800</v>
      </c>
      <c r="E13" s="25">
        <v>-2000</v>
      </c>
      <c r="F13" s="25">
        <v>-2000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5"/>
  <dimension ref="A1:M13"/>
  <sheetViews>
    <sheetView workbookViewId="0"/>
  </sheetViews>
  <sheetFormatPr defaultColWidth="9" defaultRowHeight="18.75" x14ac:dyDescent="0.4"/>
  <cols>
    <col min="1" max="16384" width="9" style="25"/>
  </cols>
  <sheetData>
    <row r="1" spans="1:13" x14ac:dyDescent="0.4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">
      <c r="A2" s="15" t="s">
        <v>20</v>
      </c>
      <c r="B2" s="25">
        <v>0</v>
      </c>
      <c r="C2" s="25" t="s">
        <v>10</v>
      </c>
      <c r="D2" s="25" t="s">
        <v>10</v>
      </c>
      <c r="E2" s="25" t="s">
        <v>10</v>
      </c>
      <c r="F2" s="25" t="s">
        <v>10</v>
      </c>
      <c r="G2" s="25">
        <v>-4000</v>
      </c>
      <c r="H2" s="25">
        <v>-6000</v>
      </c>
      <c r="I2" s="25">
        <v>-8000</v>
      </c>
      <c r="J2" s="25">
        <v>-12000</v>
      </c>
      <c r="K2" s="25">
        <v>-16000</v>
      </c>
      <c r="L2" s="25">
        <v>-32000</v>
      </c>
      <c r="M2" s="25">
        <v>-48000</v>
      </c>
    </row>
    <row r="3" spans="1:13" x14ac:dyDescent="0.4">
      <c r="A3" s="15">
        <v>20</v>
      </c>
      <c r="C3" s="25" t="s">
        <v>10</v>
      </c>
      <c r="D3" s="25">
        <v>-700</v>
      </c>
      <c r="E3" s="25">
        <v>-1300</v>
      </c>
      <c r="F3" s="25">
        <v>-2600</v>
      </c>
    </row>
    <row r="4" spans="1:13" x14ac:dyDescent="0.4">
      <c r="A4" s="15">
        <v>25</v>
      </c>
      <c r="C4" s="25" t="s">
        <v>10</v>
      </c>
      <c r="D4" s="25" t="s">
        <v>10</v>
      </c>
      <c r="E4" s="25">
        <v>-1600</v>
      </c>
      <c r="F4" s="25">
        <v>-3200</v>
      </c>
    </row>
    <row r="5" spans="1:13" x14ac:dyDescent="0.4">
      <c r="A5" s="15">
        <v>30</v>
      </c>
      <c r="C5" s="25">
        <v>-500</v>
      </c>
      <c r="D5" s="25">
        <v>-1000</v>
      </c>
      <c r="E5" s="25">
        <v>-2000</v>
      </c>
      <c r="F5" s="25">
        <v>-3900</v>
      </c>
    </row>
    <row r="6" spans="1:13" x14ac:dyDescent="0.4">
      <c r="A6" s="15">
        <v>40</v>
      </c>
      <c r="C6" s="25">
        <v>-700</v>
      </c>
      <c r="D6" s="25">
        <v>-1300</v>
      </c>
      <c r="E6" s="25">
        <v>-2600</v>
      </c>
      <c r="F6" s="25">
        <v>-4000</v>
      </c>
    </row>
    <row r="7" spans="1:13" x14ac:dyDescent="0.4">
      <c r="A7" s="15">
        <v>50</v>
      </c>
      <c r="C7" s="25">
        <v>-800</v>
      </c>
      <c r="D7" s="25">
        <v>-1600</v>
      </c>
      <c r="E7" s="25">
        <v>-3200</v>
      </c>
      <c r="F7" s="25">
        <v>-4000</v>
      </c>
    </row>
    <row r="8" spans="1:13" x14ac:dyDescent="0.4">
      <c r="A8" s="15">
        <v>60</v>
      </c>
      <c r="C8" s="25">
        <v>-1000</v>
      </c>
      <c r="D8" s="25">
        <v>-2000</v>
      </c>
      <c r="E8" s="25">
        <v>-3900</v>
      </c>
      <c r="F8" s="25">
        <v>-4000</v>
      </c>
    </row>
    <row r="9" spans="1:13" x14ac:dyDescent="0.4">
      <c r="A9" s="15">
        <v>70</v>
      </c>
      <c r="C9" s="25">
        <v>-1200</v>
      </c>
      <c r="D9" s="25">
        <v>-2300</v>
      </c>
      <c r="E9" s="25">
        <v>-4000</v>
      </c>
      <c r="F9" s="25">
        <v>-4000</v>
      </c>
      <c r="M9" s="25" t="s">
        <v>10</v>
      </c>
    </row>
    <row r="10" spans="1:13" x14ac:dyDescent="0.4">
      <c r="A10" s="15">
        <v>80</v>
      </c>
      <c r="C10" s="25">
        <v>-1300</v>
      </c>
      <c r="D10" s="25">
        <v>-2600</v>
      </c>
      <c r="E10" s="25">
        <v>-4000</v>
      </c>
      <c r="F10" s="25">
        <v>-4000</v>
      </c>
      <c r="M10" s="25" t="s">
        <v>10</v>
      </c>
    </row>
    <row r="11" spans="1:13" x14ac:dyDescent="0.4">
      <c r="A11" s="15">
        <v>90</v>
      </c>
      <c r="C11" s="25">
        <v>-1500</v>
      </c>
      <c r="D11" s="25">
        <v>-2900</v>
      </c>
      <c r="E11" s="25">
        <v>-4000</v>
      </c>
      <c r="F11" s="25">
        <v>-4000</v>
      </c>
      <c r="M11" s="25" t="s">
        <v>10</v>
      </c>
    </row>
    <row r="12" spans="1:13" x14ac:dyDescent="0.4">
      <c r="A12" s="15">
        <v>100</v>
      </c>
      <c r="C12" s="25">
        <v>-1600</v>
      </c>
      <c r="D12" s="25">
        <v>-3200</v>
      </c>
      <c r="E12" s="25">
        <v>-4000</v>
      </c>
      <c r="F12" s="25">
        <v>-4000</v>
      </c>
      <c r="M12" s="25" t="s">
        <v>10</v>
      </c>
    </row>
    <row r="13" spans="1:13" x14ac:dyDescent="0.4">
      <c r="A13" s="15">
        <v>110</v>
      </c>
      <c r="C13" s="25" t="s">
        <v>10</v>
      </c>
      <c r="D13" s="25">
        <v>-3600</v>
      </c>
      <c r="E13" s="25">
        <v>-4000</v>
      </c>
      <c r="F13" s="25">
        <v>-4000</v>
      </c>
      <c r="M13" s="25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10</vt:i4>
      </vt:variant>
    </vt:vector>
  </HeadingPairs>
  <TitlesOfParts>
    <vt:vector size="10" baseType="lpstr">
      <vt:lpstr>Sheet1</vt:lpstr>
      <vt:lpstr>Sheet2</vt:lpstr>
      <vt:lpstr>Sheet3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burdock</cp:lastModifiedBy>
  <cp:lastPrinted>2018-10-03T09:15:05Z</cp:lastPrinted>
  <dcterms:created xsi:type="dcterms:W3CDTF">2018-10-02T11:54:05Z</dcterms:created>
  <dcterms:modified xsi:type="dcterms:W3CDTF">2019-06-20T16:08:16Z</dcterms:modified>
</cp:coreProperties>
</file>