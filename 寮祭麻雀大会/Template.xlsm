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"/>
    </mc:Choice>
  </mc:AlternateContent>
  <xr:revisionPtr revIDLastSave="0" documentId="13_ncr:1_{266720E9-747B-4E2F-B702-352FE38CA1E6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" i="20" l="1"/>
  <c r="AB3" i="20"/>
  <c r="AA3" i="20"/>
  <c r="Z3" i="20"/>
  <c r="Y30" i="20" l="1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C6" i="20" s="1"/>
  <c r="C7" i="20" s="1"/>
  <c r="B5" i="20"/>
  <c r="B6" i="20" s="1"/>
  <c r="Y4" i="20"/>
  <c r="AC4" i="20" s="1"/>
  <c r="T4" i="20"/>
  <c r="O4" i="20"/>
  <c r="J4" i="20"/>
  <c r="AC2" i="20"/>
  <c r="AB2" i="20"/>
  <c r="AA2" i="20"/>
  <c r="Z2" i="20"/>
  <c r="AB4" i="20" l="1"/>
  <c r="AA4" i="20"/>
  <c r="Z4" i="20"/>
  <c r="J5" i="20"/>
  <c r="Y5" i="20"/>
  <c r="AC5" i="20" s="1"/>
  <c r="O5" i="20"/>
  <c r="T5" i="20"/>
  <c r="AB5" i="20" s="1"/>
  <c r="A5" i="20"/>
  <c r="T6" i="20"/>
  <c r="AB6" i="20" s="1"/>
  <c r="Y6" i="20"/>
  <c r="AC6" i="20" s="1"/>
  <c r="J6" i="20"/>
  <c r="Z6" i="20" s="1"/>
  <c r="O6" i="20"/>
  <c r="AA6" i="20" s="1"/>
  <c r="A6" i="20"/>
  <c r="B7" i="20"/>
  <c r="AA5" i="20" l="1"/>
  <c r="Z5" i="20"/>
  <c r="B8" i="20"/>
  <c r="O7" i="20"/>
  <c r="Y7" i="20"/>
  <c r="A7" i="20"/>
  <c r="J7" i="20"/>
  <c r="T7" i="20"/>
  <c r="Z7" i="20" l="1"/>
  <c r="AC7" i="20"/>
  <c r="AB7" i="20"/>
  <c r="AA7" i="20"/>
  <c r="B9" i="20"/>
  <c r="O8" i="20"/>
  <c r="T8" i="20"/>
  <c r="J8" i="20"/>
  <c r="Y8" i="20"/>
  <c r="A8" i="20"/>
  <c r="Z8" i="20" l="1"/>
  <c r="AC8" i="20"/>
  <c r="AB8" i="20"/>
  <c r="AA8" i="20"/>
  <c r="J9" i="20"/>
  <c r="B10" i="20"/>
  <c r="O9" i="20"/>
  <c r="Y9" i="20"/>
  <c r="T9" i="20"/>
  <c r="A9" i="20"/>
  <c r="AA9" i="20" l="1"/>
  <c r="AB9" i="20"/>
  <c r="Z9" i="20"/>
  <c r="AC9" i="20"/>
  <c r="B11" i="20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<sst xmlns="http://schemas.openxmlformats.org/spreadsheetml/2006/main" count="357" uniqueCount="26">
  <si>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</si>
  <si>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</si>
  <si>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</si>
  <si>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</si>
  <si>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</si>
  <si>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</si>
  <si>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</si>
  <si>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</si>
  <si>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</si>
  <si>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</si>
  <si>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</si>
  <si>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</si>
  <si>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</si>
  <si>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</si>
  <si>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</si>
  <si>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</si>
  <si>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</si>
  <si>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</si>
  <si>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</si>
  <si>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</si>
  <si>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</si>
  <si>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</si>
  <si>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Player2</t>
    <phoneticPr fontId="1"/>
  </si>
  <si>
    <t>Player1</t>
    <phoneticPr fontId="1"/>
  </si>
  <si>
    <t>Player3</t>
    <phoneticPr fontId="1"/>
  </si>
  <si>
    <t>Player4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</si>
</sst>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1" t="s">
        <v>0</v>
      </c>
      <c r="B1" s="43" t="s">
        <v>2</v>
      </c>
      <c r="C1" s="43" t="s">
        <v>1</v>
      </c>
      <c r="D1" s="43" t="s">
        <v>18</v>
      </c>
      <c r="E1" s="45" t="s">
        <v>3</v>
      </c>
      <c r="F1" s="47" t="s">
        <v>23</v>
      </c>
      <c r="G1" s="48"/>
      <c r="H1" s="48"/>
      <c r="I1" s="49"/>
      <c r="J1" s="50"/>
      <c r="K1" s="47" t="s">
        <v>22</v>
      </c>
      <c r="L1" s="48"/>
      <c r="M1" s="48"/>
      <c r="N1" s="49"/>
      <c r="O1" s="50"/>
      <c r="P1" s="47" t="s">
        <v>24</v>
      </c>
      <c r="Q1" s="48"/>
      <c r="R1" s="48"/>
      <c r="S1" s="49"/>
      <c r="T1" s="50"/>
      <c r="U1" s="47" t="s">
        <v>25</v>
      </c>
      <c r="V1" s="48"/>
      <c r="W1" s="48"/>
      <c r="X1" s="49"/>
      <c r="Y1" s="50"/>
      <c r="Z1" s="47" t="s">
        <v>6</v>
      </c>
      <c r="AA1" s="51"/>
      <c r="AB1" s="48"/>
      <c r="AC1" s="50"/>
    </row>
    <row r="2" spans="1:29" x14ac:dyDescent="0.4">
      <c r="A2" s="42"/>
      <c r="B2" s="44"/>
      <c r="C2" s="44"/>
      <c r="D2" s="44"/>
      <c r="E2" s="46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Player1</v>
      </c>
      <c r="AA2" s="40" t="str">
        <f>$K$1</f>
        <v>Player2</v>
      </c>
      <c r="AB2" s="40" t="str">
        <f>$P$1</f>
        <v>Player3</v>
      </c>
      <c r="AC2" s="16" t="str">
        <f>$U$1</f>
        <v>Player4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IF($J3="","",ROUND(($J3-$J$3)/1000,1)+IF($J3&lt;30000,-10,_xlfn.SWITCH(FREQUENCY(($J3,$O3,$T3,$Y3),29500),3,30,2,_xlfn.SWITCH(_xlfn.RANK.EQ($J3,($J3,$O3,$T3,$Y3)),1,15,2,5),1,_xlfn.SWITCH(_xlfn.RANK.EQ($J3,($J3,$O3,$T3,$Y3)),1,7,2,2,3,1),0,0)))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IF($O3="","",ROUND(($O3-$O$3)/1000,1)+IF($O3&lt;30000,-10,_xlfn.SWITCH(FREQUENCY(($J3,$O3,$T3,$Y3),29500),3,30,2,_xlfn.SWITCH(_xlfn.RANK.EQ($O3,($J3,$O3,$T3,$Y3)),1,15,2,5),1,_xlfn.SWITCH(_xlfn.RANK.EQ($O3,($J3,$O3,$T3,$Y3)),1,7,2,2,3,1),0,0)))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IF($T3="","",ROUND(($T3-$T$3)/1000,1)+IF($T3&lt;30000,-10,_xlfn.SWITCH(FREQUENCY(($J3,$O3,$T3,$Y3),29500),3,30,2,_xlfn.SWITCH(_xlfn.RANK.EQ($T3,($J3,$O3,$T3,$Y3)),1,15,2,5),1,_xlfn.SWITCH(_xlfn.RANK.EQ($T3,($J3,$O3,$T3,$Y3)),1,7,2,2,3,1),0,0)))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IF($Y3="","",ROUND(($Y3-$Y$3)/1000,1)+IF($Y3&lt;30000,-10,_xlfn.SWITCH(FREQUENCY(($J3,$O3,$T3,$Y3),29500),3,30,2,_xlfn.SWITCH(_xlfn.RANK.EQ($Y3,($J3,$O3,$T3,$Y3)),1,15,2,5),1,_xlfn.SWITCH(_xlfn.RANK.EQ($Y3,($J3,$O3,$T3,$Y3)),1,7,2,2,3,1),0,0)))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28"/>
      <c r="J4" s="21" t="str">
        <f>IF(COUNTA($F4,$K4,$P4,$U4)&gt;0,J3+SUM(G4:I4),"")</f>
        <v/>
      </c>
      <c r="K4" s="8"/>
      <c r="L4" s="9"/>
      <c r="M4" s="9"/>
      <c r="N4" s="28"/>
      <c r="O4" s="21" t="str">
        <f>IF(COUNTA($F4,$K4,$P4,$U4)&gt;0,O3+SUM(L4:N4),"")</f>
        <v/>
      </c>
      <c r="P4" s="8"/>
      <c r="Q4" s="9"/>
      <c r="R4" s="9"/>
      <c r="S4" s="28"/>
      <c r="T4" s="21" t="str">
        <f>IF(COUNTA($F4,$K4,$P4,$U4)&gt;0,T3+SUM(Q4:S4),"")</f>
        <v/>
      </c>
      <c r="U4" s="8"/>
      <c r="V4" s="9"/>
      <c r="W4" s="9"/>
      <c r="X4" s="28"/>
      <c r="Y4" s="21" t="str">
        <f>IF(COUNTA($F4,$K4,$P4,$U4)&gt;0,Y3+SUM(V4:X4),"")</f>
        <v/>
      </c>
      <c r="Z4" s="33" t="str">
        <f>IF($J4="","",ROUND(($J4-$J$3)/1000,1)+IF($J4&lt;30000,-10,_xlfn.SWITCH(FREQUENCY(($J4,$O4,$T4,$Y4),29500),3,30,2,_xlfn.SWITCH(_xlfn.RANK.EQ($J4,($J4,$O4,$T4,$Y4)),1,15,2,5),1,_xlfn.SWITCH(_xlfn.RANK.EQ($J4,($J4,$O4,$T4,$Y4)),1,7,2,2,3,1),0,0)))</f>
        <v/>
      </c>
      <c r="AA4" s="34" t="str">
        <f>IF($O4="","",ROUND(($O4-$O$3)/1000,1)+IF($O4&lt;30000,-10,_xlfn.SWITCH(FREQUENCY(($J4,$O4,$T4,$Y4),29500),3,30,2,_xlfn.SWITCH(_xlfn.RANK.EQ($O4,($J4,$O4,$T4,$Y4)),1,15,2,5),1,_xlfn.SWITCH(_xlfn.RANK.EQ($O4,($J4,$O4,$T4,$Y4)),1,7,2,2,3,1),0,0)))</f>
        <v/>
      </c>
      <c r="AB4" s="34" t="str">
        <f>IF($T4="","",ROUND(($T4-$T$3)/1000,1)+IF($T4&lt;30000,-10,_xlfn.SWITCH(FREQUENCY(($J4,$O4,$T4,$Y4),29500),3,30,2,_xlfn.SWITCH(_xlfn.RANK.EQ($T4,($J4,$O4,$T4,$Y4)),1,15,2,5),1,_xlfn.SWITCH(_xlfn.RANK.EQ($T4,($J4,$O4,$T4,$Y4)),1,7,2,2,3,1),0,0)))</f>
        <v/>
      </c>
      <c r="AC4" s="35" t="str">
        <f>IF($Y4="","",ROUND(($Y4-$Y$3)/1000,1)+IF($Y4&lt;30000,-10,_xlfn.SWITCH(FREQUENCY(($J4,$O4,$T4,$Y4),29500),3,30,2,_xlfn.SWITCH(_xlfn.RANK.EQ($Y4,($J4,$O4,$T4,$Y4)),1,15,2,5),1,_xlfn.SWITCH(_xlfn.RANK.EQ($Y4,($J4,$O4,$T4,$Y4)),1,7,2,2,3,1),0,0)))</f>
        <v/>
      </c>
    </row>
    <row r="5" spans="1:29" x14ac:dyDescent="0.4">
      <c r="A5" s="13" t="str">
        <f t="shared" ref="A5:A9" si="0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IF($E5="","",IF(OR($F4="流局",$F4="チョンボ"),D4+($H4+$M4+$R4+$W4)/-1000,0))</f>
        <v/>
      </c>
      <c r="E5" s="4"/>
      <c r="F5" s="8"/>
      <c r="G5" s="9"/>
      <c r="H5" s="9"/>
      <c r="I5" s="28"/>
      <c r="J5" s="21" t="str">
        <f t="shared" ref="J5:J30" si="1">IF(COUNTA($F5,$K5,$P5,$U5)&gt;0,J4+SUM(G5:I5),"")</f>
        <v/>
      </c>
      <c r="K5" s="8"/>
      <c r="L5" s="9"/>
      <c r="M5" s="9"/>
      <c r="N5" s="28"/>
      <c r="O5" s="21" t="str">
        <f t="shared" ref="O5:O30" si="2">IF(COUNTA($F5,$K5,$P5,$U5)&gt;0,O4+SUM(L5:N5),"")</f>
        <v/>
      </c>
      <c r="P5" s="8"/>
      <c r="Q5" s="9"/>
      <c r="R5" s="9"/>
      <c r="S5" s="28"/>
      <c r="T5" s="21" t="str">
        <f t="shared" ref="T5:T30" si="3">IF(COUNTA($F5,$K5,$P5,$U5)&gt;0,T4+SUM(Q5:S5),"")</f>
        <v/>
      </c>
      <c r="U5" s="8"/>
      <c r="V5" s="9"/>
      <c r="W5" s="9"/>
      <c r="X5" s="28"/>
      <c r="Y5" s="21" t="str">
        <f t="shared" ref="Y5:Y30" si="4">IF(COUNTA($F5,$K5,$P5,$U5)&gt;0,Y4+SUM(V5:X5),"")</f>
        <v/>
      </c>
      <c r="Z5" s="33" t="str">
        <f>IF($J5="","",ROUND(($J5-$J$3)/1000,1)+IF($J5&lt;30000,-10,_xlfn.SWITCH(FREQUENCY(($J5,$O5,$T5,$Y5),29500),3,30,2,_xlfn.SWITCH(_xlfn.RANK.EQ($J5,($J5,$O5,$T5,$Y5)),1,15,2,5),1,_xlfn.SWITCH(_xlfn.RANK.EQ($J5,($J5,$O5,$T5,$Y5)),1,7,2,2,3,1),0,0)))</f>
        <v/>
      </c>
      <c r="AA5" s="34" t="str">
        <f>IF($O5="","",ROUND(($O5-$O$3)/1000,1)+IF($O5&lt;30000,-10,_xlfn.SWITCH(FREQUENCY(($J5,$O5,$T5,$Y5),29500),3,30,2,_xlfn.SWITCH(_xlfn.RANK.EQ($O5,($J5,$O5,$T5,$Y5)),1,15,2,5),1,_xlfn.SWITCH(_xlfn.RANK.EQ($O5,($J5,$O5,$T5,$Y5)),1,7,2,2,3,1),0,0)))</f>
        <v/>
      </c>
      <c r="AB5" s="34" t="str">
        <f>IF($T5="","",ROUND(($T5-$T$3)/1000,1)+IF($T5&lt;30000,-10,_xlfn.SWITCH(FREQUENCY(($J5,$O5,$T5,$Y5),29500),3,30,2,_xlfn.SWITCH(_xlfn.RANK.EQ($T5,($J5,$O5,$T5,$Y5)),1,15,2,5),1,_xlfn.SWITCH(_xlfn.RANK.EQ($T5,($J5,$O5,$T5,$Y5)),1,7,2,2,3,1),0,0)))</f>
        <v/>
      </c>
      <c r="AC5" s="35" t="str">
        <f>IF($Y5="","",ROUND(($Y5-$Y$3)/1000,1)+IF($Y5&lt;30000,-10,_xlfn.SWITCH(FREQUENCY(($J5,$O5,$T5,$Y5),29500),3,30,2,_xlfn.SWITCH(_xlfn.RANK.EQ($Y5,($J5,$O5,$T5,$Y5)),1,15,2,5),1,_xlfn.SWITCH(_xlfn.RANK.EQ($Y5,($J5,$O5,$T5,$Y5)),1,7,2,2,3,1),0,0)))</f>
        <v/>
      </c>
    </row>
    <row r="6" spans="1:29" x14ac:dyDescent="0.4">
      <c r="A6" s="13" t="str">
        <f t="shared" si="0"/>
        <v/>
      </c>
      <c r="B6" s="18" t="str">
        <f t="shared" ref="B6:B30" si="5">IF($E6="","",IF($E5=$E6,B5,IF(B5=4,1,B5+1)))</f>
        <v/>
      </c>
      <c r="C6" s="18" t="str">
        <f t="shared" ref="C6:C30" si="6">IF($E6="","",IF($F5="チョンボ",C5,IF(OR($E5=$E6,$F5="流局"),C5+1,0)))</f>
        <v/>
      </c>
      <c r="D6" s="18" t="str">
        <f t="shared" ref="D6:D30" si="7">IF($E6="","",IF(OR($F5="流局",$F5="チョンボ"),D5+($H5+$M5+$R5+$W5)/-1000,0))</f>
        <v/>
      </c>
      <c r="E6" s="4"/>
      <c r="F6" s="8"/>
      <c r="G6" s="9"/>
      <c r="H6" s="9"/>
      <c r="I6" s="28"/>
      <c r="J6" s="21" t="str">
        <f t="shared" si="1"/>
        <v/>
      </c>
      <c r="K6" s="8"/>
      <c r="L6" s="9"/>
      <c r="M6" s="9"/>
      <c r="N6" s="28"/>
      <c r="O6" s="21" t="str">
        <f t="shared" si="2"/>
        <v/>
      </c>
      <c r="P6" s="8"/>
      <c r="Q6" s="9"/>
      <c r="R6" s="9"/>
      <c r="S6" s="28"/>
      <c r="T6" s="21" t="str">
        <f t="shared" si="3"/>
        <v/>
      </c>
      <c r="U6" s="8"/>
      <c r="V6" s="9"/>
      <c r="W6" s="9"/>
      <c r="X6" s="28"/>
      <c r="Y6" s="21" t="str">
        <f t="shared" si="4"/>
        <v/>
      </c>
      <c r="Z6" s="33" t="str">
        <f>IF($J6="","",ROUND(($J6-$J$3)/1000,1)+IF($J6&lt;30000,-10,_xlfn.SWITCH(FREQUENCY(($J6,$O6,$T6,$Y6),29500),3,30,2,_xlfn.SWITCH(_xlfn.RANK.EQ($J6,($J6,$O6,$T6,$Y6)),1,15,2,5),1,_xlfn.SWITCH(_xlfn.RANK.EQ($J6,($J6,$O6,$T6,$Y6)),1,7,2,2,3,1),0,0)))</f>
        <v/>
      </c>
      <c r="AA6" s="34" t="str">
        <f>IF($O6="","",ROUND(($O6-$O$3)/1000,1)+IF($O6&lt;30000,-10,_xlfn.SWITCH(FREQUENCY(($J6,$O6,$T6,$Y6),29500),3,30,2,_xlfn.SWITCH(_xlfn.RANK.EQ($O6,($J6,$O6,$T6,$Y6)),1,15,2,5),1,_xlfn.SWITCH(_xlfn.RANK.EQ($O6,($J6,$O6,$T6,$Y6)),1,7,2,2,3,1),0,0)))</f>
        <v/>
      </c>
      <c r="AB6" s="34" t="str">
        <f>IF($T6="","",ROUND(($T6-$T$3)/1000,1)+IF($T6&lt;30000,-10,_xlfn.SWITCH(FREQUENCY(($J6,$O6,$T6,$Y6),29500),3,30,2,_xlfn.SWITCH(_xlfn.RANK.EQ($T6,($J6,$O6,$T6,$Y6)),1,15,2,5),1,_xlfn.SWITCH(_xlfn.RANK.EQ($T6,($J6,$O6,$T6,$Y6)),1,7,2,2,3,1),0,0)))</f>
        <v/>
      </c>
      <c r="AC6" s="35" t="str">
        <f>IF($Y6="","",ROUND(($Y6-$Y$3)/1000,1)+IF($Y6&lt;30000,-10,_xlfn.SWITCH(FREQUENCY(($J6,$O6,$T6,$Y6),29500),3,30,2,_xlfn.SWITCH(_xlfn.RANK.EQ($Y6,($J6,$O6,$T6,$Y6)),1,15,2,5),1,_xlfn.SWITCH(_xlfn.RANK.EQ($Y6,($J6,$O6,$T6,$Y6)),1,7,2,2,3,1),0,0)))</f>
        <v/>
      </c>
    </row>
    <row r="7" spans="1:29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7"/>
        <v/>
      </c>
      <c r="E7" s="4"/>
      <c r="F7" s="8"/>
      <c r="G7" s="9"/>
      <c r="H7" s="9"/>
      <c r="I7" s="28"/>
      <c r="J7" s="21" t="str">
        <f t="shared" si="1"/>
        <v/>
      </c>
      <c r="K7" s="8"/>
      <c r="L7" s="9"/>
      <c r="M7" s="9"/>
      <c r="N7" s="28"/>
      <c r="O7" s="21" t="str">
        <f t="shared" si="2"/>
        <v/>
      </c>
      <c r="P7" s="8"/>
      <c r="Q7" s="9"/>
      <c r="R7" s="9"/>
      <c r="S7" s="28"/>
      <c r="T7" s="21" t="str">
        <f t="shared" si="3"/>
        <v/>
      </c>
      <c r="U7" s="8"/>
      <c r="V7" s="9"/>
      <c r="W7" s="9"/>
      <c r="X7" s="28"/>
      <c r="Y7" s="21" t="str">
        <f t="shared" si="4"/>
        <v/>
      </c>
      <c r="Z7" s="33" t="str">
        <f>IF($J7="","",ROUND(($J7-$J$3)/1000,1)+IF($J7&lt;30000,-10,_xlfn.SWITCH(FREQUENCY(($J7,$O7,$T7,$Y7),29500),3,30,2,_xlfn.SWITCH(_xlfn.RANK.EQ($J7,($J7,$O7,$T7,$Y7)),1,15,2,5),1,_xlfn.SWITCH(_xlfn.RANK.EQ($J7,($J7,$O7,$T7,$Y7)),1,7,2,2,3,1),0,0)))</f>
        <v/>
      </c>
      <c r="AA7" s="34" t="str">
        <f>IF($O7="","",ROUND(($O7-$O$3)/1000,1)+IF($O7&lt;30000,-10,_xlfn.SWITCH(FREQUENCY(($J7,$O7,$T7,$Y7),29500),3,30,2,_xlfn.SWITCH(_xlfn.RANK.EQ($O7,($J7,$O7,$T7,$Y7)),1,15,2,5),1,_xlfn.SWITCH(_xlfn.RANK.EQ($O7,($J7,$O7,$T7,$Y7)),1,7,2,2,3,1),0,0)))</f>
        <v/>
      </c>
      <c r="AB7" s="34" t="str">
        <f>IF($T7="","",ROUND(($T7-$T$3)/1000,1)+IF($T7&lt;30000,-10,_xlfn.SWITCH(FREQUENCY(($J7,$O7,$T7,$Y7),29500),3,30,2,_xlfn.SWITCH(_xlfn.RANK.EQ($T7,($J7,$O7,$T7,$Y7)),1,15,2,5),1,_xlfn.SWITCH(_xlfn.RANK.EQ($T7,($J7,$O7,$T7,$Y7)),1,7,2,2,3,1),0,0)))</f>
        <v/>
      </c>
      <c r="AC7" s="35" t="str">
        <f>IF($Y7="","",ROUND(($Y7-$Y$3)/1000,1)+IF($Y7&lt;30000,-10,_xlfn.SWITCH(FREQUENCY(($J7,$O7,$T7,$Y7),29500),3,30,2,_xlfn.SWITCH(_xlfn.RANK.EQ($Y7,($J7,$O7,$T7,$Y7)),1,15,2,5),1,_xlfn.SWITCH(_xlfn.RANK.EQ($Y7,($J7,$O7,$T7,$Y7)),1,7,2,2,3,1),0,0)))</f>
        <v/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IF($J8="","",ROUND(($J8-$J$3)/1000,1)+IF($J8&lt;30000,-10,_xlfn.SWITCH(FREQUENCY(($J8,$O8,$T8,$Y8),29500),3,30,2,_xlfn.SWITCH(_xlfn.RANK.EQ($J8,($J8,$O8,$T8,$Y8)),1,15,2,5),1,_xlfn.SWITCH(_xlfn.RANK.EQ($J8,($J8,$O8,$T8,$Y8)),1,7,2,2,3,1),0,0)))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IF($O8="","",ROUND(($O8-$O$3)/1000,1)+IF($O8&lt;30000,-10,_xlfn.SWITCH(FREQUENCY(($J8,$O8,$T8,$Y8),29500),3,30,2,_xlfn.SWITCH(_xlfn.RANK.EQ($O8,($J8,$O8,$T8,$Y8)),1,15,2,5),1,_xlfn.SWITCH(_xlfn.RANK.EQ($O8,($J8,$O8,$T8,$Y8)),1,7,2,2,3,1),0,0)))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IF($T8="","",ROUND(($T8-$T$3)/1000,1)+IF($T8&lt;30000,-10,_xlfn.SWITCH(FREQUENCY(($J8,$O8,$T8,$Y8),29500),3,30,2,_xlfn.SWITCH(_xlfn.RANK.EQ($T8,($J8,$O8,$T8,$Y8)),1,15,2,5),1,_xlfn.SWITCH(_xlfn.RANK.EQ($T8,($J8,$O8,$T8,$Y8)),1,7,2,2,3,1),0,0)))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IF($Y8="","",ROUND(($Y8-$Y$3)/1000,1)+IF($Y8&lt;30000,-10,_xlfn.SWITCH(FREQUENCY(($J8,$O8,$T8,$Y8),29500),3,30,2,_xlfn.SWITCH(_xlfn.RANK.EQ($Y8,($J8,$O8,$T8,$Y8)),1,15,2,5),1,_xlfn.SWITCH(_xlfn.RANK.EQ($Y8,($J8,$O8,$T8,$Y8)),1,7,2,2,3,1),0,0)))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IF($J9="","",ROUND(($J9-$J$3)/1000,1)+IF($J9&lt;30000,-10,_xlfn.SWITCH(FREQUENCY(($J9,$O9,$T9,$Y9),29500),3,30,2,_xlfn.SWITCH(_xlfn.RANK.EQ($J9,($J9,$O9,$T9,$Y9)),1,15,2,5),1,_xlfn.SWITCH(_xlfn.RANK.EQ($J9,($J9,$O9,$T9,$Y9)),1,7,2,2,3,1),0,0)))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IF($O9="","",ROUND(($O9-$O$3)/1000,1)+IF($O9&lt;30000,-10,_xlfn.SWITCH(FREQUENCY(($J9,$O9,$T9,$Y9),29500),3,30,2,_xlfn.SWITCH(_xlfn.RANK.EQ($O9,($J9,$O9,$T9,$Y9)),1,15,2,5),1,_xlfn.SWITCH(_xlfn.RANK.EQ($O9,($J9,$O9,$T9,$Y9)),1,7,2,2,3,1),0,0)))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IF($T9="","",ROUND(($T9-$T$3)/1000,1)+IF($T9&lt;30000,-10,_xlfn.SWITCH(FREQUENCY(($J9,$O9,$T9,$Y9),29500),3,30,2,_xlfn.SWITCH(_xlfn.RANK.EQ($T9,($J9,$O9,$T9,$Y9)),1,15,2,5),1,_xlfn.SWITCH(_xlfn.RANK.EQ($T9,($J9,$O9,$T9,$Y9)),1,7,2,2,3,1),0,0)))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IF($Y9="","",ROUND(($Y9-$Y$3)/1000,1)+IF($Y9&lt;30000,-10,_xlfn.SWITCH(FREQUENCY(($J9,$O9,$T9,$Y9),29500),3,30,2,_xlfn.SWITCH(_xlfn.RANK.EQ($Y9,($J9,$O9,$T9,$Y9)),1,15,2,5),1,_xlfn.SWITCH(_xlfn.RANK.EQ($Y9,($J9,$O9,$T9,$Y9)),1,7,2,2,3,1),0,0)))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IF($J10="","",ROUND(($J10-$J$3)/1000,1)+IF($J10&lt;30000,-10,_xlfn.SWITCH(FREQUENCY(($J10,$O10,$T10,$Y10),29500),3,30,2,_xlfn.SWITCH(_xlfn.RANK.EQ($J10,($J10,$O10,$T10,$Y10)),1,15,2,5),1,_xlfn.SWITCH(_xlfn.RANK.EQ($J10,($J10,$O10,$T10,$Y10)),1,7,2,2,3,1),0,0)))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IF($O10="","",ROUND(($O10-$O$3)/1000,1)+IF($O10&lt;30000,-10,_xlfn.SWITCH(FREQUENCY(($J10,$O10,$T10,$Y10),29500),3,30,2,_xlfn.SWITCH(_xlfn.RANK.EQ($O10,($J10,$O10,$T10,$Y10)),1,15,2,5),1,_xlfn.SWITCH(_xlfn.RANK.EQ($O10,($J10,$O10,$T10,$Y10)),1,7,2,2,3,1),0,0)))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IF($T10="","",ROUND(($T10-$T$3)/1000,1)+IF($T10&lt;30000,-10,_xlfn.SWITCH(FREQUENCY(($J10,$O10,$T10,$Y10),29500),3,30,2,_xlfn.SWITCH(_xlfn.RANK.EQ($T10,($J10,$O10,$T10,$Y10)),1,15,2,5),1,_xlfn.SWITCH(_xlfn.RANK.EQ($T10,($J10,$O10,$T10,$Y10)),1,7,2,2,3,1),0,0)))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IF($Y10="","",ROUND(($Y10-$Y$3)/1000,1)+IF($Y10&lt;30000,-10,_xlfn.SWITCH(FREQUENCY(($J10,$O10,$T10,$Y10),29500),3,30,2,_xlfn.SWITCH(_xlfn.RANK.EQ($Y10,($J10,$O10,$T10,$Y10)),1,15,2,5),1,_xlfn.SWITCH(_xlfn.RANK.EQ($Y10,($J10,$O10,$T10,$Y10)),1,7,2,2,3,1),0,0)))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IF($J11="","",ROUND(($J11-$J$3)/1000,1)+IF($J11&lt;30000,-10,_xlfn.SWITCH(FREQUENCY(($J11,$O11,$T11,$Y11),29500),3,30,2,_xlfn.SWITCH(_xlfn.RANK.EQ($J11,($J11,$O11,$T11,$Y11)),1,15,2,5),1,_xlfn.SWITCH(_xlfn.RANK.EQ($J11,($J11,$O11,$T11,$Y11)),1,7,2,2,3,1),0,0)))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IF($O11="","",ROUND(($O11-$O$3)/1000,1)+IF($O11&lt;30000,-10,_xlfn.SWITCH(FREQUENCY(($J11,$O11,$T11,$Y11),29500),3,30,2,_xlfn.SWITCH(_xlfn.RANK.EQ($O11,($J11,$O11,$T11,$Y11)),1,15,2,5),1,_xlfn.SWITCH(_xlfn.RANK.EQ($O11,($J11,$O11,$T11,$Y11)),1,7,2,2,3,1),0,0)))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IF($T11="","",ROUND(($T11-$T$3)/1000,1)+IF($T11&lt;30000,-10,_xlfn.SWITCH(FREQUENCY(($J11,$O11,$T11,$Y11),29500),3,30,2,_xlfn.SWITCH(_xlfn.RANK.EQ($T11,($J11,$O11,$T11,$Y11)),1,15,2,5),1,_xlfn.SWITCH(_xlfn.RANK.EQ($T11,($J11,$O11,$T11,$Y11)),1,7,2,2,3,1),0,0)))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IF($Y11="","",ROUND(($Y11-$Y$3)/1000,1)+IF($Y11&lt;30000,-10,_xlfn.SWITCH(FREQUENCY(($J11,$O11,$T11,$Y11),29500),3,30,2,_xlfn.SWITCH(_xlfn.RANK.EQ($Y11,($J11,$O11,$T11,$Y11)),1,15,2,5),1,_xlfn.SWITCH(_xlfn.RANK.EQ($Y11,($J11,$O11,$T11,$Y11)),1,7,2,2,3,1),0,0)))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IF($J12="","",ROUND(($J12-$J$3)/1000,1)+IF($J12&lt;30000,-10,_xlfn.SWITCH(FREQUENCY(($J12,$O12,$T12,$Y12),29500),3,30,2,_xlfn.SWITCH(_xlfn.RANK.EQ($J12,($J12,$O12,$T12,$Y12)),1,15,2,5),1,_xlfn.SWITCH(_xlfn.RANK.EQ($J12,($J12,$O12,$T12,$Y12)),1,7,2,2,3,1),0,0)))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IF($O12="","",ROUND(($O12-$O$3)/1000,1)+IF($O12&lt;30000,-10,_xlfn.SWITCH(FREQUENCY(($J12,$O12,$T12,$Y12),29500),3,30,2,_xlfn.SWITCH(_xlfn.RANK.EQ($O12,($J12,$O12,$T12,$Y12)),1,15,2,5),1,_xlfn.SWITCH(_xlfn.RANK.EQ($O12,($J12,$O12,$T12,$Y12)),1,7,2,2,3,1),0,0)))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IF($T12="","",ROUND(($T12-$T$3)/1000,1)+IF($T12&lt;30000,-10,_xlfn.SWITCH(FREQUENCY(($J12,$O12,$T12,$Y12),29500),3,30,2,_xlfn.SWITCH(_xlfn.RANK.EQ($T12,($J12,$O12,$T12,$Y12)),1,15,2,5),1,_xlfn.SWITCH(_xlfn.RANK.EQ($T12,($J12,$O12,$T12,$Y12)),1,7,2,2,3,1),0,0)))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IF($Y12="","",ROUND(($Y12-$Y$3)/1000,1)+IF($Y12&lt;30000,-10,_xlfn.SWITCH(FREQUENCY(($J12,$O12,$T12,$Y12),29500),3,30,2,_xlfn.SWITCH(_xlfn.RANK.EQ($Y12,($J12,$O12,$T12,$Y12)),1,15,2,5),1,_xlfn.SWITCH(_xlfn.RANK.EQ($Y12,($J12,$O12,$T12,$Y12)),1,7,2,2,3,1),0,0)))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IF($J13="","",ROUND(($J13-$J$3)/1000,1)+IF($J13&lt;30000,-10,_xlfn.SWITCH(FREQUENCY(($J13,$O13,$T13,$Y13),29500),3,30,2,_xlfn.SWITCH(_xlfn.RANK.EQ($J13,($J13,$O13,$T13,$Y13)),1,15,2,5),1,_xlfn.SWITCH(_xlfn.RANK.EQ($J13,($J13,$O13,$T13,$Y13)),1,7,2,2,3,1),0,0)))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IF($O13="","",ROUND(($O13-$O$3)/1000,1)+IF($O13&lt;30000,-10,_xlfn.SWITCH(FREQUENCY(($J13,$O13,$T13,$Y13),29500),3,30,2,_xlfn.SWITCH(_xlfn.RANK.EQ($O13,($J13,$O13,$T13,$Y13)),1,15,2,5),1,_xlfn.SWITCH(_xlfn.RANK.EQ($O13,($J13,$O13,$T13,$Y13)),1,7,2,2,3,1),0,0)))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IF($T13="","",ROUND(($T13-$T$3)/1000,1)+IF($T13&lt;30000,-10,_xlfn.SWITCH(FREQUENCY(($J13,$O13,$T13,$Y13),29500),3,30,2,_xlfn.SWITCH(_xlfn.RANK.EQ($T13,($J13,$O13,$T13,$Y13)),1,15,2,5),1,_xlfn.SWITCH(_xlfn.RANK.EQ($T13,($J13,$O13,$T13,$Y13)),1,7,2,2,3,1),0,0)))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IF($Y13="","",ROUND(($Y13-$Y$3)/1000,1)+IF($Y13&lt;30000,-10,_xlfn.SWITCH(FREQUENCY(($J13,$O13,$T13,$Y13),29500),3,30,2,_xlfn.SWITCH(_xlfn.RANK.EQ($Y13,($J13,$O13,$T13,$Y13)),1,15,2,5),1,_xlfn.SWITCH(_xlfn.RANK.EQ($Y13,($J13,$O13,$T13,$Y13)),1,7,2,2,3,1),0,0)))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IF($J14="","",ROUND(($J14-$J$3)/1000,1)+IF($J14&lt;30000,-10,_xlfn.SWITCH(FREQUENCY(($J14,$O14,$T14,$Y14),29500),3,30,2,_xlfn.SWITCH(_xlfn.RANK.EQ($J14,($J14,$O14,$T14,$Y14)),1,15,2,5),1,_xlfn.SWITCH(_xlfn.RANK.EQ($J14,($J14,$O14,$T14,$Y14)),1,7,2,2,3,1),0,0)))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IF($O14="","",ROUND(($O14-$O$3)/1000,1)+IF($O14&lt;30000,-10,_xlfn.SWITCH(FREQUENCY(($J14,$O14,$T14,$Y14),29500),3,30,2,_xlfn.SWITCH(_xlfn.RANK.EQ($O14,($J14,$O14,$T14,$Y14)),1,15,2,5),1,_xlfn.SWITCH(_xlfn.RANK.EQ($O14,($J14,$O14,$T14,$Y14)),1,7,2,2,3,1),0,0)))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IF($T14="","",ROUND(($T14-$T$3)/1000,1)+IF($T14&lt;30000,-10,_xlfn.SWITCH(FREQUENCY(($J14,$O14,$T14,$Y14),29500),3,30,2,_xlfn.SWITCH(_xlfn.RANK.EQ($T14,($J14,$O14,$T14,$Y14)),1,15,2,5),1,_xlfn.SWITCH(_xlfn.RANK.EQ($T14,($J14,$O14,$T14,$Y14)),1,7,2,2,3,1),0,0)))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IF($Y14="","",ROUND(($Y14-$Y$3)/1000,1)+IF($Y14&lt;30000,-10,_xlfn.SWITCH(FREQUENCY(($J14,$O14,$T14,$Y14),29500),3,30,2,_xlfn.SWITCH(_xlfn.RANK.EQ($Y14,($J14,$O14,$T14,$Y14)),1,15,2,5),1,_xlfn.SWITCH(_xlfn.RANK.EQ($Y14,($J14,$O14,$T14,$Y14)),1,7,2,2,3,1),0,0)))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IF($J15="","",ROUND(($J15-$J$3)/1000,1)+IF($J15&lt;30000,-10,_xlfn.SWITCH(FREQUENCY(($J15,$O15,$T15,$Y15),29500),3,30,2,_xlfn.SWITCH(_xlfn.RANK.EQ($J15,($J15,$O15,$T15,$Y15)),1,15,2,5),1,_xlfn.SWITCH(_xlfn.RANK.EQ($J15,($J15,$O15,$T15,$Y15)),1,7,2,2,3,1),0,0)))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IF($O15="","",ROUND(($O15-$O$3)/1000,1)+IF($O15&lt;30000,-10,_xlfn.SWITCH(FREQUENCY(($J15,$O15,$T15,$Y15),29500),3,30,2,_xlfn.SWITCH(_xlfn.RANK.EQ($O15,($J15,$O15,$T15,$Y15)),1,15,2,5),1,_xlfn.SWITCH(_xlfn.RANK.EQ($O15,($J15,$O15,$T15,$Y15)),1,7,2,2,3,1),0,0)))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IF($T15="","",ROUND(($T15-$T$3)/1000,1)+IF($T15&lt;30000,-10,_xlfn.SWITCH(FREQUENCY(($J15,$O15,$T15,$Y15),29500),3,30,2,_xlfn.SWITCH(_xlfn.RANK.EQ($T15,($J15,$O15,$T15,$Y15)),1,15,2,5),1,_xlfn.SWITCH(_xlfn.RANK.EQ($T15,($J15,$O15,$T15,$Y15)),1,7,2,2,3,1),0,0)))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IF($Y15="","",ROUND(($Y15-$Y$3)/1000,1)+IF($Y15&lt;30000,-10,_xlfn.SWITCH(FREQUENCY(($J15,$O15,$T15,$Y15),29500),3,30,2,_xlfn.SWITCH(_xlfn.RANK.EQ($Y15,($J15,$O15,$T15,$Y15)),1,15,2,5),1,_xlfn.SWITCH(_xlfn.RANK.EQ($Y15,($J15,$O15,$T15,$Y15)),1,7,2,2,3,1),0,0)))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IF($J16="","",ROUND(($J16-$J$3)/1000,1)+IF($J16&lt;30000,-10,_xlfn.SWITCH(FREQUENCY(($J16,$O16,$T16,$Y16),29500),3,30,2,_xlfn.SWITCH(_xlfn.RANK.EQ($J16,($J16,$O16,$T16,$Y16)),1,15,2,5),1,_xlfn.SWITCH(_xlfn.RANK.EQ($J16,($J16,$O16,$T16,$Y16)),1,7,2,2,3,1),0,0)))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IF($O16="","",ROUND(($O16-$O$3)/1000,1)+IF($O16&lt;30000,-10,_xlfn.SWITCH(FREQUENCY(($J16,$O16,$T16,$Y16),29500),3,30,2,_xlfn.SWITCH(_xlfn.RANK.EQ($O16,($J16,$O16,$T16,$Y16)),1,15,2,5),1,_xlfn.SWITCH(_xlfn.RANK.EQ($O16,($J16,$O16,$T16,$Y16)),1,7,2,2,3,1),0,0)))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IF($T16="","",ROUND(($T16-$T$3)/1000,1)+IF($T16&lt;30000,-10,_xlfn.SWITCH(FREQUENCY(($J16,$O16,$T16,$Y16),29500),3,30,2,_xlfn.SWITCH(_xlfn.RANK.EQ($T16,($J16,$O16,$T16,$Y16)),1,15,2,5),1,_xlfn.SWITCH(_xlfn.RANK.EQ($T16,($J16,$O16,$T16,$Y16)),1,7,2,2,3,1),0,0)))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IF($Y16="","",ROUND(($Y16-$Y$3)/1000,1)+IF($Y16&lt;30000,-10,_xlfn.SWITCH(FREQUENCY(($J16,$O16,$T16,$Y16),29500),3,30,2,_xlfn.SWITCH(_xlfn.RANK.EQ($Y16,($J16,$O16,$T16,$Y16)),1,15,2,5),1,_xlfn.SWITCH(_xlfn.RANK.EQ($Y16,($J16,$O16,$T16,$Y16)),1,7,2,2,3,1),0,0)))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IF($J17="","",ROUND(($J17-$J$3)/1000,1)+IF($J17&lt;30000,-10,_xlfn.SWITCH(FREQUENCY(($J17,$O17,$T17,$Y17),29500),3,30,2,_xlfn.SWITCH(_xlfn.RANK.EQ($J17,($J17,$O17,$T17,$Y17)),1,15,2,5),1,_xlfn.SWITCH(_xlfn.RANK.EQ($J17,($J17,$O17,$T17,$Y17)),1,7,2,2,3,1),0,0)))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IF($O17="","",ROUND(($O17-$O$3)/1000,1)+IF($O17&lt;30000,-10,_xlfn.SWITCH(FREQUENCY(($J17,$O17,$T17,$Y17),29500),3,30,2,_xlfn.SWITCH(_xlfn.RANK.EQ($O17,($J17,$O17,$T17,$Y17)),1,15,2,5),1,_xlfn.SWITCH(_xlfn.RANK.EQ($O17,($J17,$O17,$T17,$Y17)),1,7,2,2,3,1),0,0)))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IF($T17="","",ROUND(($T17-$T$3)/1000,1)+IF($T17&lt;30000,-10,_xlfn.SWITCH(FREQUENCY(($J17,$O17,$T17,$Y17),29500),3,30,2,_xlfn.SWITCH(_xlfn.RANK.EQ($T17,($J17,$O17,$T17,$Y17)),1,15,2,5),1,_xlfn.SWITCH(_xlfn.RANK.EQ($T17,($J17,$O17,$T17,$Y17)),1,7,2,2,3,1),0,0)))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IF($Y17="","",ROUND(($Y17-$Y$3)/1000,1)+IF($Y17&lt;30000,-10,_xlfn.SWITCH(FREQUENCY(($J17,$O17,$T17,$Y17),29500),3,30,2,_xlfn.SWITCH(_xlfn.RANK.EQ($Y17,($J17,$O17,$T17,$Y17)),1,15,2,5),1,_xlfn.SWITCH(_xlfn.RANK.EQ($Y17,($J17,$O17,$T17,$Y17)),1,7,2,2,3,1),0,0)))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IF($J18="","",ROUND(($J18-$J$3)/1000,1)+IF($J18&lt;30000,-10,_xlfn.SWITCH(FREQUENCY(($J18,$O18,$T18,$Y18),29500),3,30,2,_xlfn.SWITCH(_xlfn.RANK.EQ($J18,($J18,$O18,$T18,$Y18)),1,15,2,5),1,_xlfn.SWITCH(_xlfn.RANK.EQ($J18,($J18,$O18,$T18,$Y18)),1,7,2,2,3,1),0,0)))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IF($O18="","",ROUND(($O18-$O$3)/1000,1)+IF($O18&lt;30000,-10,_xlfn.SWITCH(FREQUENCY(($J18,$O18,$T18,$Y18),29500),3,30,2,_xlfn.SWITCH(_xlfn.RANK.EQ($O18,($J18,$O18,$T18,$Y18)),1,15,2,5),1,_xlfn.SWITCH(_xlfn.RANK.EQ($O18,($J18,$O18,$T18,$Y18)),1,7,2,2,3,1),0,0)))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IF($T18="","",ROUND(($T18-$T$3)/1000,1)+IF($T18&lt;30000,-10,_xlfn.SWITCH(FREQUENCY(($J18,$O18,$T18,$Y18),29500),3,30,2,_xlfn.SWITCH(_xlfn.RANK.EQ($T18,($J18,$O18,$T18,$Y18)),1,15,2,5),1,_xlfn.SWITCH(_xlfn.RANK.EQ($T18,($J18,$O18,$T18,$Y18)),1,7,2,2,3,1),0,0)))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IF($Y18="","",ROUND(($Y18-$Y$3)/1000,1)+IF($Y18&lt;30000,-10,_xlfn.SWITCH(FREQUENCY(($J18,$O18,$T18,$Y18),29500),3,30,2,_xlfn.SWITCH(_xlfn.RANK.EQ($Y18,($J18,$O18,$T18,$Y18)),1,15,2,5),1,_xlfn.SWITCH(_xlfn.RANK.EQ($Y18,($J18,$O18,$T18,$Y18)),1,7,2,2,3,1),0,0)))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IF($J19="","",ROUND(($J19-$J$3)/1000,1)+IF($J19&lt;30000,-10,_xlfn.SWITCH(FREQUENCY(($J19,$O19,$T19,$Y19),29500),3,30,2,_xlfn.SWITCH(_xlfn.RANK.EQ($J19,($J19,$O19,$T19,$Y19)),1,15,2,5),1,_xlfn.SWITCH(_xlfn.RANK.EQ($J19,($J19,$O19,$T19,$Y19)),1,7,2,2,3,1),0,0)))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IF($O19="","",ROUND(($O19-$O$3)/1000,1)+IF($O19&lt;30000,-10,_xlfn.SWITCH(FREQUENCY(($J19,$O19,$T19,$Y19),29500),3,30,2,_xlfn.SWITCH(_xlfn.RANK.EQ($O19,($J19,$O19,$T19,$Y19)),1,15,2,5),1,_xlfn.SWITCH(_xlfn.RANK.EQ($O19,($J19,$O19,$T19,$Y19)),1,7,2,2,3,1),0,0)))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IF($T19="","",ROUND(($T19-$T$3)/1000,1)+IF($T19&lt;30000,-10,_xlfn.SWITCH(FREQUENCY(($J19,$O19,$T19,$Y19),29500),3,30,2,_xlfn.SWITCH(_xlfn.RANK.EQ($T19,($J19,$O19,$T19,$Y19)),1,15,2,5),1,_xlfn.SWITCH(_xlfn.RANK.EQ($T19,($J19,$O19,$T19,$Y19)),1,7,2,2,3,1),0,0)))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IF($Y19="","",ROUND(($Y19-$Y$3)/1000,1)+IF($Y19&lt;30000,-10,_xlfn.SWITCH(FREQUENCY(($J19,$O19,$T19,$Y19),29500),3,30,2,_xlfn.SWITCH(_xlfn.RANK.EQ($Y19,($J19,$O19,$T19,$Y19)),1,15,2,5),1,_xlfn.SWITCH(_xlfn.RANK.EQ($Y19,($J19,$O19,$T19,$Y19)),1,7,2,2,3,1),0,0)))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IF($J20="","",ROUND(($J20-$J$3)/1000,1)+IF($J20&lt;30000,-10,_xlfn.SWITCH(FREQUENCY(($J20,$O20,$T20,$Y20),29500),3,30,2,_xlfn.SWITCH(_xlfn.RANK.EQ($J20,($J20,$O20,$T20,$Y20)),1,15,2,5),1,_xlfn.SWITCH(_xlfn.RANK.EQ($J20,($J20,$O20,$T20,$Y20)),1,7,2,2,3,1),0,0)))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IF($O20="","",ROUND(($O20-$O$3)/1000,1)+IF($O20&lt;30000,-10,_xlfn.SWITCH(FREQUENCY(($J20,$O20,$T20,$Y20),29500),3,30,2,_xlfn.SWITCH(_xlfn.RANK.EQ($O20,($J20,$O20,$T20,$Y20)),1,15,2,5),1,_xlfn.SWITCH(_xlfn.RANK.EQ($O20,($J20,$O20,$T20,$Y20)),1,7,2,2,3,1),0,0)))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IF($T20="","",ROUND(($T20-$T$3)/1000,1)+IF($T20&lt;30000,-10,_xlfn.SWITCH(FREQUENCY(($J20,$O20,$T20,$Y20),29500),3,30,2,_xlfn.SWITCH(_xlfn.RANK.EQ($T20,($J20,$O20,$T20,$Y20)),1,15,2,5),1,_xlfn.SWITCH(_xlfn.RANK.EQ($T20,($J20,$O20,$T20,$Y20)),1,7,2,2,3,1),0,0)))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IF($Y20="","",ROUND(($Y20-$Y$3)/1000,1)+IF($Y20&lt;30000,-10,_xlfn.SWITCH(FREQUENCY(($J20,$O20,$T20,$Y20),29500),3,30,2,_xlfn.SWITCH(_xlfn.RANK.EQ($Y20,($J20,$O20,$T20,$Y20)),1,15,2,5),1,_xlfn.SWITCH(_xlfn.RANK.EQ($Y20,($J20,$O20,$T20,$Y20)),1,7,2,2,3,1),0,0)))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IF($J21="","",ROUND(($J21-$J$3)/1000,1)+IF($J21&lt;30000,-10,_xlfn.SWITCH(FREQUENCY(($J21,$O21,$T21,$Y21),29500),3,30,2,_xlfn.SWITCH(_xlfn.RANK.EQ($J21,($J21,$O21,$T21,$Y21)),1,15,2,5),1,_xlfn.SWITCH(_xlfn.RANK.EQ($J21,($J21,$O21,$T21,$Y21)),1,7,2,2,3,1),0,0)))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IF($O21="","",ROUND(($O21-$O$3)/1000,1)+IF($O21&lt;30000,-10,_xlfn.SWITCH(FREQUENCY(($J21,$O21,$T21,$Y21),29500),3,30,2,_xlfn.SWITCH(_xlfn.RANK.EQ($O21,($J21,$O21,$T21,$Y21)),1,15,2,5),1,_xlfn.SWITCH(_xlfn.RANK.EQ($O21,($J21,$O21,$T21,$Y21)),1,7,2,2,3,1),0,0)))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IF($T21="","",ROUND(($T21-$T$3)/1000,1)+IF($T21&lt;30000,-10,_xlfn.SWITCH(FREQUENCY(($J21,$O21,$T21,$Y21),29500),3,30,2,_xlfn.SWITCH(_xlfn.RANK.EQ($T21,($J21,$O21,$T21,$Y21)),1,15,2,5),1,_xlfn.SWITCH(_xlfn.RANK.EQ($T21,($J21,$O21,$T21,$Y21)),1,7,2,2,3,1),0,0)))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IF($Y21="","",ROUND(($Y21-$Y$3)/1000,1)+IF($Y21&lt;30000,-10,_xlfn.SWITCH(FREQUENCY(($J21,$O21,$T21,$Y21),29500),3,30,2,_xlfn.SWITCH(_xlfn.RANK.EQ($Y21,($J21,$O21,$T21,$Y21)),1,15,2,5),1,_xlfn.SWITCH(_xlfn.RANK.EQ($Y21,($J21,$O21,$T21,$Y21)),1,7,2,2,3,1),0,0)))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IF($J22="","",ROUND(($J22-$J$3)/1000,1)+IF($J22&lt;30000,-10,_xlfn.SWITCH(FREQUENCY(($J22,$O22,$T22,$Y22),29500),3,30,2,_xlfn.SWITCH(_xlfn.RANK.EQ($J22,($J22,$O22,$T22,$Y22)),1,15,2,5),1,_xlfn.SWITCH(_xlfn.RANK.EQ($J22,($J22,$O22,$T22,$Y22)),1,7,2,2,3,1),0,0)))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IF($O22="","",ROUND(($O22-$O$3)/1000,1)+IF($O22&lt;30000,-10,_xlfn.SWITCH(FREQUENCY(($J22,$O22,$T22,$Y22),29500),3,30,2,_xlfn.SWITCH(_xlfn.RANK.EQ($O22,($J22,$O22,$T22,$Y22)),1,15,2,5),1,_xlfn.SWITCH(_xlfn.RANK.EQ($O22,($J22,$O22,$T22,$Y22)),1,7,2,2,3,1),0,0)))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IF($T22="","",ROUND(($T22-$T$3)/1000,1)+IF($T22&lt;30000,-10,_xlfn.SWITCH(FREQUENCY(($J22,$O22,$T22,$Y22),29500),3,30,2,_xlfn.SWITCH(_xlfn.RANK.EQ($T22,($J22,$O22,$T22,$Y22)),1,15,2,5),1,_xlfn.SWITCH(_xlfn.RANK.EQ($T22,($J22,$O22,$T22,$Y22)),1,7,2,2,3,1),0,0)))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IF($Y22="","",ROUND(($Y22-$Y$3)/1000,1)+IF($Y22&lt;30000,-10,_xlfn.SWITCH(FREQUENCY(($J22,$O22,$T22,$Y22),29500),3,30,2,_xlfn.SWITCH(_xlfn.RANK.EQ($Y22,($J22,$O22,$T22,$Y22)),1,15,2,5),1,_xlfn.SWITCH(_xlfn.RANK.EQ($Y22,($J22,$O22,$T22,$Y22)),1,7,2,2,3,1),0,0)))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IF($J23="","",ROUND(($J23-$J$3)/1000,1)+IF($J23&lt;30000,-10,_xlfn.SWITCH(FREQUENCY(($J23,$O23,$T23,$Y23),29500),3,30,2,_xlfn.SWITCH(_xlfn.RANK.EQ($J23,($J23,$O23,$T23,$Y23)),1,15,2,5),1,_xlfn.SWITCH(_xlfn.RANK.EQ($J23,($J23,$O23,$T23,$Y23)),1,7,2,2,3,1),0,0)))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IF($O23="","",ROUND(($O23-$O$3)/1000,1)+IF($O23&lt;30000,-10,_xlfn.SWITCH(FREQUENCY(($J23,$O23,$T23,$Y23),29500),3,30,2,_xlfn.SWITCH(_xlfn.RANK.EQ($O23,($J23,$O23,$T23,$Y23)),1,15,2,5),1,_xlfn.SWITCH(_xlfn.RANK.EQ($O23,($J23,$O23,$T23,$Y23)),1,7,2,2,3,1),0,0)))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IF($T23="","",ROUND(($T23-$T$3)/1000,1)+IF($T23&lt;30000,-10,_xlfn.SWITCH(FREQUENCY(($J23,$O23,$T23,$Y23),29500),3,30,2,_xlfn.SWITCH(_xlfn.RANK.EQ($T23,($J23,$O23,$T23,$Y23)),1,15,2,5),1,_xlfn.SWITCH(_xlfn.RANK.EQ($T23,($J23,$O23,$T23,$Y23)),1,7,2,2,3,1),0,0)))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IF($Y23="","",ROUND(($Y23-$Y$3)/1000,1)+IF($Y23&lt;30000,-10,_xlfn.SWITCH(FREQUENCY(($J23,$O23,$T23,$Y23),29500),3,30,2,_xlfn.SWITCH(_xlfn.RANK.EQ($Y23,($J23,$O23,$T23,$Y23)),1,15,2,5),1,_xlfn.SWITCH(_xlfn.RANK.EQ($Y23,($J23,$O23,$T23,$Y23)),1,7,2,2,3,1),0,0)))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IF($J24="","",ROUND(($J24-$J$3)/1000,1)+IF($J24&lt;30000,-10,_xlfn.SWITCH(FREQUENCY(($J24,$O24,$T24,$Y24),29500),3,30,2,_xlfn.SWITCH(_xlfn.RANK.EQ($J24,($J24,$O24,$T24,$Y24)),1,15,2,5),1,_xlfn.SWITCH(_xlfn.RANK.EQ($J24,($J24,$O24,$T24,$Y24)),1,7,2,2,3,1),0,0)))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IF($O24="","",ROUND(($O24-$O$3)/1000,1)+IF($O24&lt;30000,-10,_xlfn.SWITCH(FREQUENCY(($J24,$O24,$T24,$Y24),29500),3,30,2,_xlfn.SWITCH(_xlfn.RANK.EQ($O24,($J24,$O24,$T24,$Y24)),1,15,2,5),1,_xlfn.SWITCH(_xlfn.RANK.EQ($O24,($J24,$O24,$T24,$Y24)),1,7,2,2,3,1),0,0)))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IF($T24="","",ROUND(($T24-$T$3)/1000,1)+IF($T24&lt;30000,-10,_xlfn.SWITCH(FREQUENCY(($J24,$O24,$T24,$Y24),29500),3,30,2,_xlfn.SWITCH(_xlfn.RANK.EQ($T24,($J24,$O24,$T24,$Y24)),1,15,2,5),1,_xlfn.SWITCH(_xlfn.RANK.EQ($T24,($J24,$O24,$T24,$Y24)),1,7,2,2,3,1),0,0)))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IF($Y24="","",ROUND(($Y24-$Y$3)/1000,1)+IF($Y24&lt;30000,-10,_xlfn.SWITCH(FREQUENCY(($J24,$O24,$T24,$Y24),29500),3,30,2,_xlfn.SWITCH(_xlfn.RANK.EQ($Y24,($J24,$O24,$T24,$Y24)),1,15,2,5),1,_xlfn.SWITCH(_xlfn.RANK.EQ($Y24,($J24,$O24,$T24,$Y24)),1,7,2,2,3,1),0,0)))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IF($J25="","",ROUND(($J25-$J$3)/1000,1)+IF($J25&lt;30000,-10,_xlfn.SWITCH(FREQUENCY(($J25,$O25,$T25,$Y25),29500),3,30,2,_xlfn.SWITCH(_xlfn.RANK.EQ($J25,($J25,$O25,$T25,$Y25)),1,15,2,5),1,_xlfn.SWITCH(_xlfn.RANK.EQ($J25,($J25,$O25,$T25,$Y25)),1,7,2,2,3,1),0,0)))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IF($O25="","",ROUND(($O25-$O$3)/1000,1)+IF($O25&lt;30000,-10,_xlfn.SWITCH(FREQUENCY(($J25,$O25,$T25,$Y25),29500),3,30,2,_xlfn.SWITCH(_xlfn.RANK.EQ($O25,($J25,$O25,$T25,$Y25)),1,15,2,5),1,_xlfn.SWITCH(_xlfn.RANK.EQ($O25,($J25,$O25,$T25,$Y25)),1,7,2,2,3,1),0,0)))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IF($T25="","",ROUND(($T25-$T$3)/1000,1)+IF($T25&lt;30000,-10,_xlfn.SWITCH(FREQUENCY(($J25,$O25,$T25,$Y25),29500),3,30,2,_xlfn.SWITCH(_xlfn.RANK.EQ($T25,($J25,$O25,$T25,$Y25)),1,15,2,5),1,_xlfn.SWITCH(_xlfn.RANK.EQ($T25,($J25,$O25,$T25,$Y25)),1,7,2,2,3,1),0,0)))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IF($Y25="","",ROUND(($Y25-$Y$3)/1000,1)+IF($Y25&lt;30000,-10,_xlfn.SWITCH(FREQUENCY(($J25,$O25,$T25,$Y25),29500),3,30,2,_xlfn.SWITCH(_xlfn.RANK.EQ($Y25,($J25,$O25,$T25,$Y25)),1,15,2,5),1,_xlfn.SWITCH(_xlfn.RANK.EQ($Y25,($J25,$O25,$T25,$Y25)),1,7,2,2,3,1),0,0)))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IF($J26="","",ROUND(($J26-$J$3)/1000,1)+IF($J26&lt;30000,-10,_xlfn.SWITCH(FREQUENCY(($J26,$O26,$T26,$Y26),29500),3,30,2,_xlfn.SWITCH(_xlfn.RANK.EQ($J26,($J26,$O26,$T26,$Y26)),1,15,2,5),1,_xlfn.SWITCH(_xlfn.RANK.EQ($J26,($J26,$O26,$T26,$Y26)),1,7,2,2,3,1),0,0)))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IF($O26="","",ROUND(($O26-$O$3)/1000,1)+IF($O26&lt;30000,-10,_xlfn.SWITCH(FREQUENCY(($J26,$O26,$T26,$Y26),29500),3,30,2,_xlfn.SWITCH(_xlfn.RANK.EQ($O26,($J26,$O26,$T26,$Y26)),1,15,2,5),1,_xlfn.SWITCH(_xlfn.RANK.EQ($O26,($J26,$O26,$T26,$Y26)),1,7,2,2,3,1),0,0)))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IF($T26="","",ROUND(($T26-$T$3)/1000,1)+IF($T26&lt;30000,-10,_xlfn.SWITCH(FREQUENCY(($J26,$O26,$T26,$Y26),29500),3,30,2,_xlfn.SWITCH(_xlfn.RANK.EQ($T26,($J26,$O26,$T26,$Y26)),1,15,2,5),1,_xlfn.SWITCH(_xlfn.RANK.EQ($T26,($J26,$O26,$T26,$Y26)),1,7,2,2,3,1),0,0)))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IF($Y26="","",ROUND(($Y26-$Y$3)/1000,1)+IF($Y26&lt;30000,-10,_xlfn.SWITCH(FREQUENCY(($J26,$O26,$T26,$Y26),29500),3,30,2,_xlfn.SWITCH(_xlfn.RANK.EQ($Y26,($J26,$O26,$T26,$Y26)),1,15,2,5),1,_xlfn.SWITCH(_xlfn.RANK.EQ($Y26,($J26,$O26,$T26,$Y26)),1,7,2,2,3,1),0,0)))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IF($J27="","",ROUND(($J27-$J$3)/1000,1)+IF($J27&lt;30000,-10,_xlfn.SWITCH(FREQUENCY(($J27,$O27,$T27,$Y27),29500),3,30,2,_xlfn.SWITCH(_xlfn.RANK.EQ($J27,($J27,$O27,$T27,$Y27)),1,15,2,5),1,_xlfn.SWITCH(_xlfn.RANK.EQ($J27,($J27,$O27,$T27,$Y27)),1,7,2,2,3,1),0,0)))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IF($O27="","",ROUND(($O27-$O$3)/1000,1)+IF($O27&lt;30000,-10,_xlfn.SWITCH(FREQUENCY(($J27,$O27,$T27,$Y27),29500),3,30,2,_xlfn.SWITCH(_xlfn.RANK.EQ($O27,($J27,$O27,$T27,$Y27)),1,15,2,5),1,_xlfn.SWITCH(_xlfn.RANK.EQ($O27,($J27,$O27,$T27,$Y27)),1,7,2,2,3,1),0,0)))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IF($T27="","",ROUND(($T27-$T$3)/1000,1)+IF($T27&lt;30000,-10,_xlfn.SWITCH(FREQUENCY(($J27,$O27,$T27,$Y27),29500),3,30,2,_xlfn.SWITCH(_xlfn.RANK.EQ($T27,($J27,$O27,$T27,$Y27)),1,15,2,5),1,_xlfn.SWITCH(_xlfn.RANK.EQ($T27,($J27,$O27,$T27,$Y27)),1,7,2,2,3,1),0,0)))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IF($Y27="","",ROUND(($Y27-$Y$3)/1000,1)+IF($Y27&lt;30000,-10,_xlfn.SWITCH(FREQUENCY(($J27,$O27,$T27,$Y27),29500),3,30,2,_xlfn.SWITCH(_xlfn.RANK.EQ($Y27,($J27,$O27,$T27,$Y27)),1,15,2,5),1,_xlfn.SWITCH(_xlfn.RANK.EQ($Y27,($J27,$O27,$T27,$Y27)),1,7,2,2,3,1),0,0)))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IF($J28="","",ROUND(($J28-$J$3)/1000,1)+IF($J28&lt;30000,-10,_xlfn.SWITCH(FREQUENCY(($J28,$O28,$T28,$Y28),29500),3,30,2,_xlfn.SWITCH(_xlfn.RANK.EQ($J28,($J28,$O28,$T28,$Y28)),1,15,2,5),1,_xlfn.SWITCH(_xlfn.RANK.EQ($J28,($J28,$O28,$T28,$Y28)),1,7,2,2,3,1),0,0)))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IF($O28="","",ROUND(($O28-$O$3)/1000,1)+IF($O28&lt;30000,-10,_xlfn.SWITCH(FREQUENCY(($J28,$O28,$T28,$Y28),29500),3,30,2,_xlfn.SWITCH(_xlfn.RANK.EQ($O28,($J28,$O28,$T28,$Y28)),1,15,2,5),1,_xlfn.SWITCH(_xlfn.RANK.EQ($O28,($J28,$O28,$T28,$Y28)),1,7,2,2,3,1),0,0)))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IF($T28="","",ROUND(($T28-$T$3)/1000,1)+IF($T28&lt;30000,-10,_xlfn.SWITCH(FREQUENCY(($J28,$O28,$T28,$Y28),29500),3,30,2,_xlfn.SWITCH(_xlfn.RANK.EQ($T28,($J28,$O28,$T28,$Y28)),1,15,2,5),1,_xlfn.SWITCH(_xlfn.RANK.EQ($T28,($J28,$O28,$T28,$Y28)),1,7,2,2,3,1),0,0)))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IF($Y28="","",ROUND(($Y28-$Y$3)/1000,1)+IF($Y28&lt;30000,-10,_xlfn.SWITCH(FREQUENCY(($J28,$O28,$T28,$Y28),29500),3,30,2,_xlfn.SWITCH(_xlfn.RANK.EQ($Y28,($J28,$O28,$T28,$Y28)),1,15,2,5),1,_xlfn.SWITCH(_xlfn.RANK.EQ($Y28,($J28,$O28,$T28,$Y28)),1,7,2,2,3,1),0,0)))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IF($J29="","",ROUND(($J29-$J$3)/1000,1)+IF($J29&lt;30000,-10,_xlfn.SWITCH(FREQUENCY(($J29,$O29,$T29,$Y29),29500),3,30,2,_xlfn.SWITCH(_xlfn.RANK.EQ($J29,($J29,$O29,$T29,$Y29)),1,15,2,5),1,_xlfn.SWITCH(_xlfn.RANK.EQ($J29,($J29,$O29,$T29,$Y29)),1,7,2,2,3,1),0,0)))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IF($O29="","",ROUND(($O29-$O$3)/1000,1)+IF($O29&lt;30000,-10,_xlfn.SWITCH(FREQUENCY(($J29,$O29,$T29,$Y29),29500),3,30,2,_xlfn.SWITCH(_xlfn.RANK.EQ($O29,($J29,$O29,$T29,$Y29)),1,15,2,5),1,_xlfn.SWITCH(_xlfn.RANK.EQ($O29,($J29,$O29,$T29,$Y29)),1,7,2,2,3,1),0,0)))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IF($T29="","",ROUND(($T29-$T$3)/1000,1)+IF($T29&lt;30000,-10,_xlfn.SWITCH(FREQUENCY(($J29,$O29,$T29,$Y29),29500),3,30,2,_xlfn.SWITCH(_xlfn.RANK.EQ($T29,($J29,$O29,$T29,$Y29)),1,15,2,5),1,_xlfn.SWITCH(_xlfn.RANK.EQ($T29,($J29,$O29,$T29,$Y29)),1,7,2,2,3,1),0,0)))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IF($Y29="","",ROUND(($Y29-$Y$3)/1000,1)+IF($Y29&lt;30000,-10,_xlfn.SWITCH(FREQUENCY(($J29,$O29,$T29,$Y29),29500),3,30,2,_xlfn.SWITCH(_xlfn.RANK.EQ($Y29,($J29,$O29,$T29,$Y29)),1,15,2,5),1,_xlfn.SWITCH(_xlfn.RANK.EQ($Y29,($J29,$O29,$T29,$Y29)),1,7,2,2,3,1),0,0)))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IF($J30="","",ROUND(($J30-$J$3)/1000,1)+IF($J30&lt;30000,-10,_xlfn.SWITCH(FREQUENCY(($J30,$O30,$T30,$Y30),29500),3,30,2,_xlfn.SWITCH(_xlfn.RANK.EQ($J30,($J30,$O30,$T30,$Y30)),1,15,2,5),1,_xlfn.SWITCH(_xlfn.RANK.EQ($J30,($J30,$O30,$T30,$Y30)),1,7,2,2,3,1),0,0)))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IF($O30="","",ROUND(($O30-$O$3)/1000,1)+IF($O30&lt;30000,-10,_xlfn.SWITCH(FREQUENCY(($J30,$O30,$T30,$Y30),29500),3,30,2,_xlfn.SWITCH(_xlfn.RANK.EQ($O30,($J30,$O30,$T30,$Y30)),1,15,2,5),1,_xlfn.SWITCH(_xlfn.RANK.EQ($O30,($J30,$O30,$T30,$Y30)),1,7,2,2,3,1),0,0)))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IF($T30="","",ROUND(($T30-$T$3)/1000,1)+IF($T30&lt;30000,-10,_xlfn.SWITCH(FREQUENCY(($J30,$O30,$T30,$Y30),29500),3,30,2,_xlfn.SWITCH(_xlfn.RANK.EQ($T30,($J30,$O30,$T30,$Y30)),1,15,2,5),1,_xlfn.SWITCH(_xlfn.RANK.EQ($T30,($J30,$O30,$T30,$Y30)),1,7,2,2,3,1),0,0)))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IF($Y30="","",ROUND(($Y30-$Y$3)/1000,1)+IF($Y30&lt;30000,-10,_xlfn.SWITCH(FREQUENCY(($J30,$O30,$T30,$Y30),29500),3,30,2,_xlfn.SWITCH(_xlfn.RANK.EQ($Y30,($J30,$O30,$T30,$Y30)),1,15,2,5),1,_xlfn.SWITCH(_xlfn.RANK.EQ($Y30,($J30,$O30,$T30,$Y30)),1,7,2,2,3,1),0,0)))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1" priority="10">
      <formula>IF(G4&lt;&gt;"",SUM($G4:$I4,$L4:$N4,$Q4:$S4,$V4:$X4)-$D4*1000+$D5*1000)</formula>
    </cfRule>
  </conditionalFormatting>
  <conditionalFormatting sqref="F1:Y1">
    <cfRule type="duplicateValues" dxfId="2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2019-06-20T13:23:26Z</dcterms:modified>
</cp:coreProperties>
</file>