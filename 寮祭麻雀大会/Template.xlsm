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寮祭麻雀大会\"/>
    </mc:Choice>
  </mc:AlternateContent>
  <xr:revisionPtr revIDLastSave="0" documentId="13_ncr:1_{BB28922F-BF7E-45DF-9A50-298872FE691B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点数表(親ロン)" sheetId="4" state="hidden" r:id="rId2"/>
    <sheet name="点数表(親ツモ)" sheetId="9" state="hidden" r:id="rId3"/>
    <sheet name="点数表(子→親)" sheetId="7" state="hidden" r:id="rId4"/>
    <sheet name="点数表(子ロン)" sheetId="3" state="hidden" r:id="rId5"/>
    <sheet name="点数表(子ツモ)" sheetId="10" state="hidden" r:id="rId6"/>
    <sheet name="点数表(子→子)" sheetId="5" state="hidden" r:id="rId7"/>
    <sheet name="点数表(親→子)" sheetId="6" state="hidden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C30" i="19" l="1"/>
  <c r="AB30" i="19"/>
  <c r="AA30" i="19"/>
  <c r="Z30" i="19"/>
  <c r="AC29" i="19"/>
  <c r="AB29" i="19"/>
  <c r="AA29" i="19"/>
  <c r="Z29" i="19"/>
  <c r="AC28" i="19"/>
  <c r="AB28" i="19"/>
  <c r="AA28" i="19"/>
  <c r="Z28" i="19"/>
  <c r="AC27" i="19"/>
  <c r="AB27" i="19"/>
  <c r="AA27" i="19"/>
  <c r="Z27" i="19"/>
  <c r="AC26" i="19"/>
  <c r="AB26" i="19"/>
  <c r="AA26" i="19"/>
  <c r="Z26" i="19"/>
  <c r="AC25" i="19"/>
  <c r="AB25" i="19"/>
  <c r="AA25" i="19"/>
  <c r="Z25" i="19"/>
  <c r="AC24" i="19"/>
  <c r="AB24" i="19"/>
  <c r="AA24" i="19"/>
  <c r="Z24" i="19"/>
  <c r="AC23" i="19"/>
  <c r="AB23" i="19"/>
  <c r="AA23" i="19"/>
  <c r="Z23" i="19"/>
  <c r="AC22" i="19"/>
  <c r="AB22" i="19"/>
  <c r="AA22" i="19"/>
  <c r="Z22" i="19"/>
  <c r="AC21" i="19"/>
  <c r="AB21" i="19"/>
  <c r="AA21" i="19"/>
  <c r="Z21" i="19"/>
  <c r="AC20" i="19"/>
  <c r="AB20" i="19"/>
  <c r="AA20" i="19"/>
  <c r="Z20" i="19"/>
  <c r="AC19" i="19"/>
  <c r="AB19" i="19"/>
  <c r="AA19" i="19"/>
  <c r="Z19" i="19"/>
  <c r="AC18" i="19"/>
  <c r="AB18" i="19"/>
  <c r="AA18" i="19"/>
  <c r="Z18" i="19"/>
  <c r="AC17" i="19"/>
  <c r="AB17" i="19"/>
  <c r="AA17" i="19"/>
  <c r="Z17" i="19"/>
  <c r="AC16" i="19"/>
  <c r="AB16" i="19"/>
  <c r="AA16" i="19"/>
  <c r="Z16" i="19"/>
  <c r="AC15" i="19"/>
  <c r="AB15" i="19"/>
  <c r="AA15" i="19"/>
  <c r="Z15" i="19"/>
  <c r="AC14" i="19"/>
  <c r="AB14" i="19"/>
  <c r="AA14" i="19"/>
  <c r="Z14" i="19"/>
  <c r="AC13" i="19"/>
  <c r="AB13" i="19"/>
  <c r="AA13" i="19"/>
  <c r="Z13" i="19"/>
  <c r="AC12" i="19"/>
  <c r="AB12" i="19"/>
  <c r="AA12" i="19"/>
  <c r="Z12" i="19"/>
  <c r="AC11" i="19"/>
  <c r="AB11" i="19"/>
  <c r="AA11" i="19"/>
  <c r="Z11" i="19"/>
  <c r="AC10" i="19"/>
  <c r="AB10" i="19"/>
  <c r="AA10" i="19"/>
  <c r="Z10" i="19"/>
  <c r="AC9" i="19"/>
  <c r="AB9" i="19"/>
  <c r="AA9" i="19"/>
  <c r="Z9" i="19"/>
  <c r="AC8" i="19"/>
  <c r="AB8" i="19"/>
  <c r="AA8" i="19"/>
  <c r="Z8" i="19"/>
  <c r="AC7" i="19"/>
  <c r="AB7" i="19"/>
  <c r="AA7" i="19"/>
  <c r="Z7" i="19"/>
  <c r="AC6" i="19"/>
  <c r="AB6" i="19"/>
  <c r="AA6" i="19"/>
  <c r="Z6" i="19"/>
  <c r="AC5" i="19"/>
  <c r="AB5" i="19"/>
  <c r="AA5" i="19"/>
  <c r="Z5" i="19"/>
  <c r="AC4" i="19"/>
  <c r="AB4" i="19"/>
  <c r="AA4" i="19"/>
  <c r="Z4" i="19"/>
  <c r="AC3" i="19"/>
  <c r="AB3" i="19"/>
  <c r="AA3" i="19"/>
  <c r="Z3" i="19"/>
  <c r="AC2" i="19"/>
  <c r="AB2" i="19"/>
  <c r="AA2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Y4" i="19"/>
  <c r="T30" i="19" l="1"/>
  <c r="O30" i="19"/>
  <c r="J30" i="19"/>
  <c r="D30" i="19"/>
  <c r="C30" i="19"/>
  <c r="B30" i="19"/>
  <c r="A30" i="19"/>
  <c r="T29" i="19"/>
  <c r="O29" i="19"/>
  <c r="J29" i="19"/>
  <c r="D29" i="19"/>
  <c r="C29" i="19"/>
  <c r="B29" i="19"/>
  <c r="A29" i="19"/>
  <c r="T28" i="19"/>
  <c r="O28" i="19"/>
  <c r="J28" i="19"/>
  <c r="D28" i="19"/>
  <c r="C28" i="19"/>
  <c r="B28" i="19"/>
  <c r="A28" i="19"/>
  <c r="T27" i="19"/>
  <c r="O27" i="19"/>
  <c r="J27" i="19"/>
  <c r="D27" i="19"/>
  <c r="C27" i="19"/>
  <c r="B27" i="19"/>
  <c r="A27" i="19"/>
  <c r="T26" i="19"/>
  <c r="O26" i="19"/>
  <c r="J26" i="19"/>
  <c r="D26" i="19"/>
  <c r="C26" i="19"/>
  <c r="B26" i="19"/>
  <c r="A26" i="19"/>
  <c r="T25" i="19"/>
  <c r="O25" i="19"/>
  <c r="J25" i="19"/>
  <c r="D25" i="19"/>
  <c r="C25" i="19"/>
  <c r="B25" i="19"/>
  <c r="A25" i="19"/>
  <c r="T24" i="19"/>
  <c r="O24" i="19"/>
  <c r="J24" i="19"/>
  <c r="D24" i="19"/>
  <c r="C24" i="19"/>
  <c r="B24" i="19"/>
  <c r="A24" i="19"/>
  <c r="T23" i="19"/>
  <c r="O23" i="19"/>
  <c r="J23" i="19"/>
  <c r="D23" i="19"/>
  <c r="C23" i="19"/>
  <c r="B23" i="19"/>
  <c r="A23" i="19"/>
  <c r="T22" i="19"/>
  <c r="O22" i="19"/>
  <c r="J22" i="19"/>
  <c r="D22" i="19"/>
  <c r="C22" i="19"/>
  <c r="B22" i="19"/>
  <c r="A22" i="19"/>
  <c r="T21" i="19"/>
  <c r="O21" i="19"/>
  <c r="J21" i="19"/>
  <c r="D21" i="19"/>
  <c r="C21" i="19"/>
  <c r="B21" i="19"/>
  <c r="A21" i="19"/>
  <c r="T20" i="19"/>
  <c r="O20" i="19"/>
  <c r="J20" i="19"/>
  <c r="D20" i="19"/>
  <c r="C20" i="19"/>
  <c r="B20" i="19"/>
  <c r="A20" i="19"/>
  <c r="T19" i="19"/>
  <c r="O19" i="19"/>
  <c r="J19" i="19"/>
  <c r="D19" i="19"/>
  <c r="C19" i="19"/>
  <c r="B19" i="19"/>
  <c r="A19" i="19"/>
  <c r="T18" i="19"/>
  <c r="O18" i="19"/>
  <c r="J18" i="19"/>
  <c r="D18" i="19"/>
  <c r="C18" i="19"/>
  <c r="B18" i="19"/>
  <c r="A18" i="19"/>
  <c r="T17" i="19"/>
  <c r="O17" i="19"/>
  <c r="J17" i="19"/>
  <c r="D17" i="19"/>
  <c r="C17" i="19"/>
  <c r="B17" i="19"/>
  <c r="A17" i="19"/>
  <c r="T16" i="19"/>
  <c r="O16" i="19"/>
  <c r="J16" i="19"/>
  <c r="D16" i="19"/>
  <c r="C16" i="19"/>
  <c r="B16" i="19"/>
  <c r="A16" i="19"/>
  <c r="T15" i="19"/>
  <c r="O15" i="19"/>
  <c r="J15" i="19"/>
  <c r="D15" i="19"/>
  <c r="C15" i="19"/>
  <c r="B15" i="19"/>
  <c r="A15" i="19"/>
  <c r="T14" i="19"/>
  <c r="O14" i="19"/>
  <c r="J14" i="19"/>
  <c r="D14" i="19"/>
  <c r="C14" i="19"/>
  <c r="B14" i="19"/>
  <c r="A14" i="19"/>
  <c r="T13" i="19"/>
  <c r="O13" i="19"/>
  <c r="J13" i="19"/>
  <c r="D13" i="19"/>
  <c r="C13" i="19"/>
  <c r="B13" i="19"/>
  <c r="A13" i="19"/>
  <c r="T12" i="19"/>
  <c r="O12" i="19"/>
  <c r="J12" i="19"/>
  <c r="D12" i="19"/>
  <c r="C12" i="19"/>
  <c r="B12" i="19"/>
  <c r="A12" i="19"/>
  <c r="T11" i="19"/>
  <c r="O11" i="19"/>
  <c r="J11" i="19"/>
  <c r="D11" i="19"/>
  <c r="C11" i="19"/>
  <c r="B11" i="19"/>
  <c r="A11" i="19"/>
  <c r="T10" i="19"/>
  <c r="O10" i="19"/>
  <c r="J10" i="19"/>
  <c r="D10" i="19"/>
  <c r="C10" i="19"/>
  <c r="B10" i="19"/>
  <c r="A10" i="19"/>
  <c r="T9" i="19"/>
  <c r="O9" i="19"/>
  <c r="J9" i="19"/>
  <c r="D9" i="19"/>
  <c r="C9" i="19"/>
  <c r="B9" i="19"/>
  <c r="A9" i="19"/>
  <c r="T8" i="19"/>
  <c r="O8" i="19"/>
  <c r="J8" i="19"/>
  <c r="D8" i="19"/>
  <c r="C8" i="19"/>
  <c r="B8" i="19"/>
  <c r="A8" i="19"/>
  <c r="T7" i="19"/>
  <c r="O7" i="19"/>
  <c r="J7" i="19"/>
  <c r="D7" i="19"/>
  <c r="C7" i="19"/>
  <c r="B7" i="19"/>
  <c r="A7" i="19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Z2" i="19"/>
  <c r="J5" i="19" l="1"/>
  <c r="O5" i="19"/>
</calcChain>
</file>

<file path=xl/sharedStrings.xml><?xml version="1.0" encoding="utf-8"?>
<sst xmlns="http://schemas.openxmlformats.org/spreadsheetml/2006/main" count="173" uniqueCount="26">
  <si>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</si>
  <si>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</si>
  <si>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</si>
  <si>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</si>
  <si>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</si>
  <si>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</si>
  <si>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</si>
  <si>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</si>
  <si>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</si>
  <si>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</si>
  <si>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</si>
  <si>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</si>
  <si>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</si>
  <si>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</si>
  <si>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</si>
  <si>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</si>
  <si>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</si>
  <si>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</si>
  <si>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供託</t>
    <rPh sb="0" eb="2">
      <t>キョウタク</t>
    </rPh>
    <phoneticPr fontId="1"/>
  </si>
  <si>
    <t>リーチ</t>
    <phoneticPr fontId="1"/>
  </si>
  <si>
    <t>*</t>
    <phoneticPr fontId="1"/>
  </si>
  <si>
    <t>東</t>
    <rPh sb="0" eb="1">
      <t>ヒガシ</t>
    </rPh>
    <phoneticPr fontId="1"/>
  </si>
  <si>
    <t>Player3</t>
  </si>
  <si>
    <t>Player2</t>
    <phoneticPr fontId="1"/>
  </si>
  <si>
    <t>Player1</t>
    <phoneticPr fontId="1"/>
  </si>
  <si>
    <t>Playe4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</si>
</sst>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Alignment="1">
      <alignment vertical="center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8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AC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2" t="s">
        <v>0</v>
      </c>
      <c r="B1" s="44" t="s">
        <v>2</v>
      </c>
      <c r="C1" s="44" t="s">
        <v>1</v>
      </c>
      <c r="D1" s="44" t="s">
        <v>18</v>
      </c>
      <c r="E1" s="46" t="s">
        <v>3</v>
      </c>
      <c r="F1" s="48" t="s">
        <v>24</v>
      </c>
      <c r="G1" s="49"/>
      <c r="H1" s="49"/>
      <c r="I1" s="50"/>
      <c r="J1" s="51"/>
      <c r="K1" s="48" t="s">
        <v>23</v>
      </c>
      <c r="L1" s="49"/>
      <c r="M1" s="49"/>
      <c r="N1" s="50"/>
      <c r="O1" s="51"/>
      <c r="P1" s="48" t="s">
        <v>22</v>
      </c>
      <c r="Q1" s="49"/>
      <c r="R1" s="49"/>
      <c r="S1" s="50"/>
      <c r="T1" s="51"/>
      <c r="U1" s="48" t="s">
        <v>25</v>
      </c>
      <c r="V1" s="49"/>
      <c r="W1" s="49"/>
      <c r="X1" s="50"/>
      <c r="Y1" s="51"/>
      <c r="Z1" s="48" t="s">
        <v>6</v>
      </c>
      <c r="AA1" s="52"/>
      <c r="AB1" s="49"/>
      <c r="AC1" s="51"/>
    </row>
    <row r="2" spans="1:29" x14ac:dyDescent="0.4">
      <c r="A2" s="43"/>
      <c r="B2" s="45"/>
      <c r="C2" s="45"/>
      <c r="D2" s="45"/>
      <c r="E2" s="47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39" t="str">
        <f>$F$1</f>
        <v>Player1</v>
      </c>
      <c r="AA2" s="41" t="str">
        <f>$K$1</f>
        <v>Player2</v>
      </c>
      <c r="AB2" s="40" t="str">
        <f>$P$1</f>
        <v>Player3</v>
      </c>
      <c r="AC2" s="16" t="str">
        <f>$U$1</f>
        <v>Playe4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IF($J3="","",ROUND(($J3-$J$3)/1000,1)+0)</f>
        <v>0</v>
      </c>
      <c r="AA3" s="31">
        <f>IF($O3="","",ROUND(($O3-$O$3)/1000,1)+0)</f>
        <v>0</v>
      </c>
      <c r="AB3" s="31">
        <f>IF($T3="","",ROUND(($T3-$T$3)/1000,1)+0)</f>
        <v>0</v>
      </c>
      <c r="AC3" s="32">
        <f>IF($Y3="","",ROUND(($Y3-$Y$3)/1000,1)+0)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28"/>
      <c r="J4" s="21" t="str">
        <f>IF(COUNTA($F4,$K4,$P4)&gt;0,J3+SUM(G4:I4),"")</f>
        <v/>
      </c>
      <c r="K4" s="8"/>
      <c r="L4" s="9"/>
      <c r="M4" s="9"/>
      <c r="N4" s="28"/>
      <c r="O4" s="21" t="str">
        <f>IF(COUNTA($F4,$K4,$P4)&gt;0,O3+SUM(L4:N4),"")</f>
        <v/>
      </c>
      <c r="P4" s="8"/>
      <c r="Q4" s="9"/>
      <c r="R4" s="9"/>
      <c r="S4" s="28"/>
      <c r="T4" s="21" t="str">
        <f>IF(COUNTA($F4,$K4,$P4)&gt;0,T3+SUM(Q4:S4),"")</f>
        <v/>
      </c>
      <c r="U4" s="8"/>
      <c r="V4" s="9"/>
      <c r="W4" s="9"/>
      <c r="X4" s="28"/>
      <c r="Y4" s="21" t="str">
        <f>IF(COUNTA($F4,$K4,$P4)&gt;0,Y3+SUM(V4:X4),"")</f>
        <v/>
      </c>
      <c r="Z4" s="33" t="str">
        <f t="shared" ref="Z4:Z30" si="0">IF($J4="","",ROUND(($J4-$J$3)/1000,1)+0)</f>
        <v/>
      </c>
      <c r="AA4" s="34" t="str">
        <f t="shared" ref="AA4:AA30" si="1">IF($O4="","",ROUND(($O4-$O$3)/1000,1)+0)</f>
        <v/>
      </c>
      <c r="AB4" s="34" t="str">
        <f t="shared" ref="AB4:AB30" si="2">IF($T4="","",ROUND(($T4-$T$3)/1000,1)+0)</f>
        <v/>
      </c>
      <c r="AC4" s="35" t="str">
        <f t="shared" ref="AC4:AC30" si="3">IF($Y4="","",ROUND(($Y4-$Y$3)/1000,1)+0)</f>
        <v/>
      </c>
    </row>
    <row r="5" spans="1:29" x14ac:dyDescent="0.4">
      <c r="A5" s="13" t="str">
        <f t="shared" ref="A5:A30" si="4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5">IF($E5="","",IF(OR($F4="流局",$F4="チョンボ"),D4+($H4+$M4+$R4)/-1000,0))</f>
        <v/>
      </c>
      <c r="E5" s="4"/>
      <c r="F5" s="8"/>
      <c r="G5" s="9"/>
      <c r="H5" s="9"/>
      <c r="I5" s="28"/>
      <c r="J5" s="21" t="str">
        <f t="shared" ref="J5:J30" si="6">IF(COUNTA($F5,$K5,$P5)&gt;0,J4+SUM(G5:I5),"")</f>
        <v/>
      </c>
      <c r="K5" s="8"/>
      <c r="L5" s="9"/>
      <c r="M5" s="9"/>
      <c r="N5" s="28"/>
      <c r="O5" s="21" t="str">
        <f t="shared" ref="O5:O30" si="7">IF(COUNTA($F5,$K5,$P5)&gt;0,O4+SUM(L5:N5),"")</f>
        <v/>
      </c>
      <c r="P5" s="8"/>
      <c r="Q5" s="9"/>
      <c r="R5" s="9"/>
      <c r="S5" s="28"/>
      <c r="T5" s="21" t="str">
        <f t="shared" ref="T5:T30" si="8">IF(COUNTA($F5,$K5,$P5)&gt;0,T4+SUM(Q5:S5),"")</f>
        <v/>
      </c>
      <c r="U5" s="8"/>
      <c r="V5" s="9"/>
      <c r="W5" s="9"/>
      <c r="X5" s="28"/>
      <c r="Y5" s="21" t="str">
        <f t="shared" ref="Y5:Y30" si="9">IF(COUNTA($F5,$K5,$P5)&gt;0,Y4+SUM(V5:X5),"")</f>
        <v/>
      </c>
      <c r="Z5" s="33" t="str">
        <f t="shared" si="0"/>
        <v/>
      </c>
      <c r="AA5" s="34" t="str">
        <f t="shared" si="1"/>
        <v/>
      </c>
      <c r="AB5" s="34" t="str">
        <f t="shared" si="2"/>
        <v/>
      </c>
      <c r="AC5" s="35" t="str">
        <f t="shared" si="3"/>
        <v/>
      </c>
    </row>
    <row r="6" spans="1:29" x14ac:dyDescent="0.4">
      <c r="A6" s="13" t="str">
        <f t="shared" si="4"/>
        <v/>
      </c>
      <c r="B6" s="18" t="str">
        <f t="shared" ref="B6:B30" si="10">IF($E6="","",IF($E5=$E6,B5,IF(B5=3,1,B5+1)))</f>
        <v/>
      </c>
      <c r="C6" s="18" t="str">
        <f t="shared" ref="C6:C30" si="11">IF($E6="","",IF($F5="チョンボ",C5,IF(OR($E5=$E6,$F5="流局"),C5+1,0)))</f>
        <v/>
      </c>
      <c r="D6" s="18" t="str">
        <f t="shared" si="5"/>
        <v/>
      </c>
      <c r="E6" s="4"/>
      <c r="F6" s="8"/>
      <c r="G6" s="9"/>
      <c r="H6" s="9"/>
      <c r="I6" s="28"/>
      <c r="J6" s="21" t="str">
        <f t="shared" si="6"/>
        <v/>
      </c>
      <c r="K6" s="8"/>
      <c r="L6" s="9"/>
      <c r="M6" s="9"/>
      <c r="N6" s="28"/>
      <c r="O6" s="21" t="str">
        <f t="shared" si="7"/>
        <v/>
      </c>
      <c r="P6" s="8"/>
      <c r="Q6" s="9"/>
      <c r="R6" s="9"/>
      <c r="S6" s="28"/>
      <c r="T6" s="21" t="str">
        <f t="shared" si="8"/>
        <v/>
      </c>
      <c r="U6" s="8"/>
      <c r="V6" s="9"/>
      <c r="W6" s="9"/>
      <c r="X6" s="28"/>
      <c r="Y6" s="21" t="str">
        <f t="shared" si="9"/>
        <v/>
      </c>
      <c r="Z6" s="33" t="str">
        <f t="shared" si="0"/>
        <v/>
      </c>
      <c r="AA6" s="34" t="str">
        <f t="shared" si="1"/>
        <v/>
      </c>
      <c r="AB6" s="34" t="str">
        <f t="shared" si="2"/>
        <v/>
      </c>
      <c r="AC6" s="35" t="str">
        <f t="shared" si="3"/>
        <v/>
      </c>
    </row>
    <row r="7" spans="1:29" x14ac:dyDescent="0.4">
      <c r="A7" s="13" t="str">
        <f t="shared" si="4"/>
        <v/>
      </c>
      <c r="B7" s="18" t="str">
        <f t="shared" si="10"/>
        <v/>
      </c>
      <c r="C7" s="18" t="str">
        <f t="shared" si="11"/>
        <v/>
      </c>
      <c r="D7" s="18" t="str">
        <f t="shared" si="5"/>
        <v/>
      </c>
      <c r="E7" s="4"/>
      <c r="F7" s="8"/>
      <c r="G7" s="9"/>
      <c r="H7" s="9"/>
      <c r="I7" s="28"/>
      <c r="J7" s="21" t="str">
        <f t="shared" si="6"/>
        <v/>
      </c>
      <c r="K7" s="8"/>
      <c r="L7" s="9"/>
      <c r="M7" s="9"/>
      <c r="N7" s="28"/>
      <c r="O7" s="21" t="str">
        <f t="shared" si="7"/>
        <v/>
      </c>
      <c r="P7" s="8"/>
      <c r="Q7" s="9"/>
      <c r="R7" s="9"/>
      <c r="S7" s="28"/>
      <c r="T7" s="21" t="str">
        <f t="shared" si="8"/>
        <v/>
      </c>
      <c r="U7" s="8"/>
      <c r="V7" s="9"/>
      <c r="W7" s="9"/>
      <c r="X7" s="28"/>
      <c r="Y7" s="21" t="str">
        <f t="shared" si="9"/>
        <v/>
      </c>
      <c r="Z7" s="33" t="str">
        <f t="shared" si="0"/>
        <v/>
      </c>
      <c r="AA7" s="34" t="str">
        <f t="shared" si="1"/>
        <v/>
      </c>
      <c r="AB7" s="34" t="str">
        <f t="shared" si="2"/>
        <v/>
      </c>
      <c r="AC7" s="35" t="str">
        <f t="shared" si="3"/>
        <v/>
      </c>
    </row>
    <row r="8" spans="1:29" x14ac:dyDescent="0.4">
      <c r="A8" s="13" t="str">
        <f t="shared" si="4"/>
        <v/>
      </c>
      <c r="B8" s="18" t="str">
        <f t="shared" si="10"/>
        <v/>
      </c>
      <c r="C8" s="18" t="str">
        <f t="shared" si="11"/>
        <v/>
      </c>
      <c r="D8" s="18" t="str">
        <f t="shared" si="5"/>
        <v/>
      </c>
      <c r="E8" s="4"/>
      <c r="F8" s="8"/>
      <c r="G8" s="9"/>
      <c r="H8" s="9"/>
      <c r="I8" s="28"/>
      <c r="J8" s="21" t="str">
        <f t="shared" si="6"/>
        <v/>
      </c>
      <c r="K8" s="8"/>
      <c r="L8" s="9"/>
      <c r="M8" s="9"/>
      <c r="N8" s="28"/>
      <c r="O8" s="21" t="str">
        <f t="shared" si="7"/>
        <v/>
      </c>
      <c r="P8" s="8"/>
      <c r="Q8" s="9"/>
      <c r="R8" s="9"/>
      <c r="S8" s="28"/>
      <c r="T8" s="21" t="str">
        <f t="shared" si="8"/>
        <v/>
      </c>
      <c r="U8" s="8"/>
      <c r="V8" s="9"/>
      <c r="W8" s="9"/>
      <c r="X8" s="28"/>
      <c r="Y8" s="21" t="str">
        <f t="shared" si="9"/>
        <v/>
      </c>
      <c r="Z8" s="33" t="str">
        <f t="shared" si="0"/>
        <v/>
      </c>
      <c r="AA8" s="34" t="str">
        <f t="shared" si="1"/>
        <v/>
      </c>
      <c r="AB8" s="34" t="str">
        <f t="shared" si="2"/>
        <v/>
      </c>
      <c r="AC8" s="35" t="str">
        <f t="shared" si="3"/>
        <v/>
      </c>
    </row>
    <row r="9" spans="1:29" x14ac:dyDescent="0.4">
      <c r="A9" s="13" t="str">
        <f t="shared" si="4"/>
        <v/>
      </c>
      <c r="B9" s="18" t="str">
        <f t="shared" si="10"/>
        <v/>
      </c>
      <c r="C9" s="18" t="str">
        <f t="shared" si="11"/>
        <v/>
      </c>
      <c r="D9" s="18" t="str">
        <f t="shared" si="5"/>
        <v/>
      </c>
      <c r="E9" s="4"/>
      <c r="F9" s="8"/>
      <c r="G9" s="9"/>
      <c r="H9" s="9"/>
      <c r="I9" s="28"/>
      <c r="J9" s="21" t="str">
        <f t="shared" si="6"/>
        <v/>
      </c>
      <c r="K9" s="8"/>
      <c r="L9" s="9"/>
      <c r="M9" s="9"/>
      <c r="N9" s="28"/>
      <c r="O9" s="21" t="str">
        <f t="shared" si="7"/>
        <v/>
      </c>
      <c r="P9" s="8"/>
      <c r="Q9" s="9"/>
      <c r="R9" s="9"/>
      <c r="S9" s="28"/>
      <c r="T9" s="21" t="str">
        <f t="shared" si="8"/>
        <v/>
      </c>
      <c r="U9" s="8"/>
      <c r="V9" s="9"/>
      <c r="W9" s="9"/>
      <c r="X9" s="28"/>
      <c r="Y9" s="21" t="str">
        <f t="shared" si="9"/>
        <v/>
      </c>
      <c r="Z9" s="33" t="str">
        <f t="shared" si="0"/>
        <v/>
      </c>
      <c r="AA9" s="34" t="str">
        <f t="shared" si="1"/>
        <v/>
      </c>
      <c r="AB9" s="34" t="str">
        <f t="shared" si="2"/>
        <v/>
      </c>
      <c r="AC9" s="35" t="str">
        <f t="shared" si="3"/>
        <v/>
      </c>
    </row>
    <row r="10" spans="1:29" x14ac:dyDescent="0.4">
      <c r="A10" s="13" t="str">
        <f t="shared" si="4"/>
        <v/>
      </c>
      <c r="B10" s="18" t="str">
        <f t="shared" si="10"/>
        <v/>
      </c>
      <c r="C10" s="18" t="str">
        <f t="shared" si="11"/>
        <v/>
      </c>
      <c r="D10" s="18" t="str">
        <f t="shared" si="5"/>
        <v/>
      </c>
      <c r="E10" s="4"/>
      <c r="F10" s="8"/>
      <c r="G10" s="9"/>
      <c r="H10" s="9"/>
      <c r="I10" s="28"/>
      <c r="J10" s="21" t="str">
        <f t="shared" si="6"/>
        <v/>
      </c>
      <c r="K10" s="8"/>
      <c r="L10" s="9"/>
      <c r="M10" s="9"/>
      <c r="N10" s="28"/>
      <c r="O10" s="21" t="str">
        <f t="shared" si="7"/>
        <v/>
      </c>
      <c r="P10" s="8"/>
      <c r="Q10" s="9"/>
      <c r="R10" s="9"/>
      <c r="S10" s="28"/>
      <c r="T10" s="21" t="str">
        <f t="shared" si="8"/>
        <v/>
      </c>
      <c r="U10" s="8"/>
      <c r="V10" s="9"/>
      <c r="W10" s="9"/>
      <c r="X10" s="28"/>
      <c r="Y10" s="21" t="str">
        <f t="shared" si="9"/>
        <v/>
      </c>
      <c r="Z10" s="33" t="str">
        <f t="shared" si="0"/>
        <v/>
      </c>
      <c r="AA10" s="34" t="str">
        <f t="shared" si="1"/>
        <v/>
      </c>
      <c r="AB10" s="34" t="str">
        <f t="shared" si="2"/>
        <v/>
      </c>
      <c r="AC10" s="35" t="str">
        <f t="shared" si="3"/>
        <v/>
      </c>
    </row>
    <row r="11" spans="1:29" x14ac:dyDescent="0.4">
      <c r="A11" s="13" t="str">
        <f t="shared" si="4"/>
        <v/>
      </c>
      <c r="B11" s="18" t="str">
        <f t="shared" si="10"/>
        <v/>
      </c>
      <c r="C11" s="18" t="str">
        <f t="shared" si="11"/>
        <v/>
      </c>
      <c r="D11" s="18" t="str">
        <f t="shared" si="5"/>
        <v/>
      </c>
      <c r="E11" s="4"/>
      <c r="F11" s="8"/>
      <c r="G11" s="9"/>
      <c r="H11" s="9"/>
      <c r="I11" s="28"/>
      <c r="J11" s="21" t="str">
        <f t="shared" si="6"/>
        <v/>
      </c>
      <c r="K11" s="8"/>
      <c r="L11" s="9"/>
      <c r="M11" s="9"/>
      <c r="N11" s="28"/>
      <c r="O11" s="21" t="str">
        <f t="shared" si="7"/>
        <v/>
      </c>
      <c r="P11" s="8"/>
      <c r="Q11" s="9"/>
      <c r="R11" s="9"/>
      <c r="S11" s="28"/>
      <c r="T11" s="21" t="str">
        <f t="shared" si="8"/>
        <v/>
      </c>
      <c r="U11" s="8"/>
      <c r="V11" s="9"/>
      <c r="W11" s="9"/>
      <c r="X11" s="28"/>
      <c r="Y11" s="21" t="str">
        <f t="shared" si="9"/>
        <v/>
      </c>
      <c r="Z11" s="33" t="str">
        <f t="shared" si="0"/>
        <v/>
      </c>
      <c r="AA11" s="34" t="str">
        <f t="shared" si="1"/>
        <v/>
      </c>
      <c r="AB11" s="34" t="str">
        <f t="shared" si="2"/>
        <v/>
      </c>
      <c r="AC11" s="35" t="str">
        <f t="shared" si="3"/>
        <v/>
      </c>
    </row>
    <row r="12" spans="1:29" x14ac:dyDescent="0.4">
      <c r="A12" s="13" t="str">
        <f t="shared" si="4"/>
        <v/>
      </c>
      <c r="B12" s="18" t="str">
        <f t="shared" si="10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28"/>
      <c r="J12" s="21" t="str">
        <f t="shared" si="6"/>
        <v/>
      </c>
      <c r="K12" s="8"/>
      <c r="L12" s="9"/>
      <c r="M12" s="9"/>
      <c r="N12" s="28"/>
      <c r="O12" s="21" t="str">
        <f t="shared" si="7"/>
        <v/>
      </c>
      <c r="P12" s="8"/>
      <c r="Q12" s="9"/>
      <c r="R12" s="9"/>
      <c r="S12" s="28"/>
      <c r="T12" s="21" t="str">
        <f t="shared" si="8"/>
        <v/>
      </c>
      <c r="U12" s="8"/>
      <c r="V12" s="9"/>
      <c r="W12" s="9"/>
      <c r="X12" s="28"/>
      <c r="Y12" s="21" t="str">
        <f t="shared" si="9"/>
        <v/>
      </c>
      <c r="Z12" s="33" t="str">
        <f t="shared" si="0"/>
        <v/>
      </c>
      <c r="AA12" s="34" t="str">
        <f t="shared" si="1"/>
        <v/>
      </c>
      <c r="AB12" s="34" t="str">
        <f t="shared" si="2"/>
        <v/>
      </c>
      <c r="AC12" s="35" t="str">
        <f t="shared" si="3"/>
        <v/>
      </c>
    </row>
    <row r="13" spans="1:29" x14ac:dyDescent="0.4">
      <c r="A13" s="13" t="str">
        <f t="shared" si="4"/>
        <v/>
      </c>
      <c r="B13" s="18" t="str">
        <f t="shared" si="10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28"/>
      <c r="J13" s="21" t="str">
        <f t="shared" si="6"/>
        <v/>
      </c>
      <c r="K13" s="8"/>
      <c r="L13" s="9"/>
      <c r="M13" s="9"/>
      <c r="N13" s="28"/>
      <c r="O13" s="21" t="str">
        <f t="shared" si="7"/>
        <v/>
      </c>
      <c r="P13" s="8"/>
      <c r="Q13" s="9"/>
      <c r="R13" s="9"/>
      <c r="S13" s="28"/>
      <c r="T13" s="21" t="str">
        <f t="shared" si="8"/>
        <v/>
      </c>
      <c r="U13" s="8"/>
      <c r="V13" s="9"/>
      <c r="W13" s="9"/>
      <c r="X13" s="28"/>
      <c r="Y13" s="21" t="str">
        <f t="shared" si="9"/>
        <v/>
      </c>
      <c r="Z13" s="33" t="str">
        <f t="shared" si="0"/>
        <v/>
      </c>
      <c r="AA13" s="34" t="str">
        <f t="shared" si="1"/>
        <v/>
      </c>
      <c r="AB13" s="34" t="str">
        <f t="shared" si="2"/>
        <v/>
      </c>
      <c r="AC13" s="35" t="str">
        <f t="shared" si="3"/>
        <v/>
      </c>
    </row>
    <row r="14" spans="1:29" x14ac:dyDescent="0.4">
      <c r="A14" s="13" t="str">
        <f t="shared" si="4"/>
        <v/>
      </c>
      <c r="B14" s="18" t="str">
        <f t="shared" si="10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28"/>
      <c r="J14" s="21" t="str">
        <f t="shared" si="6"/>
        <v/>
      </c>
      <c r="K14" s="8"/>
      <c r="L14" s="9"/>
      <c r="M14" s="9"/>
      <c r="N14" s="28"/>
      <c r="O14" s="21" t="str">
        <f t="shared" si="7"/>
        <v/>
      </c>
      <c r="P14" s="8"/>
      <c r="Q14" s="9"/>
      <c r="R14" s="9"/>
      <c r="S14" s="28"/>
      <c r="T14" s="21" t="str">
        <f t="shared" si="8"/>
        <v/>
      </c>
      <c r="U14" s="8"/>
      <c r="V14" s="9"/>
      <c r="W14" s="9"/>
      <c r="X14" s="28"/>
      <c r="Y14" s="21" t="str">
        <f t="shared" si="9"/>
        <v/>
      </c>
      <c r="Z14" s="33" t="str">
        <f t="shared" si="0"/>
        <v/>
      </c>
      <c r="AA14" s="34" t="str">
        <f t="shared" si="1"/>
        <v/>
      </c>
      <c r="AB14" s="34" t="str">
        <f t="shared" si="2"/>
        <v/>
      </c>
      <c r="AC14" s="35" t="str">
        <f t="shared" si="3"/>
        <v/>
      </c>
    </row>
    <row r="15" spans="1:29" x14ac:dyDescent="0.4">
      <c r="A15" s="13" t="str">
        <f t="shared" si="4"/>
        <v/>
      </c>
      <c r="B15" s="18" t="str">
        <f t="shared" si="10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28"/>
      <c r="J15" s="21" t="str">
        <f t="shared" si="6"/>
        <v/>
      </c>
      <c r="K15" s="8"/>
      <c r="L15" s="9"/>
      <c r="M15" s="9"/>
      <c r="N15" s="28"/>
      <c r="O15" s="21" t="str">
        <f t="shared" si="7"/>
        <v/>
      </c>
      <c r="P15" s="8"/>
      <c r="Q15" s="9"/>
      <c r="R15" s="9"/>
      <c r="S15" s="28"/>
      <c r="T15" s="21" t="str">
        <f t="shared" si="8"/>
        <v/>
      </c>
      <c r="U15" s="8"/>
      <c r="V15" s="9"/>
      <c r="W15" s="9"/>
      <c r="X15" s="28"/>
      <c r="Y15" s="21" t="str">
        <f t="shared" si="9"/>
        <v/>
      </c>
      <c r="Z15" s="33" t="str">
        <f t="shared" si="0"/>
        <v/>
      </c>
      <c r="AA15" s="34" t="str">
        <f t="shared" si="1"/>
        <v/>
      </c>
      <c r="AB15" s="34" t="str">
        <f t="shared" si="2"/>
        <v/>
      </c>
      <c r="AC15" s="35" t="str">
        <f t="shared" si="3"/>
        <v/>
      </c>
    </row>
    <row r="16" spans="1:29" x14ac:dyDescent="0.4">
      <c r="A16" s="13" t="str">
        <f t="shared" si="4"/>
        <v/>
      </c>
      <c r="B16" s="18" t="str">
        <f t="shared" si="10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28"/>
      <c r="J16" s="21" t="str">
        <f t="shared" si="6"/>
        <v/>
      </c>
      <c r="K16" s="8"/>
      <c r="L16" s="9"/>
      <c r="M16" s="9"/>
      <c r="N16" s="28"/>
      <c r="O16" s="21" t="str">
        <f t="shared" si="7"/>
        <v/>
      </c>
      <c r="P16" s="8"/>
      <c r="Q16" s="9"/>
      <c r="R16" s="9"/>
      <c r="S16" s="28"/>
      <c r="T16" s="21" t="str">
        <f t="shared" si="8"/>
        <v/>
      </c>
      <c r="U16" s="8"/>
      <c r="V16" s="9"/>
      <c r="W16" s="9"/>
      <c r="X16" s="28"/>
      <c r="Y16" s="21" t="str">
        <f t="shared" si="9"/>
        <v/>
      </c>
      <c r="Z16" s="33" t="str">
        <f t="shared" si="0"/>
        <v/>
      </c>
      <c r="AA16" s="34" t="str">
        <f t="shared" si="1"/>
        <v/>
      </c>
      <c r="AB16" s="34" t="str">
        <f t="shared" si="2"/>
        <v/>
      </c>
      <c r="AC16" s="35" t="str">
        <f t="shared" si="3"/>
        <v/>
      </c>
    </row>
    <row r="17" spans="1:29" x14ac:dyDescent="0.4">
      <c r="A17" s="13" t="str">
        <f t="shared" si="4"/>
        <v/>
      </c>
      <c r="B17" s="18" t="str">
        <f t="shared" si="10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28"/>
      <c r="J17" s="21" t="str">
        <f t="shared" si="6"/>
        <v/>
      </c>
      <c r="K17" s="8"/>
      <c r="L17" s="9"/>
      <c r="M17" s="9"/>
      <c r="N17" s="28"/>
      <c r="O17" s="21" t="str">
        <f t="shared" si="7"/>
        <v/>
      </c>
      <c r="P17" s="8"/>
      <c r="Q17" s="9"/>
      <c r="R17" s="9"/>
      <c r="S17" s="28"/>
      <c r="T17" s="21" t="str">
        <f t="shared" si="8"/>
        <v/>
      </c>
      <c r="U17" s="8"/>
      <c r="V17" s="9"/>
      <c r="W17" s="9"/>
      <c r="X17" s="28"/>
      <c r="Y17" s="21" t="str">
        <f t="shared" si="9"/>
        <v/>
      </c>
      <c r="Z17" s="33" t="str">
        <f t="shared" si="0"/>
        <v/>
      </c>
      <c r="AA17" s="34" t="str">
        <f t="shared" si="1"/>
        <v/>
      </c>
      <c r="AB17" s="34" t="str">
        <f t="shared" si="2"/>
        <v/>
      </c>
      <c r="AC17" s="35" t="str">
        <f t="shared" si="3"/>
        <v/>
      </c>
    </row>
    <row r="18" spans="1:29" x14ac:dyDescent="0.4">
      <c r="A18" s="13" t="str">
        <f t="shared" si="4"/>
        <v/>
      </c>
      <c r="B18" s="18" t="str">
        <f t="shared" si="10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28"/>
      <c r="J18" s="21" t="str">
        <f t="shared" si="6"/>
        <v/>
      </c>
      <c r="K18" s="8"/>
      <c r="L18" s="9"/>
      <c r="M18" s="9"/>
      <c r="N18" s="28"/>
      <c r="O18" s="21" t="str">
        <f t="shared" si="7"/>
        <v/>
      </c>
      <c r="P18" s="8"/>
      <c r="Q18" s="9"/>
      <c r="R18" s="9"/>
      <c r="S18" s="28"/>
      <c r="T18" s="21" t="str">
        <f t="shared" si="8"/>
        <v/>
      </c>
      <c r="U18" s="8"/>
      <c r="V18" s="9"/>
      <c r="W18" s="9"/>
      <c r="X18" s="28"/>
      <c r="Y18" s="21" t="str">
        <f t="shared" si="9"/>
        <v/>
      </c>
      <c r="Z18" s="33" t="str">
        <f t="shared" si="0"/>
        <v/>
      </c>
      <c r="AA18" s="34" t="str">
        <f t="shared" si="1"/>
        <v/>
      </c>
      <c r="AB18" s="34" t="str">
        <f t="shared" si="2"/>
        <v/>
      </c>
      <c r="AC18" s="35" t="str">
        <f t="shared" si="3"/>
        <v/>
      </c>
    </row>
    <row r="19" spans="1:29" x14ac:dyDescent="0.4">
      <c r="A19" s="13" t="str">
        <f t="shared" si="4"/>
        <v/>
      </c>
      <c r="B19" s="18" t="str">
        <f t="shared" si="10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28"/>
      <c r="J19" s="21" t="str">
        <f t="shared" si="6"/>
        <v/>
      </c>
      <c r="K19" s="8"/>
      <c r="L19" s="9"/>
      <c r="M19" s="9"/>
      <c r="N19" s="28"/>
      <c r="O19" s="21" t="str">
        <f t="shared" si="7"/>
        <v/>
      </c>
      <c r="P19" s="8"/>
      <c r="Q19" s="9"/>
      <c r="R19" s="9"/>
      <c r="S19" s="28"/>
      <c r="T19" s="21" t="str">
        <f t="shared" si="8"/>
        <v/>
      </c>
      <c r="U19" s="8"/>
      <c r="V19" s="9"/>
      <c r="W19" s="9"/>
      <c r="X19" s="28"/>
      <c r="Y19" s="21" t="str">
        <f t="shared" si="9"/>
        <v/>
      </c>
      <c r="Z19" s="33" t="str">
        <f t="shared" si="0"/>
        <v/>
      </c>
      <c r="AA19" s="34" t="str">
        <f t="shared" si="1"/>
        <v/>
      </c>
      <c r="AB19" s="34" t="str">
        <f t="shared" si="2"/>
        <v/>
      </c>
      <c r="AC19" s="35" t="str">
        <f t="shared" si="3"/>
        <v/>
      </c>
    </row>
    <row r="20" spans="1:29" x14ac:dyDescent="0.4">
      <c r="A20" s="13" t="str">
        <f t="shared" si="4"/>
        <v/>
      </c>
      <c r="B20" s="18" t="str">
        <f t="shared" si="10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28"/>
      <c r="J20" s="21" t="str">
        <f t="shared" si="6"/>
        <v/>
      </c>
      <c r="K20" s="8"/>
      <c r="L20" s="9"/>
      <c r="M20" s="9"/>
      <c r="N20" s="28"/>
      <c r="O20" s="21" t="str">
        <f t="shared" si="7"/>
        <v/>
      </c>
      <c r="P20" s="8"/>
      <c r="Q20" s="9"/>
      <c r="R20" s="9"/>
      <c r="S20" s="28"/>
      <c r="T20" s="21" t="str">
        <f t="shared" si="8"/>
        <v/>
      </c>
      <c r="U20" s="8"/>
      <c r="V20" s="9"/>
      <c r="W20" s="9"/>
      <c r="X20" s="28"/>
      <c r="Y20" s="21" t="str">
        <f t="shared" si="9"/>
        <v/>
      </c>
      <c r="Z20" s="33" t="str">
        <f t="shared" si="0"/>
        <v/>
      </c>
      <c r="AA20" s="34" t="str">
        <f t="shared" si="1"/>
        <v/>
      </c>
      <c r="AB20" s="34" t="str">
        <f t="shared" si="2"/>
        <v/>
      </c>
      <c r="AC20" s="35" t="str">
        <f t="shared" si="3"/>
        <v/>
      </c>
    </row>
    <row r="21" spans="1:29" x14ac:dyDescent="0.4">
      <c r="A21" s="13" t="str">
        <f t="shared" si="4"/>
        <v/>
      </c>
      <c r="B21" s="18" t="str">
        <f t="shared" si="10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28"/>
      <c r="J21" s="21" t="str">
        <f t="shared" si="6"/>
        <v/>
      </c>
      <c r="K21" s="8"/>
      <c r="L21" s="9"/>
      <c r="M21" s="9"/>
      <c r="N21" s="28"/>
      <c r="O21" s="21" t="str">
        <f t="shared" si="7"/>
        <v/>
      </c>
      <c r="P21" s="8"/>
      <c r="Q21" s="9"/>
      <c r="R21" s="9"/>
      <c r="S21" s="28"/>
      <c r="T21" s="21" t="str">
        <f t="shared" si="8"/>
        <v/>
      </c>
      <c r="U21" s="8"/>
      <c r="V21" s="9"/>
      <c r="W21" s="9"/>
      <c r="X21" s="28"/>
      <c r="Y21" s="21" t="str">
        <f t="shared" si="9"/>
        <v/>
      </c>
      <c r="Z21" s="33" t="str">
        <f t="shared" si="0"/>
        <v/>
      </c>
      <c r="AA21" s="34" t="str">
        <f t="shared" si="1"/>
        <v/>
      </c>
      <c r="AB21" s="34" t="str">
        <f t="shared" si="2"/>
        <v/>
      </c>
      <c r="AC21" s="35" t="str">
        <f t="shared" si="3"/>
        <v/>
      </c>
    </row>
    <row r="22" spans="1:29" x14ac:dyDescent="0.4">
      <c r="A22" s="13" t="str">
        <f t="shared" si="4"/>
        <v/>
      </c>
      <c r="B22" s="18" t="str">
        <f t="shared" si="10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28"/>
      <c r="J22" s="21" t="str">
        <f t="shared" si="6"/>
        <v/>
      </c>
      <c r="K22" s="8"/>
      <c r="L22" s="9"/>
      <c r="M22" s="9"/>
      <c r="N22" s="28"/>
      <c r="O22" s="21" t="str">
        <f t="shared" si="7"/>
        <v/>
      </c>
      <c r="P22" s="8"/>
      <c r="Q22" s="9"/>
      <c r="R22" s="9"/>
      <c r="S22" s="28"/>
      <c r="T22" s="21" t="str">
        <f t="shared" si="8"/>
        <v/>
      </c>
      <c r="U22" s="8"/>
      <c r="V22" s="9"/>
      <c r="W22" s="9"/>
      <c r="X22" s="28"/>
      <c r="Y22" s="21" t="str">
        <f t="shared" si="9"/>
        <v/>
      </c>
      <c r="Z22" s="33" t="str">
        <f t="shared" si="0"/>
        <v/>
      </c>
      <c r="AA22" s="34" t="str">
        <f t="shared" si="1"/>
        <v/>
      </c>
      <c r="AB22" s="34" t="str">
        <f t="shared" si="2"/>
        <v/>
      </c>
      <c r="AC22" s="35" t="str">
        <f t="shared" si="3"/>
        <v/>
      </c>
    </row>
    <row r="23" spans="1:29" x14ac:dyDescent="0.4">
      <c r="A23" s="13" t="str">
        <f t="shared" si="4"/>
        <v/>
      </c>
      <c r="B23" s="18" t="str">
        <f t="shared" si="10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28"/>
      <c r="J23" s="21" t="str">
        <f t="shared" si="6"/>
        <v/>
      </c>
      <c r="K23" s="8"/>
      <c r="L23" s="9"/>
      <c r="M23" s="9"/>
      <c r="N23" s="28"/>
      <c r="O23" s="21" t="str">
        <f t="shared" si="7"/>
        <v/>
      </c>
      <c r="P23" s="8"/>
      <c r="Q23" s="9"/>
      <c r="R23" s="9"/>
      <c r="S23" s="28"/>
      <c r="T23" s="21" t="str">
        <f t="shared" si="8"/>
        <v/>
      </c>
      <c r="U23" s="8"/>
      <c r="V23" s="9"/>
      <c r="W23" s="9"/>
      <c r="X23" s="28"/>
      <c r="Y23" s="21" t="str">
        <f t="shared" si="9"/>
        <v/>
      </c>
      <c r="Z23" s="33" t="str">
        <f t="shared" si="0"/>
        <v/>
      </c>
      <c r="AA23" s="34" t="str">
        <f t="shared" si="1"/>
        <v/>
      </c>
      <c r="AB23" s="34" t="str">
        <f t="shared" si="2"/>
        <v/>
      </c>
      <c r="AC23" s="35" t="str">
        <f t="shared" si="3"/>
        <v/>
      </c>
    </row>
    <row r="24" spans="1:29" x14ac:dyDescent="0.4">
      <c r="A24" s="13" t="str">
        <f t="shared" si="4"/>
        <v/>
      </c>
      <c r="B24" s="18" t="str">
        <f t="shared" si="10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28"/>
      <c r="J24" s="21" t="str">
        <f t="shared" si="6"/>
        <v/>
      </c>
      <c r="K24" s="8"/>
      <c r="L24" s="9"/>
      <c r="M24" s="9"/>
      <c r="N24" s="28"/>
      <c r="O24" s="21" t="str">
        <f t="shared" si="7"/>
        <v/>
      </c>
      <c r="P24" s="8"/>
      <c r="Q24" s="9"/>
      <c r="R24" s="9"/>
      <c r="S24" s="28"/>
      <c r="T24" s="21" t="str">
        <f t="shared" si="8"/>
        <v/>
      </c>
      <c r="U24" s="8"/>
      <c r="V24" s="9"/>
      <c r="W24" s="9"/>
      <c r="X24" s="28"/>
      <c r="Y24" s="21" t="str">
        <f t="shared" si="9"/>
        <v/>
      </c>
      <c r="Z24" s="33" t="str">
        <f t="shared" si="0"/>
        <v/>
      </c>
      <c r="AA24" s="34" t="str">
        <f t="shared" si="1"/>
        <v/>
      </c>
      <c r="AB24" s="34" t="str">
        <f t="shared" si="2"/>
        <v/>
      </c>
      <c r="AC24" s="35" t="str">
        <f t="shared" si="3"/>
        <v/>
      </c>
    </row>
    <row r="25" spans="1:29" x14ac:dyDescent="0.4">
      <c r="A25" s="13" t="str">
        <f t="shared" si="4"/>
        <v/>
      </c>
      <c r="B25" s="18" t="str">
        <f t="shared" si="10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28"/>
      <c r="J25" s="21" t="str">
        <f t="shared" si="6"/>
        <v/>
      </c>
      <c r="K25" s="8"/>
      <c r="L25" s="9"/>
      <c r="M25" s="9"/>
      <c r="N25" s="28"/>
      <c r="O25" s="21" t="str">
        <f t="shared" si="7"/>
        <v/>
      </c>
      <c r="P25" s="8"/>
      <c r="Q25" s="9"/>
      <c r="R25" s="9"/>
      <c r="S25" s="28"/>
      <c r="T25" s="21" t="str">
        <f t="shared" si="8"/>
        <v/>
      </c>
      <c r="U25" s="8"/>
      <c r="V25" s="9"/>
      <c r="W25" s="9"/>
      <c r="X25" s="28"/>
      <c r="Y25" s="21" t="str">
        <f t="shared" si="9"/>
        <v/>
      </c>
      <c r="Z25" s="33" t="str">
        <f t="shared" si="0"/>
        <v/>
      </c>
      <c r="AA25" s="34" t="str">
        <f t="shared" si="1"/>
        <v/>
      </c>
      <c r="AB25" s="34" t="str">
        <f t="shared" si="2"/>
        <v/>
      </c>
      <c r="AC25" s="35" t="str">
        <f t="shared" si="3"/>
        <v/>
      </c>
    </row>
    <row r="26" spans="1:29" x14ac:dyDescent="0.4">
      <c r="A26" s="13" t="str">
        <f t="shared" si="4"/>
        <v/>
      </c>
      <c r="B26" s="18" t="str">
        <f t="shared" si="10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28"/>
      <c r="J26" s="21" t="str">
        <f t="shared" si="6"/>
        <v/>
      </c>
      <c r="K26" s="8"/>
      <c r="L26" s="9"/>
      <c r="M26" s="9"/>
      <c r="N26" s="28"/>
      <c r="O26" s="21" t="str">
        <f t="shared" si="7"/>
        <v/>
      </c>
      <c r="P26" s="8"/>
      <c r="Q26" s="9"/>
      <c r="R26" s="9"/>
      <c r="S26" s="28"/>
      <c r="T26" s="21" t="str">
        <f t="shared" si="8"/>
        <v/>
      </c>
      <c r="U26" s="8"/>
      <c r="V26" s="9"/>
      <c r="W26" s="9"/>
      <c r="X26" s="28"/>
      <c r="Y26" s="21" t="str">
        <f t="shared" si="9"/>
        <v/>
      </c>
      <c r="Z26" s="33" t="str">
        <f t="shared" si="0"/>
        <v/>
      </c>
      <c r="AA26" s="34" t="str">
        <f t="shared" si="1"/>
        <v/>
      </c>
      <c r="AB26" s="34" t="str">
        <f t="shared" si="2"/>
        <v/>
      </c>
      <c r="AC26" s="35" t="str">
        <f t="shared" si="3"/>
        <v/>
      </c>
    </row>
    <row r="27" spans="1:29" x14ac:dyDescent="0.4">
      <c r="A27" s="13" t="str">
        <f t="shared" si="4"/>
        <v/>
      </c>
      <c r="B27" s="18" t="str">
        <f t="shared" si="10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28"/>
      <c r="J27" s="21" t="str">
        <f t="shared" si="6"/>
        <v/>
      </c>
      <c r="K27" s="8"/>
      <c r="L27" s="9"/>
      <c r="M27" s="9"/>
      <c r="N27" s="28"/>
      <c r="O27" s="21" t="str">
        <f t="shared" si="7"/>
        <v/>
      </c>
      <c r="P27" s="8"/>
      <c r="Q27" s="9"/>
      <c r="R27" s="9"/>
      <c r="S27" s="28"/>
      <c r="T27" s="21" t="str">
        <f t="shared" si="8"/>
        <v/>
      </c>
      <c r="U27" s="8"/>
      <c r="V27" s="9"/>
      <c r="W27" s="9"/>
      <c r="X27" s="28"/>
      <c r="Y27" s="21" t="str">
        <f t="shared" si="9"/>
        <v/>
      </c>
      <c r="Z27" s="33" t="str">
        <f t="shared" si="0"/>
        <v/>
      </c>
      <c r="AA27" s="34" t="str">
        <f t="shared" si="1"/>
        <v/>
      </c>
      <c r="AB27" s="34" t="str">
        <f t="shared" si="2"/>
        <v/>
      </c>
      <c r="AC27" s="35" t="str">
        <f t="shared" si="3"/>
        <v/>
      </c>
    </row>
    <row r="28" spans="1:29" x14ac:dyDescent="0.4">
      <c r="A28" s="13" t="str">
        <f t="shared" si="4"/>
        <v/>
      </c>
      <c r="B28" s="18" t="str">
        <f t="shared" si="10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28"/>
      <c r="J28" s="21" t="str">
        <f t="shared" si="6"/>
        <v/>
      </c>
      <c r="K28" s="8"/>
      <c r="L28" s="9"/>
      <c r="M28" s="9"/>
      <c r="N28" s="28"/>
      <c r="O28" s="21" t="str">
        <f t="shared" si="7"/>
        <v/>
      </c>
      <c r="P28" s="8"/>
      <c r="Q28" s="9"/>
      <c r="R28" s="9"/>
      <c r="S28" s="28"/>
      <c r="T28" s="21" t="str">
        <f t="shared" si="8"/>
        <v/>
      </c>
      <c r="U28" s="8"/>
      <c r="V28" s="9"/>
      <c r="W28" s="9"/>
      <c r="X28" s="28"/>
      <c r="Y28" s="21" t="str">
        <f t="shared" si="9"/>
        <v/>
      </c>
      <c r="Z28" s="33" t="str">
        <f t="shared" si="0"/>
        <v/>
      </c>
      <c r="AA28" s="34" t="str">
        <f t="shared" si="1"/>
        <v/>
      </c>
      <c r="AB28" s="34" t="str">
        <f t="shared" si="2"/>
        <v/>
      </c>
      <c r="AC28" s="35" t="str">
        <f t="shared" si="3"/>
        <v/>
      </c>
    </row>
    <row r="29" spans="1:29" x14ac:dyDescent="0.4">
      <c r="A29" s="13" t="str">
        <f t="shared" si="4"/>
        <v/>
      </c>
      <c r="B29" s="18" t="str">
        <f t="shared" si="10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28"/>
      <c r="J29" s="21" t="str">
        <f t="shared" si="6"/>
        <v/>
      </c>
      <c r="K29" s="8"/>
      <c r="L29" s="9"/>
      <c r="M29" s="9"/>
      <c r="N29" s="28"/>
      <c r="O29" s="21" t="str">
        <f t="shared" si="7"/>
        <v/>
      </c>
      <c r="P29" s="8"/>
      <c r="Q29" s="9"/>
      <c r="R29" s="9"/>
      <c r="S29" s="28"/>
      <c r="T29" s="21" t="str">
        <f t="shared" si="8"/>
        <v/>
      </c>
      <c r="U29" s="8"/>
      <c r="V29" s="9"/>
      <c r="W29" s="9"/>
      <c r="X29" s="28"/>
      <c r="Y29" s="21" t="str">
        <f t="shared" si="9"/>
        <v/>
      </c>
      <c r="Z29" s="33" t="str">
        <f t="shared" si="0"/>
        <v/>
      </c>
      <c r="AA29" s="34" t="str">
        <f t="shared" si="1"/>
        <v/>
      </c>
      <c r="AB29" s="34" t="str">
        <f t="shared" si="2"/>
        <v/>
      </c>
      <c r="AC29" s="35" t="str">
        <f t="shared" si="3"/>
        <v/>
      </c>
    </row>
    <row r="30" spans="1:29" x14ac:dyDescent="0.4">
      <c r="A30" s="14" t="str">
        <f t="shared" si="4"/>
        <v/>
      </c>
      <c r="B30" s="19" t="str">
        <f t="shared" si="10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29"/>
      <c r="J30" s="22" t="str">
        <f t="shared" si="6"/>
        <v/>
      </c>
      <c r="K30" s="10"/>
      <c r="L30" s="11"/>
      <c r="M30" s="11"/>
      <c r="N30" s="29"/>
      <c r="O30" s="22" t="str">
        <f t="shared" si="7"/>
        <v/>
      </c>
      <c r="P30" s="10"/>
      <c r="Q30" s="11"/>
      <c r="R30" s="11"/>
      <c r="S30" s="29"/>
      <c r="T30" s="22" t="str">
        <f t="shared" si="8"/>
        <v/>
      </c>
      <c r="U30" s="10"/>
      <c r="V30" s="11"/>
      <c r="W30" s="11"/>
      <c r="X30" s="29"/>
      <c r="Y30" s="22" t="str">
        <f t="shared" si="9"/>
        <v/>
      </c>
      <c r="Z30" s="36" t="str">
        <f t="shared" si="0"/>
        <v/>
      </c>
      <c r="AA30" s="37" t="str">
        <f t="shared" si="1"/>
        <v/>
      </c>
      <c r="AB30" s="37" t="str">
        <f t="shared" si="2"/>
        <v/>
      </c>
      <c r="AC30" s="38" t="str">
        <f t="shared" si="3"/>
        <v/>
      </c>
    </row>
  </sheetData>
  <mergeCells count="10">
    <mergeCell ref="K1:O1"/>
    <mergeCell ref="P1:T1"/>
    <mergeCell ref="Z1:AC1"/>
    <mergeCell ref="U1:Y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7" priority="8">
      <formula>IF(G4&lt;&gt;"",SUM($G4:$I4,$L4:$N4,$Q4:$S4)-$D4*1000+$D5*1000)</formula>
    </cfRule>
  </conditionalFormatting>
  <conditionalFormatting sqref="F1:G1 I1:L1 S1:T1 N1:Q1">
    <cfRule type="duplicateValues" dxfId="6" priority="7"/>
  </conditionalFormatting>
  <conditionalFormatting sqref="H1">
    <cfRule type="duplicateValues" dxfId="5" priority="6"/>
  </conditionalFormatting>
  <conditionalFormatting sqref="R1">
    <cfRule type="duplicateValues" dxfId="4" priority="5"/>
  </conditionalFormatting>
  <conditionalFormatting sqref="M1">
    <cfRule type="duplicateValues" dxfId="3" priority="4"/>
  </conditionalFormatting>
  <conditionalFormatting sqref="V4:V30">
    <cfRule type="expression" dxfId="2" priority="3">
      <formula>IF(V4&lt;&gt;"",SUM($G4:$I4,$L4:$N4,$Q4:$S4)-$D4*1000+$D5*1000)</formula>
    </cfRule>
  </conditionalFormatting>
  <conditionalFormatting sqref="X1:Y1 U1:V1">
    <cfRule type="duplicateValues" dxfId="1" priority="2"/>
  </conditionalFormatting>
  <conditionalFormatting sqref="W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$Z$2:$AC$2</formula1>
    </dataValidation>
    <dataValidation type="list" showInputMessage="1" showErrorMessage="1" sqref="K4:K30 P4:P30 F4:F30 U4:U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5"/>
    <col min="13" max="13" width="9" style="25" customWidth="1"/>
    <col min="14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E3" s="25">
        <v>3900</v>
      </c>
      <c r="F3" s="25">
        <v>7700</v>
      </c>
    </row>
    <row r="4" spans="1:13" x14ac:dyDescent="0.4">
      <c r="A4" s="15">
        <v>25</v>
      </c>
      <c r="D4" s="25">
        <v>2400</v>
      </c>
      <c r="E4" s="25">
        <v>4800</v>
      </c>
      <c r="F4" s="25">
        <v>9600</v>
      </c>
    </row>
    <row r="5" spans="1:13" x14ac:dyDescent="0.4">
      <c r="A5" s="15">
        <v>30</v>
      </c>
      <c r="C5" s="25">
        <v>1500</v>
      </c>
      <c r="D5" s="25">
        <v>2900</v>
      </c>
      <c r="E5" s="25">
        <v>5800</v>
      </c>
      <c r="F5" s="25">
        <v>11600</v>
      </c>
    </row>
    <row r="6" spans="1:13" x14ac:dyDescent="0.4">
      <c r="A6" s="15">
        <v>40</v>
      </c>
      <c r="C6" s="25">
        <v>2000</v>
      </c>
      <c r="D6" s="25">
        <v>3900</v>
      </c>
      <c r="E6" s="25">
        <v>7700</v>
      </c>
      <c r="F6" s="25">
        <v>12000</v>
      </c>
    </row>
    <row r="7" spans="1:13" x14ac:dyDescent="0.4">
      <c r="A7" s="15">
        <v>50</v>
      </c>
      <c r="C7" s="25">
        <v>2400</v>
      </c>
      <c r="D7" s="25">
        <v>4800</v>
      </c>
      <c r="E7" s="25">
        <v>9600</v>
      </c>
      <c r="F7" s="25">
        <v>12000</v>
      </c>
    </row>
    <row r="8" spans="1:13" x14ac:dyDescent="0.4">
      <c r="A8" s="15">
        <v>60</v>
      </c>
      <c r="C8" s="25">
        <v>2900</v>
      </c>
      <c r="D8" s="25">
        <v>5800</v>
      </c>
      <c r="E8" s="25">
        <v>11600</v>
      </c>
      <c r="F8" s="25">
        <v>12000</v>
      </c>
    </row>
    <row r="9" spans="1:13" x14ac:dyDescent="0.4">
      <c r="A9" s="15">
        <v>70</v>
      </c>
      <c r="C9" s="25">
        <v>3400</v>
      </c>
      <c r="D9" s="25">
        <v>6800</v>
      </c>
      <c r="E9" s="25">
        <v>12000</v>
      </c>
      <c r="F9" s="25">
        <v>12000</v>
      </c>
    </row>
    <row r="10" spans="1:13" x14ac:dyDescent="0.4">
      <c r="A10" s="15">
        <v>80</v>
      </c>
      <c r="C10" s="25">
        <v>3900</v>
      </c>
      <c r="D10" s="25">
        <v>7700</v>
      </c>
      <c r="E10" s="25">
        <v>12000</v>
      </c>
      <c r="F10" s="25">
        <v>12000</v>
      </c>
    </row>
    <row r="11" spans="1:13" x14ac:dyDescent="0.4">
      <c r="A11" s="15">
        <v>90</v>
      </c>
      <c r="C11" s="25">
        <v>4400</v>
      </c>
      <c r="D11" s="25">
        <v>8700</v>
      </c>
      <c r="E11" s="25">
        <v>12000</v>
      </c>
      <c r="F11" s="25">
        <v>12000</v>
      </c>
    </row>
    <row r="12" spans="1:13" x14ac:dyDescent="0.4">
      <c r="A12" s="15">
        <v>100</v>
      </c>
      <c r="C12" s="25">
        <v>4800</v>
      </c>
      <c r="D12" s="25">
        <v>9600</v>
      </c>
      <c r="E12" s="25">
        <v>12000</v>
      </c>
      <c r="F12" s="25">
        <v>12000</v>
      </c>
    </row>
    <row r="13" spans="1:13" x14ac:dyDescent="0.4">
      <c r="A13" s="15">
        <v>110</v>
      </c>
      <c r="D13" s="25">
        <v>10600</v>
      </c>
      <c r="E13" s="25">
        <v>12000</v>
      </c>
      <c r="F13" s="2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C3" s="25" t="s">
        <v>10</v>
      </c>
      <c r="D3" s="25">
        <v>2100</v>
      </c>
      <c r="E3" s="25">
        <v>3900</v>
      </c>
      <c r="F3" s="25">
        <v>7800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4800</v>
      </c>
      <c r="F4" s="25">
        <v>9600</v>
      </c>
    </row>
    <row r="5" spans="1:13" x14ac:dyDescent="0.4">
      <c r="A5" s="15">
        <v>30</v>
      </c>
      <c r="C5" s="25">
        <v>1500</v>
      </c>
      <c r="D5" s="25">
        <v>3000</v>
      </c>
      <c r="E5" s="25">
        <v>6000</v>
      </c>
      <c r="F5" s="25">
        <v>11700</v>
      </c>
    </row>
    <row r="6" spans="1:13" x14ac:dyDescent="0.4">
      <c r="A6" s="15">
        <v>40</v>
      </c>
      <c r="C6" s="25">
        <v>2100</v>
      </c>
      <c r="D6" s="25">
        <v>3900</v>
      </c>
      <c r="E6" s="25">
        <v>7800</v>
      </c>
      <c r="F6" s="25">
        <v>12000</v>
      </c>
    </row>
    <row r="7" spans="1:13" x14ac:dyDescent="0.4">
      <c r="A7" s="15">
        <v>50</v>
      </c>
      <c r="C7" s="25">
        <v>2400</v>
      </c>
      <c r="D7" s="25">
        <v>4800</v>
      </c>
      <c r="E7" s="25">
        <v>9600</v>
      </c>
      <c r="F7" s="25">
        <v>12000</v>
      </c>
    </row>
    <row r="8" spans="1:13" x14ac:dyDescent="0.4">
      <c r="A8" s="15">
        <v>60</v>
      </c>
      <c r="C8" s="25">
        <v>3000</v>
      </c>
      <c r="D8" s="25">
        <v>6000</v>
      </c>
      <c r="E8" s="25">
        <v>11700</v>
      </c>
      <c r="F8" s="25">
        <v>12000</v>
      </c>
    </row>
    <row r="9" spans="1:13" x14ac:dyDescent="0.4">
      <c r="A9" s="15">
        <v>70</v>
      </c>
      <c r="C9" s="25">
        <v>3600</v>
      </c>
      <c r="D9" s="25">
        <v>6900</v>
      </c>
      <c r="E9" s="25">
        <v>12000</v>
      </c>
      <c r="F9" s="25">
        <v>12000</v>
      </c>
    </row>
    <row r="10" spans="1:13" x14ac:dyDescent="0.4">
      <c r="A10" s="15">
        <v>80</v>
      </c>
      <c r="C10" s="25">
        <v>3900</v>
      </c>
      <c r="D10" s="25">
        <v>7800</v>
      </c>
      <c r="E10" s="25">
        <v>12000</v>
      </c>
      <c r="F10" s="25">
        <v>12000</v>
      </c>
    </row>
    <row r="11" spans="1:13" x14ac:dyDescent="0.4">
      <c r="A11" s="15">
        <v>90</v>
      </c>
      <c r="C11" s="25">
        <v>4500</v>
      </c>
      <c r="D11" s="25">
        <v>8700</v>
      </c>
      <c r="E11" s="25">
        <v>12000</v>
      </c>
      <c r="F11" s="25">
        <v>12000</v>
      </c>
    </row>
    <row r="12" spans="1:13" x14ac:dyDescent="0.4">
      <c r="A12" s="15">
        <v>100</v>
      </c>
      <c r="C12" s="25">
        <v>4800</v>
      </c>
      <c r="D12" s="25">
        <v>9600</v>
      </c>
      <c r="E12" s="25">
        <v>12000</v>
      </c>
      <c r="F12" s="25">
        <v>12000</v>
      </c>
    </row>
    <row r="13" spans="1:13" x14ac:dyDescent="0.4">
      <c r="A13" s="15">
        <v>110</v>
      </c>
      <c r="C13" s="25" t="s">
        <v>10</v>
      </c>
      <c r="D13" s="25">
        <v>10800</v>
      </c>
      <c r="E13" s="25">
        <v>12000</v>
      </c>
      <c r="F13" s="2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C3" s="25" t="s">
        <v>10</v>
      </c>
      <c r="D3" s="25" t="s">
        <v>10</v>
      </c>
      <c r="E3" s="25">
        <v>2600</v>
      </c>
      <c r="F3" s="25">
        <v>5200</v>
      </c>
    </row>
    <row r="4" spans="1:13" x14ac:dyDescent="0.4">
      <c r="A4" s="15">
        <v>25</v>
      </c>
      <c r="C4" s="25" t="s">
        <v>10</v>
      </c>
      <c r="D4" s="25">
        <v>1600</v>
      </c>
      <c r="E4" s="25">
        <v>3200</v>
      </c>
      <c r="F4" s="25">
        <v>6400</v>
      </c>
    </row>
    <row r="5" spans="1:13" x14ac:dyDescent="0.4">
      <c r="A5" s="15">
        <v>30</v>
      </c>
      <c r="C5" s="25">
        <v>1000</v>
      </c>
      <c r="D5" s="25">
        <v>2000</v>
      </c>
      <c r="E5" s="25">
        <v>3900</v>
      </c>
      <c r="F5" s="25">
        <v>7700</v>
      </c>
    </row>
    <row r="6" spans="1:13" x14ac:dyDescent="0.4">
      <c r="A6" s="15">
        <v>40</v>
      </c>
      <c r="C6" s="25">
        <v>1300</v>
      </c>
      <c r="D6" s="25">
        <v>2600</v>
      </c>
      <c r="E6" s="25">
        <v>5200</v>
      </c>
      <c r="F6" s="25">
        <v>8000</v>
      </c>
    </row>
    <row r="7" spans="1:13" x14ac:dyDescent="0.4">
      <c r="A7" s="15">
        <v>50</v>
      </c>
      <c r="C7" s="25">
        <v>1600</v>
      </c>
      <c r="D7" s="25">
        <v>3200</v>
      </c>
      <c r="E7" s="25">
        <v>6400</v>
      </c>
      <c r="F7" s="25">
        <v>8000</v>
      </c>
    </row>
    <row r="8" spans="1:13" x14ac:dyDescent="0.4">
      <c r="A8" s="15">
        <v>60</v>
      </c>
      <c r="C8" s="25">
        <v>2000</v>
      </c>
      <c r="D8" s="25">
        <v>3900</v>
      </c>
      <c r="E8" s="25">
        <v>7700</v>
      </c>
      <c r="F8" s="25">
        <v>8000</v>
      </c>
    </row>
    <row r="9" spans="1:13" x14ac:dyDescent="0.4">
      <c r="A9" s="15">
        <v>70</v>
      </c>
      <c r="C9" s="25">
        <v>2300</v>
      </c>
      <c r="D9" s="25">
        <v>4500</v>
      </c>
      <c r="E9" s="25">
        <v>8000</v>
      </c>
      <c r="F9" s="25">
        <v>8000</v>
      </c>
    </row>
    <row r="10" spans="1:13" x14ac:dyDescent="0.4">
      <c r="A10" s="15">
        <v>80</v>
      </c>
      <c r="C10" s="25">
        <v>2600</v>
      </c>
      <c r="D10" s="25">
        <v>5200</v>
      </c>
      <c r="E10" s="25">
        <v>8000</v>
      </c>
      <c r="F10" s="25">
        <v>8000</v>
      </c>
    </row>
    <row r="11" spans="1:13" x14ac:dyDescent="0.4">
      <c r="A11" s="15">
        <v>90</v>
      </c>
      <c r="C11" s="25">
        <v>2900</v>
      </c>
      <c r="D11" s="25">
        <v>5800</v>
      </c>
      <c r="E11" s="25">
        <v>8000</v>
      </c>
      <c r="F11" s="25">
        <v>8000</v>
      </c>
    </row>
    <row r="12" spans="1:13" x14ac:dyDescent="0.4">
      <c r="A12" s="15">
        <v>100</v>
      </c>
      <c r="C12" s="25">
        <v>3200</v>
      </c>
      <c r="D12" s="25">
        <v>6400</v>
      </c>
      <c r="E12" s="25">
        <v>8000</v>
      </c>
      <c r="F12" s="25">
        <v>8000</v>
      </c>
    </row>
    <row r="13" spans="1:13" x14ac:dyDescent="0.4">
      <c r="A13" s="15">
        <v>110</v>
      </c>
      <c r="C13" s="25" t="s">
        <v>10</v>
      </c>
      <c r="D13" s="25">
        <v>7100</v>
      </c>
      <c r="E13" s="25">
        <v>8000</v>
      </c>
      <c r="F13" s="25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C3" s="25" t="s">
        <v>10</v>
      </c>
      <c r="D3" s="25">
        <v>1500</v>
      </c>
      <c r="E3" s="25">
        <v>2700</v>
      </c>
      <c r="F3" s="25">
        <v>5200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3200</v>
      </c>
      <c r="F4" s="25">
        <v>6400</v>
      </c>
    </row>
    <row r="5" spans="1:13" x14ac:dyDescent="0.4">
      <c r="A5" s="15">
        <v>30</v>
      </c>
      <c r="C5" s="25">
        <v>1100</v>
      </c>
      <c r="D5" s="25">
        <v>2000</v>
      </c>
      <c r="E5" s="25">
        <v>2200</v>
      </c>
      <c r="F5" s="25">
        <v>7900</v>
      </c>
    </row>
    <row r="6" spans="1:13" x14ac:dyDescent="0.4">
      <c r="A6" s="15">
        <v>40</v>
      </c>
      <c r="C6" s="25">
        <v>1500</v>
      </c>
      <c r="D6" s="25">
        <v>2700</v>
      </c>
      <c r="E6" s="25">
        <v>5200</v>
      </c>
      <c r="F6" s="25">
        <v>8000</v>
      </c>
    </row>
    <row r="7" spans="1:13" x14ac:dyDescent="0.4">
      <c r="A7" s="15">
        <v>50</v>
      </c>
      <c r="C7" s="25">
        <v>1600</v>
      </c>
      <c r="D7" s="25">
        <v>3200</v>
      </c>
      <c r="E7" s="25">
        <v>6400</v>
      </c>
      <c r="F7" s="25">
        <v>8000</v>
      </c>
    </row>
    <row r="8" spans="1:13" x14ac:dyDescent="0.4">
      <c r="A8" s="15">
        <v>60</v>
      </c>
      <c r="C8" s="25">
        <v>2000</v>
      </c>
      <c r="D8" s="25">
        <v>4000</v>
      </c>
      <c r="E8" s="25">
        <v>7900</v>
      </c>
      <c r="F8" s="25">
        <v>8000</v>
      </c>
    </row>
    <row r="9" spans="1:13" x14ac:dyDescent="0.4">
      <c r="A9" s="15">
        <v>70</v>
      </c>
      <c r="C9" s="25">
        <v>2400</v>
      </c>
      <c r="D9" s="25">
        <v>4700</v>
      </c>
      <c r="E9" s="25">
        <v>8000</v>
      </c>
      <c r="F9" s="25">
        <v>8000</v>
      </c>
    </row>
    <row r="10" spans="1:13" x14ac:dyDescent="0.4">
      <c r="A10" s="15">
        <v>80</v>
      </c>
      <c r="C10" s="25">
        <v>2700</v>
      </c>
      <c r="D10" s="25">
        <v>5200</v>
      </c>
      <c r="E10" s="25">
        <v>8000</v>
      </c>
      <c r="F10" s="25">
        <v>8000</v>
      </c>
    </row>
    <row r="11" spans="1:13" x14ac:dyDescent="0.4">
      <c r="A11" s="15">
        <v>90</v>
      </c>
      <c r="C11" s="25">
        <v>3100</v>
      </c>
      <c r="D11" s="25">
        <v>5900</v>
      </c>
      <c r="E11" s="25">
        <v>8000</v>
      </c>
      <c r="F11" s="25">
        <v>8000</v>
      </c>
    </row>
    <row r="12" spans="1:13" x14ac:dyDescent="0.4">
      <c r="A12" s="15">
        <v>100</v>
      </c>
      <c r="C12" s="25">
        <v>3200</v>
      </c>
      <c r="D12" s="25">
        <v>6400</v>
      </c>
      <c r="E12" s="25">
        <v>8000</v>
      </c>
      <c r="F12" s="25">
        <v>8000</v>
      </c>
    </row>
    <row r="13" spans="1:13" x14ac:dyDescent="0.4">
      <c r="A13" s="15">
        <v>110</v>
      </c>
      <c r="C13" s="25" t="s">
        <v>10</v>
      </c>
      <c r="D13" s="25">
        <v>7200</v>
      </c>
      <c r="E13" s="25">
        <v>8000</v>
      </c>
      <c r="F13" s="25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-2000</v>
      </c>
      <c r="H2" s="25">
        <v>-3000</v>
      </c>
      <c r="I2" s="25">
        <v>-4000</v>
      </c>
      <c r="J2" s="25">
        <v>-6000</v>
      </c>
      <c r="K2" s="25">
        <v>-8000</v>
      </c>
      <c r="L2" s="25">
        <v>-16000</v>
      </c>
      <c r="M2" s="25">
        <v>-24000</v>
      </c>
    </row>
    <row r="3" spans="1:13" x14ac:dyDescent="0.4">
      <c r="A3" s="15">
        <v>20</v>
      </c>
      <c r="C3" s="25" t="s">
        <v>10</v>
      </c>
      <c r="D3" s="25">
        <v>-400</v>
      </c>
      <c r="E3" s="25">
        <v>-700</v>
      </c>
      <c r="F3" s="25">
        <v>-1300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-800</v>
      </c>
      <c r="F4" s="25">
        <v>-1600</v>
      </c>
      <c r="M4" s="25" t="s">
        <v>10</v>
      </c>
    </row>
    <row r="5" spans="1:13" x14ac:dyDescent="0.4">
      <c r="A5" s="15">
        <v>30</v>
      </c>
      <c r="C5" s="25">
        <v>-300</v>
      </c>
      <c r="D5" s="25">
        <v>-500</v>
      </c>
      <c r="E5" s="25">
        <v>-100</v>
      </c>
      <c r="F5" s="25">
        <v>-2000</v>
      </c>
      <c r="M5" s="25" t="s">
        <v>10</v>
      </c>
    </row>
    <row r="6" spans="1:13" x14ac:dyDescent="0.4">
      <c r="A6" s="15">
        <v>40</v>
      </c>
      <c r="C6" s="25">
        <v>-400</v>
      </c>
      <c r="D6" s="25">
        <v>-700</v>
      </c>
      <c r="E6" s="25">
        <v>-1300</v>
      </c>
      <c r="F6" s="25">
        <v>-2000</v>
      </c>
      <c r="M6" s="25" t="s">
        <v>10</v>
      </c>
    </row>
    <row r="7" spans="1:13" x14ac:dyDescent="0.4">
      <c r="A7" s="15">
        <v>50</v>
      </c>
      <c r="C7" s="25">
        <v>-400</v>
      </c>
      <c r="D7" s="25">
        <v>-800</v>
      </c>
      <c r="E7" s="25">
        <v>-1600</v>
      </c>
      <c r="F7" s="25">
        <v>-2000</v>
      </c>
      <c r="M7" s="25" t="s">
        <v>10</v>
      </c>
    </row>
    <row r="8" spans="1:13" x14ac:dyDescent="0.4">
      <c r="A8" s="15">
        <v>60</v>
      </c>
      <c r="C8" s="25">
        <v>-500</v>
      </c>
      <c r="D8" s="25">
        <v>-1000</v>
      </c>
      <c r="E8" s="25">
        <v>-2000</v>
      </c>
      <c r="F8" s="25">
        <v>-2000</v>
      </c>
      <c r="M8" s="25" t="s">
        <v>10</v>
      </c>
    </row>
    <row r="9" spans="1:13" x14ac:dyDescent="0.4">
      <c r="A9" s="15">
        <v>70</v>
      </c>
      <c r="C9" s="25">
        <v>-600</v>
      </c>
      <c r="D9" s="25">
        <v>-1200</v>
      </c>
      <c r="E9" s="25">
        <v>-2000</v>
      </c>
      <c r="F9" s="25">
        <v>-2000</v>
      </c>
      <c r="M9" s="25" t="s">
        <v>10</v>
      </c>
    </row>
    <row r="10" spans="1:13" x14ac:dyDescent="0.4">
      <c r="A10" s="15">
        <v>80</v>
      </c>
      <c r="C10" s="25">
        <v>-700</v>
      </c>
      <c r="D10" s="25">
        <v>-1300</v>
      </c>
      <c r="E10" s="25">
        <v>-2000</v>
      </c>
      <c r="F10" s="25">
        <v>-2000</v>
      </c>
      <c r="M10" s="25" t="s">
        <v>10</v>
      </c>
    </row>
    <row r="11" spans="1:13" x14ac:dyDescent="0.4">
      <c r="A11" s="15">
        <v>90</v>
      </c>
      <c r="C11" s="25">
        <v>-800</v>
      </c>
      <c r="D11" s="25">
        <v>-1500</v>
      </c>
      <c r="E11" s="25">
        <v>-2000</v>
      </c>
      <c r="F11" s="25">
        <v>-2000</v>
      </c>
      <c r="M11" s="25" t="s">
        <v>10</v>
      </c>
    </row>
    <row r="12" spans="1:13" x14ac:dyDescent="0.4">
      <c r="A12" s="15">
        <v>100</v>
      </c>
      <c r="C12" s="25">
        <v>-800</v>
      </c>
      <c r="D12" s="25">
        <v>-1600</v>
      </c>
      <c r="E12" s="25">
        <v>-2000</v>
      </c>
      <c r="F12" s="25">
        <v>-2000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-1800</v>
      </c>
      <c r="E13" s="25">
        <v>-2000</v>
      </c>
      <c r="F13" s="25">
        <v>-2000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2019-06-20T05:30:20Z</dcterms:modified>
</cp:coreProperties>
</file>