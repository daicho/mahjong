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F4D92005-AA15-4B5A-B912-E55C1C0E12B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19" l="1"/>
  <c r="AB30" i="19"/>
  <c r="AA30" i="19"/>
  <c r="Z30" i="19"/>
  <c r="AC29" i="19"/>
  <c r="AB29" i="19"/>
  <c r="AA29" i="19"/>
  <c r="Z29" i="19"/>
  <c r="AC28" i="19"/>
  <c r="AB28" i="19"/>
  <c r="AA28" i="19"/>
  <c r="Z28" i="19"/>
  <c r="AC27" i="19"/>
  <c r="AB27" i="19"/>
  <c r="AA27" i="19"/>
  <c r="Z27" i="19"/>
  <c r="AC26" i="19"/>
  <c r="AB26" i="19"/>
  <c r="AA26" i="19"/>
  <c r="Z26" i="19"/>
  <c r="AC25" i="19"/>
  <c r="AB25" i="19"/>
  <c r="AA25" i="19"/>
  <c r="Z25" i="19"/>
  <c r="AC24" i="19"/>
  <c r="AB24" i="19"/>
  <c r="AA24" i="19"/>
  <c r="Z24" i="19"/>
  <c r="AC23" i="19"/>
  <c r="AB23" i="19"/>
  <c r="AA23" i="19"/>
  <c r="Z23" i="19"/>
  <c r="AC22" i="19"/>
  <c r="AB22" i="19"/>
  <c r="AA22" i="19"/>
  <c r="Z22" i="19"/>
  <c r="AC21" i="19"/>
  <c r="AB21" i="19"/>
  <c r="AA21" i="19"/>
  <c r="Z21" i="19"/>
  <c r="AC20" i="19"/>
  <c r="AB20" i="19"/>
  <c r="AA20" i="19"/>
  <c r="Z20" i="19"/>
  <c r="AC19" i="19"/>
  <c r="AB19" i="19"/>
  <c r="AA19" i="19"/>
  <c r="Z19" i="19"/>
  <c r="AC18" i="19"/>
  <c r="AB18" i="19"/>
  <c r="AA18" i="19"/>
  <c r="Z18" i="19"/>
  <c r="AC17" i="19"/>
  <c r="AB17" i="19"/>
  <c r="AA17" i="19"/>
  <c r="Z17" i="19"/>
  <c r="AC16" i="19"/>
  <c r="AB16" i="19"/>
  <c r="AA16" i="19"/>
  <c r="Z16" i="19"/>
  <c r="AC15" i="19"/>
  <c r="AB15" i="19"/>
  <c r="AA15" i="19"/>
  <c r="Z15" i="19"/>
  <c r="AC14" i="19"/>
  <c r="AB14" i="19"/>
  <c r="AA14" i="19"/>
  <c r="Z14" i="19"/>
  <c r="AC13" i="19"/>
  <c r="AB13" i="19"/>
  <c r="AA13" i="19"/>
  <c r="Z13" i="19"/>
  <c r="AC12" i="19"/>
  <c r="AB12" i="19"/>
  <c r="AA12" i="19"/>
  <c r="Z12" i="19"/>
  <c r="AC11" i="19"/>
  <c r="AB11" i="19"/>
  <c r="AA11" i="19"/>
  <c r="Z11" i="19"/>
  <c r="AC10" i="19"/>
  <c r="AB10" i="19"/>
  <c r="AA10" i="19"/>
  <c r="Z10" i="19"/>
  <c r="AC9" i="19"/>
  <c r="AB9" i="19"/>
  <c r="AA9" i="19"/>
  <c r="Z9" i="19"/>
  <c r="AC8" i="19"/>
  <c r="AB8" i="19"/>
  <c r="AA8" i="19"/>
  <c r="Z8" i="19"/>
  <c r="AC7" i="19"/>
  <c r="AB7" i="19"/>
  <c r="AA7" i="19"/>
  <c r="Z7" i="19"/>
  <c r="AC6" i="19"/>
  <c r="AB6" i="19"/>
  <c r="AA6" i="19"/>
  <c r="Z6" i="19"/>
  <c r="AC5" i="19"/>
  <c r="AB5" i="19"/>
  <c r="AA5" i="19"/>
  <c r="Z5" i="19"/>
  <c r="AC4" i="19"/>
  <c r="AB4" i="19"/>
  <c r="AA4" i="19"/>
  <c r="Z4" i="19"/>
  <c r="AC3" i="19"/>
  <c r="AB3" i="19"/>
  <c r="AA3" i="19"/>
  <c r="Z3" i="19"/>
  <c r="AC2" i="19"/>
  <c r="AB2" i="19"/>
  <c r="AA2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Z2" i="19"/>
  <c r="J5" i="19" l="1"/>
  <c r="O5" i="19"/>
</calcChain>
</file>

<file path=xl/sharedStrings.xml><?xml version="1.0" encoding="utf-8"?>
<sst xmlns="http://schemas.openxmlformats.org/spreadsheetml/2006/main" count="515" uniqueCount="187">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</sst>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182</v>
      </c>
      <c r="G1" s="44"/>
      <c r="H1" s="44"/>
      <c r="I1" s="45"/>
      <c r="J1" s="46"/>
      <c r="K1" s="43" t="s">
        <v>181</v>
      </c>
      <c r="L1" s="44"/>
      <c r="M1" s="44"/>
      <c r="N1" s="45"/>
      <c r="O1" s="46"/>
      <c r="P1" s="43" t="s">
        <v>126</v>
      </c>
      <c r="Q1" s="44"/>
      <c r="R1" s="44"/>
      <c r="S1" s="45"/>
      <c r="T1" s="46"/>
      <c r="U1" s="43" t="s">
        <v>186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7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7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7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7" t="s">
        <v>7</v>
      </c>
      <c r="Y2" s="6" t="s">
        <v>4</v>
      </c>
      <c r="Z2" s="40" t="str">
        <f>$F$1</f>
        <v>Player1</v>
      </c>
      <c r="AA2" s="42" t="str">
        <f>$K$1</f>
        <v>Player2</v>
      </c>
      <c r="AB2" s="41" t="str">
        <f>$P$1</f>
        <v>Player3</v>
      </c>
      <c r="AC2" s="16" t="str">
        <f>$U$1</f>
        <v>Playe4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8"/>
      <c r="J3" s="20">
        <v>30000</v>
      </c>
      <c r="K3" s="7"/>
      <c r="L3" s="23"/>
      <c r="M3" s="23"/>
      <c r="N3" s="28"/>
      <c r="O3" s="20">
        <v>30000</v>
      </c>
      <c r="P3" s="7"/>
      <c r="Q3" s="23"/>
      <c r="R3" s="23"/>
      <c r="S3" s="28"/>
      <c r="T3" s="20">
        <v>30000</v>
      </c>
      <c r="U3" s="7"/>
      <c r="V3" s="23"/>
      <c r="W3" s="23"/>
      <c r="X3" s="28"/>
      <c r="Y3" s="20">
        <v>30000</v>
      </c>
      <c r="Z3" s="31">
        <f>IF($J3="","",ROUND(($J3-$J$3)/1000,1)+0)</f>
        <v>0</v>
      </c>
      <c r="AA3" s="32">
        <f>IF($O3="","",ROUND(($O3-$O$3)/1000,1)+0)</f>
        <v>0</v>
      </c>
      <c r="AB3" s="32">
        <f>IF($T3="","",ROUND(($T3-$T$3)/1000,1)+0)</f>
        <v>0</v>
      </c>
      <c r="AC3" s="33">
        <f>IF($Y3="","",ROUND(($Y3-$Y$3)/1000,1)+0)</f>
        <v>0</v>
      </c>
    </row>
    <row r="4" spans="1:29" x14ac:dyDescent="0.4">
      <c r="A4" s="13" t="s">
        <v>125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9"/>
      <c r="J4" s="21" t="str">
        <f>IF(COUNTA($F4,$K4,$P4)&gt;0,J3+SUM(G4:I4),"")</f>
        <v/>
      </c>
      <c r="K4" s="8"/>
      <c r="L4" s="9"/>
      <c r="M4" s="9"/>
      <c r="N4" s="29"/>
      <c r="O4" s="21" t="str">
        <f>IF(COUNTA($F4,$K4,$P4)&gt;0,O3+SUM(L4:N4),"")</f>
        <v/>
      </c>
      <c r="P4" s="8"/>
      <c r="Q4" s="9"/>
      <c r="R4" s="9"/>
      <c r="S4" s="29"/>
      <c r="T4" s="21" t="str">
        <f>IF(COUNTA($F4,$K4,$P4)&gt;0,T3+SUM(Q4:S4),"")</f>
        <v/>
      </c>
      <c r="U4" s="8"/>
      <c r="V4" s="9"/>
      <c r="W4" s="9"/>
      <c r="X4" s="29"/>
      <c r="Y4" s="21" t="str">
        <f>IF(COUNTA($F4,$K4,$P4)&gt;0,Y3+SUM(V4:X4),"")</f>
        <v/>
      </c>
      <c r="Z4" s="34" t="str">
        <f t="shared" ref="Z4:Z30" si="0">IF($J4="","",ROUND(($J4-$J$3)/1000,1)+0)</f>
        <v/>
      </c>
      <c r="AA4" s="35" t="str">
        <f t="shared" ref="AA4:AA30" si="1">IF($O4="","",ROUND(($O4-$O$3)/1000,1)+0)</f>
        <v/>
      </c>
      <c r="AB4" s="35" t="str">
        <f t="shared" ref="AB4:AB30" si="2">IF($T4="","",ROUND(($T4-$T$3)/1000,1)+0)</f>
        <v/>
      </c>
      <c r="AC4" s="36" t="str">
        <f t="shared" ref="AC4:AC30" si="3">IF($Y4="","",ROUND(($Y4-$Y$3)/1000,1)+0)</f>
        <v/>
      </c>
    </row>
    <row r="5" spans="1:29" x14ac:dyDescent="0.4">
      <c r="A5" s="13" t="str">
        <f t="shared" ref="A5:A30" si="4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29"/>
      <c r="J5" s="21" t="str">
        <f t="shared" ref="J5:J30" si="6">IF(COUNTA($F5,$K5,$P5)&gt;0,J4+SUM(G5:I5),"")</f>
        <v/>
      </c>
      <c r="K5" s="8"/>
      <c r="L5" s="9"/>
      <c r="M5" s="9"/>
      <c r="N5" s="29"/>
      <c r="O5" s="21" t="str">
        <f t="shared" ref="O5:O30" si="7">IF(COUNTA($F5,$K5,$P5)&gt;0,O4+SUM(L5:N5),"")</f>
        <v/>
      </c>
      <c r="P5" s="8"/>
      <c r="Q5" s="9"/>
      <c r="R5" s="9"/>
      <c r="S5" s="29"/>
      <c r="T5" s="21" t="str">
        <f t="shared" ref="T5:T30" si="8">IF(COUNTA($F5,$K5,$P5)&gt;0,T4+SUM(Q5:S5),"")</f>
        <v/>
      </c>
      <c r="U5" s="8"/>
      <c r="V5" s="9"/>
      <c r="W5" s="9"/>
      <c r="X5" s="29"/>
      <c r="Y5" s="21" t="str">
        <f t="shared" ref="Y5:Y30" si="9">IF(COUNTA($F5,$K5,$P5)&gt;0,Y4+SUM(V5:X5),"")</f>
        <v/>
      </c>
      <c r="Z5" s="34" t="str">
        <f t="shared" si="0"/>
        <v/>
      </c>
      <c r="AA5" s="35" t="str">
        <f t="shared" si="1"/>
        <v/>
      </c>
      <c r="AB5" s="35" t="str">
        <f t="shared" si="2"/>
        <v/>
      </c>
      <c r="AC5" s="36" t="str">
        <f t="shared" si="3"/>
        <v/>
      </c>
    </row>
    <row r="6" spans="1:29" x14ac:dyDescent="0.4">
      <c r="A6" s="13" t="str">
        <f t="shared" si="4"/>
        <v/>
      </c>
      <c r="B6" s="18" t="str">
        <f t="shared" ref="B6:B30" si="10">IF($E6="","",IF($E5=$E6,B5,IF(B5=3,1,B5+1)))</f>
        <v/>
      </c>
      <c r="C6" s="18" t="str">
        <f t="shared" ref="C6:C30" si="11">IF($E6="","",IF($F5="チョンボ",C5,IF(OR($E5=$E6,$F5="流局"),C5+1,0)))</f>
        <v/>
      </c>
      <c r="D6" s="18" t="str">
        <f t="shared" si="5"/>
        <v/>
      </c>
      <c r="E6" s="4"/>
      <c r="F6" s="8"/>
      <c r="G6" s="9"/>
      <c r="H6" s="9"/>
      <c r="I6" s="29"/>
      <c r="J6" s="21" t="str">
        <f t="shared" si="6"/>
        <v/>
      </c>
      <c r="K6" s="8"/>
      <c r="L6" s="9"/>
      <c r="M6" s="9"/>
      <c r="N6" s="29"/>
      <c r="O6" s="21" t="str">
        <f t="shared" si="7"/>
        <v/>
      </c>
      <c r="P6" s="8"/>
      <c r="Q6" s="9"/>
      <c r="R6" s="9"/>
      <c r="S6" s="29"/>
      <c r="T6" s="21" t="str">
        <f t="shared" si="8"/>
        <v/>
      </c>
      <c r="U6" s="8"/>
      <c r="V6" s="9"/>
      <c r="W6" s="9"/>
      <c r="X6" s="29"/>
      <c r="Y6" s="21" t="str">
        <f t="shared" si="9"/>
        <v/>
      </c>
      <c r="Z6" s="34" t="str">
        <f t="shared" si="0"/>
        <v/>
      </c>
      <c r="AA6" s="35" t="str">
        <f t="shared" si="1"/>
        <v/>
      </c>
      <c r="AB6" s="35" t="str">
        <f t="shared" si="2"/>
        <v/>
      </c>
      <c r="AC6" s="36" t="str">
        <f t="shared" si="3"/>
        <v/>
      </c>
    </row>
    <row r="7" spans="1:29" x14ac:dyDescent="0.4">
      <c r="A7" s="13" t="str">
        <f t="shared" si="4"/>
        <v/>
      </c>
      <c r="B7" s="18" t="str">
        <f t="shared" si="10"/>
        <v/>
      </c>
      <c r="C7" s="18" t="str">
        <f t="shared" si="11"/>
        <v/>
      </c>
      <c r="D7" s="18" t="str">
        <f t="shared" si="5"/>
        <v/>
      </c>
      <c r="E7" s="4"/>
      <c r="F7" s="8"/>
      <c r="G7" s="9"/>
      <c r="H7" s="9"/>
      <c r="I7" s="29"/>
      <c r="J7" s="21" t="str">
        <f t="shared" si="6"/>
        <v/>
      </c>
      <c r="K7" s="8"/>
      <c r="L7" s="9"/>
      <c r="M7" s="9"/>
      <c r="N7" s="29"/>
      <c r="O7" s="21" t="str">
        <f t="shared" si="7"/>
        <v/>
      </c>
      <c r="P7" s="8"/>
      <c r="Q7" s="9"/>
      <c r="R7" s="9"/>
      <c r="S7" s="29"/>
      <c r="T7" s="21" t="str">
        <f t="shared" si="8"/>
        <v/>
      </c>
      <c r="U7" s="8"/>
      <c r="V7" s="9"/>
      <c r="W7" s="9"/>
      <c r="X7" s="29"/>
      <c r="Y7" s="21" t="str">
        <f t="shared" si="9"/>
        <v/>
      </c>
      <c r="Z7" s="34" t="str">
        <f t="shared" si="0"/>
        <v/>
      </c>
      <c r="AA7" s="35" t="str">
        <f t="shared" si="1"/>
        <v/>
      </c>
      <c r="AB7" s="35" t="str">
        <f t="shared" si="2"/>
        <v/>
      </c>
      <c r="AC7" s="36" t="str">
        <f t="shared" si="3"/>
        <v/>
      </c>
    </row>
    <row r="8" spans="1:29" x14ac:dyDescent="0.4">
      <c r="A8" s="13" t="str">
        <f t="shared" si="4"/>
        <v/>
      </c>
      <c r="B8" s="18" t="str">
        <f t="shared" si="10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29"/>
      <c r="J8" s="21" t="str">
        <f t="shared" si="6"/>
        <v/>
      </c>
      <c r="K8" s="8"/>
      <c r="L8" s="9"/>
      <c r="M8" s="9"/>
      <c r="N8" s="29"/>
      <c r="O8" s="21" t="str">
        <f t="shared" si="7"/>
        <v/>
      </c>
      <c r="P8" s="8"/>
      <c r="Q8" s="9"/>
      <c r="R8" s="9"/>
      <c r="S8" s="29"/>
      <c r="T8" s="21" t="str">
        <f t="shared" si="8"/>
        <v/>
      </c>
      <c r="U8" s="8"/>
      <c r="V8" s="9"/>
      <c r="W8" s="9"/>
      <c r="X8" s="29"/>
      <c r="Y8" s="21" t="str">
        <f t="shared" si="9"/>
        <v/>
      </c>
      <c r="Z8" s="34" t="str">
        <f t="shared" si="0"/>
        <v/>
      </c>
      <c r="AA8" s="35" t="str">
        <f t="shared" si="1"/>
        <v/>
      </c>
      <c r="AB8" s="35" t="str">
        <f t="shared" si="2"/>
        <v/>
      </c>
      <c r="AC8" s="36" t="str">
        <f t="shared" si="3"/>
        <v/>
      </c>
    </row>
    <row r="9" spans="1:29" x14ac:dyDescent="0.4">
      <c r="A9" s="13" t="str">
        <f t="shared" si="4"/>
        <v/>
      </c>
      <c r="B9" s="18" t="str">
        <f t="shared" si="10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29"/>
      <c r="J9" s="21" t="str">
        <f t="shared" si="6"/>
        <v/>
      </c>
      <c r="K9" s="8"/>
      <c r="L9" s="9"/>
      <c r="M9" s="9"/>
      <c r="N9" s="29"/>
      <c r="O9" s="21" t="str">
        <f t="shared" si="7"/>
        <v/>
      </c>
      <c r="P9" s="8"/>
      <c r="Q9" s="9"/>
      <c r="R9" s="9"/>
      <c r="S9" s="29"/>
      <c r="T9" s="21" t="str">
        <f t="shared" si="8"/>
        <v/>
      </c>
      <c r="U9" s="8"/>
      <c r="V9" s="9"/>
      <c r="W9" s="9"/>
      <c r="X9" s="29"/>
      <c r="Y9" s="21" t="str">
        <f t="shared" si="9"/>
        <v/>
      </c>
      <c r="Z9" s="34" t="str">
        <f t="shared" si="0"/>
        <v/>
      </c>
      <c r="AA9" s="35" t="str">
        <f t="shared" si="1"/>
        <v/>
      </c>
      <c r="AB9" s="35" t="str">
        <f t="shared" si="2"/>
        <v/>
      </c>
      <c r="AC9" s="36" t="str">
        <f t="shared" si="3"/>
        <v/>
      </c>
    </row>
    <row r="10" spans="1:29" x14ac:dyDescent="0.4">
      <c r="A10" s="13" t="str">
        <f t="shared" si="4"/>
        <v/>
      </c>
      <c r="B10" s="18" t="str">
        <f t="shared" si="10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29"/>
      <c r="J10" s="21" t="str">
        <f t="shared" si="6"/>
        <v/>
      </c>
      <c r="K10" s="8"/>
      <c r="L10" s="9"/>
      <c r="M10" s="9"/>
      <c r="N10" s="29"/>
      <c r="O10" s="21" t="str">
        <f t="shared" si="7"/>
        <v/>
      </c>
      <c r="P10" s="8"/>
      <c r="Q10" s="9"/>
      <c r="R10" s="9"/>
      <c r="S10" s="29"/>
      <c r="T10" s="21" t="str">
        <f t="shared" si="8"/>
        <v/>
      </c>
      <c r="U10" s="8"/>
      <c r="V10" s="9"/>
      <c r="W10" s="9"/>
      <c r="X10" s="29"/>
      <c r="Y10" s="21" t="str">
        <f t="shared" si="9"/>
        <v/>
      </c>
      <c r="Z10" s="34" t="str">
        <f t="shared" si="0"/>
        <v/>
      </c>
      <c r="AA10" s="35" t="str">
        <f t="shared" si="1"/>
        <v/>
      </c>
      <c r="AB10" s="35" t="str">
        <f t="shared" si="2"/>
        <v/>
      </c>
      <c r="AC10" s="36" t="str">
        <f t="shared" si="3"/>
        <v/>
      </c>
    </row>
    <row r="11" spans="1:29" x14ac:dyDescent="0.4">
      <c r="A11" s="13" t="str">
        <f t="shared" si="4"/>
        <v/>
      </c>
      <c r="B11" s="18" t="str">
        <f t="shared" si="10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29"/>
      <c r="J11" s="21" t="str">
        <f t="shared" si="6"/>
        <v/>
      </c>
      <c r="K11" s="8"/>
      <c r="L11" s="9"/>
      <c r="M11" s="9"/>
      <c r="N11" s="29"/>
      <c r="O11" s="21" t="str">
        <f t="shared" si="7"/>
        <v/>
      </c>
      <c r="P11" s="8"/>
      <c r="Q11" s="9"/>
      <c r="R11" s="9"/>
      <c r="S11" s="29"/>
      <c r="T11" s="21" t="str">
        <f t="shared" si="8"/>
        <v/>
      </c>
      <c r="U11" s="8"/>
      <c r="V11" s="9"/>
      <c r="W11" s="9"/>
      <c r="X11" s="29"/>
      <c r="Y11" s="21" t="str">
        <f t="shared" si="9"/>
        <v/>
      </c>
      <c r="Z11" s="34" t="str">
        <f t="shared" si="0"/>
        <v/>
      </c>
      <c r="AA11" s="35" t="str">
        <f t="shared" si="1"/>
        <v/>
      </c>
      <c r="AB11" s="35" t="str">
        <f t="shared" si="2"/>
        <v/>
      </c>
      <c r="AC11" s="36" t="str">
        <f t="shared" si="3"/>
        <v/>
      </c>
    </row>
    <row r="12" spans="1:29" x14ac:dyDescent="0.4">
      <c r="A12" s="13" t="str">
        <f t="shared" si="4"/>
        <v/>
      </c>
      <c r="B12" s="18" t="str">
        <f t="shared" si="10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29"/>
      <c r="J12" s="21" t="str">
        <f t="shared" si="6"/>
        <v/>
      </c>
      <c r="K12" s="8"/>
      <c r="L12" s="9"/>
      <c r="M12" s="9"/>
      <c r="N12" s="29"/>
      <c r="O12" s="21" t="str">
        <f t="shared" si="7"/>
        <v/>
      </c>
      <c r="P12" s="8"/>
      <c r="Q12" s="9"/>
      <c r="R12" s="9"/>
      <c r="S12" s="29"/>
      <c r="T12" s="21" t="str">
        <f t="shared" si="8"/>
        <v/>
      </c>
      <c r="U12" s="8"/>
      <c r="V12" s="9"/>
      <c r="W12" s="9"/>
      <c r="X12" s="29"/>
      <c r="Y12" s="21" t="str">
        <f t="shared" si="9"/>
        <v/>
      </c>
      <c r="Z12" s="34" t="str">
        <f t="shared" si="0"/>
        <v/>
      </c>
      <c r="AA12" s="35" t="str">
        <f t="shared" si="1"/>
        <v/>
      </c>
      <c r="AB12" s="35" t="str">
        <f t="shared" si="2"/>
        <v/>
      </c>
      <c r="AC12" s="36" t="str">
        <f t="shared" si="3"/>
        <v/>
      </c>
    </row>
    <row r="13" spans="1:29" x14ac:dyDescent="0.4">
      <c r="A13" s="13" t="str">
        <f t="shared" si="4"/>
        <v/>
      </c>
      <c r="B13" s="18" t="str">
        <f t="shared" si="10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29"/>
      <c r="J13" s="21" t="str">
        <f t="shared" si="6"/>
        <v/>
      </c>
      <c r="K13" s="8"/>
      <c r="L13" s="9"/>
      <c r="M13" s="9"/>
      <c r="N13" s="29"/>
      <c r="O13" s="21" t="str">
        <f t="shared" si="7"/>
        <v/>
      </c>
      <c r="P13" s="8"/>
      <c r="Q13" s="9"/>
      <c r="R13" s="9"/>
      <c r="S13" s="29"/>
      <c r="T13" s="21" t="str">
        <f t="shared" si="8"/>
        <v/>
      </c>
      <c r="U13" s="8"/>
      <c r="V13" s="9"/>
      <c r="W13" s="9"/>
      <c r="X13" s="29"/>
      <c r="Y13" s="21" t="str">
        <f t="shared" si="9"/>
        <v/>
      </c>
      <c r="Z13" s="34" t="str">
        <f t="shared" si="0"/>
        <v/>
      </c>
      <c r="AA13" s="35" t="str">
        <f t="shared" si="1"/>
        <v/>
      </c>
      <c r="AB13" s="35" t="str">
        <f t="shared" si="2"/>
        <v/>
      </c>
      <c r="AC13" s="36" t="str">
        <f t="shared" si="3"/>
        <v/>
      </c>
    </row>
    <row r="14" spans="1:29" x14ac:dyDescent="0.4">
      <c r="A14" s="13" t="str">
        <f t="shared" si="4"/>
        <v/>
      </c>
      <c r="B14" s="18" t="str">
        <f t="shared" si="10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29"/>
      <c r="J14" s="21" t="str">
        <f t="shared" si="6"/>
        <v/>
      </c>
      <c r="K14" s="8"/>
      <c r="L14" s="9"/>
      <c r="M14" s="9"/>
      <c r="N14" s="29"/>
      <c r="O14" s="21" t="str">
        <f t="shared" si="7"/>
        <v/>
      </c>
      <c r="P14" s="8"/>
      <c r="Q14" s="9"/>
      <c r="R14" s="9"/>
      <c r="S14" s="29"/>
      <c r="T14" s="21" t="str">
        <f t="shared" si="8"/>
        <v/>
      </c>
      <c r="U14" s="8"/>
      <c r="V14" s="9"/>
      <c r="W14" s="9"/>
      <c r="X14" s="29"/>
      <c r="Y14" s="21" t="str">
        <f t="shared" si="9"/>
        <v/>
      </c>
      <c r="Z14" s="34" t="str">
        <f t="shared" si="0"/>
        <v/>
      </c>
      <c r="AA14" s="35" t="str">
        <f t="shared" si="1"/>
        <v/>
      </c>
      <c r="AB14" s="35" t="str">
        <f t="shared" si="2"/>
        <v/>
      </c>
      <c r="AC14" s="36" t="str">
        <f t="shared" si="3"/>
        <v/>
      </c>
    </row>
    <row r="15" spans="1:29" x14ac:dyDescent="0.4">
      <c r="A15" s="13" t="str">
        <f t="shared" si="4"/>
        <v/>
      </c>
      <c r="B15" s="18" t="str">
        <f t="shared" si="10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29"/>
      <c r="J15" s="21" t="str">
        <f t="shared" si="6"/>
        <v/>
      </c>
      <c r="K15" s="8"/>
      <c r="L15" s="9"/>
      <c r="M15" s="9"/>
      <c r="N15" s="29"/>
      <c r="O15" s="21" t="str">
        <f t="shared" si="7"/>
        <v/>
      </c>
      <c r="P15" s="8"/>
      <c r="Q15" s="9"/>
      <c r="R15" s="9"/>
      <c r="S15" s="29"/>
      <c r="T15" s="21" t="str">
        <f t="shared" si="8"/>
        <v/>
      </c>
      <c r="U15" s="8"/>
      <c r="V15" s="9"/>
      <c r="W15" s="9"/>
      <c r="X15" s="29"/>
      <c r="Y15" s="21" t="str">
        <f t="shared" si="9"/>
        <v/>
      </c>
      <c r="Z15" s="34" t="str">
        <f t="shared" si="0"/>
        <v/>
      </c>
      <c r="AA15" s="35" t="str">
        <f t="shared" si="1"/>
        <v/>
      </c>
      <c r="AB15" s="35" t="str">
        <f t="shared" si="2"/>
        <v/>
      </c>
      <c r="AC15" s="36" t="str">
        <f t="shared" si="3"/>
        <v/>
      </c>
    </row>
    <row r="16" spans="1:29" x14ac:dyDescent="0.4">
      <c r="A16" s="13" t="str">
        <f t="shared" si="4"/>
        <v/>
      </c>
      <c r="B16" s="18" t="str">
        <f t="shared" si="10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29"/>
      <c r="J16" s="21" t="str">
        <f t="shared" si="6"/>
        <v/>
      </c>
      <c r="K16" s="8"/>
      <c r="L16" s="9"/>
      <c r="M16" s="9"/>
      <c r="N16" s="29"/>
      <c r="O16" s="21" t="str">
        <f t="shared" si="7"/>
        <v/>
      </c>
      <c r="P16" s="8"/>
      <c r="Q16" s="9"/>
      <c r="R16" s="9"/>
      <c r="S16" s="29"/>
      <c r="T16" s="21" t="str">
        <f t="shared" si="8"/>
        <v/>
      </c>
      <c r="U16" s="8"/>
      <c r="V16" s="9"/>
      <c r="W16" s="9"/>
      <c r="X16" s="29"/>
      <c r="Y16" s="21" t="str">
        <f t="shared" si="9"/>
        <v/>
      </c>
      <c r="Z16" s="34" t="str">
        <f t="shared" si="0"/>
        <v/>
      </c>
      <c r="AA16" s="35" t="str">
        <f t="shared" si="1"/>
        <v/>
      </c>
      <c r="AB16" s="35" t="str">
        <f t="shared" si="2"/>
        <v/>
      </c>
      <c r="AC16" s="36" t="str">
        <f t="shared" si="3"/>
        <v/>
      </c>
    </row>
    <row r="17" spans="1:29" x14ac:dyDescent="0.4">
      <c r="A17" s="13" t="str">
        <f t="shared" si="4"/>
        <v/>
      </c>
      <c r="B17" s="18" t="str">
        <f t="shared" si="10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29"/>
      <c r="J17" s="21" t="str">
        <f t="shared" si="6"/>
        <v/>
      </c>
      <c r="K17" s="8"/>
      <c r="L17" s="9"/>
      <c r="M17" s="9"/>
      <c r="N17" s="29"/>
      <c r="O17" s="21" t="str">
        <f t="shared" si="7"/>
        <v/>
      </c>
      <c r="P17" s="8"/>
      <c r="Q17" s="9"/>
      <c r="R17" s="9"/>
      <c r="S17" s="29"/>
      <c r="T17" s="21" t="str">
        <f t="shared" si="8"/>
        <v/>
      </c>
      <c r="U17" s="8"/>
      <c r="V17" s="9"/>
      <c r="W17" s="9"/>
      <c r="X17" s="29"/>
      <c r="Y17" s="21" t="str">
        <f t="shared" si="9"/>
        <v/>
      </c>
      <c r="Z17" s="34" t="str">
        <f t="shared" si="0"/>
        <v/>
      </c>
      <c r="AA17" s="35" t="str">
        <f t="shared" si="1"/>
        <v/>
      </c>
      <c r="AB17" s="35" t="str">
        <f t="shared" si="2"/>
        <v/>
      </c>
      <c r="AC17" s="36" t="str">
        <f t="shared" si="3"/>
        <v/>
      </c>
    </row>
    <row r="18" spans="1:29" x14ac:dyDescent="0.4">
      <c r="A18" s="13" t="str">
        <f t="shared" si="4"/>
        <v/>
      </c>
      <c r="B18" s="18" t="str">
        <f t="shared" si="10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29"/>
      <c r="J18" s="21" t="str">
        <f t="shared" si="6"/>
        <v/>
      </c>
      <c r="K18" s="8"/>
      <c r="L18" s="9"/>
      <c r="M18" s="9"/>
      <c r="N18" s="29"/>
      <c r="O18" s="21" t="str">
        <f t="shared" si="7"/>
        <v/>
      </c>
      <c r="P18" s="8"/>
      <c r="Q18" s="9"/>
      <c r="R18" s="9"/>
      <c r="S18" s="29"/>
      <c r="T18" s="21" t="str">
        <f t="shared" si="8"/>
        <v/>
      </c>
      <c r="U18" s="8"/>
      <c r="V18" s="9"/>
      <c r="W18" s="9"/>
      <c r="X18" s="29"/>
      <c r="Y18" s="21" t="str">
        <f t="shared" si="9"/>
        <v/>
      </c>
      <c r="Z18" s="34" t="str">
        <f t="shared" si="0"/>
        <v/>
      </c>
      <c r="AA18" s="35" t="str">
        <f t="shared" si="1"/>
        <v/>
      </c>
      <c r="AB18" s="35" t="str">
        <f t="shared" si="2"/>
        <v/>
      </c>
      <c r="AC18" s="36" t="str">
        <f t="shared" si="3"/>
        <v/>
      </c>
    </row>
    <row r="19" spans="1:29" x14ac:dyDescent="0.4">
      <c r="A19" s="13" t="str">
        <f t="shared" si="4"/>
        <v/>
      </c>
      <c r="B19" s="18" t="str">
        <f t="shared" si="10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29"/>
      <c r="J19" s="21" t="str">
        <f t="shared" si="6"/>
        <v/>
      </c>
      <c r="K19" s="8"/>
      <c r="L19" s="9"/>
      <c r="M19" s="9"/>
      <c r="N19" s="29"/>
      <c r="O19" s="21" t="str">
        <f t="shared" si="7"/>
        <v/>
      </c>
      <c r="P19" s="8"/>
      <c r="Q19" s="9"/>
      <c r="R19" s="9"/>
      <c r="S19" s="29"/>
      <c r="T19" s="21" t="str">
        <f t="shared" si="8"/>
        <v/>
      </c>
      <c r="U19" s="8"/>
      <c r="V19" s="9"/>
      <c r="W19" s="9"/>
      <c r="X19" s="29"/>
      <c r="Y19" s="21" t="str">
        <f t="shared" si="9"/>
        <v/>
      </c>
      <c r="Z19" s="34" t="str">
        <f t="shared" si="0"/>
        <v/>
      </c>
      <c r="AA19" s="35" t="str">
        <f t="shared" si="1"/>
        <v/>
      </c>
      <c r="AB19" s="35" t="str">
        <f t="shared" si="2"/>
        <v/>
      </c>
      <c r="AC19" s="36" t="str">
        <f t="shared" si="3"/>
        <v/>
      </c>
    </row>
    <row r="20" spans="1:29" x14ac:dyDescent="0.4">
      <c r="A20" s="13" t="str">
        <f t="shared" si="4"/>
        <v/>
      </c>
      <c r="B20" s="18" t="str">
        <f t="shared" si="10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29"/>
      <c r="J20" s="21" t="str">
        <f t="shared" si="6"/>
        <v/>
      </c>
      <c r="K20" s="8"/>
      <c r="L20" s="9"/>
      <c r="M20" s="9"/>
      <c r="N20" s="29"/>
      <c r="O20" s="21" t="str">
        <f t="shared" si="7"/>
        <v/>
      </c>
      <c r="P20" s="8"/>
      <c r="Q20" s="9"/>
      <c r="R20" s="9"/>
      <c r="S20" s="29"/>
      <c r="T20" s="21" t="str">
        <f t="shared" si="8"/>
        <v/>
      </c>
      <c r="U20" s="8"/>
      <c r="V20" s="9"/>
      <c r="W20" s="9"/>
      <c r="X20" s="29"/>
      <c r="Y20" s="21" t="str">
        <f t="shared" si="9"/>
        <v/>
      </c>
      <c r="Z20" s="34" t="str">
        <f t="shared" si="0"/>
        <v/>
      </c>
      <c r="AA20" s="35" t="str">
        <f t="shared" si="1"/>
        <v/>
      </c>
      <c r="AB20" s="35" t="str">
        <f t="shared" si="2"/>
        <v/>
      </c>
      <c r="AC20" s="36" t="str">
        <f t="shared" si="3"/>
        <v/>
      </c>
    </row>
    <row r="21" spans="1:29" x14ac:dyDescent="0.4">
      <c r="A21" s="13" t="str">
        <f t="shared" si="4"/>
        <v/>
      </c>
      <c r="B21" s="18" t="str">
        <f t="shared" si="10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29"/>
      <c r="J21" s="21" t="str">
        <f t="shared" si="6"/>
        <v/>
      </c>
      <c r="K21" s="8"/>
      <c r="L21" s="9"/>
      <c r="M21" s="9"/>
      <c r="N21" s="29"/>
      <c r="O21" s="21" t="str">
        <f t="shared" si="7"/>
        <v/>
      </c>
      <c r="P21" s="8"/>
      <c r="Q21" s="9"/>
      <c r="R21" s="9"/>
      <c r="S21" s="29"/>
      <c r="T21" s="21" t="str">
        <f t="shared" si="8"/>
        <v/>
      </c>
      <c r="U21" s="8"/>
      <c r="V21" s="9"/>
      <c r="W21" s="9"/>
      <c r="X21" s="29"/>
      <c r="Y21" s="21" t="str">
        <f t="shared" si="9"/>
        <v/>
      </c>
      <c r="Z21" s="34" t="str">
        <f t="shared" si="0"/>
        <v/>
      </c>
      <c r="AA21" s="35" t="str">
        <f t="shared" si="1"/>
        <v/>
      </c>
      <c r="AB21" s="35" t="str">
        <f t="shared" si="2"/>
        <v/>
      </c>
      <c r="AC21" s="36" t="str">
        <f t="shared" si="3"/>
        <v/>
      </c>
    </row>
    <row r="22" spans="1:29" x14ac:dyDescent="0.4">
      <c r="A22" s="13" t="str">
        <f t="shared" si="4"/>
        <v/>
      </c>
      <c r="B22" s="18" t="str">
        <f t="shared" si="10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29"/>
      <c r="J22" s="21" t="str">
        <f t="shared" si="6"/>
        <v/>
      </c>
      <c r="K22" s="8"/>
      <c r="L22" s="9"/>
      <c r="M22" s="9"/>
      <c r="N22" s="29"/>
      <c r="O22" s="21" t="str">
        <f t="shared" si="7"/>
        <v/>
      </c>
      <c r="P22" s="8"/>
      <c r="Q22" s="9"/>
      <c r="R22" s="9"/>
      <c r="S22" s="29"/>
      <c r="T22" s="21" t="str">
        <f t="shared" si="8"/>
        <v/>
      </c>
      <c r="U22" s="8"/>
      <c r="V22" s="9"/>
      <c r="W22" s="9"/>
      <c r="X22" s="29"/>
      <c r="Y22" s="21" t="str">
        <f t="shared" si="9"/>
        <v/>
      </c>
      <c r="Z22" s="34" t="str">
        <f t="shared" si="0"/>
        <v/>
      </c>
      <c r="AA22" s="35" t="str">
        <f t="shared" si="1"/>
        <v/>
      </c>
      <c r="AB22" s="35" t="str">
        <f t="shared" si="2"/>
        <v/>
      </c>
      <c r="AC22" s="36" t="str">
        <f t="shared" si="3"/>
        <v/>
      </c>
    </row>
    <row r="23" spans="1:29" x14ac:dyDescent="0.4">
      <c r="A23" s="13" t="str">
        <f t="shared" si="4"/>
        <v/>
      </c>
      <c r="B23" s="18" t="str">
        <f t="shared" si="10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29"/>
      <c r="J23" s="21" t="str">
        <f t="shared" si="6"/>
        <v/>
      </c>
      <c r="K23" s="8"/>
      <c r="L23" s="9"/>
      <c r="M23" s="9"/>
      <c r="N23" s="29"/>
      <c r="O23" s="21" t="str">
        <f t="shared" si="7"/>
        <v/>
      </c>
      <c r="P23" s="8"/>
      <c r="Q23" s="9"/>
      <c r="R23" s="9"/>
      <c r="S23" s="29"/>
      <c r="T23" s="21" t="str">
        <f t="shared" si="8"/>
        <v/>
      </c>
      <c r="U23" s="8"/>
      <c r="V23" s="9"/>
      <c r="W23" s="9"/>
      <c r="X23" s="29"/>
      <c r="Y23" s="21" t="str">
        <f t="shared" si="9"/>
        <v/>
      </c>
      <c r="Z23" s="34" t="str">
        <f t="shared" si="0"/>
        <v/>
      </c>
      <c r="AA23" s="35" t="str">
        <f t="shared" si="1"/>
        <v/>
      </c>
      <c r="AB23" s="35" t="str">
        <f t="shared" si="2"/>
        <v/>
      </c>
      <c r="AC23" s="36" t="str">
        <f t="shared" si="3"/>
        <v/>
      </c>
    </row>
    <row r="24" spans="1:29" x14ac:dyDescent="0.4">
      <c r="A24" s="13" t="str">
        <f t="shared" si="4"/>
        <v/>
      </c>
      <c r="B24" s="18" t="str">
        <f t="shared" si="10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29"/>
      <c r="J24" s="21" t="str">
        <f t="shared" si="6"/>
        <v/>
      </c>
      <c r="K24" s="8"/>
      <c r="L24" s="9"/>
      <c r="M24" s="9"/>
      <c r="N24" s="29"/>
      <c r="O24" s="21" t="str">
        <f t="shared" si="7"/>
        <v/>
      </c>
      <c r="P24" s="8"/>
      <c r="Q24" s="9"/>
      <c r="R24" s="9"/>
      <c r="S24" s="29"/>
      <c r="T24" s="21" t="str">
        <f t="shared" si="8"/>
        <v/>
      </c>
      <c r="U24" s="8"/>
      <c r="V24" s="9"/>
      <c r="W24" s="9"/>
      <c r="X24" s="29"/>
      <c r="Y24" s="21" t="str">
        <f t="shared" si="9"/>
        <v/>
      </c>
      <c r="Z24" s="34" t="str">
        <f t="shared" si="0"/>
        <v/>
      </c>
      <c r="AA24" s="35" t="str">
        <f t="shared" si="1"/>
        <v/>
      </c>
      <c r="AB24" s="35" t="str">
        <f t="shared" si="2"/>
        <v/>
      </c>
      <c r="AC24" s="36" t="str">
        <f t="shared" si="3"/>
        <v/>
      </c>
    </row>
    <row r="25" spans="1:29" x14ac:dyDescent="0.4">
      <c r="A25" s="13" t="str">
        <f t="shared" si="4"/>
        <v/>
      </c>
      <c r="B25" s="18" t="str">
        <f t="shared" si="10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29"/>
      <c r="J25" s="21" t="str">
        <f t="shared" si="6"/>
        <v/>
      </c>
      <c r="K25" s="8"/>
      <c r="L25" s="9"/>
      <c r="M25" s="9"/>
      <c r="N25" s="29"/>
      <c r="O25" s="21" t="str">
        <f t="shared" si="7"/>
        <v/>
      </c>
      <c r="P25" s="8"/>
      <c r="Q25" s="9"/>
      <c r="R25" s="9"/>
      <c r="S25" s="29"/>
      <c r="T25" s="21" t="str">
        <f t="shared" si="8"/>
        <v/>
      </c>
      <c r="U25" s="8"/>
      <c r="V25" s="9"/>
      <c r="W25" s="9"/>
      <c r="X25" s="29"/>
      <c r="Y25" s="21" t="str">
        <f t="shared" si="9"/>
        <v/>
      </c>
      <c r="Z25" s="34" t="str">
        <f t="shared" si="0"/>
        <v/>
      </c>
      <c r="AA25" s="35" t="str">
        <f t="shared" si="1"/>
        <v/>
      </c>
      <c r="AB25" s="35" t="str">
        <f t="shared" si="2"/>
        <v/>
      </c>
      <c r="AC25" s="36" t="str">
        <f t="shared" si="3"/>
        <v/>
      </c>
    </row>
    <row r="26" spans="1:29" x14ac:dyDescent="0.4">
      <c r="A26" s="13" t="str">
        <f t="shared" si="4"/>
        <v/>
      </c>
      <c r="B26" s="18" t="str">
        <f t="shared" si="10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29"/>
      <c r="J26" s="21" t="str">
        <f t="shared" si="6"/>
        <v/>
      </c>
      <c r="K26" s="8"/>
      <c r="L26" s="9"/>
      <c r="M26" s="9"/>
      <c r="N26" s="29"/>
      <c r="O26" s="21" t="str">
        <f t="shared" si="7"/>
        <v/>
      </c>
      <c r="P26" s="8"/>
      <c r="Q26" s="9"/>
      <c r="R26" s="9"/>
      <c r="S26" s="29"/>
      <c r="T26" s="21" t="str">
        <f t="shared" si="8"/>
        <v/>
      </c>
      <c r="U26" s="8"/>
      <c r="V26" s="9"/>
      <c r="W26" s="9"/>
      <c r="X26" s="29"/>
      <c r="Y26" s="21" t="str">
        <f t="shared" si="9"/>
        <v/>
      </c>
      <c r="Z26" s="34" t="str">
        <f t="shared" si="0"/>
        <v/>
      </c>
      <c r="AA26" s="35" t="str">
        <f t="shared" si="1"/>
        <v/>
      </c>
      <c r="AB26" s="35" t="str">
        <f t="shared" si="2"/>
        <v/>
      </c>
      <c r="AC26" s="36" t="str">
        <f t="shared" si="3"/>
        <v/>
      </c>
    </row>
    <row r="27" spans="1:29" x14ac:dyDescent="0.4">
      <c r="A27" s="13" t="str">
        <f t="shared" si="4"/>
        <v/>
      </c>
      <c r="B27" s="18" t="str">
        <f t="shared" si="10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29"/>
      <c r="J27" s="21" t="str">
        <f t="shared" si="6"/>
        <v/>
      </c>
      <c r="K27" s="8"/>
      <c r="L27" s="9"/>
      <c r="M27" s="9"/>
      <c r="N27" s="29"/>
      <c r="O27" s="21" t="str">
        <f t="shared" si="7"/>
        <v/>
      </c>
      <c r="P27" s="8"/>
      <c r="Q27" s="9"/>
      <c r="R27" s="9"/>
      <c r="S27" s="29"/>
      <c r="T27" s="21" t="str">
        <f t="shared" si="8"/>
        <v/>
      </c>
      <c r="U27" s="8"/>
      <c r="V27" s="9"/>
      <c r="W27" s="9"/>
      <c r="X27" s="29"/>
      <c r="Y27" s="21" t="str">
        <f t="shared" si="9"/>
        <v/>
      </c>
      <c r="Z27" s="34" t="str">
        <f t="shared" si="0"/>
        <v/>
      </c>
      <c r="AA27" s="35" t="str">
        <f t="shared" si="1"/>
        <v/>
      </c>
      <c r="AB27" s="35" t="str">
        <f t="shared" si="2"/>
        <v/>
      </c>
      <c r="AC27" s="36" t="str">
        <f t="shared" si="3"/>
        <v/>
      </c>
    </row>
    <row r="28" spans="1:29" x14ac:dyDescent="0.4">
      <c r="A28" s="13" t="str">
        <f t="shared" si="4"/>
        <v/>
      </c>
      <c r="B28" s="18" t="str">
        <f t="shared" si="10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29"/>
      <c r="J28" s="21" t="str">
        <f t="shared" si="6"/>
        <v/>
      </c>
      <c r="K28" s="8"/>
      <c r="L28" s="9"/>
      <c r="M28" s="9"/>
      <c r="N28" s="29"/>
      <c r="O28" s="21" t="str">
        <f t="shared" si="7"/>
        <v/>
      </c>
      <c r="P28" s="8"/>
      <c r="Q28" s="9"/>
      <c r="R28" s="9"/>
      <c r="S28" s="29"/>
      <c r="T28" s="21" t="str">
        <f t="shared" si="8"/>
        <v/>
      </c>
      <c r="U28" s="8"/>
      <c r="V28" s="9"/>
      <c r="W28" s="9"/>
      <c r="X28" s="29"/>
      <c r="Y28" s="21" t="str">
        <f t="shared" si="9"/>
        <v/>
      </c>
      <c r="Z28" s="34" t="str">
        <f t="shared" si="0"/>
        <v/>
      </c>
      <c r="AA28" s="35" t="str">
        <f t="shared" si="1"/>
        <v/>
      </c>
      <c r="AB28" s="35" t="str">
        <f t="shared" si="2"/>
        <v/>
      </c>
      <c r="AC28" s="36" t="str">
        <f t="shared" si="3"/>
        <v/>
      </c>
    </row>
    <row r="29" spans="1:29" x14ac:dyDescent="0.4">
      <c r="A29" s="13" t="str">
        <f t="shared" si="4"/>
        <v/>
      </c>
      <c r="B29" s="18" t="str">
        <f t="shared" si="10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29"/>
      <c r="J29" s="21" t="str">
        <f t="shared" si="6"/>
        <v/>
      </c>
      <c r="K29" s="8"/>
      <c r="L29" s="9"/>
      <c r="M29" s="9"/>
      <c r="N29" s="29"/>
      <c r="O29" s="21" t="str">
        <f t="shared" si="7"/>
        <v/>
      </c>
      <c r="P29" s="8"/>
      <c r="Q29" s="9"/>
      <c r="R29" s="9"/>
      <c r="S29" s="29"/>
      <c r="T29" s="21" t="str">
        <f t="shared" si="8"/>
        <v/>
      </c>
      <c r="U29" s="8"/>
      <c r="V29" s="9"/>
      <c r="W29" s="9"/>
      <c r="X29" s="29"/>
      <c r="Y29" s="21" t="str">
        <f t="shared" si="9"/>
        <v/>
      </c>
      <c r="Z29" s="34" t="str">
        <f t="shared" si="0"/>
        <v/>
      </c>
      <c r="AA29" s="35" t="str">
        <f t="shared" si="1"/>
        <v/>
      </c>
      <c r="AB29" s="35" t="str">
        <f t="shared" si="2"/>
        <v/>
      </c>
      <c r="AC29" s="36" t="str">
        <f t="shared" si="3"/>
        <v/>
      </c>
    </row>
    <row r="30" spans="1:29" x14ac:dyDescent="0.4">
      <c r="A30" s="14" t="str">
        <f t="shared" si="4"/>
        <v/>
      </c>
      <c r="B30" s="19" t="str">
        <f t="shared" si="10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30"/>
      <c r="J30" s="22" t="str">
        <f t="shared" si="6"/>
        <v/>
      </c>
      <c r="K30" s="10"/>
      <c r="L30" s="11"/>
      <c r="M30" s="11"/>
      <c r="N30" s="30"/>
      <c r="O30" s="22" t="str">
        <f t="shared" si="7"/>
        <v/>
      </c>
      <c r="P30" s="10"/>
      <c r="Q30" s="11"/>
      <c r="R30" s="11"/>
      <c r="S30" s="30"/>
      <c r="T30" s="22" t="str">
        <f t="shared" si="8"/>
        <v/>
      </c>
      <c r="U30" s="10"/>
      <c r="V30" s="11"/>
      <c r="W30" s="11"/>
      <c r="X30" s="30"/>
      <c r="Y30" s="22" t="str">
        <f t="shared" si="9"/>
        <v/>
      </c>
      <c r="Z30" s="37" t="str">
        <f t="shared" si="0"/>
        <v/>
      </c>
      <c r="AA30" s="38" t="str">
        <f t="shared" si="1"/>
        <v/>
      </c>
      <c r="AB30" s="38" t="str">
        <f t="shared" si="2"/>
        <v/>
      </c>
      <c r="AC30" s="39" t="str">
        <f t="shared" si="3"/>
        <v/>
      </c>
    </row>
  </sheetData>
  <mergeCells count="10">
    <mergeCell ref="A1:A2"/>
    <mergeCell ref="B1:B2"/>
    <mergeCell ref="C1:C2"/>
    <mergeCell ref="D1:D2"/>
    <mergeCell ref="E1:E2"/>
    <mergeCell ref="K1:O1"/>
    <mergeCell ref="P1:T1"/>
    <mergeCell ref="Z1:AC1"/>
    <mergeCell ref="U1:Y1"/>
    <mergeCell ref="F1:J1"/>
  </mergeCells>
  <phoneticPr fontId="1"/>
  <conditionalFormatting sqref="G4:G30 L4:L30 Q4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V4:V30">
    <cfRule type="expression" dxfId="2" priority="3">
      <formula>IF(V4&lt;&gt;"",SUM($G4:$I4,$L4:$N4,$Q4:$S4)-$D4*1000+$D5*1000)</formula>
    </cfRule>
  </conditionalFormatting>
  <conditionalFormatting sqref="X1:Y1 U1:V1">
    <cfRule type="duplicateValues" dxfId="1" priority="2"/>
  </conditionalFormatting>
  <conditionalFormatting sqref="W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$Z$2:$AC$2</formula1>
    </dataValidation>
    <dataValidation type="list" showInputMessage="1" showErrorMessage="1" sqref="K4:K30 P4:P30 F4:F30 U4:U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26" customWidth="1"/>
    <col min="2" max="2" width="6.5" style="26" customWidth="1"/>
    <col min="3" max="3" width="19.25" style="15" bestFit="1" customWidth="1"/>
    <col min="4" max="5" width="6.5" style="15" customWidth="1"/>
  </cols>
  <sheetData>
    <row r="1" spans="1:5" x14ac:dyDescent="0.4">
      <c r="A1" s="26" t="s">
        <v>21</v>
      </c>
      <c r="B1" s="26" t="s">
        <v>131</v>
      </c>
      <c r="C1" s="15" t="s">
        <v>22</v>
      </c>
      <c r="D1" s="15" t="s">
        <v>23</v>
      </c>
      <c r="E1" s="15" t="s">
        <v>24</v>
      </c>
    </row>
    <row r="2" spans="1:5" x14ac:dyDescent="0.4">
      <c r="A2" s="26" t="s">
        <v>71</v>
      </c>
      <c r="B2" s="26" t="s">
        <v>132</v>
      </c>
      <c r="C2" s="15" t="s">
        <v>124</v>
      </c>
      <c r="D2" s="15">
        <v>1</v>
      </c>
    </row>
    <row r="3" spans="1:5" x14ac:dyDescent="0.4">
      <c r="A3" s="26" t="s">
        <v>72</v>
      </c>
      <c r="B3" s="26" t="s">
        <v>141</v>
      </c>
      <c r="C3" s="15" t="s">
        <v>25</v>
      </c>
      <c r="D3" s="15">
        <v>1</v>
      </c>
    </row>
    <row r="4" spans="1:5" x14ac:dyDescent="0.4">
      <c r="A4" s="26" t="s">
        <v>73</v>
      </c>
      <c r="B4" s="26" t="s">
        <v>134</v>
      </c>
      <c r="C4" s="15" t="s">
        <v>26</v>
      </c>
      <c r="D4" s="15">
        <v>1</v>
      </c>
      <c r="E4" s="15">
        <v>1</v>
      </c>
    </row>
    <row r="5" spans="1:5" x14ac:dyDescent="0.4">
      <c r="A5" s="26" t="s">
        <v>74</v>
      </c>
      <c r="B5" s="26" t="s">
        <v>135</v>
      </c>
      <c r="C5" s="15" t="s">
        <v>27</v>
      </c>
      <c r="D5" s="15">
        <v>1</v>
      </c>
    </row>
    <row r="6" spans="1:5" x14ac:dyDescent="0.4">
      <c r="A6" s="26" t="s">
        <v>75</v>
      </c>
      <c r="C6" s="15" t="s">
        <v>28</v>
      </c>
      <c r="D6" s="15">
        <v>1</v>
      </c>
      <c r="E6" s="15">
        <v>1</v>
      </c>
    </row>
    <row r="7" spans="1:5" x14ac:dyDescent="0.4">
      <c r="A7" s="26" t="s">
        <v>76</v>
      </c>
      <c r="B7" s="26" t="s">
        <v>133</v>
      </c>
      <c r="C7" s="15" t="s">
        <v>29</v>
      </c>
      <c r="D7" s="15">
        <v>1</v>
      </c>
    </row>
    <row r="8" spans="1:5" x14ac:dyDescent="0.4">
      <c r="A8" s="26" t="s">
        <v>77</v>
      </c>
      <c r="B8" s="26" t="s">
        <v>137</v>
      </c>
      <c r="C8" s="15" t="s">
        <v>30</v>
      </c>
      <c r="D8" s="15">
        <v>1</v>
      </c>
    </row>
    <row r="9" spans="1:5" x14ac:dyDescent="0.4">
      <c r="A9" s="26" t="s">
        <v>78</v>
      </c>
      <c r="B9" s="26" t="s">
        <v>139</v>
      </c>
      <c r="C9" s="15" t="s">
        <v>31</v>
      </c>
      <c r="D9" s="15">
        <v>1</v>
      </c>
    </row>
    <row r="10" spans="1:5" x14ac:dyDescent="0.4">
      <c r="A10" s="26" t="s">
        <v>79</v>
      </c>
      <c r="B10" s="26" t="s">
        <v>138</v>
      </c>
      <c r="C10" s="15" t="s">
        <v>121</v>
      </c>
      <c r="D10" s="15">
        <v>1</v>
      </c>
      <c r="E10" s="15">
        <v>1</v>
      </c>
    </row>
    <row r="11" spans="1:5" x14ac:dyDescent="0.4">
      <c r="A11" s="26" t="s">
        <v>80</v>
      </c>
      <c r="B11" s="26" t="s">
        <v>140</v>
      </c>
      <c r="C11" s="15" t="s">
        <v>32</v>
      </c>
      <c r="D11" s="15">
        <v>1</v>
      </c>
      <c r="E11" s="15">
        <v>1</v>
      </c>
    </row>
    <row r="12" spans="1:5" x14ac:dyDescent="0.4">
      <c r="A12" s="26" t="s">
        <v>81</v>
      </c>
      <c r="B12" s="26" t="s">
        <v>152</v>
      </c>
      <c r="C12" s="15" t="s">
        <v>33</v>
      </c>
      <c r="D12" s="15">
        <v>1</v>
      </c>
      <c r="E12" s="15">
        <v>1</v>
      </c>
    </row>
    <row r="13" spans="1:5" x14ac:dyDescent="0.4">
      <c r="A13" s="26" t="s">
        <v>82</v>
      </c>
      <c r="B13" s="26" t="s">
        <v>153</v>
      </c>
      <c r="C13" s="15" t="s">
        <v>34</v>
      </c>
      <c r="D13" s="15">
        <v>1</v>
      </c>
      <c r="E13" s="15">
        <v>1</v>
      </c>
    </row>
    <row r="14" spans="1:5" x14ac:dyDescent="0.4">
      <c r="A14" s="26" t="s">
        <v>83</v>
      </c>
      <c r="B14" s="26" t="s">
        <v>154</v>
      </c>
      <c r="C14" s="15" t="s">
        <v>35</v>
      </c>
      <c r="D14" s="15">
        <v>1</v>
      </c>
      <c r="E14" s="15">
        <v>1</v>
      </c>
    </row>
    <row r="15" spans="1:5" x14ac:dyDescent="0.4">
      <c r="A15" s="26" t="s">
        <v>84</v>
      </c>
      <c r="B15" s="26" t="s">
        <v>155</v>
      </c>
      <c r="C15" s="15" t="s">
        <v>36</v>
      </c>
      <c r="D15" s="15">
        <v>1</v>
      </c>
      <c r="E15" s="15">
        <v>1</v>
      </c>
    </row>
    <row r="16" spans="1:5" x14ac:dyDescent="0.4">
      <c r="A16" s="26" t="s">
        <v>85</v>
      </c>
      <c r="B16" s="26" t="s">
        <v>150</v>
      </c>
      <c r="C16" s="15" t="s">
        <v>37</v>
      </c>
      <c r="D16" s="15">
        <v>2</v>
      </c>
    </row>
    <row r="17" spans="1:5" x14ac:dyDescent="0.4">
      <c r="A17" s="26" t="s">
        <v>86</v>
      </c>
      <c r="B17" s="26" t="s">
        <v>142</v>
      </c>
      <c r="C17" s="15" t="s">
        <v>38</v>
      </c>
      <c r="D17" s="15">
        <v>2</v>
      </c>
      <c r="E17" s="15">
        <v>1</v>
      </c>
    </row>
    <row r="18" spans="1:5" x14ac:dyDescent="0.4">
      <c r="A18" s="26" t="s">
        <v>87</v>
      </c>
      <c r="B18" s="26" t="s">
        <v>148</v>
      </c>
      <c r="C18" s="15" t="s">
        <v>123</v>
      </c>
      <c r="D18" s="15">
        <v>2</v>
      </c>
      <c r="E18" s="15">
        <v>1</v>
      </c>
    </row>
    <row r="19" spans="1:5" x14ac:dyDescent="0.4">
      <c r="A19" s="26" t="s">
        <v>88</v>
      </c>
      <c r="C19" s="15" t="s">
        <v>39</v>
      </c>
      <c r="D19" s="15">
        <v>2</v>
      </c>
      <c r="E19" s="15">
        <v>1</v>
      </c>
    </row>
    <row r="20" spans="1:5" x14ac:dyDescent="0.4">
      <c r="A20" s="26" t="s">
        <v>89</v>
      </c>
      <c r="B20" s="26" t="s">
        <v>158</v>
      </c>
      <c r="C20" s="15" t="s">
        <v>40</v>
      </c>
      <c r="D20" s="15">
        <v>2</v>
      </c>
      <c r="E20" s="15">
        <v>2</v>
      </c>
    </row>
    <row r="21" spans="1:5" x14ac:dyDescent="0.4">
      <c r="A21" s="26" t="s">
        <v>90</v>
      </c>
      <c r="B21" s="26" t="s">
        <v>144</v>
      </c>
      <c r="C21" s="15" t="s">
        <v>41</v>
      </c>
      <c r="D21" s="15">
        <v>2</v>
      </c>
      <c r="E21" s="15">
        <v>2</v>
      </c>
    </row>
    <row r="22" spans="1:5" x14ac:dyDescent="0.4">
      <c r="A22" s="26" t="s">
        <v>91</v>
      </c>
      <c r="B22" s="26" t="s">
        <v>159</v>
      </c>
      <c r="C22" s="15" t="s">
        <v>42</v>
      </c>
      <c r="D22" s="15">
        <v>2</v>
      </c>
      <c r="E22" s="15">
        <v>2</v>
      </c>
    </row>
    <row r="23" spans="1:5" x14ac:dyDescent="0.4">
      <c r="A23" s="26" t="s">
        <v>92</v>
      </c>
      <c r="B23" s="26" t="s">
        <v>143</v>
      </c>
      <c r="C23" s="15" t="s">
        <v>43</v>
      </c>
      <c r="D23" s="15">
        <v>2</v>
      </c>
      <c r="E23" s="15">
        <v>2</v>
      </c>
    </row>
    <row r="24" spans="1:5" x14ac:dyDescent="0.4">
      <c r="A24" s="26" t="s">
        <v>93</v>
      </c>
      <c r="B24" s="26" t="s">
        <v>160</v>
      </c>
      <c r="C24" s="15" t="s">
        <v>44</v>
      </c>
      <c r="D24" s="15">
        <v>2</v>
      </c>
      <c r="E24" s="15">
        <v>2</v>
      </c>
    </row>
    <row r="25" spans="1:5" x14ac:dyDescent="0.4">
      <c r="A25" s="26" t="s">
        <v>94</v>
      </c>
      <c r="B25" s="26" t="s">
        <v>161</v>
      </c>
      <c r="C25" s="15" t="s">
        <v>45</v>
      </c>
      <c r="D25" s="15">
        <v>2</v>
      </c>
      <c r="E25" s="15">
        <v>2</v>
      </c>
    </row>
    <row r="26" spans="1:5" x14ac:dyDescent="0.4">
      <c r="A26" s="26" t="s">
        <v>95</v>
      </c>
      <c r="B26" s="26" t="s">
        <v>147</v>
      </c>
      <c r="C26" s="15" t="s">
        <v>46</v>
      </c>
      <c r="D26" s="15">
        <v>2</v>
      </c>
    </row>
    <row r="27" spans="1:5" x14ac:dyDescent="0.4">
      <c r="A27" s="26" t="s">
        <v>96</v>
      </c>
      <c r="B27" s="26" t="s">
        <v>157</v>
      </c>
      <c r="C27" s="15" t="s">
        <v>47</v>
      </c>
      <c r="D27" s="15">
        <v>3</v>
      </c>
    </row>
    <row r="28" spans="1:5" x14ac:dyDescent="0.4">
      <c r="A28" s="26" t="s">
        <v>97</v>
      </c>
      <c r="B28" s="26" t="s">
        <v>149</v>
      </c>
      <c r="C28" s="15" t="s">
        <v>122</v>
      </c>
      <c r="D28" s="15">
        <v>3</v>
      </c>
      <c r="E28" s="15">
        <v>2</v>
      </c>
    </row>
    <row r="29" spans="1:5" x14ac:dyDescent="0.4">
      <c r="A29" s="26" t="s">
        <v>98</v>
      </c>
      <c r="B29" s="26" t="s">
        <v>145</v>
      </c>
      <c r="C29" s="15" t="s">
        <v>48</v>
      </c>
      <c r="D29" s="15">
        <v>3</v>
      </c>
      <c r="E29" s="15">
        <v>2</v>
      </c>
    </row>
    <row r="30" spans="1:5" x14ac:dyDescent="0.4">
      <c r="A30" s="26" t="s">
        <v>99</v>
      </c>
      <c r="B30" s="26" t="s">
        <v>156</v>
      </c>
      <c r="C30" s="15" t="s">
        <v>49</v>
      </c>
      <c r="D30" s="15">
        <v>5</v>
      </c>
    </row>
    <row r="31" spans="1:5" x14ac:dyDescent="0.4">
      <c r="A31" s="26" t="s">
        <v>100</v>
      </c>
      <c r="B31" s="26" t="s">
        <v>146</v>
      </c>
      <c r="C31" s="15" t="s">
        <v>50</v>
      </c>
      <c r="D31" s="15">
        <v>6</v>
      </c>
      <c r="E31" s="15">
        <v>5</v>
      </c>
    </row>
    <row r="32" spans="1:5" x14ac:dyDescent="0.4">
      <c r="A32" s="26" t="s">
        <v>101</v>
      </c>
      <c r="B32" s="26" t="s">
        <v>162</v>
      </c>
      <c r="C32" s="15" t="s">
        <v>51</v>
      </c>
      <c r="D32" s="15">
        <v>13</v>
      </c>
    </row>
    <row r="33" spans="1:5" x14ac:dyDescent="0.4">
      <c r="A33" s="26" t="s">
        <v>102</v>
      </c>
      <c r="B33" s="26" t="s">
        <v>163</v>
      </c>
      <c r="C33" s="15" t="s">
        <v>52</v>
      </c>
      <c r="D33" s="15">
        <v>13</v>
      </c>
    </row>
    <row r="34" spans="1:5" x14ac:dyDescent="0.4">
      <c r="A34" s="26" t="s">
        <v>103</v>
      </c>
      <c r="B34" s="26" t="s">
        <v>164</v>
      </c>
      <c r="C34" s="15" t="s">
        <v>53</v>
      </c>
      <c r="D34" s="15">
        <v>13</v>
      </c>
      <c r="E34" s="15">
        <v>13</v>
      </c>
    </row>
    <row r="35" spans="1:5" x14ac:dyDescent="0.4">
      <c r="A35" s="26" t="s">
        <v>104</v>
      </c>
      <c r="B35" s="26" t="s">
        <v>165</v>
      </c>
      <c r="C35" s="15" t="s">
        <v>54</v>
      </c>
      <c r="D35" s="15">
        <v>13</v>
      </c>
      <c r="E35" s="15">
        <v>13</v>
      </c>
    </row>
    <row r="36" spans="1:5" x14ac:dyDescent="0.4">
      <c r="A36" s="26" t="s">
        <v>105</v>
      </c>
      <c r="B36" s="26" t="s">
        <v>166</v>
      </c>
      <c r="C36" s="15" t="s">
        <v>55</v>
      </c>
      <c r="D36" s="15">
        <v>26</v>
      </c>
      <c r="E36" s="15">
        <v>26</v>
      </c>
    </row>
    <row r="37" spans="1:5" x14ac:dyDescent="0.4">
      <c r="A37" s="26" t="s">
        <v>106</v>
      </c>
      <c r="B37" s="26" t="s">
        <v>167</v>
      </c>
      <c r="C37" s="15" t="s">
        <v>56</v>
      </c>
      <c r="D37" s="15">
        <v>13</v>
      </c>
      <c r="E37" s="15">
        <v>13</v>
      </c>
    </row>
    <row r="38" spans="1:5" x14ac:dyDescent="0.4">
      <c r="A38" s="26" t="s">
        <v>107</v>
      </c>
      <c r="B38" s="26" t="s">
        <v>168</v>
      </c>
      <c r="C38" s="15" t="s">
        <v>57</v>
      </c>
      <c r="D38" s="15">
        <v>13</v>
      </c>
      <c r="E38" s="15">
        <v>13</v>
      </c>
    </row>
    <row r="39" spans="1:5" x14ac:dyDescent="0.4">
      <c r="A39" s="26" t="s">
        <v>108</v>
      </c>
      <c r="B39" s="26" t="s">
        <v>169</v>
      </c>
      <c r="C39" s="15" t="s">
        <v>58</v>
      </c>
      <c r="D39" s="15">
        <v>13</v>
      </c>
      <c r="E39" s="15">
        <v>13</v>
      </c>
    </row>
    <row r="40" spans="1:5" x14ac:dyDescent="0.4">
      <c r="A40" s="26" t="s">
        <v>109</v>
      </c>
      <c r="B40" s="26" t="s">
        <v>170</v>
      </c>
      <c r="C40" s="15" t="s">
        <v>59</v>
      </c>
      <c r="D40" s="15">
        <v>13</v>
      </c>
      <c r="E40" s="15">
        <v>13</v>
      </c>
    </row>
    <row r="41" spans="1:5" x14ac:dyDescent="0.4">
      <c r="A41" s="26" t="s">
        <v>110</v>
      </c>
      <c r="B41" s="26" t="s">
        <v>171</v>
      </c>
      <c r="C41" s="15" t="s">
        <v>60</v>
      </c>
      <c r="D41" s="15">
        <v>13</v>
      </c>
    </row>
    <row r="42" spans="1:5" x14ac:dyDescent="0.4">
      <c r="A42" s="26" t="s">
        <v>111</v>
      </c>
      <c r="B42" s="26" t="s">
        <v>172</v>
      </c>
      <c r="C42" s="15" t="s">
        <v>61</v>
      </c>
      <c r="D42" s="15">
        <v>13</v>
      </c>
    </row>
    <row r="43" spans="1:5" x14ac:dyDescent="0.4">
      <c r="A43" s="26" t="s">
        <v>112</v>
      </c>
      <c r="B43" s="26" t="s">
        <v>173</v>
      </c>
      <c r="C43" s="15" t="s">
        <v>62</v>
      </c>
      <c r="D43" s="15">
        <v>13</v>
      </c>
    </row>
    <row r="44" spans="1:5" x14ac:dyDescent="0.4">
      <c r="A44" s="26" t="s">
        <v>113</v>
      </c>
      <c r="B44" s="26" t="s">
        <v>174</v>
      </c>
      <c r="C44" s="15" t="s">
        <v>63</v>
      </c>
      <c r="D44" s="15">
        <v>13</v>
      </c>
    </row>
    <row r="45" spans="1:5" x14ac:dyDescent="0.4">
      <c r="A45" s="26" t="s">
        <v>114</v>
      </c>
      <c r="B45" s="26" t="s">
        <v>175</v>
      </c>
      <c r="C45" s="15" t="s">
        <v>64</v>
      </c>
      <c r="D45" s="15">
        <v>26</v>
      </c>
    </row>
    <row r="46" spans="1:5" x14ac:dyDescent="0.4">
      <c r="A46" s="26" t="s">
        <v>115</v>
      </c>
      <c r="B46" s="26" t="s">
        <v>176</v>
      </c>
      <c r="C46" s="15" t="s">
        <v>65</v>
      </c>
      <c r="D46" s="15">
        <v>26</v>
      </c>
    </row>
    <row r="47" spans="1:5" x14ac:dyDescent="0.4">
      <c r="A47" s="26" t="s">
        <v>116</v>
      </c>
      <c r="B47" s="26" t="s">
        <v>177</v>
      </c>
      <c r="C47" s="15" t="s">
        <v>66</v>
      </c>
      <c r="D47" s="15">
        <v>26</v>
      </c>
    </row>
    <row r="48" spans="1:5" x14ac:dyDescent="0.4">
      <c r="A48" s="26" t="s">
        <v>117</v>
      </c>
      <c r="B48" s="26" t="s">
        <v>178</v>
      </c>
      <c r="C48" s="15" t="s">
        <v>67</v>
      </c>
      <c r="D48" s="15">
        <v>13</v>
      </c>
    </row>
    <row r="49" spans="1:5" x14ac:dyDescent="0.4">
      <c r="A49" s="26" t="s">
        <v>118</v>
      </c>
      <c r="B49" s="26" t="s">
        <v>179</v>
      </c>
      <c r="C49" s="15" t="s">
        <v>68</v>
      </c>
      <c r="D49" s="15">
        <v>13</v>
      </c>
    </row>
    <row r="50" spans="1:5" x14ac:dyDescent="0.4">
      <c r="A50" s="26" t="s">
        <v>119</v>
      </c>
      <c r="C50" s="15" t="s">
        <v>69</v>
      </c>
      <c r="D50" s="15">
        <v>13</v>
      </c>
    </row>
    <row r="51" spans="1:5" x14ac:dyDescent="0.4">
      <c r="A51" s="26" t="s">
        <v>120</v>
      </c>
      <c r="B51" s="26" t="s">
        <v>180</v>
      </c>
      <c r="C51" s="15" t="s">
        <v>70</v>
      </c>
      <c r="D51" s="15">
        <v>13</v>
      </c>
    </row>
    <row r="52" spans="1:5" x14ac:dyDescent="0.4">
      <c r="A52" s="26" t="s">
        <v>127</v>
      </c>
      <c r="B52" s="26" t="s">
        <v>151</v>
      </c>
      <c r="C52" s="15" t="s">
        <v>128</v>
      </c>
      <c r="D52" s="15">
        <v>2</v>
      </c>
    </row>
    <row r="53" spans="1:5" x14ac:dyDescent="0.4">
      <c r="A53" s="26" t="s">
        <v>129</v>
      </c>
      <c r="B53" s="26" t="s">
        <v>136</v>
      </c>
      <c r="C53" s="15" t="s">
        <v>130</v>
      </c>
      <c r="D53" s="15">
        <v>1</v>
      </c>
      <c r="E53" s="15">
        <v>1</v>
      </c>
    </row>
    <row r="54" spans="1:5" x14ac:dyDescent="0.4">
      <c r="A54" s="26" t="s">
        <v>183</v>
      </c>
      <c r="B54" s="26" t="s">
        <v>184</v>
      </c>
      <c r="C54" s="15" t="s">
        <v>185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C3" s="25" t="s">
        <v>10</v>
      </c>
      <c r="D3" s="25">
        <v>2200</v>
      </c>
      <c r="E3" s="25">
        <v>4000</v>
      </c>
      <c r="F3" s="25">
        <v>7800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4800</v>
      </c>
      <c r="F4" s="25">
        <v>9600</v>
      </c>
    </row>
    <row r="5" spans="1:13" x14ac:dyDescent="0.4">
      <c r="A5" s="15">
        <v>30</v>
      </c>
      <c r="C5" s="25">
        <v>1600</v>
      </c>
      <c r="D5" s="25">
        <v>3000</v>
      </c>
      <c r="E5" s="25">
        <v>6000</v>
      </c>
      <c r="F5" s="25">
        <v>11600</v>
      </c>
    </row>
    <row r="6" spans="1:13" x14ac:dyDescent="0.4">
      <c r="A6" s="15">
        <v>40</v>
      </c>
      <c r="C6" s="25">
        <v>2200</v>
      </c>
      <c r="D6" s="25">
        <v>4000</v>
      </c>
      <c r="E6" s="25">
        <v>7800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3000</v>
      </c>
      <c r="D8" s="25">
        <v>6000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3600</v>
      </c>
      <c r="D9" s="25">
        <v>7000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4000</v>
      </c>
      <c r="D10" s="25">
        <v>7800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4600</v>
      </c>
      <c r="D11" s="25">
        <v>8800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C13" s="25" t="s">
        <v>10</v>
      </c>
      <c r="D13" s="25">
        <v>10800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-6000</v>
      </c>
      <c r="H2" s="25">
        <v>-9000</v>
      </c>
      <c r="I2" s="25">
        <v>-12000</v>
      </c>
      <c r="J2" s="25">
        <v>-18000</v>
      </c>
      <c r="K2" s="25">
        <v>-24000</v>
      </c>
      <c r="L2" s="25">
        <v>-48000</v>
      </c>
      <c r="M2" s="25">
        <v>-72000</v>
      </c>
    </row>
    <row r="3" spans="1:13" x14ac:dyDescent="0.4">
      <c r="A3" s="15">
        <v>20</v>
      </c>
      <c r="C3" s="25" t="s">
        <v>10</v>
      </c>
      <c r="D3" s="25">
        <v>-1100</v>
      </c>
      <c r="E3" s="25">
        <v>-2000</v>
      </c>
      <c r="F3" s="25">
        <v>-3900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-2400</v>
      </c>
      <c r="F4" s="25">
        <v>-4800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C5" s="25">
        <v>-800</v>
      </c>
      <c r="D5" s="25">
        <v>-1500</v>
      </c>
      <c r="E5" s="25">
        <v>-3000</v>
      </c>
      <c r="F5" s="25">
        <v>-5800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C6" s="25">
        <v>-1100</v>
      </c>
      <c r="D6" s="25">
        <v>-2000</v>
      </c>
      <c r="E6" s="25">
        <v>-3900</v>
      </c>
      <c r="F6" s="25">
        <v>-6000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C7" s="25">
        <v>-1200</v>
      </c>
      <c r="D7" s="25">
        <v>-2400</v>
      </c>
      <c r="E7" s="25">
        <v>-4800</v>
      </c>
      <c r="F7" s="25">
        <v>-6000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C8" s="25">
        <v>-1500</v>
      </c>
      <c r="D8" s="25">
        <v>-3000</v>
      </c>
      <c r="E8" s="25">
        <v>-5800</v>
      </c>
      <c r="F8" s="25">
        <v>-6000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C9" s="25">
        <v>-1800</v>
      </c>
      <c r="D9" s="25">
        <v>-3500</v>
      </c>
      <c r="E9" s="25">
        <v>-6000</v>
      </c>
      <c r="F9" s="25">
        <v>-6000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-2000</v>
      </c>
      <c r="D10" s="25">
        <v>-3900</v>
      </c>
      <c r="E10" s="25">
        <v>-6000</v>
      </c>
      <c r="F10" s="25">
        <v>-6000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-2300</v>
      </c>
      <c r="D11" s="25">
        <v>-4400</v>
      </c>
      <c r="E11" s="25">
        <v>-6000</v>
      </c>
      <c r="F11" s="25">
        <v>-6000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-2400</v>
      </c>
      <c r="D12" s="25">
        <v>-4800</v>
      </c>
      <c r="E12" s="25">
        <v>-6000</v>
      </c>
      <c r="F12" s="25">
        <v>-6000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-5400</v>
      </c>
      <c r="E13" s="25">
        <v>-6000</v>
      </c>
      <c r="F13" s="25">
        <v>-6000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>
        <v>1500</v>
      </c>
      <c r="E3" s="25">
        <v>2800</v>
      </c>
      <c r="F3" s="25">
        <v>5300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3200</v>
      </c>
      <c r="F4" s="25">
        <v>6400</v>
      </c>
    </row>
    <row r="5" spans="1:13" x14ac:dyDescent="0.4">
      <c r="A5" s="15">
        <v>30</v>
      </c>
      <c r="C5" s="25">
        <v>1200</v>
      </c>
      <c r="D5" s="25">
        <v>2100</v>
      </c>
      <c r="E5" s="25">
        <v>4000</v>
      </c>
      <c r="F5" s="25">
        <v>7700</v>
      </c>
    </row>
    <row r="6" spans="1:13" x14ac:dyDescent="0.4">
      <c r="A6" s="15">
        <v>40</v>
      </c>
      <c r="C6" s="25">
        <v>1500</v>
      </c>
      <c r="D6" s="25">
        <v>2800</v>
      </c>
      <c r="E6" s="25">
        <v>5300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2100</v>
      </c>
      <c r="D8" s="25">
        <v>4000</v>
      </c>
      <c r="E8" s="25">
        <v>7700</v>
      </c>
      <c r="F8" s="25">
        <v>8000</v>
      </c>
    </row>
    <row r="9" spans="1:13" x14ac:dyDescent="0.4">
      <c r="A9" s="15">
        <v>70</v>
      </c>
      <c r="C9" s="25">
        <v>2400</v>
      </c>
      <c r="D9" s="25">
        <v>4700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2800</v>
      </c>
      <c r="D10" s="25">
        <v>5300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3100</v>
      </c>
      <c r="D11" s="25">
        <v>6000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7200</v>
      </c>
      <c r="E13" s="25">
        <v>8000</v>
      </c>
      <c r="F13" s="25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-3000</v>
      </c>
      <c r="H2" s="25">
        <v>-4500</v>
      </c>
      <c r="I2" s="25">
        <v>-6000</v>
      </c>
      <c r="J2" s="25">
        <v>-9000</v>
      </c>
      <c r="K2" s="25">
        <v>-12000</v>
      </c>
      <c r="L2" s="25">
        <v>-24000</v>
      </c>
      <c r="M2" s="25">
        <v>-36000</v>
      </c>
    </row>
    <row r="3" spans="1:13" x14ac:dyDescent="0.4">
      <c r="A3" s="15">
        <v>20</v>
      </c>
      <c r="C3" s="25" t="s">
        <v>10</v>
      </c>
      <c r="D3" s="25">
        <v>-600</v>
      </c>
      <c r="E3" s="25">
        <v>-1100</v>
      </c>
      <c r="F3" s="25">
        <v>-2000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-1200</v>
      </c>
      <c r="F4" s="25">
        <v>-2400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C5" s="25">
        <v>-500</v>
      </c>
      <c r="D5" s="25">
        <v>-800</v>
      </c>
      <c r="E5" s="25">
        <v>-1500</v>
      </c>
      <c r="F5" s="25">
        <v>-2900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C6" s="25">
        <v>-600</v>
      </c>
      <c r="D6" s="25">
        <v>-1100</v>
      </c>
      <c r="E6" s="25">
        <v>-2000</v>
      </c>
      <c r="F6" s="25">
        <v>-3000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C7" s="25">
        <v>-600</v>
      </c>
      <c r="D7" s="25">
        <v>-1200</v>
      </c>
      <c r="E7" s="25">
        <v>-2400</v>
      </c>
      <c r="F7" s="25">
        <v>-3000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C8" s="25">
        <v>-800</v>
      </c>
      <c r="D8" s="25">
        <v>-1500</v>
      </c>
      <c r="E8" s="25">
        <v>-2900</v>
      </c>
      <c r="F8" s="25">
        <v>-3000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C9" s="25">
        <v>-900</v>
      </c>
      <c r="D9" s="25">
        <v>-1800</v>
      </c>
      <c r="E9" s="25">
        <v>-3000</v>
      </c>
      <c r="F9" s="25">
        <v>-3000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-1100</v>
      </c>
      <c r="D10" s="25">
        <v>-2000</v>
      </c>
      <c r="E10" s="25">
        <v>-3000</v>
      </c>
      <c r="F10" s="25">
        <v>-3000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-1200</v>
      </c>
      <c r="D11" s="25">
        <v>-2300</v>
      </c>
      <c r="E11" s="25">
        <v>-3000</v>
      </c>
      <c r="F11" s="25">
        <v>-3000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-1200</v>
      </c>
      <c r="D12" s="25">
        <v>-2400</v>
      </c>
      <c r="E12" s="25">
        <v>-3000</v>
      </c>
      <c r="F12" s="25">
        <v>-3000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-2700</v>
      </c>
      <c r="E13" s="25">
        <v>-3000</v>
      </c>
      <c r="F13" s="25">
        <v>-3000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-5000</v>
      </c>
      <c r="H2" s="25">
        <v>-7500</v>
      </c>
      <c r="I2" s="25">
        <v>-10000</v>
      </c>
      <c r="J2" s="25">
        <v>-15000</v>
      </c>
      <c r="K2" s="25">
        <v>-20000</v>
      </c>
      <c r="L2" s="25">
        <v>-40000</v>
      </c>
      <c r="M2" s="25">
        <v>-60000</v>
      </c>
    </row>
    <row r="3" spans="1:13" x14ac:dyDescent="0.4">
      <c r="A3" s="15">
        <v>20</v>
      </c>
      <c r="C3" s="25" t="s">
        <v>10</v>
      </c>
      <c r="D3" s="25">
        <v>-900</v>
      </c>
      <c r="E3" s="25">
        <v>-1700</v>
      </c>
      <c r="F3" s="25">
        <v>-3300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-2000</v>
      </c>
      <c r="F4" s="25">
        <v>-4000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C5" s="25">
        <v>-700</v>
      </c>
      <c r="D5" s="25">
        <v>-1300</v>
      </c>
      <c r="E5" s="25">
        <v>-2500</v>
      </c>
      <c r="F5" s="25">
        <v>-4800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C6" s="25">
        <v>-900</v>
      </c>
      <c r="D6" s="25">
        <v>-1700</v>
      </c>
      <c r="E6" s="25">
        <v>-3300</v>
      </c>
      <c r="F6" s="25">
        <v>-5000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C7" s="25">
        <v>-1000</v>
      </c>
      <c r="D7" s="25">
        <v>-2000</v>
      </c>
      <c r="E7" s="25">
        <v>-4000</v>
      </c>
      <c r="F7" s="25">
        <v>-5000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C8" s="25">
        <v>-1300</v>
      </c>
      <c r="D8" s="25">
        <v>-2500</v>
      </c>
      <c r="E8" s="25">
        <v>-4800</v>
      </c>
      <c r="F8" s="25">
        <v>-5000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C9" s="25">
        <v>-1500</v>
      </c>
      <c r="D9" s="25">
        <v>-2900</v>
      </c>
      <c r="E9" s="25">
        <v>-5000</v>
      </c>
      <c r="F9" s="25">
        <v>-5000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-1700</v>
      </c>
      <c r="D10" s="25">
        <v>-3300</v>
      </c>
      <c r="E10" s="25">
        <v>-5000</v>
      </c>
      <c r="F10" s="25">
        <v>-5000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-1900</v>
      </c>
      <c r="D11" s="25">
        <v>-3700</v>
      </c>
      <c r="E11" s="25">
        <v>-5000</v>
      </c>
      <c r="F11" s="25">
        <v>-5000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-2000</v>
      </c>
      <c r="D12" s="25">
        <v>-4000</v>
      </c>
      <c r="E12" s="25">
        <v>-5000</v>
      </c>
      <c r="F12" s="25">
        <v>-5000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-4500</v>
      </c>
      <c r="E13" s="25">
        <v>-5000</v>
      </c>
      <c r="F13" s="25">
        <v>-5000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2019-06-19T16:04:03Z</dcterms:modified>
</cp:coreProperties>
</file>