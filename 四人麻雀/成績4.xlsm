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四人麻雀\"/>
    </mc:Choice>
  </mc:AlternateContent>
  <xr:revisionPtr revIDLastSave="0" documentId="10_ncr:100000_{235A8ECD-3E95-4502-9294-FCFA1149D025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441" r:id="rId2"/>
    <sheet name="れんたろう" sheetId="442" r:id="rId3"/>
    <sheet name="ただ" sheetId="443" r:id="rId4"/>
    <sheet name="りくと" sheetId="444" r:id="rId5"/>
    <sheet name="いっしー" sheetId="445" r:id="rId6"/>
    <sheet name="Template" sheetId="1" r:id="rId7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445" l="1"/>
  <c r="C15" i="445"/>
  <c r="C14" i="445"/>
  <c r="C13" i="445"/>
  <c r="B12" i="445"/>
  <c r="B16" i="445" s="1"/>
  <c r="C11" i="445"/>
  <c r="C10" i="445"/>
  <c r="C9" i="445"/>
  <c r="C8" i="445"/>
  <c r="C7" i="445"/>
  <c r="B6" i="445"/>
  <c r="B5" i="445"/>
  <c r="B17" i="444"/>
  <c r="C15" i="444"/>
  <c r="C14" i="444"/>
  <c r="C13" i="444"/>
  <c r="B12" i="444"/>
  <c r="B16" i="444" s="1"/>
  <c r="C11" i="444"/>
  <c r="C10" i="444"/>
  <c r="C9" i="444"/>
  <c r="C8" i="444"/>
  <c r="C7" i="444"/>
  <c r="B6" i="444"/>
  <c r="B5" i="444"/>
  <c r="B17" i="443"/>
  <c r="C15" i="443"/>
  <c r="C14" i="443"/>
  <c r="C13" i="443"/>
  <c r="B12" i="443"/>
  <c r="B16" i="443" s="1"/>
  <c r="C11" i="443"/>
  <c r="C10" i="443"/>
  <c r="C9" i="443"/>
  <c r="C8" i="443"/>
  <c r="C7" i="443"/>
  <c r="B6" i="443"/>
  <c r="B5" i="443"/>
  <c r="B17" i="442"/>
  <c r="C15" i="442"/>
  <c r="C14" i="442"/>
  <c r="C13" i="442"/>
  <c r="B12" i="442"/>
  <c r="B16" i="442" s="1"/>
  <c r="C11" i="442"/>
  <c r="C10" i="442"/>
  <c r="C9" i="442"/>
  <c r="C8" i="442"/>
  <c r="C7" i="442"/>
  <c r="B6" i="442"/>
  <c r="B5" i="442"/>
  <c r="B17" i="441"/>
  <c r="C15" i="441"/>
  <c r="C14" i="441"/>
  <c r="C13" i="441"/>
  <c r="B12" i="441"/>
  <c r="B16" i="441" s="1"/>
  <c r="C11" i="441"/>
  <c r="C10" i="441"/>
  <c r="C9" i="441"/>
  <c r="C8" i="441"/>
  <c r="C7" i="441"/>
  <c r="B6" i="441"/>
  <c r="B5" i="441"/>
  <c r="C12" i="445" l="1"/>
  <c r="C12" i="444"/>
  <c r="C12" i="443"/>
  <c r="C12" i="442"/>
  <c r="C12" i="441"/>
  <c r="B6" i="1" l="1"/>
  <c r="B5" i="1"/>
  <c r="B16" i="1"/>
  <c r="B17" i="1"/>
  <c r="C15" i="1"/>
  <c r="C14" i="1"/>
  <c r="C13" i="1"/>
  <c r="C12" i="1"/>
  <c r="C11" i="1"/>
  <c r="C10" i="1"/>
  <c r="C9" i="1"/>
  <c r="C8" i="1"/>
  <c r="C7" i="1"/>
  <c r="B12" i="1" l="1"/>
</calcChain>
</file>

<file path=xl/sharedStrings.xml><?xml version="1.0" encoding="utf-8"?>
<sst xmlns="http://schemas.openxmlformats.org/spreadsheetml/2006/main" count="161" uniqueCount="31">
  <si>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</si>
  <si>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</si>
  <si>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</si>
  <si>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</si>
  <si>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</si>
  <si>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</si>
  <si>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</si>
  <si>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</si>
  <si>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</si>
  <si>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</si>
  <si>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</si>
  <si>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</si>
  <si>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</si>
  <si>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</si>
  <si>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</si>
  <si>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</si>
  <si>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</si>
  <si>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</si>
  <si>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</si>
  <si>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</si>
  <si>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</si>
  <si>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</si>
  <si>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4位</t>
    <phoneticPr fontId="1"/>
  </si>
  <si>
    <t>だいち</t>
  </si>
  <si>
    <t>れんたろう</t>
  </si>
  <si>
    <t>ただ</t>
  </si>
  <si>
    <t>りくと</t>
  </si>
  <si>
    <t>だいち</t>
    <phoneticPr fontId="1"/>
  </si>
  <si>
    <t>れんたろう</t>
    <phoneticPr fontId="1"/>
  </si>
  <si>
    <t>りくと</t>
    <phoneticPr fontId="1"/>
  </si>
  <si>
    <t>いっしー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</si>
</sst>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9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9" fontId="0" fillId="0" borderId="10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9" fontId="0" fillId="0" borderId="13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180" fontId="0" fillId="0" borderId="16" xfId="0" applyNumberFormat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9" fontId="0" fillId="0" borderId="23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 shrinkToFit="1"/>
    </xf>
    <xf numFmtId="0" fontId="0" fillId="0" borderId="15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S6"/>
  <sheetViews>
    <sheetView showGridLines="0" tabSelected="1" zoomScale="200" zoomScaleNormal="200" workbookViewId="0"/>
  </sheetViews>
  <sheetFormatPr defaultRowHeight="18.75" x14ac:dyDescent="0.4"/>
  <cols>
    <col min="1" max="1" width="6" style="33" customWidth="1"/>
    <col min="2" max="2" width="10.75" style="32" customWidth="1"/>
    <col min="3" max="3" width="10.75" style="25" customWidth="1"/>
    <col min="4" max="4" width="10.75" style="20" customWidth="1"/>
    <col min="5" max="5" width="10.75" style="24" customWidth="1"/>
    <col min="6" max="6" width="10.75" style="20" customWidth="1"/>
    <col min="7" max="7" width="10.75" style="31" customWidth="1"/>
    <col min="8" max="8" width="10.75" style="20" customWidth="1"/>
    <col min="9" max="9" width="10.75" style="23" customWidth="1"/>
    <col min="10" max="10" width="10.75" style="20" customWidth="1"/>
    <col min="11" max="11" width="10.75" style="23" customWidth="1"/>
    <col min="12" max="12" width="10.75" style="20" customWidth="1"/>
    <col min="13" max="13" width="10.75" style="22" customWidth="1"/>
    <col min="14" max="14" width="10.75" style="20" customWidth="1"/>
    <col min="15" max="15" width="10.75" style="22" customWidth="1"/>
    <col min="16" max="16" width="10.75" style="20" customWidth="1"/>
    <col min="17" max="17" width="10.75" style="21" customWidth="1"/>
    <col min="18" max="18" width="10.75" style="20" customWidth="1"/>
    <col min="19" max="19" width="10.75" style="21" customWidth="1"/>
    <col min="20" max="16384" width="9" style="26"/>
  </cols>
  <sheetData>
    <row r="1" spans="1:19" x14ac:dyDescent="0.4">
      <c r="B1" s="38" t="s">
        <v>6</v>
      </c>
      <c r="C1" s="39"/>
      <c r="D1" s="38" t="s">
        <v>7</v>
      </c>
      <c r="E1" s="39"/>
      <c r="F1" s="38" t="s">
        <v>16</v>
      </c>
      <c r="G1" s="39"/>
      <c r="H1" s="38" t="s">
        <v>15</v>
      </c>
      <c r="I1" s="39"/>
      <c r="J1" s="38" t="s">
        <v>20</v>
      </c>
      <c r="K1" s="39"/>
      <c r="L1" s="38" t="s">
        <v>17</v>
      </c>
      <c r="M1" s="39"/>
      <c r="N1" s="38" t="s">
        <v>18</v>
      </c>
      <c r="O1" s="39"/>
      <c r="P1" s="38" t="s">
        <v>5</v>
      </c>
      <c r="Q1" s="39"/>
      <c r="R1" s="38" t="s">
        <v>19</v>
      </c>
      <c r="S1" s="39"/>
    </row>
    <row r="2" spans="1:19" x14ac:dyDescent="0.4">
      <c r="A2" s="33">
        <v>1</v>
      </c>
      <c r="B2" s="32" t="s">
        <v>30</v>
      </c>
      <c r="C2" s="25">
        <v>16</v>
      </c>
      <c r="D2" s="20" t="s">
        <v>30</v>
      </c>
      <c r="E2" s="24">
        <v>16</v>
      </c>
      <c r="F2" s="20" t="s">
        <v>30</v>
      </c>
      <c r="G2" s="31">
        <v>1</v>
      </c>
      <c r="H2" s="20" t="s">
        <v>30</v>
      </c>
      <c r="I2" s="23">
        <v>1</v>
      </c>
      <c r="J2" s="20" t="s">
        <v>23</v>
      </c>
      <c r="K2" s="23">
        <v>0</v>
      </c>
      <c r="L2" s="20" t="s">
        <v>30</v>
      </c>
      <c r="M2" s="22">
        <v>0.42857142857142855</v>
      </c>
      <c r="N2" s="20" t="s">
        <v>24</v>
      </c>
      <c r="O2" s="22">
        <v>0</v>
      </c>
      <c r="P2" s="20" t="s">
        <v>30</v>
      </c>
      <c r="Q2" s="21">
        <v>7200</v>
      </c>
      <c r="R2" s="20" t="s">
        <v>24</v>
      </c>
      <c r="S2" s="21">
        <v>0</v>
      </c>
    </row>
    <row r="3" spans="1:19" x14ac:dyDescent="0.4">
      <c r="A3" s="33">
        <v>2</v>
      </c>
      <c r="B3" s="32" t="s">
        <v>24</v>
      </c>
      <c r="C3" s="25">
        <v>7</v>
      </c>
      <c r="D3" s="20" t="s">
        <v>24</v>
      </c>
      <c r="E3" s="24">
        <v>3.5</v>
      </c>
      <c r="F3" s="20" t="s">
        <v>24</v>
      </c>
      <c r="G3" s="31">
        <v>2</v>
      </c>
      <c r="H3" s="20" t="s">
        <v>23</v>
      </c>
      <c r="I3" s="23">
        <v>0.5</v>
      </c>
      <c r="J3" s="20" t="s">
        <v>24</v>
      </c>
      <c r="K3" s="23">
        <v>0</v>
      </c>
      <c r="L3" s="20" t="s">
        <v>24</v>
      </c>
      <c r="M3" s="22">
        <v>0.21428571428571427</v>
      </c>
      <c r="N3" s="20" t="s">
        <v>23</v>
      </c>
      <c r="O3" s="22">
        <v>0.14285714285714285</v>
      </c>
      <c r="P3" s="20" t="s">
        <v>25</v>
      </c>
      <c r="Q3" s="21">
        <v>6000</v>
      </c>
      <c r="R3" s="20" t="s">
        <v>26</v>
      </c>
      <c r="S3" s="21">
        <v>-2000</v>
      </c>
    </row>
    <row r="4" spans="1:19" x14ac:dyDescent="0.4">
      <c r="A4" s="33">
        <v>3</v>
      </c>
      <c r="B4" s="32" t="s">
        <v>25</v>
      </c>
      <c r="C4" s="25">
        <v>1</v>
      </c>
      <c r="D4" s="20" t="s">
        <v>25</v>
      </c>
      <c r="E4" s="24">
        <v>1</v>
      </c>
      <c r="F4" s="20" t="s">
        <v>23</v>
      </c>
      <c r="G4" s="31">
        <v>2.5</v>
      </c>
      <c r="H4" s="20" t="s">
        <v>24</v>
      </c>
      <c r="I4" s="23">
        <v>0</v>
      </c>
      <c r="J4" s="20" t="s">
        <v>25</v>
      </c>
      <c r="K4" s="23">
        <v>0</v>
      </c>
      <c r="L4" s="20" t="s">
        <v>23</v>
      </c>
      <c r="M4" s="22">
        <v>0.14285714285714285</v>
      </c>
      <c r="N4" s="20" t="s">
        <v>25</v>
      </c>
      <c r="O4" s="22">
        <v>0.14285714285714285</v>
      </c>
      <c r="P4" s="20" t="s">
        <v>26</v>
      </c>
      <c r="Q4" s="21">
        <v>5200</v>
      </c>
      <c r="R4" s="20" t="s">
        <v>30</v>
      </c>
      <c r="S4" s="21">
        <v>-5200</v>
      </c>
    </row>
    <row r="5" spans="1:19" x14ac:dyDescent="0.4">
      <c r="A5" s="33">
        <v>4</v>
      </c>
      <c r="B5" s="32" t="s">
        <v>26</v>
      </c>
      <c r="C5" s="25">
        <v>-8</v>
      </c>
      <c r="D5" s="20" t="s">
        <v>26</v>
      </c>
      <c r="E5" s="24">
        <v>-4</v>
      </c>
      <c r="F5" s="20" t="s">
        <v>25</v>
      </c>
      <c r="G5" s="31">
        <v>3</v>
      </c>
      <c r="H5" s="20" t="s">
        <v>25</v>
      </c>
      <c r="I5" s="23">
        <v>0</v>
      </c>
      <c r="J5" s="20" t="s">
        <v>26</v>
      </c>
      <c r="K5" s="23">
        <v>0</v>
      </c>
      <c r="L5" s="20" t="s">
        <v>25</v>
      </c>
      <c r="M5" s="22">
        <v>0.14285714285714285</v>
      </c>
      <c r="N5" s="20" t="s">
        <v>30</v>
      </c>
      <c r="O5" s="22">
        <v>0.14285714285714285</v>
      </c>
      <c r="P5" s="20" t="s">
        <v>24</v>
      </c>
      <c r="Q5" s="21">
        <v>3500</v>
      </c>
      <c r="R5" s="20" t="s">
        <v>25</v>
      </c>
      <c r="S5" s="21">
        <v>-6400</v>
      </c>
    </row>
    <row r="6" spans="1:19" x14ac:dyDescent="0.4">
      <c r="A6" s="33">
        <v>5</v>
      </c>
      <c r="B6" s="32" t="s">
        <v>23</v>
      </c>
      <c r="C6" s="25">
        <v>-14</v>
      </c>
      <c r="D6" s="20" t="s">
        <v>23</v>
      </c>
      <c r="E6" s="24">
        <v>-7</v>
      </c>
      <c r="F6" s="20" t="s">
        <v>26</v>
      </c>
      <c r="G6" s="31">
        <v>3.5</v>
      </c>
      <c r="H6" s="20" t="s">
        <v>26</v>
      </c>
      <c r="I6" s="23">
        <v>0</v>
      </c>
      <c r="J6" s="20" t="s">
        <v>30</v>
      </c>
      <c r="K6" s="23">
        <v>0</v>
      </c>
      <c r="L6" s="20" t="s">
        <v>26</v>
      </c>
      <c r="M6" s="22">
        <v>7.1428571428571425E-2</v>
      </c>
      <c r="N6" s="20" t="s">
        <v>26</v>
      </c>
      <c r="O6" s="22">
        <v>0.21428571428571427</v>
      </c>
      <c r="P6" s="20" t="s">
        <v>23</v>
      </c>
      <c r="Q6" s="21">
        <v>2000</v>
      </c>
      <c r="R6" s="20" t="s">
        <v>23</v>
      </c>
      <c r="S6" s="21">
        <v>-8900</v>
      </c>
    </row>
  </sheetData>
  <sortState ref="R2:S14">
    <sortCondition descending="1" ref="S1"/>
  </sortState>
  <mergeCells count="9"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07705-716D-4111-9AD1-CB1AB56BB766}">
  <sheetPr codeName="Sheet2"/>
  <dimension ref="A1:C17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27</v>
      </c>
      <c r="C1" s="41"/>
    </row>
    <row r="2" spans="1:3" ht="19.5" thickTop="1" x14ac:dyDescent="0.4">
      <c r="A2" s="4" t="s">
        <v>9</v>
      </c>
      <c r="B2" s="9">
        <v>2</v>
      </c>
      <c r="C2" s="11"/>
    </row>
    <row r="3" spans="1:3" x14ac:dyDescent="0.4">
      <c r="A3" s="5" t="s">
        <v>8</v>
      </c>
      <c r="B3" s="1">
        <v>14</v>
      </c>
      <c r="C3" s="12"/>
    </row>
    <row r="4" spans="1:3" x14ac:dyDescent="0.4">
      <c r="A4" s="5" t="s">
        <v>6</v>
      </c>
      <c r="B4" s="2">
        <v>-14</v>
      </c>
      <c r="C4" s="13"/>
    </row>
    <row r="5" spans="1:3" x14ac:dyDescent="0.4">
      <c r="A5" s="5" t="s">
        <v>7</v>
      </c>
      <c r="B5" s="10">
        <f>B4/B$2</f>
        <v>-7</v>
      </c>
      <c r="C5" s="14"/>
    </row>
    <row r="6" spans="1:3" x14ac:dyDescent="0.4">
      <c r="A6" s="5" t="s">
        <v>1</v>
      </c>
      <c r="B6" s="30">
        <f>(B7*1+B8*2+B9*3+B10*4)/B$2</f>
        <v>2.5</v>
      </c>
      <c r="C6" s="15"/>
    </row>
    <row r="7" spans="1:3" x14ac:dyDescent="0.4">
      <c r="A7" s="5" t="s">
        <v>2</v>
      </c>
      <c r="B7" s="1">
        <v>1</v>
      </c>
      <c r="C7" s="6">
        <f>B7/B$2</f>
        <v>0.5</v>
      </c>
    </row>
    <row r="8" spans="1:3" x14ac:dyDescent="0.4">
      <c r="A8" s="5" t="s">
        <v>3</v>
      </c>
      <c r="B8" s="1">
        <v>0</v>
      </c>
      <c r="C8" s="6">
        <f>B8/B$2</f>
        <v>0</v>
      </c>
    </row>
    <row r="9" spans="1:3" x14ac:dyDescent="0.4">
      <c r="A9" s="27" t="s">
        <v>4</v>
      </c>
      <c r="B9" s="28">
        <v>0</v>
      </c>
      <c r="C9" s="29">
        <f>B9/B$2</f>
        <v>0</v>
      </c>
    </row>
    <row r="10" spans="1:3" x14ac:dyDescent="0.4">
      <c r="A10" s="27" t="s">
        <v>22</v>
      </c>
      <c r="B10" s="28">
        <v>1</v>
      </c>
      <c r="C10" s="29">
        <f>B10/B$2</f>
        <v>0.5</v>
      </c>
    </row>
    <row r="11" spans="1:3" ht="19.5" thickBot="1" x14ac:dyDescent="0.45">
      <c r="A11" s="35" t="s">
        <v>21</v>
      </c>
      <c r="B11" s="36">
        <v>0</v>
      </c>
      <c r="C11" s="37">
        <f>B11/B$2</f>
        <v>0</v>
      </c>
    </row>
    <row r="12" spans="1:3" ht="19.5" thickTop="1" x14ac:dyDescent="0.4">
      <c r="A12" s="4" t="s">
        <v>10</v>
      </c>
      <c r="B12" s="9">
        <f>B13+B14</f>
        <v>2</v>
      </c>
      <c r="C12" s="16">
        <f>B12/B$3</f>
        <v>0.14285714285714285</v>
      </c>
    </row>
    <row r="13" spans="1:3" x14ac:dyDescent="0.4">
      <c r="A13" s="5" t="s">
        <v>11</v>
      </c>
      <c r="B13" s="1">
        <v>1</v>
      </c>
      <c r="C13" s="6">
        <f>B13/B$3</f>
        <v>7.1428571428571425E-2</v>
      </c>
    </row>
    <row r="14" spans="1:3" x14ac:dyDescent="0.4">
      <c r="A14" s="5" t="s">
        <v>12</v>
      </c>
      <c r="B14" s="1">
        <v>1</v>
      </c>
      <c r="C14" s="6">
        <f>B14/B$3</f>
        <v>7.1428571428571425E-2</v>
      </c>
    </row>
    <row r="15" spans="1:3" x14ac:dyDescent="0.4">
      <c r="A15" s="5" t="s">
        <v>13</v>
      </c>
      <c r="B15" s="1">
        <v>2</v>
      </c>
      <c r="C15" s="6">
        <f>B15/B$3</f>
        <v>0.14285714285714285</v>
      </c>
    </row>
    <row r="16" spans="1:3" x14ac:dyDescent="0.4">
      <c r="A16" s="5" t="s">
        <v>5</v>
      </c>
      <c r="B16" s="8">
        <f>IF(B12=0,0,ROUND(C16/B12,-2))</f>
        <v>2000</v>
      </c>
      <c r="C16" s="17">
        <v>4000</v>
      </c>
    </row>
    <row r="17" spans="1:3" x14ac:dyDescent="0.4">
      <c r="A17" s="7" t="s">
        <v>14</v>
      </c>
      <c r="B17" s="18">
        <f>IF(B15=0,0,ROUND(C17/B15,-2))</f>
        <v>-8900</v>
      </c>
      <c r="C17" s="19">
        <v>-17800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F1A5-75F7-4972-BBE1-D19A9413B804}">
  <sheetPr codeName="Sheet3"/>
  <dimension ref="A1:C17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28</v>
      </c>
      <c r="C1" s="41"/>
    </row>
    <row r="2" spans="1:3" ht="19.5" thickTop="1" x14ac:dyDescent="0.4">
      <c r="A2" s="4" t="s">
        <v>9</v>
      </c>
      <c r="B2" s="9">
        <v>2</v>
      </c>
      <c r="C2" s="11"/>
    </row>
    <row r="3" spans="1:3" x14ac:dyDescent="0.4">
      <c r="A3" s="5" t="s">
        <v>8</v>
      </c>
      <c r="B3" s="1">
        <v>14</v>
      </c>
      <c r="C3" s="12"/>
    </row>
    <row r="4" spans="1:3" x14ac:dyDescent="0.4">
      <c r="A4" s="5" t="s">
        <v>6</v>
      </c>
      <c r="B4" s="2">
        <v>7</v>
      </c>
      <c r="C4" s="13"/>
    </row>
    <row r="5" spans="1:3" x14ac:dyDescent="0.4">
      <c r="A5" s="5" t="s">
        <v>7</v>
      </c>
      <c r="B5" s="10">
        <f>B4/B$2</f>
        <v>3.5</v>
      </c>
      <c r="C5" s="14"/>
    </row>
    <row r="6" spans="1:3" x14ac:dyDescent="0.4">
      <c r="A6" s="5" t="s">
        <v>1</v>
      </c>
      <c r="B6" s="30">
        <f>(B7*1+B8*2+B9*3+B10*4)/B$2</f>
        <v>2</v>
      </c>
      <c r="C6" s="15"/>
    </row>
    <row r="7" spans="1:3" x14ac:dyDescent="0.4">
      <c r="A7" s="5" t="s">
        <v>2</v>
      </c>
      <c r="B7" s="1">
        <v>0</v>
      </c>
      <c r="C7" s="6">
        <f>B7/B$2</f>
        <v>0</v>
      </c>
    </row>
    <row r="8" spans="1:3" x14ac:dyDescent="0.4">
      <c r="A8" s="5" t="s">
        <v>3</v>
      </c>
      <c r="B8" s="1">
        <v>2</v>
      </c>
      <c r="C8" s="6">
        <f>B8/B$2</f>
        <v>1</v>
      </c>
    </row>
    <row r="9" spans="1:3" x14ac:dyDescent="0.4">
      <c r="A9" s="27" t="s">
        <v>4</v>
      </c>
      <c r="B9" s="28">
        <v>0</v>
      </c>
      <c r="C9" s="29">
        <f>B9/B$2</f>
        <v>0</v>
      </c>
    </row>
    <row r="10" spans="1:3" x14ac:dyDescent="0.4">
      <c r="A10" s="27" t="s">
        <v>22</v>
      </c>
      <c r="B10" s="28">
        <v>0</v>
      </c>
      <c r="C10" s="29">
        <f>B10/B$2</f>
        <v>0</v>
      </c>
    </row>
    <row r="11" spans="1:3" ht="19.5" thickBot="1" x14ac:dyDescent="0.45">
      <c r="A11" s="35" t="s">
        <v>21</v>
      </c>
      <c r="B11" s="36">
        <v>0</v>
      </c>
      <c r="C11" s="37">
        <f>B11/B$2</f>
        <v>0</v>
      </c>
    </row>
    <row r="12" spans="1:3" ht="19.5" thickTop="1" x14ac:dyDescent="0.4">
      <c r="A12" s="4" t="s">
        <v>10</v>
      </c>
      <c r="B12" s="9">
        <f>B13+B14</f>
        <v>3</v>
      </c>
      <c r="C12" s="16">
        <f>B12/B$3</f>
        <v>0.21428571428571427</v>
      </c>
    </row>
    <row r="13" spans="1:3" x14ac:dyDescent="0.4">
      <c r="A13" s="5" t="s">
        <v>11</v>
      </c>
      <c r="B13" s="1">
        <v>2</v>
      </c>
      <c r="C13" s="6">
        <f>B13/B$3</f>
        <v>0.14285714285714285</v>
      </c>
    </row>
    <row r="14" spans="1:3" x14ac:dyDescent="0.4">
      <c r="A14" s="5" t="s">
        <v>12</v>
      </c>
      <c r="B14" s="1">
        <v>1</v>
      </c>
      <c r="C14" s="6">
        <f>B14/B$3</f>
        <v>7.1428571428571425E-2</v>
      </c>
    </row>
    <row r="15" spans="1:3" x14ac:dyDescent="0.4">
      <c r="A15" s="5" t="s">
        <v>13</v>
      </c>
      <c r="B15" s="1">
        <v>0</v>
      </c>
      <c r="C15" s="6">
        <f>B15/B$3</f>
        <v>0</v>
      </c>
    </row>
    <row r="16" spans="1:3" x14ac:dyDescent="0.4">
      <c r="A16" s="5" t="s">
        <v>5</v>
      </c>
      <c r="B16" s="8">
        <f>IF(B12=0,0,ROUND(C16/B12,-2))</f>
        <v>3500</v>
      </c>
      <c r="C16" s="17">
        <v>10400</v>
      </c>
    </row>
    <row r="17" spans="1:3" x14ac:dyDescent="0.4">
      <c r="A17" s="7" t="s">
        <v>14</v>
      </c>
      <c r="B17" s="18">
        <f>IF(B15=0,0,ROUND(C17/B15,-2))</f>
        <v>0</v>
      </c>
      <c r="C17" s="19">
        <v>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0279E-7275-46DA-ABE1-6E3662CF7F70}">
  <sheetPr codeName="Sheet4"/>
  <dimension ref="A1:C17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25</v>
      </c>
      <c r="C1" s="41"/>
    </row>
    <row r="2" spans="1:3" ht="19.5" thickTop="1" x14ac:dyDescent="0.4">
      <c r="A2" s="4" t="s">
        <v>9</v>
      </c>
      <c r="B2" s="9">
        <v>1</v>
      </c>
      <c r="C2" s="11"/>
    </row>
    <row r="3" spans="1:3" x14ac:dyDescent="0.4">
      <c r="A3" s="5" t="s">
        <v>8</v>
      </c>
      <c r="B3" s="1">
        <v>7</v>
      </c>
      <c r="C3" s="12"/>
    </row>
    <row r="4" spans="1:3" x14ac:dyDescent="0.4">
      <c r="A4" s="5" t="s">
        <v>6</v>
      </c>
      <c r="B4" s="2">
        <v>1</v>
      </c>
      <c r="C4" s="13"/>
    </row>
    <row r="5" spans="1:3" x14ac:dyDescent="0.4">
      <c r="A5" s="5" t="s">
        <v>7</v>
      </c>
      <c r="B5" s="10">
        <f>B4/B$2</f>
        <v>1</v>
      </c>
      <c r="C5" s="14"/>
    </row>
    <row r="6" spans="1:3" x14ac:dyDescent="0.4">
      <c r="A6" s="5" t="s">
        <v>1</v>
      </c>
      <c r="B6" s="30">
        <f>(B7*1+B8*2+B9*3+B10*4)/B$2</f>
        <v>3</v>
      </c>
      <c r="C6" s="15"/>
    </row>
    <row r="7" spans="1:3" x14ac:dyDescent="0.4">
      <c r="A7" s="5" t="s">
        <v>2</v>
      </c>
      <c r="B7" s="1">
        <v>0</v>
      </c>
      <c r="C7" s="6">
        <f>B7/B$2</f>
        <v>0</v>
      </c>
    </row>
    <row r="8" spans="1:3" x14ac:dyDescent="0.4">
      <c r="A8" s="5" t="s">
        <v>3</v>
      </c>
      <c r="B8" s="1">
        <v>0</v>
      </c>
      <c r="C8" s="6">
        <f>B8/B$2</f>
        <v>0</v>
      </c>
    </row>
    <row r="9" spans="1:3" x14ac:dyDescent="0.4">
      <c r="A9" s="27" t="s">
        <v>4</v>
      </c>
      <c r="B9" s="28">
        <v>1</v>
      </c>
      <c r="C9" s="29">
        <f>B9/B$2</f>
        <v>1</v>
      </c>
    </row>
    <row r="10" spans="1:3" x14ac:dyDescent="0.4">
      <c r="A10" s="27" t="s">
        <v>22</v>
      </c>
      <c r="B10" s="28">
        <v>0</v>
      </c>
      <c r="C10" s="29">
        <f>B10/B$2</f>
        <v>0</v>
      </c>
    </row>
    <row r="11" spans="1:3" ht="19.5" thickBot="1" x14ac:dyDescent="0.45">
      <c r="A11" s="35" t="s">
        <v>21</v>
      </c>
      <c r="B11" s="36">
        <v>0</v>
      </c>
      <c r="C11" s="37">
        <f>B11/B$2</f>
        <v>0</v>
      </c>
    </row>
    <row r="12" spans="1:3" ht="19.5" thickTop="1" x14ac:dyDescent="0.4">
      <c r="A12" s="4" t="s">
        <v>10</v>
      </c>
      <c r="B12" s="9">
        <f>B13+B14</f>
        <v>1</v>
      </c>
      <c r="C12" s="16">
        <f>B12/B$3</f>
        <v>0.14285714285714285</v>
      </c>
    </row>
    <row r="13" spans="1:3" x14ac:dyDescent="0.4">
      <c r="A13" s="5" t="s">
        <v>11</v>
      </c>
      <c r="B13" s="1">
        <v>0</v>
      </c>
      <c r="C13" s="6">
        <f>B13/B$3</f>
        <v>0</v>
      </c>
    </row>
    <row r="14" spans="1:3" x14ac:dyDescent="0.4">
      <c r="A14" s="5" t="s">
        <v>12</v>
      </c>
      <c r="B14" s="1">
        <v>1</v>
      </c>
      <c r="C14" s="6">
        <f>B14/B$3</f>
        <v>0.14285714285714285</v>
      </c>
    </row>
    <row r="15" spans="1:3" x14ac:dyDescent="0.4">
      <c r="A15" s="5" t="s">
        <v>13</v>
      </c>
      <c r="B15" s="1">
        <v>1</v>
      </c>
      <c r="C15" s="6">
        <f>B15/B$3</f>
        <v>0.14285714285714285</v>
      </c>
    </row>
    <row r="16" spans="1:3" x14ac:dyDescent="0.4">
      <c r="A16" s="5" t="s">
        <v>5</v>
      </c>
      <c r="B16" s="8">
        <f>IF(B12=0,0,ROUND(C16/B12,-2))</f>
        <v>6000</v>
      </c>
      <c r="C16" s="17">
        <v>6000</v>
      </c>
    </row>
    <row r="17" spans="1:3" x14ac:dyDescent="0.4">
      <c r="A17" s="7" t="s">
        <v>14</v>
      </c>
      <c r="B17" s="18">
        <f>IF(B15=0,0,ROUND(C17/B15,-2))</f>
        <v>-6400</v>
      </c>
      <c r="C17" s="19">
        <v>-6400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7A834-3AB1-47B2-91C3-58C3D11F6AD9}">
  <sheetPr codeName="Sheet5"/>
  <dimension ref="A1:C17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29</v>
      </c>
      <c r="C1" s="41"/>
    </row>
    <row r="2" spans="1:3" ht="19.5" thickTop="1" x14ac:dyDescent="0.4">
      <c r="A2" s="4" t="s">
        <v>9</v>
      </c>
      <c r="B2" s="9">
        <v>2</v>
      </c>
      <c r="C2" s="11"/>
    </row>
    <row r="3" spans="1:3" x14ac:dyDescent="0.4">
      <c r="A3" s="5" t="s">
        <v>8</v>
      </c>
      <c r="B3" s="1">
        <v>14</v>
      </c>
      <c r="C3" s="12"/>
    </row>
    <row r="4" spans="1:3" x14ac:dyDescent="0.4">
      <c r="A4" s="5" t="s">
        <v>6</v>
      </c>
      <c r="B4" s="2">
        <v>-8</v>
      </c>
      <c r="C4" s="13"/>
    </row>
    <row r="5" spans="1:3" x14ac:dyDescent="0.4">
      <c r="A5" s="5" t="s">
        <v>7</v>
      </c>
      <c r="B5" s="10">
        <f>B4/B$2</f>
        <v>-4</v>
      </c>
      <c r="C5" s="14"/>
    </row>
    <row r="6" spans="1:3" x14ac:dyDescent="0.4">
      <c r="A6" s="5" t="s">
        <v>1</v>
      </c>
      <c r="B6" s="30">
        <f>(B7*1+B8*2+B9*3+B10*4)/B$2</f>
        <v>3.5</v>
      </c>
      <c r="C6" s="15"/>
    </row>
    <row r="7" spans="1:3" x14ac:dyDescent="0.4">
      <c r="A7" s="5" t="s">
        <v>2</v>
      </c>
      <c r="B7" s="1">
        <v>0</v>
      </c>
      <c r="C7" s="6">
        <f>B7/B$2</f>
        <v>0</v>
      </c>
    </row>
    <row r="8" spans="1:3" x14ac:dyDescent="0.4">
      <c r="A8" s="5" t="s">
        <v>3</v>
      </c>
      <c r="B8" s="1">
        <v>0</v>
      </c>
      <c r="C8" s="6">
        <f>B8/B$2</f>
        <v>0</v>
      </c>
    </row>
    <row r="9" spans="1:3" x14ac:dyDescent="0.4">
      <c r="A9" s="27" t="s">
        <v>4</v>
      </c>
      <c r="B9" s="28">
        <v>1</v>
      </c>
      <c r="C9" s="29">
        <f>B9/B$2</f>
        <v>0.5</v>
      </c>
    </row>
    <row r="10" spans="1:3" x14ac:dyDescent="0.4">
      <c r="A10" s="27" t="s">
        <v>22</v>
      </c>
      <c r="B10" s="28">
        <v>1</v>
      </c>
      <c r="C10" s="29">
        <f>B10/B$2</f>
        <v>0.5</v>
      </c>
    </row>
    <row r="11" spans="1:3" ht="19.5" thickBot="1" x14ac:dyDescent="0.45">
      <c r="A11" s="35" t="s">
        <v>21</v>
      </c>
      <c r="B11" s="36">
        <v>0</v>
      </c>
      <c r="C11" s="37">
        <f>B11/B$2</f>
        <v>0</v>
      </c>
    </row>
    <row r="12" spans="1:3" ht="19.5" thickTop="1" x14ac:dyDescent="0.4">
      <c r="A12" s="4" t="s">
        <v>10</v>
      </c>
      <c r="B12" s="9">
        <f>B13+B14</f>
        <v>1</v>
      </c>
      <c r="C12" s="16">
        <f>B12/B$3</f>
        <v>7.1428571428571425E-2</v>
      </c>
    </row>
    <row r="13" spans="1:3" x14ac:dyDescent="0.4">
      <c r="A13" s="5" t="s">
        <v>11</v>
      </c>
      <c r="B13" s="1">
        <v>1</v>
      </c>
      <c r="C13" s="6">
        <f>B13/B$3</f>
        <v>7.1428571428571425E-2</v>
      </c>
    </row>
    <row r="14" spans="1:3" x14ac:dyDescent="0.4">
      <c r="A14" s="5" t="s">
        <v>12</v>
      </c>
      <c r="B14" s="1">
        <v>0</v>
      </c>
      <c r="C14" s="6">
        <f>B14/B$3</f>
        <v>0</v>
      </c>
    </row>
    <row r="15" spans="1:3" x14ac:dyDescent="0.4">
      <c r="A15" s="5" t="s">
        <v>13</v>
      </c>
      <c r="B15" s="1">
        <v>3</v>
      </c>
      <c r="C15" s="6">
        <f>B15/B$3</f>
        <v>0.21428571428571427</v>
      </c>
    </row>
    <row r="16" spans="1:3" x14ac:dyDescent="0.4">
      <c r="A16" s="5" t="s">
        <v>5</v>
      </c>
      <c r="B16" s="8">
        <f>IF(B12=0,0,ROUND(C16/B12,-2))</f>
        <v>5200</v>
      </c>
      <c r="C16" s="17">
        <v>5200</v>
      </c>
    </row>
    <row r="17" spans="1:3" x14ac:dyDescent="0.4">
      <c r="A17" s="7" t="s">
        <v>14</v>
      </c>
      <c r="B17" s="18">
        <f>IF(B15=0,0,ROUND(C17/B15,-2))</f>
        <v>-2000</v>
      </c>
      <c r="C17" s="19">
        <v>-5900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CA569-5353-4B4F-84BA-772452A2ABC2}">
  <sheetPr codeName="Sheet6"/>
  <dimension ref="A1:C17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30</v>
      </c>
      <c r="C1" s="41"/>
    </row>
    <row r="2" spans="1:3" ht="19.5" thickTop="1" x14ac:dyDescent="0.4">
      <c r="A2" s="4" t="s">
        <v>9</v>
      </c>
      <c r="B2" s="9">
        <v>1</v>
      </c>
      <c r="C2" s="11"/>
    </row>
    <row r="3" spans="1:3" x14ac:dyDescent="0.4">
      <c r="A3" s="5" t="s">
        <v>8</v>
      </c>
      <c r="B3" s="1">
        <v>7</v>
      </c>
      <c r="C3" s="12"/>
    </row>
    <row r="4" spans="1:3" x14ac:dyDescent="0.4">
      <c r="A4" s="5" t="s">
        <v>6</v>
      </c>
      <c r="B4" s="2">
        <v>16</v>
      </c>
      <c r="C4" s="13"/>
    </row>
    <row r="5" spans="1:3" x14ac:dyDescent="0.4">
      <c r="A5" s="5" t="s">
        <v>7</v>
      </c>
      <c r="B5" s="10">
        <f>B4/B$2</f>
        <v>16</v>
      </c>
      <c r="C5" s="14"/>
    </row>
    <row r="6" spans="1:3" x14ac:dyDescent="0.4">
      <c r="A6" s="5" t="s">
        <v>1</v>
      </c>
      <c r="B6" s="30">
        <f>(B7*1+B8*2+B9*3+B10*4)/B$2</f>
        <v>1</v>
      </c>
      <c r="C6" s="15"/>
    </row>
    <row r="7" spans="1:3" x14ac:dyDescent="0.4">
      <c r="A7" s="5" t="s">
        <v>2</v>
      </c>
      <c r="B7" s="1">
        <v>1</v>
      </c>
      <c r="C7" s="6">
        <f>B7/B$2</f>
        <v>1</v>
      </c>
    </row>
    <row r="8" spans="1:3" x14ac:dyDescent="0.4">
      <c r="A8" s="5" t="s">
        <v>3</v>
      </c>
      <c r="B8" s="1">
        <v>0</v>
      </c>
      <c r="C8" s="6">
        <f>B8/B$2</f>
        <v>0</v>
      </c>
    </row>
    <row r="9" spans="1:3" x14ac:dyDescent="0.4">
      <c r="A9" s="27" t="s">
        <v>4</v>
      </c>
      <c r="B9" s="28">
        <v>0</v>
      </c>
      <c r="C9" s="29">
        <f>B9/B$2</f>
        <v>0</v>
      </c>
    </row>
    <row r="10" spans="1:3" x14ac:dyDescent="0.4">
      <c r="A10" s="27" t="s">
        <v>22</v>
      </c>
      <c r="B10" s="28">
        <v>0</v>
      </c>
      <c r="C10" s="29">
        <f>B10/B$2</f>
        <v>0</v>
      </c>
    </row>
    <row r="11" spans="1:3" ht="19.5" thickBot="1" x14ac:dyDescent="0.45">
      <c r="A11" s="35" t="s">
        <v>21</v>
      </c>
      <c r="B11" s="36">
        <v>0</v>
      </c>
      <c r="C11" s="37">
        <f>B11/B$2</f>
        <v>0</v>
      </c>
    </row>
    <row r="12" spans="1:3" ht="19.5" thickTop="1" x14ac:dyDescent="0.4">
      <c r="A12" s="4" t="s">
        <v>10</v>
      </c>
      <c r="B12" s="9">
        <f>B13+B14</f>
        <v>3</v>
      </c>
      <c r="C12" s="16">
        <f>B12/B$3</f>
        <v>0.42857142857142855</v>
      </c>
    </row>
    <row r="13" spans="1:3" x14ac:dyDescent="0.4">
      <c r="A13" s="5" t="s">
        <v>11</v>
      </c>
      <c r="B13" s="1">
        <v>3</v>
      </c>
      <c r="C13" s="6">
        <f>B13/B$3</f>
        <v>0.42857142857142855</v>
      </c>
    </row>
    <row r="14" spans="1:3" x14ac:dyDescent="0.4">
      <c r="A14" s="5" t="s">
        <v>12</v>
      </c>
      <c r="B14" s="1">
        <v>0</v>
      </c>
      <c r="C14" s="6">
        <f>B14/B$3</f>
        <v>0</v>
      </c>
    </row>
    <row r="15" spans="1:3" x14ac:dyDescent="0.4">
      <c r="A15" s="5" t="s">
        <v>13</v>
      </c>
      <c r="B15" s="1">
        <v>1</v>
      </c>
      <c r="C15" s="6">
        <f>B15/B$3</f>
        <v>0.14285714285714285</v>
      </c>
    </row>
    <row r="16" spans="1:3" x14ac:dyDescent="0.4">
      <c r="A16" s="5" t="s">
        <v>5</v>
      </c>
      <c r="B16" s="8">
        <f>IF(B12=0,0,ROUND(C16/B12,-2))</f>
        <v>7200</v>
      </c>
      <c r="C16" s="17">
        <v>21700</v>
      </c>
    </row>
    <row r="17" spans="1:3" x14ac:dyDescent="0.4">
      <c r="A17" s="7" t="s">
        <v>14</v>
      </c>
      <c r="B17" s="18">
        <f>IF(B15=0,0,ROUND(C17/B15,-2))</f>
        <v>-5200</v>
      </c>
      <c r="C17" s="19">
        <v>-5200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C17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/>
      <c r="C1" s="41"/>
    </row>
    <row r="2" spans="1:3" ht="19.5" thickTop="1" x14ac:dyDescent="0.4">
      <c r="A2" s="4" t="s">
        <v>9</v>
      </c>
      <c r="B2" s="9">
        <v>0</v>
      </c>
      <c r="C2" s="11"/>
    </row>
    <row r="3" spans="1:3" x14ac:dyDescent="0.4">
      <c r="A3" s="5" t="s">
        <v>8</v>
      </c>
      <c r="B3" s="1">
        <v>0</v>
      </c>
      <c r="C3" s="12"/>
    </row>
    <row r="4" spans="1:3" x14ac:dyDescent="0.4">
      <c r="A4" s="5" t="s">
        <v>6</v>
      </c>
      <c r="B4" s="2">
        <v>0</v>
      </c>
      <c r="C4" s="13"/>
    </row>
    <row r="5" spans="1:3" x14ac:dyDescent="0.4">
      <c r="A5" s="5" t="s">
        <v>7</v>
      </c>
      <c r="B5" s="10" t="e">
        <f>B4/B$2</f>
        <v>#DIV/0!</v>
      </c>
      <c r="C5" s="14"/>
    </row>
    <row r="6" spans="1:3" x14ac:dyDescent="0.4">
      <c r="A6" s="5" t="s">
        <v>1</v>
      </c>
      <c r="B6" s="30" t="e">
        <f>(B7*1+B8*2+B9*3+B10*4)/B$2</f>
        <v>#DIV/0!</v>
      </c>
      <c r="C6" s="15"/>
    </row>
    <row r="7" spans="1:3" x14ac:dyDescent="0.4">
      <c r="A7" s="5" t="s">
        <v>2</v>
      </c>
      <c r="B7" s="1">
        <v>0</v>
      </c>
      <c r="C7" s="6" t="e">
        <f>B7/B$2</f>
        <v>#DIV/0!</v>
      </c>
    </row>
    <row r="8" spans="1:3" x14ac:dyDescent="0.4">
      <c r="A8" s="5" t="s">
        <v>3</v>
      </c>
      <c r="B8" s="1">
        <v>0</v>
      </c>
      <c r="C8" s="6" t="e">
        <f>B8/B$2</f>
        <v>#DIV/0!</v>
      </c>
    </row>
    <row r="9" spans="1:3" x14ac:dyDescent="0.4">
      <c r="A9" s="27" t="s">
        <v>4</v>
      </c>
      <c r="B9" s="28">
        <v>0</v>
      </c>
      <c r="C9" s="29" t="e">
        <f>B9/B$2</f>
        <v>#DIV/0!</v>
      </c>
    </row>
    <row r="10" spans="1:3" x14ac:dyDescent="0.4">
      <c r="A10" s="27" t="s">
        <v>22</v>
      </c>
      <c r="B10" s="28">
        <v>0</v>
      </c>
      <c r="C10" s="29" t="e">
        <f>B10/B$2</f>
        <v>#DIV/0!</v>
      </c>
    </row>
    <row r="11" spans="1:3" ht="19.5" thickBot="1" x14ac:dyDescent="0.45">
      <c r="A11" s="35" t="s">
        <v>21</v>
      </c>
      <c r="B11" s="36">
        <v>0</v>
      </c>
      <c r="C11" s="37" t="e">
        <f>B11/B$2</f>
        <v>#DIV/0!</v>
      </c>
    </row>
    <row r="12" spans="1:3" ht="19.5" thickTop="1" x14ac:dyDescent="0.4">
      <c r="A12" s="4" t="s">
        <v>10</v>
      </c>
      <c r="B12" s="9">
        <f>B13+B14</f>
        <v>0</v>
      </c>
      <c r="C12" s="16" t="e">
        <f>B12/B$3</f>
        <v>#DIV/0!</v>
      </c>
    </row>
    <row r="13" spans="1:3" x14ac:dyDescent="0.4">
      <c r="A13" s="5" t="s">
        <v>11</v>
      </c>
      <c r="B13" s="1">
        <v>0</v>
      </c>
      <c r="C13" s="6" t="e">
        <f>B13/B$3</f>
        <v>#DIV/0!</v>
      </c>
    </row>
    <row r="14" spans="1:3" x14ac:dyDescent="0.4">
      <c r="A14" s="5" t="s">
        <v>12</v>
      </c>
      <c r="B14" s="1">
        <v>0</v>
      </c>
      <c r="C14" s="6" t="e">
        <f>B14/B$3</f>
        <v>#DIV/0!</v>
      </c>
    </row>
    <row r="15" spans="1:3" x14ac:dyDescent="0.4">
      <c r="A15" s="5" t="s">
        <v>13</v>
      </c>
      <c r="B15" s="1">
        <v>0</v>
      </c>
      <c r="C15" s="6" t="e">
        <f>B15/B$3</f>
        <v>#DIV/0!</v>
      </c>
    </row>
    <row r="16" spans="1:3" x14ac:dyDescent="0.4">
      <c r="A16" s="5" t="s">
        <v>5</v>
      </c>
      <c r="B16" s="8">
        <f>IF(B12=0,0,ROUND(C16/B12,-2))</f>
        <v>0</v>
      </c>
      <c r="C16" s="17">
        <v>0</v>
      </c>
    </row>
    <row r="17" spans="1:3" x14ac:dyDescent="0.4">
      <c r="A17" s="7" t="s">
        <v>14</v>
      </c>
      <c r="B17" s="18">
        <f>IF(B15=0,0,ROUND(C17/B15,-2))</f>
        <v>0</v>
      </c>
      <c r="C17" s="19">
        <v>0</v>
      </c>
    </row>
  </sheetData>
  <mergeCells count="1">
    <mergeCell ref="B1:C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ランキング</vt:lpstr>
      <vt:lpstr>だいち</vt:lpstr>
      <vt:lpstr>れんたろう</vt:lpstr>
      <vt:lpstr>ただ</vt:lpstr>
      <vt:lpstr>りくと</vt:lpstr>
      <vt:lpstr>いっしー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2018-12-07T16:48:39Z</dcterms:modified>
</cp:coreProperties>
</file>