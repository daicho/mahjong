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四人麻雀\"/>
    </mc:Choice>
  </mc:AlternateContent>
  <xr:revisionPtr revIDLastSave="0" documentId="10_ncr:100000_{7818CD02-1CE0-4B1C-A92F-3A638E38B2BD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E6" i="1"/>
  <c r="D6" i="1"/>
  <c r="C6" i="1"/>
  <c r="F7" i="1"/>
  <c r="E7" i="1"/>
  <c r="B3" i="1"/>
  <c r="C7" i="1"/>
  <c r="D7" i="1"/>
  <c r="D5" i="1" l="1"/>
  <c r="D8" i="1"/>
  <c r="C8" i="1"/>
  <c r="C5" i="1"/>
  <c r="F8" i="1"/>
  <c r="F5" i="1"/>
  <c r="E8" i="1"/>
  <c r="E5" i="1"/>
  <c r="B2" i="1"/>
</calcChain>
</file>

<file path=xl/sharedStrings.xml><?xml version="1.0" encoding="utf-8"?>
<sst xmlns="http://schemas.openxmlformats.org/spreadsheetml/2006/main" count="5" uniqueCount="5">
  <si>
    <t>名前</t>
    <rPh sb="0" eb="2">
      <t>ナマエ</t>
    </rPh>
    <phoneticPr fontId="1"/>
  </si>
  <si>
    <t>順位</t>
    <rPh sb="0" eb="2">
      <t>ジュンイ</t>
    </rPh>
    <phoneticPr fontId="1"/>
  </si>
  <si>
    <t>差</t>
    <rPh sb="0" eb="1">
      <t>サ</t>
    </rPh>
    <phoneticPr fontId="1"/>
  </si>
  <si>
    <t>点数</t>
    <rPh sb="0" eb="2">
      <t>テンスウ</t>
    </rPh>
    <phoneticPr fontId="1"/>
  </si>
  <si>
    <t>2018-12-8.xlsm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</si>
</sst>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72"/>
      <color theme="1"/>
      <name val="游ゴシック"/>
      <family val="3"/>
      <charset val="128"/>
      <scheme val="minor"/>
    </font>
    <font>
      <sz val="10.5"/>
      <color theme="1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Border="1">
      <alignment vertical="center"/>
    </xf>
    <xf numFmtId="177" fontId="3" fillId="0" borderId="2" xfId="0" applyNumberFormat="1" applyFont="1" applyBorder="1" applyAlignment="1">
      <alignment horizontal="center" vertical="center" shrinkToFit="1"/>
    </xf>
    <xf numFmtId="177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177" fontId="3" fillId="0" borderId="7" xfId="0" applyNumberFormat="1" applyFont="1" applyBorder="1" applyAlignment="1">
      <alignment horizontal="center" vertical="center" shrinkToFit="1"/>
    </xf>
    <xf numFmtId="176" fontId="3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4" fillId="0" borderId="0" xfId="0" applyFont="1" applyBorder="1">
      <alignment vertical="center"/>
    </xf>
    <xf numFmtId="0" fontId="5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177" fontId="3" fillId="0" borderId="13" xfId="0" applyNumberFormat="1" applyFont="1" applyBorder="1" applyAlignment="1">
      <alignment horizontal="center" vertical="center" shrinkToFit="1"/>
    </xf>
    <xf numFmtId="176" fontId="3" fillId="0" borderId="15" xfId="0" applyNumberFormat="1" applyFont="1" applyBorder="1" applyAlignment="1">
      <alignment horizontal="center" vertical="center" shrinkToFit="1"/>
    </xf>
    <xf numFmtId="0" fontId="7" fillId="0" borderId="8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 shrinkToFit="1"/>
    </xf>
    <xf numFmtId="0" fontId="7" fillId="0" borderId="14" xfId="0" applyFont="1" applyBorder="1" applyAlignment="1">
      <alignment horizontal="center" vertical="center" shrinkToFit="1"/>
    </xf>
    <xf numFmtId="0" fontId="7" fillId="0" borderId="4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F9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375" style="1" customWidth="1"/>
    <col min="3" max="6" width="53" style="1" customWidth="1"/>
    <col min="7" max="16384" width="9" style="1"/>
  </cols>
  <sheetData>
    <row r="1" spans="1:6" ht="13.5" customHeight="1" x14ac:dyDescent="0.4">
      <c r="A1" s="21"/>
    </row>
    <row r="2" spans="1:6" s="11" customFormat="1" ht="123" customHeight="1" x14ac:dyDescent="0.4">
      <c r="B2" s="22" t="str">
        <f ca="1">MJINFO(Book!$A$1,1)&amp;MJINFO(Book!$A$1,2)&amp;"局"</f>
        <v>東4局</v>
      </c>
      <c r="C2" s="22"/>
      <c r="D2" s="22"/>
      <c r="E2" s="22"/>
      <c r="F2" s="22"/>
    </row>
    <row r="3" spans="1:6" s="12" customFormat="1" ht="76.5" customHeight="1" x14ac:dyDescent="0.4">
      <c r="B3" s="23" t="str">
        <f ca="1">""&amp;MJINFO(Book!$A$1,3)&amp;"本場 供託"&amp;MJINFO(Book!$A$1,4)</f>
        <v>0本場 供託0</v>
      </c>
      <c r="C3" s="23"/>
      <c r="D3" s="23"/>
      <c r="E3" s="23"/>
      <c r="F3" s="23"/>
    </row>
    <row r="4" spans="1:6" s="14" customFormat="1" ht="21" customHeight="1" thickBot="1" x14ac:dyDescent="0.45">
      <c r="B4" s="13"/>
      <c r="C4" s="13"/>
      <c r="D4" s="13"/>
      <c r="E4" s="13"/>
      <c r="F4" s="13"/>
    </row>
    <row r="5" spans="1:6" ht="97.5" thickTop="1" x14ac:dyDescent="0.4">
      <c r="B5" s="8" t="s">
        <v>1</v>
      </c>
      <c r="C5" s="6">
        <f ca="1">RANK(C$7,$C$7:$F$7)</f>
        <v>4</v>
      </c>
      <c r="D5" s="2">
        <f ca="1">RANK(D$7,$C$7:$F$7)</f>
        <v>2</v>
      </c>
      <c r="E5" s="15">
        <f ca="1">RANK(E$7,$C$7:$F$7)</f>
        <v>3</v>
      </c>
      <c r="F5" s="3">
        <f ca="1">RANK(F$7,$C$7:$F$7)</f>
        <v>1</v>
      </c>
    </row>
    <row r="6" spans="1:6" ht="154.5" customHeight="1" x14ac:dyDescent="0.4">
      <c r="B6" s="9" t="s">
        <v>0</v>
      </c>
      <c r="C6" s="17" t="str">
        <f ca="1">NAME(Book!$A$1,0)</f>
        <v>だいち</v>
      </c>
      <c r="D6" s="18" t="str">
        <f ca="1">NAME(Book!$A$1,1)</f>
        <v>れんたろう</v>
      </c>
      <c r="E6" s="19" t="str">
        <f ca="1">NAME(Book!$A$1,2)</f>
        <v>りくと</v>
      </c>
      <c r="F6" s="20" t="str">
        <f ca="1">NAME(Book!$A$1,3)</f>
        <v>いっしー</v>
      </c>
    </row>
    <row r="7" spans="1:6" ht="154.5" customHeight="1" x14ac:dyDescent="0.4">
      <c r="B7" s="9" t="s">
        <v>3</v>
      </c>
      <c r="C7" s="17">
        <f ca="1">POINT(Book!$A$1,0)</f>
        <v>4700</v>
      </c>
      <c r="D7" s="18">
        <f ca="1">POINT(Book!$A$1,1)</f>
        <v>27500</v>
      </c>
      <c r="E7" s="19">
        <f ca="1">POINT(Book!$A$1,2)</f>
        <v>26800</v>
      </c>
      <c r="F7" s="20">
        <f ca="1">POINT(Book!$A$1,3)</f>
        <v>41000</v>
      </c>
    </row>
    <row r="8" spans="1:6" ht="97.5" thickBot="1" x14ac:dyDescent="0.45">
      <c r="B8" s="10" t="s">
        <v>2</v>
      </c>
      <c r="C8" s="7">
        <f ca="1">C$7-MAX($C$7:$F$7)</f>
        <v>-36300</v>
      </c>
      <c r="D8" s="4">
        <f t="shared" ref="D8" ca="1" si="0">D$7-MAX($C$7:$F$7)</f>
        <v>-13500</v>
      </c>
      <c r="E8" s="16">
        <f ca="1">E$7-MAX($C$7:$F$7)</f>
        <v>-14200</v>
      </c>
      <c r="F8" s="5">
        <f ca="1">F$7-MAX($C$7:$F$7)</f>
        <v>0</v>
      </c>
    </row>
    <row r="9" spans="1:6" ht="19.5" thickTop="1" x14ac:dyDescent="0.4"/>
  </sheetData>
  <mergeCells count="2">
    <mergeCell ref="B2:F2"/>
    <mergeCell ref="B3:F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C5:F8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2018-12-07T16:50:50Z</dcterms:modified>
</cp:coreProperties>
</file>