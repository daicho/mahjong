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\mahjong\四人麻雀\対局\"/>
    </mc:Choice>
  </mc:AlternateContent>
  <xr:revisionPtr revIDLastSave="0" documentId="10_ncr:100000_{D8212E21-61D6-44EB-A167-C4C80ED9E0C5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11" state="hidden" r:id="rId2"/>
    <sheet name="点数表(親ツモ)" sheetId="12" state="hidden" r:id="rId3"/>
    <sheet name="点数表(子→親)" sheetId="13" state="hidden" r:id="rId4"/>
    <sheet name="点数表(子ロン)" sheetId="14" state="hidden" r:id="rId5"/>
    <sheet name="点数表(子ツモ)" sheetId="15" state="hidden" r:id="rId6"/>
    <sheet name="点数表(子→子)" sheetId="16" state="hidden" r:id="rId7"/>
    <sheet name="点数表(親→子)" sheetId="17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0" i="1" l="1"/>
  <c r="AB30" i="1"/>
  <c r="AA30" i="1"/>
  <c r="Z30" i="1"/>
  <c r="AC29" i="1"/>
  <c r="AB29" i="1"/>
  <c r="AA29" i="1"/>
  <c r="Z29" i="1"/>
  <c r="AC28" i="1"/>
  <c r="AB28" i="1"/>
  <c r="AA28" i="1"/>
  <c r="Z28" i="1"/>
  <c r="AC27" i="1"/>
  <c r="AB27" i="1"/>
  <c r="AA27" i="1"/>
  <c r="Z27" i="1"/>
  <c r="AC26" i="1"/>
  <c r="AB26" i="1"/>
  <c r="AA26" i="1"/>
  <c r="Z26" i="1"/>
  <c r="AC25" i="1"/>
  <c r="AB25" i="1"/>
  <c r="AA25" i="1"/>
  <c r="Z25" i="1"/>
  <c r="AC24" i="1"/>
  <c r="AB24" i="1"/>
  <c r="AA24" i="1"/>
  <c r="Z24" i="1"/>
  <c r="AC23" i="1"/>
  <c r="AB23" i="1"/>
  <c r="AA23" i="1"/>
  <c r="Z23" i="1"/>
  <c r="AC22" i="1"/>
  <c r="AB22" i="1"/>
  <c r="AA22" i="1"/>
  <c r="Z22" i="1"/>
  <c r="AC21" i="1"/>
  <c r="AB21" i="1"/>
  <c r="AA21" i="1"/>
  <c r="Z21" i="1"/>
  <c r="AC20" i="1"/>
  <c r="AB20" i="1"/>
  <c r="AA20" i="1"/>
  <c r="Z20" i="1"/>
  <c r="AC19" i="1"/>
  <c r="AB19" i="1"/>
  <c r="AA19" i="1"/>
  <c r="Z19" i="1"/>
  <c r="AC18" i="1"/>
  <c r="AB18" i="1"/>
  <c r="AA18" i="1"/>
  <c r="Z18" i="1"/>
  <c r="AC17" i="1"/>
  <c r="AB17" i="1"/>
  <c r="AA17" i="1"/>
  <c r="Z17" i="1"/>
  <c r="AC16" i="1"/>
  <c r="AB16" i="1"/>
  <c r="AA16" i="1"/>
  <c r="Z16" i="1"/>
  <c r="AC15" i="1"/>
  <c r="AB15" i="1"/>
  <c r="AA15" i="1"/>
  <c r="Z15" i="1"/>
  <c r="AC14" i="1"/>
  <c r="AB14" i="1"/>
  <c r="AA14" i="1"/>
  <c r="Z14" i="1"/>
  <c r="AC13" i="1"/>
  <c r="AB13" i="1"/>
  <c r="AA13" i="1"/>
  <c r="Z13" i="1"/>
  <c r="AC12" i="1"/>
  <c r="AB12" i="1"/>
  <c r="AA12" i="1"/>
  <c r="Z12" i="1"/>
  <c r="AC11" i="1"/>
  <c r="AB11" i="1"/>
  <c r="AA11" i="1"/>
  <c r="Z11" i="1"/>
  <c r="AC10" i="1"/>
  <c r="AB10" i="1"/>
  <c r="AA10" i="1"/>
  <c r="Z10" i="1"/>
  <c r="AC9" i="1"/>
  <c r="AB9" i="1"/>
  <c r="AA9" i="1"/>
  <c r="Z9" i="1"/>
  <c r="AC8" i="1"/>
  <c r="AB8" i="1"/>
  <c r="AA8" i="1"/>
  <c r="Z8" i="1"/>
  <c r="AC7" i="1"/>
  <c r="AB7" i="1"/>
  <c r="AA7" i="1"/>
  <c r="Z7" i="1"/>
  <c r="AC6" i="1"/>
  <c r="AB6" i="1"/>
  <c r="AA6" i="1"/>
  <c r="Z6" i="1"/>
  <c r="AC5" i="1"/>
  <c r="AB5" i="1"/>
  <c r="AA5" i="1"/>
  <c r="Z5" i="1"/>
  <c r="AC4" i="1"/>
  <c r="AB4" i="1"/>
  <c r="AA4" i="1"/>
  <c r="Z4" i="1"/>
  <c r="AA3" i="1"/>
  <c r="AB3" i="1"/>
  <c r="AC3" i="1"/>
  <c r="Z3" i="1"/>
  <c r="B30" i="1" l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7" i="1"/>
  <c r="B8" i="1" s="1"/>
  <c r="B9" i="1" s="1"/>
  <c r="B6" i="1"/>
  <c r="D13" i="1" l="1"/>
  <c r="D12" i="1"/>
  <c r="D11" i="1"/>
  <c r="D10" i="1"/>
  <c r="D9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8" i="1"/>
  <c r="D7" i="1"/>
  <c r="D6" i="1"/>
  <c r="D5" i="1"/>
  <c r="B5" i="1"/>
  <c r="C5" i="1"/>
  <c r="L12" i="15" l="1"/>
  <c r="K12" i="15"/>
  <c r="J12" i="15"/>
  <c r="I12" i="15"/>
  <c r="H12" i="15"/>
  <c r="G12" i="15"/>
  <c r="F12" i="15"/>
  <c r="E12" i="15"/>
  <c r="D12" i="15"/>
  <c r="C12" i="15"/>
  <c r="B12" i="15"/>
  <c r="L11" i="15"/>
  <c r="K11" i="15"/>
  <c r="J11" i="15"/>
  <c r="I11" i="15"/>
  <c r="H11" i="15"/>
  <c r="G11" i="15"/>
  <c r="F11" i="15"/>
  <c r="E11" i="15"/>
  <c r="D11" i="15"/>
  <c r="C11" i="15"/>
  <c r="B11" i="15"/>
  <c r="L10" i="15"/>
  <c r="K10" i="15"/>
  <c r="J10" i="15"/>
  <c r="I10" i="15"/>
  <c r="H10" i="15"/>
  <c r="G10" i="15"/>
  <c r="F10" i="15"/>
  <c r="E10" i="15"/>
  <c r="D10" i="15"/>
  <c r="C10" i="15"/>
  <c r="B10" i="15"/>
  <c r="L9" i="15"/>
  <c r="K9" i="15"/>
  <c r="J9" i="15"/>
  <c r="I9" i="15"/>
  <c r="H9" i="15"/>
  <c r="G9" i="15"/>
  <c r="F9" i="15"/>
  <c r="E9" i="15"/>
  <c r="D9" i="15"/>
  <c r="C9" i="15"/>
  <c r="B9" i="15"/>
  <c r="L8" i="15"/>
  <c r="K8" i="15"/>
  <c r="J8" i="15"/>
  <c r="I8" i="15"/>
  <c r="H8" i="15"/>
  <c r="G8" i="15"/>
  <c r="F8" i="15"/>
  <c r="E8" i="15"/>
  <c r="D8" i="15"/>
  <c r="C8" i="15"/>
  <c r="B8" i="15"/>
  <c r="L7" i="15"/>
  <c r="K7" i="15"/>
  <c r="J7" i="15"/>
  <c r="I7" i="15"/>
  <c r="H7" i="15"/>
  <c r="G7" i="15"/>
  <c r="F7" i="15"/>
  <c r="E7" i="15"/>
  <c r="D7" i="15"/>
  <c r="C7" i="15"/>
  <c r="B7" i="15"/>
  <c r="L6" i="15"/>
  <c r="K6" i="15"/>
  <c r="J6" i="15"/>
  <c r="I6" i="15"/>
  <c r="H6" i="15"/>
  <c r="G6" i="15"/>
  <c r="F6" i="15"/>
  <c r="E6" i="15"/>
  <c r="D6" i="15"/>
  <c r="C6" i="15"/>
  <c r="B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3" i="15"/>
  <c r="K3" i="15"/>
  <c r="J3" i="15"/>
  <c r="I3" i="15"/>
  <c r="H3" i="15"/>
  <c r="G3" i="15"/>
  <c r="F3" i="15"/>
  <c r="E3" i="15"/>
  <c r="D3" i="15"/>
  <c r="C3" i="15"/>
  <c r="B3" i="15"/>
  <c r="L2" i="15"/>
  <c r="K2" i="15"/>
  <c r="J2" i="15"/>
  <c r="I2" i="15"/>
  <c r="H2" i="15"/>
  <c r="G2" i="15"/>
  <c r="F2" i="15"/>
  <c r="E2" i="15"/>
  <c r="D2" i="15"/>
  <c r="C2" i="15"/>
  <c r="B2" i="15"/>
  <c r="L12" i="12"/>
  <c r="K12" i="12"/>
  <c r="J12" i="12"/>
  <c r="I12" i="12"/>
  <c r="H12" i="12"/>
  <c r="G12" i="12"/>
  <c r="F12" i="12"/>
  <c r="E12" i="12"/>
  <c r="D12" i="12"/>
  <c r="C12" i="12"/>
  <c r="B12" i="12"/>
  <c r="L11" i="12"/>
  <c r="K11" i="12"/>
  <c r="J11" i="12"/>
  <c r="I11" i="12"/>
  <c r="H11" i="12"/>
  <c r="G11" i="12"/>
  <c r="F11" i="12"/>
  <c r="E11" i="12"/>
  <c r="D11" i="12"/>
  <c r="C11" i="12"/>
  <c r="B11" i="12"/>
  <c r="L10" i="12"/>
  <c r="K10" i="12"/>
  <c r="J10" i="12"/>
  <c r="I10" i="12"/>
  <c r="H10" i="12"/>
  <c r="G10" i="12"/>
  <c r="F10" i="12"/>
  <c r="E10" i="12"/>
  <c r="D10" i="12"/>
  <c r="C10" i="12"/>
  <c r="B10" i="12"/>
  <c r="L9" i="12"/>
  <c r="K9" i="12"/>
  <c r="J9" i="12"/>
  <c r="I9" i="12"/>
  <c r="H9" i="12"/>
  <c r="G9" i="12"/>
  <c r="F9" i="12"/>
  <c r="E9" i="12"/>
  <c r="D9" i="12"/>
  <c r="C9" i="12"/>
  <c r="B9" i="12"/>
  <c r="L8" i="12"/>
  <c r="K8" i="12"/>
  <c r="J8" i="12"/>
  <c r="I8" i="12"/>
  <c r="H8" i="12"/>
  <c r="G8" i="12"/>
  <c r="F8" i="12"/>
  <c r="E8" i="12"/>
  <c r="D8" i="12"/>
  <c r="C8" i="12"/>
  <c r="B8" i="12"/>
  <c r="L7" i="12"/>
  <c r="K7" i="12"/>
  <c r="J7" i="12"/>
  <c r="I7" i="12"/>
  <c r="H7" i="12"/>
  <c r="G7" i="12"/>
  <c r="F7" i="12"/>
  <c r="E7" i="12"/>
  <c r="D7" i="12"/>
  <c r="C7" i="12"/>
  <c r="B7" i="12"/>
  <c r="L6" i="12"/>
  <c r="K6" i="12"/>
  <c r="J6" i="12"/>
  <c r="I6" i="12"/>
  <c r="H6" i="12"/>
  <c r="G6" i="12"/>
  <c r="F6" i="12"/>
  <c r="E6" i="12"/>
  <c r="D6" i="12"/>
  <c r="C6" i="12"/>
  <c r="B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3" i="12"/>
  <c r="K3" i="12"/>
  <c r="J3" i="12"/>
  <c r="I3" i="12"/>
  <c r="H3" i="12"/>
  <c r="G3" i="12"/>
  <c r="F3" i="12"/>
  <c r="E3" i="12"/>
  <c r="D3" i="12"/>
  <c r="C3" i="12"/>
  <c r="B3" i="12"/>
  <c r="L2" i="12"/>
  <c r="K2" i="12"/>
  <c r="J2" i="12"/>
  <c r="I2" i="12"/>
  <c r="H2" i="12"/>
  <c r="G2" i="12"/>
  <c r="F2" i="12"/>
  <c r="E2" i="12"/>
  <c r="D2" i="12"/>
  <c r="C2" i="12"/>
  <c r="B2" i="12"/>
  <c r="Y7" i="1" l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7" i="1"/>
  <c r="AA2" i="1"/>
  <c r="AB2" i="1"/>
  <c r="Z2" i="1"/>
  <c r="AC2" i="1"/>
  <c r="X4" i="1" l="1"/>
  <c r="Y4" i="1" s="1"/>
  <c r="S4" i="1"/>
  <c r="T4" i="1" s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Y10" i="1" s="1"/>
  <c r="X9" i="1"/>
  <c r="Y9" i="1" s="1"/>
  <c r="X8" i="1"/>
  <c r="Y8" i="1" s="1"/>
  <c r="X7" i="1"/>
  <c r="X6" i="1"/>
  <c r="Y6" i="1" s="1"/>
  <c r="X5" i="1"/>
  <c r="Y5" i="1" s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T9" i="1" s="1"/>
  <c r="S8" i="1"/>
  <c r="T8" i="1" s="1"/>
  <c r="S7" i="1"/>
  <c r="T7" i="1" s="1"/>
  <c r="S6" i="1"/>
  <c r="T6" i="1" s="1"/>
  <c r="S5" i="1"/>
  <c r="T5" i="1" s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O9" i="1" s="1"/>
  <c r="N8" i="1"/>
  <c r="O8" i="1" s="1"/>
  <c r="N7" i="1"/>
  <c r="O7" i="1" s="1"/>
  <c r="N6" i="1"/>
  <c r="O6" i="1" s="1"/>
  <c r="N5" i="1"/>
  <c r="N4" i="1"/>
  <c r="O4" i="1" s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J10" i="1" s="1"/>
  <c r="I9" i="1"/>
  <c r="J9" i="1" s="1"/>
  <c r="I8" i="1"/>
  <c r="J8" i="1" s="1"/>
  <c r="I7" i="1"/>
  <c r="I6" i="1"/>
  <c r="J6" i="1" s="1"/>
  <c r="I5" i="1"/>
  <c r="I4" i="1"/>
  <c r="J4" i="1" s="1"/>
  <c r="A5" i="1"/>
  <c r="J5" i="1" l="1"/>
  <c r="O5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6" i="1" l="1"/>
  <c r="A7" i="1" s="1"/>
  <c r="A8" i="1"/>
  <c r="A9" i="1" s="1"/>
  <c r="A10" i="1" l="1"/>
  <c r="A11" i="1"/>
  <c r="A13" i="1" l="1"/>
  <c r="A12" i="1"/>
  <c r="A14" i="1" l="1"/>
</calcChain>
</file>

<file path=xl/sharedStrings.xml><?xml version="1.0" encoding="utf-8"?>
<sst xmlns="http://schemas.openxmlformats.org/spreadsheetml/2006/main" count="125" uniqueCount="35">
  <si>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</si>
  <si>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</si>
  <si>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</si>
  <si>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</si>
  <si>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</si>
  <si>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</si>
  <si>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</si>
  <si>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</si>
  <si>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</si>
  <si>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</si>
  <si>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</si>
  <si>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</si>
  <si>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</si>
  <si>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</si>
  <si>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</si>
  <si>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</si>
  <si>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</si>
  <si>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</si>
  <si>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</si>
  <si>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</si>
  <si>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</si>
  <si>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</si>
  <si>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</si>
  <si>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</si>
  <si>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</si>
  <si>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</si>
  <si>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ただ</t>
  </si>
  <si>
    <t>ただ</t>
    <phoneticPr fontId="1"/>
  </si>
  <si>
    <t>りくと</t>
  </si>
  <si>
    <t>りくと</t>
    <phoneticPr fontId="1"/>
  </si>
  <si>
    <t>流局</t>
  </si>
  <si>
    <t>ツモ</t>
  </si>
  <si>
    <t>ツモ支払</t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</si>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</sst>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.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23" xfId="0" applyFill="1" applyBorder="1" applyAlignment="1">
      <alignment horizontal="center" vertical="center" shrinkToFit="1"/>
    </xf>
    <xf numFmtId="0" fontId="0" fillId="3" borderId="14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24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2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26" xfId="0" applyNumberFormat="1" applyFill="1" applyBorder="1" applyAlignment="1">
      <alignment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AC31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5" width="9" style="1"/>
    <col min="26" max="29" width="9" style="1" customWidth="1"/>
    <col min="30" max="16384" width="9" style="1"/>
  </cols>
  <sheetData>
    <row r="1" spans="1:29" x14ac:dyDescent="0.4">
      <c r="A1" s="41" t="s">
        <v>0</v>
      </c>
      <c r="B1" s="43" t="s">
        <v>2</v>
      </c>
      <c r="C1" s="43" t="s">
        <v>1</v>
      </c>
      <c r="D1" s="43" t="s">
        <v>6</v>
      </c>
      <c r="E1" s="45" t="s">
        <v>3</v>
      </c>
      <c r="F1" s="47" t="s">
        <v>23</v>
      </c>
      <c r="G1" s="48"/>
      <c r="H1" s="48"/>
      <c r="I1" s="49"/>
      <c r="J1" s="50"/>
      <c r="K1" s="47" t="s">
        <v>25</v>
      </c>
      <c r="L1" s="48"/>
      <c r="M1" s="48"/>
      <c r="N1" s="49"/>
      <c r="O1" s="50"/>
      <c r="P1" s="47" t="s">
        <v>27</v>
      </c>
      <c r="Q1" s="48"/>
      <c r="R1" s="48"/>
      <c r="S1" s="49"/>
      <c r="T1" s="50"/>
      <c r="U1" s="47" t="s">
        <v>29</v>
      </c>
      <c r="V1" s="48"/>
      <c r="W1" s="48"/>
      <c r="X1" s="49"/>
      <c r="Y1" s="50"/>
      <c r="Z1" s="51" t="s">
        <v>8</v>
      </c>
      <c r="AA1" s="52"/>
      <c r="AB1" s="52"/>
      <c r="AC1" s="53"/>
    </row>
    <row r="2" spans="1:29" x14ac:dyDescent="0.4">
      <c r="A2" s="42"/>
      <c r="B2" s="44"/>
      <c r="C2" s="44"/>
      <c r="D2" s="44"/>
      <c r="E2" s="46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" t="s">
        <v>7</v>
      </c>
      <c r="V2" s="3" t="s">
        <v>13</v>
      </c>
      <c r="W2" s="3" t="s">
        <v>4</v>
      </c>
      <c r="X2" s="29" t="s">
        <v>10</v>
      </c>
      <c r="Y2" s="8" t="s">
        <v>5</v>
      </c>
      <c r="Z2" s="28" t="str">
        <f>$F$1</f>
        <v>だいち</v>
      </c>
      <c r="AA2" s="29" t="str">
        <f>$K$1</f>
        <v>れんたろう</v>
      </c>
      <c r="AB2" s="31" t="str">
        <f>$P$1</f>
        <v>ただ</v>
      </c>
      <c r="AC2" s="30" t="str">
        <f>$U$1</f>
        <v>りくと</v>
      </c>
    </row>
    <row r="3" spans="1:29" x14ac:dyDescent="0.4">
      <c r="A3" s="16"/>
      <c r="B3" s="20"/>
      <c r="C3" s="20"/>
      <c r="D3" s="20"/>
      <c r="E3" s="4"/>
      <c r="F3" s="9"/>
      <c r="G3" s="26"/>
      <c r="H3" s="26"/>
      <c r="I3" s="27"/>
      <c r="J3" s="23">
        <v>25000</v>
      </c>
      <c r="K3" s="9"/>
      <c r="L3" s="26"/>
      <c r="M3" s="26"/>
      <c r="N3" s="27"/>
      <c r="O3" s="23">
        <v>25000</v>
      </c>
      <c r="P3" s="9"/>
      <c r="Q3" s="26"/>
      <c r="R3" s="26"/>
      <c r="S3" s="27"/>
      <c r="T3" s="23">
        <v>25000</v>
      </c>
      <c r="U3" s="9"/>
      <c r="V3" s="26"/>
      <c r="W3" s="26"/>
      <c r="X3" s="27"/>
      <c r="Y3" s="23">
        <v>25000</v>
      </c>
      <c r="Z3" s="32">
        <f>IF($J3="","",ROUND(($J3-$J$3)/1000,1))</f>
        <v>0</v>
      </c>
      <c r="AA3" s="33">
        <f>IF($O3="","",ROUND(($O3-$O$3)/1000,1))</f>
        <v>0</v>
      </c>
      <c r="AB3" s="33">
        <f>IF($T3="","",ROUND(($T3-$T$3)/1000,1))</f>
        <v>0</v>
      </c>
      <c r="AC3" s="34">
        <f>IF($Y3="","",ROUND(($Y3-$Y$3)/1000,1))</f>
        <v>0</v>
      </c>
    </row>
    <row r="4" spans="1:29" x14ac:dyDescent="0.4">
      <c r="A4" s="17" t="s">
        <v>11</v>
      </c>
      <c r="B4" s="21">
        <v>1</v>
      </c>
      <c r="C4" s="21">
        <v>0</v>
      </c>
      <c r="D4" s="21">
        <v>0</v>
      </c>
      <c r="E4" s="5" t="s">
        <v>28</v>
      </c>
      <c r="F4" s="10" t="s">
        <v>30</v>
      </c>
      <c r="G4" s="11">
        <v>1000</v>
      </c>
      <c r="H4" s="11">
        <v>-1000</v>
      </c>
      <c r="I4" s="12" t="str">
        <f>IF(OR(F4="ロン",F4="ツモ"),$C4*300,IF(F4="放銃",$C4*-300,IF(F4="ツモ支払",$C4*-100,"")))</f>
        <v/>
      </c>
      <c r="J4" s="24">
        <f>IF(COUNTA($F4,$K4,$P4,$U4)&gt;0,J3+SUM(G4:I4),"")</f>
        <v>25000</v>
      </c>
      <c r="K4" s="10" t="s">
        <v>30</v>
      </c>
      <c r="L4" s="11">
        <v>1000</v>
      </c>
      <c r="M4" s="11">
        <v>-1000</v>
      </c>
      <c r="N4" s="12" t="str">
        <f t="shared" ref="N4:N31" si="0">IF(OR(K4="ロン",K4="ツモ"),$C4*300,IF(K4="放銃",$C4*-300,IF(K4="ツモ支払",$C4*-100,"")))</f>
        <v/>
      </c>
      <c r="O4" s="24">
        <f t="shared" ref="O4:O30" si="1">IF(COUNTA($F4,$K4,$P4,$U4)&gt;0,O3+SUM(L4:N4),"")</f>
        <v>25000</v>
      </c>
      <c r="P4" s="10" t="s">
        <v>30</v>
      </c>
      <c r="Q4" s="11">
        <v>-1000</v>
      </c>
      <c r="R4" s="11"/>
      <c r="S4" s="12" t="str">
        <f>IF(OR(P4="ロン",P4="ツモ"),$C4*300,IF(P4="放銃",$C4*-300,IF(P4="ツモ支払",$C4*-100,"")))</f>
        <v/>
      </c>
      <c r="T4" s="24">
        <f t="shared" ref="T4:T30" si="2">IF(COUNTA($F4,$K4,$P4,$U4)&gt;0,T3+SUM(Q4:S4),"")</f>
        <v>24000</v>
      </c>
      <c r="U4" s="10" t="s">
        <v>30</v>
      </c>
      <c r="V4" s="11">
        <v>-1000</v>
      </c>
      <c r="W4" s="11"/>
      <c r="X4" s="12" t="str">
        <f>IF(OR(U4="ロン",U4="ツモ"),$C4*300,IF(U4="放銃",$C4*-300,IF(U4="ツモ支払",$C4*-100,"")))</f>
        <v/>
      </c>
      <c r="Y4" s="24">
        <f t="shared" ref="Y4:Y30" si="3">IF(COUNTA($F4,$K4,$P4,$U4)&gt;0,Y3+SUM(V4:X4),"")</f>
        <v>24000</v>
      </c>
      <c r="Z4" s="35">
        <f t="shared" ref="Z4:Z30" si="4">IF($J4="","",ROUND(($J4-$J$3)/1000,1))</f>
        <v>0</v>
      </c>
      <c r="AA4" s="36">
        <f t="shared" ref="AA4:AA30" si="5">IF($O4="","",ROUND(($O4-$O$3)/1000,1))</f>
        <v>0</v>
      </c>
      <c r="AB4" s="36">
        <f t="shared" ref="AB4:AB30" si="6">IF($T4="","",ROUND(($T4-$T$3)/1000,1))</f>
        <v>-1</v>
      </c>
      <c r="AC4" s="37">
        <f t="shared" ref="AC4:AC30" si="7">IF($Y4="","",ROUND(($Y4-$Y$3)/1000,1))</f>
        <v>-1</v>
      </c>
    </row>
    <row r="5" spans="1:29" x14ac:dyDescent="0.4">
      <c r="A5" s="17" t="str">
        <f>IF($E5="","",IF(AND(B4=3,B5=1),IF(A4="東","南",IF(A4="南","西",IF(A4="西","北",IF(A4="北","東","")))),A4))</f>
        <v>東</v>
      </c>
      <c r="B5" s="21">
        <f>IF($E5="","",IF($E4=$E5,B4,IF(B4=4,1,B4+1)))</f>
        <v>2</v>
      </c>
      <c r="C5" s="21">
        <f>IF($E5="","",IF($E4=$E5,C4+1,0))</f>
        <v>0</v>
      </c>
      <c r="D5" s="21">
        <f>IF($E5="","",IF(OR($F4="流局",$F4="チョンボ"),D4+($H4+$M4+$R4+$W4)/-1000,0))</f>
        <v>2</v>
      </c>
      <c r="E5" s="5" t="s">
        <v>22</v>
      </c>
      <c r="F5" s="10" t="s">
        <v>30</v>
      </c>
      <c r="G5" s="11">
        <v>1000</v>
      </c>
      <c r="H5" s="11"/>
      <c r="I5" s="12" t="str">
        <f t="shared" ref="I5:I30" si="8">IF(OR(F5="ロン",F5="ツモ"),$C5*300,IF(F5="放銃",$C5*-300,IF(F5="ツモ支払",$C5*-100,"")))</f>
        <v/>
      </c>
      <c r="J5" s="24">
        <f t="shared" ref="J5:J30" si="9">IF(COUNTA($F5,$K5,$P5,$U5)&gt;0,J4+SUM(G5:I5),"")</f>
        <v>26000</v>
      </c>
      <c r="K5" s="10" t="s">
        <v>30</v>
      </c>
      <c r="L5" s="11">
        <v>1000</v>
      </c>
      <c r="M5" s="11"/>
      <c r="N5" s="12" t="str">
        <f t="shared" si="0"/>
        <v/>
      </c>
      <c r="O5" s="24">
        <f t="shared" si="1"/>
        <v>26000</v>
      </c>
      <c r="P5" s="10" t="s">
        <v>30</v>
      </c>
      <c r="Q5" s="11">
        <v>1000</v>
      </c>
      <c r="R5" s="11"/>
      <c r="S5" s="12" t="str">
        <f t="shared" ref="S5:S30" si="10">IF(OR(P5="ロン",P5="ツモ"),$C5*300,IF(P5="放銃",$C5*-300,IF(P5="ツモ支払",$C5*-100,"")))</f>
        <v/>
      </c>
      <c r="T5" s="24">
        <f t="shared" si="2"/>
        <v>25000</v>
      </c>
      <c r="U5" s="10" t="s">
        <v>30</v>
      </c>
      <c r="V5" s="11">
        <v>-3000</v>
      </c>
      <c r="W5" s="11"/>
      <c r="X5" s="12" t="str">
        <f t="shared" ref="X5:X30" si="11">IF(OR(U5="ロン",U5="ツモ"),$C5*300,IF(U5="放銃",$C5*-300,IF(U5="ツモ支払",$C5*-100,"")))</f>
        <v/>
      </c>
      <c r="Y5" s="24">
        <f t="shared" si="3"/>
        <v>21000</v>
      </c>
      <c r="Z5" s="35">
        <f t="shared" si="4"/>
        <v>1</v>
      </c>
      <c r="AA5" s="36">
        <f t="shared" si="5"/>
        <v>1</v>
      </c>
      <c r="AB5" s="36">
        <f t="shared" si="6"/>
        <v>0</v>
      </c>
      <c r="AC5" s="37">
        <f t="shared" si="7"/>
        <v>-4</v>
      </c>
    </row>
    <row r="6" spans="1:29" x14ac:dyDescent="0.4">
      <c r="A6" s="17" t="str">
        <f t="shared" ref="A6:A30" si="12">IF($E6="","",IF(AND(B5=3,B6=1),IF(A5="東","南",IF(A5="南","西",IF(A5="西","北",IF(A5="北","東","")))),A5))</f>
        <v>東</v>
      </c>
      <c r="B6" s="21">
        <f t="shared" ref="B6:B30" si="13">IF($E6="","",IF($E5=$E6,B5,IF(B5=4,1,B5+1)))</f>
        <v>2</v>
      </c>
      <c r="C6" s="21">
        <f t="shared" ref="C6:C30" si="14">IF($E6="","",IF($E5=$E6,C5+1,0))</f>
        <v>1</v>
      </c>
      <c r="D6" s="21">
        <f t="shared" ref="D6:D30" si="15">IF($E6="","",IF(OR($F5="流局",$F5="チョンボ"),D5+($H5+$M5+$R5+$W5)/-1000,0))</f>
        <v>2</v>
      </c>
      <c r="E6" s="5" t="s">
        <v>22</v>
      </c>
      <c r="F6" s="10" t="s">
        <v>31</v>
      </c>
      <c r="G6" s="11">
        <v>3000</v>
      </c>
      <c r="H6" s="11">
        <v>3000</v>
      </c>
      <c r="I6" s="12">
        <f t="shared" si="8"/>
        <v>300</v>
      </c>
      <c r="J6" s="24">
        <f t="shared" si="9"/>
        <v>32300</v>
      </c>
      <c r="K6" s="10" t="s">
        <v>32</v>
      </c>
      <c r="L6" s="11">
        <v>-1000</v>
      </c>
      <c r="M6" s="11"/>
      <c r="N6" s="12">
        <f t="shared" si="0"/>
        <v>-100</v>
      </c>
      <c r="O6" s="24">
        <f t="shared" si="1"/>
        <v>24900</v>
      </c>
      <c r="P6" s="10" t="s">
        <v>32</v>
      </c>
      <c r="Q6" s="11">
        <v>-1000</v>
      </c>
      <c r="R6" s="11"/>
      <c r="S6" s="12">
        <f t="shared" si="10"/>
        <v>-100</v>
      </c>
      <c r="T6" s="24">
        <f t="shared" si="2"/>
        <v>23900</v>
      </c>
      <c r="U6" s="10" t="s">
        <v>32</v>
      </c>
      <c r="V6" s="11">
        <v>-1000</v>
      </c>
      <c r="W6" s="11">
        <v>-1000</v>
      </c>
      <c r="X6" s="12">
        <f t="shared" si="11"/>
        <v>-100</v>
      </c>
      <c r="Y6" s="24">
        <f t="shared" si="3"/>
        <v>18900</v>
      </c>
      <c r="Z6" s="35">
        <f t="shared" si="4"/>
        <v>7.3</v>
      </c>
      <c r="AA6" s="36">
        <f t="shared" si="5"/>
        <v>-0.1</v>
      </c>
      <c r="AB6" s="36">
        <f t="shared" si="6"/>
        <v>-1.1000000000000001</v>
      </c>
      <c r="AC6" s="37">
        <f t="shared" si="7"/>
        <v>-6.1</v>
      </c>
    </row>
    <row r="7" spans="1:29" x14ac:dyDescent="0.4">
      <c r="A7" s="17" t="str">
        <f t="shared" si="12"/>
        <v>東</v>
      </c>
      <c r="B7" s="21">
        <f t="shared" si="13"/>
        <v>2</v>
      </c>
      <c r="C7" s="21">
        <f t="shared" si="14"/>
        <v>2</v>
      </c>
      <c r="D7" s="21">
        <f t="shared" si="15"/>
        <v>0</v>
      </c>
      <c r="E7" s="5" t="s">
        <v>22</v>
      </c>
      <c r="F7" s="10"/>
      <c r="G7" s="11"/>
      <c r="H7" s="11"/>
      <c r="I7" s="12" t="str">
        <f t="shared" si="8"/>
        <v/>
      </c>
      <c r="J7" s="24">
        <f t="shared" si="9"/>
        <v>32300</v>
      </c>
      <c r="K7" s="10" t="s">
        <v>33</v>
      </c>
      <c r="L7" s="11">
        <v>6400</v>
      </c>
      <c r="M7" s="11"/>
      <c r="N7" s="12">
        <f t="shared" si="0"/>
        <v>600</v>
      </c>
      <c r="O7" s="24">
        <f t="shared" si="1"/>
        <v>31900</v>
      </c>
      <c r="P7" s="10" t="s">
        <v>34</v>
      </c>
      <c r="Q7" s="11">
        <v>-6400</v>
      </c>
      <c r="R7" s="11"/>
      <c r="S7" s="12">
        <f t="shared" si="10"/>
        <v>-600</v>
      </c>
      <c r="T7" s="24">
        <f t="shared" si="2"/>
        <v>16900</v>
      </c>
      <c r="U7" s="10"/>
      <c r="V7" s="11"/>
      <c r="W7" s="11"/>
      <c r="X7" s="12" t="str">
        <f t="shared" si="11"/>
        <v/>
      </c>
      <c r="Y7" s="24">
        <f>IF(COUNTA($F7,$K7,$P7,$U7)&gt;0,Y6+SUM(V7:X7),"")</f>
        <v>18900</v>
      </c>
      <c r="Z7" s="35">
        <f t="shared" si="4"/>
        <v>7.3</v>
      </c>
      <c r="AA7" s="36">
        <f t="shared" si="5"/>
        <v>6.9</v>
      </c>
      <c r="AB7" s="36">
        <f t="shared" si="6"/>
        <v>-8.1</v>
      </c>
      <c r="AC7" s="37">
        <f t="shared" si="7"/>
        <v>-6.1</v>
      </c>
    </row>
    <row r="8" spans="1:29" x14ac:dyDescent="0.4">
      <c r="A8" s="17" t="str">
        <f t="shared" si="12"/>
        <v>東</v>
      </c>
      <c r="B8" s="21">
        <f t="shared" si="13"/>
        <v>3</v>
      </c>
      <c r="C8" s="21">
        <f t="shared" si="14"/>
        <v>0</v>
      </c>
      <c r="D8" s="21">
        <f t="shared" si="15"/>
        <v>0</v>
      </c>
      <c r="E8" s="5" t="s">
        <v>24</v>
      </c>
      <c r="F8" s="10" t="s">
        <v>30</v>
      </c>
      <c r="G8" s="11">
        <v>-1000</v>
      </c>
      <c r="H8" s="11"/>
      <c r="I8" s="12" t="str">
        <f t="shared" si="8"/>
        <v/>
      </c>
      <c r="J8" s="24">
        <f t="shared" si="9"/>
        <v>31300</v>
      </c>
      <c r="K8" s="10" t="s">
        <v>30</v>
      </c>
      <c r="L8" s="11">
        <v>-1000</v>
      </c>
      <c r="M8" s="11"/>
      <c r="N8" s="12" t="str">
        <f t="shared" si="0"/>
        <v/>
      </c>
      <c r="O8" s="24">
        <f t="shared" si="1"/>
        <v>30900</v>
      </c>
      <c r="P8" s="10" t="s">
        <v>30</v>
      </c>
      <c r="Q8" s="11">
        <v>3000</v>
      </c>
      <c r="R8" s="11">
        <v>-1000</v>
      </c>
      <c r="S8" s="12" t="str">
        <f t="shared" si="10"/>
        <v/>
      </c>
      <c r="T8" s="24">
        <f t="shared" si="2"/>
        <v>18900</v>
      </c>
      <c r="U8" s="10" t="s">
        <v>30</v>
      </c>
      <c r="V8" s="11">
        <v>-1000</v>
      </c>
      <c r="W8" s="11"/>
      <c r="X8" s="12" t="str">
        <f t="shared" si="11"/>
        <v/>
      </c>
      <c r="Y8" s="24">
        <f t="shared" si="3"/>
        <v>17900</v>
      </c>
      <c r="Z8" s="35">
        <f t="shared" si="4"/>
        <v>6.3</v>
      </c>
      <c r="AA8" s="36">
        <f t="shared" si="5"/>
        <v>5.9</v>
      </c>
      <c r="AB8" s="36">
        <f t="shared" si="6"/>
        <v>-6.1</v>
      </c>
      <c r="AC8" s="37">
        <f t="shared" si="7"/>
        <v>-7.1</v>
      </c>
    </row>
    <row r="9" spans="1:29" x14ac:dyDescent="0.4">
      <c r="A9" s="17" t="str">
        <f t="shared" si="12"/>
        <v>東</v>
      </c>
      <c r="B9" s="21">
        <f t="shared" si="13"/>
        <v>4</v>
      </c>
      <c r="C9" s="21">
        <f t="shared" si="14"/>
        <v>0</v>
      </c>
      <c r="D9" s="21">
        <f>IF($E9="","",IF(OR($F8="流局",$F8="チョンボ"),D8+($H8+$M8+$R8+$W8)/-1000,0))</f>
        <v>1</v>
      </c>
      <c r="E9" s="5" t="s">
        <v>26</v>
      </c>
      <c r="F9" s="10" t="s">
        <v>32</v>
      </c>
      <c r="G9" s="11">
        <v>-2000</v>
      </c>
      <c r="H9" s="11"/>
      <c r="I9" s="12">
        <f t="shared" si="8"/>
        <v>0</v>
      </c>
      <c r="J9" s="24">
        <f t="shared" si="9"/>
        <v>29300</v>
      </c>
      <c r="K9" s="10" t="s">
        <v>32</v>
      </c>
      <c r="L9" s="11">
        <v>-2000</v>
      </c>
      <c r="M9" s="11"/>
      <c r="N9" s="12">
        <f t="shared" si="0"/>
        <v>0</v>
      </c>
      <c r="O9" s="24">
        <f t="shared" si="1"/>
        <v>28900</v>
      </c>
      <c r="P9" s="10" t="s">
        <v>31</v>
      </c>
      <c r="Q9" s="11">
        <v>6000</v>
      </c>
      <c r="R9" s="11">
        <v>1000</v>
      </c>
      <c r="S9" s="12">
        <f t="shared" si="10"/>
        <v>0</v>
      </c>
      <c r="T9" s="24">
        <f t="shared" si="2"/>
        <v>25900</v>
      </c>
      <c r="U9" s="10" t="s">
        <v>32</v>
      </c>
      <c r="V9" s="11">
        <v>-2000</v>
      </c>
      <c r="W9" s="11"/>
      <c r="X9" s="12">
        <f t="shared" si="11"/>
        <v>0</v>
      </c>
      <c r="Y9" s="24">
        <f t="shared" si="3"/>
        <v>15900</v>
      </c>
      <c r="Z9" s="35">
        <f t="shared" si="4"/>
        <v>4.3</v>
      </c>
      <c r="AA9" s="36">
        <f t="shared" si="5"/>
        <v>3.9</v>
      </c>
      <c r="AB9" s="36">
        <f t="shared" si="6"/>
        <v>0.9</v>
      </c>
      <c r="AC9" s="37">
        <f t="shared" si="7"/>
        <v>-9.1</v>
      </c>
    </row>
    <row r="10" spans="1:29" x14ac:dyDescent="0.4">
      <c r="A10" s="17" t="str">
        <f t="shared" si="12"/>
        <v>東</v>
      </c>
      <c r="B10" s="21">
        <f t="shared" si="13"/>
        <v>4</v>
      </c>
      <c r="C10" s="21">
        <f t="shared" si="14"/>
        <v>1</v>
      </c>
      <c r="D10" s="21">
        <f>IF($E10="","",IF(OR($F9="流局",$F9="チョンボ"),D9+($H9+$M9+$R9+$W9)/-1000,0))</f>
        <v>0</v>
      </c>
      <c r="E10" s="5" t="s">
        <v>26</v>
      </c>
      <c r="F10" s="10" t="s">
        <v>33</v>
      </c>
      <c r="G10" s="11">
        <v>1000</v>
      </c>
      <c r="H10" s="11"/>
      <c r="I10" s="12">
        <f t="shared" si="8"/>
        <v>300</v>
      </c>
      <c r="J10" s="24">
        <f t="shared" si="9"/>
        <v>30600</v>
      </c>
      <c r="K10" s="10"/>
      <c r="L10" s="11"/>
      <c r="M10" s="11"/>
      <c r="N10" s="12" t="str">
        <f t="shared" si="0"/>
        <v/>
      </c>
      <c r="O10" s="24">
        <f t="shared" si="1"/>
        <v>28900</v>
      </c>
      <c r="P10" s="10"/>
      <c r="Q10" s="11"/>
      <c r="R10" s="11"/>
      <c r="S10" s="12" t="str">
        <f t="shared" si="10"/>
        <v/>
      </c>
      <c r="T10" s="24">
        <f t="shared" si="2"/>
        <v>25900</v>
      </c>
      <c r="U10" s="10" t="s">
        <v>34</v>
      </c>
      <c r="V10" s="11">
        <v>-1000</v>
      </c>
      <c r="W10" s="11"/>
      <c r="X10" s="12">
        <f t="shared" si="11"/>
        <v>-300</v>
      </c>
      <c r="Y10" s="24">
        <f t="shared" si="3"/>
        <v>14600</v>
      </c>
      <c r="Z10" s="35">
        <f t="shared" si="4"/>
        <v>5.6</v>
      </c>
      <c r="AA10" s="36">
        <f t="shared" si="5"/>
        <v>3.9</v>
      </c>
      <c r="AB10" s="36">
        <f t="shared" si="6"/>
        <v>0.9</v>
      </c>
      <c r="AC10" s="37">
        <f t="shared" si="7"/>
        <v>-10.4</v>
      </c>
    </row>
    <row r="11" spans="1:29" x14ac:dyDescent="0.4">
      <c r="A11" s="17" t="str">
        <f t="shared" si="12"/>
        <v/>
      </c>
      <c r="B11" s="21" t="str">
        <f t="shared" si="13"/>
        <v/>
      </c>
      <c r="C11" s="21" t="str">
        <f t="shared" si="14"/>
        <v/>
      </c>
      <c r="D11" s="21" t="str">
        <f>IF($E11="","",IF(OR($F10="流局",$F10="チョンボ"),D10+($H10+$M10+$R10+$W10)/-1000,0))</f>
        <v/>
      </c>
      <c r="E11" s="5"/>
      <c r="F11" s="10"/>
      <c r="G11" s="11"/>
      <c r="H11" s="11"/>
      <c r="I11" s="12" t="str">
        <f t="shared" si="8"/>
        <v/>
      </c>
      <c r="J11" s="24" t="str">
        <f t="shared" si="9"/>
        <v/>
      </c>
      <c r="K11" s="10"/>
      <c r="L11" s="11"/>
      <c r="M11" s="11"/>
      <c r="N11" s="12" t="str">
        <f t="shared" si="0"/>
        <v/>
      </c>
      <c r="O11" s="24" t="str">
        <f t="shared" si="1"/>
        <v/>
      </c>
      <c r="P11" s="10"/>
      <c r="Q11" s="11"/>
      <c r="R11" s="11"/>
      <c r="S11" s="12" t="str">
        <f t="shared" si="10"/>
        <v/>
      </c>
      <c r="T11" s="24" t="str">
        <f t="shared" si="2"/>
        <v/>
      </c>
      <c r="U11" s="10"/>
      <c r="V11" s="11"/>
      <c r="W11" s="11"/>
      <c r="X11" s="12" t="str">
        <f t="shared" si="11"/>
        <v/>
      </c>
      <c r="Y11" s="24" t="str">
        <f t="shared" si="3"/>
        <v/>
      </c>
      <c r="Z11" s="35" t="str">
        <f t="shared" si="4"/>
        <v/>
      </c>
      <c r="AA11" s="36" t="str">
        <f t="shared" si="5"/>
        <v/>
      </c>
      <c r="AB11" s="36" t="str">
        <f t="shared" si="6"/>
        <v/>
      </c>
      <c r="AC11" s="37" t="str">
        <f t="shared" si="7"/>
        <v/>
      </c>
    </row>
    <row r="12" spans="1:29" x14ac:dyDescent="0.4">
      <c r="A12" s="17" t="str">
        <f t="shared" si="12"/>
        <v/>
      </c>
      <c r="B12" s="21" t="str">
        <f t="shared" si="13"/>
        <v/>
      </c>
      <c r="C12" s="21" t="str">
        <f t="shared" si="14"/>
        <v/>
      </c>
      <c r="D12" s="21" t="str">
        <f>IF($E12="","",IF(OR($F11="流局",$F11="チョンボ"),D11+($H11+$M11+$R11+$W11)/-1000,0))</f>
        <v/>
      </c>
      <c r="E12" s="5"/>
      <c r="F12" s="10"/>
      <c r="G12" s="11"/>
      <c r="H12" s="11"/>
      <c r="I12" s="12" t="str">
        <f t="shared" si="8"/>
        <v/>
      </c>
      <c r="J12" s="24" t="str">
        <f t="shared" si="9"/>
        <v/>
      </c>
      <c r="K12" s="10"/>
      <c r="L12" s="11"/>
      <c r="M12" s="11"/>
      <c r="N12" s="12" t="str">
        <f t="shared" si="0"/>
        <v/>
      </c>
      <c r="O12" s="24" t="str">
        <f t="shared" si="1"/>
        <v/>
      </c>
      <c r="P12" s="10"/>
      <c r="Q12" s="11"/>
      <c r="R12" s="11"/>
      <c r="S12" s="12" t="str">
        <f t="shared" si="10"/>
        <v/>
      </c>
      <c r="T12" s="24" t="str">
        <f t="shared" si="2"/>
        <v/>
      </c>
      <c r="U12" s="10"/>
      <c r="V12" s="11"/>
      <c r="W12" s="11"/>
      <c r="X12" s="12" t="str">
        <f t="shared" si="11"/>
        <v/>
      </c>
      <c r="Y12" s="24" t="str">
        <f t="shared" si="3"/>
        <v/>
      </c>
      <c r="Z12" s="35" t="str">
        <f t="shared" si="4"/>
        <v/>
      </c>
      <c r="AA12" s="36" t="str">
        <f t="shared" si="5"/>
        <v/>
      </c>
      <c r="AB12" s="36" t="str">
        <f t="shared" si="6"/>
        <v/>
      </c>
      <c r="AC12" s="37" t="str">
        <f t="shared" si="7"/>
        <v/>
      </c>
    </row>
    <row r="13" spans="1:29" x14ac:dyDescent="0.4">
      <c r="A13" s="17" t="str">
        <f t="shared" si="12"/>
        <v/>
      </c>
      <c r="B13" s="21" t="str">
        <f t="shared" si="13"/>
        <v/>
      </c>
      <c r="C13" s="21" t="str">
        <f t="shared" si="14"/>
        <v/>
      </c>
      <c r="D13" s="21" t="str">
        <f>IF($E13="","",IF(OR($F12="流局",$F12="チョンボ"),D12+($H12+$M12+$R12+$W12)/-1000,0))</f>
        <v/>
      </c>
      <c r="E13" s="5"/>
      <c r="F13" s="10"/>
      <c r="G13" s="11"/>
      <c r="H13" s="11"/>
      <c r="I13" s="12" t="str">
        <f t="shared" si="8"/>
        <v/>
      </c>
      <c r="J13" s="24" t="str">
        <f t="shared" si="9"/>
        <v/>
      </c>
      <c r="K13" s="10"/>
      <c r="L13" s="11"/>
      <c r="M13" s="11"/>
      <c r="N13" s="12" t="str">
        <f t="shared" si="0"/>
        <v/>
      </c>
      <c r="O13" s="24" t="str">
        <f t="shared" si="1"/>
        <v/>
      </c>
      <c r="P13" s="10"/>
      <c r="Q13" s="11"/>
      <c r="R13" s="11"/>
      <c r="S13" s="12" t="str">
        <f t="shared" si="10"/>
        <v/>
      </c>
      <c r="T13" s="24" t="str">
        <f t="shared" si="2"/>
        <v/>
      </c>
      <c r="U13" s="10"/>
      <c r="V13" s="11"/>
      <c r="W13" s="11"/>
      <c r="X13" s="12" t="str">
        <f t="shared" si="11"/>
        <v/>
      </c>
      <c r="Y13" s="24" t="str">
        <f t="shared" si="3"/>
        <v/>
      </c>
      <c r="Z13" s="35" t="str">
        <f t="shared" si="4"/>
        <v/>
      </c>
      <c r="AA13" s="36" t="str">
        <f t="shared" si="5"/>
        <v/>
      </c>
      <c r="AB13" s="36" t="str">
        <f t="shared" si="6"/>
        <v/>
      </c>
      <c r="AC13" s="37" t="str">
        <f t="shared" si="7"/>
        <v/>
      </c>
    </row>
    <row r="14" spans="1:29" x14ac:dyDescent="0.4">
      <c r="A14" s="17" t="str">
        <f t="shared" si="12"/>
        <v/>
      </c>
      <c r="B14" s="21" t="str">
        <f t="shared" si="13"/>
        <v/>
      </c>
      <c r="C14" s="21" t="str">
        <f t="shared" si="14"/>
        <v/>
      </c>
      <c r="D14" s="21" t="str">
        <f t="shared" si="15"/>
        <v/>
      </c>
      <c r="E14" s="5"/>
      <c r="F14" s="10"/>
      <c r="G14" s="11"/>
      <c r="H14" s="11"/>
      <c r="I14" s="12" t="str">
        <f t="shared" si="8"/>
        <v/>
      </c>
      <c r="J14" s="24" t="str">
        <f t="shared" si="9"/>
        <v/>
      </c>
      <c r="K14" s="10"/>
      <c r="L14" s="11"/>
      <c r="M14" s="11"/>
      <c r="N14" s="12" t="str">
        <f t="shared" si="0"/>
        <v/>
      </c>
      <c r="O14" s="24" t="str">
        <f t="shared" si="1"/>
        <v/>
      </c>
      <c r="P14" s="10"/>
      <c r="Q14" s="11"/>
      <c r="R14" s="11"/>
      <c r="S14" s="12" t="str">
        <f t="shared" si="10"/>
        <v/>
      </c>
      <c r="T14" s="24" t="str">
        <f t="shared" si="2"/>
        <v/>
      </c>
      <c r="U14" s="10"/>
      <c r="V14" s="11"/>
      <c r="W14" s="11"/>
      <c r="X14" s="12" t="str">
        <f t="shared" si="11"/>
        <v/>
      </c>
      <c r="Y14" s="24" t="str">
        <f t="shared" si="3"/>
        <v/>
      </c>
      <c r="Z14" s="35" t="str">
        <f t="shared" si="4"/>
        <v/>
      </c>
      <c r="AA14" s="36" t="str">
        <f t="shared" si="5"/>
        <v/>
      </c>
      <c r="AB14" s="36" t="str">
        <f t="shared" si="6"/>
        <v/>
      </c>
      <c r="AC14" s="37" t="str">
        <f t="shared" si="7"/>
        <v/>
      </c>
    </row>
    <row r="15" spans="1:29" x14ac:dyDescent="0.4">
      <c r="A15" s="17" t="str">
        <f t="shared" si="12"/>
        <v/>
      </c>
      <c r="B15" s="21" t="str">
        <f t="shared" si="13"/>
        <v/>
      </c>
      <c r="C15" s="21" t="str">
        <f t="shared" si="14"/>
        <v/>
      </c>
      <c r="D15" s="21" t="str">
        <f t="shared" si="15"/>
        <v/>
      </c>
      <c r="E15" s="5"/>
      <c r="F15" s="10"/>
      <c r="G15" s="11"/>
      <c r="H15" s="11"/>
      <c r="I15" s="12" t="str">
        <f t="shared" si="8"/>
        <v/>
      </c>
      <c r="J15" s="24" t="str">
        <f t="shared" si="9"/>
        <v/>
      </c>
      <c r="K15" s="10"/>
      <c r="L15" s="11"/>
      <c r="M15" s="11"/>
      <c r="N15" s="12" t="str">
        <f t="shared" si="0"/>
        <v/>
      </c>
      <c r="O15" s="24" t="str">
        <f t="shared" si="1"/>
        <v/>
      </c>
      <c r="P15" s="10"/>
      <c r="Q15" s="11"/>
      <c r="R15" s="11"/>
      <c r="S15" s="12" t="str">
        <f t="shared" si="10"/>
        <v/>
      </c>
      <c r="T15" s="24" t="str">
        <f t="shared" si="2"/>
        <v/>
      </c>
      <c r="U15" s="10"/>
      <c r="V15" s="11"/>
      <c r="W15" s="11"/>
      <c r="X15" s="12" t="str">
        <f t="shared" si="11"/>
        <v/>
      </c>
      <c r="Y15" s="24" t="str">
        <f t="shared" si="3"/>
        <v/>
      </c>
      <c r="Z15" s="35" t="str">
        <f t="shared" si="4"/>
        <v/>
      </c>
      <c r="AA15" s="36" t="str">
        <f t="shared" si="5"/>
        <v/>
      </c>
      <c r="AB15" s="36" t="str">
        <f t="shared" si="6"/>
        <v/>
      </c>
      <c r="AC15" s="37" t="str">
        <f t="shared" si="7"/>
        <v/>
      </c>
    </row>
    <row r="16" spans="1:29" x14ac:dyDescent="0.4">
      <c r="A16" s="17" t="str">
        <f t="shared" si="12"/>
        <v/>
      </c>
      <c r="B16" s="21" t="str">
        <f t="shared" si="13"/>
        <v/>
      </c>
      <c r="C16" s="21" t="str">
        <f t="shared" si="14"/>
        <v/>
      </c>
      <c r="D16" s="21" t="str">
        <f t="shared" si="15"/>
        <v/>
      </c>
      <c r="E16" s="5"/>
      <c r="F16" s="10"/>
      <c r="G16" s="11"/>
      <c r="H16" s="11"/>
      <c r="I16" s="12" t="str">
        <f t="shared" si="8"/>
        <v/>
      </c>
      <c r="J16" s="24" t="str">
        <f t="shared" si="9"/>
        <v/>
      </c>
      <c r="K16" s="10"/>
      <c r="L16" s="11"/>
      <c r="M16" s="11"/>
      <c r="N16" s="12" t="str">
        <f t="shared" si="0"/>
        <v/>
      </c>
      <c r="O16" s="24" t="str">
        <f t="shared" si="1"/>
        <v/>
      </c>
      <c r="P16" s="10"/>
      <c r="Q16" s="11"/>
      <c r="R16" s="11"/>
      <c r="S16" s="12" t="str">
        <f t="shared" si="10"/>
        <v/>
      </c>
      <c r="T16" s="24" t="str">
        <f t="shared" si="2"/>
        <v/>
      </c>
      <c r="U16" s="10"/>
      <c r="V16" s="11"/>
      <c r="W16" s="11"/>
      <c r="X16" s="12" t="str">
        <f t="shared" si="11"/>
        <v/>
      </c>
      <c r="Y16" s="24" t="str">
        <f t="shared" si="3"/>
        <v/>
      </c>
      <c r="Z16" s="35" t="str">
        <f t="shared" si="4"/>
        <v/>
      </c>
      <c r="AA16" s="36" t="str">
        <f t="shared" si="5"/>
        <v/>
      </c>
      <c r="AB16" s="36" t="str">
        <f t="shared" si="6"/>
        <v/>
      </c>
      <c r="AC16" s="37" t="str">
        <f t="shared" si="7"/>
        <v/>
      </c>
    </row>
    <row r="17" spans="1:29" x14ac:dyDescent="0.4">
      <c r="A17" s="17" t="str">
        <f t="shared" si="12"/>
        <v/>
      </c>
      <c r="B17" s="21" t="str">
        <f t="shared" si="13"/>
        <v/>
      </c>
      <c r="C17" s="21" t="str">
        <f t="shared" si="14"/>
        <v/>
      </c>
      <c r="D17" s="21" t="str">
        <f t="shared" si="15"/>
        <v/>
      </c>
      <c r="E17" s="5"/>
      <c r="F17" s="10"/>
      <c r="G17" s="11"/>
      <c r="H17" s="11"/>
      <c r="I17" s="12" t="str">
        <f t="shared" si="8"/>
        <v/>
      </c>
      <c r="J17" s="24" t="str">
        <f t="shared" si="9"/>
        <v/>
      </c>
      <c r="K17" s="10"/>
      <c r="L17" s="11"/>
      <c r="M17" s="11"/>
      <c r="N17" s="12" t="str">
        <f t="shared" si="0"/>
        <v/>
      </c>
      <c r="O17" s="24" t="str">
        <f t="shared" si="1"/>
        <v/>
      </c>
      <c r="P17" s="10"/>
      <c r="Q17" s="11"/>
      <c r="R17" s="11"/>
      <c r="S17" s="12" t="str">
        <f t="shared" si="10"/>
        <v/>
      </c>
      <c r="T17" s="24" t="str">
        <f t="shared" si="2"/>
        <v/>
      </c>
      <c r="U17" s="10"/>
      <c r="V17" s="11"/>
      <c r="W17" s="11"/>
      <c r="X17" s="12" t="str">
        <f t="shared" si="11"/>
        <v/>
      </c>
      <c r="Y17" s="24" t="str">
        <f t="shared" si="3"/>
        <v/>
      </c>
      <c r="Z17" s="35" t="str">
        <f t="shared" si="4"/>
        <v/>
      </c>
      <c r="AA17" s="36" t="str">
        <f t="shared" si="5"/>
        <v/>
      </c>
      <c r="AB17" s="36" t="str">
        <f t="shared" si="6"/>
        <v/>
      </c>
      <c r="AC17" s="37" t="str">
        <f t="shared" si="7"/>
        <v/>
      </c>
    </row>
    <row r="18" spans="1:29" x14ac:dyDescent="0.4">
      <c r="A18" s="17" t="str">
        <f t="shared" si="12"/>
        <v/>
      </c>
      <c r="B18" s="21" t="str">
        <f t="shared" si="13"/>
        <v/>
      </c>
      <c r="C18" s="21" t="str">
        <f t="shared" si="14"/>
        <v/>
      </c>
      <c r="D18" s="21" t="str">
        <f t="shared" si="15"/>
        <v/>
      </c>
      <c r="E18" s="5"/>
      <c r="F18" s="10"/>
      <c r="G18" s="11"/>
      <c r="H18" s="11"/>
      <c r="I18" s="12" t="str">
        <f t="shared" si="8"/>
        <v/>
      </c>
      <c r="J18" s="24" t="str">
        <f t="shared" si="9"/>
        <v/>
      </c>
      <c r="K18" s="10"/>
      <c r="L18" s="11"/>
      <c r="M18" s="11"/>
      <c r="N18" s="12" t="str">
        <f t="shared" si="0"/>
        <v/>
      </c>
      <c r="O18" s="24" t="str">
        <f t="shared" si="1"/>
        <v/>
      </c>
      <c r="P18" s="10"/>
      <c r="Q18" s="11"/>
      <c r="R18" s="11"/>
      <c r="S18" s="12" t="str">
        <f t="shared" si="10"/>
        <v/>
      </c>
      <c r="T18" s="24" t="str">
        <f t="shared" si="2"/>
        <v/>
      </c>
      <c r="U18" s="10"/>
      <c r="V18" s="11"/>
      <c r="W18" s="11"/>
      <c r="X18" s="12" t="str">
        <f t="shared" si="11"/>
        <v/>
      </c>
      <c r="Y18" s="24" t="str">
        <f t="shared" si="3"/>
        <v/>
      </c>
      <c r="Z18" s="35" t="str">
        <f t="shared" si="4"/>
        <v/>
      </c>
      <c r="AA18" s="36" t="str">
        <f t="shared" si="5"/>
        <v/>
      </c>
      <c r="AB18" s="36" t="str">
        <f t="shared" si="6"/>
        <v/>
      </c>
      <c r="AC18" s="37" t="str">
        <f t="shared" si="7"/>
        <v/>
      </c>
    </row>
    <row r="19" spans="1:29" x14ac:dyDescent="0.4">
      <c r="A19" s="17" t="str">
        <f t="shared" si="12"/>
        <v/>
      </c>
      <c r="B19" s="21" t="str">
        <f t="shared" si="13"/>
        <v/>
      </c>
      <c r="C19" s="21" t="str">
        <f t="shared" si="14"/>
        <v/>
      </c>
      <c r="D19" s="21" t="str">
        <f t="shared" si="15"/>
        <v/>
      </c>
      <c r="E19" s="5"/>
      <c r="F19" s="10"/>
      <c r="G19" s="11"/>
      <c r="H19" s="11"/>
      <c r="I19" s="12" t="str">
        <f t="shared" si="8"/>
        <v/>
      </c>
      <c r="J19" s="24" t="str">
        <f t="shared" si="9"/>
        <v/>
      </c>
      <c r="K19" s="10"/>
      <c r="L19" s="11"/>
      <c r="M19" s="11"/>
      <c r="N19" s="12" t="str">
        <f t="shared" si="0"/>
        <v/>
      </c>
      <c r="O19" s="24" t="str">
        <f t="shared" si="1"/>
        <v/>
      </c>
      <c r="P19" s="10"/>
      <c r="Q19" s="11"/>
      <c r="R19" s="11"/>
      <c r="S19" s="12" t="str">
        <f t="shared" si="10"/>
        <v/>
      </c>
      <c r="T19" s="24" t="str">
        <f t="shared" si="2"/>
        <v/>
      </c>
      <c r="U19" s="10"/>
      <c r="V19" s="11"/>
      <c r="W19" s="11"/>
      <c r="X19" s="12" t="str">
        <f t="shared" si="11"/>
        <v/>
      </c>
      <c r="Y19" s="24" t="str">
        <f t="shared" si="3"/>
        <v/>
      </c>
      <c r="Z19" s="35" t="str">
        <f t="shared" si="4"/>
        <v/>
      </c>
      <c r="AA19" s="36" t="str">
        <f t="shared" si="5"/>
        <v/>
      </c>
      <c r="AB19" s="36" t="str">
        <f t="shared" si="6"/>
        <v/>
      </c>
      <c r="AC19" s="37" t="str">
        <f t="shared" si="7"/>
        <v/>
      </c>
    </row>
    <row r="20" spans="1:29" x14ac:dyDescent="0.4">
      <c r="A20" s="17" t="str">
        <f t="shared" si="12"/>
        <v/>
      </c>
      <c r="B20" s="21" t="str">
        <f t="shared" si="13"/>
        <v/>
      </c>
      <c r="C20" s="21" t="str">
        <f t="shared" si="14"/>
        <v/>
      </c>
      <c r="D20" s="21" t="str">
        <f t="shared" si="15"/>
        <v/>
      </c>
      <c r="E20" s="5"/>
      <c r="F20" s="10"/>
      <c r="G20" s="11"/>
      <c r="H20" s="11"/>
      <c r="I20" s="12" t="str">
        <f t="shared" si="8"/>
        <v/>
      </c>
      <c r="J20" s="24" t="str">
        <f t="shared" si="9"/>
        <v/>
      </c>
      <c r="K20" s="10"/>
      <c r="L20" s="11"/>
      <c r="M20" s="11"/>
      <c r="N20" s="12" t="str">
        <f t="shared" si="0"/>
        <v/>
      </c>
      <c r="O20" s="24" t="str">
        <f t="shared" si="1"/>
        <v/>
      </c>
      <c r="P20" s="10"/>
      <c r="Q20" s="11"/>
      <c r="R20" s="11"/>
      <c r="S20" s="12" t="str">
        <f t="shared" si="10"/>
        <v/>
      </c>
      <c r="T20" s="24" t="str">
        <f t="shared" si="2"/>
        <v/>
      </c>
      <c r="U20" s="10"/>
      <c r="V20" s="11"/>
      <c r="W20" s="11"/>
      <c r="X20" s="12" t="str">
        <f t="shared" si="11"/>
        <v/>
      </c>
      <c r="Y20" s="24" t="str">
        <f t="shared" si="3"/>
        <v/>
      </c>
      <c r="Z20" s="35" t="str">
        <f t="shared" si="4"/>
        <v/>
      </c>
      <c r="AA20" s="36" t="str">
        <f t="shared" si="5"/>
        <v/>
      </c>
      <c r="AB20" s="36" t="str">
        <f t="shared" si="6"/>
        <v/>
      </c>
      <c r="AC20" s="37" t="str">
        <f t="shared" si="7"/>
        <v/>
      </c>
    </row>
    <row r="21" spans="1:29" x14ac:dyDescent="0.4">
      <c r="A21" s="17" t="str">
        <f t="shared" si="12"/>
        <v/>
      </c>
      <c r="B21" s="21" t="str">
        <f t="shared" si="13"/>
        <v/>
      </c>
      <c r="C21" s="21" t="str">
        <f t="shared" si="14"/>
        <v/>
      </c>
      <c r="D21" s="21" t="str">
        <f t="shared" si="15"/>
        <v/>
      </c>
      <c r="E21" s="5"/>
      <c r="F21" s="10"/>
      <c r="G21" s="11"/>
      <c r="H21" s="11"/>
      <c r="I21" s="12" t="str">
        <f t="shared" si="8"/>
        <v/>
      </c>
      <c r="J21" s="24" t="str">
        <f t="shared" si="9"/>
        <v/>
      </c>
      <c r="K21" s="10"/>
      <c r="L21" s="11"/>
      <c r="M21" s="11"/>
      <c r="N21" s="12" t="str">
        <f t="shared" si="0"/>
        <v/>
      </c>
      <c r="O21" s="24" t="str">
        <f t="shared" si="1"/>
        <v/>
      </c>
      <c r="P21" s="10"/>
      <c r="Q21" s="11"/>
      <c r="R21" s="11"/>
      <c r="S21" s="12" t="str">
        <f t="shared" si="10"/>
        <v/>
      </c>
      <c r="T21" s="24" t="str">
        <f t="shared" si="2"/>
        <v/>
      </c>
      <c r="U21" s="10"/>
      <c r="V21" s="11"/>
      <c r="W21" s="11"/>
      <c r="X21" s="12" t="str">
        <f t="shared" si="11"/>
        <v/>
      </c>
      <c r="Y21" s="24" t="str">
        <f t="shared" si="3"/>
        <v/>
      </c>
      <c r="Z21" s="35" t="str">
        <f t="shared" si="4"/>
        <v/>
      </c>
      <c r="AA21" s="36" t="str">
        <f t="shared" si="5"/>
        <v/>
      </c>
      <c r="AB21" s="36" t="str">
        <f t="shared" si="6"/>
        <v/>
      </c>
      <c r="AC21" s="37" t="str">
        <f t="shared" si="7"/>
        <v/>
      </c>
    </row>
    <row r="22" spans="1:29" x14ac:dyDescent="0.4">
      <c r="A22" s="17" t="str">
        <f t="shared" si="12"/>
        <v/>
      </c>
      <c r="B22" s="21" t="str">
        <f t="shared" si="13"/>
        <v/>
      </c>
      <c r="C22" s="21" t="str">
        <f t="shared" si="14"/>
        <v/>
      </c>
      <c r="D22" s="21" t="str">
        <f t="shared" si="15"/>
        <v/>
      </c>
      <c r="E22" s="5"/>
      <c r="F22" s="10"/>
      <c r="G22" s="11"/>
      <c r="H22" s="11"/>
      <c r="I22" s="12" t="str">
        <f t="shared" si="8"/>
        <v/>
      </c>
      <c r="J22" s="24" t="str">
        <f t="shared" si="9"/>
        <v/>
      </c>
      <c r="K22" s="10"/>
      <c r="L22" s="11"/>
      <c r="M22" s="11"/>
      <c r="N22" s="12" t="str">
        <f t="shared" si="0"/>
        <v/>
      </c>
      <c r="O22" s="24" t="str">
        <f t="shared" si="1"/>
        <v/>
      </c>
      <c r="P22" s="10"/>
      <c r="Q22" s="11"/>
      <c r="R22" s="11"/>
      <c r="S22" s="12" t="str">
        <f t="shared" si="10"/>
        <v/>
      </c>
      <c r="T22" s="24" t="str">
        <f t="shared" si="2"/>
        <v/>
      </c>
      <c r="U22" s="10"/>
      <c r="V22" s="11"/>
      <c r="W22" s="11"/>
      <c r="X22" s="12" t="str">
        <f t="shared" si="11"/>
        <v/>
      </c>
      <c r="Y22" s="24" t="str">
        <f t="shared" si="3"/>
        <v/>
      </c>
      <c r="Z22" s="35" t="str">
        <f t="shared" si="4"/>
        <v/>
      </c>
      <c r="AA22" s="36" t="str">
        <f t="shared" si="5"/>
        <v/>
      </c>
      <c r="AB22" s="36" t="str">
        <f t="shared" si="6"/>
        <v/>
      </c>
      <c r="AC22" s="37" t="str">
        <f t="shared" si="7"/>
        <v/>
      </c>
    </row>
    <row r="23" spans="1:29" x14ac:dyDescent="0.4">
      <c r="A23" s="17" t="str">
        <f t="shared" si="12"/>
        <v/>
      </c>
      <c r="B23" s="21" t="str">
        <f t="shared" si="13"/>
        <v/>
      </c>
      <c r="C23" s="21" t="str">
        <f t="shared" si="14"/>
        <v/>
      </c>
      <c r="D23" s="21" t="str">
        <f t="shared" si="15"/>
        <v/>
      </c>
      <c r="E23" s="5"/>
      <c r="F23" s="10"/>
      <c r="G23" s="11"/>
      <c r="H23" s="11"/>
      <c r="I23" s="12" t="str">
        <f t="shared" si="8"/>
        <v/>
      </c>
      <c r="J23" s="24" t="str">
        <f t="shared" si="9"/>
        <v/>
      </c>
      <c r="K23" s="10"/>
      <c r="L23" s="11"/>
      <c r="M23" s="11"/>
      <c r="N23" s="12" t="str">
        <f t="shared" si="0"/>
        <v/>
      </c>
      <c r="O23" s="24" t="str">
        <f t="shared" si="1"/>
        <v/>
      </c>
      <c r="P23" s="10"/>
      <c r="Q23" s="11"/>
      <c r="R23" s="11"/>
      <c r="S23" s="12" t="str">
        <f t="shared" si="10"/>
        <v/>
      </c>
      <c r="T23" s="24" t="str">
        <f t="shared" si="2"/>
        <v/>
      </c>
      <c r="U23" s="10"/>
      <c r="V23" s="11"/>
      <c r="W23" s="11"/>
      <c r="X23" s="12" t="str">
        <f t="shared" si="11"/>
        <v/>
      </c>
      <c r="Y23" s="24" t="str">
        <f t="shared" si="3"/>
        <v/>
      </c>
      <c r="Z23" s="35" t="str">
        <f t="shared" si="4"/>
        <v/>
      </c>
      <c r="AA23" s="36" t="str">
        <f t="shared" si="5"/>
        <v/>
      </c>
      <c r="AB23" s="36" t="str">
        <f t="shared" si="6"/>
        <v/>
      </c>
      <c r="AC23" s="37" t="str">
        <f t="shared" si="7"/>
        <v/>
      </c>
    </row>
    <row r="24" spans="1:29" x14ac:dyDescent="0.4">
      <c r="A24" s="17" t="str">
        <f t="shared" si="12"/>
        <v/>
      </c>
      <c r="B24" s="21" t="str">
        <f t="shared" si="13"/>
        <v/>
      </c>
      <c r="C24" s="21" t="str">
        <f t="shared" si="14"/>
        <v/>
      </c>
      <c r="D24" s="21" t="str">
        <f t="shared" si="15"/>
        <v/>
      </c>
      <c r="E24" s="5"/>
      <c r="F24" s="10"/>
      <c r="G24" s="11"/>
      <c r="H24" s="11"/>
      <c r="I24" s="12" t="str">
        <f t="shared" si="8"/>
        <v/>
      </c>
      <c r="J24" s="24" t="str">
        <f t="shared" si="9"/>
        <v/>
      </c>
      <c r="K24" s="10"/>
      <c r="L24" s="11"/>
      <c r="M24" s="11"/>
      <c r="N24" s="12" t="str">
        <f t="shared" si="0"/>
        <v/>
      </c>
      <c r="O24" s="24" t="str">
        <f t="shared" si="1"/>
        <v/>
      </c>
      <c r="P24" s="10"/>
      <c r="Q24" s="11"/>
      <c r="R24" s="11"/>
      <c r="S24" s="12" t="str">
        <f t="shared" si="10"/>
        <v/>
      </c>
      <c r="T24" s="24" t="str">
        <f t="shared" si="2"/>
        <v/>
      </c>
      <c r="U24" s="10"/>
      <c r="V24" s="11"/>
      <c r="W24" s="11"/>
      <c r="X24" s="12" t="str">
        <f t="shared" si="11"/>
        <v/>
      </c>
      <c r="Y24" s="24" t="str">
        <f t="shared" si="3"/>
        <v/>
      </c>
      <c r="Z24" s="35" t="str">
        <f t="shared" si="4"/>
        <v/>
      </c>
      <c r="AA24" s="36" t="str">
        <f t="shared" si="5"/>
        <v/>
      </c>
      <c r="AB24" s="36" t="str">
        <f t="shared" si="6"/>
        <v/>
      </c>
      <c r="AC24" s="37" t="str">
        <f t="shared" si="7"/>
        <v/>
      </c>
    </row>
    <row r="25" spans="1:29" x14ac:dyDescent="0.4">
      <c r="A25" s="17" t="str">
        <f t="shared" si="12"/>
        <v/>
      </c>
      <c r="B25" s="21" t="str">
        <f t="shared" si="13"/>
        <v/>
      </c>
      <c r="C25" s="21" t="str">
        <f t="shared" si="14"/>
        <v/>
      </c>
      <c r="D25" s="21" t="str">
        <f t="shared" si="15"/>
        <v/>
      </c>
      <c r="E25" s="5"/>
      <c r="F25" s="10"/>
      <c r="G25" s="11"/>
      <c r="H25" s="11"/>
      <c r="I25" s="12" t="str">
        <f t="shared" si="8"/>
        <v/>
      </c>
      <c r="J25" s="24" t="str">
        <f t="shared" si="9"/>
        <v/>
      </c>
      <c r="K25" s="10"/>
      <c r="L25" s="11"/>
      <c r="M25" s="11"/>
      <c r="N25" s="12" t="str">
        <f t="shared" si="0"/>
        <v/>
      </c>
      <c r="O25" s="24" t="str">
        <f t="shared" si="1"/>
        <v/>
      </c>
      <c r="P25" s="10"/>
      <c r="Q25" s="11"/>
      <c r="R25" s="11"/>
      <c r="S25" s="12" t="str">
        <f t="shared" si="10"/>
        <v/>
      </c>
      <c r="T25" s="24" t="str">
        <f t="shared" si="2"/>
        <v/>
      </c>
      <c r="U25" s="10"/>
      <c r="V25" s="11"/>
      <c r="W25" s="11"/>
      <c r="X25" s="12" t="str">
        <f t="shared" si="11"/>
        <v/>
      </c>
      <c r="Y25" s="24" t="str">
        <f t="shared" si="3"/>
        <v/>
      </c>
      <c r="Z25" s="35" t="str">
        <f t="shared" si="4"/>
        <v/>
      </c>
      <c r="AA25" s="36" t="str">
        <f t="shared" si="5"/>
        <v/>
      </c>
      <c r="AB25" s="36" t="str">
        <f t="shared" si="6"/>
        <v/>
      </c>
      <c r="AC25" s="37" t="str">
        <f t="shared" si="7"/>
        <v/>
      </c>
    </row>
    <row r="26" spans="1:29" x14ac:dyDescent="0.4">
      <c r="A26" s="17" t="str">
        <f t="shared" si="12"/>
        <v/>
      </c>
      <c r="B26" s="21" t="str">
        <f t="shared" si="13"/>
        <v/>
      </c>
      <c r="C26" s="21" t="str">
        <f t="shared" si="14"/>
        <v/>
      </c>
      <c r="D26" s="21" t="str">
        <f t="shared" si="15"/>
        <v/>
      </c>
      <c r="E26" s="5"/>
      <c r="F26" s="10"/>
      <c r="G26" s="11"/>
      <c r="H26" s="11"/>
      <c r="I26" s="12" t="str">
        <f t="shared" si="8"/>
        <v/>
      </c>
      <c r="J26" s="24" t="str">
        <f t="shared" si="9"/>
        <v/>
      </c>
      <c r="K26" s="10"/>
      <c r="L26" s="11"/>
      <c r="M26" s="11"/>
      <c r="N26" s="12" t="str">
        <f t="shared" si="0"/>
        <v/>
      </c>
      <c r="O26" s="24" t="str">
        <f t="shared" si="1"/>
        <v/>
      </c>
      <c r="P26" s="10"/>
      <c r="Q26" s="11"/>
      <c r="R26" s="11"/>
      <c r="S26" s="12" t="str">
        <f t="shared" si="10"/>
        <v/>
      </c>
      <c r="T26" s="24" t="str">
        <f t="shared" si="2"/>
        <v/>
      </c>
      <c r="U26" s="10"/>
      <c r="V26" s="11"/>
      <c r="W26" s="11"/>
      <c r="X26" s="12" t="str">
        <f t="shared" si="11"/>
        <v/>
      </c>
      <c r="Y26" s="24" t="str">
        <f t="shared" si="3"/>
        <v/>
      </c>
      <c r="Z26" s="35" t="str">
        <f t="shared" si="4"/>
        <v/>
      </c>
      <c r="AA26" s="36" t="str">
        <f t="shared" si="5"/>
        <v/>
      </c>
      <c r="AB26" s="36" t="str">
        <f t="shared" si="6"/>
        <v/>
      </c>
      <c r="AC26" s="37" t="str">
        <f t="shared" si="7"/>
        <v/>
      </c>
    </row>
    <row r="27" spans="1:29" x14ac:dyDescent="0.4">
      <c r="A27" s="17" t="str">
        <f t="shared" si="12"/>
        <v/>
      </c>
      <c r="B27" s="21" t="str">
        <f t="shared" si="13"/>
        <v/>
      </c>
      <c r="C27" s="21" t="str">
        <f t="shared" si="14"/>
        <v/>
      </c>
      <c r="D27" s="21" t="str">
        <f t="shared" si="15"/>
        <v/>
      </c>
      <c r="E27" s="5"/>
      <c r="F27" s="10"/>
      <c r="G27" s="11"/>
      <c r="H27" s="11"/>
      <c r="I27" s="12" t="str">
        <f t="shared" si="8"/>
        <v/>
      </c>
      <c r="J27" s="24" t="str">
        <f t="shared" si="9"/>
        <v/>
      </c>
      <c r="K27" s="10"/>
      <c r="L27" s="11"/>
      <c r="M27" s="11"/>
      <c r="N27" s="12" t="str">
        <f t="shared" si="0"/>
        <v/>
      </c>
      <c r="O27" s="24" t="str">
        <f t="shared" si="1"/>
        <v/>
      </c>
      <c r="P27" s="10"/>
      <c r="Q27" s="11"/>
      <c r="R27" s="11"/>
      <c r="S27" s="12" t="str">
        <f t="shared" si="10"/>
        <v/>
      </c>
      <c r="T27" s="24" t="str">
        <f t="shared" si="2"/>
        <v/>
      </c>
      <c r="U27" s="10"/>
      <c r="V27" s="11"/>
      <c r="W27" s="11"/>
      <c r="X27" s="12" t="str">
        <f t="shared" si="11"/>
        <v/>
      </c>
      <c r="Y27" s="24" t="str">
        <f t="shared" si="3"/>
        <v/>
      </c>
      <c r="Z27" s="35" t="str">
        <f t="shared" si="4"/>
        <v/>
      </c>
      <c r="AA27" s="36" t="str">
        <f t="shared" si="5"/>
        <v/>
      </c>
      <c r="AB27" s="36" t="str">
        <f t="shared" si="6"/>
        <v/>
      </c>
      <c r="AC27" s="37" t="str">
        <f t="shared" si="7"/>
        <v/>
      </c>
    </row>
    <row r="28" spans="1:29" x14ac:dyDescent="0.4">
      <c r="A28" s="17" t="str">
        <f t="shared" si="12"/>
        <v/>
      </c>
      <c r="B28" s="21" t="str">
        <f t="shared" si="13"/>
        <v/>
      </c>
      <c r="C28" s="21" t="str">
        <f t="shared" si="14"/>
        <v/>
      </c>
      <c r="D28" s="21" t="str">
        <f t="shared" si="15"/>
        <v/>
      </c>
      <c r="E28" s="5"/>
      <c r="F28" s="10"/>
      <c r="G28" s="11"/>
      <c r="H28" s="11"/>
      <c r="I28" s="12" t="str">
        <f t="shared" si="8"/>
        <v/>
      </c>
      <c r="J28" s="24" t="str">
        <f t="shared" si="9"/>
        <v/>
      </c>
      <c r="K28" s="10"/>
      <c r="L28" s="11"/>
      <c r="M28" s="11"/>
      <c r="N28" s="12" t="str">
        <f t="shared" si="0"/>
        <v/>
      </c>
      <c r="O28" s="24" t="str">
        <f t="shared" si="1"/>
        <v/>
      </c>
      <c r="P28" s="10"/>
      <c r="Q28" s="11"/>
      <c r="R28" s="11"/>
      <c r="S28" s="12" t="str">
        <f t="shared" si="10"/>
        <v/>
      </c>
      <c r="T28" s="24" t="str">
        <f t="shared" si="2"/>
        <v/>
      </c>
      <c r="U28" s="10"/>
      <c r="V28" s="11"/>
      <c r="W28" s="11"/>
      <c r="X28" s="12" t="str">
        <f t="shared" si="11"/>
        <v/>
      </c>
      <c r="Y28" s="24" t="str">
        <f t="shared" si="3"/>
        <v/>
      </c>
      <c r="Z28" s="35" t="str">
        <f t="shared" si="4"/>
        <v/>
      </c>
      <c r="AA28" s="36" t="str">
        <f t="shared" si="5"/>
        <v/>
      </c>
      <c r="AB28" s="36" t="str">
        <f t="shared" si="6"/>
        <v/>
      </c>
      <c r="AC28" s="37" t="str">
        <f t="shared" si="7"/>
        <v/>
      </c>
    </row>
    <row r="29" spans="1:29" x14ac:dyDescent="0.4">
      <c r="A29" s="17" t="str">
        <f t="shared" si="12"/>
        <v/>
      </c>
      <c r="B29" s="21" t="str">
        <f t="shared" si="13"/>
        <v/>
      </c>
      <c r="C29" s="21" t="str">
        <f t="shared" si="14"/>
        <v/>
      </c>
      <c r="D29" s="21" t="str">
        <f t="shared" si="15"/>
        <v/>
      </c>
      <c r="E29" s="5"/>
      <c r="F29" s="10"/>
      <c r="G29" s="11"/>
      <c r="H29" s="11"/>
      <c r="I29" s="12" t="str">
        <f t="shared" si="8"/>
        <v/>
      </c>
      <c r="J29" s="24" t="str">
        <f t="shared" si="9"/>
        <v/>
      </c>
      <c r="K29" s="10"/>
      <c r="L29" s="11"/>
      <c r="M29" s="11"/>
      <c r="N29" s="12" t="str">
        <f t="shared" si="0"/>
        <v/>
      </c>
      <c r="O29" s="24" t="str">
        <f t="shared" si="1"/>
        <v/>
      </c>
      <c r="P29" s="10"/>
      <c r="Q29" s="11"/>
      <c r="R29" s="11"/>
      <c r="S29" s="12" t="str">
        <f t="shared" si="10"/>
        <v/>
      </c>
      <c r="T29" s="24" t="str">
        <f t="shared" si="2"/>
        <v/>
      </c>
      <c r="U29" s="10"/>
      <c r="V29" s="11"/>
      <c r="W29" s="11"/>
      <c r="X29" s="12" t="str">
        <f t="shared" si="11"/>
        <v/>
      </c>
      <c r="Y29" s="24" t="str">
        <f t="shared" si="3"/>
        <v/>
      </c>
      <c r="Z29" s="35" t="str">
        <f t="shared" si="4"/>
        <v/>
      </c>
      <c r="AA29" s="36" t="str">
        <f t="shared" si="5"/>
        <v/>
      </c>
      <c r="AB29" s="36" t="str">
        <f t="shared" si="6"/>
        <v/>
      </c>
      <c r="AC29" s="37" t="str">
        <f t="shared" si="7"/>
        <v/>
      </c>
    </row>
    <row r="30" spans="1:29" x14ac:dyDescent="0.4">
      <c r="A30" s="18" t="str">
        <f t="shared" si="12"/>
        <v/>
      </c>
      <c r="B30" s="22" t="str">
        <f t="shared" si="13"/>
        <v/>
      </c>
      <c r="C30" s="22" t="str">
        <f t="shared" si="14"/>
        <v/>
      </c>
      <c r="D30" s="22" t="str">
        <f t="shared" si="15"/>
        <v/>
      </c>
      <c r="E30" s="6"/>
      <c r="F30" s="13"/>
      <c r="G30" s="14"/>
      <c r="H30" s="14"/>
      <c r="I30" s="15" t="str">
        <f t="shared" si="8"/>
        <v/>
      </c>
      <c r="J30" s="25" t="str">
        <f t="shared" si="9"/>
        <v/>
      </c>
      <c r="K30" s="13"/>
      <c r="L30" s="14"/>
      <c r="M30" s="14"/>
      <c r="N30" s="15" t="str">
        <f t="shared" si="0"/>
        <v/>
      </c>
      <c r="O30" s="25" t="str">
        <f t="shared" si="1"/>
        <v/>
      </c>
      <c r="P30" s="13"/>
      <c r="Q30" s="14"/>
      <c r="R30" s="14"/>
      <c r="S30" s="15" t="str">
        <f t="shared" si="10"/>
        <v/>
      </c>
      <c r="T30" s="25" t="str">
        <f t="shared" si="2"/>
        <v/>
      </c>
      <c r="U30" s="13"/>
      <c r="V30" s="14"/>
      <c r="W30" s="14"/>
      <c r="X30" s="15" t="str">
        <f t="shared" si="11"/>
        <v/>
      </c>
      <c r="Y30" s="25" t="str">
        <f t="shared" si="3"/>
        <v/>
      </c>
      <c r="Z30" s="38" t="str">
        <f t="shared" si="4"/>
        <v/>
      </c>
      <c r="AA30" s="39" t="str">
        <f t="shared" si="5"/>
        <v/>
      </c>
      <c r="AB30" s="39" t="str">
        <f t="shared" si="6"/>
        <v/>
      </c>
      <c r="AC30" s="40" t="str">
        <f t="shared" si="7"/>
        <v/>
      </c>
    </row>
    <row r="31" spans="1:29" x14ac:dyDescent="0.4">
      <c r="N31" s="1" t="str">
        <f t="shared" si="0"/>
        <v/>
      </c>
    </row>
  </sheetData>
  <mergeCells count="10">
    <mergeCell ref="U1:Y1"/>
    <mergeCell ref="Z1:AC1"/>
    <mergeCell ref="K1:O1"/>
    <mergeCell ref="P1:T1"/>
    <mergeCell ref="F1:J1"/>
    <mergeCell ref="A1:A2"/>
    <mergeCell ref="B1:B2"/>
    <mergeCell ref="C1:C2"/>
    <mergeCell ref="D1:D2"/>
    <mergeCell ref="E1:E2"/>
  </mergeCells>
  <phoneticPr fontId="1"/>
  <conditionalFormatting sqref="G4:G30 L4:L30 Q4:Q30 V4:V30">
    <cfRule type="expression" dxfId="1" priority="4">
      <formula>IF(AND(G4&lt;&gt;"",F4&lt;&gt;"流局",F4&lt;&gt;"チョンボ"),SUM($G4:$I4,$L4:$N4,$Q4:$S4,$V4:$X4)-$D4*1000)</formula>
    </cfRule>
  </conditionalFormatting>
  <conditionalFormatting sqref="F1:Y1">
    <cfRule type="duplicateValues" dxfId="0" priority="3"/>
  </conditionalFormatting>
  <dataValidations count="2">
    <dataValidation type="list" showInputMessage="1" showErrorMessage="1" sqref="K4:K30 P4:P30 F4:F30 U4:U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3AAC-C19A-4341-A0A4-19A23B35C79C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96FA-2047-494B-938C-A5DF75F5F98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IF('点数表(子→親)'!B2="","",'点数表(子→親)'!B2*3)</f>
        <v/>
      </c>
      <c r="C2">
        <f>IF('点数表(子→親)'!C2="","",'点数表(子→親)'!C2*3)</f>
        <v>2100</v>
      </c>
      <c r="D2">
        <f>IF('点数表(子→親)'!D2="","",'点数表(子→親)'!D2*3)</f>
        <v>3900</v>
      </c>
      <c r="E2">
        <f>IF('点数表(子→親)'!E2="","",'点数表(子→親)'!E2*3)</f>
        <v>7800</v>
      </c>
      <c r="F2">
        <f>IF('点数表(子→親)'!F2="","",'点数表(子→親)'!F2*3)</f>
        <v>12000</v>
      </c>
      <c r="G2">
        <f>IF('点数表(子→親)'!G2="","",'点数表(子→親)'!G2*3)</f>
        <v>18000</v>
      </c>
      <c r="H2">
        <f>IF('点数表(子→親)'!H2="","",'点数表(子→親)'!H2*3)</f>
        <v>24000</v>
      </c>
      <c r="I2">
        <f>IF('点数表(子→親)'!I2="","",'点数表(子→親)'!I2*3)</f>
        <v>36000</v>
      </c>
      <c r="J2">
        <f>IF('点数表(子→親)'!J2="","",'点数表(子→親)'!J2*3)</f>
        <v>48000</v>
      </c>
      <c r="K2">
        <f>IF('点数表(子→親)'!K2="","",'点数表(子→親)'!K2*3)</f>
        <v>96000</v>
      </c>
      <c r="L2">
        <f>IF('点数表(子→親)'!L2="","",'点数表(子→親)'!L2*3)</f>
        <v>144000</v>
      </c>
    </row>
    <row r="3" spans="1:12" x14ac:dyDescent="0.4">
      <c r="A3" s="19">
        <v>25</v>
      </c>
      <c r="B3" t="str">
        <f>IF('点数表(子→親)'!B3="","",'点数表(子→親)'!B3*3)</f>
        <v/>
      </c>
      <c r="C3" t="str">
        <f>IF('点数表(子→親)'!C3="","",'点数表(子→親)'!C3*3)</f>
        <v/>
      </c>
      <c r="D3">
        <f>IF('点数表(子→親)'!D3="","",'点数表(子→親)'!D3*3)</f>
        <v>4800</v>
      </c>
      <c r="E3">
        <f>IF('点数表(子→親)'!E3="","",'点数表(子→親)'!E3*3)</f>
        <v>9600</v>
      </c>
      <c r="F3">
        <f>IF('点数表(子→親)'!F3="","",'点数表(子→親)'!F3*3)</f>
        <v>12000</v>
      </c>
      <c r="G3">
        <f>IF('点数表(子→親)'!G3="","",'点数表(子→親)'!G3*3)</f>
        <v>18000</v>
      </c>
      <c r="H3">
        <f>IF('点数表(子→親)'!H3="","",'点数表(子→親)'!H3*3)</f>
        <v>24000</v>
      </c>
      <c r="I3">
        <f>IF('点数表(子→親)'!I3="","",'点数表(子→親)'!I3*3)</f>
        <v>36000</v>
      </c>
      <c r="J3">
        <f>IF('点数表(子→親)'!J3="","",'点数表(子→親)'!J3*3)</f>
        <v>48000</v>
      </c>
      <c r="K3">
        <f>IF('点数表(子→親)'!K3="","",'点数表(子→親)'!K3*3)</f>
        <v>96000</v>
      </c>
      <c r="L3">
        <f>IF('点数表(子→親)'!L3="","",'点数表(子→親)'!L3*3)</f>
        <v>144000</v>
      </c>
    </row>
    <row r="4" spans="1:12" x14ac:dyDescent="0.4">
      <c r="A4" s="19">
        <v>30</v>
      </c>
      <c r="B4">
        <f>IF('点数表(子→親)'!B4="","",'点数表(子→親)'!B4*3)</f>
        <v>1500</v>
      </c>
      <c r="C4">
        <f>IF('点数表(子→親)'!C4="","",'点数表(子→親)'!C4*3)</f>
        <v>3000</v>
      </c>
      <c r="D4">
        <f>IF('点数表(子→親)'!D4="","",'点数表(子→親)'!D4*3)</f>
        <v>6000</v>
      </c>
      <c r="E4">
        <f>IF('点数表(子→親)'!E4="","",'点数表(子→親)'!E4*3)</f>
        <v>12000</v>
      </c>
      <c r="F4">
        <f>IF('点数表(子→親)'!F4="","",'点数表(子→親)'!F4*3)</f>
        <v>12000</v>
      </c>
      <c r="G4">
        <f>IF('点数表(子→親)'!G4="","",'点数表(子→親)'!G4*3)</f>
        <v>18000</v>
      </c>
      <c r="H4">
        <f>IF('点数表(子→親)'!H4="","",'点数表(子→親)'!H4*3)</f>
        <v>24000</v>
      </c>
      <c r="I4">
        <f>IF('点数表(子→親)'!I4="","",'点数表(子→親)'!I4*3)</f>
        <v>36000</v>
      </c>
      <c r="J4">
        <f>IF('点数表(子→親)'!J4="","",'点数表(子→親)'!J4*3)</f>
        <v>48000</v>
      </c>
      <c r="K4">
        <f>IF('点数表(子→親)'!K4="","",'点数表(子→親)'!K4*3)</f>
        <v>96000</v>
      </c>
      <c r="L4">
        <f>IF('点数表(子→親)'!L4="","",'点数表(子→親)'!L4*3)</f>
        <v>144000</v>
      </c>
    </row>
    <row r="5" spans="1:12" x14ac:dyDescent="0.4">
      <c r="A5" s="19">
        <v>40</v>
      </c>
      <c r="B5">
        <f>IF('点数表(子→親)'!B5="","",'点数表(子→親)'!B5*3)</f>
        <v>2100</v>
      </c>
      <c r="C5">
        <f>IF('点数表(子→親)'!C5="","",'点数表(子→親)'!C5*3)</f>
        <v>3900</v>
      </c>
      <c r="D5">
        <f>IF('点数表(子→親)'!D5="","",'点数表(子→親)'!D5*3)</f>
        <v>7800</v>
      </c>
      <c r="E5">
        <f>IF('点数表(子→親)'!E5="","",'点数表(子→親)'!E5*3)</f>
        <v>12000</v>
      </c>
      <c r="F5">
        <f>IF('点数表(子→親)'!F5="","",'点数表(子→親)'!F5*3)</f>
        <v>12000</v>
      </c>
      <c r="G5">
        <f>IF('点数表(子→親)'!G5="","",'点数表(子→親)'!G5*3)</f>
        <v>18000</v>
      </c>
      <c r="H5">
        <f>IF('点数表(子→親)'!H5="","",'点数表(子→親)'!H5*3)</f>
        <v>24000</v>
      </c>
      <c r="I5">
        <f>IF('点数表(子→親)'!I5="","",'点数表(子→親)'!I5*3)</f>
        <v>36000</v>
      </c>
      <c r="J5">
        <f>IF('点数表(子→親)'!J5="","",'点数表(子→親)'!J5*3)</f>
        <v>48000</v>
      </c>
      <c r="K5">
        <f>IF('点数表(子→親)'!K5="","",'点数表(子→親)'!K5*3)</f>
        <v>96000</v>
      </c>
      <c r="L5">
        <f>IF('点数表(子→親)'!L5="","",'点数表(子→親)'!L5*3)</f>
        <v>144000</v>
      </c>
    </row>
    <row r="6" spans="1:12" x14ac:dyDescent="0.4">
      <c r="A6" s="19">
        <v>50</v>
      </c>
      <c r="B6">
        <f>IF('点数表(子→親)'!B6="","",'点数表(子→親)'!B6*3)</f>
        <v>2400</v>
      </c>
      <c r="C6">
        <f>IF('点数表(子→親)'!C6="","",'点数表(子→親)'!C6*3)</f>
        <v>4800</v>
      </c>
      <c r="D6">
        <f>IF('点数表(子→親)'!D6="","",'点数表(子→親)'!D6*3)</f>
        <v>9600</v>
      </c>
      <c r="E6">
        <f>IF('点数表(子→親)'!E6="","",'点数表(子→親)'!E6*3)</f>
        <v>12000</v>
      </c>
      <c r="F6">
        <f>IF('点数表(子→親)'!F6="","",'点数表(子→親)'!F6*3)</f>
        <v>12000</v>
      </c>
      <c r="G6">
        <f>IF('点数表(子→親)'!G6="","",'点数表(子→親)'!G6*3)</f>
        <v>18000</v>
      </c>
      <c r="H6">
        <f>IF('点数表(子→親)'!H6="","",'点数表(子→親)'!H6*3)</f>
        <v>24000</v>
      </c>
      <c r="I6">
        <f>IF('点数表(子→親)'!I6="","",'点数表(子→親)'!I6*3)</f>
        <v>36000</v>
      </c>
      <c r="J6">
        <f>IF('点数表(子→親)'!J6="","",'点数表(子→親)'!J6*3)</f>
        <v>48000</v>
      </c>
      <c r="K6">
        <f>IF('点数表(子→親)'!K6="","",'点数表(子→親)'!K6*3)</f>
        <v>96000</v>
      </c>
      <c r="L6">
        <f>IF('点数表(子→親)'!L6="","",'点数表(子→親)'!L6*3)</f>
        <v>144000</v>
      </c>
    </row>
    <row r="7" spans="1:12" x14ac:dyDescent="0.4">
      <c r="A7" s="19">
        <v>60</v>
      </c>
      <c r="B7">
        <f>IF('点数表(子→親)'!B7="","",'点数表(子→親)'!B7*3)</f>
        <v>3000</v>
      </c>
      <c r="C7">
        <f>IF('点数表(子→親)'!C7="","",'点数表(子→親)'!C7*3)</f>
        <v>6000</v>
      </c>
      <c r="D7">
        <f>IF('点数表(子→親)'!D7="","",'点数表(子→親)'!D7*3)</f>
        <v>12000</v>
      </c>
      <c r="E7">
        <f>IF('点数表(子→親)'!E7="","",'点数表(子→親)'!E7*3)</f>
        <v>12000</v>
      </c>
      <c r="F7">
        <f>IF('点数表(子→親)'!F7="","",'点数表(子→親)'!F7*3)</f>
        <v>12000</v>
      </c>
      <c r="G7">
        <f>IF('点数表(子→親)'!G7="","",'点数表(子→親)'!G7*3)</f>
        <v>18000</v>
      </c>
      <c r="H7">
        <f>IF('点数表(子→親)'!H7="","",'点数表(子→親)'!H7*3)</f>
        <v>24000</v>
      </c>
      <c r="I7">
        <f>IF('点数表(子→親)'!I7="","",'点数表(子→親)'!I7*3)</f>
        <v>36000</v>
      </c>
      <c r="J7">
        <f>IF('点数表(子→親)'!J7="","",'点数表(子→親)'!J7*3)</f>
        <v>48000</v>
      </c>
      <c r="K7">
        <f>IF('点数表(子→親)'!K7="","",'点数表(子→親)'!K7*3)</f>
        <v>96000</v>
      </c>
      <c r="L7">
        <f>IF('点数表(子→親)'!L7="","",'点数表(子→親)'!L7*3)</f>
        <v>144000</v>
      </c>
    </row>
    <row r="8" spans="1:12" x14ac:dyDescent="0.4">
      <c r="A8" s="19">
        <v>70</v>
      </c>
      <c r="B8">
        <f>IF('点数表(子→親)'!B8="","",'点数表(子→親)'!B8*3)</f>
        <v>3600</v>
      </c>
      <c r="C8">
        <f>IF('点数表(子→親)'!C8="","",'点数表(子→親)'!C8*3)</f>
        <v>6900</v>
      </c>
      <c r="D8">
        <f>IF('点数表(子→親)'!D8="","",'点数表(子→親)'!D8*3)</f>
        <v>12000</v>
      </c>
      <c r="E8">
        <f>IF('点数表(子→親)'!E8="","",'点数表(子→親)'!E8*3)</f>
        <v>12000</v>
      </c>
      <c r="F8">
        <f>IF('点数表(子→親)'!F8="","",'点数表(子→親)'!F8*3)</f>
        <v>12000</v>
      </c>
      <c r="G8">
        <f>IF('点数表(子→親)'!G8="","",'点数表(子→親)'!G8*3)</f>
        <v>18000</v>
      </c>
      <c r="H8">
        <f>IF('点数表(子→親)'!H8="","",'点数表(子→親)'!H8*3)</f>
        <v>24000</v>
      </c>
      <c r="I8">
        <f>IF('点数表(子→親)'!I8="","",'点数表(子→親)'!I8*3)</f>
        <v>36000</v>
      </c>
      <c r="J8">
        <f>IF('点数表(子→親)'!J8="","",'点数表(子→親)'!J8*3)</f>
        <v>48000</v>
      </c>
      <c r="K8">
        <f>IF('点数表(子→親)'!K8="","",'点数表(子→親)'!K8*3)</f>
        <v>96000</v>
      </c>
      <c r="L8">
        <f>IF('点数表(子→親)'!L8="","",'点数表(子→親)'!L8*3)</f>
        <v>144000</v>
      </c>
    </row>
    <row r="9" spans="1:12" x14ac:dyDescent="0.4">
      <c r="A9" s="19">
        <v>80</v>
      </c>
      <c r="B9">
        <f>IF('点数表(子→親)'!B9="","",'点数表(子→親)'!B9*3)</f>
        <v>3900</v>
      </c>
      <c r="C9">
        <f>IF('点数表(子→親)'!C9="","",'点数表(子→親)'!C9*3)</f>
        <v>7800</v>
      </c>
      <c r="D9">
        <f>IF('点数表(子→親)'!D9="","",'点数表(子→親)'!D9*3)</f>
        <v>12000</v>
      </c>
      <c r="E9">
        <f>IF('点数表(子→親)'!E9="","",'点数表(子→親)'!E9*3)</f>
        <v>12000</v>
      </c>
      <c r="F9">
        <f>IF('点数表(子→親)'!F9="","",'点数表(子→親)'!F9*3)</f>
        <v>12000</v>
      </c>
      <c r="G9">
        <f>IF('点数表(子→親)'!G9="","",'点数表(子→親)'!G9*3)</f>
        <v>18000</v>
      </c>
      <c r="H9">
        <f>IF('点数表(子→親)'!H9="","",'点数表(子→親)'!H9*3)</f>
        <v>24000</v>
      </c>
      <c r="I9">
        <f>IF('点数表(子→親)'!I9="","",'点数表(子→親)'!I9*3)</f>
        <v>36000</v>
      </c>
      <c r="J9">
        <f>IF('点数表(子→親)'!J9="","",'点数表(子→親)'!J9*3)</f>
        <v>48000</v>
      </c>
      <c r="K9">
        <f>IF('点数表(子→親)'!K9="","",'点数表(子→親)'!K9*3)</f>
        <v>96000</v>
      </c>
      <c r="L9">
        <f>IF('点数表(子→親)'!L9="","",'点数表(子→親)'!L9*3)</f>
        <v>144000</v>
      </c>
    </row>
    <row r="10" spans="1:12" x14ac:dyDescent="0.4">
      <c r="A10" s="19">
        <v>90</v>
      </c>
      <c r="B10">
        <f>IF('点数表(子→親)'!B10="","",'点数表(子→親)'!B10*3)</f>
        <v>4500</v>
      </c>
      <c r="C10">
        <f>IF('点数表(子→親)'!C10="","",'点数表(子→親)'!C10*3)</f>
        <v>8700</v>
      </c>
      <c r="D10">
        <f>IF('点数表(子→親)'!D10="","",'点数表(子→親)'!D10*3)</f>
        <v>12000</v>
      </c>
      <c r="E10">
        <f>IF('点数表(子→親)'!E10="","",'点数表(子→親)'!E10*3)</f>
        <v>12000</v>
      </c>
      <c r="F10">
        <f>IF('点数表(子→親)'!F10="","",'点数表(子→親)'!F10*3)</f>
        <v>12000</v>
      </c>
      <c r="G10">
        <f>IF('点数表(子→親)'!G10="","",'点数表(子→親)'!G10*3)</f>
        <v>18000</v>
      </c>
      <c r="H10">
        <f>IF('点数表(子→親)'!H10="","",'点数表(子→親)'!H10*3)</f>
        <v>24000</v>
      </c>
      <c r="I10">
        <f>IF('点数表(子→親)'!I10="","",'点数表(子→親)'!I10*3)</f>
        <v>36000</v>
      </c>
      <c r="J10">
        <f>IF('点数表(子→親)'!J10="","",'点数表(子→親)'!J10*3)</f>
        <v>48000</v>
      </c>
      <c r="K10">
        <f>IF('点数表(子→親)'!K10="","",'点数表(子→親)'!K10*3)</f>
        <v>96000</v>
      </c>
      <c r="L10">
        <f>IF('点数表(子→親)'!L10="","",'点数表(子→親)'!L10*3)</f>
        <v>144000</v>
      </c>
    </row>
    <row r="11" spans="1:12" x14ac:dyDescent="0.4">
      <c r="A11" s="19">
        <v>100</v>
      </c>
      <c r="B11">
        <f>IF('点数表(子→親)'!B11="","",'点数表(子→親)'!B11*3)</f>
        <v>4800</v>
      </c>
      <c r="C11">
        <f>IF('点数表(子→親)'!C11="","",'点数表(子→親)'!C11*3)</f>
        <v>9600</v>
      </c>
      <c r="D11">
        <f>IF('点数表(子→親)'!D11="","",'点数表(子→親)'!D11*3)</f>
        <v>12000</v>
      </c>
      <c r="E11">
        <f>IF('点数表(子→親)'!E11="","",'点数表(子→親)'!E11*3)</f>
        <v>12000</v>
      </c>
      <c r="F11">
        <f>IF('点数表(子→親)'!F11="","",'点数表(子→親)'!F11*3)</f>
        <v>12000</v>
      </c>
      <c r="G11">
        <f>IF('点数表(子→親)'!G11="","",'点数表(子→親)'!G11*3)</f>
        <v>18000</v>
      </c>
      <c r="H11">
        <f>IF('点数表(子→親)'!H11="","",'点数表(子→親)'!H11*3)</f>
        <v>24000</v>
      </c>
      <c r="I11">
        <f>IF('点数表(子→親)'!I11="","",'点数表(子→親)'!I11*3)</f>
        <v>36000</v>
      </c>
      <c r="J11">
        <f>IF('点数表(子→親)'!J11="","",'点数表(子→親)'!J11*3)</f>
        <v>48000</v>
      </c>
      <c r="K11">
        <f>IF('点数表(子→親)'!K11="","",'点数表(子→親)'!K11*3)</f>
        <v>96000</v>
      </c>
      <c r="L11">
        <f>IF('点数表(子→親)'!L11="","",'点数表(子→親)'!L11*3)</f>
        <v>144000</v>
      </c>
    </row>
    <row r="12" spans="1:12" x14ac:dyDescent="0.4">
      <c r="A12" s="19">
        <v>110</v>
      </c>
      <c r="B12" t="str">
        <f>IF('点数表(子→親)'!B12="","",'点数表(子→親)'!B12*3)</f>
        <v/>
      </c>
      <c r="C12">
        <f>IF('点数表(子→親)'!C12="","",'点数表(子→親)'!C12*3)</f>
        <v>10800</v>
      </c>
      <c r="D12">
        <f>IF('点数表(子→親)'!D12="","",'点数表(子→親)'!D12*3)</f>
        <v>12000</v>
      </c>
      <c r="E12">
        <f>IF('点数表(子→親)'!E12="","",'点数表(子→親)'!E12*3)</f>
        <v>12000</v>
      </c>
      <c r="F12">
        <f>IF('点数表(子→親)'!F12="","",'点数表(子→親)'!F12*3)</f>
        <v>12000</v>
      </c>
      <c r="G12">
        <f>IF('点数表(子→親)'!G12="","",'点数表(子→親)'!G12*3)</f>
        <v>18000</v>
      </c>
      <c r="H12">
        <f>IF('点数表(子→親)'!H12="","",'点数表(子→親)'!H12*3)</f>
        <v>24000</v>
      </c>
      <c r="I12">
        <f>IF('点数表(子→親)'!I12="","",'点数表(子→親)'!I12*3)</f>
        <v>36000</v>
      </c>
      <c r="J12">
        <f>IF('点数表(子→親)'!J12="","",'点数表(子→親)'!J12*3)</f>
        <v>48000</v>
      </c>
      <c r="K12">
        <f>IF('点数表(子→親)'!K12="","",'点数表(子→親)'!K12*3)</f>
        <v>96000</v>
      </c>
      <c r="L12">
        <f>IF('点数表(子→親)'!L12="","",'点数表(子→親)'!L12*3)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0BAAE-341A-4480-97CA-3B49F5550D97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14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14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71F9F-2451-4E70-82D6-E9F5C8BEB687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A06F3-EA73-404E-BBB1-6AC5241364BE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IF('点数表(子→子)'!B2="","",'点数表(子→子)'!B2*2+'点数表(親→子)'!B2)</f>
        <v/>
      </c>
      <c r="C2">
        <f>IF('点数表(子→子)'!C2="","",'点数表(子→子)'!C2*2+'点数表(親→子)'!C2)</f>
        <v>1500</v>
      </c>
      <c r="D2">
        <f>IF('点数表(子→子)'!D2="","",'点数表(子→子)'!D2*2+'点数表(親→子)'!D2)</f>
        <v>2700</v>
      </c>
      <c r="E2">
        <f>IF('点数表(子→子)'!E2="","",'点数表(子→子)'!E2*2+'点数表(親→子)'!E2)</f>
        <v>5200</v>
      </c>
      <c r="F2">
        <f>IF('点数表(子→子)'!F2="","",'点数表(子→子)'!F2*2+'点数表(親→子)'!F2)</f>
        <v>8000</v>
      </c>
      <c r="G2">
        <f>IF('点数表(子→子)'!G2="","",'点数表(子→子)'!G2*2+'点数表(親→子)'!G2)</f>
        <v>12000</v>
      </c>
      <c r="H2">
        <f>IF('点数表(子→子)'!H2="","",'点数表(子→子)'!H2*2+'点数表(親→子)'!H2)</f>
        <v>16000</v>
      </c>
      <c r="I2">
        <f>IF('点数表(子→子)'!I2="","",'点数表(子→子)'!I2*2+'点数表(親→子)'!I2)</f>
        <v>24000</v>
      </c>
      <c r="J2">
        <f>IF('点数表(子→子)'!J2="","",'点数表(子→子)'!J2*2+'点数表(親→子)'!J2)</f>
        <v>32000</v>
      </c>
      <c r="K2">
        <f>IF('点数表(子→子)'!K2="","",'点数表(子→子)'!K2*2+'点数表(親→子)'!K2)</f>
        <v>64000</v>
      </c>
      <c r="L2">
        <f>IF('点数表(子→子)'!L2="","",'点数表(子→子)'!L2*2+'点数表(親→子)'!L2)</f>
        <v>96000</v>
      </c>
    </row>
    <row r="3" spans="1:12" x14ac:dyDescent="0.4">
      <c r="A3" s="19">
        <v>25</v>
      </c>
      <c r="B3" t="str">
        <f>IF('点数表(子→子)'!B3="","",'点数表(子→子)'!B3*2+'点数表(親→子)'!B3)</f>
        <v/>
      </c>
      <c r="C3" t="str">
        <f>IF('点数表(子→子)'!C3="","",'点数表(子→子)'!C3*2+'点数表(親→子)'!C3)</f>
        <v/>
      </c>
      <c r="D3">
        <f>IF('点数表(子→子)'!D3="","",'点数表(子→子)'!D3*2+'点数表(親→子)'!D3)</f>
        <v>3200</v>
      </c>
      <c r="E3">
        <f>IF('点数表(子→子)'!E3="","",'点数表(子→子)'!E3*2+'点数表(親→子)'!E3)</f>
        <v>6400</v>
      </c>
      <c r="F3">
        <f>IF('点数表(子→子)'!F3="","",'点数表(子→子)'!F3*2+'点数表(親→子)'!F3)</f>
        <v>8000</v>
      </c>
      <c r="G3">
        <f>IF('点数表(子→子)'!G3="","",'点数表(子→子)'!G3*2+'点数表(親→子)'!G3)</f>
        <v>12000</v>
      </c>
      <c r="H3">
        <f>IF('点数表(子→子)'!H3="","",'点数表(子→子)'!H3*2+'点数表(親→子)'!H3)</f>
        <v>16000</v>
      </c>
      <c r="I3">
        <f>IF('点数表(子→子)'!I3="","",'点数表(子→子)'!I3*2+'点数表(親→子)'!I3)</f>
        <v>24000</v>
      </c>
      <c r="J3">
        <f>IF('点数表(子→子)'!J3="","",'点数表(子→子)'!J3*2+'点数表(親→子)'!J3)</f>
        <v>32000</v>
      </c>
      <c r="K3">
        <f>IF('点数表(子→子)'!K3="","",'点数表(子→子)'!K3*2+'点数表(親→子)'!K3)</f>
        <v>64000</v>
      </c>
      <c r="L3">
        <f>IF('点数表(子→子)'!L3="","",'点数表(子→子)'!L3*2+'点数表(親→子)'!L3)</f>
        <v>96000</v>
      </c>
    </row>
    <row r="4" spans="1:12" x14ac:dyDescent="0.4">
      <c r="A4" s="19">
        <v>30</v>
      </c>
      <c r="B4">
        <f>IF('点数表(子→子)'!B4="","",'点数表(子→子)'!B4*2+'点数表(親→子)'!B4)</f>
        <v>1100</v>
      </c>
      <c r="C4">
        <f>IF('点数表(子→子)'!C4="","",'点数表(子→子)'!C4*2+'点数表(親→子)'!C4)</f>
        <v>2000</v>
      </c>
      <c r="D4">
        <f>IF('点数表(子→子)'!D4="","",'点数表(子→子)'!D4*2+'点数表(親→子)'!D4)</f>
        <v>2200</v>
      </c>
      <c r="E4">
        <f>IF('点数表(子→子)'!E4="","",'点数表(子→子)'!E4*2+'点数表(親→子)'!E4)</f>
        <v>8000</v>
      </c>
      <c r="F4">
        <f>IF('点数表(子→子)'!F4="","",'点数表(子→子)'!F4*2+'点数表(親→子)'!F4)</f>
        <v>8000</v>
      </c>
      <c r="G4">
        <f>IF('点数表(子→子)'!G4="","",'点数表(子→子)'!G4*2+'点数表(親→子)'!G4)</f>
        <v>12000</v>
      </c>
      <c r="H4">
        <f>IF('点数表(子→子)'!H4="","",'点数表(子→子)'!H4*2+'点数表(親→子)'!H4)</f>
        <v>16000</v>
      </c>
      <c r="I4">
        <f>IF('点数表(子→子)'!I4="","",'点数表(子→子)'!I4*2+'点数表(親→子)'!I4)</f>
        <v>24000</v>
      </c>
      <c r="J4">
        <f>IF('点数表(子→子)'!J4="","",'点数表(子→子)'!J4*2+'点数表(親→子)'!J4)</f>
        <v>32000</v>
      </c>
      <c r="K4">
        <f>IF('点数表(子→子)'!K4="","",'点数表(子→子)'!K4*2+'点数表(親→子)'!K4)</f>
        <v>64000</v>
      </c>
      <c r="L4">
        <f>IF('点数表(子→子)'!L4="","",'点数表(子→子)'!L4*2+'点数表(親→子)'!L4)</f>
        <v>96000</v>
      </c>
    </row>
    <row r="5" spans="1:12" x14ac:dyDescent="0.4">
      <c r="A5" s="19">
        <v>40</v>
      </c>
      <c r="B5">
        <f>IF('点数表(子→子)'!B5="","",'点数表(子→子)'!B5*2+'点数表(親→子)'!B5)</f>
        <v>1500</v>
      </c>
      <c r="C5">
        <f>IF('点数表(子→子)'!C5="","",'点数表(子→子)'!C5*2+'点数表(親→子)'!C5)</f>
        <v>2700</v>
      </c>
      <c r="D5">
        <f>IF('点数表(子→子)'!D5="","",'点数表(子→子)'!D5*2+'点数表(親→子)'!D5)</f>
        <v>5200</v>
      </c>
      <c r="E5">
        <f>IF('点数表(子→子)'!E5="","",'点数表(子→子)'!E5*2+'点数表(親→子)'!E5)</f>
        <v>8000</v>
      </c>
      <c r="F5">
        <f>IF('点数表(子→子)'!F5="","",'点数表(子→子)'!F5*2+'点数表(親→子)'!F5)</f>
        <v>8000</v>
      </c>
      <c r="G5">
        <f>IF('点数表(子→子)'!G5="","",'点数表(子→子)'!G5*2+'点数表(親→子)'!G5)</f>
        <v>12000</v>
      </c>
      <c r="H5">
        <f>IF('点数表(子→子)'!H5="","",'点数表(子→子)'!H5*2+'点数表(親→子)'!H5)</f>
        <v>16000</v>
      </c>
      <c r="I5">
        <f>IF('点数表(子→子)'!I5="","",'点数表(子→子)'!I5*2+'点数表(親→子)'!I5)</f>
        <v>24000</v>
      </c>
      <c r="J5">
        <f>IF('点数表(子→子)'!J5="","",'点数表(子→子)'!J5*2+'点数表(親→子)'!J5)</f>
        <v>32000</v>
      </c>
      <c r="K5">
        <f>IF('点数表(子→子)'!K5="","",'点数表(子→子)'!K5*2+'点数表(親→子)'!K5)</f>
        <v>64000</v>
      </c>
      <c r="L5">
        <f>IF('点数表(子→子)'!L5="","",'点数表(子→子)'!L5*2+'点数表(親→子)'!L5)</f>
        <v>96000</v>
      </c>
    </row>
    <row r="6" spans="1:12" x14ac:dyDescent="0.4">
      <c r="A6" s="19">
        <v>50</v>
      </c>
      <c r="B6">
        <f>IF('点数表(子→子)'!B6="","",'点数表(子→子)'!B6*2+'点数表(親→子)'!B6)</f>
        <v>1600</v>
      </c>
      <c r="C6">
        <f>IF('点数表(子→子)'!C6="","",'点数表(子→子)'!C6*2+'点数表(親→子)'!C6)</f>
        <v>3200</v>
      </c>
      <c r="D6">
        <f>IF('点数表(子→子)'!D6="","",'点数表(子→子)'!D6*2+'点数表(親→子)'!D6)</f>
        <v>6400</v>
      </c>
      <c r="E6">
        <f>IF('点数表(子→子)'!E6="","",'点数表(子→子)'!E6*2+'点数表(親→子)'!E6)</f>
        <v>8000</v>
      </c>
      <c r="F6">
        <f>IF('点数表(子→子)'!F6="","",'点数表(子→子)'!F6*2+'点数表(親→子)'!F6)</f>
        <v>8000</v>
      </c>
      <c r="G6">
        <f>IF('点数表(子→子)'!G6="","",'点数表(子→子)'!G6*2+'点数表(親→子)'!G6)</f>
        <v>12000</v>
      </c>
      <c r="H6">
        <f>IF('点数表(子→子)'!H6="","",'点数表(子→子)'!H6*2+'点数表(親→子)'!H6)</f>
        <v>16000</v>
      </c>
      <c r="I6">
        <f>IF('点数表(子→子)'!I6="","",'点数表(子→子)'!I6*2+'点数表(親→子)'!I6)</f>
        <v>24000</v>
      </c>
      <c r="J6">
        <f>IF('点数表(子→子)'!J6="","",'点数表(子→子)'!J6*2+'点数表(親→子)'!J6)</f>
        <v>32000</v>
      </c>
      <c r="K6">
        <f>IF('点数表(子→子)'!K6="","",'点数表(子→子)'!K6*2+'点数表(親→子)'!K6)</f>
        <v>64000</v>
      </c>
      <c r="L6">
        <f>IF('点数表(子→子)'!L6="","",'点数表(子→子)'!L6*2+'点数表(親→子)'!L6)</f>
        <v>96000</v>
      </c>
    </row>
    <row r="7" spans="1:12" x14ac:dyDescent="0.4">
      <c r="A7" s="19">
        <v>60</v>
      </c>
      <c r="B7">
        <f>IF('点数表(子→子)'!B7="","",'点数表(子→子)'!B7*2+'点数表(親→子)'!B7)</f>
        <v>2000</v>
      </c>
      <c r="C7">
        <f>IF('点数表(子→子)'!C7="","",'点数表(子→子)'!C7*2+'点数表(親→子)'!C7)</f>
        <v>4000</v>
      </c>
      <c r="D7">
        <f>IF('点数表(子→子)'!D7="","",'点数表(子→子)'!D7*2+'点数表(親→子)'!D7)</f>
        <v>8000</v>
      </c>
      <c r="E7">
        <f>IF('点数表(子→子)'!E7="","",'点数表(子→子)'!E7*2+'点数表(親→子)'!E7)</f>
        <v>8000</v>
      </c>
      <c r="F7">
        <f>IF('点数表(子→子)'!F7="","",'点数表(子→子)'!F7*2+'点数表(親→子)'!F7)</f>
        <v>8000</v>
      </c>
      <c r="G7">
        <f>IF('点数表(子→子)'!G7="","",'点数表(子→子)'!G7*2+'点数表(親→子)'!G7)</f>
        <v>12000</v>
      </c>
      <c r="H7">
        <f>IF('点数表(子→子)'!H7="","",'点数表(子→子)'!H7*2+'点数表(親→子)'!H7)</f>
        <v>16000</v>
      </c>
      <c r="I7">
        <f>IF('点数表(子→子)'!I7="","",'点数表(子→子)'!I7*2+'点数表(親→子)'!I7)</f>
        <v>24000</v>
      </c>
      <c r="J7">
        <f>IF('点数表(子→子)'!J7="","",'点数表(子→子)'!J7*2+'点数表(親→子)'!J7)</f>
        <v>32000</v>
      </c>
      <c r="K7">
        <f>IF('点数表(子→子)'!K7="","",'点数表(子→子)'!K7*2+'点数表(親→子)'!K7)</f>
        <v>64000</v>
      </c>
      <c r="L7">
        <f>IF('点数表(子→子)'!L7="","",'点数表(子→子)'!L7*2+'点数表(親→子)'!L7)</f>
        <v>96000</v>
      </c>
    </row>
    <row r="8" spans="1:12" x14ac:dyDescent="0.4">
      <c r="A8" s="19">
        <v>70</v>
      </c>
      <c r="B8">
        <f>IF('点数表(子→子)'!B8="","",'点数表(子→子)'!B8*2+'点数表(親→子)'!B8)</f>
        <v>2400</v>
      </c>
      <c r="C8">
        <f>IF('点数表(子→子)'!C8="","",'点数表(子→子)'!C8*2+'点数表(親→子)'!C8)</f>
        <v>4700</v>
      </c>
      <c r="D8">
        <f>IF('点数表(子→子)'!D8="","",'点数表(子→子)'!D8*2+'点数表(親→子)'!D8)</f>
        <v>8000</v>
      </c>
      <c r="E8">
        <f>IF('点数表(子→子)'!E8="","",'点数表(子→子)'!E8*2+'点数表(親→子)'!E8)</f>
        <v>8000</v>
      </c>
      <c r="F8">
        <f>IF('点数表(子→子)'!F8="","",'点数表(子→子)'!F8*2+'点数表(親→子)'!F8)</f>
        <v>8000</v>
      </c>
      <c r="G8">
        <f>IF('点数表(子→子)'!G8="","",'点数表(子→子)'!G8*2+'点数表(親→子)'!G8)</f>
        <v>12000</v>
      </c>
      <c r="H8">
        <f>IF('点数表(子→子)'!H8="","",'点数表(子→子)'!H8*2+'点数表(親→子)'!H8)</f>
        <v>16000</v>
      </c>
      <c r="I8">
        <f>IF('点数表(子→子)'!I8="","",'点数表(子→子)'!I8*2+'点数表(親→子)'!I8)</f>
        <v>24000</v>
      </c>
      <c r="J8">
        <f>IF('点数表(子→子)'!J8="","",'点数表(子→子)'!J8*2+'点数表(親→子)'!J8)</f>
        <v>32000</v>
      </c>
      <c r="K8">
        <f>IF('点数表(子→子)'!K8="","",'点数表(子→子)'!K8*2+'点数表(親→子)'!K8)</f>
        <v>64000</v>
      </c>
      <c r="L8">
        <f>IF('点数表(子→子)'!L8="","",'点数表(子→子)'!L8*2+'点数表(親→子)'!L8)</f>
        <v>96000</v>
      </c>
    </row>
    <row r="9" spans="1:12" x14ac:dyDescent="0.4">
      <c r="A9" s="19">
        <v>80</v>
      </c>
      <c r="B9">
        <f>IF('点数表(子→子)'!B9="","",'点数表(子→子)'!B9*2+'点数表(親→子)'!B9)</f>
        <v>2700</v>
      </c>
      <c r="C9">
        <f>IF('点数表(子→子)'!C9="","",'点数表(子→子)'!C9*2+'点数表(親→子)'!C9)</f>
        <v>5200</v>
      </c>
      <c r="D9">
        <f>IF('点数表(子→子)'!D9="","",'点数表(子→子)'!D9*2+'点数表(親→子)'!D9)</f>
        <v>8000</v>
      </c>
      <c r="E9">
        <f>IF('点数表(子→子)'!E9="","",'点数表(子→子)'!E9*2+'点数表(親→子)'!E9)</f>
        <v>8000</v>
      </c>
      <c r="F9">
        <f>IF('点数表(子→子)'!F9="","",'点数表(子→子)'!F9*2+'点数表(親→子)'!F9)</f>
        <v>8000</v>
      </c>
      <c r="G9">
        <f>IF('点数表(子→子)'!G9="","",'点数表(子→子)'!G9*2+'点数表(親→子)'!G9)</f>
        <v>12000</v>
      </c>
      <c r="H9">
        <f>IF('点数表(子→子)'!H9="","",'点数表(子→子)'!H9*2+'点数表(親→子)'!H9)</f>
        <v>16000</v>
      </c>
      <c r="I9">
        <f>IF('点数表(子→子)'!I9="","",'点数表(子→子)'!I9*2+'点数表(親→子)'!I9)</f>
        <v>24000</v>
      </c>
      <c r="J9">
        <f>IF('点数表(子→子)'!J9="","",'点数表(子→子)'!J9*2+'点数表(親→子)'!J9)</f>
        <v>32000</v>
      </c>
      <c r="K9">
        <f>IF('点数表(子→子)'!K9="","",'点数表(子→子)'!K9*2+'点数表(親→子)'!K9)</f>
        <v>64000</v>
      </c>
      <c r="L9">
        <f>IF('点数表(子→子)'!L9="","",'点数表(子→子)'!L9*2+'点数表(親→子)'!L9)</f>
        <v>96000</v>
      </c>
    </row>
    <row r="10" spans="1:12" x14ac:dyDescent="0.4">
      <c r="A10" s="19">
        <v>90</v>
      </c>
      <c r="B10">
        <f>IF('点数表(子→子)'!B10="","",'点数表(子→子)'!B10*2+'点数表(親→子)'!B10)</f>
        <v>3100</v>
      </c>
      <c r="C10">
        <f>IF('点数表(子→子)'!C10="","",'点数表(子→子)'!C10*2+'点数表(親→子)'!C10)</f>
        <v>5900</v>
      </c>
      <c r="D10">
        <f>IF('点数表(子→子)'!D10="","",'点数表(子→子)'!D10*2+'点数表(親→子)'!D10)</f>
        <v>8000</v>
      </c>
      <c r="E10">
        <f>IF('点数表(子→子)'!E10="","",'点数表(子→子)'!E10*2+'点数表(親→子)'!E10)</f>
        <v>8000</v>
      </c>
      <c r="F10">
        <f>IF('点数表(子→子)'!F10="","",'点数表(子→子)'!F10*2+'点数表(親→子)'!F10)</f>
        <v>8000</v>
      </c>
      <c r="G10">
        <f>IF('点数表(子→子)'!G10="","",'点数表(子→子)'!G10*2+'点数表(親→子)'!G10)</f>
        <v>12000</v>
      </c>
      <c r="H10">
        <f>IF('点数表(子→子)'!H10="","",'点数表(子→子)'!H10*2+'点数表(親→子)'!H10)</f>
        <v>16000</v>
      </c>
      <c r="I10">
        <f>IF('点数表(子→子)'!I10="","",'点数表(子→子)'!I10*2+'点数表(親→子)'!I10)</f>
        <v>24000</v>
      </c>
      <c r="J10">
        <f>IF('点数表(子→子)'!J10="","",'点数表(子→子)'!J10*2+'点数表(親→子)'!J10)</f>
        <v>32000</v>
      </c>
      <c r="K10">
        <f>IF('点数表(子→子)'!K10="","",'点数表(子→子)'!K10*2+'点数表(親→子)'!K10)</f>
        <v>64000</v>
      </c>
      <c r="L10">
        <f>IF('点数表(子→子)'!L10="","",'点数表(子→子)'!L10*2+'点数表(親→子)'!L10)</f>
        <v>96000</v>
      </c>
    </row>
    <row r="11" spans="1:12" x14ac:dyDescent="0.4">
      <c r="A11" s="19">
        <v>100</v>
      </c>
      <c r="B11">
        <f>IF('点数表(子→子)'!B11="","",'点数表(子→子)'!B11*2+'点数表(親→子)'!B11)</f>
        <v>3200</v>
      </c>
      <c r="C11">
        <f>IF('点数表(子→子)'!C11="","",'点数表(子→子)'!C11*2+'点数表(親→子)'!C11)</f>
        <v>6400</v>
      </c>
      <c r="D11">
        <f>IF('点数表(子→子)'!D11="","",'点数表(子→子)'!D11*2+'点数表(親→子)'!D11)</f>
        <v>8000</v>
      </c>
      <c r="E11">
        <f>IF('点数表(子→子)'!E11="","",'点数表(子→子)'!E11*2+'点数表(親→子)'!E11)</f>
        <v>8000</v>
      </c>
      <c r="F11">
        <f>IF('点数表(子→子)'!F11="","",'点数表(子→子)'!F11*2+'点数表(親→子)'!F11)</f>
        <v>8000</v>
      </c>
      <c r="G11">
        <f>IF('点数表(子→子)'!G11="","",'点数表(子→子)'!G11*2+'点数表(親→子)'!G11)</f>
        <v>12000</v>
      </c>
      <c r="H11">
        <f>IF('点数表(子→子)'!H11="","",'点数表(子→子)'!H11*2+'点数表(親→子)'!H11)</f>
        <v>16000</v>
      </c>
      <c r="I11">
        <f>IF('点数表(子→子)'!I11="","",'点数表(子→子)'!I11*2+'点数表(親→子)'!I11)</f>
        <v>24000</v>
      </c>
      <c r="J11">
        <f>IF('点数表(子→子)'!J11="","",'点数表(子→子)'!J11*2+'点数表(親→子)'!J11)</f>
        <v>32000</v>
      </c>
      <c r="K11">
        <f>IF('点数表(子→子)'!K11="","",'点数表(子→子)'!K11*2+'点数表(親→子)'!K11)</f>
        <v>64000</v>
      </c>
      <c r="L11">
        <f>IF('点数表(子→子)'!L11="","",'点数表(子→子)'!L11*2+'点数表(親→子)'!L11)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IF('点数表(子→子)'!B12="","",'点数表(子→子)'!B12*2+'点数表(親→子)'!B12)</f>
        <v/>
      </c>
      <c r="C12">
        <f>IF('点数表(子→子)'!C12="","",'点数表(子→子)'!C12*2+'点数表(親→子)'!C12)</f>
        <v>7200</v>
      </c>
      <c r="D12">
        <f>IF('点数表(子→子)'!D12="","",'点数表(子→子)'!D12*2+'点数表(親→子)'!D12)</f>
        <v>8000</v>
      </c>
      <c r="E12">
        <f>IF('点数表(子→子)'!E12="","",'点数表(子→子)'!E12*2+'点数表(親→子)'!E12)</f>
        <v>8000</v>
      </c>
      <c r="F12">
        <f>IF('点数表(子→子)'!F12="","",'点数表(子→子)'!F12*2+'点数表(親→子)'!F12)</f>
        <v>8000</v>
      </c>
      <c r="G12">
        <f>IF('点数表(子→子)'!G12="","",'点数表(子→子)'!G12*2+'点数表(親→子)'!G12)</f>
        <v>12000</v>
      </c>
      <c r="H12">
        <f>IF('点数表(子→子)'!H12="","",'点数表(子→子)'!H12*2+'点数表(親→子)'!H12)</f>
        <v>16000</v>
      </c>
      <c r="I12">
        <f>IF('点数表(子→子)'!I12="","",'点数表(子→子)'!I12*2+'点数表(親→子)'!I12)</f>
        <v>24000</v>
      </c>
      <c r="J12">
        <f>IF('点数表(子→子)'!J12="","",'点数表(子→子)'!J12*2+'点数表(親→子)'!J12)</f>
        <v>32000</v>
      </c>
      <c r="K12">
        <f>IF('点数表(子→子)'!K12="","",'点数表(子→子)'!K12*2+'点数表(親→子)'!K12)</f>
        <v>64000</v>
      </c>
      <c r="L12">
        <f>IF('点数表(子→子)'!L12="","",'点数表(子→子)'!L12*2+'点数表(親→子)'!L12)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64CF-8F51-44A4-B31E-B84F07A18EA1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400</v>
      </c>
      <c r="D2">
        <v>700</v>
      </c>
      <c r="E2">
        <v>1300</v>
      </c>
      <c r="F2">
        <v>2000</v>
      </c>
      <c r="G2">
        <v>3000</v>
      </c>
      <c r="H2">
        <v>4000</v>
      </c>
      <c r="I2">
        <v>6000</v>
      </c>
      <c r="J2">
        <v>8000</v>
      </c>
      <c r="K2">
        <v>16000</v>
      </c>
      <c r="L2">
        <v>24000</v>
      </c>
    </row>
    <row r="3" spans="1:12" x14ac:dyDescent="0.4">
      <c r="A3" s="19">
        <v>25</v>
      </c>
      <c r="B3" t="s">
        <v>14</v>
      </c>
      <c r="D3">
        <v>800</v>
      </c>
      <c r="E3">
        <v>1600</v>
      </c>
      <c r="F3">
        <v>2000</v>
      </c>
      <c r="G3">
        <v>3000</v>
      </c>
      <c r="H3">
        <v>4000</v>
      </c>
      <c r="I3">
        <v>6000</v>
      </c>
      <c r="J3">
        <v>8000</v>
      </c>
      <c r="K3">
        <v>16000</v>
      </c>
      <c r="L3">
        <v>24000</v>
      </c>
    </row>
    <row r="4" spans="1:12" x14ac:dyDescent="0.4">
      <c r="A4" s="19">
        <v>30</v>
      </c>
      <c r="B4">
        <v>300</v>
      </c>
      <c r="C4">
        <v>500</v>
      </c>
      <c r="D4">
        <v>100</v>
      </c>
      <c r="E4">
        <v>2000</v>
      </c>
      <c r="F4">
        <v>2000</v>
      </c>
      <c r="G4">
        <v>3000</v>
      </c>
      <c r="H4">
        <v>4000</v>
      </c>
      <c r="I4">
        <v>6000</v>
      </c>
      <c r="J4">
        <v>8000</v>
      </c>
      <c r="K4">
        <v>16000</v>
      </c>
      <c r="L4">
        <v>24000</v>
      </c>
    </row>
    <row r="5" spans="1:12" x14ac:dyDescent="0.4">
      <c r="A5" s="19">
        <v>40</v>
      </c>
      <c r="B5">
        <v>400</v>
      </c>
      <c r="C5">
        <v>700</v>
      </c>
      <c r="D5">
        <v>1300</v>
      </c>
      <c r="E5">
        <v>2000</v>
      </c>
      <c r="F5">
        <v>2000</v>
      </c>
      <c r="G5">
        <v>3000</v>
      </c>
      <c r="H5">
        <v>4000</v>
      </c>
      <c r="I5">
        <v>6000</v>
      </c>
      <c r="J5">
        <v>8000</v>
      </c>
      <c r="K5">
        <v>16000</v>
      </c>
      <c r="L5">
        <v>24000</v>
      </c>
    </row>
    <row r="6" spans="1:12" x14ac:dyDescent="0.4">
      <c r="A6" s="19">
        <v>50</v>
      </c>
      <c r="B6">
        <v>400</v>
      </c>
      <c r="C6">
        <v>800</v>
      </c>
      <c r="D6">
        <v>1600</v>
      </c>
      <c r="E6">
        <v>2000</v>
      </c>
      <c r="F6">
        <v>2000</v>
      </c>
      <c r="G6">
        <v>3000</v>
      </c>
      <c r="H6">
        <v>4000</v>
      </c>
      <c r="I6">
        <v>6000</v>
      </c>
      <c r="J6">
        <v>8000</v>
      </c>
      <c r="K6">
        <v>16000</v>
      </c>
      <c r="L6">
        <v>24000</v>
      </c>
    </row>
    <row r="7" spans="1:12" x14ac:dyDescent="0.4">
      <c r="A7" s="19">
        <v>60</v>
      </c>
      <c r="B7">
        <v>500</v>
      </c>
      <c r="C7">
        <v>1000</v>
      </c>
      <c r="D7">
        <v>2000</v>
      </c>
      <c r="E7">
        <v>2000</v>
      </c>
      <c r="F7">
        <v>2000</v>
      </c>
      <c r="G7">
        <v>3000</v>
      </c>
      <c r="H7">
        <v>4000</v>
      </c>
      <c r="I7">
        <v>6000</v>
      </c>
      <c r="J7">
        <v>8000</v>
      </c>
      <c r="K7">
        <v>16000</v>
      </c>
      <c r="L7">
        <v>24000</v>
      </c>
    </row>
    <row r="8" spans="1:12" x14ac:dyDescent="0.4">
      <c r="A8" s="19">
        <v>70</v>
      </c>
      <c r="B8">
        <v>600</v>
      </c>
      <c r="C8">
        <v>1200</v>
      </c>
      <c r="D8">
        <v>2000</v>
      </c>
      <c r="E8">
        <v>2000</v>
      </c>
      <c r="F8">
        <v>2000</v>
      </c>
      <c r="G8">
        <v>3000</v>
      </c>
      <c r="H8">
        <v>4000</v>
      </c>
      <c r="I8">
        <v>6000</v>
      </c>
      <c r="J8">
        <v>8000</v>
      </c>
      <c r="K8">
        <v>16000</v>
      </c>
      <c r="L8">
        <v>24000</v>
      </c>
    </row>
    <row r="9" spans="1:12" x14ac:dyDescent="0.4">
      <c r="A9" s="19">
        <v>80</v>
      </c>
      <c r="B9">
        <v>700</v>
      </c>
      <c r="C9">
        <v>1300</v>
      </c>
      <c r="D9">
        <v>2000</v>
      </c>
      <c r="E9">
        <v>2000</v>
      </c>
      <c r="F9">
        <v>2000</v>
      </c>
      <c r="G9">
        <v>3000</v>
      </c>
      <c r="H9">
        <v>4000</v>
      </c>
      <c r="I9">
        <v>6000</v>
      </c>
      <c r="J9">
        <v>8000</v>
      </c>
      <c r="K9">
        <v>16000</v>
      </c>
      <c r="L9">
        <v>24000</v>
      </c>
    </row>
    <row r="10" spans="1:12" x14ac:dyDescent="0.4">
      <c r="A10" s="19">
        <v>90</v>
      </c>
      <c r="B10">
        <v>800</v>
      </c>
      <c r="C10">
        <v>1500</v>
      </c>
      <c r="D10">
        <v>2000</v>
      </c>
      <c r="E10">
        <v>2000</v>
      </c>
      <c r="F10">
        <v>2000</v>
      </c>
      <c r="G10">
        <v>3000</v>
      </c>
      <c r="H10">
        <v>4000</v>
      </c>
      <c r="I10">
        <v>6000</v>
      </c>
      <c r="J10">
        <v>8000</v>
      </c>
      <c r="K10">
        <v>16000</v>
      </c>
      <c r="L10">
        <v>24000</v>
      </c>
    </row>
    <row r="11" spans="1:12" x14ac:dyDescent="0.4">
      <c r="A11" s="19">
        <v>100</v>
      </c>
      <c r="B11">
        <v>800</v>
      </c>
      <c r="C11">
        <v>1600</v>
      </c>
      <c r="D11">
        <v>2000</v>
      </c>
      <c r="E11">
        <v>2000</v>
      </c>
      <c r="F11">
        <v>2000</v>
      </c>
      <c r="G11">
        <v>3000</v>
      </c>
      <c r="H11">
        <v>4000</v>
      </c>
      <c r="I11">
        <v>6000</v>
      </c>
      <c r="J11">
        <v>8000</v>
      </c>
      <c r="K11">
        <v>16000</v>
      </c>
      <c r="L11">
        <v>24000</v>
      </c>
    </row>
    <row r="12" spans="1:12" x14ac:dyDescent="0.4">
      <c r="A12" s="19">
        <v>110</v>
      </c>
      <c r="B12" t="s">
        <v>14</v>
      </c>
      <c r="C12">
        <v>1800</v>
      </c>
      <c r="D12">
        <v>2000</v>
      </c>
      <c r="E12">
        <v>2000</v>
      </c>
      <c r="F12">
        <v>2000</v>
      </c>
      <c r="G12">
        <v>3000</v>
      </c>
      <c r="H12">
        <v>4000</v>
      </c>
      <c r="I12">
        <v>6000</v>
      </c>
      <c r="J12">
        <v>8000</v>
      </c>
      <c r="K12">
        <v>16000</v>
      </c>
      <c r="L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16C88-FA52-45AA-82F7-3A69A071C936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14</v>
      </c>
      <c r="C3" t="s">
        <v>14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14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 Fukuzawa</cp:lastModifiedBy>
  <cp:lastPrinted>2018-10-03T09:15:05Z</cp:lastPrinted>
  <dcterms:created xsi:type="dcterms:W3CDTF">2018-10-02T11:54:05Z</dcterms:created>
  <dcterms:modified xsi:type="dcterms:W3CDTF">2018-12-20T05:19:12Z</dcterms:modified>
</cp:coreProperties>
</file>