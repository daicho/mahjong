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対局\"/>
    </mc:Choice>
  </mc:AlternateContent>
  <xr:revisionPtr revIDLastSave="0" documentId="13_ncr:1_{1A8C977C-8FA8-426E-8CF1-D961B1CFFFE6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Sheet2" sheetId="28" r:id="rId2"/>
    <sheet name="Sheet3" sheetId="29" r:id="rId3"/>
    <sheet name="Sheet4" sheetId="30" r:id="rId4"/>
    <sheet name="Sheet5" sheetId="31" r:id="rId5"/>
    <sheet name="役一覧" sheetId="15" state="hidden" r:id="rId6"/>
    <sheet name="点数表(親ロン)" sheetId="20" state="hidden" r:id="rId7"/>
    <sheet name="点数表(親ツモ)" sheetId="21" state="hidden" r:id="rId8"/>
    <sheet name="点数表(子→親)" sheetId="22" state="hidden" r:id="rId9"/>
    <sheet name="点数表(子ロン)" sheetId="23" state="hidden" r:id="rId10"/>
    <sheet name="点数表(子ツモ)" sheetId="24" state="hidden" r:id="rId11"/>
    <sheet name="点数表(子→子)" sheetId="25" state="hidden" r:id="rId12"/>
    <sheet name="点数表(親→子)" sheetId="2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5" i="31" l="1"/>
  <c r="E14" i="31"/>
  <c r="A14" i="31" s="1"/>
  <c r="E13" i="31"/>
  <c r="E12" i="31"/>
  <c r="E11" i="31"/>
  <c r="E10" i="31"/>
  <c r="D10" i="31" s="1"/>
  <c r="E9" i="31"/>
  <c r="E8" i="31"/>
  <c r="D8" i="31" s="1"/>
  <c r="E7" i="31"/>
  <c r="E6" i="31"/>
  <c r="C6" i="31" s="1"/>
  <c r="E5" i="31"/>
  <c r="Y30" i="31"/>
  <c r="AC30" i="31" s="1"/>
  <c r="T30" i="31"/>
  <c r="AB30" i="31" s="1"/>
  <c r="O30" i="31"/>
  <c r="AA30" i="31" s="1"/>
  <c r="J30" i="31"/>
  <c r="Z30" i="31" s="1"/>
  <c r="D30" i="31"/>
  <c r="C30" i="31"/>
  <c r="B30" i="31"/>
  <c r="A30" i="31"/>
  <c r="Y29" i="31"/>
  <c r="AC29" i="31" s="1"/>
  <c r="T29" i="31"/>
  <c r="AB29" i="31" s="1"/>
  <c r="O29" i="31"/>
  <c r="AA29" i="31" s="1"/>
  <c r="J29" i="31"/>
  <c r="Z29" i="31" s="1"/>
  <c r="D29" i="31"/>
  <c r="C29" i="31"/>
  <c r="B29" i="31"/>
  <c r="A29" i="31"/>
  <c r="Y28" i="31"/>
  <c r="AC28" i="31" s="1"/>
  <c r="T28" i="31"/>
  <c r="AB28" i="31" s="1"/>
  <c r="O28" i="31"/>
  <c r="AA28" i="31" s="1"/>
  <c r="J28" i="31"/>
  <c r="Z28" i="31" s="1"/>
  <c r="D28" i="31"/>
  <c r="C28" i="31"/>
  <c r="B28" i="31"/>
  <c r="A28" i="31"/>
  <c r="Y27" i="31"/>
  <c r="AC27" i="31" s="1"/>
  <c r="T27" i="31"/>
  <c r="AB27" i="31" s="1"/>
  <c r="O27" i="31"/>
  <c r="AA27" i="31" s="1"/>
  <c r="J27" i="31"/>
  <c r="Z27" i="31" s="1"/>
  <c r="D27" i="31"/>
  <c r="C27" i="31"/>
  <c r="B27" i="31"/>
  <c r="A27" i="31"/>
  <c r="Y26" i="31"/>
  <c r="AC26" i="31" s="1"/>
  <c r="T26" i="31"/>
  <c r="AB26" i="31" s="1"/>
  <c r="O26" i="31"/>
  <c r="AA26" i="31" s="1"/>
  <c r="J26" i="31"/>
  <c r="Z26" i="31" s="1"/>
  <c r="D26" i="31"/>
  <c r="C26" i="31"/>
  <c r="B26" i="31"/>
  <c r="A26" i="31"/>
  <c r="Y25" i="31"/>
  <c r="AC25" i="31" s="1"/>
  <c r="T25" i="31"/>
  <c r="AB25" i="31" s="1"/>
  <c r="O25" i="31"/>
  <c r="AA25" i="31" s="1"/>
  <c r="J25" i="31"/>
  <c r="Z25" i="31" s="1"/>
  <c r="D25" i="31"/>
  <c r="C25" i="31"/>
  <c r="B25" i="31"/>
  <c r="A25" i="31"/>
  <c r="Y24" i="31"/>
  <c r="AC24" i="31" s="1"/>
  <c r="T24" i="31"/>
  <c r="AB24" i="31" s="1"/>
  <c r="O24" i="31"/>
  <c r="AA24" i="31" s="1"/>
  <c r="J24" i="31"/>
  <c r="Z24" i="31" s="1"/>
  <c r="D24" i="31"/>
  <c r="C24" i="31"/>
  <c r="B24" i="31"/>
  <c r="A24" i="31"/>
  <c r="Y23" i="31"/>
  <c r="AC23" i="31" s="1"/>
  <c r="T23" i="31"/>
  <c r="AB23" i="31" s="1"/>
  <c r="O23" i="31"/>
  <c r="AA23" i="31" s="1"/>
  <c r="J23" i="31"/>
  <c r="Z23" i="31" s="1"/>
  <c r="D23" i="31"/>
  <c r="C23" i="31"/>
  <c r="B23" i="31"/>
  <c r="A23" i="31"/>
  <c r="Y22" i="31"/>
  <c r="AC22" i="31" s="1"/>
  <c r="T22" i="31"/>
  <c r="AB22" i="31" s="1"/>
  <c r="O22" i="31"/>
  <c r="AA22" i="31" s="1"/>
  <c r="J22" i="31"/>
  <c r="Z22" i="31" s="1"/>
  <c r="D22" i="31"/>
  <c r="C22" i="31"/>
  <c r="B22" i="31"/>
  <c r="A22" i="31"/>
  <c r="Y21" i="31"/>
  <c r="AC21" i="31" s="1"/>
  <c r="T21" i="31"/>
  <c r="AB21" i="31" s="1"/>
  <c r="O21" i="31"/>
  <c r="AA21" i="31" s="1"/>
  <c r="J21" i="31"/>
  <c r="Z21" i="31" s="1"/>
  <c r="D21" i="31"/>
  <c r="C21" i="31"/>
  <c r="B21" i="31"/>
  <c r="A21" i="31"/>
  <c r="Y20" i="31"/>
  <c r="AC20" i="31" s="1"/>
  <c r="T20" i="31"/>
  <c r="AB20" i="31" s="1"/>
  <c r="O20" i="31"/>
  <c r="AA20" i="31" s="1"/>
  <c r="J20" i="31"/>
  <c r="Z20" i="31" s="1"/>
  <c r="D20" i="31"/>
  <c r="C20" i="31"/>
  <c r="B20" i="31"/>
  <c r="A20" i="31"/>
  <c r="Y19" i="31"/>
  <c r="AC19" i="31" s="1"/>
  <c r="T19" i="31"/>
  <c r="AB19" i="31" s="1"/>
  <c r="O19" i="31"/>
  <c r="AA19" i="31" s="1"/>
  <c r="J19" i="31"/>
  <c r="Z19" i="31" s="1"/>
  <c r="D19" i="31"/>
  <c r="C19" i="31"/>
  <c r="B19" i="31"/>
  <c r="A19" i="31"/>
  <c r="Y18" i="31"/>
  <c r="AC18" i="31" s="1"/>
  <c r="T18" i="31"/>
  <c r="AB18" i="31" s="1"/>
  <c r="O18" i="31"/>
  <c r="AA18" i="31" s="1"/>
  <c r="J18" i="31"/>
  <c r="Z18" i="31" s="1"/>
  <c r="D18" i="31"/>
  <c r="C18" i="31"/>
  <c r="B18" i="31"/>
  <c r="A18" i="31"/>
  <c r="Y17" i="31"/>
  <c r="AC17" i="31" s="1"/>
  <c r="T17" i="31"/>
  <c r="AB17" i="31" s="1"/>
  <c r="O17" i="31"/>
  <c r="AA17" i="31" s="1"/>
  <c r="J17" i="31"/>
  <c r="Z17" i="31" s="1"/>
  <c r="D17" i="31"/>
  <c r="C17" i="31"/>
  <c r="B17" i="31"/>
  <c r="A17" i="31"/>
  <c r="Y16" i="31"/>
  <c r="AC16" i="31" s="1"/>
  <c r="T16" i="31"/>
  <c r="AB16" i="31" s="1"/>
  <c r="O16" i="31"/>
  <c r="AA16" i="31" s="1"/>
  <c r="J16" i="31"/>
  <c r="Z16" i="31" s="1"/>
  <c r="D16" i="31"/>
  <c r="C16" i="31"/>
  <c r="B16" i="31"/>
  <c r="A16" i="31"/>
  <c r="Y15" i="31"/>
  <c r="AC15" i="31" s="1"/>
  <c r="T15" i="31"/>
  <c r="AB15" i="31" s="1"/>
  <c r="O15" i="31"/>
  <c r="AA15" i="31" s="1"/>
  <c r="J15" i="31"/>
  <c r="Z15" i="31" s="1"/>
  <c r="C15" i="31"/>
  <c r="B15" i="31"/>
  <c r="A15" i="31"/>
  <c r="Y14" i="31"/>
  <c r="T14" i="31"/>
  <c r="O14" i="31"/>
  <c r="J14" i="31"/>
  <c r="B14" i="31"/>
  <c r="Y13" i="31"/>
  <c r="T13" i="31"/>
  <c r="O13" i="31"/>
  <c r="J13" i="31"/>
  <c r="D13" i="31"/>
  <c r="C13" i="31"/>
  <c r="B13" i="31"/>
  <c r="A13" i="31" s="1"/>
  <c r="Y12" i="31"/>
  <c r="T12" i="31"/>
  <c r="O12" i="31"/>
  <c r="J12" i="31"/>
  <c r="D12" i="31"/>
  <c r="C12" i="31"/>
  <c r="B12" i="31"/>
  <c r="A12" i="31" s="1"/>
  <c r="D11" i="31"/>
  <c r="D9" i="31"/>
  <c r="C7" i="31"/>
  <c r="D7" i="31"/>
  <c r="O6" i="31"/>
  <c r="O7" i="31" s="1"/>
  <c r="D6" i="31"/>
  <c r="O5" i="31"/>
  <c r="J5" i="31"/>
  <c r="J6" i="31" s="1"/>
  <c r="D5" i="31"/>
  <c r="C5" i="31"/>
  <c r="Y4" i="31"/>
  <c r="Y5" i="31" s="1"/>
  <c r="T4" i="31"/>
  <c r="O4" i="31"/>
  <c r="J4" i="31"/>
  <c r="Z4" i="31" s="1"/>
  <c r="E4" i="31"/>
  <c r="B5" i="31" s="1"/>
  <c r="AC3" i="31"/>
  <c r="AB3" i="31"/>
  <c r="AA3" i="31"/>
  <c r="Z3" i="31"/>
  <c r="AC2" i="31"/>
  <c r="AB2" i="31"/>
  <c r="AA2" i="31"/>
  <c r="Z2" i="31"/>
  <c r="CP1" i="31"/>
  <c r="BU1" i="31"/>
  <c r="AZ1" i="31"/>
  <c r="AY1" i="31"/>
  <c r="AX1" i="31"/>
  <c r="AW1" i="31"/>
  <c r="AV1" i="31"/>
  <c r="AU1" i="31"/>
  <c r="AT1" i="31"/>
  <c r="AS1" i="31"/>
  <c r="AR1" i="31"/>
  <c r="AQ1" i="31"/>
  <c r="AP1" i="31"/>
  <c r="AO1" i="31"/>
  <c r="AN1" i="31"/>
  <c r="AM1" i="31"/>
  <c r="AL1" i="31"/>
  <c r="AK1" i="31"/>
  <c r="AJ1" i="31"/>
  <c r="AI1" i="31"/>
  <c r="AH1" i="31"/>
  <c r="AG1" i="31"/>
  <c r="AF1" i="31"/>
  <c r="AE1" i="31"/>
  <c r="E11" i="30"/>
  <c r="E10" i="30"/>
  <c r="E9" i="30"/>
  <c r="E8" i="30"/>
  <c r="E7" i="30"/>
  <c r="C7" i="30" s="1"/>
  <c r="C8" i="30" s="1"/>
  <c r="E6" i="30"/>
  <c r="E5" i="30"/>
  <c r="Y30" i="30"/>
  <c r="AC30" i="30" s="1"/>
  <c r="T30" i="30"/>
  <c r="AB30" i="30" s="1"/>
  <c r="O30" i="30"/>
  <c r="AA30" i="30" s="1"/>
  <c r="J30" i="30"/>
  <c r="Z30" i="30" s="1"/>
  <c r="D30" i="30"/>
  <c r="C30" i="30"/>
  <c r="B30" i="30"/>
  <c r="A30" i="30"/>
  <c r="Y29" i="30"/>
  <c r="AC29" i="30" s="1"/>
  <c r="T29" i="30"/>
  <c r="AB29" i="30" s="1"/>
  <c r="O29" i="30"/>
  <c r="AA29" i="30" s="1"/>
  <c r="J29" i="30"/>
  <c r="Z29" i="30" s="1"/>
  <c r="D29" i="30"/>
  <c r="C29" i="30"/>
  <c r="B29" i="30"/>
  <c r="A29" i="30"/>
  <c r="Y28" i="30"/>
  <c r="AC28" i="30" s="1"/>
  <c r="T28" i="30"/>
  <c r="AB28" i="30" s="1"/>
  <c r="O28" i="30"/>
  <c r="AA28" i="30" s="1"/>
  <c r="J28" i="30"/>
  <c r="Z28" i="30" s="1"/>
  <c r="D28" i="30"/>
  <c r="C28" i="30"/>
  <c r="B28" i="30"/>
  <c r="A28" i="30"/>
  <c r="Y27" i="30"/>
  <c r="AC27" i="30" s="1"/>
  <c r="T27" i="30"/>
  <c r="AB27" i="30" s="1"/>
  <c r="O27" i="30"/>
  <c r="AA27" i="30" s="1"/>
  <c r="J27" i="30"/>
  <c r="Z27" i="30" s="1"/>
  <c r="D27" i="30"/>
  <c r="C27" i="30"/>
  <c r="B27" i="30"/>
  <c r="A27" i="30"/>
  <c r="Y26" i="30"/>
  <c r="AC26" i="30" s="1"/>
  <c r="T26" i="30"/>
  <c r="AB26" i="30" s="1"/>
  <c r="O26" i="30"/>
  <c r="AA26" i="30" s="1"/>
  <c r="J26" i="30"/>
  <c r="Z26" i="30" s="1"/>
  <c r="D26" i="30"/>
  <c r="C26" i="30"/>
  <c r="B26" i="30"/>
  <c r="A26" i="30"/>
  <c r="Y25" i="30"/>
  <c r="AC25" i="30" s="1"/>
  <c r="T25" i="30"/>
  <c r="AB25" i="30" s="1"/>
  <c r="O25" i="30"/>
  <c r="AA25" i="30" s="1"/>
  <c r="J25" i="30"/>
  <c r="Z25" i="30" s="1"/>
  <c r="D25" i="30"/>
  <c r="C25" i="30"/>
  <c r="B25" i="30"/>
  <c r="A25" i="30"/>
  <c r="Y24" i="30"/>
  <c r="AC24" i="30" s="1"/>
  <c r="T24" i="30"/>
  <c r="AB24" i="30" s="1"/>
  <c r="O24" i="30"/>
  <c r="AA24" i="30" s="1"/>
  <c r="J24" i="30"/>
  <c r="Z24" i="30" s="1"/>
  <c r="D24" i="30"/>
  <c r="C24" i="30"/>
  <c r="B24" i="30"/>
  <c r="A24" i="30"/>
  <c r="Y23" i="30"/>
  <c r="AC23" i="30" s="1"/>
  <c r="T23" i="30"/>
  <c r="AB23" i="30" s="1"/>
  <c r="O23" i="30"/>
  <c r="AA23" i="30" s="1"/>
  <c r="J23" i="30"/>
  <c r="Z23" i="30" s="1"/>
  <c r="D23" i="30"/>
  <c r="C23" i="30"/>
  <c r="B23" i="30"/>
  <c r="A23" i="30"/>
  <c r="Y22" i="30"/>
  <c r="AC22" i="30" s="1"/>
  <c r="T22" i="30"/>
  <c r="AB22" i="30" s="1"/>
  <c r="O22" i="30"/>
  <c r="AA22" i="30" s="1"/>
  <c r="J22" i="30"/>
  <c r="Z22" i="30" s="1"/>
  <c r="D22" i="30"/>
  <c r="C22" i="30"/>
  <c r="B22" i="30"/>
  <c r="A22" i="30"/>
  <c r="Y21" i="30"/>
  <c r="AC21" i="30" s="1"/>
  <c r="T21" i="30"/>
  <c r="AB21" i="30" s="1"/>
  <c r="O21" i="30"/>
  <c r="AA21" i="30" s="1"/>
  <c r="J21" i="30"/>
  <c r="Z21" i="30" s="1"/>
  <c r="D21" i="30"/>
  <c r="C21" i="30"/>
  <c r="B21" i="30"/>
  <c r="A21" i="30"/>
  <c r="Y20" i="30"/>
  <c r="AC20" i="30" s="1"/>
  <c r="T20" i="30"/>
  <c r="AB20" i="30" s="1"/>
  <c r="O20" i="30"/>
  <c r="AA20" i="30" s="1"/>
  <c r="J20" i="30"/>
  <c r="Z20" i="30" s="1"/>
  <c r="D20" i="30"/>
  <c r="C20" i="30"/>
  <c r="B20" i="30"/>
  <c r="A20" i="30"/>
  <c r="Y19" i="30"/>
  <c r="AC19" i="30" s="1"/>
  <c r="T19" i="30"/>
  <c r="AB19" i="30" s="1"/>
  <c r="O19" i="30"/>
  <c r="AA19" i="30" s="1"/>
  <c r="J19" i="30"/>
  <c r="Z19" i="30" s="1"/>
  <c r="D19" i="30"/>
  <c r="C19" i="30"/>
  <c r="B19" i="30"/>
  <c r="A19" i="30"/>
  <c r="Y18" i="30"/>
  <c r="AC18" i="30" s="1"/>
  <c r="T18" i="30"/>
  <c r="AB18" i="30" s="1"/>
  <c r="O18" i="30"/>
  <c r="AA18" i="30" s="1"/>
  <c r="J18" i="30"/>
  <c r="Z18" i="30" s="1"/>
  <c r="D18" i="30"/>
  <c r="C18" i="30"/>
  <c r="B18" i="30"/>
  <c r="A18" i="30"/>
  <c r="Y17" i="30"/>
  <c r="AC17" i="30" s="1"/>
  <c r="T17" i="30"/>
  <c r="AB17" i="30" s="1"/>
  <c r="O17" i="30"/>
  <c r="AA17" i="30" s="1"/>
  <c r="J17" i="30"/>
  <c r="Z17" i="30" s="1"/>
  <c r="D17" i="30"/>
  <c r="C17" i="30"/>
  <c r="B17" i="30"/>
  <c r="A17" i="30"/>
  <c r="Y16" i="30"/>
  <c r="AC16" i="30" s="1"/>
  <c r="T16" i="30"/>
  <c r="AB16" i="30" s="1"/>
  <c r="O16" i="30"/>
  <c r="AA16" i="30" s="1"/>
  <c r="J16" i="30"/>
  <c r="Z16" i="30" s="1"/>
  <c r="D16" i="30"/>
  <c r="C16" i="30"/>
  <c r="B16" i="30"/>
  <c r="A16" i="30"/>
  <c r="Y15" i="30"/>
  <c r="AC15" i="30" s="1"/>
  <c r="T15" i="30"/>
  <c r="AB15" i="30" s="1"/>
  <c r="O15" i="30"/>
  <c r="AA15" i="30" s="1"/>
  <c r="J15" i="30"/>
  <c r="Z15" i="30" s="1"/>
  <c r="D15" i="30"/>
  <c r="C15" i="30"/>
  <c r="B15" i="30"/>
  <c r="A15" i="30"/>
  <c r="C14" i="30"/>
  <c r="D14" i="30"/>
  <c r="D13" i="30"/>
  <c r="D11" i="30"/>
  <c r="D12" i="30" s="1"/>
  <c r="C11" i="30"/>
  <c r="C12" i="30" s="1"/>
  <c r="C13" i="30" s="1"/>
  <c r="D9" i="30"/>
  <c r="D8" i="30"/>
  <c r="D7" i="30"/>
  <c r="C6" i="30"/>
  <c r="D6" i="30"/>
  <c r="Y5" i="30"/>
  <c r="Y6" i="30" s="1"/>
  <c r="D5" i="30"/>
  <c r="C5" i="30"/>
  <c r="B5" i="30"/>
  <c r="A5" i="30" s="1"/>
  <c r="Y4" i="30"/>
  <c r="T4" i="30"/>
  <c r="T5" i="30" s="1"/>
  <c r="O4" i="30"/>
  <c r="O5" i="30" s="1"/>
  <c r="J4" i="30"/>
  <c r="E4" i="30"/>
  <c r="AC3" i="30"/>
  <c r="AB3" i="30"/>
  <c r="AA3" i="30"/>
  <c r="Z3" i="30"/>
  <c r="AC2" i="30"/>
  <c r="AB2" i="30"/>
  <c r="AA2" i="30"/>
  <c r="Z2" i="30"/>
  <c r="CP1" i="30"/>
  <c r="BU1" i="30"/>
  <c r="AZ1" i="30"/>
  <c r="AY1" i="30"/>
  <c r="AX1" i="30"/>
  <c r="AW1" i="30"/>
  <c r="AV1" i="30"/>
  <c r="AU1" i="30"/>
  <c r="AT1" i="30"/>
  <c r="AS1" i="30"/>
  <c r="AR1" i="30"/>
  <c r="AQ1" i="30"/>
  <c r="AP1" i="30"/>
  <c r="AO1" i="30"/>
  <c r="AN1" i="30"/>
  <c r="AM1" i="30"/>
  <c r="AL1" i="30"/>
  <c r="AK1" i="30"/>
  <c r="AJ1" i="30"/>
  <c r="AI1" i="30"/>
  <c r="AH1" i="30"/>
  <c r="AG1" i="30"/>
  <c r="AF1" i="30"/>
  <c r="AE1" i="30"/>
  <c r="Z14" i="31" l="1"/>
  <c r="AC14" i="31"/>
  <c r="AA14" i="31"/>
  <c r="AB14" i="31"/>
  <c r="C14" i="31"/>
  <c r="D14" i="31"/>
  <c r="Z13" i="31"/>
  <c r="AC13" i="31"/>
  <c r="AB13" i="31"/>
  <c r="AA13" i="31"/>
  <c r="AA12" i="31"/>
  <c r="AB12" i="31"/>
  <c r="Z12" i="31"/>
  <c r="AC12" i="31"/>
  <c r="AA4" i="31"/>
  <c r="J7" i="31"/>
  <c r="Y6" i="31"/>
  <c r="B6" i="31"/>
  <c r="A5" i="31"/>
  <c r="O8" i="31"/>
  <c r="AB4" i="31"/>
  <c r="AC4" i="31"/>
  <c r="C9" i="31"/>
  <c r="T5" i="31"/>
  <c r="AC5" i="31" s="1"/>
  <c r="C11" i="31"/>
  <c r="C8" i="31"/>
  <c r="C10" i="31"/>
  <c r="AC4" i="30"/>
  <c r="AB4" i="30"/>
  <c r="O6" i="30"/>
  <c r="Y7" i="30"/>
  <c r="T6" i="30"/>
  <c r="C10" i="30"/>
  <c r="Z4" i="30"/>
  <c r="D10" i="30"/>
  <c r="J5" i="30"/>
  <c r="AA5" i="30" s="1"/>
  <c r="AA4" i="30"/>
  <c r="B6" i="30"/>
  <c r="A6" i="30" s="1"/>
  <c r="C9" i="30"/>
  <c r="Z5" i="31" l="1"/>
  <c r="B7" i="31"/>
  <c r="T6" i="31"/>
  <c r="AB5" i="31"/>
  <c r="AA5" i="31"/>
  <c r="J8" i="31"/>
  <c r="Y7" i="31"/>
  <c r="O9" i="31"/>
  <c r="A6" i="31"/>
  <c r="Y8" i="30"/>
  <c r="T7" i="30"/>
  <c r="B7" i="30"/>
  <c r="J6" i="30"/>
  <c r="AB6" i="30" s="1"/>
  <c r="Z5" i="30"/>
  <c r="O7" i="30"/>
  <c r="AB5" i="30"/>
  <c r="AC5" i="30"/>
  <c r="A7" i="31" l="1"/>
  <c r="J9" i="31"/>
  <c r="T7" i="31"/>
  <c r="AC7" i="31" s="1"/>
  <c r="AB6" i="31"/>
  <c r="AA6" i="31"/>
  <c r="Z6" i="31"/>
  <c r="O10" i="31"/>
  <c r="B8" i="31"/>
  <c r="Y8" i="31"/>
  <c r="AC6" i="31"/>
  <c r="AA6" i="30"/>
  <c r="B8" i="30"/>
  <c r="T8" i="30"/>
  <c r="A7" i="30"/>
  <c r="A8" i="30" s="1"/>
  <c r="O8" i="30"/>
  <c r="Y9" i="30"/>
  <c r="J7" i="30"/>
  <c r="AB7" i="30" s="1"/>
  <c r="Z6" i="30"/>
  <c r="AC6" i="30"/>
  <c r="Y9" i="31" l="1"/>
  <c r="J10" i="31"/>
  <c r="O11" i="31"/>
  <c r="T8" i="31"/>
  <c r="AC8" i="31" s="1"/>
  <c r="AB7" i="31"/>
  <c r="AA7" i="31"/>
  <c r="Z7" i="31"/>
  <c r="B9" i="31"/>
  <c r="A8" i="31"/>
  <c r="T9" i="30"/>
  <c r="J8" i="30"/>
  <c r="Z7" i="30"/>
  <c r="AC7" i="30"/>
  <c r="B9" i="30"/>
  <c r="A9" i="30" s="1"/>
  <c r="Y10" i="30"/>
  <c r="O9" i="30"/>
  <c r="AA7" i="30"/>
  <c r="Y10" i="31" l="1"/>
  <c r="B10" i="31"/>
  <c r="T9" i="31"/>
  <c r="AC9" i="31" s="1"/>
  <c r="AB8" i="31"/>
  <c r="AA8" i="31"/>
  <c r="Z8" i="31"/>
  <c r="A9" i="31"/>
  <c r="A10" i="31" s="1"/>
  <c r="J11" i="31"/>
  <c r="O10" i="30"/>
  <c r="J9" i="30"/>
  <c r="Z8" i="30"/>
  <c r="AC8" i="30"/>
  <c r="AA8" i="30"/>
  <c r="AB8" i="30"/>
  <c r="T10" i="30"/>
  <c r="Y11" i="30"/>
  <c r="B10" i="30"/>
  <c r="A10" i="30" s="1"/>
  <c r="Y11" i="31" l="1"/>
  <c r="T10" i="31"/>
  <c r="AC10" i="31" s="1"/>
  <c r="AB9" i="31"/>
  <c r="AA9" i="31"/>
  <c r="Z9" i="31"/>
  <c r="B11" i="31"/>
  <c r="A11" i="31" s="1"/>
  <c r="J10" i="30"/>
  <c r="Z9" i="30"/>
  <c r="AC9" i="30"/>
  <c r="Y12" i="30"/>
  <c r="AA9" i="30"/>
  <c r="T11" i="30"/>
  <c r="O11" i="30"/>
  <c r="AA10" i="30"/>
  <c r="AB9" i="30"/>
  <c r="B11" i="30"/>
  <c r="AB10" i="31" l="1"/>
  <c r="T11" i="31"/>
  <c r="AA10" i="31"/>
  <c r="Z10" i="31"/>
  <c r="AC11" i="31"/>
  <c r="O12" i="30"/>
  <c r="J11" i="30"/>
  <c r="Z10" i="30"/>
  <c r="AC10" i="30"/>
  <c r="AB10" i="30"/>
  <c r="T12" i="30"/>
  <c r="B12" i="30"/>
  <c r="A11" i="30"/>
  <c r="Y13" i="30"/>
  <c r="E14" i="29"/>
  <c r="E13" i="29"/>
  <c r="E12" i="29"/>
  <c r="D12" i="29" s="1"/>
  <c r="E11" i="29"/>
  <c r="E10" i="29"/>
  <c r="C10" i="29" s="1"/>
  <c r="E9" i="29"/>
  <c r="E8" i="29"/>
  <c r="E7" i="29"/>
  <c r="E6" i="29"/>
  <c r="E5" i="29"/>
  <c r="Y30" i="29"/>
  <c r="AC30" i="29" s="1"/>
  <c r="T30" i="29"/>
  <c r="AB30" i="29" s="1"/>
  <c r="O30" i="29"/>
  <c r="AA30" i="29" s="1"/>
  <c r="J30" i="29"/>
  <c r="Z30" i="29" s="1"/>
  <c r="D30" i="29"/>
  <c r="C30" i="29"/>
  <c r="B30" i="29"/>
  <c r="A30" i="29"/>
  <c r="Y29" i="29"/>
  <c r="AC29" i="29" s="1"/>
  <c r="T29" i="29"/>
  <c r="AB29" i="29" s="1"/>
  <c r="O29" i="29"/>
  <c r="AA29" i="29" s="1"/>
  <c r="J29" i="29"/>
  <c r="Z29" i="29" s="1"/>
  <c r="D29" i="29"/>
  <c r="C29" i="29"/>
  <c r="B29" i="29"/>
  <c r="A29" i="29"/>
  <c r="Y28" i="29"/>
  <c r="AC28" i="29" s="1"/>
  <c r="T28" i="29"/>
  <c r="AB28" i="29" s="1"/>
  <c r="O28" i="29"/>
  <c r="AA28" i="29" s="1"/>
  <c r="J28" i="29"/>
  <c r="Z28" i="29" s="1"/>
  <c r="D28" i="29"/>
  <c r="C28" i="29"/>
  <c r="B28" i="29"/>
  <c r="A28" i="29"/>
  <c r="Y27" i="29"/>
  <c r="AC27" i="29" s="1"/>
  <c r="T27" i="29"/>
  <c r="AB27" i="29" s="1"/>
  <c r="O27" i="29"/>
  <c r="AA27" i="29" s="1"/>
  <c r="J27" i="29"/>
  <c r="Z27" i="29" s="1"/>
  <c r="D27" i="29"/>
  <c r="C27" i="29"/>
  <c r="B27" i="29"/>
  <c r="A27" i="29"/>
  <c r="Y26" i="29"/>
  <c r="AC26" i="29" s="1"/>
  <c r="T26" i="29"/>
  <c r="AB26" i="29" s="1"/>
  <c r="O26" i="29"/>
  <c r="AA26" i="29" s="1"/>
  <c r="J26" i="29"/>
  <c r="Z26" i="29" s="1"/>
  <c r="D26" i="29"/>
  <c r="C26" i="29"/>
  <c r="B26" i="29"/>
  <c r="A26" i="29"/>
  <c r="Y25" i="29"/>
  <c r="AC25" i="29" s="1"/>
  <c r="T25" i="29"/>
  <c r="AB25" i="29" s="1"/>
  <c r="O25" i="29"/>
  <c r="AA25" i="29" s="1"/>
  <c r="J25" i="29"/>
  <c r="Z25" i="29" s="1"/>
  <c r="D25" i="29"/>
  <c r="C25" i="29"/>
  <c r="B25" i="29"/>
  <c r="A25" i="29"/>
  <c r="Y24" i="29"/>
  <c r="AC24" i="29" s="1"/>
  <c r="T24" i="29"/>
  <c r="AB24" i="29" s="1"/>
  <c r="O24" i="29"/>
  <c r="AA24" i="29" s="1"/>
  <c r="J24" i="29"/>
  <c r="Z24" i="29" s="1"/>
  <c r="D24" i="29"/>
  <c r="C24" i="29"/>
  <c r="B24" i="29"/>
  <c r="A24" i="29"/>
  <c r="Y23" i="29"/>
  <c r="AC23" i="29" s="1"/>
  <c r="T23" i="29"/>
  <c r="AB23" i="29" s="1"/>
  <c r="O23" i="29"/>
  <c r="AA23" i="29" s="1"/>
  <c r="J23" i="29"/>
  <c r="Z23" i="29" s="1"/>
  <c r="D23" i="29"/>
  <c r="C23" i="29"/>
  <c r="B23" i="29"/>
  <c r="A23" i="29"/>
  <c r="Y22" i="29"/>
  <c r="AC22" i="29" s="1"/>
  <c r="T22" i="29"/>
  <c r="AB22" i="29" s="1"/>
  <c r="O22" i="29"/>
  <c r="AA22" i="29" s="1"/>
  <c r="J22" i="29"/>
  <c r="Z22" i="29" s="1"/>
  <c r="D22" i="29"/>
  <c r="C22" i="29"/>
  <c r="B22" i="29"/>
  <c r="A22" i="29"/>
  <c r="Y21" i="29"/>
  <c r="AC21" i="29" s="1"/>
  <c r="T21" i="29"/>
  <c r="AB21" i="29" s="1"/>
  <c r="O21" i="29"/>
  <c r="AA21" i="29" s="1"/>
  <c r="J21" i="29"/>
  <c r="Z21" i="29" s="1"/>
  <c r="D21" i="29"/>
  <c r="C21" i="29"/>
  <c r="B21" i="29"/>
  <c r="A21" i="29"/>
  <c r="Y20" i="29"/>
  <c r="AC20" i="29" s="1"/>
  <c r="T20" i="29"/>
  <c r="AB20" i="29" s="1"/>
  <c r="O20" i="29"/>
  <c r="AA20" i="29" s="1"/>
  <c r="J20" i="29"/>
  <c r="Z20" i="29" s="1"/>
  <c r="D20" i="29"/>
  <c r="C20" i="29"/>
  <c r="B20" i="29"/>
  <c r="A20" i="29"/>
  <c r="Y19" i="29"/>
  <c r="AC19" i="29" s="1"/>
  <c r="T19" i="29"/>
  <c r="AB19" i="29" s="1"/>
  <c r="O19" i="29"/>
  <c r="AA19" i="29" s="1"/>
  <c r="J19" i="29"/>
  <c r="Z19" i="29" s="1"/>
  <c r="D19" i="29"/>
  <c r="C19" i="29"/>
  <c r="B19" i="29"/>
  <c r="A19" i="29"/>
  <c r="C18" i="29"/>
  <c r="D18" i="29"/>
  <c r="D16" i="29"/>
  <c r="C14" i="29"/>
  <c r="C15" i="29" s="1"/>
  <c r="C16" i="29" s="1"/>
  <c r="D14" i="29"/>
  <c r="D15" i="29" s="1"/>
  <c r="D13" i="29"/>
  <c r="D11" i="29"/>
  <c r="C11" i="29"/>
  <c r="D10" i="29"/>
  <c r="D9" i="29"/>
  <c r="Y5" i="29"/>
  <c r="Y6" i="29" s="1"/>
  <c r="D5" i="29"/>
  <c r="Y4" i="29"/>
  <c r="T4" i="29"/>
  <c r="T5" i="29" s="1"/>
  <c r="O4" i="29"/>
  <c r="O5" i="29" s="1"/>
  <c r="J4" i="29"/>
  <c r="J5" i="29" s="1"/>
  <c r="E4" i="29"/>
  <c r="AC3" i="29"/>
  <c r="AB3" i="29"/>
  <c r="AA3" i="29"/>
  <c r="Z3" i="29"/>
  <c r="AC2" i="29"/>
  <c r="AB2" i="29"/>
  <c r="AA2" i="29"/>
  <c r="Z2" i="29"/>
  <c r="CP1" i="29"/>
  <c r="BU1" i="29"/>
  <c r="AZ1" i="29"/>
  <c r="AY1" i="29"/>
  <c r="AX1" i="29"/>
  <c r="AW1" i="29"/>
  <c r="AV1" i="29"/>
  <c r="AU1" i="29"/>
  <c r="AT1" i="29"/>
  <c r="AS1" i="29"/>
  <c r="AR1" i="29"/>
  <c r="AQ1" i="29"/>
  <c r="AP1" i="29"/>
  <c r="AO1" i="29"/>
  <c r="AN1" i="29"/>
  <c r="AM1" i="29"/>
  <c r="AL1" i="29"/>
  <c r="AK1" i="29"/>
  <c r="AJ1" i="29"/>
  <c r="AI1" i="29"/>
  <c r="AH1" i="29"/>
  <c r="AG1" i="29"/>
  <c r="AF1" i="29"/>
  <c r="AE1" i="29"/>
  <c r="E18" i="28"/>
  <c r="D18" i="28" s="1"/>
  <c r="E17" i="28"/>
  <c r="D17" i="28" s="1"/>
  <c r="E16" i="28"/>
  <c r="E15" i="28"/>
  <c r="E14" i="28"/>
  <c r="D14" i="28" s="1"/>
  <c r="E13" i="28"/>
  <c r="E12" i="28"/>
  <c r="D12" i="28" s="1"/>
  <c r="E11" i="28"/>
  <c r="E10" i="28"/>
  <c r="E9" i="28"/>
  <c r="D9" i="28" s="1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 s="1"/>
  <c r="Y18" i="28"/>
  <c r="T18" i="28"/>
  <c r="O18" i="28"/>
  <c r="J18" i="28"/>
  <c r="B18" i="28"/>
  <c r="A18" i="28"/>
  <c r="Y17" i="28"/>
  <c r="T17" i="28"/>
  <c r="O17" i="28"/>
  <c r="J17" i="28"/>
  <c r="Z17" i="28" s="1"/>
  <c r="C17" i="28"/>
  <c r="B17" i="28"/>
  <c r="A17" i="28"/>
  <c r="Y16" i="28"/>
  <c r="T16" i="28"/>
  <c r="O16" i="28"/>
  <c r="J16" i="28"/>
  <c r="D16" i="28"/>
  <c r="C16" i="28"/>
  <c r="B16" i="28"/>
  <c r="A16" i="28" s="1"/>
  <c r="Y15" i="28"/>
  <c r="T15" i="28"/>
  <c r="O15" i="28"/>
  <c r="J15" i="28"/>
  <c r="D15" i="28"/>
  <c r="C15" i="28"/>
  <c r="B15" i="28"/>
  <c r="A15" i="28" s="1"/>
  <c r="Y14" i="28"/>
  <c r="T14" i="28"/>
  <c r="O14" i="28"/>
  <c r="J14" i="28"/>
  <c r="B14" i="28"/>
  <c r="A14" i="28"/>
  <c r="D13" i="28"/>
  <c r="D11" i="28"/>
  <c r="D10" i="28"/>
  <c r="D8" i="28"/>
  <c r="D7" i="28"/>
  <c r="T6" i="28"/>
  <c r="T7" i="28" s="1"/>
  <c r="O6" i="28"/>
  <c r="O7" i="28" s="1"/>
  <c r="D6" i="28"/>
  <c r="T5" i="28"/>
  <c r="O5" i="28"/>
  <c r="J5" i="28"/>
  <c r="J6" i="28" s="1"/>
  <c r="C6" i="28"/>
  <c r="D5" i="28"/>
  <c r="Y4" i="28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AB11" i="31" l="1"/>
  <c r="Z11" i="31"/>
  <c r="AA11" i="31"/>
  <c r="Z11" i="30"/>
  <c r="J12" i="30"/>
  <c r="AC11" i="30"/>
  <c r="B13" i="30"/>
  <c r="AA11" i="30"/>
  <c r="A12" i="30"/>
  <c r="O13" i="30"/>
  <c r="AA12" i="30"/>
  <c r="AB11" i="30"/>
  <c r="T13" i="30"/>
  <c r="AB12" i="30"/>
  <c r="Y14" i="30"/>
  <c r="C12" i="29"/>
  <c r="D6" i="29"/>
  <c r="D7" i="29" s="1"/>
  <c r="D8" i="29" s="1"/>
  <c r="AC4" i="29"/>
  <c r="J6" i="29"/>
  <c r="Z5" i="29"/>
  <c r="T6" i="29"/>
  <c r="AB5" i="29"/>
  <c r="Y7" i="29"/>
  <c r="O6" i="29"/>
  <c r="AA5" i="29"/>
  <c r="Z4" i="29"/>
  <c r="AC5" i="29"/>
  <c r="AA4" i="29"/>
  <c r="B6" i="29"/>
  <c r="C17" i="29"/>
  <c r="AB4" i="29"/>
  <c r="D17" i="29"/>
  <c r="A5" i="29"/>
  <c r="B5" i="29"/>
  <c r="C5" i="29"/>
  <c r="C6" i="29" s="1"/>
  <c r="C7" i="29" s="1"/>
  <c r="C8" i="29" s="1"/>
  <c r="C9" i="29" s="1"/>
  <c r="C13" i="29"/>
  <c r="Z18" i="28"/>
  <c r="AA18" i="28"/>
  <c r="AB18" i="28"/>
  <c r="AC18" i="28"/>
  <c r="C18" i="28"/>
  <c r="AA17" i="28"/>
  <c r="AB17" i="28"/>
  <c r="AC17" i="28"/>
  <c r="AA16" i="28"/>
  <c r="Z16" i="28"/>
  <c r="AB16" i="28"/>
  <c r="AC16" i="28"/>
  <c r="AA15" i="28"/>
  <c r="Z15" i="28"/>
  <c r="AB15" i="28"/>
  <c r="AC15" i="28"/>
  <c r="AA14" i="28"/>
  <c r="AB14" i="28"/>
  <c r="AC14" i="28"/>
  <c r="Z14" i="28"/>
  <c r="C14" i="28"/>
  <c r="C12" i="28"/>
  <c r="C7" i="28"/>
  <c r="Z4" i="28"/>
  <c r="AC4" i="28"/>
  <c r="O8" i="28"/>
  <c r="T8" i="28"/>
  <c r="J7" i="28"/>
  <c r="AA4" i="28"/>
  <c r="AB4" i="28"/>
  <c r="Y5" i="28"/>
  <c r="AA5" i="28" s="1"/>
  <c r="B5" i="28"/>
  <c r="C8" i="28"/>
  <c r="C9" i="28"/>
  <c r="C10" i="28" s="1"/>
  <c r="C11" i="28"/>
  <c r="C5" i="28"/>
  <c r="C13" i="28"/>
  <c r="B6" i="28"/>
  <c r="B7" i="28" s="1"/>
  <c r="B8" i="28" s="1"/>
  <c r="E4" i="27"/>
  <c r="O14" i="30" l="1"/>
  <c r="AA13" i="30"/>
  <c r="B14" i="30"/>
  <c r="A14" i="30" s="1"/>
  <c r="A13" i="30"/>
  <c r="T14" i="30"/>
  <c r="AB13" i="30"/>
  <c r="J13" i="30"/>
  <c r="Z12" i="30"/>
  <c r="AC12" i="30"/>
  <c r="T7" i="29"/>
  <c r="AB6" i="29"/>
  <c r="B7" i="29"/>
  <c r="J7" i="29"/>
  <c r="Z6" i="29"/>
  <c r="Y8" i="29"/>
  <c r="O7" i="29"/>
  <c r="AA6" i="29"/>
  <c r="AC6" i="29"/>
  <c r="A6" i="29"/>
  <c r="Z5" i="28"/>
  <c r="B9" i="28"/>
  <c r="T9" i="28"/>
  <c r="O9" i="28"/>
  <c r="A5" i="28"/>
  <c r="A6" i="28" s="1"/>
  <c r="A7" i="28" s="1"/>
  <c r="A8" i="28" s="1"/>
  <c r="AC5" i="28"/>
  <c r="AB5" i="28"/>
  <c r="Y6" i="28"/>
  <c r="J8" i="28"/>
  <c r="O5" i="27"/>
  <c r="AC3" i="27"/>
  <c r="AA3" i="27"/>
  <c r="AB3" i="27"/>
  <c r="Z3" i="27"/>
  <c r="J14" i="30" l="1"/>
  <c r="Z13" i="30"/>
  <c r="AC13" i="30"/>
  <c r="AA14" i="30"/>
  <c r="AC7" i="29"/>
  <c r="T8" i="29"/>
  <c r="AB7" i="29"/>
  <c r="Z7" i="29"/>
  <c r="J8" i="29"/>
  <c r="B8" i="29"/>
  <c r="O8" i="29"/>
  <c r="AA7" i="29"/>
  <c r="A7" i="29"/>
  <c r="Y9" i="29"/>
  <c r="A9" i="28"/>
  <c r="B10" i="28"/>
  <c r="A10" i="28"/>
  <c r="O10" i="28"/>
  <c r="J9" i="28"/>
  <c r="Y7" i="28"/>
  <c r="AC6" i="28"/>
  <c r="AA6" i="28"/>
  <c r="Z6" i="28"/>
  <c r="AB6" i="28"/>
  <c r="T10" i="28"/>
  <c r="CP1" i="27"/>
  <c r="AC2" i="27"/>
  <c r="BU1" i="27"/>
  <c r="AB2" i="27"/>
  <c r="AZ1" i="27"/>
  <c r="AA2" i="27"/>
  <c r="AE1" i="27"/>
  <c r="Z2" i="27"/>
  <c r="Z14" i="30" l="1"/>
  <c r="AC14" i="30"/>
  <c r="AB14" i="30"/>
  <c r="B9" i="29"/>
  <c r="A9" i="29" s="1"/>
  <c r="A8" i="29"/>
  <c r="Z8" i="29"/>
  <c r="J9" i="29"/>
  <c r="AC8" i="29"/>
  <c r="Y10" i="29"/>
  <c r="T9" i="29"/>
  <c r="AB8" i="29"/>
  <c r="O9" i="29"/>
  <c r="AA8" i="29"/>
  <c r="B11" i="28"/>
  <c r="Y8" i="28"/>
  <c r="AC7" i="28"/>
  <c r="Z7" i="28"/>
  <c r="AB7" i="28"/>
  <c r="AA7" i="28"/>
  <c r="T11" i="28"/>
  <c r="J10" i="28"/>
  <c r="O11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O10" i="29" l="1"/>
  <c r="AA9" i="29"/>
  <c r="Y11" i="29"/>
  <c r="Z9" i="29"/>
  <c r="J10" i="29"/>
  <c r="B10" i="29"/>
  <c r="A10" i="29" s="1"/>
  <c r="T10" i="29"/>
  <c r="AB9" i="29"/>
  <c r="AC9" i="29"/>
  <c r="J11" i="28"/>
  <c r="AC8" i="28"/>
  <c r="Y9" i="28"/>
  <c r="AB8" i="28"/>
  <c r="Z8" i="28"/>
  <c r="AA8" i="28"/>
  <c r="B12" i="28"/>
  <c r="A12" i="28"/>
  <c r="T12" i="28"/>
  <c r="A11" i="28"/>
  <c r="O12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10" i="29" l="1"/>
  <c r="T11" i="29"/>
  <c r="O11" i="29"/>
  <c r="AA10" i="29"/>
  <c r="Y12" i="29"/>
  <c r="B11" i="29"/>
  <c r="A11" i="29" s="1"/>
  <c r="J11" i="29"/>
  <c r="Z10" i="29"/>
  <c r="AC10" i="29"/>
  <c r="T13" i="28"/>
  <c r="J12" i="28"/>
  <c r="O13" i="28"/>
  <c r="B13" i="28"/>
  <c r="A13" i="28"/>
  <c r="AC9" i="28"/>
  <c r="Y10" i="28"/>
  <c r="AB9" i="28"/>
  <c r="AA9" i="28"/>
  <c r="Z9" i="28"/>
  <c r="Z5" i="27"/>
  <c r="AB5" i="27"/>
  <c r="AA5" i="27"/>
  <c r="AC5" i="27"/>
  <c r="Y7" i="27"/>
  <c r="O8" i="27"/>
  <c r="T6" i="27"/>
  <c r="T12" i="29" l="1"/>
  <c r="AB11" i="29"/>
  <c r="J12" i="29"/>
  <c r="AC12" i="29" s="1"/>
  <c r="Z11" i="29"/>
  <c r="AA11" i="29"/>
  <c r="O12" i="29"/>
  <c r="B12" i="29"/>
  <c r="A12" i="29" s="1"/>
  <c r="AC11" i="29"/>
  <c r="Y13" i="29"/>
  <c r="Y11" i="28"/>
  <c r="AC10" i="28"/>
  <c r="AB10" i="28"/>
  <c r="AA10" i="28"/>
  <c r="Z10" i="28"/>
  <c r="J13" i="28"/>
  <c r="AC6" i="27"/>
  <c r="AB6" i="27"/>
  <c r="Z6" i="27"/>
  <c r="AA6" i="27"/>
  <c r="Y8" i="27"/>
  <c r="T7" i="27"/>
  <c r="Z12" i="29" l="1"/>
  <c r="J13" i="29"/>
  <c r="Y14" i="29"/>
  <c r="T13" i="29"/>
  <c r="AB12" i="29"/>
  <c r="B13" i="29"/>
  <c r="A13" i="29" s="1"/>
  <c r="O13" i="29"/>
  <c r="AA12" i="29"/>
  <c r="Y12" i="28"/>
  <c r="AC11" i="28"/>
  <c r="AA11" i="28"/>
  <c r="AB11" i="28"/>
  <c r="Z11" i="28"/>
  <c r="AB7" i="27"/>
  <c r="Z7" i="27"/>
  <c r="AA7" i="27"/>
  <c r="AC7" i="27"/>
  <c r="T8" i="27"/>
  <c r="J14" i="29" l="1"/>
  <c r="Z13" i="29"/>
  <c r="O14" i="29"/>
  <c r="AA13" i="29"/>
  <c r="Y15" i="29"/>
  <c r="B14" i="29"/>
  <c r="A14" i="29" s="1"/>
  <c r="AB13" i="29"/>
  <c r="T14" i="29"/>
  <c r="AC13" i="29"/>
  <c r="AC12" i="28"/>
  <c r="Y13" i="28"/>
  <c r="AB12" i="28"/>
  <c r="AA12" i="28"/>
  <c r="Z12" i="28"/>
  <c r="AC8" i="27"/>
  <c r="AB8" i="27"/>
  <c r="Z8" i="27"/>
  <c r="AA8" i="27"/>
  <c r="J15" i="29" l="1"/>
  <c r="Z14" i="29"/>
  <c r="B15" i="29"/>
  <c r="A15" i="29" s="1"/>
  <c r="AC14" i="29"/>
  <c r="O15" i="29"/>
  <c r="AA14" i="29"/>
  <c r="Y16" i="29"/>
  <c r="AB14" i="29"/>
  <c r="T15" i="29"/>
  <c r="AC13" i="28"/>
  <c r="AB13" i="28"/>
  <c r="AA13" i="28"/>
  <c r="Z13" i="28"/>
  <c r="AC15" i="29" l="1"/>
  <c r="J16" i="29"/>
  <c r="Z15" i="29"/>
  <c r="Y17" i="29"/>
  <c r="T16" i="29"/>
  <c r="AB15" i="29"/>
  <c r="AA15" i="29"/>
  <c r="O16" i="29"/>
  <c r="B16" i="29"/>
  <c r="A16" i="29"/>
  <c r="B17" i="29" l="1"/>
  <c r="J17" i="29"/>
  <c r="AC17" i="29" s="1"/>
  <c r="Z16" i="29"/>
  <c r="O17" i="29"/>
  <c r="AA16" i="29"/>
  <c r="Y18" i="29"/>
  <c r="T17" i="29"/>
  <c r="AB16" i="29"/>
  <c r="AC16" i="29"/>
  <c r="B18" i="29" l="1"/>
  <c r="A18" i="29" s="1"/>
  <c r="T18" i="29"/>
  <c r="AB18" i="29" s="1"/>
  <c r="AB17" i="29"/>
  <c r="A17" i="29"/>
  <c r="J18" i="29"/>
  <c r="AC18" i="29" s="1"/>
  <c r="Z17" i="29"/>
  <c r="O18" i="29"/>
  <c r="AA17" i="29"/>
  <c r="AA18" i="29" l="1"/>
  <c r="Z18" i="29"/>
</calcChain>
</file>

<file path=xl/sharedStrings.xml><?xml version="1.0" encoding="utf-8"?>
<sst xmlns="http://schemas.openxmlformats.org/spreadsheetml/2006/main" count="1099" uniqueCount="186">
  <si>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</si>
  <si>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</si>
  <si>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</si>
  <si>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</si>
  <si>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</si>
  <si>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</si>
  <si>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</si>
  <si>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</si>
  <si>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</si>
  <si>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</si>
  <si>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</si>
  <si>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</si>
  <si>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</si>
  <si>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</si>
  <si>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</si>
  <si>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</si>
  <si>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</si>
  <si>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</si>
  <si>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</si>
  <si>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</si>
  <si>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</si>
  <si>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</si>
  <si>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</si>
  <si>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</si>
  <si>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</si>
  <si>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</si>
  <si>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</si>
  <si>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</si>
  <si>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</si>
  <si>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</si>
  <si>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</si>
  <si>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</si>
  <si>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</si>
  <si>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</si>
  <si>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</si>
  <si>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</si>
  <si>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</si>
  <si>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</si>
  <si>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</si>
  <si>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</si>
  <si>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</si>
  <si>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</si>
  <si>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</si>
  <si>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</si>
  <si>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</si>
  <si>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</si>
  <si>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</si>
  <si>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</si>
  <si>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</si>
  <si>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</si>
  <si>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</si>
  <si>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</si>
  <si>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</si>
  <si>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</si>
  <si>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</si>
  <si>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</si>
  <si>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</si>
  <si>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</si>
  <si>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</si>
  <si>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</si>
  <si>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</si>
  <si>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</si>
  <si>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</si>
  <si>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</si>
  <si>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</si>
  <si>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</si>
  <si>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</si>
  <si>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</si>
  <si>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</si>
  <si>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</si>
  <si>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</si>
  <si>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</si>
  <si>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</si>
  <si>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</si>
  <si>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</si>
  <si>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</si>
  <si>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</si>
  <si>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</si>
  <si>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</si>
  <si>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</si>
  <si>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</si>
  <si>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</si>
  <si>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</si>
  <si>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</si>
  <si>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</si>
  <si>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</si>
  <si>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</si>
  <si>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</si>
  <si>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</si>
  <si>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</si>
  <si>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</si>
  <si>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</si>
  <si>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</si>
  <si>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</si>
  <si>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</si>
  <si>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</si>
  <si>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</si>
  <si>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</si>
  <si>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</si>
  <si>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</si>
  <si>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</si>
  <si>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</si>
  <si>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</si>
  <si>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</si>
  <si>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</si>
  <si>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</si>
  <si>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</si>
  <si>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</si>
  <si>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</si>
  <si>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</si>
  <si>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</si>
  <si>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</si>
  <si>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</si>
  <si>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</si>
  <si>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</si>
  <si>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</si>
  <si>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</si>
  <si>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</si>
  <si>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</si>
  <si>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</si>
  <si>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</si>
  <si>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</si>
  <si>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</si>
  <si>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</si>
  <si>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</si>
  <si>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</si>
  <si>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</si>
  <si>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</si>
  <si>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</si>
  <si>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</si>
  <si>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</si>
  <si>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</si>
  <si>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</si>
  <si>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</si>
  <si>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</si>
  <si>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</si>
  <si>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</si>
  <si>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</si>
  <si>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</si>
  <si>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</si>
  <si>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</si>
  <si>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</si>
  <si>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</si>
  <si>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</si>
  <si>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</si>
  <si>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</si>
  <si>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</si>
  <si>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</si>
  <si>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</si>
  <si>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</si>
  <si>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</si>
  <si>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</si>
  <si>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</si>
  <si>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</si>
  <si>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</si>
  <si>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</si>
  <si>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</si>
  <si>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</si>
  <si>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</si>
  <si>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</si>
  <si>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</si>
  <si>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だいち</t>
  </si>
  <si>
    <t>だいち</t>
    <phoneticPr fontId="1"/>
  </si>
  <si>
    <t>りくと</t>
  </si>
  <si>
    <t>りくと</t>
    <phoneticPr fontId="1"/>
  </si>
  <si>
    <t>てんちゃん</t>
  </si>
  <si>
    <t>てんちゃん</t>
    <phoneticPr fontId="1"/>
  </si>
  <si>
    <t>ただ</t>
  </si>
  <si>
    <t>ただ</t>
    <phoneticPr fontId="1"/>
  </si>
  <si>
    <t>ツモ支払</t>
  </si>
  <si>
    <t>ツモ</t>
  </si>
  <si>
    <t>01</t>
  </si>
  <si>
    <t>52</t>
  </si>
  <si>
    <t>放銃</t>
  </si>
  <si>
    <t>ロン</t>
  </si>
  <si>
    <t>T</t>
  </si>
  <si>
    <t>N</t>
  </si>
  <si>
    <t>流局</t>
    <phoneticPr fontId="1"/>
  </si>
  <si>
    <t>*</t>
  </si>
  <si>
    <t>02</t>
  </si>
  <si>
    <t>てんちゃん</t>
    <phoneticPr fontId="1"/>
  </si>
  <si>
    <t>ただ</t>
    <phoneticPr fontId="1"/>
  </si>
  <si>
    <t>りくと</t>
    <phoneticPr fontId="1"/>
  </si>
  <si>
    <t>だいち</t>
    <phoneticPr fontId="1"/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</si>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</sst>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162</v>
      </c>
      <c r="G1" s="74"/>
      <c r="H1" s="74"/>
      <c r="I1" s="77"/>
      <c r="J1" s="75"/>
      <c r="K1" s="72" t="s">
        <v>164</v>
      </c>
      <c r="L1" s="74"/>
      <c r="M1" s="74"/>
      <c r="N1" s="77"/>
      <c r="O1" s="75"/>
      <c r="P1" s="72" t="s">
        <v>166</v>
      </c>
      <c r="Q1" s="74"/>
      <c r="R1" s="74"/>
      <c r="S1" s="77"/>
      <c r="T1" s="75"/>
      <c r="U1" s="72" t="s">
        <v>168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だいち</v>
      </c>
      <c r="AF1" s="73" t="str">
        <f t="shared" ref="AF1:AY1" si="0">$F$1</f>
        <v>だいち</v>
      </c>
      <c r="AG1" s="74" t="str">
        <f t="shared" si="0"/>
        <v>だいち</v>
      </c>
      <c r="AH1" s="74" t="str">
        <f t="shared" si="0"/>
        <v>だいち</v>
      </c>
      <c r="AI1" s="74" t="str">
        <f t="shared" si="0"/>
        <v>だいち</v>
      </c>
      <c r="AJ1" s="74" t="str">
        <f t="shared" si="0"/>
        <v>だいち</v>
      </c>
      <c r="AK1" s="74" t="str">
        <f t="shared" si="0"/>
        <v>だいち</v>
      </c>
      <c r="AL1" s="74" t="str">
        <f t="shared" si="0"/>
        <v>だいち</v>
      </c>
      <c r="AM1" s="74" t="str">
        <f t="shared" si="0"/>
        <v>だいち</v>
      </c>
      <c r="AN1" s="74" t="str">
        <f t="shared" si="0"/>
        <v>だいち</v>
      </c>
      <c r="AO1" s="74" t="str">
        <f t="shared" si="0"/>
        <v>だいち</v>
      </c>
      <c r="AP1" s="74" t="str">
        <f t="shared" si="0"/>
        <v>だいち</v>
      </c>
      <c r="AQ1" s="74" t="str">
        <f t="shared" si="0"/>
        <v>だいち</v>
      </c>
      <c r="AR1" s="74" t="str">
        <f t="shared" si="0"/>
        <v>だいち</v>
      </c>
      <c r="AS1" s="74" t="str">
        <f t="shared" si="0"/>
        <v>だいち</v>
      </c>
      <c r="AT1" s="74" t="str">
        <f t="shared" si="0"/>
        <v>だいち</v>
      </c>
      <c r="AU1" s="74" t="str">
        <f t="shared" si="0"/>
        <v>だいち</v>
      </c>
      <c r="AV1" s="74" t="str">
        <f t="shared" si="0"/>
        <v>だいち</v>
      </c>
      <c r="AW1" s="74" t="str">
        <f t="shared" si="0"/>
        <v>だいち</v>
      </c>
      <c r="AX1" s="74" t="str">
        <f t="shared" si="0"/>
        <v>だいち</v>
      </c>
      <c r="AY1" s="75" t="str">
        <f t="shared" si="0"/>
        <v>だいち</v>
      </c>
      <c r="AZ1" s="72" t="str">
        <f>IF($K$1="","",$K$1)</f>
        <v>りくと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てんちゃん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ただ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だいち</v>
      </c>
      <c r="AA2" s="61" t="str">
        <f>IF($K$1="","",$K$1)</f>
        <v>りくと</v>
      </c>
      <c r="AB2" s="61" t="str">
        <f>IF($P$1="","",$P$1)</f>
        <v>てんちゃん</v>
      </c>
      <c r="AC2" s="13" t="str">
        <f>IF($U$1="","",$U$1)</f>
        <v>ただ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だいち</v>
      </c>
      <c r="F4" s="5" t="s">
        <v>169</v>
      </c>
      <c r="G4" s="6">
        <v>-2000</v>
      </c>
      <c r="H4" s="6"/>
      <c r="I4" s="45">
        <v>0</v>
      </c>
      <c r="J4" s="18">
        <f>IF(COUNTA($F4,$K4,$P4,$U4)&gt;0,J3+SUM(G4:I4),"")</f>
        <v>23000</v>
      </c>
      <c r="K4" s="5" t="s">
        <v>169</v>
      </c>
      <c r="L4" s="6">
        <v>-1000</v>
      </c>
      <c r="M4" s="6"/>
      <c r="N4" s="45">
        <v>0</v>
      </c>
      <c r="O4" s="18">
        <f>IF(COUNTA($F4,$K4,$P4,$U4)&gt;0,O3+SUM(L4:N4),"")</f>
        <v>24000</v>
      </c>
      <c r="P4" s="5" t="s">
        <v>169</v>
      </c>
      <c r="Q4" s="6">
        <v>-1000</v>
      </c>
      <c r="R4" s="6"/>
      <c r="S4" s="45">
        <v>0</v>
      </c>
      <c r="T4" s="18">
        <f>IF(COUNTA($F4,$K4,$P4,$U4)&gt;0,T3+SUM(Q4:S4),"")</f>
        <v>24000</v>
      </c>
      <c r="U4" s="5" t="s">
        <v>170</v>
      </c>
      <c r="V4" s="6">
        <v>4000</v>
      </c>
      <c r="W4" s="6"/>
      <c r="X4" s="45">
        <v>0</v>
      </c>
      <c r="Y4" s="18">
        <f>IF(COUNTA($F4,$K4,$P4,$U4)&gt;0,Y3+SUM(V4:X4),"")</f>
        <v>29000</v>
      </c>
      <c r="Z4" s="50">
        <f>IF($J4="","",ROUND(($J4-30000)/1000,1)+(2.5-_xlfn.RANK.AVG($J4,($J4,$O4,$T4,$Y4)))*20+IF(_xlfn.RANK.EQ($J4,($J4,$O4,$T4,$Y4))=1,20/((_xlfn.RANK.AVG($J4,($J4,$O4,$T4,$Y4))-1)*2+1),0))</f>
        <v>-37</v>
      </c>
      <c r="AA4" s="51">
        <f>IF($O4="","",ROUND(($O4-30000)/1000,1)+(2.5-_xlfn.RANK.AVG($O4,($J4,$O4,$T4,$Y4)))*20+IF(_xlfn.RANK.EQ($O4,($J4,$O4,$T4,$Y4))=1,20/((_xlfn.RANK.AVG($O4,($J4,$O4,$T4,$Y4))-1)*2+1),0))</f>
        <v>-6</v>
      </c>
      <c r="AB4" s="51">
        <f>IF($T4="","",ROUND(($T4-30000)/1000,1)+(2.5-_xlfn.RANK.AVG($T4,($J4,$O4,$T4,$Y4)))*20+IF(_xlfn.RANK.EQ($T4,($J4,$O4,$T4,$Y4))=1,20/((_xlfn.RANK.AVG($T4,($J4,$O4,$T4,$Y4))-1)*2+1),0))</f>
        <v>-6</v>
      </c>
      <c r="AC4" s="52">
        <f>IF($Y4="","",ROUND(($Y4-30000)/1000,1)+(2.5-_xlfn.RANK.AVG($Y4,($J4,$O4,$T4,$Y4)))*20+IF(_xlfn.RANK.EQ($Y4,($J4,$O4,$T4,$Y4))=1,20/((_xlfn.RANK.AVG($Y4,($J4,$O4,$T4,$Y4))-1)*2+1),0))</f>
        <v>49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>
        <v>3</v>
      </c>
      <c r="CU4" s="27">
        <v>30</v>
      </c>
      <c r="CV4" s="37" t="s">
        <v>171</v>
      </c>
      <c r="CW4" s="38" t="s">
        <v>73</v>
      </c>
      <c r="CX4" s="38" t="s">
        <v>172</v>
      </c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りくと</v>
      </c>
      <c r="F5" s="5"/>
      <c r="G5" s="6"/>
      <c r="H5" s="6"/>
      <c r="I5" s="45"/>
      <c r="J5" s="18">
        <f t="shared" ref="J5:J30" si="2">IF(COUNTA($F5,$K5,$P5,$U5)&gt;0,J4+SUM(G5:I5),"")</f>
        <v>23000</v>
      </c>
      <c r="K5" s="5"/>
      <c r="L5" s="6"/>
      <c r="M5" s="6"/>
      <c r="N5" s="45"/>
      <c r="O5" s="18">
        <f>IF(COUNTA($F5,$K5,$P5,$U5)&gt;0,O4+SUM(L5:N5),"")</f>
        <v>24000</v>
      </c>
      <c r="P5" s="5" t="s">
        <v>173</v>
      </c>
      <c r="Q5" s="6">
        <v>-5200</v>
      </c>
      <c r="R5" s="6"/>
      <c r="S5" s="45">
        <v>0</v>
      </c>
      <c r="T5" s="18">
        <f t="shared" ref="T5:T30" si="3">IF(COUNTA($F5,$K5,$P5,$U5)&gt;0,T4+SUM(Q5:S5),"")</f>
        <v>18800</v>
      </c>
      <c r="U5" s="5" t="s">
        <v>174</v>
      </c>
      <c r="V5" s="6">
        <v>5200</v>
      </c>
      <c r="W5" s="6"/>
      <c r="X5" s="45">
        <v>0</v>
      </c>
      <c r="Y5" s="18">
        <f t="shared" ref="Y5:Y30" si="4">IF(COUNTA($F5,$K5,$P5,$U5)&gt;0,Y4+SUM(V5:X5),"")</f>
        <v>34200</v>
      </c>
      <c r="Z5" s="50">
        <f>IF($J5="","",ROUND(($J5-30000)/1000,1)+(2.5-_xlfn.RANK.AVG($J5,($J5,$O5,$T5,$Y5)))*20+IF(_xlfn.RANK.EQ($J5,($J5,$O5,$T5,$Y5))=1,20/((_xlfn.RANK.AVG($J5,($J5,$O5,$T5,$Y5))-1)*2+1),0))</f>
        <v>-17</v>
      </c>
      <c r="AA5" s="51">
        <f>IF($O5="","",ROUND(($O5-30000)/1000,1)+(2.5-_xlfn.RANK.AVG($O5,($J5,$O5,$T5,$Y5)))*20+IF(_xlfn.RANK.EQ($O5,($J5,$O5,$T5,$Y5))=1,20/((_xlfn.RANK.AVG($O5,($J5,$O5,$T5,$Y5))-1)*2+1),0))</f>
        <v>4</v>
      </c>
      <c r="AB5" s="51">
        <f>IF($T5="","",ROUND(($T5-30000)/1000,1)+(2.5-_xlfn.RANK.AVG($T5,($J5,$O5,$T5,$Y5)))*20+IF(_xlfn.RANK.EQ($T5,($J5,$O5,$T5,$Y5))=1,20/((_xlfn.RANK.AVG($T5,($J5,$O5,$T5,$Y5))-1)*2+1),0))</f>
        <v>-41.2</v>
      </c>
      <c r="AC5" s="52">
        <f>IF($Y5="","",ROUND(($Y5-30000)/1000,1)+(2.5-_xlfn.RANK.AVG($Y5,($J5,$O5,$T5,$Y5)))*20+IF(_xlfn.RANK.EQ($Y5,($J5,$O5,$T5,$Y5))=1,20/((_xlfn.RANK.AVG($Y5,($J5,$O5,$T5,$Y5))-1)*2+1),0))</f>
        <v>54.2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>
        <v>3</v>
      </c>
      <c r="CU5" s="27">
        <v>40</v>
      </c>
      <c r="CV5" s="37" t="s">
        <v>76</v>
      </c>
      <c r="CW5" s="38" t="s">
        <v>70</v>
      </c>
      <c r="CX5" s="38" t="s">
        <v>172</v>
      </c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てんちゃん</v>
      </c>
      <c r="F6" s="5" t="s">
        <v>177</v>
      </c>
      <c r="G6" s="6">
        <v>1500</v>
      </c>
      <c r="H6" s="6"/>
      <c r="I6" s="45"/>
      <c r="J6" s="18">
        <f t="shared" si="2"/>
        <v>24500</v>
      </c>
      <c r="K6" s="5" t="s">
        <v>177</v>
      </c>
      <c r="L6" s="6">
        <v>-1500</v>
      </c>
      <c r="M6" s="6"/>
      <c r="N6" s="45"/>
      <c r="O6" s="18">
        <f t="shared" ref="O6:O30" si="8">IF(COUNTA($F6,$K6,$P6,$U6)&gt;0,O5+SUM(L6:N6),"")</f>
        <v>22500</v>
      </c>
      <c r="P6" s="5" t="s">
        <v>177</v>
      </c>
      <c r="Q6" s="6">
        <v>1500</v>
      </c>
      <c r="R6" s="6"/>
      <c r="S6" s="45"/>
      <c r="T6" s="18">
        <f t="shared" si="3"/>
        <v>20300</v>
      </c>
      <c r="U6" s="5" t="s">
        <v>177</v>
      </c>
      <c r="V6" s="6">
        <v>-1500</v>
      </c>
      <c r="W6" s="6"/>
      <c r="X6" s="45"/>
      <c r="Y6" s="18">
        <f t="shared" si="4"/>
        <v>32700</v>
      </c>
      <c r="Z6" s="50">
        <f>IF($J6="","",ROUND(($J6-30000)/1000,1)+(2.5-_xlfn.RANK.AVG($J6,($J6,$O6,$T6,$Y6)))*20+IF(_xlfn.RANK.EQ($J6,($J6,$O6,$T6,$Y6))=1,20/((_xlfn.RANK.AVG($J6,($J6,$O6,$T6,$Y6))-1)*2+1),0))</f>
        <v>4.5</v>
      </c>
      <c r="AA6" s="51">
        <f>IF($O6="","",ROUND(($O6-30000)/1000,1)+(2.5-_xlfn.RANK.AVG($O6,($J6,$O6,$T6,$Y6)))*20+IF(_xlfn.RANK.EQ($O6,($J6,$O6,$T6,$Y6))=1,20/((_xlfn.RANK.AVG($O6,($J6,$O6,$T6,$Y6))-1)*2+1),0))</f>
        <v>-17.5</v>
      </c>
      <c r="AB6" s="51">
        <f>IF($T6="","",ROUND(($T6-30000)/1000,1)+(2.5-_xlfn.RANK.AVG($T6,($J6,$O6,$T6,$Y6)))*20+IF(_xlfn.RANK.EQ($T6,($J6,$O6,$T6,$Y6))=1,20/((_xlfn.RANK.AVG($T6,($J6,$O6,$T6,$Y6))-1)*2+1),0))</f>
        <v>-39.700000000000003</v>
      </c>
      <c r="AC6" s="52">
        <f>IF($Y6="","",ROUND(($Y6-30000)/1000,1)+(2.5-_xlfn.RANK.AVG($Y6,($J6,$O6,$T6,$Y6)))*20+IF(_xlfn.RANK.EQ($Y6,($J6,$O6,$T6,$Y6))=1,20/((_xlfn.RANK.AVG($Y6,($J6,$O6,$T6,$Y6))-1)*2+1),0))</f>
        <v>52.7</v>
      </c>
      <c r="AE6" s="5" t="s">
        <v>175</v>
      </c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176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175</v>
      </c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176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63" t="str">
        <f>IF($P$1="","",$P$1)</f>
        <v>てんちゃん</v>
      </c>
      <c r="F7" s="5"/>
      <c r="G7" s="6"/>
      <c r="H7" s="6"/>
      <c r="I7" s="45"/>
      <c r="J7" s="18">
        <f t="shared" si="2"/>
        <v>24500</v>
      </c>
      <c r="K7" s="5" t="s">
        <v>173</v>
      </c>
      <c r="L7" s="6">
        <v>-12000</v>
      </c>
      <c r="M7" s="6"/>
      <c r="N7" s="45">
        <v>-300</v>
      </c>
      <c r="O7" s="18">
        <f t="shared" si="8"/>
        <v>10200</v>
      </c>
      <c r="P7" s="5"/>
      <c r="Q7" s="6"/>
      <c r="R7" s="6"/>
      <c r="S7" s="45"/>
      <c r="T7" s="18">
        <f t="shared" si="3"/>
        <v>20300</v>
      </c>
      <c r="U7" s="5" t="s">
        <v>174</v>
      </c>
      <c r="V7" s="6">
        <v>12000</v>
      </c>
      <c r="W7" s="6"/>
      <c r="X7" s="45">
        <v>300</v>
      </c>
      <c r="Y7" s="18">
        <f t="shared" si="4"/>
        <v>45000</v>
      </c>
      <c r="Z7" s="50">
        <f>IF($J7="","",ROUND(($J7-30000)/1000,1)+(2.5-_xlfn.RANK.AVG($J7,($J7,$O7,$T7,$Y7)))*20+IF(_xlfn.RANK.EQ($J7,($J7,$O7,$T7,$Y7))=1,20/((_xlfn.RANK.AVG($J7,($J7,$O7,$T7,$Y7))-1)*2+1),0))</f>
        <v>4.5</v>
      </c>
      <c r="AA7" s="51">
        <f>IF($O7="","",ROUND(($O7-30000)/1000,1)+(2.5-_xlfn.RANK.AVG($O7,($J7,$O7,$T7,$Y7)))*20+IF(_xlfn.RANK.EQ($O7,($J7,$O7,$T7,$Y7))=1,20/((_xlfn.RANK.AVG($O7,($J7,$O7,$T7,$Y7))-1)*2+1),0))</f>
        <v>-49.8</v>
      </c>
      <c r="AB7" s="51">
        <f>IF($T7="","",ROUND(($T7-30000)/1000,1)+(2.5-_xlfn.RANK.AVG($T7,($J7,$O7,$T7,$Y7)))*20+IF(_xlfn.RANK.EQ($T7,($J7,$O7,$T7,$Y7))=1,20/((_xlfn.RANK.AVG($T7,($J7,$O7,$T7,$Y7))-1)*2+1),0))</f>
        <v>-19.7</v>
      </c>
      <c r="AC7" s="52">
        <f>IF($Y7="","",ROUND(($Y7-30000)/1000,1)+(2.5-_xlfn.RANK.AVG($Y7,($J7,$O7,$T7,$Y7)))*20+IF(_xlfn.RANK.EQ($Y7,($J7,$O7,$T7,$Y7))=1,20/((_xlfn.RANK.AVG($Y7,($J7,$O7,$T7,$Y7))-1)*2+1),0))</f>
        <v>65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>
        <v>6</v>
      </c>
      <c r="CU7" s="27" t="s">
        <v>178</v>
      </c>
      <c r="CV7" s="37" t="s">
        <v>77</v>
      </c>
      <c r="CW7" s="38" t="s">
        <v>77</v>
      </c>
      <c r="CX7" s="38" t="s">
        <v>70</v>
      </c>
      <c r="CY7" s="38" t="s">
        <v>70</v>
      </c>
      <c r="CZ7" s="38" t="s">
        <v>70</v>
      </c>
      <c r="DA7" s="38" t="s">
        <v>70</v>
      </c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ただ</v>
      </c>
      <c r="F8" s="5"/>
      <c r="G8" s="6"/>
      <c r="H8" s="6"/>
      <c r="I8" s="45"/>
      <c r="J8" s="18">
        <f t="shared" si="2"/>
        <v>24500</v>
      </c>
      <c r="K8" s="5"/>
      <c r="L8" s="6"/>
      <c r="M8" s="6"/>
      <c r="N8" s="45"/>
      <c r="O8" s="18">
        <f t="shared" si="8"/>
        <v>10200</v>
      </c>
      <c r="P8" s="5" t="s">
        <v>174</v>
      </c>
      <c r="Q8" s="6">
        <v>8000</v>
      </c>
      <c r="R8" s="6"/>
      <c r="S8" s="45">
        <v>0</v>
      </c>
      <c r="T8" s="18">
        <f t="shared" si="3"/>
        <v>28300</v>
      </c>
      <c r="U8" s="5" t="s">
        <v>173</v>
      </c>
      <c r="V8" s="6">
        <v>-8000</v>
      </c>
      <c r="W8" s="6"/>
      <c r="X8" s="45">
        <v>0</v>
      </c>
      <c r="Y8" s="18">
        <f t="shared" si="4"/>
        <v>37000</v>
      </c>
      <c r="Z8" s="50">
        <f>IF($J8="","",ROUND(($J8-30000)/1000,1)+(2.5-_xlfn.RANK.AVG($J8,($J8,$O8,$T8,$Y8)))*20+IF(_xlfn.RANK.EQ($J8,($J8,$O8,$T8,$Y8))=1,20/((_xlfn.RANK.AVG($J8,($J8,$O8,$T8,$Y8))-1)*2+1),0))</f>
        <v>-15.5</v>
      </c>
      <c r="AA8" s="51">
        <f>IF($O8="","",ROUND(($O8-30000)/1000,1)+(2.5-_xlfn.RANK.AVG($O8,($J8,$O8,$T8,$Y8)))*20+IF(_xlfn.RANK.EQ($O8,($J8,$O8,$T8,$Y8))=1,20/((_xlfn.RANK.AVG($O8,($J8,$O8,$T8,$Y8))-1)*2+1),0))</f>
        <v>-49.8</v>
      </c>
      <c r="AB8" s="51">
        <f>IF($T8="","",ROUND(($T8-30000)/1000,1)+(2.5-_xlfn.RANK.AVG($T8,($J8,$O8,$T8,$Y8)))*20+IF(_xlfn.RANK.EQ($T8,($J8,$O8,$T8,$Y8))=1,20/((_xlfn.RANK.AVG($T8,($J8,$O8,$T8,$Y8))-1)*2+1),0))</f>
        <v>8.3000000000000007</v>
      </c>
      <c r="AC8" s="52">
        <f>IF($Y8="","",ROUND(($Y8-30000)/1000,1)+(2.5-_xlfn.RANK.AVG($Y8,($J8,$O8,$T8,$Y8)))*20+IF(_xlfn.RANK.EQ($Y8,($J8,$O8,$T8,$Y8))=1,20/((_xlfn.RANK.AVG($Y8,($J8,$O8,$T8,$Y8))-1)*2+1),0))</f>
        <v>57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>
        <v>1</v>
      </c>
      <c r="BX8" s="23"/>
      <c r="BY8" s="23">
        <v>5</v>
      </c>
      <c r="BZ8" s="27" t="s">
        <v>178</v>
      </c>
      <c r="CA8" s="37" t="s">
        <v>171</v>
      </c>
      <c r="CB8" s="38" t="s">
        <v>70</v>
      </c>
      <c r="CC8" s="38" t="s">
        <v>172</v>
      </c>
      <c r="CD8" s="38" t="s">
        <v>179</v>
      </c>
      <c r="CE8" s="38" t="s">
        <v>74</v>
      </c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tr">
        <f>IF($F$1="","",$F$1)</f>
        <v>だいち</v>
      </c>
      <c r="F9" s="5" t="s">
        <v>170</v>
      </c>
      <c r="G9" s="6">
        <v>12000</v>
      </c>
      <c r="H9" s="6"/>
      <c r="I9" s="45">
        <v>0</v>
      </c>
      <c r="J9" s="18">
        <f t="shared" si="2"/>
        <v>36500</v>
      </c>
      <c r="K9" s="5" t="s">
        <v>169</v>
      </c>
      <c r="L9" s="6">
        <v>-4000</v>
      </c>
      <c r="M9" s="6"/>
      <c r="N9" s="45">
        <v>0</v>
      </c>
      <c r="O9" s="18">
        <f t="shared" si="8"/>
        <v>6200</v>
      </c>
      <c r="P9" s="5" t="s">
        <v>169</v>
      </c>
      <c r="Q9" s="6">
        <v>-4000</v>
      </c>
      <c r="R9" s="6"/>
      <c r="S9" s="45">
        <v>0</v>
      </c>
      <c r="T9" s="18">
        <f t="shared" si="3"/>
        <v>24300</v>
      </c>
      <c r="U9" s="5" t="s">
        <v>169</v>
      </c>
      <c r="V9" s="6">
        <v>-4000</v>
      </c>
      <c r="W9" s="6"/>
      <c r="X9" s="45">
        <v>0</v>
      </c>
      <c r="Y9" s="18">
        <f t="shared" si="4"/>
        <v>33000</v>
      </c>
      <c r="Z9" s="50">
        <f>IF($J9="","",ROUND(($J9-30000)/1000,1)+(2.5-_xlfn.RANK.AVG($J9,($J9,$O9,$T9,$Y9)))*20+IF(_xlfn.RANK.EQ($J9,($J9,$O9,$T9,$Y9))=1,20/((_xlfn.RANK.AVG($J9,($J9,$O9,$T9,$Y9))-1)*2+1),0))</f>
        <v>56.5</v>
      </c>
      <c r="AA9" s="51">
        <f>IF($O9="","",ROUND(($O9-30000)/1000,1)+(2.5-_xlfn.RANK.AVG($O9,($J9,$O9,$T9,$Y9)))*20+IF(_xlfn.RANK.EQ($O9,($J9,$O9,$T9,$Y9))=1,20/((_xlfn.RANK.AVG($O9,($J9,$O9,$T9,$Y9))-1)*2+1),0))</f>
        <v>-53.8</v>
      </c>
      <c r="AB9" s="51">
        <f>IF($T9="","",ROUND(($T9-30000)/1000,1)+(2.5-_xlfn.RANK.AVG($T9,($J9,$O9,$T9,$Y9)))*20+IF(_xlfn.RANK.EQ($T9,($J9,$O9,$T9,$Y9))=1,20/((_xlfn.RANK.AVG($T9,($J9,$O9,$T9,$Y9))-1)*2+1),0))</f>
        <v>-15.7</v>
      </c>
      <c r="AC9" s="52">
        <f>IF($Y9="","",ROUND(($Y9-30000)/1000,1)+(2.5-_xlfn.RANK.AVG($Y9,($J9,$O9,$T9,$Y9)))*20+IF(_xlfn.RANK.EQ($Y9,($J9,$O9,$T9,$Y9))=1,20/((_xlfn.RANK.AVG($Y9,($J9,$O9,$T9,$Y9))-1)*2+1),0))</f>
        <v>13</v>
      </c>
      <c r="AE9" s="5"/>
      <c r="AF9" s="31"/>
      <c r="AG9" s="23"/>
      <c r="AH9" s="23">
        <v>1</v>
      </c>
      <c r="AI9" s="23">
        <v>5</v>
      </c>
      <c r="AJ9" s="27" t="s">
        <v>178</v>
      </c>
      <c r="AK9" s="37" t="s">
        <v>77</v>
      </c>
      <c r="AL9" s="38" t="s">
        <v>172</v>
      </c>
      <c r="AM9" s="38" t="s">
        <v>172</v>
      </c>
      <c r="AN9" s="38" t="s">
        <v>70</v>
      </c>
      <c r="AO9" s="38" t="s">
        <v>70</v>
      </c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>
        <v>1</v>
      </c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63" t="str">
        <f>IF($F$1="","",$F$1)</f>
        <v>だいち</v>
      </c>
      <c r="F10" s="5"/>
      <c r="G10" s="6"/>
      <c r="H10" s="6"/>
      <c r="I10" s="45"/>
      <c r="J10" s="18">
        <f t="shared" si="2"/>
        <v>36500</v>
      </c>
      <c r="K10" s="5" t="s">
        <v>173</v>
      </c>
      <c r="L10" s="6">
        <v>-8000</v>
      </c>
      <c r="M10" s="6"/>
      <c r="N10" s="45">
        <v>-300</v>
      </c>
      <c r="O10" s="18">
        <f t="shared" si="8"/>
        <v>-2100</v>
      </c>
      <c r="P10" s="5" t="s">
        <v>174</v>
      </c>
      <c r="Q10" s="6">
        <v>8000</v>
      </c>
      <c r="R10" s="6"/>
      <c r="S10" s="45">
        <v>300</v>
      </c>
      <c r="T10" s="18">
        <f t="shared" si="3"/>
        <v>32600</v>
      </c>
      <c r="U10" s="5"/>
      <c r="V10" s="6"/>
      <c r="W10" s="6"/>
      <c r="X10" s="45"/>
      <c r="Y10" s="18">
        <f t="shared" si="4"/>
        <v>33000</v>
      </c>
      <c r="Z10" s="50">
        <f>IF($J10="","",ROUND(($J10-30000)/1000,1)+(2.5-_xlfn.RANK.AVG($J10,($J10,$O10,$T10,$Y10)))*20+IF(_xlfn.RANK.EQ($J10,($J10,$O10,$T10,$Y10))=1,20/((_xlfn.RANK.AVG($J10,($J10,$O10,$T10,$Y10))-1)*2+1),0))</f>
        <v>56.5</v>
      </c>
      <c r="AA10" s="51">
        <f>IF($O10="","",ROUND(($O10-30000)/1000,1)+(2.5-_xlfn.RANK.AVG($O10,($J10,$O10,$T10,$Y10)))*20+IF(_xlfn.RANK.EQ($O10,($J10,$O10,$T10,$Y10))=1,20/((_xlfn.RANK.AVG($O10,($J10,$O10,$T10,$Y10))-1)*2+1),0))</f>
        <v>-62.1</v>
      </c>
      <c r="AB10" s="51">
        <f>IF($T10="","",ROUND(($T10-30000)/1000,1)+(2.5-_xlfn.RANK.AVG($T10,($J10,$O10,$T10,$Y10)))*20+IF(_xlfn.RANK.EQ($T10,($J10,$O10,$T10,$Y10))=1,20/((_xlfn.RANK.AVG($T10,($J10,$O10,$T10,$Y10))-1)*2+1),0))</f>
        <v>-7.4</v>
      </c>
      <c r="AC10" s="52">
        <f>IF($Y10="","",ROUND(($Y10-30000)/1000,1)+(2.5-_xlfn.RANK.AVG($Y10,($J10,$O10,$T10,$Y10)))*20+IF(_xlfn.RANK.EQ($Y10,($J10,$O10,$T10,$Y10))=1,20/((_xlfn.RANK.AVG($Y10,($J10,$O10,$T10,$Y10))-1)*2+1),0))</f>
        <v>13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4</v>
      </c>
      <c r="BZ10" s="27">
        <v>30</v>
      </c>
      <c r="CA10" s="37" t="s">
        <v>171</v>
      </c>
      <c r="CB10" s="38" t="s">
        <v>74</v>
      </c>
      <c r="CC10" s="38" t="s">
        <v>172</v>
      </c>
      <c r="CD10" s="38" t="s">
        <v>70</v>
      </c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tr">
        <f>IF($K$1="","",$K$1)</f>
        <v>りくと</v>
      </c>
      <c r="F11" s="5"/>
      <c r="G11" s="6"/>
      <c r="H11" s="6">
        <v>-1000</v>
      </c>
      <c r="I11" s="45"/>
      <c r="J11" s="18">
        <f t="shared" si="2"/>
        <v>35500</v>
      </c>
      <c r="K11" s="5" t="s">
        <v>173</v>
      </c>
      <c r="L11" s="6">
        <v>-2600</v>
      </c>
      <c r="M11" s="6">
        <v>-1000</v>
      </c>
      <c r="N11" s="45">
        <v>0</v>
      </c>
      <c r="O11" s="18">
        <f t="shared" si="8"/>
        <v>-5700</v>
      </c>
      <c r="P11" s="5"/>
      <c r="Q11" s="6"/>
      <c r="R11" s="6"/>
      <c r="S11" s="45"/>
      <c r="T11" s="18">
        <f t="shared" si="3"/>
        <v>32600</v>
      </c>
      <c r="U11" s="5" t="s">
        <v>174</v>
      </c>
      <c r="V11" s="6">
        <v>2600</v>
      </c>
      <c r="W11" s="6">
        <v>2000</v>
      </c>
      <c r="X11" s="45">
        <v>0</v>
      </c>
      <c r="Y11" s="18">
        <f t="shared" si="4"/>
        <v>37600</v>
      </c>
      <c r="Z11" s="50">
        <f>IF($J11="","",ROUND(($J11-30000)/1000,1)+(2.5-_xlfn.RANK.AVG($J11,($J11,$O11,$T11,$Y11)))*20+IF(_xlfn.RANK.EQ($J11,($J11,$O11,$T11,$Y11))=1,20/((_xlfn.RANK.AVG($J11,($J11,$O11,$T11,$Y11))-1)*2+1),0))</f>
        <v>15.5</v>
      </c>
      <c r="AA11" s="51">
        <f>IF($O11="","",ROUND(($O11-30000)/1000,1)+(2.5-_xlfn.RANK.AVG($O11,($J11,$O11,$T11,$Y11)))*20+IF(_xlfn.RANK.EQ($O11,($J11,$O11,$T11,$Y11))=1,20/((_xlfn.RANK.AVG($O11,($J11,$O11,$T11,$Y11))-1)*2+1),0))</f>
        <v>-65.7</v>
      </c>
      <c r="AB11" s="51">
        <f>IF($T11="","",ROUND(($T11-30000)/1000,1)+(2.5-_xlfn.RANK.AVG($T11,($J11,$O11,$T11,$Y11)))*20+IF(_xlfn.RANK.EQ($T11,($J11,$O11,$T11,$Y11))=1,20/((_xlfn.RANK.AVG($T11,($J11,$O11,$T11,$Y11))-1)*2+1),0))</f>
        <v>-7.4</v>
      </c>
      <c r="AC11" s="52">
        <f>IF($Y11="","",ROUND(($Y11-30000)/1000,1)+(2.5-_xlfn.RANK.AVG($Y11,($J11,$O11,$T11,$Y11)))*20+IF(_xlfn.RANK.EQ($Y11,($J11,$O11,$T11,$Y11))=1,20/((_xlfn.RANK.AVG($Y11,($J11,$O11,$T11,$Y11))-1)*2+1),0))</f>
        <v>57.6</v>
      </c>
      <c r="AE11" s="5"/>
      <c r="AF11" s="31"/>
      <c r="AG11" s="23">
        <v>1</v>
      </c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>
        <v>1</v>
      </c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>
        <v>1</v>
      </c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>
        <v>1</v>
      </c>
      <c r="CS11" s="23"/>
      <c r="CT11" s="23">
        <v>2</v>
      </c>
      <c r="CU11" s="27">
        <v>40</v>
      </c>
      <c r="CV11" s="37" t="s">
        <v>171</v>
      </c>
      <c r="CW11" s="38" t="s">
        <v>172</v>
      </c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tr">
        <f>IF($P$1="","",$P$1)</f>
        <v>てんちゃん</v>
      </c>
      <c r="F12" s="5" t="s">
        <v>174</v>
      </c>
      <c r="G12" s="6">
        <v>1000</v>
      </c>
      <c r="H12" s="6"/>
      <c r="I12" s="45">
        <v>0</v>
      </c>
      <c r="J12" s="18">
        <f t="shared" si="2"/>
        <v>36500</v>
      </c>
      <c r="K12" s="5"/>
      <c r="L12" s="6"/>
      <c r="M12" s="6"/>
      <c r="N12" s="45"/>
      <c r="O12" s="18">
        <f t="shared" si="8"/>
        <v>-5700</v>
      </c>
      <c r="P12" s="5"/>
      <c r="Q12" s="6"/>
      <c r="R12" s="6"/>
      <c r="S12" s="45"/>
      <c r="T12" s="18">
        <f t="shared" si="3"/>
        <v>32600</v>
      </c>
      <c r="U12" s="5" t="s">
        <v>173</v>
      </c>
      <c r="V12" s="6">
        <v>-1000</v>
      </c>
      <c r="W12" s="6"/>
      <c r="X12" s="45">
        <v>0</v>
      </c>
      <c r="Y12" s="18">
        <f t="shared" si="4"/>
        <v>36600</v>
      </c>
      <c r="Z12" s="50">
        <f>IF($J12="","",ROUND(($J12-30000)/1000,1)+(2.5-_xlfn.RANK.AVG($J12,($J12,$O12,$T12,$Y12)))*20+IF(_xlfn.RANK.EQ($J12,($J12,$O12,$T12,$Y12))=1,20/((_xlfn.RANK.AVG($J12,($J12,$O12,$T12,$Y12))-1)*2+1),0))</f>
        <v>16.5</v>
      </c>
      <c r="AA12" s="51">
        <f>IF($O12="","",ROUND(($O12-30000)/1000,1)+(2.5-_xlfn.RANK.AVG($O12,($J12,$O12,$T12,$Y12)))*20+IF(_xlfn.RANK.EQ($O12,($J12,$O12,$T12,$Y12))=1,20/((_xlfn.RANK.AVG($O12,($J12,$O12,$T12,$Y12))-1)*2+1),0))</f>
        <v>-65.7</v>
      </c>
      <c r="AB12" s="51">
        <f>IF($T12="","",ROUND(($T12-30000)/1000,1)+(2.5-_xlfn.RANK.AVG($T12,($J12,$O12,$T12,$Y12)))*20+IF(_xlfn.RANK.EQ($T12,($J12,$O12,$T12,$Y12))=1,20/((_xlfn.RANK.AVG($T12,($J12,$O12,$T12,$Y12))-1)*2+1),0))</f>
        <v>-7.4</v>
      </c>
      <c r="AC12" s="52">
        <f>IF($Y12="","",ROUND(($Y12-30000)/1000,1)+(2.5-_xlfn.RANK.AVG($Y12,($J12,$O12,$T12,$Y12)))*20+IF(_xlfn.RANK.EQ($Y12,($J12,$O12,$T12,$Y12))=1,20/((_xlfn.RANK.AVG($Y12,($J12,$O12,$T12,$Y12))-1)*2+1),0))</f>
        <v>56.6</v>
      </c>
      <c r="AE12" s="5"/>
      <c r="AF12" s="31"/>
      <c r="AG12" s="23"/>
      <c r="AH12" s="23">
        <v>1</v>
      </c>
      <c r="AI12" s="23">
        <v>1</v>
      </c>
      <c r="AJ12" s="27">
        <v>30</v>
      </c>
      <c r="AK12" s="37" t="s">
        <v>77</v>
      </c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63" t="str">
        <f>IF($U$1="","",$U$1)</f>
        <v>ただ</v>
      </c>
      <c r="F13" s="5" t="s">
        <v>174</v>
      </c>
      <c r="G13" s="6">
        <v>8000</v>
      </c>
      <c r="H13" s="6">
        <v>1000</v>
      </c>
      <c r="I13" s="45">
        <v>0</v>
      </c>
      <c r="J13" s="18">
        <f t="shared" si="2"/>
        <v>45500</v>
      </c>
      <c r="K13" s="5"/>
      <c r="L13" s="6"/>
      <c r="M13" s="6"/>
      <c r="N13" s="45"/>
      <c r="O13" s="18">
        <f t="shared" si="8"/>
        <v>-5700</v>
      </c>
      <c r="P13" s="5" t="s">
        <v>173</v>
      </c>
      <c r="Q13" s="6">
        <v>-8000</v>
      </c>
      <c r="R13" s="6">
        <v>-1000</v>
      </c>
      <c r="S13" s="45">
        <v>0</v>
      </c>
      <c r="T13" s="18">
        <f t="shared" si="3"/>
        <v>23600</v>
      </c>
      <c r="U13" s="5"/>
      <c r="V13" s="6"/>
      <c r="W13" s="6"/>
      <c r="X13" s="45"/>
      <c r="Y13" s="18">
        <f t="shared" si="4"/>
        <v>36600</v>
      </c>
      <c r="Z13" s="50">
        <f>IF($J13="","",ROUND(($J13-30000)/1000,1)+(2.5-_xlfn.RANK.AVG($J13,($J13,$O13,$T13,$Y13)))*20+IF(_xlfn.RANK.EQ($J13,($J13,$O13,$T13,$Y13))=1,20/((_xlfn.RANK.AVG($J13,($J13,$O13,$T13,$Y13))-1)*2+1),0))</f>
        <v>65.5</v>
      </c>
      <c r="AA13" s="51">
        <f>IF($O13="","",ROUND(($O13-30000)/1000,1)+(2.5-_xlfn.RANK.AVG($O13,($J13,$O13,$T13,$Y13)))*20+IF(_xlfn.RANK.EQ($O13,($J13,$O13,$T13,$Y13))=1,20/((_xlfn.RANK.AVG($O13,($J13,$O13,$T13,$Y13))-1)*2+1),0))</f>
        <v>-65.7</v>
      </c>
      <c r="AB13" s="51">
        <f>IF($T13="","",ROUND(($T13-30000)/1000,1)+(2.5-_xlfn.RANK.AVG($T13,($J13,$O13,$T13,$Y13)))*20+IF(_xlfn.RANK.EQ($T13,($J13,$O13,$T13,$Y13))=1,20/((_xlfn.RANK.AVG($T13,($J13,$O13,$T13,$Y13))-1)*2+1),0))</f>
        <v>-16.399999999999999</v>
      </c>
      <c r="AC13" s="52">
        <f>IF($Y13="","",ROUND(($Y13-30000)/1000,1)+(2.5-_xlfn.RANK.AVG($Y13,($J13,$O13,$T13,$Y13)))*20+IF(_xlfn.RANK.EQ($Y13,($J13,$O13,$T13,$Y13))=1,20/((_xlfn.RANK.AVG($Y13,($J13,$O13,$T13,$Y13))-1)*2+1),0))</f>
        <v>16.600000000000001</v>
      </c>
      <c r="AE13" s="5"/>
      <c r="AF13" s="31"/>
      <c r="AG13" s="23">
        <v>1</v>
      </c>
      <c r="AH13" s="23"/>
      <c r="AI13" s="23">
        <v>4</v>
      </c>
      <c r="AJ13" s="27">
        <v>40</v>
      </c>
      <c r="AK13" s="37" t="s">
        <v>171</v>
      </c>
      <c r="AL13" s="38" t="s">
        <v>75</v>
      </c>
      <c r="AM13" s="38" t="s">
        <v>84</v>
      </c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>
        <v>1</v>
      </c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4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633C168-86B9-496E-A61D-FCBCD50DB4EC}">
      <formula1>"だいち,りくと,ただ,てんちゃん,"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01EAC-E04F-431C-A3C7-CF7CF0180398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180</v>
      </c>
      <c r="G1" s="74"/>
      <c r="H1" s="74"/>
      <c r="I1" s="77"/>
      <c r="J1" s="75"/>
      <c r="K1" s="72" t="s">
        <v>181</v>
      </c>
      <c r="L1" s="74"/>
      <c r="M1" s="74"/>
      <c r="N1" s="77"/>
      <c r="O1" s="75"/>
      <c r="P1" s="72" t="s">
        <v>182</v>
      </c>
      <c r="Q1" s="74"/>
      <c r="R1" s="74"/>
      <c r="S1" s="77"/>
      <c r="T1" s="75"/>
      <c r="U1" s="72" t="s">
        <v>183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てんちゃん</v>
      </c>
      <c r="AF1" s="73" t="str">
        <f t="shared" ref="AF1:AY1" si="0">$F$1</f>
        <v>てんちゃん</v>
      </c>
      <c r="AG1" s="74" t="str">
        <f t="shared" si="0"/>
        <v>てんちゃん</v>
      </c>
      <c r="AH1" s="74" t="str">
        <f t="shared" si="0"/>
        <v>てんちゃん</v>
      </c>
      <c r="AI1" s="74" t="str">
        <f t="shared" si="0"/>
        <v>てんちゃん</v>
      </c>
      <c r="AJ1" s="74" t="str">
        <f t="shared" si="0"/>
        <v>てんちゃん</v>
      </c>
      <c r="AK1" s="74" t="str">
        <f t="shared" si="0"/>
        <v>てんちゃん</v>
      </c>
      <c r="AL1" s="74" t="str">
        <f t="shared" si="0"/>
        <v>てんちゃん</v>
      </c>
      <c r="AM1" s="74" t="str">
        <f t="shared" si="0"/>
        <v>てんちゃん</v>
      </c>
      <c r="AN1" s="74" t="str">
        <f t="shared" si="0"/>
        <v>てんちゃん</v>
      </c>
      <c r="AO1" s="74" t="str">
        <f t="shared" si="0"/>
        <v>てんちゃん</v>
      </c>
      <c r="AP1" s="74" t="str">
        <f t="shared" si="0"/>
        <v>てんちゃん</v>
      </c>
      <c r="AQ1" s="74" t="str">
        <f t="shared" si="0"/>
        <v>てんちゃん</v>
      </c>
      <c r="AR1" s="74" t="str">
        <f t="shared" si="0"/>
        <v>てんちゃん</v>
      </c>
      <c r="AS1" s="74" t="str">
        <f t="shared" si="0"/>
        <v>てんちゃん</v>
      </c>
      <c r="AT1" s="74" t="str">
        <f t="shared" si="0"/>
        <v>てんちゃん</v>
      </c>
      <c r="AU1" s="74" t="str">
        <f t="shared" si="0"/>
        <v>てんちゃん</v>
      </c>
      <c r="AV1" s="74" t="str">
        <f t="shared" si="0"/>
        <v>てんちゃん</v>
      </c>
      <c r="AW1" s="74" t="str">
        <f t="shared" si="0"/>
        <v>てんちゃん</v>
      </c>
      <c r="AX1" s="74" t="str">
        <f t="shared" si="0"/>
        <v>てんちゃん</v>
      </c>
      <c r="AY1" s="75" t="str">
        <f t="shared" si="0"/>
        <v>てんちゃん</v>
      </c>
      <c r="AZ1" s="72" t="str">
        <f>IF($K$1="","",$K$1)</f>
        <v>ただ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りくと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だいち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てんちゃん</v>
      </c>
      <c r="AA2" s="69" t="str">
        <f>IF($K$1="","",$K$1)</f>
        <v>ただ</v>
      </c>
      <c r="AB2" s="69" t="str">
        <f>IF($P$1="","",$P$1)</f>
        <v>りくと</v>
      </c>
      <c r="AC2" s="70" t="str">
        <f>IF($U$1="","",$U$1)</f>
        <v>だいち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てんちゃん</v>
      </c>
      <c r="F4" s="5" t="s">
        <v>170</v>
      </c>
      <c r="G4" s="6">
        <v>18000</v>
      </c>
      <c r="H4" s="6">
        <v>1000</v>
      </c>
      <c r="I4" s="45">
        <v>0</v>
      </c>
      <c r="J4" s="18">
        <f>IF(COUNTA($F4,$K4,$P4,$U4)&gt;0,J3+SUM(G4:I4),"")</f>
        <v>44000</v>
      </c>
      <c r="K4" s="5" t="s">
        <v>169</v>
      </c>
      <c r="L4" s="6">
        <v>-6000</v>
      </c>
      <c r="M4" s="6">
        <v>-1000</v>
      </c>
      <c r="N4" s="45">
        <v>0</v>
      </c>
      <c r="O4" s="18">
        <f>IF(COUNTA($F4,$K4,$P4,$U4)&gt;0,O3+SUM(L4:N4),"")</f>
        <v>18000</v>
      </c>
      <c r="P4" s="5" t="s">
        <v>169</v>
      </c>
      <c r="Q4" s="6">
        <v>-6000</v>
      </c>
      <c r="R4" s="6"/>
      <c r="S4" s="45">
        <v>0</v>
      </c>
      <c r="T4" s="18">
        <f>IF(COUNTA($F4,$K4,$P4,$U4)&gt;0,T3+SUM(Q4:S4),"")</f>
        <v>19000</v>
      </c>
      <c r="U4" s="5" t="s">
        <v>169</v>
      </c>
      <c r="V4" s="6">
        <v>-6000</v>
      </c>
      <c r="W4" s="6"/>
      <c r="X4" s="45">
        <v>0</v>
      </c>
      <c r="Y4" s="18">
        <f>IF(COUNTA($F4,$K4,$P4,$U4)&gt;0,Y3+SUM(V4:X4),"")</f>
        <v>19000</v>
      </c>
      <c r="Z4" s="50">
        <f>IF($J4="","",ROUND(($J4-30000)/1000,1)+(2.5-_xlfn.RANK.AVG($J4,($J4,$O4,$T4,$Y4)))*20+IF(_xlfn.RANK.EQ($J4,($J4,$O4,$T4,$Y4))=1,20/((_xlfn.RANK.AVG($J4,($J4,$O4,$T4,$Y4))-1)*2+1),0))</f>
        <v>64</v>
      </c>
      <c r="AA4" s="51">
        <f>IF($O4="","",ROUND(($O4-30000)/1000,1)+(2.5-_xlfn.RANK.AVG($O4,($J4,$O4,$T4,$Y4)))*20+IF(_xlfn.RANK.EQ($O4,($J4,$O4,$T4,$Y4))=1,20/((_xlfn.RANK.AVG($O4,($J4,$O4,$T4,$Y4))-1)*2+1),0))</f>
        <v>-42</v>
      </c>
      <c r="AB4" s="51">
        <f>IF($T4="","",ROUND(($T4-30000)/1000,1)+(2.5-_xlfn.RANK.AVG($T4,($J4,$O4,$T4,$Y4)))*20+IF(_xlfn.RANK.EQ($T4,($J4,$O4,$T4,$Y4))=1,20/((_xlfn.RANK.AVG($T4,($J4,$O4,$T4,$Y4))-1)*2+1),0))</f>
        <v>-11</v>
      </c>
      <c r="AC4" s="52">
        <f>IF($Y4="","",ROUND(($Y4-30000)/1000,1)+(2.5-_xlfn.RANK.AVG($Y4,($J4,$O4,$T4,$Y4)))*20+IF(_xlfn.RANK.EQ($Y4,($J4,$O4,$T4,$Y4))=1,20/((_xlfn.RANK.AVG($Y4,($J4,$O4,$T4,$Y4))-1)*2+1),0))</f>
        <v>-11</v>
      </c>
      <c r="AE4" s="5"/>
      <c r="AF4" s="31"/>
      <c r="AG4" s="23">
        <v>1</v>
      </c>
      <c r="AH4" s="23"/>
      <c r="AI4" s="23">
        <v>7</v>
      </c>
      <c r="AJ4" s="27" t="s">
        <v>178</v>
      </c>
      <c r="AK4" s="37" t="s">
        <v>171</v>
      </c>
      <c r="AL4" s="38" t="s">
        <v>73</v>
      </c>
      <c r="AM4" s="38" t="s">
        <v>70</v>
      </c>
      <c r="AN4" s="38" t="s">
        <v>70</v>
      </c>
      <c r="AO4" s="38" t="s">
        <v>70</v>
      </c>
      <c r="AP4" s="38" t="s">
        <v>70</v>
      </c>
      <c r="AQ4" s="38" t="s">
        <v>71</v>
      </c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てんちゃん</v>
      </c>
      <c r="F5" s="5" t="s">
        <v>184</v>
      </c>
      <c r="G5" s="6">
        <v>-1500</v>
      </c>
      <c r="H5" s="6"/>
      <c r="I5" s="45"/>
      <c r="J5" s="18">
        <f t="shared" ref="J5:J30" si="2">IF(COUNTA($F5,$K5,$P5,$U5)&gt;0,J4+SUM(G5:I5),"")</f>
        <v>42500</v>
      </c>
      <c r="K5" s="5" t="s">
        <v>184</v>
      </c>
      <c r="L5" s="6">
        <v>-1500</v>
      </c>
      <c r="M5" s="6"/>
      <c r="N5" s="45"/>
      <c r="O5" s="18">
        <f>IF(COUNTA($F5,$K5,$P5,$U5)&gt;0,O4+SUM(L5:N5),"")</f>
        <v>16500</v>
      </c>
      <c r="P5" s="5" t="s">
        <v>184</v>
      </c>
      <c r="Q5" s="6">
        <v>1500</v>
      </c>
      <c r="R5" s="6"/>
      <c r="S5" s="45"/>
      <c r="T5" s="18">
        <f t="shared" ref="T5:T30" si="3">IF(COUNTA($F5,$K5,$P5,$U5)&gt;0,T4+SUM(Q5:S5),"")</f>
        <v>20500</v>
      </c>
      <c r="U5" s="5" t="s">
        <v>184</v>
      </c>
      <c r="V5" s="6">
        <v>1500</v>
      </c>
      <c r="W5" s="6"/>
      <c r="X5" s="45"/>
      <c r="Y5" s="18">
        <f t="shared" ref="Y5:Y30" si="4">IF(COUNTA($F5,$K5,$P5,$U5)&gt;0,Y4+SUM(V5:X5),"")</f>
        <v>20500</v>
      </c>
      <c r="Z5" s="50">
        <f>IF($J5="","",ROUND(($J5-30000)/1000,1)+(2.5-_xlfn.RANK.AVG($J5,($J5,$O5,$T5,$Y5)))*20+IF(_xlfn.RANK.EQ($J5,($J5,$O5,$T5,$Y5))=1,20/((_xlfn.RANK.AVG($J5,($J5,$O5,$T5,$Y5))-1)*2+1),0))</f>
        <v>62.5</v>
      </c>
      <c r="AA5" s="51">
        <f>IF($O5="","",ROUND(($O5-30000)/1000,1)+(2.5-_xlfn.RANK.AVG($O5,($J5,$O5,$T5,$Y5)))*20+IF(_xlfn.RANK.EQ($O5,($J5,$O5,$T5,$Y5))=1,20/((_xlfn.RANK.AVG($O5,($J5,$O5,$T5,$Y5))-1)*2+1),0))</f>
        <v>-43.5</v>
      </c>
      <c r="AB5" s="51">
        <f>IF($T5="","",ROUND(($T5-30000)/1000,1)+(2.5-_xlfn.RANK.AVG($T5,($J5,$O5,$T5,$Y5)))*20+IF(_xlfn.RANK.EQ($T5,($J5,$O5,$T5,$Y5))=1,20/((_xlfn.RANK.AVG($T5,($J5,$O5,$T5,$Y5))-1)*2+1),0))</f>
        <v>-9.5</v>
      </c>
      <c r="AC5" s="52">
        <f>IF($Y5="","",ROUND(($Y5-30000)/1000,1)+(2.5-_xlfn.RANK.AVG($Y5,($J5,$O5,$T5,$Y5)))*20+IF(_xlfn.RANK.EQ($Y5,($J5,$O5,$T5,$Y5))=1,20/((_xlfn.RANK.AVG($Y5,($J5,$O5,$T5,$Y5))-1)*2+1),0))</f>
        <v>-9.5</v>
      </c>
      <c r="AE5" s="5" t="s">
        <v>176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176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175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175</v>
      </c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63" t="str">
        <f>IF($K$1="","",$K$1)</f>
        <v>ただ</v>
      </c>
      <c r="F6" s="5" t="s">
        <v>184</v>
      </c>
      <c r="G6" s="6">
        <v>-1000</v>
      </c>
      <c r="H6" s="6"/>
      <c r="I6" s="45"/>
      <c r="J6" s="18">
        <f t="shared" si="2"/>
        <v>41500</v>
      </c>
      <c r="K6" s="5" t="s">
        <v>184</v>
      </c>
      <c r="L6" s="6">
        <v>-1000</v>
      </c>
      <c r="M6" s="6"/>
      <c r="N6" s="45"/>
      <c r="O6" s="18">
        <f t="shared" ref="O6:O30" si="8">IF(COUNTA($F6,$K6,$P6,$U6)&gt;0,O5+SUM(L6:N6),"")</f>
        <v>15500</v>
      </c>
      <c r="P6" s="5" t="s">
        <v>184</v>
      </c>
      <c r="Q6" s="6">
        <v>3000</v>
      </c>
      <c r="R6" s="6">
        <v>-1000</v>
      </c>
      <c r="S6" s="45"/>
      <c r="T6" s="18">
        <f t="shared" si="3"/>
        <v>22500</v>
      </c>
      <c r="U6" s="5" t="s">
        <v>184</v>
      </c>
      <c r="V6" s="6">
        <v>-1000</v>
      </c>
      <c r="W6" s="6"/>
      <c r="X6" s="45"/>
      <c r="Y6" s="18">
        <f t="shared" si="4"/>
        <v>19500</v>
      </c>
      <c r="Z6" s="50">
        <f>IF($J6="","",ROUND(($J6-30000)/1000,1)+(2.5-_xlfn.RANK.AVG($J6,($J6,$O6,$T6,$Y6)))*20+IF(_xlfn.RANK.EQ($J6,($J6,$O6,$T6,$Y6))=1,20/((_xlfn.RANK.AVG($J6,($J6,$O6,$T6,$Y6))-1)*2+1),0))</f>
        <v>61.5</v>
      </c>
      <c r="AA6" s="51">
        <f>IF($O6="","",ROUND(($O6-30000)/1000,1)+(2.5-_xlfn.RANK.AVG($O6,($J6,$O6,$T6,$Y6)))*20+IF(_xlfn.RANK.EQ($O6,($J6,$O6,$T6,$Y6))=1,20/((_xlfn.RANK.AVG($O6,($J6,$O6,$T6,$Y6))-1)*2+1),0))</f>
        <v>-44.5</v>
      </c>
      <c r="AB6" s="51">
        <f>IF($T6="","",ROUND(($T6-30000)/1000,1)+(2.5-_xlfn.RANK.AVG($T6,($J6,$O6,$T6,$Y6)))*20+IF(_xlfn.RANK.EQ($T6,($J6,$O6,$T6,$Y6))=1,20/((_xlfn.RANK.AVG($T6,($J6,$O6,$T6,$Y6))-1)*2+1),0))</f>
        <v>2.5</v>
      </c>
      <c r="AC6" s="52">
        <f>IF($Y6="","",ROUND(($Y6-30000)/1000,1)+(2.5-_xlfn.RANK.AVG($Y6,($J6,$O6,$T6,$Y6)))*20+IF(_xlfn.RANK.EQ($Y6,($J6,$O6,$T6,$Y6))=1,20/((_xlfn.RANK.AVG($Y6,($J6,$O6,$T6,$Y6))-1)*2+1),0))</f>
        <v>-20.5</v>
      </c>
      <c r="AE6" s="5" t="s">
        <v>176</v>
      </c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176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175</v>
      </c>
      <c r="BV6" s="31"/>
      <c r="BW6" s="23">
        <v>1</v>
      </c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176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3</v>
      </c>
      <c r="D7" s="15">
        <f t="shared" si="7"/>
        <v>1</v>
      </c>
      <c r="E7" s="63" t="str">
        <f>IF($P$1="","",$P$1)</f>
        <v>りくと</v>
      </c>
      <c r="F7" s="5" t="s">
        <v>184</v>
      </c>
      <c r="G7" s="6">
        <v>-1000</v>
      </c>
      <c r="H7" s="6"/>
      <c r="I7" s="45"/>
      <c r="J7" s="18">
        <f t="shared" si="2"/>
        <v>40500</v>
      </c>
      <c r="K7" s="5" t="s">
        <v>184</v>
      </c>
      <c r="L7" s="6">
        <v>-1000</v>
      </c>
      <c r="M7" s="6"/>
      <c r="N7" s="45"/>
      <c r="O7" s="18">
        <f t="shared" si="8"/>
        <v>14500</v>
      </c>
      <c r="P7" s="5" t="s">
        <v>184</v>
      </c>
      <c r="Q7" s="6">
        <v>3000</v>
      </c>
      <c r="R7" s="6">
        <v>-1000</v>
      </c>
      <c r="S7" s="45"/>
      <c r="T7" s="18">
        <f t="shared" si="3"/>
        <v>24500</v>
      </c>
      <c r="U7" s="5" t="s">
        <v>184</v>
      </c>
      <c r="V7" s="6">
        <v>-1000</v>
      </c>
      <c r="W7" s="6"/>
      <c r="X7" s="45"/>
      <c r="Y7" s="18">
        <f t="shared" si="4"/>
        <v>18500</v>
      </c>
      <c r="Z7" s="50">
        <f>IF($J7="","",ROUND(($J7-30000)/1000,1)+(2.5-_xlfn.RANK.AVG($J7,($J7,$O7,$T7,$Y7)))*20+IF(_xlfn.RANK.EQ($J7,($J7,$O7,$T7,$Y7))=1,20/((_xlfn.RANK.AVG($J7,($J7,$O7,$T7,$Y7))-1)*2+1),0))</f>
        <v>60.5</v>
      </c>
      <c r="AA7" s="51">
        <f>IF($O7="","",ROUND(($O7-30000)/1000,1)+(2.5-_xlfn.RANK.AVG($O7,($J7,$O7,$T7,$Y7)))*20+IF(_xlfn.RANK.EQ($O7,($J7,$O7,$T7,$Y7))=1,20/((_xlfn.RANK.AVG($O7,($J7,$O7,$T7,$Y7))-1)*2+1),0))</f>
        <v>-45.5</v>
      </c>
      <c r="AB7" s="51">
        <f>IF($T7="","",ROUND(($T7-30000)/1000,1)+(2.5-_xlfn.RANK.AVG($T7,($J7,$O7,$T7,$Y7)))*20+IF(_xlfn.RANK.EQ($T7,($J7,$O7,$T7,$Y7))=1,20/((_xlfn.RANK.AVG($T7,($J7,$O7,$T7,$Y7))-1)*2+1),0))</f>
        <v>4.5</v>
      </c>
      <c r="AC7" s="52">
        <f>IF($Y7="","",ROUND(($Y7-30000)/1000,1)+(2.5-_xlfn.RANK.AVG($Y7,($J7,$O7,$T7,$Y7)))*20+IF(_xlfn.RANK.EQ($Y7,($J7,$O7,$T7,$Y7))=1,20/((_xlfn.RANK.AVG($Y7,($J7,$O7,$T7,$Y7))-1)*2+1),0))</f>
        <v>-21.5</v>
      </c>
      <c r="AE7" s="5" t="s">
        <v>176</v>
      </c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 t="s">
        <v>176</v>
      </c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 t="s">
        <v>175</v>
      </c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 t="s">
        <v>176</v>
      </c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4</v>
      </c>
      <c r="D8" s="15">
        <f>IF($E8="","",IF(OR($F7="流局",$F7="チョンボ"),D7+($H7+$M7+$R7+$W7)/-1000,0))</f>
        <v>2</v>
      </c>
      <c r="E8" s="63" t="str">
        <f>IF($P$1="","",$P$1)</f>
        <v>りくと</v>
      </c>
      <c r="F8" s="5" t="s">
        <v>169</v>
      </c>
      <c r="G8" s="6">
        <v>-1000</v>
      </c>
      <c r="H8" s="6"/>
      <c r="I8" s="45">
        <v>-400</v>
      </c>
      <c r="J8" s="18">
        <f t="shared" si="2"/>
        <v>39100</v>
      </c>
      <c r="K8" s="5" t="s">
        <v>169</v>
      </c>
      <c r="L8" s="6">
        <v>-1000</v>
      </c>
      <c r="M8" s="6">
        <v>-1000</v>
      </c>
      <c r="N8" s="45">
        <v>-400</v>
      </c>
      <c r="O8" s="18">
        <f t="shared" si="8"/>
        <v>12100</v>
      </c>
      <c r="P8" s="5" t="s">
        <v>170</v>
      </c>
      <c r="Q8" s="6">
        <v>3000</v>
      </c>
      <c r="R8" s="6">
        <v>3000</v>
      </c>
      <c r="S8" s="45">
        <v>1200</v>
      </c>
      <c r="T8" s="18">
        <f t="shared" si="3"/>
        <v>31700</v>
      </c>
      <c r="U8" s="5" t="s">
        <v>169</v>
      </c>
      <c r="V8" s="6">
        <v>-1000</v>
      </c>
      <c r="W8" s="6"/>
      <c r="X8" s="45">
        <v>-400</v>
      </c>
      <c r="Y8" s="18">
        <f t="shared" si="4"/>
        <v>17100</v>
      </c>
      <c r="Z8" s="50">
        <f>IF($J8="","",ROUND(($J8-30000)/1000,1)+(2.5-_xlfn.RANK.AVG($J8,($J8,$O8,$T8,$Y8)))*20+IF(_xlfn.RANK.EQ($J8,($J8,$O8,$T8,$Y8))=1,20/((_xlfn.RANK.AVG($J8,($J8,$O8,$T8,$Y8))-1)*2+1),0))</f>
        <v>59.1</v>
      </c>
      <c r="AA8" s="51">
        <f>IF($O8="","",ROUND(($O8-30000)/1000,1)+(2.5-_xlfn.RANK.AVG($O8,($J8,$O8,$T8,$Y8)))*20+IF(_xlfn.RANK.EQ($O8,($J8,$O8,$T8,$Y8))=1,20/((_xlfn.RANK.AVG($O8,($J8,$O8,$T8,$Y8))-1)*2+1),0))</f>
        <v>-47.9</v>
      </c>
      <c r="AB8" s="51">
        <f>IF($T8="","",ROUND(($T8-30000)/1000,1)+(2.5-_xlfn.RANK.AVG($T8,($J8,$O8,$T8,$Y8)))*20+IF(_xlfn.RANK.EQ($T8,($J8,$O8,$T8,$Y8))=1,20/((_xlfn.RANK.AVG($T8,($J8,$O8,$T8,$Y8))-1)*2+1),0))</f>
        <v>11.7</v>
      </c>
      <c r="AC8" s="52">
        <f>IF($Y8="","",ROUND(($Y8-30000)/1000,1)+(2.5-_xlfn.RANK.AVG($Y8,($J8,$O8,$T8,$Y8)))*20+IF(_xlfn.RANK.EQ($Y8,($J8,$O8,$T8,$Y8))=1,20/((_xlfn.RANK.AVG($Y8,($J8,$O8,$T8,$Y8))-1)*2+1),0))</f>
        <v>-22.9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>
        <v>1</v>
      </c>
      <c r="BY8" s="23">
        <v>2</v>
      </c>
      <c r="BZ8" s="27">
        <v>30</v>
      </c>
      <c r="CA8" s="37" t="s">
        <v>76</v>
      </c>
      <c r="CB8" s="38" t="s">
        <v>172</v>
      </c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5</v>
      </c>
      <c r="D9" s="15">
        <f t="shared" si="7"/>
        <v>0</v>
      </c>
      <c r="E9" s="63" t="str">
        <f>IF($P$1="","",$P$1)</f>
        <v>りくと</v>
      </c>
      <c r="F9" s="5" t="s">
        <v>173</v>
      </c>
      <c r="G9" s="6">
        <v>-8000</v>
      </c>
      <c r="H9" s="6"/>
      <c r="I9" s="45">
        <v>-1500</v>
      </c>
      <c r="J9" s="18">
        <f t="shared" si="2"/>
        <v>29600</v>
      </c>
      <c r="K9" s="5" t="s">
        <v>174</v>
      </c>
      <c r="L9" s="6">
        <v>8000</v>
      </c>
      <c r="M9" s="6"/>
      <c r="N9" s="45">
        <v>1500</v>
      </c>
      <c r="O9" s="18">
        <f t="shared" si="8"/>
        <v>21600</v>
      </c>
      <c r="P9" s="5"/>
      <c r="Q9" s="6"/>
      <c r="R9" s="6"/>
      <c r="S9" s="45"/>
      <c r="T9" s="18">
        <f t="shared" si="3"/>
        <v>31700</v>
      </c>
      <c r="U9" s="5"/>
      <c r="V9" s="6"/>
      <c r="W9" s="6"/>
      <c r="X9" s="45"/>
      <c r="Y9" s="18">
        <f t="shared" si="4"/>
        <v>17100</v>
      </c>
      <c r="Z9" s="50">
        <f>IF($J9="","",ROUND(($J9-30000)/1000,1)+(2.5-_xlfn.RANK.AVG($J9,($J9,$O9,$T9,$Y9)))*20+IF(_xlfn.RANK.EQ($J9,($J9,$O9,$T9,$Y9))=1,20/((_xlfn.RANK.AVG($J9,($J9,$O9,$T9,$Y9))-1)*2+1),0))</f>
        <v>9.6</v>
      </c>
      <c r="AA9" s="51">
        <f>IF($O9="","",ROUND(($O9-30000)/1000,1)+(2.5-_xlfn.RANK.AVG($O9,($J9,$O9,$T9,$Y9)))*20+IF(_xlfn.RANK.EQ($O9,($J9,$O9,$T9,$Y9))=1,20/((_xlfn.RANK.AVG($O9,($J9,$O9,$T9,$Y9))-1)*2+1),0))</f>
        <v>-18.399999999999999</v>
      </c>
      <c r="AB9" s="51">
        <f>IF($T9="","",ROUND(($T9-30000)/1000,1)+(2.5-_xlfn.RANK.AVG($T9,($J9,$O9,$T9,$Y9)))*20+IF(_xlfn.RANK.EQ($T9,($J9,$O9,$T9,$Y9))=1,20/((_xlfn.RANK.AVG($T9,($J9,$O9,$T9,$Y9))-1)*2+1),0))</f>
        <v>51.7</v>
      </c>
      <c r="AC9" s="52">
        <f>IF($Y9="","",ROUND(($Y9-30000)/1000,1)+(2.5-_xlfn.RANK.AVG($Y9,($J9,$O9,$T9,$Y9)))*20+IF(_xlfn.RANK.EQ($Y9,($J9,$O9,$T9,$Y9))=1,20/((_xlfn.RANK.AVG($Y9,($J9,$O9,$T9,$Y9))-1)*2+1),0))</f>
        <v>-42.9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>
        <v>4</v>
      </c>
      <c r="BE9" s="27">
        <v>40</v>
      </c>
      <c r="BF9" s="37" t="s">
        <v>171</v>
      </c>
      <c r="BG9" s="38" t="s">
        <v>71</v>
      </c>
      <c r="BH9" s="38" t="s">
        <v>172</v>
      </c>
      <c r="BI9" s="38" t="s">
        <v>179</v>
      </c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63" t="str">
        <f>IF($U$1="","",$U$1)</f>
        <v>だいち</v>
      </c>
      <c r="F10" s="5" t="s">
        <v>174</v>
      </c>
      <c r="G10" s="6">
        <v>3900</v>
      </c>
      <c r="H10" s="6"/>
      <c r="I10" s="45">
        <v>0</v>
      </c>
      <c r="J10" s="18">
        <f t="shared" si="2"/>
        <v>33500</v>
      </c>
      <c r="K10" s="5" t="s">
        <v>173</v>
      </c>
      <c r="L10" s="6">
        <v>-3900</v>
      </c>
      <c r="M10" s="6"/>
      <c r="N10" s="45">
        <v>0</v>
      </c>
      <c r="O10" s="18">
        <f t="shared" si="8"/>
        <v>17700</v>
      </c>
      <c r="P10" s="5"/>
      <c r="Q10" s="6"/>
      <c r="R10" s="6"/>
      <c r="S10" s="45"/>
      <c r="T10" s="18">
        <f t="shared" si="3"/>
        <v>31700</v>
      </c>
      <c r="U10" s="5"/>
      <c r="V10" s="6"/>
      <c r="W10" s="6"/>
      <c r="X10" s="45"/>
      <c r="Y10" s="18">
        <f t="shared" si="4"/>
        <v>17100</v>
      </c>
      <c r="Z10" s="50">
        <f>IF($J10="","",ROUND(($J10-30000)/1000,1)+(2.5-_xlfn.RANK.AVG($J10,($J10,$O10,$T10,$Y10)))*20+IF(_xlfn.RANK.EQ($J10,($J10,$O10,$T10,$Y10))=1,20/((_xlfn.RANK.AVG($J10,($J10,$O10,$T10,$Y10))-1)*2+1),0))</f>
        <v>53.5</v>
      </c>
      <c r="AA10" s="51">
        <f>IF($O10="","",ROUND(($O10-30000)/1000,1)+(2.5-_xlfn.RANK.AVG($O10,($J10,$O10,$T10,$Y10)))*20+IF(_xlfn.RANK.EQ($O10,($J10,$O10,$T10,$Y10))=1,20/((_xlfn.RANK.AVG($O10,($J10,$O10,$T10,$Y10))-1)*2+1),0))</f>
        <v>-22.3</v>
      </c>
      <c r="AB10" s="51">
        <f>IF($T10="","",ROUND(($T10-30000)/1000,1)+(2.5-_xlfn.RANK.AVG($T10,($J10,$O10,$T10,$Y10)))*20+IF(_xlfn.RANK.EQ($T10,($J10,$O10,$T10,$Y10))=1,20/((_xlfn.RANK.AVG($T10,($J10,$O10,$T10,$Y10))-1)*2+1),0))</f>
        <v>11.7</v>
      </c>
      <c r="AC10" s="52">
        <f>IF($Y10="","",ROUND(($Y10-30000)/1000,1)+(2.5-_xlfn.RANK.AVG($Y10,($J10,$O10,$T10,$Y10)))*20+IF(_xlfn.RANK.EQ($Y10,($J10,$O10,$T10,$Y10))=1,20/((_xlfn.RANK.AVG($Y10,($J10,$O10,$T10,$Y10))-1)*2+1),0))</f>
        <v>-42.9</v>
      </c>
      <c r="AE10" s="5"/>
      <c r="AF10" s="31"/>
      <c r="AG10" s="23">
        <v>1</v>
      </c>
      <c r="AH10" s="23"/>
      <c r="AI10" s="23">
        <v>3</v>
      </c>
      <c r="AJ10" s="27">
        <v>30</v>
      </c>
      <c r="AK10" s="37" t="s">
        <v>171</v>
      </c>
      <c r="AL10" s="38" t="s">
        <v>74</v>
      </c>
      <c r="AM10" s="38" t="s">
        <v>179</v>
      </c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63" t="str">
        <f>IF($F$1="","",$F$1)</f>
        <v>てんちゃん</v>
      </c>
      <c r="F11" s="5" t="s">
        <v>174</v>
      </c>
      <c r="G11" s="6">
        <v>12000</v>
      </c>
      <c r="H11" s="6"/>
      <c r="I11" s="45">
        <v>0</v>
      </c>
      <c r="J11" s="18">
        <f t="shared" si="2"/>
        <v>45500</v>
      </c>
      <c r="K11" s="5"/>
      <c r="L11" s="6"/>
      <c r="M11" s="6"/>
      <c r="N11" s="45"/>
      <c r="O11" s="18">
        <f t="shared" si="8"/>
        <v>17700</v>
      </c>
      <c r="P11" s="5"/>
      <c r="Q11" s="6"/>
      <c r="R11" s="6"/>
      <c r="S11" s="45"/>
      <c r="T11" s="18">
        <f t="shared" si="3"/>
        <v>31700</v>
      </c>
      <c r="U11" s="5" t="s">
        <v>173</v>
      </c>
      <c r="V11" s="6">
        <v>-12000</v>
      </c>
      <c r="W11" s="6"/>
      <c r="X11" s="45">
        <v>0</v>
      </c>
      <c r="Y11" s="18">
        <f t="shared" si="4"/>
        <v>5100</v>
      </c>
      <c r="Z11" s="50">
        <f>IF($J11="","",ROUND(($J11-30000)/1000,1)+(2.5-_xlfn.RANK.AVG($J11,($J11,$O11,$T11,$Y11)))*20+IF(_xlfn.RANK.EQ($J11,($J11,$O11,$T11,$Y11))=1,20/((_xlfn.RANK.AVG($J11,($J11,$O11,$T11,$Y11))-1)*2+1),0))</f>
        <v>65.5</v>
      </c>
      <c r="AA11" s="51">
        <f>IF($O11="","",ROUND(($O11-30000)/1000,1)+(2.5-_xlfn.RANK.AVG($O11,($J11,$O11,$T11,$Y11)))*20+IF(_xlfn.RANK.EQ($O11,($J11,$O11,$T11,$Y11))=1,20/((_xlfn.RANK.AVG($O11,($J11,$O11,$T11,$Y11))-1)*2+1),0))</f>
        <v>-22.3</v>
      </c>
      <c r="AB11" s="51">
        <f>IF($T11="","",ROUND(($T11-30000)/1000,1)+(2.5-_xlfn.RANK.AVG($T11,($J11,$O11,$T11,$Y11)))*20+IF(_xlfn.RANK.EQ($T11,($J11,$O11,$T11,$Y11))=1,20/((_xlfn.RANK.AVG($T11,($J11,$O11,$T11,$Y11))-1)*2+1),0))</f>
        <v>11.7</v>
      </c>
      <c r="AC11" s="52">
        <f>IF($Y11="","",ROUND(($Y11-30000)/1000,1)+(2.5-_xlfn.RANK.AVG($Y11,($J11,$O11,$T11,$Y11)))*20+IF(_xlfn.RANK.EQ($Y11,($J11,$O11,$T11,$Y11))=1,20/((_xlfn.RANK.AVG($Y11,($J11,$O11,$T11,$Y11))-1)*2+1),0))</f>
        <v>-54.9</v>
      </c>
      <c r="AE11" s="5"/>
      <c r="AF11" s="31"/>
      <c r="AG11" s="23">
        <v>1</v>
      </c>
      <c r="AH11" s="23"/>
      <c r="AI11" s="23">
        <v>4</v>
      </c>
      <c r="AJ11" s="27">
        <v>30</v>
      </c>
      <c r="AK11" s="37" t="s">
        <v>171</v>
      </c>
      <c r="AL11" s="38" t="s">
        <v>74</v>
      </c>
      <c r="AM11" s="38" t="s">
        <v>70</v>
      </c>
      <c r="AN11" s="38" t="s">
        <v>71</v>
      </c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>
        <v>1</v>
      </c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1</v>
      </c>
      <c r="C12" s="15">
        <f t="shared" si="6"/>
        <v>1</v>
      </c>
      <c r="D12" s="15">
        <f t="shared" si="7"/>
        <v>0</v>
      </c>
      <c r="E12" s="63" t="str">
        <f>IF($F$1="","",$F$1)</f>
        <v>てんちゃん</v>
      </c>
      <c r="F12" s="5" t="s">
        <v>169</v>
      </c>
      <c r="G12" s="6">
        <v>-2600</v>
      </c>
      <c r="H12" s="6"/>
      <c r="I12" s="45">
        <v>-100</v>
      </c>
      <c r="J12" s="18">
        <f t="shared" si="2"/>
        <v>42800</v>
      </c>
      <c r="K12" s="5" t="s">
        <v>170</v>
      </c>
      <c r="L12" s="6">
        <v>5200</v>
      </c>
      <c r="M12" s="6"/>
      <c r="N12" s="45">
        <v>300</v>
      </c>
      <c r="O12" s="18">
        <f t="shared" si="8"/>
        <v>23200</v>
      </c>
      <c r="P12" s="5" t="s">
        <v>169</v>
      </c>
      <c r="Q12" s="6">
        <v>-1300</v>
      </c>
      <c r="R12" s="6"/>
      <c r="S12" s="45">
        <v>-100</v>
      </c>
      <c r="T12" s="18">
        <f t="shared" si="3"/>
        <v>30300</v>
      </c>
      <c r="U12" s="5" t="s">
        <v>169</v>
      </c>
      <c r="V12" s="6">
        <v>-1300</v>
      </c>
      <c r="W12" s="6"/>
      <c r="X12" s="45">
        <v>-100</v>
      </c>
      <c r="Y12" s="18">
        <f t="shared" si="4"/>
        <v>3700</v>
      </c>
      <c r="Z12" s="50">
        <f>IF($J12="","",ROUND(($J12-30000)/1000,1)+(2.5-_xlfn.RANK.AVG($J12,($J12,$O12,$T12,$Y12)))*20+IF(_xlfn.RANK.EQ($J12,($J12,$O12,$T12,$Y12))=1,20/((_xlfn.RANK.AVG($J12,($J12,$O12,$T12,$Y12))-1)*2+1),0))</f>
        <v>62.8</v>
      </c>
      <c r="AA12" s="51">
        <f>IF($O12="","",ROUND(($O12-30000)/1000,1)+(2.5-_xlfn.RANK.AVG($O12,($J12,$O12,$T12,$Y12)))*20+IF(_xlfn.RANK.EQ($O12,($J12,$O12,$T12,$Y12))=1,20/((_xlfn.RANK.AVG($O12,($J12,$O12,$T12,$Y12))-1)*2+1),0))</f>
        <v>-16.8</v>
      </c>
      <c r="AB12" s="51">
        <f>IF($T12="","",ROUND(($T12-30000)/1000,1)+(2.5-_xlfn.RANK.AVG($T12,($J12,$O12,$T12,$Y12)))*20+IF(_xlfn.RANK.EQ($T12,($J12,$O12,$T12,$Y12))=1,20/((_xlfn.RANK.AVG($T12,($J12,$O12,$T12,$Y12))-1)*2+1),0))</f>
        <v>10.3</v>
      </c>
      <c r="AC12" s="52">
        <f>IF($Y12="","",ROUND(($Y12-30000)/1000,1)+(2.5-_xlfn.RANK.AVG($Y12,($J12,$O12,$T12,$Y12)))*20+IF(_xlfn.RANK.EQ($Y12,($J12,$O12,$T12,$Y12))=1,20/((_xlfn.RANK.AVG($Y12,($J12,$O12,$T12,$Y12))-1)*2+1),0))</f>
        <v>-56.3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>
        <v>1</v>
      </c>
      <c r="BD12" s="23">
        <v>3</v>
      </c>
      <c r="BE12" s="27">
        <v>40</v>
      </c>
      <c r="BF12" s="37" t="s">
        <v>77</v>
      </c>
      <c r="BG12" s="38" t="s">
        <v>70</v>
      </c>
      <c r="BH12" s="38" t="s">
        <v>70</v>
      </c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>南</v>
      </c>
      <c r="B13" s="15">
        <f t="shared" si="5"/>
        <v>2</v>
      </c>
      <c r="C13" s="15">
        <f t="shared" si="6"/>
        <v>0</v>
      </c>
      <c r="D13" s="15">
        <f t="shared" si="7"/>
        <v>0</v>
      </c>
      <c r="E13" s="63" t="str">
        <f>IF($K$1="","",$K$1)</f>
        <v>ただ</v>
      </c>
      <c r="F13" s="5" t="s">
        <v>174</v>
      </c>
      <c r="G13" s="6">
        <v>3900</v>
      </c>
      <c r="H13" s="6"/>
      <c r="I13" s="45">
        <v>0</v>
      </c>
      <c r="J13" s="18">
        <f t="shared" si="2"/>
        <v>46700</v>
      </c>
      <c r="K13" s="5"/>
      <c r="L13" s="6"/>
      <c r="M13" s="6"/>
      <c r="N13" s="45"/>
      <c r="O13" s="18">
        <f t="shared" si="8"/>
        <v>23200</v>
      </c>
      <c r="P13" s="5" t="s">
        <v>173</v>
      </c>
      <c r="Q13" s="6">
        <v>-3900</v>
      </c>
      <c r="R13" s="6"/>
      <c r="S13" s="45">
        <v>0</v>
      </c>
      <c r="T13" s="18">
        <f t="shared" si="3"/>
        <v>26400</v>
      </c>
      <c r="U13" s="5"/>
      <c r="V13" s="6"/>
      <c r="W13" s="6"/>
      <c r="X13" s="45"/>
      <c r="Y13" s="18">
        <f t="shared" si="4"/>
        <v>3700</v>
      </c>
      <c r="Z13" s="50">
        <f>IF($J13="","",ROUND(($J13-30000)/1000,1)+(2.5-_xlfn.RANK.AVG($J13,($J13,$O13,$T13,$Y13)))*20+IF(_xlfn.RANK.EQ($J13,($J13,$O13,$T13,$Y13))=1,20/((_xlfn.RANK.AVG($J13,($J13,$O13,$T13,$Y13))-1)*2+1),0))</f>
        <v>66.7</v>
      </c>
      <c r="AA13" s="51">
        <f>IF($O13="","",ROUND(($O13-30000)/1000,1)+(2.5-_xlfn.RANK.AVG($O13,($J13,$O13,$T13,$Y13)))*20+IF(_xlfn.RANK.EQ($O13,($J13,$O13,$T13,$Y13))=1,20/((_xlfn.RANK.AVG($O13,($J13,$O13,$T13,$Y13))-1)*2+1),0))</f>
        <v>-16.8</v>
      </c>
      <c r="AB13" s="51">
        <f>IF($T13="","",ROUND(($T13-30000)/1000,1)+(2.5-_xlfn.RANK.AVG($T13,($J13,$O13,$T13,$Y13)))*20+IF(_xlfn.RANK.EQ($T13,($J13,$O13,$T13,$Y13))=1,20/((_xlfn.RANK.AVG($T13,($J13,$O13,$T13,$Y13))-1)*2+1),0))</f>
        <v>6.4</v>
      </c>
      <c r="AC13" s="52">
        <f>IF($Y13="","",ROUND(($Y13-30000)/1000,1)+(2.5-_xlfn.RANK.AVG($Y13,($J13,$O13,$T13,$Y13)))*20+IF(_xlfn.RANK.EQ($Y13,($J13,$O13,$T13,$Y13))=1,20/((_xlfn.RANK.AVG($Y13,($J13,$O13,$T13,$Y13))-1)*2+1),0))</f>
        <v>-56.3</v>
      </c>
      <c r="AE13" s="5"/>
      <c r="AF13" s="31"/>
      <c r="AG13" s="23"/>
      <c r="AH13" s="23">
        <v>1</v>
      </c>
      <c r="AI13" s="23">
        <v>3</v>
      </c>
      <c r="AJ13" s="27">
        <v>30</v>
      </c>
      <c r="AK13" s="37" t="s">
        <v>94</v>
      </c>
      <c r="AL13" s="38" t="s">
        <v>85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>南</v>
      </c>
      <c r="B14" s="15">
        <f t="shared" si="5"/>
        <v>3</v>
      </c>
      <c r="C14" s="15">
        <f t="shared" si="6"/>
        <v>0</v>
      </c>
      <c r="D14" s="15">
        <f t="shared" si="7"/>
        <v>0</v>
      </c>
      <c r="E14" s="63" t="str">
        <f>IF($P$1="","",$P$1)</f>
        <v>りくと</v>
      </c>
      <c r="F14" s="5" t="s">
        <v>184</v>
      </c>
      <c r="G14" s="6">
        <v>1500</v>
      </c>
      <c r="H14" s="6">
        <v>-1000</v>
      </c>
      <c r="I14" s="45"/>
      <c r="J14" s="18">
        <f t="shared" si="2"/>
        <v>47200</v>
      </c>
      <c r="K14" s="5" t="s">
        <v>184</v>
      </c>
      <c r="L14" s="6">
        <v>-1500</v>
      </c>
      <c r="M14" s="6"/>
      <c r="N14" s="45"/>
      <c r="O14" s="18">
        <f t="shared" si="8"/>
        <v>21700</v>
      </c>
      <c r="P14" s="5" t="s">
        <v>184</v>
      </c>
      <c r="Q14" s="6">
        <v>1500</v>
      </c>
      <c r="R14" s="6">
        <v>-1000</v>
      </c>
      <c r="S14" s="45"/>
      <c r="T14" s="18">
        <f t="shared" si="3"/>
        <v>26900</v>
      </c>
      <c r="U14" s="5" t="s">
        <v>184</v>
      </c>
      <c r="V14" s="6">
        <v>-1500</v>
      </c>
      <c r="W14" s="6"/>
      <c r="X14" s="45"/>
      <c r="Y14" s="18">
        <f>IF(COUNTA($F14,$K14,$P14,$U14)&gt;0,Y13+SUM(V14:X14),"")</f>
        <v>2200</v>
      </c>
      <c r="Z14" s="50">
        <f>IF($J14="","",ROUND(($J14-30000)/1000,1)+(2.5-_xlfn.RANK.AVG($J14,($J14,$O14,$T14,$Y14)))*20+IF(_xlfn.RANK.EQ($J14,($J14,$O14,$T14,$Y14))=1,20/((_xlfn.RANK.AVG($J14,($J14,$O14,$T14,$Y14))-1)*2+1),0))</f>
        <v>67.2</v>
      </c>
      <c r="AA14" s="51">
        <f>IF($O14="","",ROUND(($O14-30000)/1000,1)+(2.5-_xlfn.RANK.AVG($O14,($J14,$O14,$T14,$Y14)))*20+IF(_xlfn.RANK.EQ($O14,($J14,$O14,$T14,$Y14))=1,20/((_xlfn.RANK.AVG($O14,($J14,$O14,$T14,$Y14))-1)*2+1),0))</f>
        <v>-18.3</v>
      </c>
      <c r="AB14" s="51">
        <f>IF($T14="","",ROUND(($T14-30000)/1000,1)+(2.5-_xlfn.RANK.AVG($T14,($J14,$O14,$T14,$Y14)))*20+IF(_xlfn.RANK.EQ($T14,($J14,$O14,$T14,$Y14))=1,20/((_xlfn.RANK.AVG($T14,($J14,$O14,$T14,$Y14))-1)*2+1),0))</f>
        <v>6.9</v>
      </c>
      <c r="AC14" s="52">
        <f>IF($Y14="","",ROUND(($Y14-30000)/1000,1)+(2.5-_xlfn.RANK.AVG($Y14,($J14,$O14,$T14,$Y14)))*20+IF(_xlfn.RANK.EQ($Y14,($J14,$O14,$T14,$Y14))=1,20/((_xlfn.RANK.AVG($Y14,($J14,$O14,$T14,$Y14))-1)*2+1),0))</f>
        <v>-57.8</v>
      </c>
      <c r="AE14" s="5" t="s">
        <v>175</v>
      </c>
      <c r="AF14" s="31"/>
      <c r="AG14" s="23">
        <v>1</v>
      </c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 t="s">
        <v>176</v>
      </c>
      <c r="BA14" s="31"/>
      <c r="BB14" s="23"/>
      <c r="BC14" s="23">
        <v>1</v>
      </c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 t="s">
        <v>175</v>
      </c>
      <c r="BV14" s="31"/>
      <c r="BW14" s="23">
        <v>1</v>
      </c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 t="s">
        <v>176</v>
      </c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>南</v>
      </c>
      <c r="B15" s="15">
        <f t="shared" si="5"/>
        <v>3</v>
      </c>
      <c r="C15" s="15">
        <f t="shared" si="6"/>
        <v>1</v>
      </c>
      <c r="D15" s="15">
        <f t="shared" si="7"/>
        <v>2</v>
      </c>
      <c r="E15" s="63" t="str">
        <f>IF($P$1="","",$P$1)</f>
        <v>りくと</v>
      </c>
      <c r="F15" s="5" t="s">
        <v>169</v>
      </c>
      <c r="G15" s="6">
        <v>-6000</v>
      </c>
      <c r="H15" s="6"/>
      <c r="I15" s="45">
        <v>-100</v>
      </c>
      <c r="J15" s="18">
        <f t="shared" si="2"/>
        <v>41100</v>
      </c>
      <c r="K15" s="5" t="s">
        <v>169</v>
      </c>
      <c r="L15" s="6">
        <v>-6000</v>
      </c>
      <c r="M15" s="6"/>
      <c r="N15" s="45">
        <v>-100</v>
      </c>
      <c r="O15" s="18">
        <f t="shared" si="8"/>
        <v>15600</v>
      </c>
      <c r="P15" s="5" t="s">
        <v>170</v>
      </c>
      <c r="Q15" s="6">
        <v>18000</v>
      </c>
      <c r="R15" s="6">
        <v>2000</v>
      </c>
      <c r="S15" s="45">
        <v>300</v>
      </c>
      <c r="T15" s="18">
        <f t="shared" si="3"/>
        <v>47200</v>
      </c>
      <c r="U15" s="5" t="s">
        <v>169</v>
      </c>
      <c r="V15" s="6">
        <v>-6000</v>
      </c>
      <c r="W15" s="6"/>
      <c r="X15" s="45">
        <v>-100</v>
      </c>
      <c r="Y15" s="18">
        <f t="shared" si="4"/>
        <v>-3900</v>
      </c>
      <c r="Z15" s="50">
        <f>IF($J15="","",ROUND(($J15-30000)/1000,1)+(2.5-_xlfn.RANK.AVG($J15,($J15,$O15,$T15,$Y15)))*20+IF(_xlfn.RANK.EQ($J15,($J15,$O15,$T15,$Y15))=1,20/((_xlfn.RANK.AVG($J15,($J15,$O15,$T15,$Y15))-1)*2+1),0))</f>
        <v>21.1</v>
      </c>
      <c r="AA15" s="51">
        <f>IF($O15="","",ROUND(($O15-30000)/1000,1)+(2.5-_xlfn.RANK.AVG($O15,($J15,$O15,$T15,$Y15)))*20+IF(_xlfn.RANK.EQ($O15,($J15,$O15,$T15,$Y15))=1,20/((_xlfn.RANK.AVG($O15,($J15,$O15,$T15,$Y15))-1)*2+1),0))</f>
        <v>-24.4</v>
      </c>
      <c r="AB15" s="51">
        <f>IF($T15="","",ROUND(($T15-30000)/1000,1)+(2.5-_xlfn.RANK.AVG($T15,($J15,$O15,$T15,$Y15)))*20+IF(_xlfn.RANK.EQ($T15,($J15,$O15,$T15,$Y15))=1,20/((_xlfn.RANK.AVG($T15,($J15,$O15,$T15,$Y15))-1)*2+1),0))</f>
        <v>67.2</v>
      </c>
      <c r="AC15" s="52">
        <f>IF($Y15="","",ROUND(($Y15-30000)/1000,1)+(2.5-_xlfn.RANK.AVG($Y15,($J15,$O15,$T15,$Y15)))*20+IF(_xlfn.RANK.EQ($Y15,($J15,$O15,$T15,$Y15))=1,20/((_xlfn.RANK.AVG($Y15,($J15,$O15,$T15,$Y15))-1)*2+1),0))</f>
        <v>-63.9</v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>
        <v>1</v>
      </c>
      <c r="BX15" s="23"/>
      <c r="BY15" s="23">
        <v>6</v>
      </c>
      <c r="BZ15" s="27" t="s">
        <v>178</v>
      </c>
      <c r="CA15" s="37" t="s">
        <v>171</v>
      </c>
      <c r="CB15" s="38" t="s">
        <v>73</v>
      </c>
      <c r="CC15" s="38" t="s">
        <v>92</v>
      </c>
      <c r="CD15" s="38" t="s">
        <v>172</v>
      </c>
      <c r="CE15" s="38" t="s">
        <v>172</v>
      </c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>南</v>
      </c>
      <c r="B16" s="15">
        <f t="shared" si="5"/>
        <v>3</v>
      </c>
      <c r="C16" s="15">
        <f t="shared" si="6"/>
        <v>2</v>
      </c>
      <c r="D16" s="15">
        <f t="shared" si="7"/>
        <v>0</v>
      </c>
      <c r="E16" s="63" t="str">
        <f>IF($P$1="","",$P$1)</f>
        <v>りくと</v>
      </c>
      <c r="F16" s="5" t="s">
        <v>173</v>
      </c>
      <c r="G16" s="6">
        <v>-5800</v>
      </c>
      <c r="H16" s="6"/>
      <c r="I16" s="45">
        <v>-600</v>
      </c>
      <c r="J16" s="18">
        <f t="shared" si="2"/>
        <v>34700</v>
      </c>
      <c r="K16" s="5"/>
      <c r="L16" s="6"/>
      <c r="M16" s="6"/>
      <c r="N16" s="45"/>
      <c r="O16" s="18">
        <f t="shared" si="8"/>
        <v>15600</v>
      </c>
      <c r="P16" s="5" t="s">
        <v>174</v>
      </c>
      <c r="Q16" s="6">
        <v>5800</v>
      </c>
      <c r="R16" s="6"/>
      <c r="S16" s="45">
        <v>600</v>
      </c>
      <c r="T16" s="18">
        <f t="shared" si="3"/>
        <v>53600</v>
      </c>
      <c r="U16" s="5"/>
      <c r="V16" s="6"/>
      <c r="W16" s="6"/>
      <c r="X16" s="45"/>
      <c r="Y16" s="18">
        <f t="shared" si="4"/>
        <v>-3900</v>
      </c>
      <c r="Z16" s="50">
        <f>IF($J16="","",ROUND(($J16-30000)/1000,1)+(2.5-_xlfn.RANK.AVG($J16,($J16,$O16,$T16,$Y16)))*20+IF(_xlfn.RANK.EQ($J16,($J16,$O16,$T16,$Y16))=1,20/((_xlfn.RANK.AVG($J16,($J16,$O16,$T16,$Y16))-1)*2+1),0))</f>
        <v>14.7</v>
      </c>
      <c r="AA16" s="51">
        <f>IF($O16="","",ROUND(($O16-30000)/1000,1)+(2.5-_xlfn.RANK.AVG($O16,($J16,$O16,$T16,$Y16)))*20+IF(_xlfn.RANK.EQ($O16,($J16,$O16,$T16,$Y16))=1,20/((_xlfn.RANK.AVG($O16,($J16,$O16,$T16,$Y16))-1)*2+1),0))</f>
        <v>-24.4</v>
      </c>
      <c r="AB16" s="51">
        <f>IF($T16="","",ROUND(($T16-30000)/1000,1)+(2.5-_xlfn.RANK.AVG($T16,($J16,$O16,$T16,$Y16)))*20+IF(_xlfn.RANK.EQ($T16,($J16,$O16,$T16,$Y16))=1,20/((_xlfn.RANK.AVG($T16,($J16,$O16,$T16,$Y16))-1)*2+1),0))</f>
        <v>73.599999999999994</v>
      </c>
      <c r="AC16" s="52">
        <f>IF($Y16="","",ROUND(($Y16-30000)/1000,1)+(2.5-_xlfn.RANK.AVG($Y16,($J16,$O16,$T16,$Y16)))*20+IF(_xlfn.RANK.EQ($Y16,($J16,$O16,$T16,$Y16))=1,20/((_xlfn.RANK.AVG($Y16,($J16,$O16,$T16,$Y16))-1)*2+1),0))</f>
        <v>-63.9</v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>
        <v>1</v>
      </c>
      <c r="BX16" s="23"/>
      <c r="BY16" s="23">
        <v>3</v>
      </c>
      <c r="BZ16" s="27">
        <v>30</v>
      </c>
      <c r="CA16" s="37" t="s">
        <v>74</v>
      </c>
      <c r="CB16" s="38" t="s">
        <v>171</v>
      </c>
      <c r="CC16" s="38" t="s">
        <v>71</v>
      </c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>南</v>
      </c>
      <c r="B17" s="15">
        <f t="shared" si="5"/>
        <v>3</v>
      </c>
      <c r="C17" s="15">
        <f t="shared" si="6"/>
        <v>3</v>
      </c>
      <c r="D17" s="15">
        <f t="shared" si="7"/>
        <v>0</v>
      </c>
      <c r="E17" s="63" t="str">
        <f>IF($P$1="","",$P$1)</f>
        <v>りくと</v>
      </c>
      <c r="F17" s="5"/>
      <c r="G17" s="6"/>
      <c r="H17" s="6"/>
      <c r="I17" s="45"/>
      <c r="J17" s="18">
        <f t="shared" si="2"/>
        <v>34700</v>
      </c>
      <c r="K17" s="5" t="s">
        <v>174</v>
      </c>
      <c r="L17" s="6">
        <v>8000</v>
      </c>
      <c r="M17" s="6"/>
      <c r="N17" s="45">
        <v>900</v>
      </c>
      <c r="O17" s="18">
        <f t="shared" si="8"/>
        <v>24500</v>
      </c>
      <c r="P17" s="5" t="s">
        <v>173</v>
      </c>
      <c r="Q17" s="6">
        <v>-8000</v>
      </c>
      <c r="R17" s="6"/>
      <c r="S17" s="45">
        <v>-900</v>
      </c>
      <c r="T17" s="18">
        <f t="shared" si="3"/>
        <v>44700</v>
      </c>
      <c r="U17" s="5"/>
      <c r="V17" s="6"/>
      <c r="W17" s="6"/>
      <c r="X17" s="45"/>
      <c r="Y17" s="18">
        <f t="shared" si="4"/>
        <v>-3900</v>
      </c>
      <c r="Z17" s="50">
        <f>IF($J17="","",ROUND(($J17-30000)/1000,1)+(2.5-_xlfn.RANK.AVG($J17,($J17,$O17,$T17,$Y17)))*20+IF(_xlfn.RANK.EQ($J17,($J17,$O17,$T17,$Y17))=1,20/((_xlfn.RANK.AVG($J17,($J17,$O17,$T17,$Y17))-1)*2+1),0))</f>
        <v>14.7</v>
      </c>
      <c r="AA17" s="51">
        <f>IF($O17="","",ROUND(($O17-30000)/1000,1)+(2.5-_xlfn.RANK.AVG($O17,($J17,$O17,$T17,$Y17)))*20+IF(_xlfn.RANK.EQ($O17,($J17,$O17,$T17,$Y17))=1,20/((_xlfn.RANK.AVG($O17,($J17,$O17,$T17,$Y17))-1)*2+1),0))</f>
        <v>-15.5</v>
      </c>
      <c r="AB17" s="51">
        <f>IF($T17="","",ROUND(($T17-30000)/1000,1)+(2.5-_xlfn.RANK.AVG($T17,($J17,$O17,$T17,$Y17)))*20+IF(_xlfn.RANK.EQ($T17,($J17,$O17,$T17,$Y17))=1,20/((_xlfn.RANK.AVG($T17,($J17,$O17,$T17,$Y17))-1)*2+1),0))</f>
        <v>64.7</v>
      </c>
      <c r="AC17" s="52">
        <f>IF($Y17="","",ROUND(($Y17-30000)/1000,1)+(2.5-_xlfn.RANK.AVG($Y17,($J17,$O17,$T17,$Y17)))*20+IF(_xlfn.RANK.EQ($Y17,($J17,$O17,$T17,$Y17))=1,20/((_xlfn.RANK.AVG($Y17,($J17,$O17,$T17,$Y17))-1)*2+1),0))</f>
        <v>-63.9</v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>
        <v>1</v>
      </c>
      <c r="BC17" s="23"/>
      <c r="BD17" s="23">
        <v>4</v>
      </c>
      <c r="BE17" s="27">
        <v>30</v>
      </c>
      <c r="BF17" s="37" t="s">
        <v>171</v>
      </c>
      <c r="BG17" s="38" t="s">
        <v>179</v>
      </c>
      <c r="BH17" s="38" t="s">
        <v>74</v>
      </c>
      <c r="BI17" s="38" t="s">
        <v>70</v>
      </c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>
        <v>1</v>
      </c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>南</v>
      </c>
      <c r="B18" s="15">
        <f t="shared" si="5"/>
        <v>4</v>
      </c>
      <c r="C18" s="15">
        <f t="shared" si="6"/>
        <v>0</v>
      </c>
      <c r="D18" s="15">
        <f t="shared" si="7"/>
        <v>0</v>
      </c>
      <c r="E18" s="63" t="str">
        <f>IF($U$1="","",$U$1)</f>
        <v>だいち</v>
      </c>
      <c r="F18" s="5" t="s">
        <v>173</v>
      </c>
      <c r="G18" s="6">
        <v>-1300</v>
      </c>
      <c r="H18" s="6"/>
      <c r="I18" s="45">
        <v>0</v>
      </c>
      <c r="J18" s="18">
        <f t="shared" si="2"/>
        <v>33400</v>
      </c>
      <c r="K18" s="5" t="s">
        <v>174</v>
      </c>
      <c r="L18" s="6">
        <v>1300</v>
      </c>
      <c r="M18" s="6"/>
      <c r="N18" s="45">
        <v>0</v>
      </c>
      <c r="O18" s="18">
        <f t="shared" si="8"/>
        <v>25800</v>
      </c>
      <c r="P18" s="5"/>
      <c r="Q18" s="6"/>
      <c r="R18" s="6">
        <v>0</v>
      </c>
      <c r="S18" s="45"/>
      <c r="T18" s="18">
        <f t="shared" si="3"/>
        <v>44700</v>
      </c>
      <c r="U18" s="5"/>
      <c r="V18" s="6"/>
      <c r="W18" s="6"/>
      <c r="X18" s="45"/>
      <c r="Y18" s="18">
        <f t="shared" si="4"/>
        <v>-3900</v>
      </c>
      <c r="Z18" s="50">
        <f>IF($J18="","",ROUND(($J18-30000)/1000,1)+(2.5-_xlfn.RANK.AVG($J18,($J18,$O18,$T18,$Y18)))*20+IF(_xlfn.RANK.EQ($J18,($J18,$O18,$T18,$Y18))=1,20/((_xlfn.RANK.AVG($J18,($J18,$O18,$T18,$Y18))-1)*2+1),0))</f>
        <v>13.4</v>
      </c>
      <c r="AA18" s="51">
        <f>IF($O18="","",ROUND(($O18-30000)/1000,1)+(2.5-_xlfn.RANK.AVG($O18,($J18,$O18,$T18,$Y18)))*20+IF(_xlfn.RANK.EQ($O18,($J18,$O18,$T18,$Y18))=1,20/((_xlfn.RANK.AVG($O18,($J18,$O18,$T18,$Y18))-1)*2+1),0))</f>
        <v>-14.2</v>
      </c>
      <c r="AB18" s="51">
        <f>IF($T18="","",ROUND(($T18-30000)/1000,1)+(2.5-_xlfn.RANK.AVG($T18,($J18,$O18,$T18,$Y18)))*20+IF(_xlfn.RANK.EQ($T18,($J18,$O18,$T18,$Y18))=1,20/((_xlfn.RANK.AVG($T18,($J18,$O18,$T18,$Y18))-1)*2+1),0))</f>
        <v>64.7</v>
      </c>
      <c r="AC18" s="52">
        <f>IF($Y18="","",ROUND(($Y18-30000)/1000,1)+(2.5-_xlfn.RANK.AVG($Y18,($J18,$O18,$T18,$Y18)))*20+IF(_xlfn.RANK.EQ($Y18,($J18,$O18,$T18,$Y18))=1,20/((_xlfn.RANK.AVG($Y18,($J18,$O18,$T18,$Y18))-1)*2+1),0))</f>
        <v>-63.9</v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>
        <v>1</v>
      </c>
      <c r="BE18" s="27">
        <v>40</v>
      </c>
      <c r="BF18" s="37" t="s">
        <v>75</v>
      </c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>
        <v>1</v>
      </c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3" priority="1"/>
  </conditionalFormatting>
  <dataValidations count="3">
    <dataValidation type="list" allowBlank="1" showInputMessage="1" sqref="F1:Y1" xr:uid="{055765C8-11DC-4C0C-A5B6-18E05EC90511}">
      <formula1>"だいち,りくと,ただ,てんちゃん,"</formula1>
    </dataValidation>
    <dataValidation type="list" showInputMessage="1" showErrorMessage="1" sqref="K4:K30 P4:P30 F4:F30 U4:U30" xr:uid="{DE10783E-6AF7-4C96-A48D-8C03C9F963E0}">
      <formula1>"ロン,ツモ,放銃,ツモ支払,流局,チョンボ"</formula1>
    </dataValidation>
    <dataValidation type="list" allowBlank="1" showInputMessage="1" showErrorMessage="1" sqref="E4:E30" xr:uid="{C94FFB7F-72CF-49B8-B49B-B7258A03F8C4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B1CB7-C002-48DA-961A-E514839B2C8A}">
  <sheetPr codeName="Sheet1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163</v>
      </c>
      <c r="G1" s="74"/>
      <c r="H1" s="74"/>
      <c r="I1" s="77"/>
      <c r="J1" s="75"/>
      <c r="K1" s="72" t="s">
        <v>165</v>
      </c>
      <c r="L1" s="74"/>
      <c r="M1" s="74"/>
      <c r="N1" s="77"/>
      <c r="O1" s="75"/>
      <c r="P1" s="72" t="s">
        <v>161</v>
      </c>
      <c r="Q1" s="74"/>
      <c r="R1" s="74"/>
      <c r="S1" s="77"/>
      <c r="T1" s="75"/>
      <c r="U1" s="72" t="s">
        <v>167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りくと</v>
      </c>
      <c r="AF1" s="73" t="str">
        <f t="shared" ref="AF1:AY1" si="0">$F$1</f>
        <v>りくと</v>
      </c>
      <c r="AG1" s="74" t="str">
        <f t="shared" si="0"/>
        <v>りくと</v>
      </c>
      <c r="AH1" s="74" t="str">
        <f t="shared" si="0"/>
        <v>りくと</v>
      </c>
      <c r="AI1" s="74" t="str">
        <f t="shared" si="0"/>
        <v>りくと</v>
      </c>
      <c r="AJ1" s="74" t="str">
        <f t="shared" si="0"/>
        <v>りくと</v>
      </c>
      <c r="AK1" s="74" t="str">
        <f t="shared" si="0"/>
        <v>りくと</v>
      </c>
      <c r="AL1" s="74" t="str">
        <f t="shared" si="0"/>
        <v>りくと</v>
      </c>
      <c r="AM1" s="74" t="str">
        <f t="shared" si="0"/>
        <v>りくと</v>
      </c>
      <c r="AN1" s="74" t="str">
        <f t="shared" si="0"/>
        <v>りくと</v>
      </c>
      <c r="AO1" s="74" t="str">
        <f t="shared" si="0"/>
        <v>りくと</v>
      </c>
      <c r="AP1" s="74" t="str">
        <f t="shared" si="0"/>
        <v>りくと</v>
      </c>
      <c r="AQ1" s="74" t="str">
        <f t="shared" si="0"/>
        <v>りくと</v>
      </c>
      <c r="AR1" s="74" t="str">
        <f t="shared" si="0"/>
        <v>りくと</v>
      </c>
      <c r="AS1" s="74" t="str">
        <f t="shared" si="0"/>
        <v>りくと</v>
      </c>
      <c r="AT1" s="74" t="str">
        <f t="shared" si="0"/>
        <v>りくと</v>
      </c>
      <c r="AU1" s="74" t="str">
        <f t="shared" si="0"/>
        <v>りくと</v>
      </c>
      <c r="AV1" s="74" t="str">
        <f t="shared" si="0"/>
        <v>りくと</v>
      </c>
      <c r="AW1" s="74" t="str">
        <f t="shared" si="0"/>
        <v>りくと</v>
      </c>
      <c r="AX1" s="74" t="str">
        <f t="shared" si="0"/>
        <v>りくと</v>
      </c>
      <c r="AY1" s="75" t="str">
        <f t="shared" si="0"/>
        <v>りくと</v>
      </c>
      <c r="AZ1" s="72" t="str">
        <f>IF($K$1="","",$K$1)</f>
        <v>てんちゃん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だいち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ただ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りくと</v>
      </c>
      <c r="AA2" s="69" t="str">
        <f>IF($K$1="","",$K$1)</f>
        <v>てんちゃん</v>
      </c>
      <c r="AB2" s="69" t="str">
        <f>IF($P$1="","",$P$1)</f>
        <v>だいち</v>
      </c>
      <c r="AC2" s="70" t="str">
        <f>IF($U$1="","",$U$1)</f>
        <v>ただ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りくと</v>
      </c>
      <c r="F4" s="5" t="s">
        <v>169</v>
      </c>
      <c r="G4" s="6">
        <v>-500</v>
      </c>
      <c r="H4" s="6"/>
      <c r="I4" s="45">
        <v>0</v>
      </c>
      <c r="J4" s="18">
        <f>IF(COUNTA($F4,$K4,$P4,$U4)&gt;0,J3+SUM(G4:I4),"")</f>
        <v>24500</v>
      </c>
      <c r="K4" s="5" t="s">
        <v>169</v>
      </c>
      <c r="L4" s="6">
        <v>-300</v>
      </c>
      <c r="M4" s="6"/>
      <c r="N4" s="45">
        <v>0</v>
      </c>
      <c r="O4" s="18">
        <f>IF(COUNTA($F4,$K4,$P4,$U4)&gt;0,O3+SUM(L4:N4),"")</f>
        <v>24700</v>
      </c>
      <c r="P4" s="5" t="s">
        <v>170</v>
      </c>
      <c r="Q4" s="6">
        <v>1100</v>
      </c>
      <c r="R4" s="6"/>
      <c r="S4" s="45">
        <v>0</v>
      </c>
      <c r="T4" s="18">
        <f>IF(COUNTA($F4,$K4,$P4,$U4)&gt;0,T3+SUM(Q4:S4),"")</f>
        <v>26100</v>
      </c>
      <c r="U4" s="5" t="s">
        <v>169</v>
      </c>
      <c r="V4" s="6">
        <v>-300</v>
      </c>
      <c r="W4" s="6"/>
      <c r="X4" s="45">
        <v>0</v>
      </c>
      <c r="Y4" s="18">
        <f>IF(COUNTA($F4,$K4,$P4,$U4)&gt;0,Y3+SUM(V4:X4),"")</f>
        <v>24700</v>
      </c>
      <c r="Z4" s="50">
        <f>IF($J4="","",ROUND(($J4-30000)/1000,1)+(2.5-_xlfn.RANK.AVG($J4,($J4,$O4,$T4,$Y4)))*20+IF(_xlfn.RANK.EQ($J4,($J4,$O4,$T4,$Y4))=1,20/((_xlfn.RANK.AVG($J4,($J4,$O4,$T4,$Y4))-1)*2+1),0))</f>
        <v>-35.5</v>
      </c>
      <c r="AA4" s="51">
        <f>IF($O4="","",ROUND(($O4-30000)/1000,1)+(2.5-_xlfn.RANK.AVG($O4,($J4,$O4,$T4,$Y4)))*20+IF(_xlfn.RANK.EQ($O4,($J4,$O4,$T4,$Y4))=1,20/((_xlfn.RANK.AVG($O4,($J4,$O4,$T4,$Y4))-1)*2+1),0))</f>
        <v>-5.3</v>
      </c>
      <c r="AB4" s="51">
        <f>IF($T4="","",ROUND(($T4-30000)/1000,1)+(2.5-_xlfn.RANK.AVG($T4,($J4,$O4,$T4,$Y4)))*20+IF(_xlfn.RANK.EQ($T4,($J4,$O4,$T4,$Y4))=1,20/((_xlfn.RANK.AVG($T4,($J4,$O4,$T4,$Y4))-1)*2+1),0))</f>
        <v>46.1</v>
      </c>
      <c r="AC4" s="52">
        <f>IF($Y4="","",ROUND(($Y4-30000)/1000,1)+(2.5-_xlfn.RANK.AVG($Y4,($J4,$O4,$T4,$Y4)))*20+IF(_xlfn.RANK.EQ($Y4,($J4,$O4,$T4,$Y4))=1,20/((_xlfn.RANK.AVG($Y4,($J4,$O4,$T4,$Y4))-1)*2+1),0))</f>
        <v>-5.3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>
        <v>1</v>
      </c>
      <c r="BZ4" s="27">
        <v>30</v>
      </c>
      <c r="CA4" s="37" t="s">
        <v>73</v>
      </c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てんちゃん</v>
      </c>
      <c r="F5" s="5"/>
      <c r="G5" s="6"/>
      <c r="H5" s="6"/>
      <c r="I5" s="45"/>
      <c r="J5" s="18">
        <f t="shared" ref="J5:J30" si="2">IF(COUNTA($F5,$K5,$P5,$U5)&gt;0,J4+SUM(G5:I5),"")</f>
        <v>24500</v>
      </c>
      <c r="K5" s="5"/>
      <c r="L5" s="6"/>
      <c r="M5" s="6"/>
      <c r="N5" s="45"/>
      <c r="O5" s="18">
        <f>IF(COUNTA($F5,$K5,$P5,$U5)&gt;0,O4+SUM(L5:N5),"")</f>
        <v>24700</v>
      </c>
      <c r="P5" s="5" t="s">
        <v>174</v>
      </c>
      <c r="Q5" s="6">
        <v>2000</v>
      </c>
      <c r="R5" s="6"/>
      <c r="S5" s="45">
        <v>0</v>
      </c>
      <c r="T5" s="18">
        <f t="shared" ref="T5:T30" si="3">IF(COUNTA($F5,$K5,$P5,$U5)&gt;0,T4+SUM(Q5:S5),"")</f>
        <v>28100</v>
      </c>
      <c r="U5" s="5" t="s">
        <v>173</v>
      </c>
      <c r="V5" s="6">
        <v>-2000</v>
      </c>
      <c r="W5" s="6"/>
      <c r="X5" s="45">
        <v>0</v>
      </c>
      <c r="Y5" s="18">
        <f t="shared" ref="Y5:Y30" si="4">IF(COUNTA($F5,$K5,$P5,$U5)&gt;0,Y4+SUM(V5:X5),"")</f>
        <v>22700</v>
      </c>
      <c r="Z5" s="50">
        <f>IF($J5="","",ROUND(($J5-30000)/1000,1)+(2.5-_xlfn.RANK.AVG($J5,($J5,$O5,$T5,$Y5)))*20+IF(_xlfn.RANK.EQ($J5,($J5,$O5,$T5,$Y5))=1,20/((_xlfn.RANK.AVG($J5,($J5,$O5,$T5,$Y5))-1)*2+1),0))</f>
        <v>-15.5</v>
      </c>
      <c r="AA5" s="51">
        <f>IF($O5="","",ROUND(($O5-30000)/1000,1)+(2.5-_xlfn.RANK.AVG($O5,($J5,$O5,$T5,$Y5)))*20+IF(_xlfn.RANK.EQ($O5,($J5,$O5,$T5,$Y5))=1,20/((_xlfn.RANK.AVG($O5,($J5,$O5,$T5,$Y5))-1)*2+1),0))</f>
        <v>4.7</v>
      </c>
      <c r="AB5" s="51">
        <f>IF($T5="","",ROUND(($T5-30000)/1000,1)+(2.5-_xlfn.RANK.AVG($T5,($J5,$O5,$T5,$Y5)))*20+IF(_xlfn.RANK.EQ($T5,($J5,$O5,$T5,$Y5))=1,20/((_xlfn.RANK.AVG($T5,($J5,$O5,$T5,$Y5))-1)*2+1),0))</f>
        <v>48.1</v>
      </c>
      <c r="AC5" s="52">
        <f>IF($Y5="","",ROUND(($Y5-30000)/1000,1)+(2.5-_xlfn.RANK.AVG($Y5,($J5,$O5,$T5,$Y5)))*20+IF(_xlfn.RANK.EQ($Y5,($J5,$O5,$T5,$Y5))=1,20/((_xlfn.RANK.AVG($Y5,($J5,$O5,$T5,$Y5))-1)*2+1),0))</f>
        <v>-37.299999999999997</v>
      </c>
      <c r="AE5" s="5"/>
      <c r="AF5" s="31"/>
      <c r="AG5" s="23"/>
      <c r="AH5" s="23">
        <v>1</v>
      </c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>
        <v>1</v>
      </c>
      <c r="BY5" s="23">
        <v>2</v>
      </c>
      <c r="BZ5" s="27">
        <v>30</v>
      </c>
      <c r="CA5" s="37" t="s">
        <v>77</v>
      </c>
      <c r="CB5" s="38" t="s">
        <v>172</v>
      </c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だいち</v>
      </c>
      <c r="F6" s="5" t="s">
        <v>173</v>
      </c>
      <c r="G6" s="6">
        <v>-3900</v>
      </c>
      <c r="H6" s="6"/>
      <c r="I6" s="45">
        <v>0</v>
      </c>
      <c r="J6" s="18">
        <f t="shared" si="2"/>
        <v>20600</v>
      </c>
      <c r="K6" s="5"/>
      <c r="L6" s="6"/>
      <c r="M6" s="6"/>
      <c r="N6" s="45"/>
      <c r="O6" s="18">
        <f t="shared" ref="O6:O30" si="8">IF(COUNTA($F6,$K6,$P6,$U6)&gt;0,O5+SUM(L6:N6),"")</f>
        <v>24700</v>
      </c>
      <c r="P6" s="5"/>
      <c r="Q6" s="6"/>
      <c r="R6" s="6"/>
      <c r="S6" s="45"/>
      <c r="T6" s="18">
        <f t="shared" si="3"/>
        <v>28100</v>
      </c>
      <c r="U6" s="5" t="s">
        <v>174</v>
      </c>
      <c r="V6" s="6">
        <v>3900</v>
      </c>
      <c r="W6" s="6"/>
      <c r="X6" s="45">
        <v>0</v>
      </c>
      <c r="Y6" s="18">
        <f t="shared" si="4"/>
        <v>26600</v>
      </c>
      <c r="Z6" s="50">
        <f>IF($J6="","",ROUND(($J6-30000)/1000,1)+(2.5-_xlfn.RANK.AVG($J6,($J6,$O6,$T6,$Y6)))*20+IF(_xlfn.RANK.EQ($J6,($J6,$O6,$T6,$Y6))=1,20/((_xlfn.RANK.AVG($J6,($J6,$O6,$T6,$Y6))-1)*2+1),0))</f>
        <v>-39.4</v>
      </c>
      <c r="AA6" s="51">
        <f>IF($O6="","",ROUND(($O6-30000)/1000,1)+(2.5-_xlfn.RANK.AVG($O6,($J6,$O6,$T6,$Y6)))*20+IF(_xlfn.RANK.EQ($O6,($J6,$O6,$T6,$Y6))=1,20/((_xlfn.RANK.AVG($O6,($J6,$O6,$T6,$Y6))-1)*2+1),0))</f>
        <v>-15.3</v>
      </c>
      <c r="AB6" s="51">
        <f>IF($T6="","",ROUND(($T6-30000)/1000,1)+(2.5-_xlfn.RANK.AVG($T6,($J6,$O6,$T6,$Y6)))*20+IF(_xlfn.RANK.EQ($T6,($J6,$O6,$T6,$Y6))=1,20/((_xlfn.RANK.AVG($T6,($J6,$O6,$T6,$Y6))-1)*2+1),0))</f>
        <v>48.1</v>
      </c>
      <c r="AC6" s="52">
        <f>IF($Y6="","",ROUND(($Y6-30000)/1000,1)+(2.5-_xlfn.RANK.AVG($Y6,($J6,$O6,$T6,$Y6)))*20+IF(_xlfn.RANK.EQ($Y6,($J6,$O6,$T6,$Y6))=1,20/((_xlfn.RANK.AVG($Y6,($J6,$O6,$T6,$Y6))-1)*2+1),0))</f>
        <v>6.6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3</v>
      </c>
      <c r="CU6" s="27">
        <v>30</v>
      </c>
      <c r="CV6" s="37" t="s">
        <v>171</v>
      </c>
      <c r="CW6" s="38" t="s">
        <v>179</v>
      </c>
      <c r="CX6" s="38" t="s">
        <v>74</v>
      </c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ただ</v>
      </c>
      <c r="F7" s="5" t="s">
        <v>169</v>
      </c>
      <c r="G7" s="6">
        <v>-4000</v>
      </c>
      <c r="H7" s="6"/>
      <c r="I7" s="45">
        <v>0</v>
      </c>
      <c r="J7" s="18">
        <f t="shared" si="2"/>
        <v>16600</v>
      </c>
      <c r="K7" s="5" t="s">
        <v>169</v>
      </c>
      <c r="L7" s="6">
        <v>-4000</v>
      </c>
      <c r="M7" s="6"/>
      <c r="N7" s="45">
        <v>0</v>
      </c>
      <c r="O7" s="18">
        <f t="shared" si="8"/>
        <v>20700</v>
      </c>
      <c r="P7" s="5" t="s">
        <v>169</v>
      </c>
      <c r="Q7" s="6">
        <v>-4000</v>
      </c>
      <c r="R7" s="6"/>
      <c r="S7" s="45">
        <v>0</v>
      </c>
      <c r="T7" s="18">
        <f t="shared" si="3"/>
        <v>24100</v>
      </c>
      <c r="U7" s="5" t="s">
        <v>170</v>
      </c>
      <c r="V7" s="6">
        <v>12000</v>
      </c>
      <c r="W7" s="6"/>
      <c r="X7" s="45">
        <v>0</v>
      </c>
      <c r="Y7" s="18">
        <f t="shared" si="4"/>
        <v>38600</v>
      </c>
      <c r="Z7" s="50">
        <f>IF($J7="","",ROUND(($J7-30000)/1000,1)+(2.5-_xlfn.RANK.AVG($J7,($J7,$O7,$T7,$Y7)))*20+IF(_xlfn.RANK.EQ($J7,($J7,$O7,$T7,$Y7))=1,20/((_xlfn.RANK.AVG($J7,($J7,$O7,$T7,$Y7))-1)*2+1),0))</f>
        <v>-43.4</v>
      </c>
      <c r="AA7" s="51">
        <f>IF($O7="","",ROUND(($O7-30000)/1000,1)+(2.5-_xlfn.RANK.AVG($O7,($J7,$O7,$T7,$Y7)))*20+IF(_xlfn.RANK.EQ($O7,($J7,$O7,$T7,$Y7))=1,20/((_xlfn.RANK.AVG($O7,($J7,$O7,$T7,$Y7))-1)*2+1),0))</f>
        <v>-19.3</v>
      </c>
      <c r="AB7" s="51">
        <f>IF($T7="","",ROUND(($T7-30000)/1000,1)+(2.5-_xlfn.RANK.AVG($T7,($J7,$O7,$T7,$Y7)))*20+IF(_xlfn.RANK.EQ($T7,($J7,$O7,$T7,$Y7))=1,20/((_xlfn.RANK.AVG($T7,($J7,$O7,$T7,$Y7))-1)*2+1),0))</f>
        <v>4.0999999999999996</v>
      </c>
      <c r="AC7" s="52">
        <f>IF($Y7="","",ROUND(($Y7-30000)/1000,1)+(2.5-_xlfn.RANK.AVG($Y7,($J7,$O7,$T7,$Y7)))*20+IF(_xlfn.RANK.EQ($Y7,($J7,$O7,$T7,$Y7))=1,20/((_xlfn.RANK.AVG($Y7,($J7,$O7,$T7,$Y7))-1)*2+1),0))</f>
        <v>58.6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>
        <v>1</v>
      </c>
      <c r="CS7" s="23"/>
      <c r="CT7" s="23">
        <v>4</v>
      </c>
      <c r="CU7" s="27">
        <v>30</v>
      </c>
      <c r="CV7" s="37" t="s">
        <v>171</v>
      </c>
      <c r="CW7" s="38" t="s">
        <v>73</v>
      </c>
      <c r="CX7" s="38" t="s">
        <v>83</v>
      </c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IF($U$1="","",$U$1)</f>
        <v>ただ</v>
      </c>
      <c r="F8" s="5" t="s">
        <v>185</v>
      </c>
      <c r="G8" s="6"/>
      <c r="H8" s="6"/>
      <c r="I8" s="45"/>
      <c r="J8" s="18">
        <f t="shared" si="2"/>
        <v>16600</v>
      </c>
      <c r="K8" s="5" t="s">
        <v>185</v>
      </c>
      <c r="L8" s="6"/>
      <c r="M8" s="6"/>
      <c r="N8" s="45"/>
      <c r="O8" s="18">
        <f t="shared" si="8"/>
        <v>20700</v>
      </c>
      <c r="P8" s="5" t="s">
        <v>185</v>
      </c>
      <c r="Q8" s="6"/>
      <c r="R8" s="6"/>
      <c r="S8" s="45"/>
      <c r="T8" s="18">
        <f t="shared" si="3"/>
        <v>24100</v>
      </c>
      <c r="U8" s="5" t="s">
        <v>185</v>
      </c>
      <c r="V8" s="6">
        <v>-10000</v>
      </c>
      <c r="W8" s="6"/>
      <c r="X8" s="45"/>
      <c r="Y8" s="18">
        <f t="shared" si="4"/>
        <v>28600</v>
      </c>
      <c r="Z8" s="50">
        <f>IF($J8="","",ROUND(($J8-30000)/1000,1)+(2.5-_xlfn.RANK.AVG($J8,($J8,$O8,$T8,$Y8)))*20+IF(_xlfn.RANK.EQ($J8,($J8,$O8,$T8,$Y8))=1,20/((_xlfn.RANK.AVG($J8,($J8,$O8,$T8,$Y8))-1)*2+1),0))</f>
        <v>-43.4</v>
      </c>
      <c r="AA8" s="51">
        <f>IF($O8="","",ROUND(($O8-30000)/1000,1)+(2.5-_xlfn.RANK.AVG($O8,($J8,$O8,$T8,$Y8)))*20+IF(_xlfn.RANK.EQ($O8,($J8,$O8,$T8,$Y8))=1,20/((_xlfn.RANK.AVG($O8,($J8,$O8,$T8,$Y8))-1)*2+1),0))</f>
        <v>-19.3</v>
      </c>
      <c r="AB8" s="51">
        <f>IF($T8="","",ROUND(($T8-30000)/1000,1)+(2.5-_xlfn.RANK.AVG($T8,($J8,$O8,$T8,$Y8)))*20+IF(_xlfn.RANK.EQ($T8,($J8,$O8,$T8,$Y8))=1,20/((_xlfn.RANK.AVG($T8,($J8,$O8,$T8,$Y8))-1)*2+1),0))</f>
        <v>4.0999999999999996</v>
      </c>
      <c r="AC8" s="52">
        <f>IF($Y8="","",ROUND(($Y8-30000)/1000,1)+(2.5-_xlfn.RANK.AVG($Y8,($J8,$O8,$T8,$Y8)))*20+IF(_xlfn.RANK.EQ($Y8,($J8,$O8,$T8,$Y8))=1,20/((_xlfn.RANK.AVG($Y8,($J8,$O8,$T8,$Y8))-1)*2+1),0))</f>
        <v>48.6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>
        <v>1</v>
      </c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63" t="str">
        <f>IF($U$1="","",$U$1)</f>
        <v>ただ</v>
      </c>
      <c r="F9" s="5"/>
      <c r="G9" s="6"/>
      <c r="H9" s="6"/>
      <c r="I9" s="45"/>
      <c r="J9" s="18">
        <f t="shared" si="2"/>
        <v>16600</v>
      </c>
      <c r="K9" s="5" t="s">
        <v>173</v>
      </c>
      <c r="L9" s="6">
        <v>-8000</v>
      </c>
      <c r="M9" s="6"/>
      <c r="N9" s="45">
        <v>-300</v>
      </c>
      <c r="O9" s="18">
        <f t="shared" si="8"/>
        <v>12400</v>
      </c>
      <c r="P9" s="5" t="s">
        <v>174</v>
      </c>
      <c r="Q9" s="6">
        <v>8000</v>
      </c>
      <c r="R9" s="6"/>
      <c r="S9" s="45">
        <v>300</v>
      </c>
      <c r="T9" s="18">
        <f t="shared" si="3"/>
        <v>32400</v>
      </c>
      <c r="U9" s="5"/>
      <c r="V9" s="6"/>
      <c r="W9" s="6"/>
      <c r="X9" s="45"/>
      <c r="Y9" s="18">
        <f t="shared" si="4"/>
        <v>28600</v>
      </c>
      <c r="Z9" s="50">
        <f>IF($J9="","",ROUND(($J9-30000)/1000,1)+(2.5-_xlfn.RANK.AVG($J9,($J9,$O9,$T9,$Y9)))*20+IF(_xlfn.RANK.EQ($J9,($J9,$O9,$T9,$Y9))=1,20/((_xlfn.RANK.AVG($J9,($J9,$O9,$T9,$Y9))-1)*2+1),0))</f>
        <v>-23.4</v>
      </c>
      <c r="AA9" s="51">
        <f>IF($O9="","",ROUND(($O9-30000)/1000,1)+(2.5-_xlfn.RANK.AVG($O9,($J9,$O9,$T9,$Y9)))*20+IF(_xlfn.RANK.EQ($O9,($J9,$O9,$T9,$Y9))=1,20/((_xlfn.RANK.AVG($O9,($J9,$O9,$T9,$Y9))-1)*2+1),0))</f>
        <v>-47.6</v>
      </c>
      <c r="AB9" s="51">
        <f>IF($T9="","",ROUND(($T9-30000)/1000,1)+(2.5-_xlfn.RANK.AVG($T9,($J9,$O9,$T9,$Y9)))*20+IF(_xlfn.RANK.EQ($T9,($J9,$O9,$T9,$Y9))=1,20/((_xlfn.RANK.AVG($T9,($J9,$O9,$T9,$Y9))-1)*2+1),0))</f>
        <v>52.4</v>
      </c>
      <c r="AC9" s="52">
        <f>IF($Y9="","",ROUND(($Y9-30000)/1000,1)+(2.5-_xlfn.RANK.AVG($Y9,($J9,$O9,$T9,$Y9)))*20+IF(_xlfn.RANK.EQ($Y9,($J9,$O9,$T9,$Y9))=1,20/((_xlfn.RANK.AVG($Y9,($J9,$O9,$T9,$Y9))-1)*2+1),0))</f>
        <v>8.6</v>
      </c>
      <c r="AE9" s="5"/>
      <c r="AF9" s="31"/>
      <c r="AG9" s="23"/>
      <c r="AH9" s="23">
        <v>1</v>
      </c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>
        <v>1</v>
      </c>
      <c r="BY9" s="23">
        <v>3</v>
      </c>
      <c r="BZ9" s="27">
        <v>60</v>
      </c>
      <c r="CA9" s="37" t="s">
        <v>77</v>
      </c>
      <c r="CB9" s="38" t="s">
        <v>95</v>
      </c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tr">
        <f>IF($F$1="","",$F$1)</f>
        <v>りくと</v>
      </c>
      <c r="F10" s="5" t="s">
        <v>169</v>
      </c>
      <c r="G10" s="6">
        <v>-4000</v>
      </c>
      <c r="H10" s="6"/>
      <c r="I10" s="45">
        <v>0</v>
      </c>
      <c r="J10" s="18">
        <f t="shared" si="2"/>
        <v>12600</v>
      </c>
      <c r="K10" s="5" t="s">
        <v>169</v>
      </c>
      <c r="L10" s="6">
        <v>-2000</v>
      </c>
      <c r="M10" s="6"/>
      <c r="N10" s="45">
        <v>0</v>
      </c>
      <c r="O10" s="18">
        <f t="shared" si="8"/>
        <v>10400</v>
      </c>
      <c r="P10" s="5" t="s">
        <v>170</v>
      </c>
      <c r="Q10" s="6">
        <v>8000</v>
      </c>
      <c r="R10" s="6"/>
      <c r="S10" s="45">
        <v>0</v>
      </c>
      <c r="T10" s="18">
        <f t="shared" si="3"/>
        <v>40400</v>
      </c>
      <c r="U10" s="5" t="s">
        <v>169</v>
      </c>
      <c r="V10" s="6">
        <v>-2000</v>
      </c>
      <c r="W10" s="6"/>
      <c r="X10" s="45">
        <v>0</v>
      </c>
      <c r="Y10" s="18">
        <f t="shared" si="4"/>
        <v>26600</v>
      </c>
      <c r="Z10" s="50">
        <f>IF($J10="","",ROUND(($J10-30000)/1000,1)+(2.5-_xlfn.RANK.AVG($J10,($J10,$O10,$T10,$Y10)))*20+IF(_xlfn.RANK.EQ($J10,($J10,$O10,$T10,$Y10))=1,20/((_xlfn.RANK.AVG($J10,($J10,$O10,$T10,$Y10))-1)*2+1),0))</f>
        <v>-27.4</v>
      </c>
      <c r="AA10" s="51">
        <f>IF($O10="","",ROUND(($O10-30000)/1000,1)+(2.5-_xlfn.RANK.AVG($O10,($J10,$O10,$T10,$Y10)))*20+IF(_xlfn.RANK.EQ($O10,($J10,$O10,$T10,$Y10))=1,20/((_xlfn.RANK.AVG($O10,($J10,$O10,$T10,$Y10))-1)*2+1),0))</f>
        <v>-49.6</v>
      </c>
      <c r="AB10" s="51">
        <f>IF($T10="","",ROUND(($T10-30000)/1000,1)+(2.5-_xlfn.RANK.AVG($T10,($J10,$O10,$T10,$Y10)))*20+IF(_xlfn.RANK.EQ($T10,($J10,$O10,$T10,$Y10))=1,20/((_xlfn.RANK.AVG($T10,($J10,$O10,$T10,$Y10))-1)*2+1),0))</f>
        <v>60.4</v>
      </c>
      <c r="AC10" s="52">
        <f>IF($Y10="","",ROUND(($Y10-30000)/1000,1)+(2.5-_xlfn.RANK.AVG($Y10,($J10,$O10,$T10,$Y10)))*20+IF(_xlfn.RANK.EQ($Y10,($J10,$O10,$T10,$Y10))=1,20/((_xlfn.RANK.AVG($Y10,($J10,$O10,$T10,$Y10))-1)*2+1),0))</f>
        <v>6.6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4</v>
      </c>
      <c r="BZ10" s="27">
        <v>30</v>
      </c>
      <c r="CA10" s="37" t="s">
        <v>171</v>
      </c>
      <c r="CB10" s="38" t="s">
        <v>73</v>
      </c>
      <c r="CC10" s="38" t="s">
        <v>70</v>
      </c>
      <c r="CD10" s="38" t="s">
        <v>70</v>
      </c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tr">
        <f>IF($K$1="","",$K$1)</f>
        <v>てんちゃん</v>
      </c>
      <c r="F11" s="5" t="s">
        <v>184</v>
      </c>
      <c r="G11" s="6">
        <v>-1500</v>
      </c>
      <c r="H11" s="6"/>
      <c r="I11" s="45"/>
      <c r="J11" s="18">
        <f t="shared" si="2"/>
        <v>11100</v>
      </c>
      <c r="K11" s="5" t="s">
        <v>184</v>
      </c>
      <c r="L11" s="6">
        <v>-1500</v>
      </c>
      <c r="M11" s="6"/>
      <c r="N11" s="45"/>
      <c r="O11" s="18">
        <f t="shared" si="8"/>
        <v>8900</v>
      </c>
      <c r="P11" s="5" t="s">
        <v>184</v>
      </c>
      <c r="Q11" s="6">
        <v>1500</v>
      </c>
      <c r="R11" s="6">
        <v>-1000</v>
      </c>
      <c r="S11" s="45"/>
      <c r="T11" s="18">
        <f t="shared" si="3"/>
        <v>40900</v>
      </c>
      <c r="U11" s="5" t="s">
        <v>184</v>
      </c>
      <c r="V11" s="6">
        <v>1500</v>
      </c>
      <c r="W11" s="6">
        <v>-1000</v>
      </c>
      <c r="X11" s="45"/>
      <c r="Y11" s="18">
        <f t="shared" si="4"/>
        <v>27100</v>
      </c>
      <c r="Z11" s="50">
        <f>IF($J11="","",ROUND(($J11-30000)/1000,1)+(2.5-_xlfn.RANK.AVG($J11,($J11,$O11,$T11,$Y11)))*20+IF(_xlfn.RANK.EQ($J11,($J11,$O11,$T11,$Y11))=1,20/((_xlfn.RANK.AVG($J11,($J11,$O11,$T11,$Y11))-1)*2+1),0))</f>
        <v>-28.9</v>
      </c>
      <c r="AA11" s="51">
        <f>IF($O11="","",ROUND(($O11-30000)/1000,1)+(2.5-_xlfn.RANK.AVG($O11,($J11,$O11,$T11,$Y11)))*20+IF(_xlfn.RANK.EQ($O11,($J11,$O11,$T11,$Y11))=1,20/((_xlfn.RANK.AVG($O11,($J11,$O11,$T11,$Y11))-1)*2+1),0))</f>
        <v>-51.1</v>
      </c>
      <c r="AB11" s="51">
        <f>IF($T11="","",ROUND(($T11-30000)/1000,1)+(2.5-_xlfn.RANK.AVG($T11,($J11,$O11,$T11,$Y11)))*20+IF(_xlfn.RANK.EQ($T11,($J11,$O11,$T11,$Y11))=1,20/((_xlfn.RANK.AVG($T11,($J11,$O11,$T11,$Y11))-1)*2+1),0))</f>
        <v>60.9</v>
      </c>
      <c r="AC11" s="52">
        <f>IF($Y11="","",ROUND(($Y11-30000)/1000,1)+(2.5-_xlfn.RANK.AVG($Y11,($J11,$O11,$T11,$Y11)))*20+IF(_xlfn.RANK.EQ($Y11,($J11,$O11,$T11,$Y11))=1,20/((_xlfn.RANK.AVG($Y11,($J11,$O11,$T11,$Y11))-1)*2+1),0))</f>
        <v>7.1</v>
      </c>
      <c r="AE11" s="5" t="s">
        <v>176</v>
      </c>
      <c r="AF11" s="31"/>
      <c r="AG11" s="23"/>
      <c r="AH11" s="23">
        <v>1</v>
      </c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 t="s">
        <v>176</v>
      </c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 t="s">
        <v>175</v>
      </c>
      <c r="BV11" s="31"/>
      <c r="BW11" s="23">
        <v>1</v>
      </c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 t="s">
        <v>175</v>
      </c>
      <c r="CQ11" s="31"/>
      <c r="CR11" s="23">
        <v>1</v>
      </c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2</v>
      </c>
      <c r="E12" s="63" t="str">
        <f>IF($P$1="","",$P$1)</f>
        <v>だいち</v>
      </c>
      <c r="F12" s="5" t="s">
        <v>169</v>
      </c>
      <c r="G12" s="6">
        <v>-1000</v>
      </c>
      <c r="H12" s="6">
        <v>-1000</v>
      </c>
      <c r="I12" s="45">
        <v>-100</v>
      </c>
      <c r="J12" s="18">
        <f t="shared" si="2"/>
        <v>9000</v>
      </c>
      <c r="K12" s="5" t="s">
        <v>169</v>
      </c>
      <c r="L12" s="6">
        <v>-1000</v>
      </c>
      <c r="M12" s="6"/>
      <c r="N12" s="45">
        <v>-100</v>
      </c>
      <c r="O12" s="18">
        <f t="shared" si="8"/>
        <v>7800</v>
      </c>
      <c r="P12" s="5" t="s">
        <v>170</v>
      </c>
      <c r="Q12" s="6">
        <v>3000</v>
      </c>
      <c r="R12" s="6">
        <v>3000</v>
      </c>
      <c r="S12" s="45">
        <v>300</v>
      </c>
      <c r="T12" s="18">
        <f t="shared" si="3"/>
        <v>47200</v>
      </c>
      <c r="U12" s="5" t="s">
        <v>169</v>
      </c>
      <c r="V12" s="6">
        <v>-1000</v>
      </c>
      <c r="W12" s="6"/>
      <c r="X12" s="45">
        <v>-100</v>
      </c>
      <c r="Y12" s="18">
        <f t="shared" si="4"/>
        <v>26000</v>
      </c>
      <c r="Z12" s="50">
        <f>IF($J12="","",ROUND(($J12-30000)/1000,1)+(2.5-_xlfn.RANK.AVG($J12,($J12,$O12,$T12,$Y12)))*20+IF(_xlfn.RANK.EQ($J12,($J12,$O12,$T12,$Y12))=1,20/((_xlfn.RANK.AVG($J12,($J12,$O12,$T12,$Y12))-1)*2+1),0))</f>
        <v>-31</v>
      </c>
      <c r="AA12" s="51">
        <f>IF($O12="","",ROUND(($O12-30000)/1000,1)+(2.5-_xlfn.RANK.AVG($O12,($J12,$O12,$T12,$Y12)))*20+IF(_xlfn.RANK.EQ($O12,($J12,$O12,$T12,$Y12))=1,20/((_xlfn.RANK.AVG($O12,($J12,$O12,$T12,$Y12))-1)*2+1),0))</f>
        <v>-52.2</v>
      </c>
      <c r="AB12" s="51">
        <f>IF($T12="","",ROUND(($T12-30000)/1000,1)+(2.5-_xlfn.RANK.AVG($T12,($J12,$O12,$T12,$Y12)))*20+IF(_xlfn.RANK.EQ($T12,($J12,$O12,$T12,$Y12))=1,20/((_xlfn.RANK.AVG($T12,($J12,$O12,$T12,$Y12))-1)*2+1),0))</f>
        <v>67.2</v>
      </c>
      <c r="AC12" s="52">
        <f>IF($Y12="","",ROUND(($Y12-30000)/1000,1)+(2.5-_xlfn.RANK.AVG($Y12,($J12,$O12,$T12,$Y12)))*20+IF(_xlfn.RANK.EQ($Y12,($J12,$O12,$T12,$Y12))=1,20/((_xlfn.RANK.AVG($Y12,($J12,$O12,$T12,$Y12))-1)*2+1),0))</f>
        <v>6</v>
      </c>
      <c r="AE12" s="5"/>
      <c r="AF12" s="31"/>
      <c r="AG12" s="23">
        <v>1</v>
      </c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>
        <v>2</v>
      </c>
      <c r="BZ12" s="27">
        <v>30</v>
      </c>
      <c r="CA12" s="37" t="s">
        <v>73</v>
      </c>
      <c r="CB12" s="38" t="s">
        <v>76</v>
      </c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>南</v>
      </c>
      <c r="B13" s="15">
        <f t="shared" si="5"/>
        <v>3</v>
      </c>
      <c r="C13" s="15">
        <f t="shared" si="6"/>
        <v>2</v>
      </c>
      <c r="D13" s="15">
        <f t="shared" si="7"/>
        <v>0</v>
      </c>
      <c r="E13" s="63" t="str">
        <f>IF($P$1="","",$P$1)</f>
        <v>だいち</v>
      </c>
      <c r="F13" s="5" t="s">
        <v>174</v>
      </c>
      <c r="G13" s="6">
        <v>1000</v>
      </c>
      <c r="H13" s="6"/>
      <c r="I13" s="45">
        <v>600</v>
      </c>
      <c r="J13" s="18">
        <f t="shared" si="2"/>
        <v>10600</v>
      </c>
      <c r="K13" s="5"/>
      <c r="L13" s="6"/>
      <c r="M13" s="6"/>
      <c r="N13" s="45"/>
      <c r="O13" s="18">
        <f t="shared" si="8"/>
        <v>7800</v>
      </c>
      <c r="P13" s="5" t="s">
        <v>173</v>
      </c>
      <c r="Q13" s="6">
        <v>-1000</v>
      </c>
      <c r="R13" s="6"/>
      <c r="S13" s="45">
        <v>-600</v>
      </c>
      <c r="T13" s="18">
        <f t="shared" si="3"/>
        <v>45600</v>
      </c>
      <c r="U13" s="5"/>
      <c r="V13" s="6"/>
      <c r="W13" s="6"/>
      <c r="X13" s="45"/>
      <c r="Y13" s="18">
        <f t="shared" si="4"/>
        <v>26000</v>
      </c>
      <c r="Z13" s="50">
        <f>IF($J13="","",ROUND(($J13-30000)/1000,1)+(2.5-_xlfn.RANK.AVG($J13,($J13,$O13,$T13,$Y13)))*20+IF(_xlfn.RANK.EQ($J13,($J13,$O13,$T13,$Y13))=1,20/((_xlfn.RANK.AVG($J13,($J13,$O13,$T13,$Y13))-1)*2+1),0))</f>
        <v>-29.4</v>
      </c>
      <c r="AA13" s="51">
        <f>IF($O13="","",ROUND(($O13-30000)/1000,1)+(2.5-_xlfn.RANK.AVG($O13,($J13,$O13,$T13,$Y13)))*20+IF(_xlfn.RANK.EQ($O13,($J13,$O13,$T13,$Y13))=1,20/((_xlfn.RANK.AVG($O13,($J13,$O13,$T13,$Y13))-1)*2+1),0))</f>
        <v>-52.2</v>
      </c>
      <c r="AB13" s="51">
        <f>IF($T13="","",ROUND(($T13-30000)/1000,1)+(2.5-_xlfn.RANK.AVG($T13,($J13,$O13,$T13,$Y13)))*20+IF(_xlfn.RANK.EQ($T13,($J13,$O13,$T13,$Y13))=1,20/((_xlfn.RANK.AVG($T13,($J13,$O13,$T13,$Y13))-1)*2+1),0))</f>
        <v>65.599999999999994</v>
      </c>
      <c r="AC13" s="52">
        <f>IF($Y13="","",ROUND(($Y13-30000)/1000,1)+(2.5-_xlfn.RANK.AVG($Y13,($J13,$O13,$T13,$Y13)))*20+IF(_xlfn.RANK.EQ($Y13,($J13,$O13,$T13,$Y13))=1,20/((_xlfn.RANK.AVG($Y13,($J13,$O13,$T13,$Y13))-1)*2+1),0))</f>
        <v>6</v>
      </c>
      <c r="AE13" s="5"/>
      <c r="AF13" s="31"/>
      <c r="AG13" s="23"/>
      <c r="AH13" s="23">
        <v>1</v>
      </c>
      <c r="AI13" s="23">
        <v>1</v>
      </c>
      <c r="AJ13" s="27">
        <v>30</v>
      </c>
      <c r="AK13" s="37" t="s">
        <v>77</v>
      </c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63" t="str">
        <f>IF($U$1="","",$U$1)</f>
        <v>ただ</v>
      </c>
      <c r="F14" s="5" t="s">
        <v>169</v>
      </c>
      <c r="G14" s="6">
        <v>-2000</v>
      </c>
      <c r="H14" s="6"/>
      <c r="I14" s="45">
        <v>0</v>
      </c>
      <c r="J14" s="18">
        <f t="shared" si="2"/>
        <v>8600</v>
      </c>
      <c r="K14" s="5" t="s">
        <v>169</v>
      </c>
      <c r="L14" s="6">
        <v>-2000</v>
      </c>
      <c r="M14" s="6"/>
      <c r="N14" s="45">
        <v>0</v>
      </c>
      <c r="O14" s="18">
        <f t="shared" si="8"/>
        <v>5800</v>
      </c>
      <c r="P14" s="5" t="s">
        <v>170</v>
      </c>
      <c r="Q14" s="6">
        <v>8000</v>
      </c>
      <c r="R14" s="6">
        <v>0</v>
      </c>
      <c r="S14" s="45">
        <v>0</v>
      </c>
      <c r="T14" s="18">
        <f t="shared" si="3"/>
        <v>53600</v>
      </c>
      <c r="U14" s="5" t="s">
        <v>169</v>
      </c>
      <c r="V14" s="6">
        <v>-4000</v>
      </c>
      <c r="W14" s="6"/>
      <c r="X14" s="45">
        <v>0</v>
      </c>
      <c r="Y14" s="18">
        <f>IF(COUNTA($F14,$K14,$P14,$U14)&gt;0,Y13+SUM(V14:X14),"")</f>
        <v>22000</v>
      </c>
      <c r="Z14" s="50">
        <f>IF($J14="","",ROUND(($J14-30000)/1000,1)+(2.5-_xlfn.RANK.AVG($J14,($J14,$O14,$T14,$Y14)))*20+IF(_xlfn.RANK.EQ($J14,($J14,$O14,$T14,$Y14))=1,20/((_xlfn.RANK.AVG($J14,($J14,$O14,$T14,$Y14))-1)*2+1),0))</f>
        <v>-31.4</v>
      </c>
      <c r="AA14" s="51">
        <f>IF($O14="","",ROUND(($O14-30000)/1000,1)+(2.5-_xlfn.RANK.AVG($O14,($J14,$O14,$T14,$Y14)))*20+IF(_xlfn.RANK.EQ($O14,($J14,$O14,$T14,$Y14))=1,20/((_xlfn.RANK.AVG($O14,($J14,$O14,$T14,$Y14))-1)*2+1),0))</f>
        <v>-54.2</v>
      </c>
      <c r="AB14" s="51">
        <f>IF($T14="","",ROUND(($T14-30000)/1000,1)+(2.5-_xlfn.RANK.AVG($T14,($J14,$O14,$T14,$Y14)))*20+IF(_xlfn.RANK.EQ($T14,($J14,$O14,$T14,$Y14))=1,20/((_xlfn.RANK.AVG($T14,($J14,$O14,$T14,$Y14))-1)*2+1),0))</f>
        <v>73.599999999999994</v>
      </c>
      <c r="AC14" s="52">
        <f>IF($Y14="","",ROUND(($Y14-30000)/1000,1)+(2.5-_xlfn.RANK.AVG($Y14,($J14,$O14,$T14,$Y14)))*20+IF(_xlfn.RANK.EQ($Y14,($J14,$O14,$T14,$Y14))=1,20/((_xlfn.RANK.AVG($Y14,($J14,$O14,$T14,$Y14))-1)*2+1),0))</f>
        <v>2</v>
      </c>
      <c r="AE14" s="5"/>
      <c r="AF14" s="31"/>
      <c r="AG14" s="23"/>
      <c r="AH14" s="23">
        <v>1</v>
      </c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>
        <v>1</v>
      </c>
      <c r="BX14" s="23"/>
      <c r="BY14" s="23">
        <v>4</v>
      </c>
      <c r="BZ14" s="27">
        <v>40</v>
      </c>
      <c r="CA14" s="37" t="s">
        <v>171</v>
      </c>
      <c r="CB14" s="38" t="s">
        <v>73</v>
      </c>
      <c r="CC14" s="38" t="s">
        <v>87</v>
      </c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2" priority="1"/>
  </conditionalFormatting>
  <dataValidations count="3">
    <dataValidation type="list" allowBlank="1" showInputMessage="1" showErrorMessage="1" sqref="E4:E30" xr:uid="{38131E84-141C-4968-AF0F-A6133C8DE305}">
      <formula1>$Z$2:$AC$2</formula1>
    </dataValidation>
    <dataValidation type="list" showInputMessage="1" showErrorMessage="1" sqref="K4:K30 P4:P30 F4:F30 U4:U30" xr:uid="{2EE382D8-994E-4F11-B024-13E5AC2F442E}">
      <formula1>"ロン,ツモ,放銃,ツモ支払,流局,チョンボ"</formula1>
    </dataValidation>
    <dataValidation type="list" allowBlank="1" showInputMessage="1" sqref="F1:Y1" xr:uid="{98B891A0-EB2B-4443-BCD1-9E4562DF709B}">
      <formula1>"だいち,りくと,ただ,てんちゃん,"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C06A3-FC7F-4B98-8EFF-26191D5D5AA3}">
  <sheetPr codeName="Sheet12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181</v>
      </c>
      <c r="G1" s="74"/>
      <c r="H1" s="74"/>
      <c r="I1" s="77"/>
      <c r="J1" s="75"/>
      <c r="K1" s="72" t="s">
        <v>182</v>
      </c>
      <c r="L1" s="74"/>
      <c r="M1" s="74"/>
      <c r="N1" s="77"/>
      <c r="O1" s="75"/>
      <c r="P1" s="72" t="s">
        <v>183</v>
      </c>
      <c r="Q1" s="74"/>
      <c r="R1" s="74"/>
      <c r="S1" s="77"/>
      <c r="T1" s="75"/>
      <c r="U1" s="72" t="s">
        <v>180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ただ</v>
      </c>
      <c r="AF1" s="73" t="str">
        <f t="shared" ref="AF1:AY1" si="0">$F$1</f>
        <v>ただ</v>
      </c>
      <c r="AG1" s="74" t="str">
        <f t="shared" si="0"/>
        <v>ただ</v>
      </c>
      <c r="AH1" s="74" t="str">
        <f t="shared" si="0"/>
        <v>ただ</v>
      </c>
      <c r="AI1" s="74" t="str">
        <f t="shared" si="0"/>
        <v>ただ</v>
      </c>
      <c r="AJ1" s="74" t="str">
        <f t="shared" si="0"/>
        <v>ただ</v>
      </c>
      <c r="AK1" s="74" t="str">
        <f t="shared" si="0"/>
        <v>ただ</v>
      </c>
      <c r="AL1" s="74" t="str">
        <f t="shared" si="0"/>
        <v>ただ</v>
      </c>
      <c r="AM1" s="74" t="str">
        <f t="shared" si="0"/>
        <v>ただ</v>
      </c>
      <c r="AN1" s="74" t="str">
        <f t="shared" si="0"/>
        <v>ただ</v>
      </c>
      <c r="AO1" s="74" t="str">
        <f t="shared" si="0"/>
        <v>ただ</v>
      </c>
      <c r="AP1" s="74" t="str">
        <f t="shared" si="0"/>
        <v>ただ</v>
      </c>
      <c r="AQ1" s="74" t="str">
        <f t="shared" si="0"/>
        <v>ただ</v>
      </c>
      <c r="AR1" s="74" t="str">
        <f t="shared" si="0"/>
        <v>ただ</v>
      </c>
      <c r="AS1" s="74" t="str">
        <f t="shared" si="0"/>
        <v>ただ</v>
      </c>
      <c r="AT1" s="74" t="str">
        <f t="shared" si="0"/>
        <v>ただ</v>
      </c>
      <c r="AU1" s="74" t="str">
        <f t="shared" si="0"/>
        <v>ただ</v>
      </c>
      <c r="AV1" s="74" t="str">
        <f t="shared" si="0"/>
        <v>ただ</v>
      </c>
      <c r="AW1" s="74" t="str">
        <f t="shared" si="0"/>
        <v>ただ</v>
      </c>
      <c r="AX1" s="74" t="str">
        <f t="shared" si="0"/>
        <v>ただ</v>
      </c>
      <c r="AY1" s="75" t="str">
        <f t="shared" si="0"/>
        <v>ただ</v>
      </c>
      <c r="AZ1" s="72" t="str">
        <f>IF($K$1="","",$K$1)</f>
        <v>りくと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だいち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てんちゃん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ただ</v>
      </c>
      <c r="AA2" s="69" t="str">
        <f>IF($K$1="","",$K$1)</f>
        <v>りくと</v>
      </c>
      <c r="AB2" s="69" t="str">
        <f>IF($P$1="","",$P$1)</f>
        <v>だいち</v>
      </c>
      <c r="AC2" s="70" t="str">
        <f>IF($U$1="","",$U$1)</f>
        <v>てんちゃん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ただ</v>
      </c>
      <c r="F4" s="5" t="s">
        <v>184</v>
      </c>
      <c r="G4" s="6">
        <v>-1000</v>
      </c>
      <c r="H4" s="6"/>
      <c r="I4" s="45"/>
      <c r="J4" s="18">
        <f>IF(COUNTA($F4,$K4,$P4,$U4)&gt;0,J3+SUM(G4:I4),"")</f>
        <v>24000</v>
      </c>
      <c r="K4" s="5" t="s">
        <v>184</v>
      </c>
      <c r="L4" s="6">
        <v>-1000</v>
      </c>
      <c r="M4" s="6"/>
      <c r="N4" s="45"/>
      <c r="O4" s="18">
        <f>IF(COUNTA($F4,$K4,$P4,$U4)&gt;0,O3+SUM(L4:N4),"")</f>
        <v>24000</v>
      </c>
      <c r="P4" s="5" t="s">
        <v>184</v>
      </c>
      <c r="Q4" s="6">
        <v>3000</v>
      </c>
      <c r="R4" s="6"/>
      <c r="S4" s="45"/>
      <c r="T4" s="18">
        <f>IF(COUNTA($F4,$K4,$P4,$U4)&gt;0,T3+SUM(Q4:S4),"")</f>
        <v>28000</v>
      </c>
      <c r="U4" s="5" t="s">
        <v>184</v>
      </c>
      <c r="V4" s="6">
        <v>-1000</v>
      </c>
      <c r="W4" s="6"/>
      <c r="X4" s="45"/>
      <c r="Y4" s="18">
        <f>IF(COUNTA($F4,$K4,$P4,$U4)&gt;0,Y3+SUM(V4:X4),"")</f>
        <v>24000</v>
      </c>
      <c r="Z4" s="50">
        <f>IF($J4="","",ROUND(($J4-30000)/1000,1)+(2.5-_xlfn.RANK.AVG($J4,($J4,$O4,$T4,$Y4)))*20+IF(_xlfn.RANK.EQ($J4,($J4,$O4,$T4,$Y4))=1,20/((_xlfn.RANK.AVG($J4,($J4,$O4,$T4,$Y4))-1)*2+1),0))</f>
        <v>-16</v>
      </c>
      <c r="AA4" s="51">
        <f>IF($O4="","",ROUND(($O4-30000)/1000,1)+(2.5-_xlfn.RANK.AVG($O4,($J4,$O4,$T4,$Y4)))*20+IF(_xlfn.RANK.EQ($O4,($J4,$O4,$T4,$Y4))=1,20/((_xlfn.RANK.AVG($O4,($J4,$O4,$T4,$Y4))-1)*2+1),0))</f>
        <v>-16</v>
      </c>
      <c r="AB4" s="51">
        <f>IF($T4="","",ROUND(($T4-30000)/1000,1)+(2.5-_xlfn.RANK.AVG($T4,($J4,$O4,$T4,$Y4)))*20+IF(_xlfn.RANK.EQ($T4,($J4,$O4,$T4,$Y4))=1,20/((_xlfn.RANK.AVG($T4,($J4,$O4,$T4,$Y4))-1)*2+1),0))</f>
        <v>48</v>
      </c>
      <c r="AC4" s="52">
        <f>IF($Y4="","",ROUND(($Y4-30000)/1000,1)+(2.5-_xlfn.RANK.AVG($Y4,($J4,$O4,$T4,$Y4)))*20+IF(_xlfn.RANK.EQ($Y4,($J4,$O4,$T4,$Y4))=1,20/((_xlfn.RANK.AVG($Y4,($J4,$O4,$T4,$Y4))-1)*2+1),0))</f>
        <v>-16</v>
      </c>
      <c r="AE4" s="5" t="s">
        <v>176</v>
      </c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176</v>
      </c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175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176</v>
      </c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IF($K$1="","",$K$1)</f>
        <v>りくと</v>
      </c>
      <c r="F5" s="5" t="s">
        <v>174</v>
      </c>
      <c r="G5" s="6">
        <v>3900</v>
      </c>
      <c r="H5" s="6"/>
      <c r="I5" s="45">
        <v>300</v>
      </c>
      <c r="J5" s="18">
        <f t="shared" ref="J5:J30" si="2">IF(COUNTA($F5,$K5,$P5,$U5)&gt;0,J4+SUM(G5:I5),"")</f>
        <v>28200</v>
      </c>
      <c r="K5" s="5"/>
      <c r="L5" s="6"/>
      <c r="M5" s="6"/>
      <c r="N5" s="45"/>
      <c r="O5" s="18">
        <f>IF(COUNTA($F5,$K5,$P5,$U5)&gt;0,O4+SUM(L5:N5),"")</f>
        <v>24000</v>
      </c>
      <c r="P5" s="5" t="s">
        <v>173</v>
      </c>
      <c r="Q5" s="6">
        <v>-3900</v>
      </c>
      <c r="R5" s="6"/>
      <c r="S5" s="45">
        <v>-300</v>
      </c>
      <c r="T5" s="18">
        <f t="shared" ref="T5:T30" si="3">IF(COUNTA($F5,$K5,$P5,$U5)&gt;0,T4+SUM(Q5:S5),"")</f>
        <v>23800</v>
      </c>
      <c r="U5" s="5"/>
      <c r="V5" s="6"/>
      <c r="W5" s="6"/>
      <c r="X5" s="45"/>
      <c r="Y5" s="18">
        <f t="shared" ref="Y5:Y30" si="4">IF(COUNTA($F5,$K5,$P5,$U5)&gt;0,Y4+SUM(V5:X5),"")</f>
        <v>24000</v>
      </c>
      <c r="Z5" s="50">
        <f>IF($J5="","",ROUND(($J5-30000)/1000,1)+(2.5-_xlfn.RANK.AVG($J5,($J5,$O5,$T5,$Y5)))*20+IF(_xlfn.RANK.EQ($J5,($J5,$O5,$T5,$Y5))=1,20/((_xlfn.RANK.AVG($J5,($J5,$O5,$T5,$Y5))-1)*2+1),0))</f>
        <v>48.2</v>
      </c>
      <c r="AA5" s="51">
        <f>IF($O5="","",ROUND(($O5-30000)/1000,1)+(2.5-_xlfn.RANK.AVG($O5,($J5,$O5,$T5,$Y5)))*20+IF(_xlfn.RANK.EQ($O5,($J5,$O5,$T5,$Y5))=1,20/((_xlfn.RANK.AVG($O5,($J5,$O5,$T5,$Y5))-1)*2+1),0))</f>
        <v>-6</v>
      </c>
      <c r="AB5" s="51">
        <f>IF($T5="","",ROUND(($T5-30000)/1000,1)+(2.5-_xlfn.RANK.AVG($T5,($J5,$O5,$T5,$Y5)))*20+IF(_xlfn.RANK.EQ($T5,($J5,$O5,$T5,$Y5))=1,20/((_xlfn.RANK.AVG($T5,($J5,$O5,$T5,$Y5))-1)*2+1),0))</f>
        <v>-36.200000000000003</v>
      </c>
      <c r="AC5" s="52">
        <f>IF($Y5="","",ROUND(($Y5-30000)/1000,1)+(2.5-_xlfn.RANK.AVG($Y5,($J5,$O5,$T5,$Y5)))*20+IF(_xlfn.RANK.EQ($Y5,($J5,$O5,$T5,$Y5))=1,20/((_xlfn.RANK.AVG($Y5,($J5,$O5,$T5,$Y5))-1)*2+1),0))</f>
        <v>-6</v>
      </c>
      <c r="AE5" s="5"/>
      <c r="AF5" s="31"/>
      <c r="AG5" s="23"/>
      <c r="AH5" s="23">
        <v>1</v>
      </c>
      <c r="AI5" s="23">
        <v>3</v>
      </c>
      <c r="AJ5" s="27">
        <v>30</v>
      </c>
      <c r="AK5" s="37" t="s">
        <v>77</v>
      </c>
      <c r="AL5" s="38" t="s">
        <v>95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だいち</v>
      </c>
      <c r="F6" s="5" t="s">
        <v>174</v>
      </c>
      <c r="G6" s="6">
        <v>2000</v>
      </c>
      <c r="H6" s="6"/>
      <c r="I6" s="45">
        <v>0</v>
      </c>
      <c r="J6" s="18">
        <f t="shared" si="2"/>
        <v>30200</v>
      </c>
      <c r="K6" s="5"/>
      <c r="L6" s="6"/>
      <c r="M6" s="6"/>
      <c r="N6" s="45"/>
      <c r="O6" s="18">
        <f t="shared" ref="O6:O30" si="8">IF(COUNTA($F6,$K6,$P6,$U6)&gt;0,O5+SUM(L6:N6),"")</f>
        <v>24000</v>
      </c>
      <c r="P6" s="5" t="s">
        <v>173</v>
      </c>
      <c r="Q6" s="6">
        <v>-2000</v>
      </c>
      <c r="R6" s="6"/>
      <c r="S6" s="45">
        <v>0</v>
      </c>
      <c r="T6" s="18">
        <f t="shared" si="3"/>
        <v>21800</v>
      </c>
      <c r="U6" s="5"/>
      <c r="V6" s="6"/>
      <c r="W6" s="6"/>
      <c r="X6" s="45"/>
      <c r="Y6" s="18">
        <f t="shared" si="4"/>
        <v>24000</v>
      </c>
      <c r="Z6" s="50">
        <f>IF($J6="","",ROUND(($J6-30000)/1000,1)+(2.5-_xlfn.RANK.AVG($J6,($J6,$O6,$T6,$Y6)))*20+IF(_xlfn.RANK.EQ($J6,($J6,$O6,$T6,$Y6))=1,20/((_xlfn.RANK.AVG($J6,($J6,$O6,$T6,$Y6))-1)*2+1),0))</f>
        <v>50.2</v>
      </c>
      <c r="AA6" s="51">
        <f>IF($O6="","",ROUND(($O6-30000)/1000,1)+(2.5-_xlfn.RANK.AVG($O6,($J6,$O6,$T6,$Y6)))*20+IF(_xlfn.RANK.EQ($O6,($J6,$O6,$T6,$Y6))=1,20/((_xlfn.RANK.AVG($O6,($J6,$O6,$T6,$Y6))-1)*2+1),0))</f>
        <v>-6</v>
      </c>
      <c r="AB6" s="51">
        <f>IF($T6="","",ROUND(($T6-30000)/1000,1)+(2.5-_xlfn.RANK.AVG($T6,($J6,$O6,$T6,$Y6)))*20+IF(_xlfn.RANK.EQ($T6,($J6,$O6,$T6,$Y6))=1,20/((_xlfn.RANK.AVG($T6,($J6,$O6,$T6,$Y6))-1)*2+1),0))</f>
        <v>-38.200000000000003</v>
      </c>
      <c r="AC6" s="52">
        <f>IF($Y6="","",ROUND(($Y6-30000)/1000,1)+(2.5-_xlfn.RANK.AVG($Y6,($J6,$O6,$T6,$Y6)))*20+IF(_xlfn.RANK.EQ($Y6,($J6,$O6,$T6,$Y6))=1,20/((_xlfn.RANK.AVG($Y6,($J6,$O6,$T6,$Y6))-1)*2+1),0))</f>
        <v>-6</v>
      </c>
      <c r="AE6" s="5"/>
      <c r="AF6" s="31"/>
      <c r="AG6" s="23">
        <v>1</v>
      </c>
      <c r="AH6" s="23"/>
      <c r="AI6" s="23">
        <v>2</v>
      </c>
      <c r="AJ6" s="27">
        <v>30</v>
      </c>
      <c r="AK6" s="37" t="s">
        <v>171</v>
      </c>
      <c r="AL6" s="38" t="s">
        <v>74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てんちゃん</v>
      </c>
      <c r="F7" s="5" t="s">
        <v>184</v>
      </c>
      <c r="G7" s="6">
        <v>-1000</v>
      </c>
      <c r="H7" s="6"/>
      <c r="I7" s="45"/>
      <c r="J7" s="18">
        <f t="shared" si="2"/>
        <v>29200</v>
      </c>
      <c r="K7" s="5" t="s">
        <v>184</v>
      </c>
      <c r="L7" s="6">
        <v>-1000</v>
      </c>
      <c r="M7" s="6"/>
      <c r="N7" s="45"/>
      <c r="O7" s="18">
        <f t="shared" si="8"/>
        <v>23000</v>
      </c>
      <c r="P7" s="5" t="s">
        <v>184</v>
      </c>
      <c r="Q7" s="6">
        <v>3000</v>
      </c>
      <c r="R7" s="6">
        <v>-1000</v>
      </c>
      <c r="S7" s="45"/>
      <c r="T7" s="18">
        <f t="shared" si="3"/>
        <v>23800</v>
      </c>
      <c r="U7" s="5" t="s">
        <v>184</v>
      </c>
      <c r="V7" s="6">
        <v>-1000</v>
      </c>
      <c r="W7" s="6"/>
      <c r="X7" s="45"/>
      <c r="Y7" s="18">
        <f t="shared" si="4"/>
        <v>23000</v>
      </c>
      <c r="Z7" s="50">
        <f>IF($J7="","",ROUND(($J7-30000)/1000,1)+(2.5-_xlfn.RANK.AVG($J7,($J7,$O7,$T7,$Y7)))*20+IF(_xlfn.RANK.EQ($J7,($J7,$O7,$T7,$Y7))=1,20/((_xlfn.RANK.AVG($J7,($J7,$O7,$T7,$Y7))-1)*2+1),0))</f>
        <v>49.2</v>
      </c>
      <c r="AA7" s="51">
        <f>IF($O7="","",ROUND(($O7-30000)/1000,1)+(2.5-_xlfn.RANK.AVG($O7,($J7,$O7,$T7,$Y7)))*20+IF(_xlfn.RANK.EQ($O7,($J7,$O7,$T7,$Y7))=1,20/((_xlfn.RANK.AVG($O7,($J7,$O7,$T7,$Y7))-1)*2+1),0))</f>
        <v>-27</v>
      </c>
      <c r="AB7" s="51">
        <f>IF($T7="","",ROUND(($T7-30000)/1000,1)+(2.5-_xlfn.RANK.AVG($T7,($J7,$O7,$T7,$Y7)))*20+IF(_xlfn.RANK.EQ($T7,($J7,$O7,$T7,$Y7))=1,20/((_xlfn.RANK.AVG($T7,($J7,$O7,$T7,$Y7))-1)*2+1),0))</f>
        <v>3.8</v>
      </c>
      <c r="AC7" s="52">
        <f>IF($Y7="","",ROUND(($Y7-30000)/1000,1)+(2.5-_xlfn.RANK.AVG($Y7,($J7,$O7,$T7,$Y7)))*20+IF(_xlfn.RANK.EQ($Y7,($J7,$O7,$T7,$Y7))=1,20/((_xlfn.RANK.AVG($Y7,($J7,$O7,$T7,$Y7))-1)*2+1),0))</f>
        <v>-27</v>
      </c>
      <c r="AE7" s="5" t="s">
        <v>176</v>
      </c>
      <c r="AF7" s="31"/>
      <c r="AG7" s="23"/>
      <c r="AH7" s="23">
        <v>1</v>
      </c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 t="s">
        <v>176</v>
      </c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 t="s">
        <v>175</v>
      </c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 t="s">
        <v>176</v>
      </c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1</v>
      </c>
      <c r="D8" s="15">
        <f>IF($E8="","",IF(OR($F7="流局",$F7="チョンボ"),D7+($H7+$M7+$R7+$W7)/-1000,0))</f>
        <v>1</v>
      </c>
      <c r="E8" s="63" t="str">
        <f>IF($F$1="","",$F$1)</f>
        <v>ただ</v>
      </c>
      <c r="F8" s="5" t="s">
        <v>173</v>
      </c>
      <c r="G8" s="6">
        <v>-8000</v>
      </c>
      <c r="H8" s="6"/>
      <c r="I8" s="45">
        <v>-300</v>
      </c>
      <c r="J8" s="18">
        <f t="shared" si="2"/>
        <v>20900</v>
      </c>
      <c r="K8" s="5"/>
      <c r="L8" s="6"/>
      <c r="M8" s="6"/>
      <c r="N8" s="45"/>
      <c r="O8" s="18">
        <f t="shared" si="8"/>
        <v>23000</v>
      </c>
      <c r="P8" s="5"/>
      <c r="Q8" s="6"/>
      <c r="R8" s="6"/>
      <c r="S8" s="45"/>
      <c r="T8" s="18">
        <f t="shared" si="3"/>
        <v>23800</v>
      </c>
      <c r="U8" s="5" t="s">
        <v>174</v>
      </c>
      <c r="V8" s="6">
        <v>8000</v>
      </c>
      <c r="W8" s="6">
        <v>1000</v>
      </c>
      <c r="X8" s="45">
        <v>300</v>
      </c>
      <c r="Y8" s="18">
        <f t="shared" si="4"/>
        <v>32300</v>
      </c>
      <c r="Z8" s="50">
        <f>IF($J8="","",ROUND(($J8-30000)/1000,1)+(2.5-_xlfn.RANK.AVG($J8,($J8,$O8,$T8,$Y8)))*20+IF(_xlfn.RANK.EQ($J8,($J8,$O8,$T8,$Y8))=1,20/((_xlfn.RANK.AVG($J8,($J8,$O8,$T8,$Y8))-1)*2+1),0))</f>
        <v>-39.1</v>
      </c>
      <c r="AA8" s="51">
        <f>IF($O8="","",ROUND(($O8-30000)/1000,1)+(2.5-_xlfn.RANK.AVG($O8,($J8,$O8,$T8,$Y8)))*20+IF(_xlfn.RANK.EQ($O8,($J8,$O8,$T8,$Y8))=1,20/((_xlfn.RANK.AVG($O8,($J8,$O8,$T8,$Y8))-1)*2+1),0))</f>
        <v>-17</v>
      </c>
      <c r="AB8" s="51">
        <f>IF($T8="","",ROUND(($T8-30000)/1000,1)+(2.5-_xlfn.RANK.AVG($T8,($J8,$O8,$T8,$Y8)))*20+IF(_xlfn.RANK.EQ($T8,($J8,$O8,$T8,$Y8))=1,20/((_xlfn.RANK.AVG($T8,($J8,$O8,$T8,$Y8))-1)*2+1),0))</f>
        <v>3.8</v>
      </c>
      <c r="AC8" s="52">
        <f>IF($Y8="","",ROUND(($Y8-30000)/1000,1)+(2.5-_xlfn.RANK.AVG($Y8,($J8,$O8,$T8,$Y8)))*20+IF(_xlfn.RANK.EQ($Y8,($J8,$O8,$T8,$Y8))=1,20/((_xlfn.RANK.AVG($Y8,($J8,$O8,$T8,$Y8))-1)*2+1),0))</f>
        <v>52.3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4</v>
      </c>
      <c r="CU8" s="27">
        <v>40</v>
      </c>
      <c r="CV8" s="37" t="s">
        <v>171</v>
      </c>
      <c r="CW8" s="38" t="s">
        <v>70</v>
      </c>
      <c r="CX8" s="38" t="s">
        <v>70</v>
      </c>
      <c r="CY8" s="38" t="s">
        <v>70</v>
      </c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tr">
        <f>IF($K$1="","",$K$1)</f>
        <v>りくと</v>
      </c>
      <c r="F9" s="5"/>
      <c r="G9" s="6"/>
      <c r="H9" s="6"/>
      <c r="I9" s="45"/>
      <c r="J9" s="18">
        <f t="shared" si="2"/>
        <v>20900</v>
      </c>
      <c r="K9" s="5" t="s">
        <v>173</v>
      </c>
      <c r="L9" s="6">
        <v>-5200</v>
      </c>
      <c r="M9" s="6">
        <v>-1000</v>
      </c>
      <c r="N9" s="45">
        <v>0</v>
      </c>
      <c r="O9" s="18">
        <f t="shared" si="8"/>
        <v>16800</v>
      </c>
      <c r="P9" s="5"/>
      <c r="Q9" s="6"/>
      <c r="R9" s="6"/>
      <c r="S9" s="45"/>
      <c r="T9" s="18">
        <f t="shared" si="3"/>
        <v>23800</v>
      </c>
      <c r="U9" s="5" t="s">
        <v>174</v>
      </c>
      <c r="V9" s="6">
        <v>5200</v>
      </c>
      <c r="W9" s="6">
        <v>1000</v>
      </c>
      <c r="X9" s="45">
        <v>0</v>
      </c>
      <c r="Y9" s="18">
        <f t="shared" si="4"/>
        <v>38500</v>
      </c>
      <c r="Z9" s="50">
        <f>IF($J9="","",ROUND(($J9-30000)/1000,1)+(2.5-_xlfn.RANK.AVG($J9,($J9,$O9,$T9,$Y9)))*20+IF(_xlfn.RANK.EQ($J9,($J9,$O9,$T9,$Y9))=1,20/((_xlfn.RANK.AVG($J9,($J9,$O9,$T9,$Y9))-1)*2+1),0))</f>
        <v>-19.100000000000001</v>
      </c>
      <c r="AA9" s="51">
        <f>IF($O9="","",ROUND(($O9-30000)/1000,1)+(2.5-_xlfn.RANK.AVG($O9,($J9,$O9,$T9,$Y9)))*20+IF(_xlfn.RANK.EQ($O9,($J9,$O9,$T9,$Y9))=1,20/((_xlfn.RANK.AVG($O9,($J9,$O9,$T9,$Y9))-1)*2+1),0))</f>
        <v>-43.2</v>
      </c>
      <c r="AB9" s="51">
        <f>IF($T9="","",ROUND(($T9-30000)/1000,1)+(2.5-_xlfn.RANK.AVG($T9,($J9,$O9,$T9,$Y9)))*20+IF(_xlfn.RANK.EQ($T9,($J9,$O9,$T9,$Y9))=1,20/((_xlfn.RANK.AVG($T9,($J9,$O9,$T9,$Y9))-1)*2+1),0))</f>
        <v>3.8</v>
      </c>
      <c r="AC9" s="52">
        <f>IF($Y9="","",ROUND(($Y9-30000)/1000,1)+(2.5-_xlfn.RANK.AVG($Y9,($J9,$O9,$T9,$Y9)))*20+IF(_xlfn.RANK.EQ($Y9,($J9,$O9,$T9,$Y9))=1,20/((_xlfn.RANK.AVG($Y9,($J9,$O9,$T9,$Y9))-1)*2+1),0))</f>
        <v>58.5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40</v>
      </c>
      <c r="CV9" s="37" t="s">
        <v>171</v>
      </c>
      <c r="CW9" s="38" t="s">
        <v>70</v>
      </c>
      <c r="CX9" s="38" t="s">
        <v>179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tr">
        <f>IF($P$1="","",$P$1)</f>
        <v>だいち</v>
      </c>
      <c r="F10" s="5" t="s">
        <v>174</v>
      </c>
      <c r="G10" s="6">
        <v>3900</v>
      </c>
      <c r="H10" s="6"/>
      <c r="I10" s="45">
        <v>0</v>
      </c>
      <c r="J10" s="18">
        <f t="shared" si="2"/>
        <v>24800</v>
      </c>
      <c r="K10" s="5"/>
      <c r="L10" s="6"/>
      <c r="M10" s="6"/>
      <c r="N10" s="45"/>
      <c r="O10" s="18">
        <f t="shared" si="8"/>
        <v>16800</v>
      </c>
      <c r="P10" s="5" t="s">
        <v>173</v>
      </c>
      <c r="Q10" s="6">
        <v>-3900</v>
      </c>
      <c r="R10" s="6"/>
      <c r="S10" s="45">
        <v>0</v>
      </c>
      <c r="T10" s="18">
        <f t="shared" si="3"/>
        <v>19900</v>
      </c>
      <c r="U10" s="5"/>
      <c r="V10" s="6"/>
      <c r="W10" s="6"/>
      <c r="X10" s="45"/>
      <c r="Y10" s="18">
        <f t="shared" si="4"/>
        <v>38500</v>
      </c>
      <c r="Z10" s="50">
        <f>IF($J10="","",ROUND(($J10-30000)/1000,1)+(2.5-_xlfn.RANK.AVG($J10,($J10,$O10,$T10,$Y10)))*20+IF(_xlfn.RANK.EQ($J10,($J10,$O10,$T10,$Y10))=1,20/((_xlfn.RANK.AVG($J10,($J10,$O10,$T10,$Y10))-1)*2+1),0))</f>
        <v>4.8</v>
      </c>
      <c r="AA10" s="51">
        <f>IF($O10="","",ROUND(($O10-30000)/1000,1)+(2.5-_xlfn.RANK.AVG($O10,($J10,$O10,$T10,$Y10)))*20+IF(_xlfn.RANK.EQ($O10,($J10,$O10,$T10,$Y10))=1,20/((_xlfn.RANK.AVG($O10,($J10,$O10,$T10,$Y10))-1)*2+1),0))</f>
        <v>-43.2</v>
      </c>
      <c r="AB10" s="51">
        <f>IF($T10="","",ROUND(($T10-30000)/1000,1)+(2.5-_xlfn.RANK.AVG($T10,($J10,$O10,$T10,$Y10)))*20+IF(_xlfn.RANK.EQ($T10,($J10,$O10,$T10,$Y10))=1,20/((_xlfn.RANK.AVG($T10,($J10,$O10,$T10,$Y10))-1)*2+1),0))</f>
        <v>-20.100000000000001</v>
      </c>
      <c r="AC10" s="52">
        <f>IF($Y10="","",ROUND(($Y10-30000)/1000,1)+(2.5-_xlfn.RANK.AVG($Y10,($J10,$O10,$T10,$Y10)))*20+IF(_xlfn.RANK.EQ($Y10,($J10,$O10,$T10,$Y10))=1,20/((_xlfn.RANK.AVG($Y10,($J10,$O10,$T10,$Y10))-1)*2+1),0))</f>
        <v>58.5</v>
      </c>
      <c r="AE10" s="5"/>
      <c r="AF10" s="31"/>
      <c r="AG10" s="23">
        <v>1</v>
      </c>
      <c r="AH10" s="23"/>
      <c r="AI10" s="23">
        <v>3</v>
      </c>
      <c r="AJ10" s="27">
        <v>30</v>
      </c>
      <c r="AK10" s="37" t="s">
        <v>171</v>
      </c>
      <c r="AL10" s="38" t="s">
        <v>74</v>
      </c>
      <c r="AM10" s="38" t="s">
        <v>179</v>
      </c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63" t="str">
        <f>IF($U$1="","",$U$1)</f>
        <v>てんちゃん</v>
      </c>
      <c r="F11" s="5" t="s">
        <v>174</v>
      </c>
      <c r="G11" s="6">
        <v>8000</v>
      </c>
      <c r="H11" s="6"/>
      <c r="I11" s="45">
        <v>0</v>
      </c>
      <c r="J11" s="18">
        <f t="shared" si="2"/>
        <v>32800</v>
      </c>
      <c r="K11" s="5" t="s">
        <v>173</v>
      </c>
      <c r="L11" s="6">
        <v>-8000</v>
      </c>
      <c r="M11" s="6"/>
      <c r="N11" s="45">
        <v>0</v>
      </c>
      <c r="O11" s="18">
        <f t="shared" si="8"/>
        <v>8800</v>
      </c>
      <c r="P11" s="5"/>
      <c r="Q11" s="6"/>
      <c r="R11" s="6"/>
      <c r="S11" s="45"/>
      <c r="T11" s="18">
        <f t="shared" si="3"/>
        <v>19900</v>
      </c>
      <c r="U11" s="5"/>
      <c r="V11" s="6"/>
      <c r="W11" s="6">
        <v>0</v>
      </c>
      <c r="X11" s="45"/>
      <c r="Y11" s="18">
        <f t="shared" si="4"/>
        <v>38500</v>
      </c>
      <c r="Z11" s="50">
        <f>IF($J11="","",ROUND(($J11-30000)/1000,1)+(2.5-_xlfn.RANK.AVG($J11,($J11,$O11,$T11,$Y11)))*20+IF(_xlfn.RANK.EQ($J11,($J11,$O11,$T11,$Y11))=1,20/((_xlfn.RANK.AVG($J11,($J11,$O11,$T11,$Y11))-1)*2+1),0))</f>
        <v>12.8</v>
      </c>
      <c r="AA11" s="51">
        <f>IF($O11="","",ROUND(($O11-30000)/1000,1)+(2.5-_xlfn.RANK.AVG($O11,($J11,$O11,$T11,$Y11)))*20+IF(_xlfn.RANK.EQ($O11,($J11,$O11,$T11,$Y11))=1,20/((_xlfn.RANK.AVG($O11,($J11,$O11,$T11,$Y11))-1)*2+1),0))</f>
        <v>-51.2</v>
      </c>
      <c r="AB11" s="51">
        <f>IF($T11="","",ROUND(($T11-30000)/1000,1)+(2.5-_xlfn.RANK.AVG($T11,($J11,$O11,$T11,$Y11)))*20+IF(_xlfn.RANK.EQ($T11,($J11,$O11,$T11,$Y11))=1,20/((_xlfn.RANK.AVG($T11,($J11,$O11,$T11,$Y11))-1)*2+1),0))</f>
        <v>-20.100000000000001</v>
      </c>
      <c r="AC11" s="52">
        <f>IF($Y11="","",ROUND(($Y11-30000)/1000,1)+(2.5-_xlfn.RANK.AVG($Y11,($J11,$O11,$T11,$Y11)))*20+IF(_xlfn.RANK.EQ($Y11,($J11,$O11,$T11,$Y11))=1,20/((_xlfn.RANK.AVG($Y11,($J11,$O11,$T11,$Y11))-1)*2+1),0))</f>
        <v>58.5</v>
      </c>
      <c r="AE11" s="5"/>
      <c r="AF11" s="31"/>
      <c r="AG11" s="23">
        <v>1</v>
      </c>
      <c r="AH11" s="23"/>
      <c r="AI11" s="23">
        <v>5</v>
      </c>
      <c r="AJ11" s="27" t="s">
        <v>178</v>
      </c>
      <c r="AK11" s="37" t="s">
        <v>171</v>
      </c>
      <c r="AL11" s="38" t="s">
        <v>92</v>
      </c>
      <c r="AM11" s="38" t="s">
        <v>71</v>
      </c>
      <c r="AN11" s="38" t="s">
        <v>71</v>
      </c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1" priority="1"/>
  </conditionalFormatting>
  <dataValidations count="3">
    <dataValidation type="list" allowBlank="1" showInputMessage="1" sqref="F1:Y1" xr:uid="{D9390EB8-1AC3-4605-8B54-9281DF5C6B57}">
      <formula1>"だいち,りくと,ただ,てんちゃん,"</formula1>
    </dataValidation>
    <dataValidation type="list" showInputMessage="1" showErrorMessage="1" sqref="K4:K30 P4:P30 F4:F30 U4:U30" xr:uid="{0881EED1-E923-4746-85C9-8F08C99D4D1E}">
      <formula1>"ロン,ツモ,放銃,ツモ支払,流局,チョンボ"</formula1>
    </dataValidation>
    <dataValidation type="list" allowBlank="1" showInputMessage="1" showErrorMessage="1" sqref="E4:E30" xr:uid="{C3744A29-F1ED-4F9D-AFFC-1F486127B970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D6388-1D42-41DA-86CE-FEB7C2F1C269}">
  <sheetPr codeName="Sheet13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180</v>
      </c>
      <c r="G1" s="74"/>
      <c r="H1" s="74"/>
      <c r="I1" s="77"/>
      <c r="J1" s="75"/>
      <c r="K1" s="72" t="s">
        <v>183</v>
      </c>
      <c r="L1" s="74"/>
      <c r="M1" s="74"/>
      <c r="N1" s="77"/>
      <c r="O1" s="75"/>
      <c r="P1" s="72" t="s">
        <v>182</v>
      </c>
      <c r="Q1" s="74"/>
      <c r="R1" s="74"/>
      <c r="S1" s="77"/>
      <c r="T1" s="75"/>
      <c r="U1" s="72" t="s">
        <v>181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てんちゃん</v>
      </c>
      <c r="AF1" s="73" t="str">
        <f t="shared" ref="AF1:AY1" si="0">$F$1</f>
        <v>てんちゃん</v>
      </c>
      <c r="AG1" s="74" t="str">
        <f t="shared" si="0"/>
        <v>てんちゃん</v>
      </c>
      <c r="AH1" s="74" t="str">
        <f t="shared" si="0"/>
        <v>てんちゃん</v>
      </c>
      <c r="AI1" s="74" t="str">
        <f t="shared" si="0"/>
        <v>てんちゃん</v>
      </c>
      <c r="AJ1" s="74" t="str">
        <f t="shared" si="0"/>
        <v>てんちゃん</v>
      </c>
      <c r="AK1" s="74" t="str">
        <f t="shared" si="0"/>
        <v>てんちゃん</v>
      </c>
      <c r="AL1" s="74" t="str">
        <f t="shared" si="0"/>
        <v>てんちゃん</v>
      </c>
      <c r="AM1" s="74" t="str">
        <f t="shared" si="0"/>
        <v>てんちゃん</v>
      </c>
      <c r="AN1" s="74" t="str">
        <f t="shared" si="0"/>
        <v>てんちゃん</v>
      </c>
      <c r="AO1" s="74" t="str">
        <f t="shared" si="0"/>
        <v>てんちゃん</v>
      </c>
      <c r="AP1" s="74" t="str">
        <f t="shared" si="0"/>
        <v>てんちゃん</v>
      </c>
      <c r="AQ1" s="74" t="str">
        <f t="shared" si="0"/>
        <v>てんちゃん</v>
      </c>
      <c r="AR1" s="74" t="str">
        <f t="shared" si="0"/>
        <v>てんちゃん</v>
      </c>
      <c r="AS1" s="74" t="str">
        <f t="shared" si="0"/>
        <v>てんちゃん</v>
      </c>
      <c r="AT1" s="74" t="str">
        <f t="shared" si="0"/>
        <v>てんちゃん</v>
      </c>
      <c r="AU1" s="74" t="str">
        <f t="shared" si="0"/>
        <v>てんちゃん</v>
      </c>
      <c r="AV1" s="74" t="str">
        <f t="shared" si="0"/>
        <v>てんちゃん</v>
      </c>
      <c r="AW1" s="74" t="str">
        <f t="shared" si="0"/>
        <v>てんちゃん</v>
      </c>
      <c r="AX1" s="74" t="str">
        <f t="shared" si="0"/>
        <v>てんちゃん</v>
      </c>
      <c r="AY1" s="75" t="str">
        <f t="shared" si="0"/>
        <v>てんちゃん</v>
      </c>
      <c r="AZ1" s="72" t="str">
        <f>IF($K$1="","",$K$1)</f>
        <v>だいち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りくと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ただ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てんちゃん</v>
      </c>
      <c r="AA2" s="69" t="str">
        <f>IF($K$1="","",$K$1)</f>
        <v>だいち</v>
      </c>
      <c r="AB2" s="69" t="str">
        <f>IF($P$1="","",$P$1)</f>
        <v>りくと</v>
      </c>
      <c r="AC2" s="70" t="str">
        <f>IF($U$1="","",$U$1)</f>
        <v>ただ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てんちゃん</v>
      </c>
      <c r="F4" s="5" t="s">
        <v>174</v>
      </c>
      <c r="G4" s="6">
        <v>12000</v>
      </c>
      <c r="H4" s="6"/>
      <c r="I4" s="45">
        <v>0</v>
      </c>
      <c r="J4" s="18">
        <f>IF(COUNTA($F4,$K4,$P4,$U4)&gt;0,J3+SUM(G4:I4),"")</f>
        <v>37000</v>
      </c>
      <c r="K4" s="5"/>
      <c r="L4" s="6"/>
      <c r="M4" s="6"/>
      <c r="N4" s="45"/>
      <c r="O4" s="18">
        <f>IF(COUNTA($F4,$K4,$P4,$U4)&gt;0,O3+SUM(L4:N4),"")</f>
        <v>25000</v>
      </c>
      <c r="P4" s="5"/>
      <c r="Q4" s="6"/>
      <c r="R4" s="6"/>
      <c r="S4" s="45"/>
      <c r="T4" s="18">
        <f>IF(COUNTA($F4,$K4,$P4,$U4)&gt;0,T3+SUM(Q4:S4),"")</f>
        <v>25000</v>
      </c>
      <c r="U4" s="5" t="s">
        <v>173</v>
      </c>
      <c r="V4" s="6">
        <v>-12000</v>
      </c>
      <c r="W4" s="6"/>
      <c r="X4" s="45">
        <v>0</v>
      </c>
      <c r="Y4" s="18">
        <f>IF(COUNTA($F4,$K4,$P4,$U4)&gt;0,Y3+SUM(V4:X4),"")</f>
        <v>13000</v>
      </c>
      <c r="Z4" s="50">
        <f>IF($J4="","",ROUND(($J4-30000)/1000,1)+(2.5-_xlfn.RANK.AVG($J4,($J4,$O4,$T4,$Y4)))*20+IF(_xlfn.RANK.EQ($J4,($J4,$O4,$T4,$Y4))=1,20/((_xlfn.RANK.AVG($J4,($J4,$O4,$T4,$Y4))-1)*2+1),0))</f>
        <v>57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-5</v>
      </c>
      <c r="AC4" s="52">
        <f>IF($Y4="","",ROUND(($Y4-30000)/1000,1)+(2.5-_xlfn.RANK.AVG($Y4,($J4,$O4,$T4,$Y4)))*20+IF(_xlfn.RANK.EQ($Y4,($J4,$O4,$T4,$Y4))=1,20/((_xlfn.RANK.AVG($Y4,($J4,$O4,$T4,$Y4))-1)*2+1),0))</f>
        <v>-47</v>
      </c>
      <c r="AE4" s="5"/>
      <c r="AF4" s="31"/>
      <c r="AG4" s="23">
        <v>1</v>
      </c>
      <c r="AH4" s="23"/>
      <c r="AI4" s="23">
        <v>5</v>
      </c>
      <c r="AJ4" s="27" t="s">
        <v>178</v>
      </c>
      <c r="AK4" s="37" t="s">
        <v>171</v>
      </c>
      <c r="AL4" s="38" t="s">
        <v>83</v>
      </c>
      <c r="AM4" s="38" t="s">
        <v>179</v>
      </c>
      <c r="AN4" s="38" t="s">
        <v>172</v>
      </c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てんちゃん</v>
      </c>
      <c r="F5" s="5" t="s">
        <v>169</v>
      </c>
      <c r="G5" s="6">
        <v>-2600</v>
      </c>
      <c r="H5" s="6"/>
      <c r="I5" s="45">
        <v>-100</v>
      </c>
      <c r="J5" s="18">
        <f t="shared" ref="J5:J30" si="2">IF(COUNTA($F5,$K5,$P5,$U5)&gt;0,J4+SUM(G5:I5),"")</f>
        <v>34300</v>
      </c>
      <c r="K5" s="5" t="s">
        <v>170</v>
      </c>
      <c r="L5" s="6">
        <v>5200</v>
      </c>
      <c r="M5" s="6"/>
      <c r="N5" s="45">
        <v>300</v>
      </c>
      <c r="O5" s="18">
        <f>IF(COUNTA($F5,$K5,$P5,$U5)&gt;0,O4+SUM(L5:N5),"")</f>
        <v>30500</v>
      </c>
      <c r="P5" s="5" t="s">
        <v>169</v>
      </c>
      <c r="Q5" s="6">
        <v>-1300</v>
      </c>
      <c r="R5" s="6"/>
      <c r="S5" s="45">
        <v>-100</v>
      </c>
      <c r="T5" s="18">
        <f t="shared" ref="T5:T30" si="3">IF(COUNTA($F5,$K5,$P5,$U5)&gt;0,T4+SUM(Q5:S5),"")</f>
        <v>23600</v>
      </c>
      <c r="U5" s="5" t="s">
        <v>169</v>
      </c>
      <c r="V5" s="6">
        <v>-1300</v>
      </c>
      <c r="W5" s="6"/>
      <c r="X5" s="45">
        <v>-100</v>
      </c>
      <c r="Y5" s="18">
        <f t="shared" ref="Y5:Y30" si="4">IF(COUNTA($F5,$K5,$P5,$U5)&gt;0,Y4+SUM(V5:X5),"")</f>
        <v>11600</v>
      </c>
      <c r="Z5" s="50">
        <f>IF($J5="","",ROUND(($J5-30000)/1000,1)+(2.5-_xlfn.RANK.AVG($J5,($J5,$O5,$T5,$Y5)))*20+IF(_xlfn.RANK.EQ($J5,($J5,$O5,$T5,$Y5))=1,20/((_xlfn.RANK.AVG($J5,($J5,$O5,$T5,$Y5))-1)*2+1),0))</f>
        <v>54.3</v>
      </c>
      <c r="AA5" s="51">
        <f>IF($O5="","",ROUND(($O5-30000)/1000,1)+(2.5-_xlfn.RANK.AVG($O5,($J5,$O5,$T5,$Y5)))*20+IF(_xlfn.RANK.EQ($O5,($J5,$O5,$T5,$Y5))=1,20/((_xlfn.RANK.AVG($O5,($J5,$O5,$T5,$Y5))-1)*2+1),0))</f>
        <v>10.5</v>
      </c>
      <c r="AB5" s="51">
        <f>IF($T5="","",ROUND(($T5-30000)/1000,1)+(2.5-_xlfn.RANK.AVG($T5,($J5,$O5,$T5,$Y5)))*20+IF(_xlfn.RANK.EQ($T5,($J5,$O5,$T5,$Y5))=1,20/((_xlfn.RANK.AVG($T5,($J5,$O5,$T5,$Y5))-1)*2+1),0))</f>
        <v>-16.399999999999999</v>
      </c>
      <c r="AC5" s="52">
        <f>IF($Y5="","",ROUND(($Y5-30000)/1000,1)+(2.5-_xlfn.RANK.AVG($Y5,($J5,$O5,$T5,$Y5)))*20+IF(_xlfn.RANK.EQ($Y5,($J5,$O5,$T5,$Y5))=1,20/((_xlfn.RANK.AVG($Y5,($J5,$O5,$T5,$Y5))-1)*2+1),0))</f>
        <v>-48.4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>
        <v>3</v>
      </c>
      <c r="BE5" s="27">
        <v>40</v>
      </c>
      <c r="BF5" s="37" t="s">
        <v>73</v>
      </c>
      <c r="BG5" s="38" t="s">
        <v>76</v>
      </c>
      <c r="BH5" s="38" t="s">
        <v>70</v>
      </c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>
        <v>1</v>
      </c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だいち</v>
      </c>
      <c r="F6" s="5" t="s">
        <v>184</v>
      </c>
      <c r="G6" s="6">
        <v>3000</v>
      </c>
      <c r="H6" s="6">
        <v>-1000</v>
      </c>
      <c r="I6" s="45"/>
      <c r="J6" s="18">
        <f t="shared" si="2"/>
        <v>36300</v>
      </c>
      <c r="K6" s="5" t="s">
        <v>184</v>
      </c>
      <c r="L6" s="6">
        <v>-1000</v>
      </c>
      <c r="M6" s="6"/>
      <c r="N6" s="45"/>
      <c r="O6" s="18">
        <f t="shared" ref="O6:O30" si="8">IF(COUNTA($F6,$K6,$P6,$U6)&gt;0,O5+SUM(L6:N6),"")</f>
        <v>29500</v>
      </c>
      <c r="P6" s="5" t="s">
        <v>184</v>
      </c>
      <c r="Q6" s="6">
        <v>-1000</v>
      </c>
      <c r="R6" s="6"/>
      <c r="S6" s="45"/>
      <c r="T6" s="18">
        <f t="shared" si="3"/>
        <v>22600</v>
      </c>
      <c r="U6" s="5" t="s">
        <v>184</v>
      </c>
      <c r="V6" s="6">
        <v>-1000</v>
      </c>
      <c r="W6" s="6"/>
      <c r="X6" s="45"/>
      <c r="Y6" s="18">
        <f t="shared" si="4"/>
        <v>10600</v>
      </c>
      <c r="Z6" s="50">
        <f>IF($J6="","",ROUND(($J6-30000)/1000,1)+(2.5-_xlfn.RANK.AVG($J6,($J6,$O6,$T6,$Y6)))*20+IF(_xlfn.RANK.EQ($J6,($J6,$O6,$T6,$Y6))=1,20/((_xlfn.RANK.AVG($J6,($J6,$O6,$T6,$Y6))-1)*2+1),0))</f>
        <v>56.3</v>
      </c>
      <c r="AA6" s="51">
        <f>IF($O6="","",ROUND(($O6-30000)/1000,1)+(2.5-_xlfn.RANK.AVG($O6,($J6,$O6,$T6,$Y6)))*20+IF(_xlfn.RANK.EQ($O6,($J6,$O6,$T6,$Y6))=1,20/((_xlfn.RANK.AVG($O6,($J6,$O6,$T6,$Y6))-1)*2+1),0))</f>
        <v>9.5</v>
      </c>
      <c r="AB6" s="51">
        <f>IF($T6="","",ROUND(($T6-30000)/1000,1)+(2.5-_xlfn.RANK.AVG($T6,($J6,$O6,$T6,$Y6)))*20+IF(_xlfn.RANK.EQ($T6,($J6,$O6,$T6,$Y6))=1,20/((_xlfn.RANK.AVG($T6,($J6,$O6,$T6,$Y6))-1)*2+1),0))</f>
        <v>-17.399999999999999</v>
      </c>
      <c r="AC6" s="52">
        <f>IF($Y6="","",ROUND(($Y6-30000)/1000,1)+(2.5-_xlfn.RANK.AVG($Y6,($J6,$O6,$T6,$Y6)))*20+IF(_xlfn.RANK.EQ($Y6,($J6,$O6,$T6,$Y6))=1,20/((_xlfn.RANK.AVG($Y6,($J6,$O6,$T6,$Y6))-1)*2+1),0))</f>
        <v>-49.4</v>
      </c>
      <c r="AE6" s="5" t="s">
        <v>175</v>
      </c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176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176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176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1</v>
      </c>
      <c r="E7" s="63" t="str">
        <f>IF($P$1="","",$P$1)</f>
        <v>りくと</v>
      </c>
      <c r="F7" s="5"/>
      <c r="G7" s="6"/>
      <c r="H7" s="6"/>
      <c r="I7" s="45"/>
      <c r="J7" s="18">
        <f t="shared" si="2"/>
        <v>36300</v>
      </c>
      <c r="K7" s="5" t="s">
        <v>174</v>
      </c>
      <c r="L7" s="6">
        <v>8000</v>
      </c>
      <c r="M7" s="6">
        <v>2000</v>
      </c>
      <c r="N7" s="45">
        <v>300</v>
      </c>
      <c r="O7" s="18">
        <f t="shared" si="8"/>
        <v>39800</v>
      </c>
      <c r="P7" s="5"/>
      <c r="Q7" s="6"/>
      <c r="R7" s="6"/>
      <c r="S7" s="45"/>
      <c r="T7" s="18">
        <f t="shared" si="3"/>
        <v>22600</v>
      </c>
      <c r="U7" s="5" t="s">
        <v>173</v>
      </c>
      <c r="V7" s="6">
        <v>-8000</v>
      </c>
      <c r="W7" s="6">
        <v>-1000</v>
      </c>
      <c r="X7" s="45">
        <v>-300</v>
      </c>
      <c r="Y7" s="18">
        <f t="shared" si="4"/>
        <v>1300</v>
      </c>
      <c r="Z7" s="50">
        <f>IF($J7="","",ROUND(($J7-30000)/1000,1)+(2.5-_xlfn.RANK.AVG($J7,($J7,$O7,$T7,$Y7)))*20+IF(_xlfn.RANK.EQ($J7,($J7,$O7,$T7,$Y7))=1,20/((_xlfn.RANK.AVG($J7,($J7,$O7,$T7,$Y7))-1)*2+1),0))</f>
        <v>16.3</v>
      </c>
      <c r="AA7" s="51">
        <f>IF($O7="","",ROUND(($O7-30000)/1000,1)+(2.5-_xlfn.RANK.AVG($O7,($J7,$O7,$T7,$Y7)))*20+IF(_xlfn.RANK.EQ($O7,($J7,$O7,$T7,$Y7))=1,20/((_xlfn.RANK.AVG($O7,($J7,$O7,$T7,$Y7))-1)*2+1),0))</f>
        <v>59.8</v>
      </c>
      <c r="AB7" s="51">
        <f>IF($T7="","",ROUND(($T7-30000)/1000,1)+(2.5-_xlfn.RANK.AVG($T7,($J7,$O7,$T7,$Y7)))*20+IF(_xlfn.RANK.EQ($T7,($J7,$O7,$T7,$Y7))=1,20/((_xlfn.RANK.AVG($T7,($J7,$O7,$T7,$Y7))-1)*2+1),0))</f>
        <v>-17.399999999999999</v>
      </c>
      <c r="AC7" s="52">
        <f>IF($Y7="","",ROUND(($Y7-30000)/1000,1)+(2.5-_xlfn.RANK.AVG($Y7,($J7,$O7,$T7,$Y7)))*20+IF(_xlfn.RANK.EQ($Y7,($J7,$O7,$T7,$Y7))=1,20/((_xlfn.RANK.AVG($Y7,($J7,$O7,$T7,$Y7))-1)*2+1),0))</f>
        <v>-58.7</v>
      </c>
      <c r="AE7" s="5"/>
      <c r="AF7" s="31"/>
      <c r="AG7" s="23"/>
      <c r="AH7" s="23">
        <v>1</v>
      </c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>
        <v>4</v>
      </c>
      <c r="BE7" s="27">
        <v>40</v>
      </c>
      <c r="BF7" s="37" t="s">
        <v>75</v>
      </c>
      <c r="BG7" s="38" t="s">
        <v>172</v>
      </c>
      <c r="BH7" s="38" t="s">
        <v>172</v>
      </c>
      <c r="BI7" s="38" t="s">
        <v>76</v>
      </c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>
        <v>1</v>
      </c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ただ</v>
      </c>
      <c r="F8" s="5"/>
      <c r="G8" s="6"/>
      <c r="H8" s="6"/>
      <c r="I8" s="45"/>
      <c r="J8" s="18">
        <f t="shared" si="2"/>
        <v>36300</v>
      </c>
      <c r="K8" s="5"/>
      <c r="L8" s="6"/>
      <c r="M8" s="6"/>
      <c r="N8" s="45"/>
      <c r="O8" s="18">
        <f t="shared" si="8"/>
        <v>39800</v>
      </c>
      <c r="P8" s="5" t="s">
        <v>174</v>
      </c>
      <c r="Q8" s="6">
        <v>1300</v>
      </c>
      <c r="R8" s="6"/>
      <c r="S8" s="45">
        <v>0</v>
      </c>
      <c r="T8" s="18">
        <f t="shared" si="3"/>
        <v>23900</v>
      </c>
      <c r="U8" s="5" t="s">
        <v>173</v>
      </c>
      <c r="V8" s="6">
        <v>-1300</v>
      </c>
      <c r="W8" s="6"/>
      <c r="X8" s="45">
        <v>0</v>
      </c>
      <c r="Y8" s="18">
        <f t="shared" si="4"/>
        <v>0</v>
      </c>
      <c r="Z8" s="50">
        <f>IF($J8="","",ROUND(($J8-30000)/1000,1)+(2.5-_xlfn.RANK.AVG($J8,($J8,$O8,$T8,$Y8)))*20+IF(_xlfn.RANK.EQ($J8,($J8,$O8,$T8,$Y8))=1,20/((_xlfn.RANK.AVG($J8,($J8,$O8,$T8,$Y8))-1)*2+1),0))</f>
        <v>16.3</v>
      </c>
      <c r="AA8" s="51">
        <f>IF($O8="","",ROUND(($O8-30000)/1000,1)+(2.5-_xlfn.RANK.AVG($O8,($J8,$O8,$T8,$Y8)))*20+IF(_xlfn.RANK.EQ($O8,($J8,$O8,$T8,$Y8))=1,20/((_xlfn.RANK.AVG($O8,($J8,$O8,$T8,$Y8))-1)*2+1),0))</f>
        <v>59.8</v>
      </c>
      <c r="AB8" s="51">
        <f>IF($T8="","",ROUND(($T8-30000)/1000,1)+(2.5-_xlfn.RANK.AVG($T8,($J8,$O8,$T8,$Y8)))*20+IF(_xlfn.RANK.EQ($T8,($J8,$O8,$T8,$Y8))=1,20/((_xlfn.RANK.AVG($T8,($J8,$O8,$T8,$Y8))-1)*2+1),0))</f>
        <v>-16.100000000000001</v>
      </c>
      <c r="AC8" s="52">
        <f>IF($Y8="","",ROUND(($Y8-30000)/1000,1)+(2.5-_xlfn.RANK.AVG($Y8,($J8,$O8,$T8,$Y8)))*20+IF(_xlfn.RANK.EQ($Y8,($J8,$O8,$T8,$Y8))=1,20/((_xlfn.RANK.AVG($Y8,($J8,$O8,$T8,$Y8))-1)*2+1),0))</f>
        <v>-60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>
        <v>1</v>
      </c>
      <c r="BZ8" s="27">
        <v>40</v>
      </c>
      <c r="CA8" s="37" t="s">
        <v>77</v>
      </c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tr">
        <f>IF($F$1="","",$F$1)</f>
        <v>てんちゃん</v>
      </c>
      <c r="F9" s="5" t="s">
        <v>173</v>
      </c>
      <c r="G9" s="6">
        <v>-2600</v>
      </c>
      <c r="H9" s="6"/>
      <c r="I9" s="45">
        <v>0</v>
      </c>
      <c r="J9" s="18">
        <f t="shared" si="2"/>
        <v>33700</v>
      </c>
      <c r="K9" s="5"/>
      <c r="L9" s="6"/>
      <c r="M9" s="6">
        <v>-1000</v>
      </c>
      <c r="N9" s="45"/>
      <c r="O9" s="18">
        <f t="shared" si="8"/>
        <v>38800</v>
      </c>
      <c r="P9" s="5" t="s">
        <v>174</v>
      </c>
      <c r="Q9" s="6">
        <v>2600</v>
      </c>
      <c r="R9" s="6">
        <v>1000</v>
      </c>
      <c r="S9" s="45">
        <v>0</v>
      </c>
      <c r="T9" s="18">
        <f t="shared" si="3"/>
        <v>27500</v>
      </c>
      <c r="U9" s="5"/>
      <c r="V9" s="6"/>
      <c r="W9" s="6"/>
      <c r="X9" s="45"/>
      <c r="Y9" s="18">
        <f t="shared" si="4"/>
        <v>0</v>
      </c>
      <c r="Z9" s="50">
        <f>IF($J9="","",ROUND(($J9-30000)/1000,1)+(2.5-_xlfn.RANK.AVG($J9,($J9,$O9,$T9,$Y9)))*20+IF(_xlfn.RANK.EQ($J9,($J9,$O9,$T9,$Y9))=1,20/((_xlfn.RANK.AVG($J9,($J9,$O9,$T9,$Y9))-1)*2+1),0))</f>
        <v>13.7</v>
      </c>
      <c r="AA9" s="51">
        <f>IF($O9="","",ROUND(($O9-30000)/1000,1)+(2.5-_xlfn.RANK.AVG($O9,($J9,$O9,$T9,$Y9)))*20+IF(_xlfn.RANK.EQ($O9,($J9,$O9,$T9,$Y9))=1,20/((_xlfn.RANK.AVG($O9,($J9,$O9,$T9,$Y9))-1)*2+1),0))</f>
        <v>58.8</v>
      </c>
      <c r="AB9" s="51">
        <f>IF($T9="","",ROUND(($T9-30000)/1000,1)+(2.5-_xlfn.RANK.AVG($T9,($J9,$O9,$T9,$Y9)))*20+IF(_xlfn.RANK.EQ($T9,($J9,$O9,$T9,$Y9))=1,20/((_xlfn.RANK.AVG($T9,($J9,$O9,$T9,$Y9))-1)*2+1),0))</f>
        <v>-12.5</v>
      </c>
      <c r="AC9" s="52">
        <f>IF($Y9="","",ROUND(($Y9-30000)/1000,1)+(2.5-_xlfn.RANK.AVG($Y9,($J9,$O9,$T9,$Y9)))*20+IF(_xlfn.RANK.EQ($Y9,($J9,$O9,$T9,$Y9))=1,20/((_xlfn.RANK.AVG($Y9,($J9,$O9,$T9,$Y9))-1)*2+1),0))</f>
        <v>-60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2</v>
      </c>
      <c r="BZ9" s="27">
        <v>40</v>
      </c>
      <c r="CA9" s="37" t="s">
        <v>171</v>
      </c>
      <c r="CB9" s="38" t="s">
        <v>179</v>
      </c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63" t="str">
        <f>IF($K$1="","",$K$1)</f>
        <v>だいち</v>
      </c>
      <c r="F10" s="5"/>
      <c r="G10" s="6"/>
      <c r="H10" s="6"/>
      <c r="I10" s="45"/>
      <c r="J10" s="18">
        <f t="shared" si="2"/>
        <v>33700</v>
      </c>
      <c r="K10" s="5"/>
      <c r="L10" s="6"/>
      <c r="M10" s="6"/>
      <c r="N10" s="45"/>
      <c r="O10" s="18">
        <f t="shared" si="8"/>
        <v>38800</v>
      </c>
      <c r="P10" s="5" t="s">
        <v>174</v>
      </c>
      <c r="Q10" s="6">
        <v>5200</v>
      </c>
      <c r="R10" s="6"/>
      <c r="S10" s="45">
        <v>0</v>
      </c>
      <c r="T10" s="18">
        <f t="shared" si="3"/>
        <v>32700</v>
      </c>
      <c r="U10" s="5" t="s">
        <v>173</v>
      </c>
      <c r="V10" s="6">
        <v>-5200</v>
      </c>
      <c r="W10" s="6"/>
      <c r="X10" s="45">
        <v>0</v>
      </c>
      <c r="Y10" s="18">
        <f t="shared" si="4"/>
        <v>-5200</v>
      </c>
      <c r="Z10" s="50">
        <f>IF($J10="","",ROUND(($J10-30000)/1000,1)+(2.5-_xlfn.RANK.AVG($J10,($J10,$O10,$T10,$Y10)))*20+IF(_xlfn.RANK.EQ($J10,($J10,$O10,$T10,$Y10))=1,20/((_xlfn.RANK.AVG($J10,($J10,$O10,$T10,$Y10))-1)*2+1),0))</f>
        <v>13.7</v>
      </c>
      <c r="AA10" s="51">
        <f>IF($O10="","",ROUND(($O10-30000)/1000,1)+(2.5-_xlfn.RANK.AVG($O10,($J10,$O10,$T10,$Y10)))*20+IF(_xlfn.RANK.EQ($O10,($J10,$O10,$T10,$Y10))=1,20/((_xlfn.RANK.AVG($O10,($J10,$O10,$T10,$Y10))-1)*2+1),0))</f>
        <v>58.8</v>
      </c>
      <c r="AB10" s="51">
        <f>IF($T10="","",ROUND(($T10-30000)/1000,1)+(2.5-_xlfn.RANK.AVG($T10,($J10,$O10,$T10,$Y10)))*20+IF(_xlfn.RANK.EQ($T10,($J10,$O10,$T10,$Y10))=1,20/((_xlfn.RANK.AVG($T10,($J10,$O10,$T10,$Y10))-1)*2+1),0))</f>
        <v>-7.3</v>
      </c>
      <c r="AC10" s="52">
        <f>IF($Y10="","",ROUND(($Y10-30000)/1000,1)+(2.5-_xlfn.RANK.AVG($Y10,($J10,$O10,$T10,$Y10)))*20+IF(_xlfn.RANK.EQ($Y10,($J10,$O10,$T10,$Y10))=1,20/((_xlfn.RANK.AVG($Y10,($J10,$O10,$T10,$Y10))-1)*2+1),0))</f>
        <v>-65.2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3</v>
      </c>
      <c r="BZ10" s="27">
        <v>40</v>
      </c>
      <c r="CA10" s="37" t="s">
        <v>171</v>
      </c>
      <c r="CB10" s="38" t="s">
        <v>70</v>
      </c>
      <c r="CC10" s="38" t="s">
        <v>70</v>
      </c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63" t="str">
        <f>IF($P$1="","",$P$1)</f>
        <v>りくと</v>
      </c>
      <c r="F11" s="5" t="s">
        <v>169</v>
      </c>
      <c r="G11" s="6">
        <v>-6000</v>
      </c>
      <c r="H11" s="6"/>
      <c r="I11" s="45">
        <v>0</v>
      </c>
      <c r="J11" s="18">
        <f t="shared" si="2"/>
        <v>27700</v>
      </c>
      <c r="K11" s="5" t="s">
        <v>169</v>
      </c>
      <c r="L11" s="6">
        <v>-6000</v>
      </c>
      <c r="M11" s="6"/>
      <c r="N11" s="45">
        <v>0</v>
      </c>
      <c r="O11" s="18">
        <f t="shared" si="8"/>
        <v>32800</v>
      </c>
      <c r="P11" s="5" t="s">
        <v>170</v>
      </c>
      <c r="Q11" s="6">
        <v>18000</v>
      </c>
      <c r="R11" s="6"/>
      <c r="S11" s="45">
        <v>0</v>
      </c>
      <c r="T11" s="18">
        <f t="shared" si="3"/>
        <v>50700</v>
      </c>
      <c r="U11" s="5" t="s">
        <v>169</v>
      </c>
      <c r="V11" s="6">
        <v>-6000</v>
      </c>
      <c r="W11" s="6"/>
      <c r="X11" s="45">
        <v>0</v>
      </c>
      <c r="Y11" s="18">
        <f t="shared" si="4"/>
        <v>-11200</v>
      </c>
      <c r="Z11" s="50">
        <f>IF($J11="","",ROUND(($J11-30000)/1000,1)+(2.5-_xlfn.RANK.AVG($J11,($J11,$O11,$T11,$Y11)))*20+IF(_xlfn.RANK.EQ($J11,($J11,$O11,$T11,$Y11))=1,20/((_xlfn.RANK.AVG($J11,($J11,$O11,$T11,$Y11))-1)*2+1),0))</f>
        <v>-12.3</v>
      </c>
      <c r="AA11" s="51">
        <f>IF($O11="","",ROUND(($O11-30000)/1000,1)+(2.5-_xlfn.RANK.AVG($O11,($J11,$O11,$T11,$Y11)))*20+IF(_xlfn.RANK.EQ($O11,($J11,$O11,$T11,$Y11))=1,20/((_xlfn.RANK.AVG($O11,($J11,$O11,$T11,$Y11))-1)*2+1),0))</f>
        <v>12.8</v>
      </c>
      <c r="AB11" s="51">
        <f>IF($T11="","",ROUND(($T11-30000)/1000,1)+(2.5-_xlfn.RANK.AVG($T11,($J11,$O11,$T11,$Y11)))*20+IF(_xlfn.RANK.EQ($T11,($J11,$O11,$T11,$Y11))=1,20/((_xlfn.RANK.AVG($T11,($J11,$O11,$T11,$Y11))-1)*2+1),0))</f>
        <v>70.7</v>
      </c>
      <c r="AC11" s="52">
        <f>IF($Y11="","",ROUND(($Y11-30000)/1000,1)+(2.5-_xlfn.RANK.AVG($Y11,($J11,$O11,$T11,$Y11)))*20+IF(_xlfn.RANK.EQ($Y11,($J11,$O11,$T11,$Y11))=1,20/((_xlfn.RANK.AVG($Y11,($J11,$O11,$T11,$Y11))-1)*2+1),0))</f>
        <v>-71.2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6</v>
      </c>
      <c r="BZ11" s="27" t="s">
        <v>178</v>
      </c>
      <c r="CA11" s="37" t="s">
        <v>171</v>
      </c>
      <c r="CB11" s="38" t="s">
        <v>73</v>
      </c>
      <c r="CC11" s="38" t="s">
        <v>74</v>
      </c>
      <c r="CD11" s="38" t="s">
        <v>70</v>
      </c>
      <c r="CE11" s="38" t="s">
        <v>172</v>
      </c>
      <c r="CF11" s="38" t="s">
        <v>172</v>
      </c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63" t="str">
        <f>IF($P$1="","",$P$1)</f>
        <v>りくと</v>
      </c>
      <c r="F12" s="5"/>
      <c r="G12" s="6"/>
      <c r="H12" s="6"/>
      <c r="I12" s="45"/>
      <c r="J12" s="18">
        <f t="shared" si="2"/>
        <v>27700</v>
      </c>
      <c r="K12" s="5"/>
      <c r="L12" s="6"/>
      <c r="M12" s="6"/>
      <c r="N12" s="45"/>
      <c r="O12" s="18">
        <f t="shared" si="8"/>
        <v>32800</v>
      </c>
      <c r="P12" s="5" t="s">
        <v>173</v>
      </c>
      <c r="Q12" s="6">
        <v>-2600</v>
      </c>
      <c r="R12" s="6"/>
      <c r="S12" s="45">
        <v>-300</v>
      </c>
      <c r="T12" s="18">
        <f t="shared" si="3"/>
        <v>47800</v>
      </c>
      <c r="U12" s="5" t="s">
        <v>174</v>
      </c>
      <c r="V12" s="6">
        <v>2600</v>
      </c>
      <c r="W12" s="6"/>
      <c r="X12" s="45">
        <v>300</v>
      </c>
      <c r="Y12" s="18">
        <f t="shared" si="4"/>
        <v>-8300</v>
      </c>
      <c r="Z12" s="50">
        <f>IF($J12="","",ROUND(($J12-30000)/1000,1)+(2.5-_xlfn.RANK.AVG($J12,($J12,$O12,$T12,$Y12)))*20+IF(_xlfn.RANK.EQ($J12,($J12,$O12,$T12,$Y12))=1,20/((_xlfn.RANK.AVG($J12,($J12,$O12,$T12,$Y12))-1)*2+1),0))</f>
        <v>-12.3</v>
      </c>
      <c r="AA12" s="51">
        <f>IF($O12="","",ROUND(($O12-30000)/1000,1)+(2.5-_xlfn.RANK.AVG($O12,($J12,$O12,$T12,$Y12)))*20+IF(_xlfn.RANK.EQ($O12,($J12,$O12,$T12,$Y12))=1,20/((_xlfn.RANK.AVG($O12,($J12,$O12,$T12,$Y12))-1)*2+1),0))</f>
        <v>12.8</v>
      </c>
      <c r="AB12" s="51">
        <f>IF($T12="","",ROUND(($T12-30000)/1000,1)+(2.5-_xlfn.RANK.AVG($T12,($J12,$O12,$T12,$Y12)))*20+IF(_xlfn.RANK.EQ($T12,($J12,$O12,$T12,$Y12))=1,20/((_xlfn.RANK.AVG($T12,($J12,$O12,$T12,$Y12))-1)*2+1),0))</f>
        <v>67.8</v>
      </c>
      <c r="AC12" s="52">
        <f>IF($Y12="","",ROUND(($Y12-30000)/1000,1)+(2.5-_xlfn.RANK.AVG($Y12,($J12,$O12,$T12,$Y12)))*20+IF(_xlfn.RANK.EQ($Y12,($J12,$O12,$T12,$Y12))=1,20/((_xlfn.RANK.AVG($Y12,($J12,$O12,$T12,$Y12))-1)*2+1),0))</f>
        <v>-68.3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>
        <v>1</v>
      </c>
      <c r="CS12" s="23"/>
      <c r="CT12" s="23">
        <v>2</v>
      </c>
      <c r="CU12" s="27">
        <v>40</v>
      </c>
      <c r="CV12" s="37" t="s">
        <v>171</v>
      </c>
      <c r="CW12" s="38" t="s">
        <v>172</v>
      </c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63" t="str">
        <f>IF($U$1="","",$U$1)</f>
        <v>ただ</v>
      </c>
      <c r="F13" s="5"/>
      <c r="G13" s="6"/>
      <c r="H13" s="6"/>
      <c r="I13" s="45"/>
      <c r="J13" s="18">
        <f t="shared" si="2"/>
        <v>27700</v>
      </c>
      <c r="K13" s="5" t="s">
        <v>173</v>
      </c>
      <c r="L13" s="6">
        <v>-7700</v>
      </c>
      <c r="M13" s="6">
        <v>-1000</v>
      </c>
      <c r="N13" s="45">
        <v>0</v>
      </c>
      <c r="O13" s="18">
        <f t="shared" si="8"/>
        <v>24100</v>
      </c>
      <c r="P13" s="5"/>
      <c r="Q13" s="6"/>
      <c r="R13" s="6">
        <v>-1000</v>
      </c>
      <c r="S13" s="45"/>
      <c r="T13" s="18">
        <f t="shared" si="3"/>
        <v>46800</v>
      </c>
      <c r="U13" s="5" t="s">
        <v>174</v>
      </c>
      <c r="V13" s="6">
        <v>7700</v>
      </c>
      <c r="W13" s="6">
        <v>2000</v>
      </c>
      <c r="X13" s="45">
        <v>0</v>
      </c>
      <c r="Y13" s="18">
        <f t="shared" si="4"/>
        <v>1400</v>
      </c>
      <c r="Z13" s="50">
        <f>IF($J13="","",ROUND(($J13-30000)/1000,1)+(2.5-_xlfn.RANK.AVG($J13,($J13,$O13,$T13,$Y13)))*20+IF(_xlfn.RANK.EQ($J13,($J13,$O13,$T13,$Y13))=1,20/((_xlfn.RANK.AVG($J13,($J13,$O13,$T13,$Y13))-1)*2+1),0))</f>
        <v>7.7</v>
      </c>
      <c r="AA13" s="51">
        <f>IF($O13="","",ROUND(($O13-30000)/1000,1)+(2.5-_xlfn.RANK.AVG($O13,($J13,$O13,$T13,$Y13)))*20+IF(_xlfn.RANK.EQ($O13,($J13,$O13,$T13,$Y13))=1,20/((_xlfn.RANK.AVG($O13,($J13,$O13,$T13,$Y13))-1)*2+1),0))</f>
        <v>-15.9</v>
      </c>
      <c r="AB13" s="51">
        <f>IF($T13="","",ROUND(($T13-30000)/1000,1)+(2.5-_xlfn.RANK.AVG($T13,($J13,$O13,$T13,$Y13)))*20+IF(_xlfn.RANK.EQ($T13,($J13,$O13,$T13,$Y13))=1,20/((_xlfn.RANK.AVG($T13,($J13,$O13,$T13,$Y13))-1)*2+1),0))</f>
        <v>66.8</v>
      </c>
      <c r="AC13" s="52">
        <f>IF($Y13="","",ROUND(($Y13-30000)/1000,1)+(2.5-_xlfn.RANK.AVG($Y13,($J13,$O13,$T13,$Y13)))*20+IF(_xlfn.RANK.EQ($Y13,($J13,$O13,$T13,$Y13))=1,20/((_xlfn.RANK.AVG($Y13,($J13,$O13,$T13,$Y13))-1)*2+1),0))</f>
        <v>-58.6</v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>
        <v>1</v>
      </c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>
        <v>1</v>
      </c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>
        <v>1</v>
      </c>
      <c r="CS13" s="23"/>
      <c r="CT13" s="23">
        <v>3</v>
      </c>
      <c r="CU13" s="27">
        <v>40</v>
      </c>
      <c r="CV13" s="37" t="s">
        <v>171</v>
      </c>
      <c r="CW13" s="38" t="s">
        <v>172</v>
      </c>
      <c r="CX13" s="38" t="s">
        <v>75</v>
      </c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>南</v>
      </c>
      <c r="B14" s="15">
        <f t="shared" si="5"/>
        <v>4</v>
      </c>
      <c r="C14" s="15">
        <f t="shared" si="6"/>
        <v>1</v>
      </c>
      <c r="D14" s="15">
        <f t="shared" si="7"/>
        <v>0</v>
      </c>
      <c r="E14" s="63" t="str">
        <f>IF($U$1="","",$U$1)</f>
        <v>ただ</v>
      </c>
      <c r="F14" s="5" t="s">
        <v>170</v>
      </c>
      <c r="G14" s="6">
        <v>12000</v>
      </c>
      <c r="H14" s="6"/>
      <c r="I14" s="45">
        <v>300</v>
      </c>
      <c r="J14" s="18">
        <f t="shared" si="2"/>
        <v>40000</v>
      </c>
      <c r="K14" s="5" t="s">
        <v>169</v>
      </c>
      <c r="L14" s="6">
        <v>-3000</v>
      </c>
      <c r="M14" s="6"/>
      <c r="N14" s="45">
        <v>-100</v>
      </c>
      <c r="O14" s="18">
        <f t="shared" si="8"/>
        <v>21000</v>
      </c>
      <c r="P14" s="5" t="s">
        <v>169</v>
      </c>
      <c r="Q14" s="6">
        <v>-3000</v>
      </c>
      <c r="R14" s="6">
        <v>0</v>
      </c>
      <c r="S14" s="45">
        <v>-100</v>
      </c>
      <c r="T14" s="18">
        <f t="shared" si="3"/>
        <v>43700</v>
      </c>
      <c r="U14" s="5" t="s">
        <v>169</v>
      </c>
      <c r="V14" s="6">
        <v>-6000</v>
      </c>
      <c r="W14" s="6"/>
      <c r="X14" s="45">
        <v>-100</v>
      </c>
      <c r="Y14" s="18">
        <f>IF(COUNTA($F14,$K14,$P14,$U14)&gt;0,Y13+SUM(V14:X14),"")</f>
        <v>-4700</v>
      </c>
      <c r="Z14" s="50">
        <f>IF($J14="","",ROUND(($J14-30000)/1000,1)+(2.5-_xlfn.RANK.AVG($J14,($J14,$O14,$T14,$Y14)))*20+IF(_xlfn.RANK.EQ($J14,($J14,$O14,$T14,$Y14))=1,20/((_xlfn.RANK.AVG($J14,($J14,$O14,$T14,$Y14))-1)*2+1),0))</f>
        <v>20</v>
      </c>
      <c r="AA14" s="51">
        <f>IF($O14="","",ROUND(($O14-30000)/1000,1)+(2.5-_xlfn.RANK.AVG($O14,($J14,$O14,$T14,$Y14)))*20+IF(_xlfn.RANK.EQ($O14,($J14,$O14,$T14,$Y14))=1,20/((_xlfn.RANK.AVG($O14,($J14,$O14,$T14,$Y14))-1)*2+1),0))</f>
        <v>-19</v>
      </c>
      <c r="AB14" s="51">
        <f>IF($T14="","",ROUND(($T14-30000)/1000,1)+(2.5-_xlfn.RANK.AVG($T14,($J14,$O14,$T14,$Y14)))*20+IF(_xlfn.RANK.EQ($T14,($J14,$O14,$T14,$Y14))=1,20/((_xlfn.RANK.AVG($T14,($J14,$O14,$T14,$Y14))-1)*2+1),0))</f>
        <v>63.7</v>
      </c>
      <c r="AC14" s="52">
        <f>IF($Y14="","",ROUND(($Y14-30000)/1000,1)+(2.5-_xlfn.RANK.AVG($Y14,($J14,$O14,$T14,$Y14)))*20+IF(_xlfn.RANK.EQ($Y14,($J14,$O14,$T14,$Y14))=1,20/((_xlfn.RANK.AVG($Y14,($J14,$O14,$T14,$Y14))-1)*2+1),0))</f>
        <v>-64.7</v>
      </c>
      <c r="AE14" s="5"/>
      <c r="AF14" s="31"/>
      <c r="AG14" s="23">
        <v>1</v>
      </c>
      <c r="AH14" s="23"/>
      <c r="AI14" s="23">
        <v>6</v>
      </c>
      <c r="AJ14" s="27" t="s">
        <v>178</v>
      </c>
      <c r="AK14" s="37" t="s">
        <v>171</v>
      </c>
      <c r="AL14" s="38" t="s">
        <v>73</v>
      </c>
      <c r="AM14" s="38" t="s">
        <v>74</v>
      </c>
      <c r="AN14" s="38" t="s">
        <v>75</v>
      </c>
      <c r="AO14" s="38" t="s">
        <v>172</v>
      </c>
      <c r="AP14" s="38" t="s">
        <v>71</v>
      </c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howErrorMessage="1" sqref="E4:E30" xr:uid="{470A0164-4447-46C9-840E-76C056F7BF0C}">
      <formula1>$Z$2:$AC$2</formula1>
    </dataValidation>
    <dataValidation type="list" showInputMessage="1" showErrorMessage="1" sqref="K4:K30 P4:P30 F4:F30 U4:U30" xr:uid="{FE75498A-8246-4F6C-960D-083F3E738948}">
      <formula1>"ロン,ツモ,放銃,ツモ支払,流局,チョンボ"</formula1>
    </dataValidation>
    <dataValidation type="list" allowBlank="1" showInputMessage="1" sqref="F1:Y1" xr:uid="{E0A28306-56E6-4FC5-8C91-AFF46A3244B9}">
      <formula1>"だいち,りくと,ただ,てんちゃん,"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5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5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5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5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5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5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5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5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5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5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5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5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5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5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2020-03-30T06:12:05Z</dcterms:modified>
</cp:coreProperties>
</file>