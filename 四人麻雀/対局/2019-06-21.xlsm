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寮祭麻雀大会\対局\"/>
    </mc:Choice>
  </mc:AlternateContent>
  <xr:revisionPtr revIDLastSave="0" documentId="13_ncr:1_{C760B6D5-FEAF-4C0E-AA7E-78F59ADC135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" i="20" l="1"/>
  <c r="AB3" i="20"/>
  <c r="AA3" i="20"/>
  <c r="Z3" i="20"/>
  <c r="Y30" i="20" l="1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B5" i="20"/>
  <c r="B6" i="20" s="1"/>
  <c r="Y4" i="20"/>
  <c r="T4" i="20"/>
  <c r="O4" i="20"/>
  <c r="J4" i="20"/>
  <c r="AC2" i="20"/>
  <c r="AB2" i="20"/>
  <c r="AA2" i="20"/>
  <c r="Z2" i="20"/>
  <c r="Z4" i="20" l="1"/>
  <c r="AA4" i="20"/>
  <c r="AB4" i="20"/>
  <c r="AC4" i="20"/>
  <c r="C6" i="20"/>
  <c r="J5" i="20"/>
  <c r="Y5" i="20"/>
  <c r="O5" i="20"/>
  <c r="T5" i="20"/>
  <c r="A5" i="20"/>
  <c r="T6" i="20"/>
  <c r="AB6" i="20" s="1"/>
  <c r="Y6" i="20"/>
  <c r="AC6" i="20" s="1"/>
  <c r="J6" i="20"/>
  <c r="Z6" i="20" s="1"/>
  <c r="O6" i="20"/>
  <c r="AA6" i="20" s="1"/>
  <c r="A6" i="20"/>
  <c r="B7" i="20"/>
  <c r="C7" i="20" l="1"/>
  <c r="AB5" i="20"/>
  <c r="AA5" i="20"/>
  <c r="AC5" i="20"/>
  <c r="Z5" i="20"/>
  <c r="B8" i="20"/>
  <c r="O7" i="20"/>
  <c r="Y7" i="20"/>
  <c r="A7" i="20"/>
  <c r="J7" i="20"/>
  <c r="T7" i="20"/>
  <c r="AC7" i="20" l="1"/>
  <c r="Z7" i="20"/>
  <c r="AA7" i="20"/>
  <c r="AB7" i="20"/>
  <c r="B9" i="20"/>
  <c r="O8" i="20"/>
  <c r="T8" i="20"/>
  <c r="J8" i="20"/>
  <c r="Y8" i="20"/>
  <c r="A8" i="20"/>
  <c r="Z8" i="20" l="1"/>
  <c r="AB8" i="20"/>
  <c r="AA8" i="20"/>
  <c r="AC8" i="20"/>
  <c r="J9" i="20"/>
  <c r="Z9" i="20" s="1"/>
  <c r="B10" i="20"/>
  <c r="O9" i="20"/>
  <c r="AA9" i="20" s="1"/>
  <c r="Y9" i="20"/>
  <c r="AC9" i="20" s="1"/>
  <c r="T9" i="20"/>
  <c r="AB9" i="20" s="1"/>
  <c r="A9" i="20"/>
  <c r="B11" i="20" l="1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<sst xmlns="http://schemas.openxmlformats.org/spreadsheetml/2006/main" count="375" uniqueCount="34">
  <si>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</si>
  <si>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</si>
  <si>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</si>
  <si>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</si>
  <si>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</si>
  <si>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</si>
  <si>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</si>
  <si>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</si>
  <si>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</si>
  <si>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</si>
  <si>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</si>
  <si>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</si>
  <si>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</si>
  <si>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</si>
  <si>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</si>
  <si>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</si>
  <si>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</si>
  <si>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</si>
  <si>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</si>
  <si>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</si>
  <si>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</si>
  <si>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</si>
  <si>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ただ</t>
  </si>
  <si>
    <t>ただ</t>
    <phoneticPr fontId="1"/>
  </si>
  <si>
    <t>だいち</t>
  </si>
  <si>
    <t>だいち</t>
    <phoneticPr fontId="1"/>
  </si>
  <si>
    <t>よだ</t>
  </si>
  <si>
    <t>よだ</t>
    <phoneticPr fontId="1"/>
  </si>
  <si>
    <t>やがさき</t>
  </si>
  <si>
    <t>やがさき</t>
    <phoneticPr fontId="1"/>
  </si>
  <si>
    <t>ツモ支払</t>
  </si>
  <si>
    <t>ツモ</t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</si>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</sst>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6" t="s">
        <v>0</v>
      </c>
      <c r="B1" s="48" t="s">
        <v>2</v>
      </c>
      <c r="C1" s="48" t="s">
        <v>1</v>
      </c>
      <c r="D1" s="48" t="s">
        <v>18</v>
      </c>
      <c r="E1" s="50" t="s">
        <v>3</v>
      </c>
      <c r="F1" s="41" t="s">
        <v>23</v>
      </c>
      <c r="G1" s="42"/>
      <c r="H1" s="42"/>
      <c r="I1" s="43"/>
      <c r="J1" s="44"/>
      <c r="K1" s="41" t="s">
        <v>25</v>
      </c>
      <c r="L1" s="42"/>
      <c r="M1" s="42"/>
      <c r="N1" s="43"/>
      <c r="O1" s="44"/>
      <c r="P1" s="41" t="s">
        <v>27</v>
      </c>
      <c r="Q1" s="42"/>
      <c r="R1" s="42"/>
      <c r="S1" s="43"/>
      <c r="T1" s="44"/>
      <c r="U1" s="41" t="s">
        <v>29</v>
      </c>
      <c r="V1" s="42"/>
      <c r="W1" s="42"/>
      <c r="X1" s="43"/>
      <c r="Y1" s="44"/>
      <c r="Z1" s="41" t="s">
        <v>6</v>
      </c>
      <c r="AA1" s="45"/>
      <c r="AB1" s="42"/>
      <c r="AC1" s="44"/>
    </row>
    <row r="2" spans="1:29" x14ac:dyDescent="0.4">
      <c r="A2" s="47"/>
      <c r="B2" s="49"/>
      <c r="C2" s="49"/>
      <c r="D2" s="49"/>
      <c r="E2" s="51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ただ</v>
      </c>
      <c r="AA2" s="40" t="str">
        <f>$K$1</f>
        <v>だいち</v>
      </c>
      <c r="AB2" s="40" t="str">
        <f>$P$1</f>
        <v>よだ</v>
      </c>
      <c r="AC2" s="16" t="str">
        <f>$U$1</f>
        <v>やがさき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22</v>
      </c>
      <c r="F4" s="8" t="s">
        <v>30</v>
      </c>
      <c r="G4" s="9">
        <v>-2600</v>
      </c>
      <c r="H4" s="9"/>
      <c r="I4" s="28">
        <v>0</v>
      </c>
      <c r="J4" s="21">
        <f>IF(COUNTA($F4,$K4,$P4,$U4)&gt;0,J3+SUM(G4:I4),"")</f>
        <v>27400</v>
      </c>
      <c r="K4" s="8" t="s">
        <v>31</v>
      </c>
      <c r="L4" s="9">
        <v>5200</v>
      </c>
      <c r="M4" s="9"/>
      <c r="N4" s="28">
        <v>0</v>
      </c>
      <c r="O4" s="21">
        <f>IF(COUNTA($F4,$K4,$P4,$U4)&gt;0,O3+SUM(L4:N4),"")</f>
        <v>35200</v>
      </c>
      <c r="P4" s="8" t="s">
        <v>30</v>
      </c>
      <c r="Q4" s="9">
        <v>-1300</v>
      </c>
      <c r="R4" s="9"/>
      <c r="S4" s="28">
        <v>0</v>
      </c>
      <c r="T4" s="21">
        <f>IF(COUNTA($F4,$K4,$P4,$U4)&gt;0,T3+SUM(Q4:S4),"")</f>
        <v>28700</v>
      </c>
      <c r="U4" s="8" t="s">
        <v>30</v>
      </c>
      <c r="V4" s="9">
        <v>-1300</v>
      </c>
      <c r="W4" s="9"/>
      <c r="X4" s="28">
        <v>0</v>
      </c>
      <c r="Y4" s="21">
        <f>IF(COUNTA($F4,$K4,$P4,$U4)&gt;0,Y3+SUM(V4:X4),"")</f>
        <v>28700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-12.6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35.200000000000003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-11.3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-11.3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24</v>
      </c>
      <c r="F5" s="8" t="s">
        <v>31</v>
      </c>
      <c r="G5" s="9">
        <v>1100</v>
      </c>
      <c r="H5" s="9"/>
      <c r="I5" s="28">
        <v>0</v>
      </c>
      <c r="J5" s="21">
        <f t="shared" ref="J5:J30" si="1">IF(COUNTA($F5,$K5,$P5,$U5)&gt;0,J4+SUM(G5:I5),"")</f>
        <v>28500</v>
      </c>
      <c r="K5" s="8" t="s">
        <v>30</v>
      </c>
      <c r="L5" s="9">
        <v>-500</v>
      </c>
      <c r="M5" s="9"/>
      <c r="N5" s="28">
        <v>0</v>
      </c>
      <c r="O5" s="21">
        <f t="shared" ref="O5:O30" si="2">IF(COUNTA($F5,$K5,$P5,$U5)&gt;0,O4+SUM(L5:N5),"")</f>
        <v>34700</v>
      </c>
      <c r="P5" s="8" t="s">
        <v>30</v>
      </c>
      <c r="Q5" s="9">
        <v>-300</v>
      </c>
      <c r="R5" s="9"/>
      <c r="S5" s="28">
        <v>0</v>
      </c>
      <c r="T5" s="21">
        <f t="shared" ref="T5:T30" si="3">IF(COUNTA($F5,$K5,$P5,$U5)&gt;0,T4+SUM(Q5:S5),"")</f>
        <v>28400</v>
      </c>
      <c r="U5" s="8" t="s">
        <v>30</v>
      </c>
      <c r="V5" s="9">
        <v>-300</v>
      </c>
      <c r="W5" s="9"/>
      <c r="X5" s="28">
        <v>0</v>
      </c>
      <c r="Y5" s="21">
        <f t="shared" ref="Y5:Y30" si="4">IF(COUNTA($F5,$K5,$P5,$U5)&gt;0,Y4+SUM(V5:X5),"")</f>
        <v>28400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-11.5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34.700000000000003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-11.6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-11.6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26</v>
      </c>
      <c r="F6" s="8" t="s">
        <v>31</v>
      </c>
      <c r="G6" s="9">
        <v>5200</v>
      </c>
      <c r="H6" s="9"/>
      <c r="I6" s="28">
        <v>0</v>
      </c>
      <c r="J6" s="21">
        <f t="shared" si="1"/>
        <v>33700</v>
      </c>
      <c r="K6" s="8" t="s">
        <v>30</v>
      </c>
      <c r="L6" s="9">
        <v>-1300</v>
      </c>
      <c r="M6" s="9"/>
      <c r="N6" s="28">
        <v>0</v>
      </c>
      <c r="O6" s="21">
        <f t="shared" si="2"/>
        <v>33400</v>
      </c>
      <c r="P6" s="8" t="s">
        <v>30</v>
      </c>
      <c r="Q6" s="9">
        <v>-2600</v>
      </c>
      <c r="R6" s="9"/>
      <c r="S6" s="28">
        <v>0</v>
      </c>
      <c r="T6" s="21">
        <f t="shared" si="3"/>
        <v>25800</v>
      </c>
      <c r="U6" s="8" t="s">
        <v>30</v>
      </c>
      <c r="V6" s="9">
        <v>-1300</v>
      </c>
      <c r="W6" s="9"/>
      <c r="X6" s="28">
        <v>0</v>
      </c>
      <c r="Y6" s="21">
        <f t="shared" si="4"/>
        <v>27100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18.7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8.4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-14.2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-12.9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28</v>
      </c>
      <c r="F7" s="8"/>
      <c r="G7" s="9"/>
      <c r="H7" s="9"/>
      <c r="I7" s="28"/>
      <c r="J7" s="21">
        <f t="shared" si="1"/>
        <v>33700</v>
      </c>
      <c r="K7" s="8" t="s">
        <v>32</v>
      </c>
      <c r="L7" s="9">
        <v>1000</v>
      </c>
      <c r="M7" s="9">
        <v>1000</v>
      </c>
      <c r="N7" s="28">
        <v>0</v>
      </c>
      <c r="O7" s="21">
        <f t="shared" si="2"/>
        <v>35400</v>
      </c>
      <c r="P7" s="8" t="s">
        <v>33</v>
      </c>
      <c r="Q7" s="9">
        <v>-1000</v>
      </c>
      <c r="R7" s="9"/>
      <c r="S7" s="28">
        <v>0</v>
      </c>
      <c r="T7" s="21">
        <f t="shared" si="3"/>
        <v>24800</v>
      </c>
      <c r="U7" s="8"/>
      <c r="V7" s="9"/>
      <c r="W7" s="9">
        <v>-1000</v>
      </c>
      <c r="X7" s="28"/>
      <c r="Y7" s="21">
        <f t="shared" si="4"/>
        <v>26100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8.6999999999999993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20.399999999999999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-15.2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-13.9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10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2019-06-21T14:38:37Z</dcterms:modified>
</cp:coreProperties>
</file>