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9C501DF3-6DDC-4CA5-B33B-E7B2B22756A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1" l="1"/>
  <c r="AB3" i="1"/>
  <c r="AA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AC7" i="1" s="1"/>
  <c r="Y30" i="1"/>
  <c r="AC30" i="1" s="1"/>
  <c r="Y29" i="1"/>
  <c r="AC29" i="1" s="1"/>
  <c r="Y28" i="1"/>
  <c r="AC28" i="1" s="1"/>
  <c r="Y27" i="1"/>
  <c r="AC27" i="1" s="1"/>
  <c r="Y26" i="1"/>
  <c r="AC26" i="1" s="1"/>
  <c r="Y25" i="1"/>
  <c r="AC25" i="1" s="1"/>
  <c r="Y24" i="1"/>
  <c r="AC24" i="1" s="1"/>
  <c r="Y23" i="1"/>
  <c r="AC23" i="1" s="1"/>
  <c r="Y22" i="1"/>
  <c r="AC22" i="1" s="1"/>
  <c r="Y21" i="1"/>
  <c r="AC21" i="1" s="1"/>
  <c r="Y20" i="1"/>
  <c r="AC20" i="1" s="1"/>
  <c r="Y19" i="1"/>
  <c r="AC19" i="1" s="1"/>
  <c r="Y18" i="1"/>
  <c r="AC18" i="1" s="1"/>
  <c r="Y17" i="1"/>
  <c r="AC17" i="1" s="1"/>
  <c r="Y16" i="1"/>
  <c r="AC16" i="1" s="1"/>
  <c r="Y15" i="1"/>
  <c r="AC15" i="1" s="1"/>
  <c r="Y14" i="1"/>
  <c r="AC14" i="1" s="1"/>
  <c r="Y13" i="1"/>
  <c r="AC13" i="1" s="1"/>
  <c r="Y12" i="1"/>
  <c r="AC12" i="1" s="1"/>
  <c r="Y11" i="1"/>
  <c r="AC11" i="1" s="1"/>
  <c r="Y10" i="1"/>
  <c r="AC10" i="1" s="1"/>
  <c r="Y9" i="1"/>
  <c r="AC9" i="1" s="1"/>
  <c r="Y8" i="1"/>
  <c r="AC8" i="1" s="1"/>
  <c r="Y6" i="1"/>
  <c r="AC6" i="1" s="1"/>
  <c r="T30" i="1"/>
  <c r="AB30" i="1" s="1"/>
  <c r="T29" i="1"/>
  <c r="AB29" i="1" s="1"/>
  <c r="T28" i="1"/>
  <c r="AB28" i="1" s="1"/>
  <c r="T27" i="1"/>
  <c r="AB27" i="1" s="1"/>
  <c r="T26" i="1"/>
  <c r="AB26" i="1" s="1"/>
  <c r="T25" i="1"/>
  <c r="AB25" i="1" s="1"/>
  <c r="T24" i="1"/>
  <c r="AB24" i="1" s="1"/>
  <c r="T23" i="1"/>
  <c r="AB23" i="1" s="1"/>
  <c r="T22" i="1"/>
  <c r="AB22" i="1" s="1"/>
  <c r="T21" i="1"/>
  <c r="AB21" i="1" s="1"/>
  <c r="T20" i="1"/>
  <c r="AB20" i="1" s="1"/>
  <c r="T19" i="1"/>
  <c r="AB19" i="1" s="1"/>
  <c r="T18" i="1"/>
  <c r="AB18" i="1" s="1"/>
  <c r="T17" i="1"/>
  <c r="AB17" i="1" s="1"/>
  <c r="T16" i="1"/>
  <c r="AB16" i="1" s="1"/>
  <c r="T15" i="1"/>
  <c r="AB15" i="1" s="1"/>
  <c r="T14" i="1"/>
  <c r="AB14" i="1" s="1"/>
  <c r="T13" i="1"/>
  <c r="AB13" i="1" s="1"/>
  <c r="T12" i="1"/>
  <c r="AB12" i="1" s="1"/>
  <c r="T11" i="1"/>
  <c r="AB11" i="1" s="1"/>
  <c r="T10" i="1"/>
  <c r="AB10" i="1" s="1"/>
  <c r="T9" i="1"/>
  <c r="AB9" i="1" s="1"/>
  <c r="T8" i="1"/>
  <c r="AB8" i="1" s="1"/>
  <c r="T7" i="1"/>
  <c r="AB7" i="1" s="1"/>
  <c r="T6" i="1"/>
  <c r="AB6" i="1" s="1"/>
  <c r="O30" i="1"/>
  <c r="AA30" i="1" s="1"/>
  <c r="O29" i="1"/>
  <c r="AA29" i="1" s="1"/>
  <c r="O28" i="1"/>
  <c r="AA28" i="1" s="1"/>
  <c r="O27" i="1"/>
  <c r="AA27" i="1" s="1"/>
  <c r="O26" i="1"/>
  <c r="AA26" i="1" s="1"/>
  <c r="O25" i="1"/>
  <c r="AA25" i="1" s="1"/>
  <c r="O24" i="1"/>
  <c r="AA24" i="1" s="1"/>
  <c r="O23" i="1"/>
  <c r="AA23" i="1" s="1"/>
  <c r="O22" i="1"/>
  <c r="AA22" i="1" s="1"/>
  <c r="O21" i="1"/>
  <c r="AA21" i="1" s="1"/>
  <c r="O20" i="1"/>
  <c r="AA20" i="1" s="1"/>
  <c r="O19" i="1"/>
  <c r="AA19" i="1" s="1"/>
  <c r="O18" i="1"/>
  <c r="AA18" i="1" s="1"/>
  <c r="O17" i="1"/>
  <c r="AA17" i="1" s="1"/>
  <c r="O16" i="1"/>
  <c r="AA16" i="1" s="1"/>
  <c r="O15" i="1"/>
  <c r="AA15" i="1" s="1"/>
  <c r="O14" i="1"/>
  <c r="AA14" i="1" s="1"/>
  <c r="O13" i="1"/>
  <c r="AA13" i="1" s="1"/>
  <c r="O12" i="1"/>
  <c r="AA12" i="1" s="1"/>
  <c r="O11" i="1"/>
  <c r="AA11" i="1" s="1"/>
  <c r="O10" i="1"/>
  <c r="AA10" i="1" s="1"/>
  <c r="O9" i="1"/>
  <c r="AA9" i="1" s="1"/>
  <c r="O8" i="1"/>
  <c r="AA8" i="1" s="1"/>
  <c r="O7" i="1"/>
  <c r="AA7" i="1" s="1"/>
  <c r="O6" i="1"/>
  <c r="AA6" i="1" s="1"/>
  <c r="J30" i="1"/>
  <c r="Z30" i="1" s="1"/>
  <c r="J29" i="1"/>
  <c r="Z29" i="1" s="1"/>
  <c r="J28" i="1"/>
  <c r="Z28" i="1" s="1"/>
  <c r="J27" i="1"/>
  <c r="Z27" i="1" s="1"/>
  <c r="J26" i="1"/>
  <c r="Z26" i="1" s="1"/>
  <c r="J25" i="1"/>
  <c r="Z25" i="1" s="1"/>
  <c r="J24" i="1"/>
  <c r="Z24" i="1" s="1"/>
  <c r="J23" i="1"/>
  <c r="Z23" i="1" s="1"/>
  <c r="J22" i="1"/>
  <c r="Z22" i="1" s="1"/>
  <c r="J21" i="1"/>
  <c r="Z21" i="1" s="1"/>
  <c r="J20" i="1"/>
  <c r="Z20" i="1" s="1"/>
  <c r="J19" i="1"/>
  <c r="Z19" i="1" s="1"/>
  <c r="J18" i="1"/>
  <c r="Z18" i="1" s="1"/>
  <c r="J17" i="1"/>
  <c r="Z17" i="1" s="1"/>
  <c r="J16" i="1"/>
  <c r="Z16" i="1" s="1"/>
  <c r="J15" i="1"/>
  <c r="Z15" i="1" s="1"/>
  <c r="J14" i="1"/>
  <c r="Z14" i="1" s="1"/>
  <c r="J13" i="1"/>
  <c r="Z13" i="1" s="1"/>
  <c r="J12" i="1"/>
  <c r="Z12" i="1" s="1"/>
  <c r="J11" i="1"/>
  <c r="Z11" i="1" s="1"/>
  <c r="J10" i="1"/>
  <c r="Z10" i="1" s="1"/>
  <c r="J9" i="1"/>
  <c r="Z9" i="1" s="1"/>
  <c r="J8" i="1"/>
  <c r="Z8" i="1" s="1"/>
  <c r="J7" i="1"/>
  <c r="Z7" i="1" s="1"/>
  <c r="J6" i="1"/>
  <c r="Z6" i="1" s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Y5" i="1" s="1"/>
  <c r="AC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T5" i="1" s="1"/>
  <c r="AB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4" i="1" s="1"/>
  <c r="AA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J4" i="1" s="1"/>
  <c r="Z4" i="1" s="1"/>
  <c r="A5" i="1"/>
  <c r="AB4" i="1" l="1"/>
  <c r="AC4" i="1"/>
  <c r="J5" i="1"/>
  <c r="Z5" i="1" s="1"/>
  <c r="O5" i="1"/>
  <c r="AA5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6" i="1" l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<sst xmlns="http://schemas.openxmlformats.org/spreadsheetml/2006/main" count="94" uniqueCount="26">
  <si>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</si>
  <si>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</si>
  <si>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</si>
  <si>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</si>
  <si>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</si>
  <si>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</si>
  <si>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</si>
  <si>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</si>
  <si>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</si>
  <si>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Player1</t>
    <phoneticPr fontId="1"/>
  </si>
  <si>
    <t>Player2</t>
    <phoneticPr fontId="1"/>
  </si>
  <si>
    <t>Player3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</si>
  <si>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</si>
  <si>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</si>
  <si>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</si>
  <si>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</si>
  <si>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</si>
  <si>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</si>
  <si>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Player4</t>
    <phoneticPr fontId="1"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</si>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</sst>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24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2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26" xfId="0" applyNumberFormat="1" applyFill="1" applyBorder="1" applyAlignment="1">
      <alignment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41" t="s">
        <v>0</v>
      </c>
      <c r="B1" s="43" t="s">
        <v>2</v>
      </c>
      <c r="C1" s="43" t="s">
        <v>1</v>
      </c>
      <c r="D1" s="43" t="s">
        <v>6</v>
      </c>
      <c r="E1" s="45" t="s">
        <v>3</v>
      </c>
      <c r="F1" s="47" t="s">
        <v>9</v>
      </c>
      <c r="G1" s="48"/>
      <c r="H1" s="48"/>
      <c r="I1" s="49"/>
      <c r="J1" s="50"/>
      <c r="K1" s="47" t="s">
        <v>10</v>
      </c>
      <c r="L1" s="48"/>
      <c r="M1" s="48"/>
      <c r="N1" s="49"/>
      <c r="O1" s="50"/>
      <c r="P1" s="47" t="s">
        <v>11</v>
      </c>
      <c r="Q1" s="48"/>
      <c r="R1" s="48"/>
      <c r="S1" s="49"/>
      <c r="T1" s="50"/>
      <c r="U1" s="47" t="s">
        <v>18</v>
      </c>
      <c r="V1" s="48"/>
      <c r="W1" s="48"/>
      <c r="X1" s="49"/>
      <c r="Y1" s="50"/>
      <c r="Z1" s="51" t="s">
        <v>8</v>
      </c>
      <c r="AA1" s="52"/>
      <c r="AB1" s="52"/>
      <c r="AC1" s="53"/>
    </row>
    <row r="2" spans="1:29" x14ac:dyDescent="0.4">
      <c r="A2" s="42"/>
      <c r="B2" s="44"/>
      <c r="C2" s="44"/>
      <c r="D2" s="44"/>
      <c r="E2" s="46"/>
      <c r="F2" s="2" t="s">
        <v>7</v>
      </c>
      <c r="G2" s="3" t="s">
        <v>15</v>
      </c>
      <c r="H2" s="3" t="s">
        <v>4</v>
      </c>
      <c r="I2" s="7" t="s">
        <v>12</v>
      </c>
      <c r="J2" s="8" t="s">
        <v>5</v>
      </c>
      <c r="K2" s="2" t="s">
        <v>7</v>
      </c>
      <c r="L2" s="3" t="s">
        <v>16</v>
      </c>
      <c r="M2" s="3" t="s">
        <v>4</v>
      </c>
      <c r="N2" s="7" t="s">
        <v>13</v>
      </c>
      <c r="O2" s="8" t="s">
        <v>5</v>
      </c>
      <c r="P2" s="2" t="s">
        <v>7</v>
      </c>
      <c r="Q2" s="3" t="s">
        <v>16</v>
      </c>
      <c r="R2" s="3" t="s">
        <v>4</v>
      </c>
      <c r="S2" s="7" t="s">
        <v>13</v>
      </c>
      <c r="T2" s="8" t="s">
        <v>5</v>
      </c>
      <c r="U2" s="2" t="s">
        <v>7</v>
      </c>
      <c r="V2" s="3" t="s">
        <v>16</v>
      </c>
      <c r="W2" s="3" t="s">
        <v>4</v>
      </c>
      <c r="X2" s="29" t="s">
        <v>13</v>
      </c>
      <c r="Y2" s="8" t="s">
        <v>5</v>
      </c>
      <c r="Z2" s="28" t="str">
        <f>$F$1</f>
        <v>Player1</v>
      </c>
      <c r="AA2" s="29" t="str">
        <f>$K$1</f>
        <v>Player2</v>
      </c>
      <c r="AB2" s="31" t="str">
        <f>$P$1</f>
        <v>Player3</v>
      </c>
      <c r="AC2" s="30" t="str">
        <f>$U$1</f>
        <v>Player4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32">
        <f>IF($J3="","",ROUND(($J3-$J$3)/1000,1))</f>
        <v>0</v>
      </c>
      <c r="AA3" s="33">
        <f>IF($O3="","",ROUND(($O3-$O$3)/1000,1))</f>
        <v>0</v>
      </c>
      <c r="AB3" s="33">
        <f>IF($T3="","",ROUND(($T3-$T$3)/1000,1))</f>
        <v>0</v>
      </c>
      <c r="AC3" s="34">
        <f>IF($Y3="","",ROUND(($Y3-$Y$3)/1000,1))</f>
        <v>0</v>
      </c>
    </row>
    <row r="4" spans="1:29" x14ac:dyDescent="0.4">
      <c r="A4" s="17" t="s">
        <v>14</v>
      </c>
      <c r="B4" s="21">
        <v>1</v>
      </c>
      <c r="C4" s="21">
        <v>0</v>
      </c>
      <c r="D4" s="21">
        <v>0</v>
      </c>
      <c r="E4" s="5"/>
      <c r="F4" s="10"/>
      <c r="G4" s="11"/>
      <c r="H4" s="11"/>
      <c r="I4" s="12" t="str">
        <f>IF(OR(F4="ロン",F4="ツモ"),$C4*300,IF(F4="放銃",$C4*-300,IF(F4="ツモ支払",$C4*-100,"")))</f>
        <v/>
      </c>
      <c r="J4" s="24" t="str">
        <f>IF(COUNTA($F4,$K4,$P4,$U4)&gt;0,J3+SUM(G4:I4),"")</f>
        <v/>
      </c>
      <c r="K4" s="10"/>
      <c r="L4" s="11"/>
      <c r="M4" s="11"/>
      <c r="N4" s="12" t="str">
        <f t="shared" ref="N4:N31" si="0">IF(OR(K4="ロン",K4="ツモ"),$C4*300,IF(K4="放銃",$C4*-300,IF(K4="ツモ支払",$C4*-100,"")))</f>
        <v/>
      </c>
      <c r="O4" s="24" t="str">
        <f t="shared" ref="O4:O30" si="1">IF(COUNTA($F4,$K4,$P4,$U4)&gt;0,O3+SUM(L4:N4),"")</f>
        <v/>
      </c>
      <c r="P4" s="10"/>
      <c r="Q4" s="11"/>
      <c r="R4" s="11"/>
      <c r="S4" s="12" t="str">
        <f>IF(OR(P4="ロン",P4="ツモ"),$C4*300,IF(P4="放銃",$C4*-300,IF(P4="ツモ支払",$C4*-100,"")))</f>
        <v/>
      </c>
      <c r="T4" s="24" t="str">
        <f t="shared" ref="T4:T30" si="2">IF(COUNTA($F4,$K4,$P4,$U4)&gt;0,T3+SUM(Q4:S4),"")</f>
        <v/>
      </c>
      <c r="U4" s="10"/>
      <c r="V4" s="11"/>
      <c r="W4" s="11"/>
      <c r="X4" s="12" t="str">
        <f>IF(OR(U4="ロン",U4="ツモ"),$C4*300,IF(U4="放銃",$C4*-300,IF(U4="ツモ支払",$C4*-100,"")))</f>
        <v/>
      </c>
      <c r="Y4" s="24" t="str">
        <f t="shared" ref="Y4:Y30" si="3">IF(COUNTA($F4,$K4,$P4,$U4)&gt;0,Y3+SUM(V4:X4),"")</f>
        <v/>
      </c>
      <c r="Z4" s="35" t="str">
        <f t="shared" ref="Z4:Z30" si="4">IF($J4="","",ROUND(($J4-$J$3)/1000,0))</f>
        <v/>
      </c>
      <c r="AA4" s="36" t="str">
        <f t="shared" ref="AA4:AA30" si="5">IF($O4="","",ROUND(($O4-$O$3)/1000,0))</f>
        <v/>
      </c>
      <c r="AB4" s="36" t="str">
        <f t="shared" ref="AB4:AB30" si="6">IF($T4="","",ROUND(($T4-$T$3)/1000,0))</f>
        <v/>
      </c>
      <c r="AC4" s="37" t="str">
        <f t="shared" ref="AC4:AC30" si="7">IF($Y4="","",ROUND(($Y4-$Y$3)/1000,0))</f>
        <v/>
      </c>
    </row>
    <row r="5" spans="1:29" x14ac:dyDescent="0.4">
      <c r="A5" s="17" t="str">
        <f>IF($E5="","",IF(AND(B4=3,B5=1),IF(A4="東","南",IF(A4="南","西",IF(A4="西","北",IF(A4="北","東","")))),A4))</f>
        <v/>
      </c>
      <c r="B5" s="21" t="str">
        <f>IF($E5="","",IF($E4=$E5,B4,IF(B4=4,1,B4+1)))</f>
        <v/>
      </c>
      <c r="C5" s="21" t="str">
        <f>IF($E5="","",IF($E4=$E5,C4+1,0))</f>
        <v/>
      </c>
      <c r="D5" s="21" t="str">
        <f>IF($E5="","",IF(OR($F4="流局",$F4="チョンボ"),D4+($H4+$M4+$R4+$W4)/-1000,0))</f>
        <v/>
      </c>
      <c r="E5" s="5"/>
      <c r="F5" s="10"/>
      <c r="G5" s="11"/>
      <c r="H5" s="11"/>
      <c r="I5" s="12" t="str">
        <f t="shared" ref="I5:I30" si="8">IF(OR(F5="ロン",F5="ツモ"),$C5*300,IF(F5="放銃",$C5*-300,IF(F5="ツモ支払",$C5*-100,"")))</f>
        <v/>
      </c>
      <c r="J5" s="24" t="str">
        <f t="shared" ref="J5:J30" si="9">IF(COUNTA($F5,$K5,$P5,$U5)&gt;0,J4+SUM(G5:I5),"")</f>
        <v/>
      </c>
      <c r="K5" s="10"/>
      <c r="L5" s="11"/>
      <c r="M5" s="11"/>
      <c r="N5" s="12" t="str">
        <f t="shared" si="0"/>
        <v/>
      </c>
      <c r="O5" s="24" t="str">
        <f t="shared" si="1"/>
        <v/>
      </c>
      <c r="P5" s="10"/>
      <c r="Q5" s="11"/>
      <c r="R5" s="11"/>
      <c r="S5" s="12" t="str">
        <f t="shared" ref="S5:S30" si="10">IF(OR(P5="ロン",P5="ツモ"),$C5*300,IF(P5="放銃",$C5*-300,IF(P5="ツモ支払",$C5*-100,"")))</f>
        <v/>
      </c>
      <c r="T5" s="24" t="str">
        <f t="shared" si="2"/>
        <v/>
      </c>
      <c r="U5" s="10"/>
      <c r="V5" s="11"/>
      <c r="W5" s="11"/>
      <c r="X5" s="12" t="str">
        <f t="shared" ref="X5:X30" si="11">IF(OR(U5="ロン",U5="ツモ"),$C5*300,IF(U5="放銃",$C5*-300,IF(U5="ツモ支払",$C5*-100,"")))</f>
        <v/>
      </c>
      <c r="Y5" s="24" t="str">
        <f t="shared" si="3"/>
        <v/>
      </c>
      <c r="Z5" s="35" t="str">
        <f t="shared" si="4"/>
        <v/>
      </c>
      <c r="AA5" s="36" t="str">
        <f t="shared" si="5"/>
        <v/>
      </c>
      <c r="AB5" s="36" t="str">
        <f t="shared" si="6"/>
        <v/>
      </c>
      <c r="AC5" s="37" t="str">
        <f t="shared" si="7"/>
        <v/>
      </c>
    </row>
    <row r="6" spans="1:29" x14ac:dyDescent="0.4">
      <c r="A6" s="17" t="str">
        <f t="shared" ref="A6:A30" si="12">IF($E6="","",IF(AND(B5=3,B6=1),IF(A5="東","南",IF(A5="南","西",IF(A5="西","北",IF(A5="北","東","")))),A5))</f>
        <v/>
      </c>
      <c r="B6" s="21" t="str">
        <f t="shared" ref="B6:B30" si="13">IF($E6="","",IF($E5=$E6,B5,IF(B5=4,1,B5+1)))</f>
        <v/>
      </c>
      <c r="C6" s="21" t="str">
        <f t="shared" ref="C6:C30" si="14">IF($E6="","",IF($E5=$E6,C5+1,0))</f>
        <v/>
      </c>
      <c r="D6" s="21" t="str">
        <f t="shared" ref="D6:D30" si="15">IF($E6="","",IF(OR($F5="流局",$F5="チョンボ"),D5+($H5+$M5+$R5+$W5)/-1000,0))</f>
        <v/>
      </c>
      <c r="E6" s="5"/>
      <c r="F6" s="10"/>
      <c r="G6" s="11"/>
      <c r="H6" s="11"/>
      <c r="I6" s="12" t="str">
        <f t="shared" si="8"/>
        <v/>
      </c>
      <c r="J6" s="24" t="str">
        <f t="shared" si="9"/>
        <v/>
      </c>
      <c r="K6" s="10"/>
      <c r="L6" s="11"/>
      <c r="M6" s="11"/>
      <c r="N6" s="12" t="str">
        <f t="shared" si="0"/>
        <v/>
      </c>
      <c r="O6" s="24" t="str">
        <f t="shared" si="1"/>
        <v/>
      </c>
      <c r="P6" s="10"/>
      <c r="Q6" s="11"/>
      <c r="R6" s="11"/>
      <c r="S6" s="12" t="str">
        <f t="shared" si="10"/>
        <v/>
      </c>
      <c r="T6" s="24" t="str">
        <f t="shared" si="2"/>
        <v/>
      </c>
      <c r="U6" s="10"/>
      <c r="V6" s="11"/>
      <c r="W6" s="11"/>
      <c r="X6" s="12" t="str">
        <f t="shared" si="11"/>
        <v/>
      </c>
      <c r="Y6" s="24" t="str">
        <f t="shared" si="3"/>
        <v/>
      </c>
      <c r="Z6" s="35" t="str">
        <f t="shared" si="4"/>
        <v/>
      </c>
      <c r="AA6" s="36" t="str">
        <f t="shared" si="5"/>
        <v/>
      </c>
      <c r="AB6" s="36" t="str">
        <f t="shared" si="6"/>
        <v/>
      </c>
      <c r="AC6" s="37" t="str">
        <f t="shared" si="7"/>
        <v/>
      </c>
    </row>
    <row r="7" spans="1:29" x14ac:dyDescent="0.4">
      <c r="A7" s="17" t="str">
        <f t="shared" si="12"/>
        <v/>
      </c>
      <c r="B7" s="21" t="str">
        <f t="shared" si="13"/>
        <v/>
      </c>
      <c r="C7" s="21" t="str">
        <f t="shared" si="14"/>
        <v/>
      </c>
      <c r="D7" s="21" t="str">
        <f t="shared" si="15"/>
        <v/>
      </c>
      <c r="E7" s="5"/>
      <c r="F7" s="10"/>
      <c r="G7" s="11"/>
      <c r="H7" s="11"/>
      <c r="I7" s="12" t="str">
        <f t="shared" si="8"/>
        <v/>
      </c>
      <c r="J7" s="24" t="str">
        <f t="shared" si="9"/>
        <v/>
      </c>
      <c r="K7" s="10"/>
      <c r="L7" s="11"/>
      <c r="M7" s="11"/>
      <c r="N7" s="12" t="str">
        <f t="shared" si="0"/>
        <v/>
      </c>
      <c r="O7" s="24" t="str">
        <f t="shared" si="1"/>
        <v/>
      </c>
      <c r="P7" s="10"/>
      <c r="Q7" s="11"/>
      <c r="R7" s="11"/>
      <c r="S7" s="12" t="str">
        <f t="shared" si="10"/>
        <v/>
      </c>
      <c r="T7" s="24" t="str">
        <f t="shared" si="2"/>
        <v/>
      </c>
      <c r="U7" s="10"/>
      <c r="V7" s="11"/>
      <c r="W7" s="11"/>
      <c r="X7" s="12" t="str">
        <f t="shared" si="11"/>
        <v/>
      </c>
      <c r="Y7" s="24" t="str">
        <f>IF(COUNTA($F7,$K7,$P7,$U7)&gt;0,Y6+SUM(V7:X7),"")</f>
        <v/>
      </c>
      <c r="Z7" s="35" t="str">
        <f t="shared" si="4"/>
        <v/>
      </c>
      <c r="AA7" s="36" t="str">
        <f t="shared" si="5"/>
        <v/>
      </c>
      <c r="AB7" s="36" t="str">
        <f t="shared" si="6"/>
        <v/>
      </c>
      <c r="AC7" s="37" t="str">
        <f t="shared" si="7"/>
        <v/>
      </c>
    </row>
    <row r="8" spans="1:29" x14ac:dyDescent="0.4">
      <c r="A8" s="17" t="str">
        <f t="shared" si="12"/>
        <v/>
      </c>
      <c r="B8" s="21" t="str">
        <f t="shared" si="13"/>
        <v/>
      </c>
      <c r="C8" s="21" t="str">
        <f t="shared" si="14"/>
        <v/>
      </c>
      <c r="D8" s="21" t="str">
        <f t="shared" si="15"/>
        <v/>
      </c>
      <c r="E8" s="5"/>
      <c r="F8" s="10"/>
      <c r="G8" s="11"/>
      <c r="H8" s="11"/>
      <c r="I8" s="12" t="str">
        <f t="shared" si="8"/>
        <v/>
      </c>
      <c r="J8" s="24" t="str">
        <f t="shared" si="9"/>
        <v/>
      </c>
      <c r="K8" s="10"/>
      <c r="L8" s="11"/>
      <c r="M8" s="11"/>
      <c r="N8" s="12" t="str">
        <f t="shared" si="0"/>
        <v/>
      </c>
      <c r="O8" s="24" t="str">
        <f t="shared" si="1"/>
        <v/>
      </c>
      <c r="P8" s="10"/>
      <c r="Q8" s="11"/>
      <c r="R8" s="11"/>
      <c r="S8" s="12" t="str">
        <f t="shared" si="10"/>
        <v/>
      </c>
      <c r="T8" s="24" t="str">
        <f t="shared" si="2"/>
        <v/>
      </c>
      <c r="U8" s="10"/>
      <c r="V8" s="11"/>
      <c r="W8" s="11"/>
      <c r="X8" s="12" t="str">
        <f t="shared" si="11"/>
        <v/>
      </c>
      <c r="Y8" s="24" t="str">
        <f t="shared" si="3"/>
        <v/>
      </c>
      <c r="Z8" s="35" t="str">
        <f t="shared" si="4"/>
        <v/>
      </c>
      <c r="AA8" s="36" t="str">
        <f t="shared" si="5"/>
        <v/>
      </c>
      <c r="AB8" s="36" t="str">
        <f t="shared" si="6"/>
        <v/>
      </c>
      <c r="AC8" s="37" t="str">
        <f t="shared" si="7"/>
        <v/>
      </c>
    </row>
    <row r="9" spans="1:29" x14ac:dyDescent="0.4">
      <c r="A9" s="17" t="str">
        <f t="shared" si="12"/>
        <v/>
      </c>
      <c r="B9" s="21" t="str">
        <f t="shared" si="13"/>
        <v/>
      </c>
      <c r="C9" s="21" t="str">
        <f t="shared" si="14"/>
        <v/>
      </c>
      <c r="D9" s="21" t="str">
        <f>IF($E9="","",IF(OR($F8="流局",$F8="チョンボ"),D8+($H8+$M8+$R8+$W8)/-1000,0))</f>
        <v/>
      </c>
      <c r="E9" s="5"/>
      <c r="F9" s="10"/>
      <c r="G9" s="11"/>
      <c r="H9" s="11"/>
      <c r="I9" s="12" t="str">
        <f t="shared" si="8"/>
        <v/>
      </c>
      <c r="J9" s="24" t="str">
        <f t="shared" si="9"/>
        <v/>
      </c>
      <c r="K9" s="10"/>
      <c r="L9" s="11"/>
      <c r="M9" s="11"/>
      <c r="N9" s="12" t="str">
        <f t="shared" si="0"/>
        <v/>
      </c>
      <c r="O9" s="24" t="str">
        <f t="shared" si="1"/>
        <v/>
      </c>
      <c r="P9" s="10"/>
      <c r="Q9" s="11"/>
      <c r="R9" s="11"/>
      <c r="S9" s="12" t="str">
        <f t="shared" si="10"/>
        <v/>
      </c>
      <c r="T9" s="24" t="str">
        <f t="shared" si="2"/>
        <v/>
      </c>
      <c r="U9" s="10"/>
      <c r="V9" s="11"/>
      <c r="W9" s="11"/>
      <c r="X9" s="12" t="str">
        <f t="shared" si="11"/>
        <v/>
      </c>
      <c r="Y9" s="24" t="str">
        <f t="shared" si="3"/>
        <v/>
      </c>
      <c r="Z9" s="35" t="str">
        <f t="shared" si="4"/>
        <v/>
      </c>
      <c r="AA9" s="36" t="str">
        <f t="shared" si="5"/>
        <v/>
      </c>
      <c r="AB9" s="36" t="str">
        <f t="shared" si="6"/>
        <v/>
      </c>
      <c r="AC9" s="37" t="str">
        <f t="shared" si="7"/>
        <v/>
      </c>
    </row>
    <row r="10" spans="1:29" x14ac:dyDescent="0.4">
      <c r="A10" s="17" t="str">
        <f t="shared" si="12"/>
        <v/>
      </c>
      <c r="B10" s="21" t="str">
        <f t="shared" si="13"/>
        <v/>
      </c>
      <c r="C10" s="21" t="str">
        <f t="shared" si="14"/>
        <v/>
      </c>
      <c r="D10" s="21" t="str">
        <f>IF($E10="","",IF(OR($F9="流局",$F9="チョンボ"),D9+($H9+$M9+$R9+$W9)/-1000,0))</f>
        <v/>
      </c>
      <c r="E10" s="5"/>
      <c r="F10" s="10"/>
      <c r="G10" s="11"/>
      <c r="H10" s="11"/>
      <c r="I10" s="12" t="str">
        <f t="shared" si="8"/>
        <v/>
      </c>
      <c r="J10" s="24" t="str">
        <f t="shared" si="9"/>
        <v/>
      </c>
      <c r="K10" s="10"/>
      <c r="L10" s="11"/>
      <c r="M10" s="11"/>
      <c r="N10" s="12" t="str">
        <f t="shared" si="0"/>
        <v/>
      </c>
      <c r="O10" s="24" t="str">
        <f t="shared" si="1"/>
        <v/>
      </c>
      <c r="P10" s="10"/>
      <c r="Q10" s="11"/>
      <c r="R10" s="11"/>
      <c r="S10" s="12" t="str">
        <f t="shared" si="10"/>
        <v/>
      </c>
      <c r="T10" s="24" t="str">
        <f t="shared" si="2"/>
        <v/>
      </c>
      <c r="U10" s="10"/>
      <c r="V10" s="11"/>
      <c r="W10" s="11"/>
      <c r="X10" s="12" t="str">
        <f t="shared" si="11"/>
        <v/>
      </c>
      <c r="Y10" s="24" t="str">
        <f t="shared" si="3"/>
        <v/>
      </c>
      <c r="Z10" s="35" t="str">
        <f t="shared" si="4"/>
        <v/>
      </c>
      <c r="AA10" s="36" t="str">
        <f t="shared" si="5"/>
        <v/>
      </c>
      <c r="AB10" s="36" t="str">
        <f t="shared" si="6"/>
        <v/>
      </c>
      <c r="AC10" s="37" t="str">
        <f t="shared" si="7"/>
        <v/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35" t="str">
        <f t="shared" si="4"/>
        <v/>
      </c>
      <c r="AA11" s="36" t="str">
        <f t="shared" si="5"/>
        <v/>
      </c>
      <c r="AB11" s="36" t="str">
        <f t="shared" si="6"/>
        <v/>
      </c>
      <c r="AC11" s="37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35" t="str">
        <f t="shared" si="4"/>
        <v/>
      </c>
      <c r="AA12" s="36" t="str">
        <f t="shared" si="5"/>
        <v/>
      </c>
      <c r="AB12" s="36" t="str">
        <f t="shared" si="6"/>
        <v/>
      </c>
      <c r="AC12" s="37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35" t="str">
        <f t="shared" si="4"/>
        <v/>
      </c>
      <c r="AA13" s="36" t="str">
        <f t="shared" si="5"/>
        <v/>
      </c>
      <c r="AB13" s="36" t="str">
        <f t="shared" si="6"/>
        <v/>
      </c>
      <c r="AC13" s="37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35" t="str">
        <f t="shared" si="4"/>
        <v/>
      </c>
      <c r="AA14" s="36" t="str">
        <f t="shared" si="5"/>
        <v/>
      </c>
      <c r="AB14" s="36" t="str">
        <f t="shared" si="6"/>
        <v/>
      </c>
      <c r="AC14" s="37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35" t="str">
        <f t="shared" si="4"/>
        <v/>
      </c>
      <c r="AA15" s="36" t="str">
        <f t="shared" si="5"/>
        <v/>
      </c>
      <c r="AB15" s="36" t="str">
        <f t="shared" si="6"/>
        <v/>
      </c>
      <c r="AC15" s="37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35" t="str">
        <f t="shared" si="4"/>
        <v/>
      </c>
      <c r="AA16" s="36" t="str">
        <f t="shared" si="5"/>
        <v/>
      </c>
      <c r="AB16" s="36" t="str">
        <f t="shared" si="6"/>
        <v/>
      </c>
      <c r="AC16" s="37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35" t="str">
        <f t="shared" si="4"/>
        <v/>
      </c>
      <c r="AA17" s="36" t="str">
        <f t="shared" si="5"/>
        <v/>
      </c>
      <c r="AB17" s="36" t="str">
        <f t="shared" si="6"/>
        <v/>
      </c>
      <c r="AC17" s="37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35" t="str">
        <f t="shared" si="4"/>
        <v/>
      </c>
      <c r="AA18" s="36" t="str">
        <f t="shared" si="5"/>
        <v/>
      </c>
      <c r="AB18" s="36" t="str">
        <f t="shared" si="6"/>
        <v/>
      </c>
      <c r="AC18" s="37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35" t="str">
        <f t="shared" si="4"/>
        <v/>
      </c>
      <c r="AA19" s="36" t="str">
        <f t="shared" si="5"/>
        <v/>
      </c>
      <c r="AB19" s="36" t="str">
        <f t="shared" si="6"/>
        <v/>
      </c>
      <c r="AC19" s="37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35" t="str">
        <f t="shared" si="4"/>
        <v/>
      </c>
      <c r="AA20" s="36" t="str">
        <f t="shared" si="5"/>
        <v/>
      </c>
      <c r="AB20" s="36" t="str">
        <f t="shared" si="6"/>
        <v/>
      </c>
      <c r="AC20" s="37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35" t="str">
        <f t="shared" si="4"/>
        <v/>
      </c>
      <c r="AA21" s="36" t="str">
        <f t="shared" si="5"/>
        <v/>
      </c>
      <c r="AB21" s="36" t="str">
        <f t="shared" si="6"/>
        <v/>
      </c>
      <c r="AC21" s="37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35" t="str">
        <f t="shared" si="4"/>
        <v/>
      </c>
      <c r="AA22" s="36" t="str">
        <f t="shared" si="5"/>
        <v/>
      </c>
      <c r="AB22" s="36" t="str">
        <f t="shared" si="6"/>
        <v/>
      </c>
      <c r="AC22" s="37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35" t="str">
        <f t="shared" si="4"/>
        <v/>
      </c>
      <c r="AA23" s="36" t="str">
        <f t="shared" si="5"/>
        <v/>
      </c>
      <c r="AB23" s="36" t="str">
        <f t="shared" si="6"/>
        <v/>
      </c>
      <c r="AC23" s="37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35" t="str">
        <f t="shared" si="4"/>
        <v/>
      </c>
      <c r="AA24" s="36" t="str">
        <f t="shared" si="5"/>
        <v/>
      </c>
      <c r="AB24" s="36" t="str">
        <f t="shared" si="6"/>
        <v/>
      </c>
      <c r="AC24" s="37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35" t="str">
        <f t="shared" si="4"/>
        <v/>
      </c>
      <c r="AA25" s="36" t="str">
        <f t="shared" si="5"/>
        <v/>
      </c>
      <c r="AB25" s="36" t="str">
        <f t="shared" si="6"/>
        <v/>
      </c>
      <c r="AC25" s="37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35" t="str">
        <f t="shared" si="4"/>
        <v/>
      </c>
      <c r="AA26" s="36" t="str">
        <f t="shared" si="5"/>
        <v/>
      </c>
      <c r="AB26" s="36" t="str">
        <f t="shared" si="6"/>
        <v/>
      </c>
      <c r="AC26" s="37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35" t="str">
        <f t="shared" si="4"/>
        <v/>
      </c>
      <c r="AA27" s="36" t="str">
        <f t="shared" si="5"/>
        <v/>
      </c>
      <c r="AB27" s="36" t="str">
        <f t="shared" si="6"/>
        <v/>
      </c>
      <c r="AC27" s="37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35" t="str">
        <f t="shared" si="4"/>
        <v/>
      </c>
      <c r="AA28" s="36" t="str">
        <f t="shared" si="5"/>
        <v/>
      </c>
      <c r="AB28" s="36" t="str">
        <f t="shared" si="6"/>
        <v/>
      </c>
      <c r="AC28" s="37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35" t="str">
        <f t="shared" si="4"/>
        <v/>
      </c>
      <c r="AA29" s="36" t="str">
        <f t="shared" si="5"/>
        <v/>
      </c>
      <c r="AB29" s="36" t="str">
        <f t="shared" si="6"/>
        <v/>
      </c>
      <c r="AC29" s="37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38" t="str">
        <f t="shared" si="4"/>
        <v/>
      </c>
      <c r="AA30" s="39" t="str">
        <f t="shared" si="5"/>
        <v/>
      </c>
      <c r="AB30" s="39" t="str">
        <f t="shared" si="6"/>
        <v/>
      </c>
      <c r="AC30" s="40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disablePrompts="1"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11600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11600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v>11700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v>11700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3900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3900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">
        <v>17</v>
      </c>
      <c r="C2" t="s">
        <v>17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17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7700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7700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17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v>7700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v>7700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17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17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C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3900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3900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2019-06-20T03:30:54Z</dcterms:modified>
</cp:coreProperties>
</file>