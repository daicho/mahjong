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四人麻雀\"/>
    </mc:Choice>
  </mc:AlternateContent>
  <xr:revisionPtr revIDLastSave="0" documentId="13_ncr:1_{8F353D3A-E515-4AF2-9AB0-5130ABF89243}" xr6:coauthVersionLast="47" xr6:coauthVersionMax="47" xr10:uidLastSave="{00000000-0000-0000-0000-000000000000}"/>
  <bookViews>
    <workbookView showHorizontalScroll="0" showVerticalScroll="0" showSheetTabs="0" xWindow="-120" yWindow="-120" windowWidth="29040" windowHeight="1599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F6" i="1"/>
  <c r="E6" i="1"/>
  <c r="C6" i="1"/>
  <c r="D3" i="1" l="1"/>
  <c r="C3" i="1" l="1"/>
  <c r="E11" i="1"/>
  <c r="E10" i="1"/>
  <c r="E7" i="1"/>
  <c r="F11" i="1" l="1"/>
  <c r="F7" i="1"/>
  <c r="F10" i="1"/>
  <c r="C7" i="1"/>
  <c r="C10" i="1"/>
  <c r="C11" i="1"/>
  <c r="F8" i="1" l="1"/>
  <c r="D10" i="1"/>
  <c r="D7" i="1"/>
  <c r="D11" i="1"/>
  <c r="E8" i="1"/>
  <c r="F5" i="1" l="1"/>
  <c r="E5" i="1"/>
  <c r="D5" i="1"/>
  <c r="C5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<sst xmlns="http://schemas.openxmlformats.org/spreadsheetml/2006/main" count="5" uniqueCount="5">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</sst>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28575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257175</xdr:colOff>
          <xdr:row>1</xdr:row>
          <xdr:rowOff>28575</xdr:rowOff>
        </xdr:from>
        <xdr:to>
          <xdr:col>5</xdr:col>
          <xdr:colOff>1990725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28575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257175</xdr:colOff>
          <xdr:row>1</xdr:row>
          <xdr:rowOff>28575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3</xdr:row>
          <xdr:rowOff>180975</xdr:rowOff>
        </xdr:from>
        <xdr:to>
          <xdr:col>2</xdr:col>
          <xdr:colOff>1895475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3</xdr:row>
          <xdr:rowOff>180975</xdr:rowOff>
        </xdr:from>
        <xdr:to>
          <xdr:col>2</xdr:col>
          <xdr:colOff>3800475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3</xdr:row>
          <xdr:rowOff>180975</xdr:rowOff>
        </xdr:from>
        <xdr:to>
          <xdr:col>3</xdr:col>
          <xdr:colOff>1895475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2066925</xdr:colOff>
          <xdr:row>3</xdr:row>
          <xdr:rowOff>180975</xdr:rowOff>
        </xdr:from>
        <xdr:to>
          <xdr:col>3</xdr:col>
          <xdr:colOff>3800475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</xdr:row>
          <xdr:rowOff>180975</xdr:rowOff>
        </xdr:from>
        <xdr:to>
          <xdr:col>4</xdr:col>
          <xdr:colOff>1895475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2066925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3</xdr:row>
          <xdr:rowOff>180975</xdr:rowOff>
        </xdr:from>
        <xdr:to>
          <xdr:col>5</xdr:col>
          <xdr:colOff>1895475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2066925</xdr:colOff>
          <xdr:row>3</xdr:row>
          <xdr:rowOff>180975</xdr:rowOff>
        </xdr:from>
        <xdr:to>
          <xdr:col>5</xdr:col>
          <xdr:colOff>3800475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105" zoomScaleNormal="105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625" style="7" customWidth="1"/>
    <col min="4" max="6" width="51.62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西1局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24">
        <f ca="1">IFERROR(_xlfn.RANK.EQ(C$7,$C$7:$F$7),"―")</f>
        <v>3</v>
      </c>
      <c r="D5" s="16">
        <f ca="1">IFERROR(_xlfn.RANK.EQ(D$7,$C$7:$F$7),"―")</f>
        <v>2</v>
      </c>
      <c r="E5" s="16">
        <f ca="1">IFERROR(_xlfn.RANK.EQ(E$7,$C$7:$F$7),"―")</f>
        <v>1</v>
      </c>
      <c r="F5" s="20">
        <f ca="1">IFERROR(_xlfn.RANK.EQ(F$7,$C$7:$F$7),"―")</f>
        <v>4</v>
      </c>
    </row>
    <row r="6" spans="1:6" ht="103.5" x14ac:dyDescent="0.4">
      <c r="B6" s="4" t="s">
        <v>2</v>
      </c>
      <c r="C6" s="25" t="str">
        <f ca="1">IF(ISERROR(MJFILE()),"―",NAME(MJFILE(),0))</f>
        <v>池田</v>
      </c>
      <c r="D6" s="17" t="str">
        <f ca="1">IF(ISERROR(MJFILE()),"―",NAME(MJFILE(),1))</f>
        <v>澤川</v>
      </c>
      <c r="E6" s="17" t="str">
        <f ca="1">IF(ISERROR(MJFILE()),"―",NAME(MJFILE(),2))</f>
        <v>谷茂岡</v>
      </c>
      <c r="F6" s="21" t="str">
        <f ca="1">IF(ISERROR(MJFILE()),"―",NAME(MJFILE(),3))</f>
        <v>福澤</v>
      </c>
    </row>
    <row r="7" spans="1:6" ht="103.5" x14ac:dyDescent="0.4">
      <c r="B7" s="4" t="s">
        <v>3</v>
      </c>
      <c r="C7" s="26">
        <f ca="1">IF(ISERROR(MJFILE()),"―",POINT(MJFILE(),0,4))</f>
        <v>22000</v>
      </c>
      <c r="D7" s="18">
        <f ca="1">IF(ISERROR(MJFILE()),"―",POINT(MJFILE(),1,4))</f>
        <v>23200</v>
      </c>
      <c r="E7" s="18">
        <f ca="1">IF(ISERROR(MJFILE()),"―",POINT(MJFILE(),2,4))</f>
        <v>41700</v>
      </c>
      <c r="F7" s="22">
        <f ca="1">IF(ISERROR(MJFILE()),"―",POINT(MJFILE(),3,4))</f>
        <v>13100</v>
      </c>
    </row>
    <row r="8" spans="1:6" ht="65.25" thickBot="1" x14ac:dyDescent="0.45">
      <c r="B8" s="5" t="s">
        <v>4</v>
      </c>
      <c r="C8" s="27">
        <f ca="1">IF(ISERROR(MJFILE()),"―",score(MJFILE(),0))</f>
        <v>-18</v>
      </c>
      <c r="D8" s="19">
        <f ca="1">IF(ISERROR(MJFILE()),"―",score(MJFILE(),1))</f>
        <v>3.2</v>
      </c>
      <c r="E8" s="19">
        <f ca="1">IF(ISERROR(MJFILE()),"―",score(MJFILE(),2))</f>
        <v>61.7</v>
      </c>
      <c r="F8" s="23">
        <f ca="1">IF(ISERROR(MJFILE()),"―",score(MJFILE(),3))</f>
        <v>-46.9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12000</v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-12000</v>
      </c>
    </row>
    <row r="11" spans="1:6" ht="51" customHeight="1" x14ac:dyDescent="0.4">
      <c r="B11" s="13"/>
      <c r="C11" s="14">
        <f ca="1">IF(ISERROR(MJFILE()),"―",IF(POINT(MJFILE(),0,2)=0,"",POINT(MJFILE(),0,2)))</f>
        <v>1000</v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161925</xdr:colOff>
                <xdr:row>3</xdr:row>
                <xdr:rowOff>180975</xdr:rowOff>
              </from>
              <to>
                <xdr:col>2</xdr:col>
                <xdr:colOff>1885950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2066925</xdr:colOff>
                <xdr:row>3</xdr:row>
                <xdr:rowOff>180975</xdr:rowOff>
              </from>
              <to>
                <xdr:col>2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161925</xdr:colOff>
                <xdr:row>3</xdr:row>
                <xdr:rowOff>180975</xdr:rowOff>
              </from>
              <to>
                <xdr:col>3</xdr:col>
                <xdr:colOff>1885950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2066925</xdr:colOff>
                <xdr:row>3</xdr:row>
                <xdr:rowOff>180975</xdr:rowOff>
              </from>
              <to>
                <xdr:col>3</xdr:col>
                <xdr:colOff>3790950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161925</xdr:colOff>
                <xdr:row>3</xdr:row>
                <xdr:rowOff>180975</xdr:rowOff>
              </from>
              <to>
                <xdr:col>4</xdr:col>
                <xdr:colOff>1885950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2066925</xdr:colOff>
                <xdr:row>3</xdr:row>
                <xdr:rowOff>180975</xdr:rowOff>
              </from>
              <to>
                <xdr:col>4</xdr:col>
                <xdr:colOff>3790950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161925</xdr:colOff>
                <xdr:row>3</xdr:row>
                <xdr:rowOff>180975</xdr:rowOff>
              </from>
              <to>
                <xdr:col>5</xdr:col>
                <xdr:colOff>1885950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2066925</xdr:colOff>
                <xdr:row>3</xdr:row>
                <xdr:rowOff>180975</xdr:rowOff>
              </from>
              <to>
                <xdr:col>5</xdr:col>
                <xdr:colOff>3790950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1952625</xdr:colOff>
                <xdr:row>1</xdr:row>
                <xdr:rowOff>28575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257175</xdr:colOff>
                <xdr:row>1</xdr:row>
                <xdr:rowOff>28575</xdr:rowOff>
              </from>
              <to>
                <xdr:col>5</xdr:col>
                <xdr:colOff>1990725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28575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257175</xdr:colOff>
                <xdr:row>1</xdr:row>
                <xdr:rowOff>28575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45157.651747685188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2019-12-01T05:59:05Z</cp:lastPrinted>
  <dcterms:created xsi:type="dcterms:W3CDTF">2019-06-06T00:02:58Z</dcterms:created>
  <dcterms:modified xsi:type="dcterms:W3CDTF">2023-08-19T07:00:26Z</dcterms:modified>
</cp:coreProperties>
</file>