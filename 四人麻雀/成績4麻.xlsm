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"/>
    </mc:Choice>
  </mc:AlternateContent>
  <xr:revisionPtr revIDLastSave="0" documentId="13_ncr:1_{EA1654A1-A63E-4E11-9161-5A7CDD5300C1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Template" sheetId="2228" r:id="rId4"/>
    <sheet name="全体" sheetId="3359" r:id="rId5"/>
    <sheet name="だいち" sheetId="3360" r:id="rId6"/>
    <sheet name="りくと" sheetId="3361" r:id="rId7"/>
    <sheet name="てんちゃん" sheetId="3362" r:id="rId8"/>
    <sheet name="ただ" sheetId="3363" r:id="rId9"/>
  </sheets>
  <definedNames>
    <definedName name="アガリ数" localSheetId="5">だいち!$B$22</definedName>
    <definedName name="アガリ数" localSheetId="8">ただ!$B$22</definedName>
    <definedName name="アガリ数" localSheetId="7">てんちゃん!$B$22</definedName>
    <definedName name="アガリ数" localSheetId="6">りくと!$B$22</definedName>
    <definedName name="アガリ数" localSheetId="4">全体!$B$22</definedName>
    <definedName name="アガリ数">Template!$B$22</definedName>
    <definedName name="アガリ率" localSheetId="5">だいち!$C$22</definedName>
    <definedName name="アガリ率" localSheetId="8">ただ!$C$22</definedName>
    <definedName name="アガリ率" localSheetId="7">てんちゃん!$C$22</definedName>
    <definedName name="アガリ率" localSheetId="6">りくと!$C$22</definedName>
    <definedName name="アガリ率" localSheetId="4">全体!$C$22</definedName>
    <definedName name="アガリ率">Template!$C$22</definedName>
    <definedName name="ダマアガリ数" localSheetId="5">だいち!$B$28</definedName>
    <definedName name="ダマアガリ数" localSheetId="8">ただ!$B$28</definedName>
    <definedName name="ダマアガリ数" localSheetId="7">てんちゃん!$B$28</definedName>
    <definedName name="ダマアガリ数" localSheetId="6">りくと!$B$28</definedName>
    <definedName name="ダマアガリ数" localSheetId="4">全体!$B$28</definedName>
    <definedName name="ダマアガリ数">Template!$B$28</definedName>
    <definedName name="ダマアガリ点" localSheetId="5">だいち!#REF!</definedName>
    <definedName name="ダマアガリ点" localSheetId="8">ただ!#REF!</definedName>
    <definedName name="ダマアガリ点" localSheetId="7">てんちゃん!#REF!</definedName>
    <definedName name="ダマアガリ点" localSheetId="6">りくと!#REF!</definedName>
    <definedName name="ダマアガリ点" localSheetId="4">全体!#REF!</definedName>
    <definedName name="ダマアガリ点">Template!#REF!</definedName>
    <definedName name="ダマアガリ率" localSheetId="5">だいち!$C$28</definedName>
    <definedName name="ダマアガリ率" localSheetId="8">ただ!$C$28</definedName>
    <definedName name="ダマアガリ率" localSheetId="7">てんちゃん!$C$28</definedName>
    <definedName name="ダマアガリ率" localSheetId="6">りくと!$C$28</definedName>
    <definedName name="ダマアガリ率" localSheetId="4">全体!$C$28</definedName>
    <definedName name="ダマアガリ率">Template!$C$28</definedName>
    <definedName name="チョンボ数" localSheetId="5">だいち!$B$37</definedName>
    <definedName name="チョンボ数" localSheetId="8">ただ!$B$37</definedName>
    <definedName name="チョンボ数" localSheetId="7">てんちゃん!$B$37</definedName>
    <definedName name="チョンボ数" localSheetId="6">りくと!$B$37</definedName>
    <definedName name="チョンボ数" localSheetId="4">全体!$B$37</definedName>
    <definedName name="チョンボ数">Template!$B$37</definedName>
    <definedName name="チョンボ率" localSheetId="5">だいち!$C$37</definedName>
    <definedName name="チョンボ率" localSheetId="8">ただ!$C$37</definedName>
    <definedName name="チョンボ率" localSheetId="7">てんちゃん!$C$37</definedName>
    <definedName name="チョンボ率" localSheetId="6">りくと!$C$37</definedName>
    <definedName name="チョンボ率" localSheetId="4">全体!$C$37</definedName>
    <definedName name="チョンボ率">Template!$C$37</definedName>
    <definedName name="ツモ数" localSheetId="5">だいち!$B$24</definedName>
    <definedName name="ツモ数" localSheetId="8">ただ!$B$24</definedName>
    <definedName name="ツモ数" localSheetId="7">てんちゃん!$B$24</definedName>
    <definedName name="ツモ数" localSheetId="6">りくと!$B$24</definedName>
    <definedName name="ツモ数" localSheetId="4">全体!$B$24</definedName>
    <definedName name="ツモ数">Template!$B$24</definedName>
    <definedName name="ツモ率" localSheetId="5">だいち!$C$24</definedName>
    <definedName name="ツモ率" localSheetId="8">ただ!$C$24</definedName>
    <definedName name="ツモ率" localSheetId="7">てんちゃん!$C$24</definedName>
    <definedName name="ツモ率" localSheetId="6">りくと!$C$24</definedName>
    <definedName name="ツモ率" localSheetId="4">全体!$C$24</definedName>
    <definedName name="ツモ率">Template!$C$24</definedName>
    <definedName name="トップ数" localSheetId="5">だいち!$B$7</definedName>
    <definedName name="トップ数" localSheetId="8">ただ!$B$7</definedName>
    <definedName name="トップ数" localSheetId="7">てんちゃん!$B$7</definedName>
    <definedName name="トップ数" localSheetId="6">りくと!$B$7</definedName>
    <definedName name="トップ数" localSheetId="4">全体!$B$7</definedName>
    <definedName name="トップ数">Template!$B$7</definedName>
    <definedName name="トップ率" localSheetId="5">だいち!$C$7</definedName>
    <definedName name="トップ率" localSheetId="8">ただ!$C$7</definedName>
    <definedName name="トップ率" localSheetId="7">てんちゃん!$C$7</definedName>
    <definedName name="トップ率" localSheetId="6">りくと!$C$7</definedName>
    <definedName name="トップ率" localSheetId="4">全体!$C$7</definedName>
    <definedName name="トップ率">Template!$C$7</definedName>
    <definedName name="バランス" localSheetId="5">だいち!$B$16</definedName>
    <definedName name="バランス" localSheetId="8">ただ!$B$16</definedName>
    <definedName name="バランス" localSheetId="7">てんちゃん!$B$16</definedName>
    <definedName name="バランス" localSheetId="6">りくと!$B$16</definedName>
    <definedName name="バランス" localSheetId="4">全体!$B$16</definedName>
    <definedName name="バランス">Template!$B$16</definedName>
    <definedName name="ふっとばし数" localSheetId="5">だいち!#REF!</definedName>
    <definedName name="ふっとばし数" localSheetId="8">ただ!#REF!</definedName>
    <definedName name="ふっとばし数" localSheetId="7">てんちゃん!#REF!</definedName>
    <definedName name="ふっとばし数" localSheetId="6">りくと!#REF!</definedName>
    <definedName name="ふっとばし数" localSheetId="4">全体!#REF!</definedName>
    <definedName name="ふっとばし数">Template!#REF!</definedName>
    <definedName name="ふっとばし率" localSheetId="5">だいち!#REF!</definedName>
    <definedName name="ふっとばし率" localSheetId="8">ただ!#REF!</definedName>
    <definedName name="ふっとばし率" localSheetId="7">てんちゃん!#REF!</definedName>
    <definedName name="ふっとばし率" localSheetId="6">りくと!#REF!</definedName>
    <definedName name="ふっとばし率" localSheetId="4">全体!#REF!</definedName>
    <definedName name="ふっとばし率">Template!#REF!</definedName>
    <definedName name="ふっとび数" localSheetId="5">だいち!$B$17</definedName>
    <definedName name="ふっとび数" localSheetId="8">ただ!$B$17</definedName>
    <definedName name="ふっとび数" localSheetId="7">てんちゃん!$B$17</definedName>
    <definedName name="ふっとび数" localSheetId="6">りくと!$B$17</definedName>
    <definedName name="ふっとび数" localSheetId="4">全体!$B$17</definedName>
    <definedName name="ふっとび数">Template!$B$17</definedName>
    <definedName name="ふっとび率" localSheetId="5">だいち!$C$17</definedName>
    <definedName name="ふっとび率" localSheetId="8">ただ!$C$17</definedName>
    <definedName name="ふっとび率" localSheetId="7">てんちゃん!$C$17</definedName>
    <definedName name="ふっとび率" localSheetId="6">りくと!$C$17</definedName>
    <definedName name="ふっとび率" localSheetId="4">全体!$C$17</definedName>
    <definedName name="ふっとび率">Template!$C$17</definedName>
    <definedName name="ラス数" localSheetId="5">だいち!$B$10</definedName>
    <definedName name="ラス数" localSheetId="8">ただ!$B$10</definedName>
    <definedName name="ラス数" localSheetId="7">てんちゃん!$B$10</definedName>
    <definedName name="ラス数" localSheetId="6">りくと!$B$10</definedName>
    <definedName name="ラス数" localSheetId="4">全体!$B$10</definedName>
    <definedName name="ラス数">Template!$B$10</definedName>
    <definedName name="ラス率" localSheetId="5">だいち!$C$10</definedName>
    <definedName name="ラス率" localSheetId="8">ただ!$C$10</definedName>
    <definedName name="ラス率" localSheetId="7">てんちゃん!$C$10</definedName>
    <definedName name="ラス率" localSheetId="6">りくと!$C$10</definedName>
    <definedName name="ラス率" localSheetId="4">全体!$C$10</definedName>
    <definedName name="ラス率">Template!$C$10</definedName>
    <definedName name="リーチアガリ数" localSheetId="5">だいち!$B$26</definedName>
    <definedName name="リーチアガリ数" localSheetId="8">ただ!$B$26</definedName>
    <definedName name="リーチアガリ数" localSheetId="7">てんちゃん!$B$26</definedName>
    <definedName name="リーチアガリ数" localSheetId="6">りくと!$B$26</definedName>
    <definedName name="リーチアガリ数" localSheetId="4">全体!$B$26</definedName>
    <definedName name="リーチアガリ数">Template!$B$26</definedName>
    <definedName name="リーチアガリ率" localSheetId="5">だいち!$C$26</definedName>
    <definedName name="リーチアガリ率" localSheetId="8">ただ!$C$26</definedName>
    <definedName name="リーチアガリ率" localSheetId="7">てんちゃん!$C$26</definedName>
    <definedName name="リーチアガリ率" localSheetId="6">りくと!$C$26</definedName>
    <definedName name="リーチアガリ率" localSheetId="4">全体!$C$26</definedName>
    <definedName name="リーチアガリ率">Template!$C$26</definedName>
    <definedName name="リーチ数" localSheetId="5">だいち!$B$18</definedName>
    <definedName name="リーチ数" localSheetId="8">ただ!$B$18</definedName>
    <definedName name="リーチ数" localSheetId="7">てんちゃん!$B$18</definedName>
    <definedName name="リーチ数" localSheetId="6">りくと!$B$18</definedName>
    <definedName name="リーチ数" localSheetId="4">全体!$B$18</definedName>
    <definedName name="リーチ数">Template!$B$18</definedName>
    <definedName name="リーチ成功数" localSheetId="5">だいち!$B$20</definedName>
    <definedName name="リーチ成功数" localSheetId="8">ただ!$B$20</definedName>
    <definedName name="リーチ成功数" localSheetId="7">てんちゃん!$B$20</definedName>
    <definedName name="リーチ成功数" localSheetId="6">りくと!$B$20</definedName>
    <definedName name="リーチ成功数" localSheetId="4">全体!$B$20</definedName>
    <definedName name="リーチ成功数">Template!$B$20</definedName>
    <definedName name="リーチ成功率" localSheetId="5">だいち!$C$20</definedName>
    <definedName name="リーチ成功率" localSheetId="8">ただ!$C$20</definedName>
    <definedName name="リーチ成功率" localSheetId="7">てんちゃん!$C$20</definedName>
    <definedName name="リーチ成功率" localSheetId="6">りくと!$C$20</definedName>
    <definedName name="リーチ成功率" localSheetId="4">全体!$C$20</definedName>
    <definedName name="リーチ成功率">Template!$C$20</definedName>
    <definedName name="リーチ率" localSheetId="5">だいち!$C$18</definedName>
    <definedName name="リーチ率" localSheetId="8">ただ!$C$18</definedName>
    <definedName name="リーチ率" localSheetId="7">てんちゃん!$C$18</definedName>
    <definedName name="リーチ率" localSheetId="6">りくと!$C$18</definedName>
    <definedName name="リーチ率" localSheetId="4">全体!$C$18</definedName>
    <definedName name="リーチ率">Template!$C$18</definedName>
    <definedName name="ロン数" localSheetId="5">だいち!$B$25</definedName>
    <definedName name="ロン数" localSheetId="8">ただ!$B$25</definedName>
    <definedName name="ロン数" localSheetId="7">てんちゃん!$B$25</definedName>
    <definedName name="ロン数" localSheetId="6">りくと!$B$25</definedName>
    <definedName name="ロン数" localSheetId="4">全体!$B$25</definedName>
    <definedName name="ロン数">Template!$B$25</definedName>
    <definedName name="ロン率" localSheetId="5">だいち!$C$25</definedName>
    <definedName name="ロン率" localSheetId="8">ただ!$C$25</definedName>
    <definedName name="ロン率" localSheetId="7">てんちゃん!$C$25</definedName>
    <definedName name="ロン率" localSheetId="6">りくと!$C$25</definedName>
    <definedName name="ロン率" localSheetId="4">全体!$C$25</definedName>
    <definedName name="ロン率">Template!$C$25</definedName>
    <definedName name="一位スコア" localSheetId="5">だいち!$B$12</definedName>
    <definedName name="一位スコア" localSheetId="8">ただ!$B$12</definedName>
    <definedName name="一位スコア" localSheetId="7">てんちゃん!$B$12</definedName>
    <definedName name="一位スコア" localSheetId="6">りくと!$B$12</definedName>
    <definedName name="一位スコア" localSheetId="4">全体!$B$12</definedName>
    <definedName name="一位スコア">Template!$B$12</definedName>
    <definedName name="一位通算スコア" localSheetId="5">だいち!$C$12</definedName>
    <definedName name="一位通算スコア" localSheetId="8">ただ!$C$12</definedName>
    <definedName name="一位通算スコア" localSheetId="7">てんちゃん!$C$12</definedName>
    <definedName name="一位通算スコア" localSheetId="6">りくと!$C$12</definedName>
    <definedName name="一位通算スコア" localSheetId="4">全体!$C$12</definedName>
    <definedName name="一位通算スコア">Template!$C$12</definedName>
    <definedName name="逆転数" localSheetId="5">だいち!#REF!</definedName>
    <definedName name="逆転数" localSheetId="8">ただ!#REF!</definedName>
    <definedName name="逆転数" localSheetId="7">てんちゃん!#REF!</definedName>
    <definedName name="逆転数" localSheetId="6">りくと!#REF!</definedName>
    <definedName name="逆転数" localSheetId="4">全体!#REF!</definedName>
    <definedName name="逆転数">Template!#REF!</definedName>
    <definedName name="逆転率" localSheetId="5">だいち!#REF!</definedName>
    <definedName name="逆転率" localSheetId="8">ただ!#REF!</definedName>
    <definedName name="逆転率" localSheetId="7">てんちゃん!#REF!</definedName>
    <definedName name="逆転率" localSheetId="6">りくと!#REF!</definedName>
    <definedName name="逆転率" localSheetId="4">全体!#REF!</definedName>
    <definedName name="逆転率">Template!#REF!</definedName>
    <definedName name="現行連続アガリ" localSheetId="5">だいち!$C$33</definedName>
    <definedName name="現行連続アガリ" localSheetId="8">ただ!$C$33</definedName>
    <definedName name="現行連続アガリ" localSheetId="7">てんちゃん!$C$33</definedName>
    <definedName name="現行連続アガリ" localSheetId="6">りくと!$C$33</definedName>
    <definedName name="現行連続アガリ" localSheetId="4">全体!$C$33</definedName>
    <definedName name="現行連続アガリ">Template!$C$33</definedName>
    <definedName name="現行連続無放銃" localSheetId="5">だいち!$C$34</definedName>
    <definedName name="現行連続無放銃" localSheetId="8">ただ!$C$34</definedName>
    <definedName name="現行連続無放銃" localSheetId="7">てんちゃん!$C$34</definedName>
    <definedName name="現行連続無放銃" localSheetId="6">りくと!$C$34</definedName>
    <definedName name="現行連続無放銃" localSheetId="4">全体!$C$34</definedName>
    <definedName name="現行連続無放銃">Template!$C$34</definedName>
    <definedName name="最高点" localSheetId="5">だいち!$B$36</definedName>
    <definedName name="最高点" localSheetId="8">ただ!$B$36</definedName>
    <definedName name="最高点" localSheetId="7">てんちゃん!$B$36</definedName>
    <definedName name="最高点" localSheetId="6">りくと!$B$36</definedName>
    <definedName name="最高点" localSheetId="4">全体!$B$36</definedName>
    <definedName name="最高点">Template!$B$36</definedName>
    <definedName name="最大ドラ数" localSheetId="5">だいち!$B$35</definedName>
    <definedName name="最大ドラ数" localSheetId="8">ただ!$B$35</definedName>
    <definedName name="最大ドラ数" localSheetId="7">てんちゃん!$B$35</definedName>
    <definedName name="最大ドラ数" localSheetId="6">りくと!$B$35</definedName>
    <definedName name="最大ドラ数" localSheetId="4">全体!$B$35</definedName>
    <definedName name="最大ドラ数">Template!$B$35</definedName>
    <definedName name="最大点数" localSheetId="5">だいち!$B$36</definedName>
    <definedName name="最大点数" localSheetId="8">ただ!$B$36</definedName>
    <definedName name="最大点数" localSheetId="7">てんちゃん!$B$36</definedName>
    <definedName name="最大点数" localSheetId="6">りくと!$B$36</definedName>
    <definedName name="最大点数" localSheetId="4">全体!$B$36</definedName>
    <definedName name="最大点数">Template!$B$36</definedName>
    <definedName name="三位スコア" localSheetId="5">だいち!$B$14</definedName>
    <definedName name="三位スコア" localSheetId="8">ただ!$B$14</definedName>
    <definedName name="三位スコア" localSheetId="7">てんちゃん!$B$14</definedName>
    <definedName name="三位スコア" localSheetId="6">りくと!$B$14</definedName>
    <definedName name="三位スコア" localSheetId="4">全体!$B$14</definedName>
    <definedName name="三位スコア">Template!$B$14</definedName>
    <definedName name="三位数" localSheetId="5">だいち!$B$9</definedName>
    <definedName name="三位数" localSheetId="8">ただ!$B$9</definedName>
    <definedName name="三位数" localSheetId="7">てんちゃん!$B$9</definedName>
    <definedName name="三位数" localSheetId="6">りくと!$B$9</definedName>
    <definedName name="三位数" localSheetId="4">全体!$B$9</definedName>
    <definedName name="三位数">Template!$B$9</definedName>
    <definedName name="三位通算スコア" localSheetId="5">だいち!$C$14</definedName>
    <definedName name="三位通算スコア" localSheetId="8">ただ!$C$14</definedName>
    <definedName name="三位通算スコア" localSheetId="7">てんちゃん!$C$14</definedName>
    <definedName name="三位通算スコア" localSheetId="6">りくと!$C$14</definedName>
    <definedName name="三位通算スコア" localSheetId="4">全体!$C$14</definedName>
    <definedName name="三位通算スコア">Template!$C$14</definedName>
    <definedName name="三位率" localSheetId="5">だいち!$C$9</definedName>
    <definedName name="三位率" localSheetId="8">ただ!$C$9</definedName>
    <definedName name="三位率" localSheetId="7">てんちゃん!$C$9</definedName>
    <definedName name="三位率" localSheetId="6">りくと!$C$9</definedName>
    <definedName name="三位率" localSheetId="4">全体!$C$9</definedName>
    <definedName name="三位率">Template!$C$9</definedName>
    <definedName name="四位スコア" localSheetId="5">だいち!$B$15</definedName>
    <definedName name="四位スコア" localSheetId="8">ただ!$B$15</definedName>
    <definedName name="四位スコア" localSheetId="7">てんちゃん!$B$15</definedName>
    <definedName name="四位スコア" localSheetId="6">りくと!$B$15</definedName>
    <definedName name="四位スコア" localSheetId="4">全体!$B$15</definedName>
    <definedName name="四位スコア">Template!$B$15</definedName>
    <definedName name="四位通算スコア" localSheetId="5">だいち!$C$15</definedName>
    <definedName name="四位通算スコア" localSheetId="8">ただ!$C$15</definedName>
    <definedName name="四位通算スコア" localSheetId="7">てんちゃん!$C$15</definedName>
    <definedName name="四位通算スコア" localSheetId="6">りくと!$C$15</definedName>
    <definedName name="四位通算スコア" localSheetId="4">全体!$C$15</definedName>
    <definedName name="四位通算スコア">Template!$C$15</definedName>
    <definedName name="総局数" localSheetId="5">だいち!$B$3</definedName>
    <definedName name="総局数" localSheetId="8">ただ!$B$3</definedName>
    <definedName name="総局数" localSheetId="7">てんちゃん!$B$3</definedName>
    <definedName name="総局数" localSheetId="6">りくと!$B$3</definedName>
    <definedName name="総局数" localSheetId="4">全体!$B$3</definedName>
    <definedName name="総局数">Template!$B$3</definedName>
    <definedName name="対戦数" localSheetId="5">だいち!$B$2</definedName>
    <definedName name="対戦数" localSheetId="8">ただ!$B$2</definedName>
    <definedName name="対戦数" localSheetId="7">てんちゃん!$B$2</definedName>
    <definedName name="対戦数" localSheetId="6">りくと!$B$2</definedName>
    <definedName name="対戦数" localSheetId="4">全体!$B$2</definedName>
    <definedName name="対戦数">Template!$B$2</definedName>
    <definedName name="通算アガリ点" localSheetId="5">だいち!$C$29</definedName>
    <definedName name="通算アガリ点" localSheetId="8">ただ!$C$29</definedName>
    <definedName name="通算アガリ点" localSheetId="7">てんちゃん!$C$29</definedName>
    <definedName name="通算アガリ点" localSheetId="6">りくと!$C$29</definedName>
    <definedName name="通算アガリ点" localSheetId="4">全体!$C$29</definedName>
    <definedName name="通算アガリ点">Template!$C$29</definedName>
    <definedName name="通算スコア" localSheetId="5">だいち!$B$4</definedName>
    <definedName name="通算スコア" localSheetId="8">ただ!$B$4</definedName>
    <definedName name="通算スコア" localSheetId="7">てんちゃん!$B$4</definedName>
    <definedName name="通算スコア" localSheetId="6">りくと!$B$4</definedName>
    <definedName name="通算スコア" localSheetId="4">全体!$B$4</definedName>
    <definedName name="通算スコア">Template!$B$4</definedName>
    <definedName name="通算副露アガリ点" localSheetId="5">だいち!$C$31</definedName>
    <definedName name="通算副露アガリ点" localSheetId="8">ただ!$C$31</definedName>
    <definedName name="通算副露アガリ点" localSheetId="7">てんちゃん!$C$31</definedName>
    <definedName name="通算副露アガリ点" localSheetId="6">りくと!$C$31</definedName>
    <definedName name="通算副露アガリ点" localSheetId="4">全体!$C$31</definedName>
    <definedName name="通算副露アガリ点">Template!$C$31</definedName>
    <definedName name="通算放銃点" localSheetId="5">だいち!$C$32</definedName>
    <definedName name="通算放銃点" localSheetId="8">ただ!$C$32</definedName>
    <definedName name="通算放銃点" localSheetId="7">てんちゃん!$C$32</definedName>
    <definedName name="通算放銃点" localSheetId="6">りくと!$C$32</definedName>
    <definedName name="通算放銃点" localSheetId="4">全体!$C$32</definedName>
    <definedName name="通算放銃点">Template!$C$32</definedName>
    <definedName name="通算門前アガリ点" localSheetId="5">だいち!$C$30</definedName>
    <definedName name="通算門前アガリ点" localSheetId="8">ただ!$C$30</definedName>
    <definedName name="通算門前アガリ点" localSheetId="7">てんちゃん!$C$30</definedName>
    <definedName name="通算門前アガリ点" localSheetId="6">りくと!$C$30</definedName>
    <definedName name="通算門前アガリ点" localSheetId="4">全体!$C$30</definedName>
    <definedName name="通算門前アガリ点">Template!$C$30</definedName>
    <definedName name="二位スコア" localSheetId="5">だいち!$B$13</definedName>
    <definedName name="二位スコア" localSheetId="8">ただ!$B$13</definedName>
    <definedName name="二位スコア" localSheetId="7">てんちゃん!$B$13</definedName>
    <definedName name="二位スコア" localSheetId="6">りくと!$B$13</definedName>
    <definedName name="二位スコア" localSheetId="4">全体!$B$13</definedName>
    <definedName name="二位スコア">Template!$B$13</definedName>
    <definedName name="二位数" localSheetId="5">だいち!$B$8</definedName>
    <definedName name="二位数" localSheetId="8">ただ!$B$8</definedName>
    <definedName name="二位数" localSheetId="7">てんちゃん!$B$8</definedName>
    <definedName name="二位数" localSheetId="6">りくと!$B$8</definedName>
    <definedName name="二位数" localSheetId="4">全体!$B$8</definedName>
    <definedName name="二位数">Template!$B$8</definedName>
    <definedName name="二位通算スコア" localSheetId="5">だいち!$C$13</definedName>
    <definedName name="二位通算スコア" localSheetId="8">ただ!$C$13</definedName>
    <definedName name="二位通算スコア" localSheetId="7">てんちゃん!$C$13</definedName>
    <definedName name="二位通算スコア" localSheetId="6">りくと!$C$13</definedName>
    <definedName name="二位通算スコア" localSheetId="4">全体!$C$13</definedName>
    <definedName name="二位通算スコア">Template!$C$13</definedName>
    <definedName name="二位率" localSheetId="5">だいち!$C$8</definedName>
    <definedName name="二位率" localSheetId="8">ただ!$C$8</definedName>
    <definedName name="二位率" localSheetId="7">てんちゃん!$C$8</definedName>
    <definedName name="二位率" localSheetId="6">りくと!$C$8</definedName>
    <definedName name="二位率" localSheetId="4">全体!$C$8</definedName>
    <definedName name="二位率">Template!$C$8</definedName>
    <definedName name="副露アガリ数" localSheetId="5">だいち!$B$27</definedName>
    <definedName name="副露アガリ数" localSheetId="8">ただ!$B$27</definedName>
    <definedName name="副露アガリ数" localSheetId="7">てんちゃん!$B$27</definedName>
    <definedName name="副露アガリ数" localSheetId="6">りくと!$B$27</definedName>
    <definedName name="副露アガリ数" localSheetId="4">全体!$B$27</definedName>
    <definedName name="副露アガリ数">Template!$B$27</definedName>
    <definedName name="副露アガリ点" localSheetId="5">だいち!$B$31</definedName>
    <definedName name="副露アガリ点" localSheetId="8">ただ!$B$31</definedName>
    <definedName name="副露アガリ点" localSheetId="7">てんちゃん!$B$31</definedName>
    <definedName name="副露アガリ点" localSheetId="6">りくと!$B$31</definedName>
    <definedName name="副露アガリ点" localSheetId="4">全体!$B$31</definedName>
    <definedName name="副露アガリ点">Template!$B$31</definedName>
    <definedName name="副露アガリ率" localSheetId="5">だいち!$C$27</definedName>
    <definedName name="副露アガリ率" localSheetId="8">ただ!$C$27</definedName>
    <definedName name="副露アガリ率" localSheetId="7">てんちゃん!$C$27</definedName>
    <definedName name="副露アガリ率" localSheetId="6">りくと!$C$27</definedName>
    <definedName name="副露アガリ率" localSheetId="4">全体!$C$27</definedName>
    <definedName name="副露アガリ率">Template!$C$27</definedName>
    <definedName name="副露数" localSheetId="5">だいち!$B$19</definedName>
    <definedName name="副露数" localSheetId="8">ただ!$B$19</definedName>
    <definedName name="副露数" localSheetId="7">てんちゃん!$B$19</definedName>
    <definedName name="副露数" localSheetId="6">りくと!$B$19</definedName>
    <definedName name="副露数" localSheetId="4">全体!$B$19</definedName>
    <definedName name="副露数">Template!$B$19</definedName>
    <definedName name="副露成功数" localSheetId="5">だいち!$B$21</definedName>
    <definedName name="副露成功数" localSheetId="8">ただ!$B$21</definedName>
    <definedName name="副露成功数" localSheetId="7">てんちゃん!$B$21</definedName>
    <definedName name="副露成功数" localSheetId="6">りくと!$B$21</definedName>
    <definedName name="副露成功数" localSheetId="4">全体!$B$21</definedName>
    <definedName name="副露成功数">Template!$B$21</definedName>
    <definedName name="副露成功率" localSheetId="5">だいち!$C$21</definedName>
    <definedName name="副露成功率" localSheetId="8">ただ!$C$21</definedName>
    <definedName name="副露成功率" localSheetId="7">てんちゃん!$C$21</definedName>
    <definedName name="副露成功率" localSheetId="6">りくと!$C$21</definedName>
    <definedName name="副露成功率" localSheetId="4">全体!$C$21</definedName>
    <definedName name="副露成功率">Template!$C$21</definedName>
    <definedName name="副露率" localSheetId="5">だいち!$C$19</definedName>
    <definedName name="副露率" localSheetId="8">ただ!$C$19</definedName>
    <definedName name="副露率" localSheetId="7">てんちゃん!$C$19</definedName>
    <definedName name="副露率" localSheetId="6">りくと!$C$19</definedName>
    <definedName name="副露率" localSheetId="4">全体!$C$19</definedName>
    <definedName name="副露率">Template!$C$19</definedName>
    <definedName name="平均アガリ点" localSheetId="5">だいち!$B$29</definedName>
    <definedName name="平均アガリ点" localSheetId="8">ただ!$B$29</definedName>
    <definedName name="平均アガリ点" localSheetId="7">てんちゃん!$B$29</definedName>
    <definedName name="平均アガリ点" localSheetId="6">りくと!$B$29</definedName>
    <definedName name="平均アガリ点" localSheetId="4">全体!$B$29</definedName>
    <definedName name="平均アガリ点">Template!$B$29</definedName>
    <definedName name="平均スコア" localSheetId="5">だいち!$B$5</definedName>
    <definedName name="平均スコア" localSheetId="8">ただ!$B$5</definedName>
    <definedName name="平均スコア" localSheetId="7">てんちゃん!$B$5</definedName>
    <definedName name="平均スコア" localSheetId="6">りくと!$B$5</definedName>
    <definedName name="平均スコア" localSheetId="4">全体!$B$5</definedName>
    <definedName name="平均スコア">Template!$B$5</definedName>
    <definedName name="平均順位" localSheetId="5">だいち!$B$6</definedName>
    <definedName name="平均順位" localSheetId="8">ただ!$B$6</definedName>
    <definedName name="平均順位" localSheetId="7">てんちゃん!$B$6</definedName>
    <definedName name="平均順位" localSheetId="6">りくと!$B$6</definedName>
    <definedName name="平均順位" localSheetId="4">全体!$B$6</definedName>
    <definedName name="平均順位">Template!$B$6</definedName>
    <definedName name="平均放銃点" localSheetId="5">だいち!$B$32</definedName>
    <definedName name="平均放銃点" localSheetId="8">ただ!$B$32</definedName>
    <definedName name="平均放銃点" localSheetId="7">てんちゃん!$B$32</definedName>
    <definedName name="平均放銃点" localSheetId="6">りくと!$B$32</definedName>
    <definedName name="平均放銃点" localSheetId="4">全体!$B$32</definedName>
    <definedName name="平均放銃点">Template!$B$32</definedName>
    <definedName name="放銃数" localSheetId="5">だいち!$B$23</definedName>
    <definedName name="放銃数" localSheetId="8">ただ!$B$23</definedName>
    <definedName name="放銃数" localSheetId="7">てんちゃん!$B$23</definedName>
    <definedName name="放銃数" localSheetId="6">りくと!$B$23</definedName>
    <definedName name="放銃数" localSheetId="4">全体!$B$23</definedName>
    <definedName name="放銃数">Template!$B$23</definedName>
    <definedName name="放銃率" localSheetId="5">だいち!$C$23</definedName>
    <definedName name="放銃率" localSheetId="8">ただ!$C$23</definedName>
    <definedName name="放銃率" localSheetId="7">てんちゃん!$C$23</definedName>
    <definedName name="放銃率" localSheetId="6">りくと!$C$23</definedName>
    <definedName name="放銃率" localSheetId="4">全体!$C$23</definedName>
    <definedName name="放銃率">Template!$C$23</definedName>
    <definedName name="名前" localSheetId="5">だいち!$B$1</definedName>
    <definedName name="名前" localSheetId="8">ただ!$B$1</definedName>
    <definedName name="名前" localSheetId="7">てんちゃん!$B$1</definedName>
    <definedName name="名前" localSheetId="6">りくと!$B$1</definedName>
    <definedName name="名前" localSheetId="4">全体!$B$1</definedName>
    <definedName name="名前">Template!$B$1</definedName>
    <definedName name="門前アガリ点" localSheetId="5">だいち!$B$30</definedName>
    <definedName name="門前アガリ点" localSheetId="8">ただ!$B$30</definedName>
    <definedName name="門前アガリ点" localSheetId="7">てんちゃん!$B$30</definedName>
    <definedName name="門前アガリ点" localSheetId="6">りくと!$B$30</definedName>
    <definedName name="門前アガリ点" localSheetId="4">全体!$B$30</definedName>
    <definedName name="門前アガリ点">Template!$B$30</definedName>
    <definedName name="連続アガリ" localSheetId="5">だいち!$B$33</definedName>
    <definedName name="連続アガリ" localSheetId="8">ただ!$B$33</definedName>
    <definedName name="連続アガリ" localSheetId="7">てんちゃん!$B$33</definedName>
    <definedName name="連続アガリ" localSheetId="6">りくと!$B$33</definedName>
    <definedName name="連続アガリ" localSheetId="4">全体!$B$33</definedName>
    <definedName name="連続アガリ">Template!$B$33</definedName>
    <definedName name="連続無放銃" localSheetId="5">だいち!$B$34</definedName>
    <definedName name="連続無放銃" localSheetId="8">ただ!$B$34</definedName>
    <definedName name="連続無放銃" localSheetId="7">てんちゃん!$B$34</definedName>
    <definedName name="連続無放銃" localSheetId="6">りくと!$B$34</definedName>
    <definedName name="連続無放銃" localSheetId="4">全体!$B$34</definedName>
    <definedName name="連続無放銃">Template!$B$34</definedName>
    <definedName name="連対数" localSheetId="5">だいち!$B$11</definedName>
    <definedName name="連対数" localSheetId="8">ただ!$B$11</definedName>
    <definedName name="連対数" localSheetId="7">てんちゃん!$B$11</definedName>
    <definedName name="連対数" localSheetId="6">りくと!$B$11</definedName>
    <definedName name="連対数" localSheetId="4">全体!$B$11</definedName>
    <definedName name="連対数">Template!$B$11</definedName>
    <definedName name="連対率" localSheetId="5">だいち!$C$11</definedName>
    <definedName name="連対率" localSheetId="8">ただ!$C$11</definedName>
    <definedName name="連対率" localSheetId="7">てんちゃん!$C$11</definedName>
    <definedName name="連対率" localSheetId="6">りくと!$C$11</definedName>
    <definedName name="連対率" localSheetId="4">全体!$C$11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3363" l="1"/>
  <c r="O18" i="3363"/>
  <c r="O20" i="3363"/>
  <c r="C37" i="3363"/>
  <c r="B32" i="3363"/>
  <c r="C23" i="3363"/>
  <c r="B22" i="3363"/>
  <c r="C50" i="3363" s="1"/>
  <c r="C21" i="3363"/>
  <c r="B21" i="3363"/>
  <c r="B20" i="3363"/>
  <c r="C20" i="3363" s="1"/>
  <c r="C19" i="3363"/>
  <c r="C18" i="3363"/>
  <c r="C17" i="3363"/>
  <c r="O15" i="3363"/>
  <c r="B15" i="3363"/>
  <c r="O14" i="3363"/>
  <c r="B14" i="3363"/>
  <c r="O13" i="3363"/>
  <c r="B13" i="3363"/>
  <c r="O12" i="3363"/>
  <c r="B12" i="3363"/>
  <c r="B11" i="3363"/>
  <c r="C11" i="3363" s="1"/>
  <c r="C10" i="3363"/>
  <c r="O9" i="3363"/>
  <c r="C9" i="3363"/>
  <c r="O8" i="3363"/>
  <c r="C8" i="3363"/>
  <c r="O7" i="3363"/>
  <c r="C7" i="3363"/>
  <c r="O6" i="3363"/>
  <c r="B6" i="3363"/>
  <c r="O5" i="3363"/>
  <c r="B5" i="3363"/>
  <c r="O4" i="3363"/>
  <c r="O3" i="3363"/>
  <c r="O2" i="3363"/>
  <c r="O19" i="3362"/>
  <c r="O20" i="3362"/>
  <c r="O18" i="3362"/>
  <c r="C37" i="3362"/>
  <c r="B32" i="3362"/>
  <c r="C23" i="3362"/>
  <c r="B22" i="3362"/>
  <c r="C50" i="3362" s="1"/>
  <c r="B21" i="3362"/>
  <c r="B31" i="3362" s="1"/>
  <c r="B20" i="3362"/>
  <c r="C20" i="3362" s="1"/>
  <c r="C19" i="3362"/>
  <c r="C18" i="3362"/>
  <c r="C17" i="3362"/>
  <c r="O15" i="3362"/>
  <c r="B15" i="3362"/>
  <c r="O14" i="3362"/>
  <c r="B14" i="3362"/>
  <c r="O13" i="3362"/>
  <c r="B13" i="3362"/>
  <c r="O12" i="3362"/>
  <c r="B12" i="3362"/>
  <c r="B11" i="3362"/>
  <c r="C11" i="3362" s="1"/>
  <c r="C10" i="3362"/>
  <c r="O9" i="3362"/>
  <c r="C9" i="3362"/>
  <c r="O8" i="3362"/>
  <c r="C8" i="3362"/>
  <c r="O7" i="3362"/>
  <c r="C7" i="3362"/>
  <c r="O6" i="3362"/>
  <c r="B6" i="3362"/>
  <c r="O5" i="3362"/>
  <c r="B5" i="3362"/>
  <c r="O4" i="3362"/>
  <c r="O3" i="3362"/>
  <c r="O2" i="3362"/>
  <c r="O20" i="3361"/>
  <c r="O18" i="3361"/>
  <c r="O19" i="3361"/>
  <c r="C37" i="3361"/>
  <c r="B32" i="3361"/>
  <c r="C23" i="3361"/>
  <c r="B22" i="3361"/>
  <c r="C50" i="3361" s="1"/>
  <c r="C21" i="3361"/>
  <c r="B21" i="3361"/>
  <c r="B31" i="3361" s="1"/>
  <c r="B20" i="3361"/>
  <c r="C20" i="3361" s="1"/>
  <c r="C19" i="3361"/>
  <c r="C18" i="3361"/>
  <c r="C17" i="3361"/>
  <c r="O15" i="3361"/>
  <c r="B15" i="3361"/>
  <c r="O14" i="3361"/>
  <c r="B14" i="3361"/>
  <c r="O13" i="3361"/>
  <c r="B13" i="3361"/>
  <c r="O12" i="3361"/>
  <c r="B12" i="3361"/>
  <c r="B11" i="3361"/>
  <c r="C11" i="3361" s="1"/>
  <c r="C10" i="3361"/>
  <c r="O9" i="3361"/>
  <c r="C9" i="3361"/>
  <c r="O8" i="3361"/>
  <c r="C8" i="3361"/>
  <c r="O7" i="3361"/>
  <c r="C7" i="3361"/>
  <c r="O6" i="3361"/>
  <c r="B6" i="3361"/>
  <c r="O5" i="3361"/>
  <c r="B5" i="3361"/>
  <c r="O4" i="3361"/>
  <c r="O3" i="3361"/>
  <c r="O2" i="3361"/>
  <c r="O21" i="3359"/>
  <c r="O18" i="3360"/>
  <c r="O20" i="3360"/>
  <c r="O19" i="3360"/>
  <c r="C37" i="3360"/>
  <c r="B32" i="3360"/>
  <c r="C23" i="3360"/>
  <c r="B22" i="3360"/>
  <c r="C51" i="3360" s="1"/>
  <c r="B21" i="3360"/>
  <c r="B31" i="3360" s="1"/>
  <c r="B20" i="3360"/>
  <c r="C20" i="3360" s="1"/>
  <c r="C19" i="3360"/>
  <c r="C18" i="3360"/>
  <c r="C17" i="3360"/>
  <c r="O15" i="3360"/>
  <c r="B15" i="3360"/>
  <c r="O14" i="3360"/>
  <c r="B14" i="3360"/>
  <c r="O13" i="3360"/>
  <c r="B13" i="3360"/>
  <c r="O12" i="3360"/>
  <c r="B12" i="3360"/>
  <c r="B11" i="3360"/>
  <c r="C11" i="3360" s="1"/>
  <c r="C10" i="3360"/>
  <c r="O9" i="3360"/>
  <c r="C9" i="3360"/>
  <c r="O8" i="3360"/>
  <c r="C8" i="3360"/>
  <c r="O7" i="3360"/>
  <c r="C7" i="3360"/>
  <c r="O6" i="3360"/>
  <c r="B6" i="3360"/>
  <c r="O5" i="3360"/>
  <c r="B5" i="3360"/>
  <c r="O4" i="3360"/>
  <c r="O3" i="3360"/>
  <c r="O2" i="3360"/>
  <c r="O18" i="3359"/>
  <c r="O20" i="3359"/>
  <c r="O19" i="3359"/>
  <c r="C37" i="3359"/>
  <c r="B32" i="3359"/>
  <c r="C23" i="3359"/>
  <c r="B22" i="3359"/>
  <c r="C50" i="3359" s="1"/>
  <c r="B21" i="3359"/>
  <c r="B31" i="3359" s="1"/>
  <c r="B20" i="3359"/>
  <c r="C20" i="3359" s="1"/>
  <c r="C19" i="3359"/>
  <c r="C18" i="3359"/>
  <c r="C17" i="3359"/>
  <c r="O15" i="3359"/>
  <c r="B15" i="3359"/>
  <c r="O14" i="3359"/>
  <c r="B14" i="3359"/>
  <c r="O13" i="3359"/>
  <c r="B13" i="3359"/>
  <c r="O12" i="3359"/>
  <c r="B12" i="3359"/>
  <c r="B11" i="3359"/>
  <c r="C11" i="3359" s="1"/>
  <c r="C10" i="3359"/>
  <c r="O9" i="3359"/>
  <c r="C9" i="3359"/>
  <c r="O8" i="3359"/>
  <c r="C8" i="3359"/>
  <c r="O7" i="3359"/>
  <c r="C7" i="3359"/>
  <c r="O6" i="3359"/>
  <c r="B6" i="3359"/>
  <c r="O5" i="3359"/>
  <c r="B5" i="3359"/>
  <c r="O4" i="3359"/>
  <c r="O3" i="3359"/>
  <c r="O2" i="3359"/>
  <c r="B16" i="3363" l="1"/>
  <c r="H14" i="3362"/>
  <c r="H19" i="3360"/>
  <c r="B16" i="3360"/>
  <c r="B16" i="3361"/>
  <c r="H12" i="3361"/>
  <c r="H19" i="3361"/>
  <c r="H40" i="3361"/>
  <c r="H23" i="3361"/>
  <c r="C40" i="3361"/>
  <c r="H2" i="3361"/>
  <c r="C25" i="3361"/>
  <c r="H5" i="3361"/>
  <c r="C26" i="3361"/>
  <c r="C48" i="3361"/>
  <c r="H8" i="3361"/>
  <c r="H31" i="3361"/>
  <c r="C47" i="3361"/>
  <c r="H16" i="3361"/>
  <c r="H13" i="3361"/>
  <c r="H27" i="3361"/>
  <c r="C49" i="3361"/>
  <c r="C41" i="3361"/>
  <c r="H10" i="3361"/>
  <c r="H14" i="3361"/>
  <c r="C22" i="3361"/>
  <c r="C27" i="3361"/>
  <c r="H34" i="3361"/>
  <c r="H42" i="3361"/>
  <c r="C51" i="3361"/>
  <c r="H17" i="3361"/>
  <c r="C52" i="3361"/>
  <c r="H4" i="3361"/>
  <c r="H21" i="3361"/>
  <c r="C28" i="3361"/>
  <c r="C42" i="3361"/>
  <c r="H6" i="3361"/>
  <c r="H29" i="3361"/>
  <c r="H37" i="3361"/>
  <c r="C43" i="3361"/>
  <c r="H20" i="3361"/>
  <c r="H36" i="3361"/>
  <c r="H7" i="3361"/>
  <c r="H15" i="3361"/>
  <c r="H18" i="3361"/>
  <c r="C24" i="3361"/>
  <c r="B29" i="3361"/>
  <c r="C44" i="3361"/>
  <c r="H33" i="3361"/>
  <c r="H24" i="3361"/>
  <c r="H9" i="3361"/>
  <c r="H26" i="3361"/>
  <c r="B30" i="3361"/>
  <c r="H39" i="3361"/>
  <c r="C45" i="3361"/>
  <c r="H19" i="3363"/>
  <c r="B30" i="3363"/>
  <c r="H25" i="3359"/>
  <c r="C21" i="3362"/>
  <c r="H4" i="3362"/>
  <c r="H2" i="3362"/>
  <c r="H20" i="3362"/>
  <c r="H36" i="3362"/>
  <c r="C24" i="3362"/>
  <c r="H11" i="3362"/>
  <c r="H15" i="3362"/>
  <c r="H26" i="3362"/>
  <c r="C41" i="3362"/>
  <c r="C25" i="3362"/>
  <c r="H18" i="3362"/>
  <c r="H13" i="3362"/>
  <c r="H19" i="3362"/>
  <c r="C26" i="3362"/>
  <c r="C43" i="3362"/>
  <c r="H8" i="3362"/>
  <c r="H5" i="3362"/>
  <c r="H31" i="3362"/>
  <c r="C44" i="3362"/>
  <c r="H37" i="3362"/>
  <c r="H42" i="3362"/>
  <c r="H17" i="3362"/>
  <c r="H23" i="3362"/>
  <c r="H6" i="3359"/>
  <c r="H2" i="3359"/>
  <c r="H21" i="3359"/>
  <c r="H17" i="3363"/>
  <c r="H20" i="3363"/>
  <c r="H31" i="3363"/>
  <c r="H28" i="3363"/>
  <c r="H9" i="3363"/>
  <c r="H37" i="3363"/>
  <c r="H7" i="3363"/>
  <c r="H5" i="3363"/>
  <c r="C24" i="3363"/>
  <c r="C41" i="3363"/>
  <c r="H22" i="3363"/>
  <c r="H27" i="3363"/>
  <c r="H42" i="3363"/>
  <c r="H15" i="3363"/>
  <c r="C26" i="3363"/>
  <c r="C43" i="3363"/>
  <c r="C44" i="3363"/>
  <c r="H3" i="3363"/>
  <c r="H6" i="3363"/>
  <c r="H25" i="3363"/>
  <c r="H33" i="3363"/>
  <c r="C47" i="3363"/>
  <c r="H18" i="3363"/>
  <c r="H36" i="3363"/>
  <c r="C48" i="3363"/>
  <c r="C28" i="3363"/>
  <c r="H39" i="3363"/>
  <c r="C51" i="3363"/>
  <c r="C22" i="3363"/>
  <c r="H14" i="3363"/>
  <c r="H40" i="3363"/>
  <c r="C52" i="3363"/>
  <c r="H11" i="3363"/>
  <c r="H16" i="3363"/>
  <c r="H21" i="3363"/>
  <c r="H24" i="3363"/>
  <c r="C25" i="3363"/>
  <c r="B29" i="3363"/>
  <c r="H34" i="3363"/>
  <c r="C40" i="3363"/>
  <c r="C45" i="3363"/>
  <c r="H13" i="3363"/>
  <c r="H30" i="3363"/>
  <c r="H35" i="3363"/>
  <c r="H41" i="3363"/>
  <c r="C46" i="3363"/>
  <c r="H8" i="3363"/>
  <c r="H12" i="3363"/>
  <c r="C27" i="3363"/>
  <c r="B31" i="3363"/>
  <c r="C42" i="3363"/>
  <c r="C49" i="3363"/>
  <c r="H2" i="3363"/>
  <c r="H10" i="3363"/>
  <c r="H23" i="3363"/>
  <c r="H26" i="3363"/>
  <c r="H29" i="3363"/>
  <c r="H32" i="3363"/>
  <c r="H38" i="3363"/>
  <c r="H4" i="3363"/>
  <c r="B16" i="3362"/>
  <c r="H33" i="3362"/>
  <c r="C47" i="3362"/>
  <c r="H28" i="3362"/>
  <c r="C48" i="3362"/>
  <c r="C22" i="3362"/>
  <c r="C28" i="3362"/>
  <c r="H39" i="3362"/>
  <c r="C51" i="3362"/>
  <c r="H16" i="3362"/>
  <c r="H21" i="3362"/>
  <c r="H24" i="3362"/>
  <c r="H29" i="3362"/>
  <c r="H40" i="3362"/>
  <c r="C52" i="3362"/>
  <c r="B29" i="3362"/>
  <c r="H34" i="3362"/>
  <c r="C40" i="3362"/>
  <c r="C45" i="3362"/>
  <c r="H27" i="3362"/>
  <c r="H30" i="3362"/>
  <c r="H35" i="3362"/>
  <c r="H41" i="3362"/>
  <c r="C46" i="3362"/>
  <c r="B30" i="3362"/>
  <c r="H7" i="3362"/>
  <c r="H10" i="3362"/>
  <c r="C27" i="3362"/>
  <c r="C42" i="3362"/>
  <c r="C49" i="3362"/>
  <c r="H3" i="3362"/>
  <c r="H9" i="3362"/>
  <c r="H22" i="3362"/>
  <c r="H25" i="3362"/>
  <c r="H12" i="3362"/>
  <c r="H32" i="3362"/>
  <c r="H38" i="3362"/>
  <c r="H6" i="3362"/>
  <c r="H11" i="3361"/>
  <c r="H30" i="3361"/>
  <c r="H35" i="3361"/>
  <c r="H41" i="3361"/>
  <c r="C46" i="3361"/>
  <c r="H22" i="3361"/>
  <c r="H25" i="3361"/>
  <c r="H28" i="3361"/>
  <c r="H32" i="3361"/>
  <c r="H38" i="3361"/>
  <c r="H3" i="3361"/>
  <c r="B16" i="3359"/>
  <c r="H8" i="3360"/>
  <c r="C21" i="3360"/>
  <c r="H12" i="3360"/>
  <c r="H3" i="3360"/>
  <c r="H17" i="3360"/>
  <c r="C22" i="3360"/>
  <c r="H5" i="3360"/>
  <c r="H6" i="3360"/>
  <c r="H24" i="3360"/>
  <c r="H2" i="3360"/>
  <c r="H26" i="3360"/>
  <c r="H11" i="3360"/>
  <c r="H33" i="3360"/>
  <c r="H40" i="3360"/>
  <c r="C44" i="3360"/>
  <c r="C52" i="3360"/>
  <c r="H7" i="3360"/>
  <c r="H16" i="3360"/>
  <c r="H21" i="3360"/>
  <c r="H23" i="3360"/>
  <c r="C25" i="3360"/>
  <c r="B29" i="3360"/>
  <c r="H34" i="3360"/>
  <c r="C40" i="3360"/>
  <c r="C45" i="3360"/>
  <c r="H27" i="3360"/>
  <c r="H30" i="3360"/>
  <c r="H35" i="3360"/>
  <c r="H41" i="3360"/>
  <c r="C46" i="3360"/>
  <c r="H14" i="3360"/>
  <c r="H22" i="3360"/>
  <c r="C26" i="3360"/>
  <c r="B30" i="3360"/>
  <c r="H36" i="3360"/>
  <c r="C41" i="3360"/>
  <c r="C47" i="3360"/>
  <c r="H28" i="3360"/>
  <c r="H31" i="3360"/>
  <c r="H37" i="3360"/>
  <c r="H42" i="3360"/>
  <c r="C48" i="3360"/>
  <c r="H13" i="3360"/>
  <c r="H20" i="3360"/>
  <c r="C27" i="3360"/>
  <c r="C42" i="3360"/>
  <c r="C49" i="3360"/>
  <c r="H10" i="3360"/>
  <c r="H25" i="3360"/>
  <c r="H29" i="3360"/>
  <c r="H32" i="3360"/>
  <c r="H38" i="3360"/>
  <c r="H4" i="3360"/>
  <c r="C50" i="3360"/>
  <c r="H15" i="3360"/>
  <c r="H18" i="3360"/>
  <c r="H9" i="3360"/>
  <c r="C24" i="3360"/>
  <c r="C28" i="3360"/>
  <c r="H39" i="3360"/>
  <c r="C43" i="3360"/>
  <c r="H7" i="3359"/>
  <c r="H15" i="3359"/>
  <c r="H34" i="3359"/>
  <c r="H16" i="3359"/>
  <c r="C42" i="3359"/>
  <c r="H36" i="3359"/>
  <c r="H22" i="3359"/>
  <c r="H28" i="3359"/>
  <c r="H19" i="3359"/>
  <c r="H39" i="3359"/>
  <c r="C43" i="3359"/>
  <c r="C25" i="3359"/>
  <c r="H9" i="3359"/>
  <c r="C26" i="3359"/>
  <c r="C27" i="3359"/>
  <c r="H12" i="3359"/>
  <c r="C28" i="3359"/>
  <c r="C44" i="3359"/>
  <c r="C21" i="3359"/>
  <c r="H33" i="3359"/>
  <c r="C45" i="3359"/>
  <c r="C47" i="3359"/>
  <c r="H5" i="3359"/>
  <c r="H20" i="3359"/>
  <c r="H14" i="3359"/>
  <c r="C49" i="3359"/>
  <c r="H8" i="3359"/>
  <c r="H11" i="3359"/>
  <c r="C22" i="3359"/>
  <c r="H23" i="3359"/>
  <c r="C40" i="3359"/>
  <c r="C51" i="3359"/>
  <c r="H40" i="3359"/>
  <c r="H24" i="3359"/>
  <c r="B29" i="3359"/>
  <c r="H3" i="3359"/>
  <c r="C24" i="3359"/>
  <c r="C41" i="3359"/>
  <c r="C52" i="3359"/>
  <c r="H13" i="3359"/>
  <c r="H30" i="3359"/>
  <c r="H35" i="3359"/>
  <c r="H41" i="3359"/>
  <c r="C46" i="3359"/>
  <c r="H26" i="3359"/>
  <c r="H29" i="3359"/>
  <c r="H31" i="3359"/>
  <c r="H37" i="3359"/>
  <c r="H42" i="3359"/>
  <c r="C48" i="3359"/>
  <c r="B30" i="3359"/>
  <c r="H10" i="3359"/>
  <c r="H17" i="3359"/>
  <c r="H27" i="3359"/>
  <c r="H18" i="3359"/>
  <c r="H32" i="3359"/>
  <c r="H38" i="3359"/>
  <c r="H4" i="3359"/>
  <c r="B16" i="2228" l="1"/>
  <c r="B15" i="2228"/>
  <c r="B14" i="2228"/>
  <c r="B13" i="2228"/>
  <c r="B12" i="2228"/>
  <c r="B6" i="2228" l="1"/>
  <c r="O5" i="2228" l="1"/>
  <c r="O12" i="2228"/>
  <c r="O13" i="2228"/>
  <c r="O6" i="2228"/>
  <c r="C11" i="2228" l="1"/>
  <c r="B11" i="2228"/>
  <c r="C10" i="2228"/>
  <c r="C8" i="2228"/>
  <c r="C9" i="2228"/>
  <c r="B21" i="2228" l="1"/>
  <c r="B20" i="2228"/>
  <c r="B5" i="2228"/>
  <c r="C22" i="2228"/>
  <c r="C23" i="2228"/>
  <c r="B32" i="2228"/>
  <c r="B31" i="2228" l="1"/>
  <c r="C21" i="2228"/>
  <c r="C37" i="2228" l="1"/>
  <c r="B22" i="2228"/>
  <c r="C20" i="2228"/>
  <c r="C19" i="2228"/>
  <c r="C18" i="2228"/>
  <c r="O15" i="2228"/>
  <c r="O14" i="2228"/>
  <c r="C17" i="2228"/>
  <c r="O9" i="2228"/>
  <c r="C7" i="2228"/>
  <c r="O8" i="2228"/>
  <c r="O7" i="2228"/>
  <c r="O4" i="2228"/>
  <c r="O3" i="2228"/>
  <c r="O2" i="2228"/>
  <c r="C28" i="2228" l="1"/>
  <c r="H9" i="2228"/>
  <c r="C26" i="2228"/>
  <c r="C25" i="2228"/>
  <c r="C24" i="2228"/>
  <c r="C27" i="2228"/>
  <c r="H6" i="2228"/>
  <c r="B30" i="2228"/>
  <c r="B29" i="2228"/>
  <c r="C42" i="2228"/>
  <c r="C52" i="2228"/>
  <c r="C44" i="2228"/>
  <c r="C51" i="2228"/>
  <c r="C43" i="2228"/>
  <c r="C50" i="2228"/>
  <c r="C41" i="2228"/>
  <c r="C49" i="2228"/>
  <c r="C40" i="2228"/>
  <c r="C48" i="2228"/>
  <c r="C47" i="2228"/>
  <c r="C46" i="2228"/>
  <c r="C45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<sst xmlns="http://schemas.openxmlformats.org/spreadsheetml/2006/main" count="1153" uniqueCount="187">
  <si>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</si>
  <si>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</si>
  <si>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</si>
  <si>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</si>
  <si>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</si>
  <si>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</si>
  <si>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</si>
  <si>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</si>
  <si>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</si>
  <si>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</si>
  <si>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</si>
  <si>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</si>
  <si>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</si>
  <si>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</si>
  <si>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</si>
  <si>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</si>
  <si>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</si>
  <si>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</si>
  <si>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</si>
  <si>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</si>
  <si>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</si>
  <si>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</si>
  <si>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</si>
  <si>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</si>
  <si>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</si>
  <si>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</si>
  <si>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</si>
  <si>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</si>
  <si>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</si>
  <si>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</si>
  <si>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</si>
  <si>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</si>
  <si>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</si>
  <si>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</si>
  <si>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</si>
  <si>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</si>
  <si>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</si>
  <si>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</si>
  <si>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</si>
  <si>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</si>
  <si>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</si>
  <si>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</si>
  <si>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</si>
  <si>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</si>
  <si>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</si>
  <si>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</si>
  <si>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</si>
  <si>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</si>
  <si>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</si>
  <si>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</si>
  <si>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</si>
  <si>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</si>
  <si>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</si>
  <si>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</si>
  <si>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</si>
  <si>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</si>
  <si>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</si>
  <si>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</si>
  <si>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</si>
  <si>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</si>
  <si>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</si>
  <si>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</si>
  <si>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</si>
  <si>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</si>
  <si>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</si>
  <si>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</si>
  <si>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</si>
  <si>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</si>
  <si>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</si>
  <si>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</si>
  <si>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</si>
  <si>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</si>
  <si>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</si>
  <si>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</si>
  <si>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</si>
  <si>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</si>
  <si>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</si>
  <si>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</si>
  <si>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</si>
  <si>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</si>
  <si>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</si>
  <si>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</si>
  <si>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</si>
  <si>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</si>
  <si>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</si>
  <si>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</si>
  <si>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</si>
  <si>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</si>
  <si>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</si>
  <si>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</si>
  <si>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</si>
  <si>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</si>
  <si>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</si>
  <si>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</si>
  <si>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</si>
  <si>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</si>
  <si>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</si>
  <si>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</si>
  <si>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</si>
  <si>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</si>
  <si>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</si>
  <si>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</si>
  <si>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</si>
  <si>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</si>
  <si>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</si>
  <si>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</si>
  <si>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</si>
  <si>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</si>
  <si>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</si>
  <si>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</si>
  <si>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</si>
  <si>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</si>
  <si>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</si>
  <si>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</si>
  <si>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</si>
  <si>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</si>
  <si>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</si>
  <si>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</si>
  <si>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</si>
  <si>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</si>
  <si>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</si>
  <si>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</si>
  <si>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</si>
  <si>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</si>
  <si>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</si>
  <si>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</si>
  <si>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</si>
  <si>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</si>
  <si>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</si>
  <si>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</si>
  <si>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</si>
  <si>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</si>
  <si>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</si>
  <si>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</si>
  <si>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</si>
  <si>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</si>
  <si>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</si>
  <si>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</si>
  <si>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</si>
  <si>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</si>
  <si>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</si>
  <si>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</si>
  <si>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</si>
  <si>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</si>
  <si>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</si>
  <si>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</si>
  <si>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</si>
  <si>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</si>
  <si>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</si>
  <si>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</si>
  <si>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</si>
  <si>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</si>
  <si>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</si>
  <si>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</si>
  <si>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</si>
  <si>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</si>
  <si>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</si>
  <si>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</si>
  <si>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</si>
  <si>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</si>
  <si>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</si>
  <si>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</si>
  <si>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</si>
  <si>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</si>
  <si>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</si>
  <si>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</si>
  <si>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</si>
  <si>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</si>
  <si>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</si>
  <si>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地和</t>
    <phoneticPr fontId="2"/>
  </si>
  <si>
    <t>―</t>
  </si>
  <si>
    <t>2020-03-30@Jiqoo.xlsm</t>
  </si>
  <si>
    <t>Sheet1</t>
  </si>
  <si>
    <t>全体</t>
  </si>
  <si>
    <t>りくと</t>
  </si>
  <si>
    <t>てんちゃん</t>
  </si>
  <si>
    <t>ただ</t>
  </si>
  <si>
    <t>だいち</t>
  </si>
  <si>
    <t>Sheet2</t>
  </si>
  <si>
    <t>Sheet3</t>
  </si>
  <si>
    <t>Sheet4</t>
  </si>
  <si>
    <t>Sheet5</t>
  </si>
  <si>
    <t>バランス</t>
    <phoneticPr fontId="2"/>
  </si>
  <si>
    <t>1位スコア</t>
    <rPh sb="1" eb="2">
      <t>イ</t>
    </rPh>
    <phoneticPr fontId="2"/>
  </si>
  <si>
    <t>2位スコア</t>
    <phoneticPr fontId="2"/>
  </si>
  <si>
    <t>3位スコア</t>
    <phoneticPr fontId="2"/>
  </si>
  <si>
    <t>4位スコア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</si>
</sst>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3" fillId="0" borderId="7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全体!$L$2:$L$22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65.5</c:v>
                </c:pt>
                <c:pt idx="2">
                  <c:v>-0.20000000000000284</c:v>
                </c:pt>
                <c:pt idx="3">
                  <c:v>-16.600000000000001</c:v>
                </c:pt>
                <c:pt idx="4">
                  <c:v>0</c:v>
                </c:pt>
                <c:pt idx="5">
                  <c:v>13.4</c:v>
                </c:pt>
                <c:pt idx="6">
                  <c:v>-0.79999999999999893</c:v>
                </c:pt>
                <c:pt idx="7">
                  <c:v>63.900000000000006</c:v>
                </c:pt>
                <c:pt idx="8">
                  <c:v>7.1054273576010019E-15</c:v>
                </c:pt>
                <c:pt idx="9">
                  <c:v>-31.399999999999991</c:v>
                </c:pt>
                <c:pt idx="10">
                  <c:v>-85.6</c:v>
                </c:pt>
                <c:pt idx="11">
                  <c:v>-12</c:v>
                </c:pt>
                <c:pt idx="12">
                  <c:v>-10</c:v>
                </c:pt>
                <c:pt idx="13">
                  <c:v>2.8000000000000007</c:v>
                </c:pt>
                <c:pt idx="14">
                  <c:v>-48.400000000000006</c:v>
                </c:pt>
                <c:pt idx="15">
                  <c:v>-68.5</c:v>
                </c:pt>
                <c:pt idx="16">
                  <c:v>-10</c:v>
                </c:pt>
                <c:pt idx="17">
                  <c:v>10</c:v>
                </c:pt>
                <c:pt idx="18">
                  <c:v>-9</c:v>
                </c:pt>
                <c:pt idx="19">
                  <c:v>54.7</c:v>
                </c:pt>
                <c:pt idx="2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53-42A5-AF1B-D32E81A5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-100</c:v>
                </c:pt>
                <c:pt idx="2">
                  <c:v>100</c:v>
                </c:pt>
                <c:pt idx="3">
                  <c:v>-550</c:v>
                </c:pt>
                <c:pt idx="4">
                  <c:v>50</c:v>
                </c:pt>
                <c:pt idx="5">
                  <c:v>-100</c:v>
                </c:pt>
                <c:pt idx="6">
                  <c:v>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F8-47EA-B98C-70C34BF09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7-486F-9E40-ECC4F9120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65.5</c:v>
                </c:pt>
                <c:pt idx="2">
                  <c:v>1.6000000000000014</c:v>
                </c:pt>
                <c:pt idx="3">
                  <c:v>75.199999999999989</c:v>
                </c:pt>
                <c:pt idx="4">
                  <c:v>55.099999999999987</c:v>
                </c:pt>
                <c:pt idx="5">
                  <c:v>36.099999999999987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E2-4E13-844B-69D23DED5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だいち!$O$2:$O$9</c:f>
              <c:numCache>
                <c:formatCode>\+0;\-0;\±0</c:formatCode>
                <c:ptCount val="8"/>
                <c:pt idx="0">
                  <c:v>620</c:v>
                </c:pt>
                <c:pt idx="1">
                  <c:v>-840</c:v>
                </c:pt>
                <c:pt idx="2">
                  <c:v>1480</c:v>
                </c:pt>
                <c:pt idx="3">
                  <c:v>1260</c:v>
                </c:pt>
                <c:pt idx="4">
                  <c:v>1120</c:v>
                </c:pt>
                <c:pt idx="5">
                  <c:v>-100</c:v>
                </c:pt>
                <c:pt idx="6">
                  <c:v>-2360</c:v>
                </c:pt>
                <c:pt idx="7">
                  <c:v>1040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18-4DA5-8FF3-065FF693C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9-41E5-8F5D-E72F964C3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りくと!$L$2:$L$7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-65.7</c:v>
                </c:pt>
                <c:pt idx="2">
                  <c:v>-1</c:v>
                </c:pt>
                <c:pt idx="3">
                  <c:v>-32.4</c:v>
                </c:pt>
                <c:pt idx="4">
                  <c:v>-83.6</c:v>
                </c:pt>
                <c:pt idx="5">
                  <c:v>-19.899999999999991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92-486D-AE81-14492803F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りくと!$O$2:$O$9</c:f>
              <c:numCache>
                <c:formatCode>\+0;\-0;\±0</c:formatCode>
                <c:ptCount val="8"/>
                <c:pt idx="0">
                  <c:v>-1680</c:v>
                </c:pt>
                <c:pt idx="1">
                  <c:v>200</c:v>
                </c:pt>
                <c:pt idx="2">
                  <c:v>-1700</c:v>
                </c:pt>
                <c:pt idx="3">
                  <c:v>-740</c:v>
                </c:pt>
                <c:pt idx="4">
                  <c:v>-2820</c:v>
                </c:pt>
                <c:pt idx="5">
                  <c:v>-2000</c:v>
                </c:pt>
                <c:pt idx="6">
                  <c:v>6580</c:v>
                </c:pt>
                <c:pt idx="7">
                  <c:v>-2820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E7-4868-8E53-059BA52D1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E-4D8E-B881-A0C4ABFBB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-16.399999999999999</c:v>
                </c:pt>
                <c:pt idx="2">
                  <c:v>-2.9999999999999982</c:v>
                </c:pt>
                <c:pt idx="3">
                  <c:v>-57.2</c:v>
                </c:pt>
                <c:pt idx="4">
                  <c:v>1.2999999999999972</c:v>
                </c:pt>
                <c:pt idx="5">
                  <c:v>21.299999999999997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8-4277-8284-0B030311B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てんちゃん!$O$2:$O$9</c:f>
              <c:numCache>
                <c:formatCode>\+0;\-0;\±0</c:formatCode>
                <c:ptCount val="8"/>
                <c:pt idx="0">
                  <c:v>4900</c:v>
                </c:pt>
                <c:pt idx="1">
                  <c:v>-840</c:v>
                </c:pt>
                <c:pt idx="2">
                  <c:v>-2080</c:v>
                </c:pt>
                <c:pt idx="3">
                  <c:v>-280</c:v>
                </c:pt>
                <c:pt idx="4">
                  <c:v>3660</c:v>
                </c:pt>
                <c:pt idx="5">
                  <c:v>1720</c:v>
                </c:pt>
                <c:pt idx="6">
                  <c:v>-3820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1A-4454-AF03-20596C5A5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D-407C-8EE4-BE41FA4EC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16.600000000000001</c:v>
                </c:pt>
                <c:pt idx="2">
                  <c:v>2.4000000000000021</c:v>
                </c:pt>
                <c:pt idx="3">
                  <c:v>4.4000000000000021</c:v>
                </c:pt>
                <c:pt idx="4">
                  <c:v>17.200000000000003</c:v>
                </c:pt>
                <c:pt idx="5">
                  <c:v>-47.5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B3-4234-8AA5-857C45526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ただ!$O$2:$O$9</c:f>
              <c:numCache>
                <c:formatCode>\+0;\-0;\±0</c:formatCode>
                <c:ptCount val="8"/>
                <c:pt idx="0">
                  <c:v>-3840</c:v>
                </c:pt>
                <c:pt idx="1">
                  <c:v>1080</c:v>
                </c:pt>
                <c:pt idx="2">
                  <c:v>2700</c:v>
                </c:pt>
                <c:pt idx="3">
                  <c:v>-2440</c:v>
                </c:pt>
                <c:pt idx="4">
                  <c:v>-1760</c:v>
                </c:pt>
                <c:pt idx="5">
                  <c:v>-20</c:v>
                </c:pt>
                <c:pt idx="6">
                  <c:v>0</c:v>
                </c:pt>
                <c:pt idx="7">
                  <c:v>1780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E-4B97-85B3-F08A2005B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22-4037-AF9E-55E079B39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641310-A3D1-453D-8DD2-636C0C3BD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C96047-C503-4CEA-AF45-AA7F497BA0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A47548-4924-4E46-AC98-E09069E090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7BC250-A0CD-4EB2-9D0D-08F5FCC98D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7814A2-2623-4812-994E-AA7356A471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1D33013-FE5B-4825-8BBB-A3C5F70DC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C8491E-58FD-451B-A9D7-DBA45DC16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040ACB-5ABF-4BC6-9E06-1BA1A7D67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23D3BC-0338-4DCD-8CD8-2D1528537B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B6EB9C-2773-4387-8EFB-C28EDE2E6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44B47E-88C1-41BA-B813-CF1FC287D3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CD683F3-15C8-4CD9-AD80-E4195545B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F7BC1D-B90A-41C3-9025-B3EFF3699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5F460F-483D-440C-BC84-16870B314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F6651A-F858-4EA0-837D-52B7556FFE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7">
      <c r="A1" s="23">
        <v>32874</v>
      </c>
      <c r="B1" s="23">
        <v>2958465</v>
      </c>
    </row>
    <row r="2" spans="1:7">
      <c r="A2" s="24" t="s">
        <v>171</v>
      </c>
      <c r="B2" s="25">
        <v>43920.633391203701</v>
      </c>
      <c r="C2" s="24" t="s">
        <v>172</v>
      </c>
      <c r="D2" s="24" t="s">
        <v>178</v>
      </c>
      <c r="E2" s="24" t="s">
        <v>179</v>
      </c>
      <c r="F2" s="24" t="s">
        <v>180</v>
      </c>
      <c r="G2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173</v>
      </c>
      <c r="B1">
        <v>20</v>
      </c>
    </row>
    <row r="2" spans="1:2">
      <c r="A2" t="s">
        <v>177</v>
      </c>
      <c r="B2">
        <v>5</v>
      </c>
    </row>
    <row r="3" spans="1:2">
      <c r="A3" t="s">
        <v>174</v>
      </c>
      <c r="B3">
        <v>5</v>
      </c>
    </row>
    <row r="4" spans="1:2">
      <c r="A4" t="s">
        <v>175</v>
      </c>
      <c r="B4">
        <v>5</v>
      </c>
    </row>
    <row r="5" spans="1:2">
      <c r="A5" t="s">
        <v>176</v>
      </c>
      <c r="B5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7"/>
  <sheetViews>
    <sheetView showGridLines="0" tabSelected="1" zoomScale="130" zoomScaleNormal="130" workbookViewId="0"/>
  </sheetViews>
  <sheetFormatPr defaultColWidth="9" defaultRowHeight="18"/>
  <cols>
    <col min="1" max="1" width="6" style="58" customWidth="1"/>
    <col min="2" max="2" width="10.69921875" style="59" customWidth="1"/>
    <col min="3" max="3" width="10.69921875" style="123" customWidth="1"/>
    <col min="4" max="4" width="10.69921875" style="59" customWidth="1"/>
    <col min="5" max="5" width="10.69921875" style="60" customWidth="1"/>
    <col min="6" max="6" width="10.69921875" style="61" customWidth="1"/>
    <col min="7" max="7" width="10.69921875" style="73" customWidth="1"/>
    <col min="8" max="8" width="10.69921875" style="61" customWidth="1"/>
    <col min="9" max="9" width="10.69921875" style="73" customWidth="1"/>
    <col min="10" max="10" width="10.69921875" style="61" customWidth="1"/>
    <col min="11" max="11" width="10.69921875" style="62" customWidth="1"/>
    <col min="12" max="12" width="10.69921875" style="61" customWidth="1"/>
    <col min="13" max="13" width="10.69921875" style="63" customWidth="1"/>
    <col min="14" max="14" width="10.69921875" style="61" customWidth="1"/>
    <col min="15" max="15" width="10.69921875" style="63" customWidth="1"/>
    <col min="16" max="16" width="10.69921875" style="61" customWidth="1"/>
    <col min="17" max="17" width="10.69921875" style="63" customWidth="1"/>
    <col min="18" max="18" width="10.69921875" style="61" customWidth="1"/>
    <col min="19" max="19" width="10.69921875" style="64" customWidth="1"/>
    <col min="20" max="20" width="10.69921875" style="61" customWidth="1"/>
    <col min="21" max="21" width="10.69921875" style="64" customWidth="1"/>
    <col min="22" max="22" width="10.69921875" style="61" customWidth="1"/>
    <col min="23" max="23" width="10.69921875" style="65" customWidth="1"/>
    <col min="24" max="24" width="10.69921875" style="61" customWidth="1"/>
    <col min="25" max="25" width="10.69921875" style="65" customWidth="1"/>
    <col min="26" max="26" width="10.69921875" style="61" customWidth="1"/>
    <col min="27" max="27" width="10.69921875" style="64" customWidth="1"/>
    <col min="28" max="28" width="10.69921875" style="61" customWidth="1"/>
    <col min="29" max="29" width="10.69921875" style="64" customWidth="1"/>
    <col min="30" max="30" width="10.69921875" style="61" customWidth="1"/>
    <col min="31" max="31" width="10.69921875" style="64" customWidth="1"/>
    <col min="32" max="32" width="10.69921875" style="61" customWidth="1"/>
    <col min="33" max="33" width="10.69921875" style="64" customWidth="1"/>
    <col min="34" max="34" width="10.69921875" style="61" customWidth="1"/>
    <col min="35" max="35" width="10.69921875" style="64" customWidth="1"/>
    <col min="36" max="36" width="10.69921875" style="61" customWidth="1"/>
    <col min="37" max="37" width="10.69921875" style="68" customWidth="1"/>
    <col min="38" max="16384" width="9" style="49"/>
  </cols>
  <sheetData>
    <row r="1" spans="1:37">
      <c r="A1" s="48"/>
      <c r="B1" s="128" t="s">
        <v>9</v>
      </c>
      <c r="C1" s="129"/>
      <c r="D1" s="128" t="s">
        <v>6</v>
      </c>
      <c r="E1" s="129"/>
      <c r="F1" s="128" t="s">
        <v>7</v>
      </c>
      <c r="G1" s="129"/>
      <c r="H1" s="150" t="s">
        <v>182</v>
      </c>
      <c r="I1" s="151"/>
      <c r="J1" s="128" t="s">
        <v>15</v>
      </c>
      <c r="K1" s="129"/>
      <c r="L1" s="128" t="s">
        <v>14</v>
      </c>
      <c r="M1" s="129"/>
      <c r="N1" s="128" t="s">
        <v>123</v>
      </c>
      <c r="O1" s="129"/>
      <c r="P1" s="128" t="s">
        <v>152</v>
      </c>
      <c r="Q1" s="129"/>
      <c r="R1" s="128" t="s">
        <v>113</v>
      </c>
      <c r="S1" s="129"/>
      <c r="T1" s="128" t="s">
        <v>114</v>
      </c>
      <c r="U1" s="129"/>
      <c r="V1" s="128" t="s">
        <v>5</v>
      </c>
      <c r="W1" s="129"/>
      <c r="X1" s="128" t="s">
        <v>16</v>
      </c>
      <c r="Y1" s="129"/>
      <c r="Z1" s="128" t="s">
        <v>98</v>
      </c>
      <c r="AA1" s="129"/>
      <c r="AB1" s="128" t="s">
        <v>95</v>
      </c>
      <c r="AC1" s="129"/>
      <c r="AD1" s="128" t="s">
        <v>101</v>
      </c>
      <c r="AE1" s="129"/>
      <c r="AF1" s="128" t="s">
        <v>115</v>
      </c>
      <c r="AG1" s="129"/>
      <c r="AH1" s="128" t="s">
        <v>112</v>
      </c>
      <c r="AI1" s="129"/>
      <c r="AJ1" s="128" t="s">
        <v>146</v>
      </c>
      <c r="AK1" s="129"/>
    </row>
    <row r="2" spans="1:37">
      <c r="A2" s="48" t="s">
        <v>122</v>
      </c>
      <c r="B2" s="132" t="s">
        <v>170</v>
      </c>
      <c r="C2" s="133"/>
      <c r="D2" s="130"/>
      <c r="E2" s="131"/>
      <c r="F2" s="130"/>
      <c r="G2" s="131"/>
      <c r="H2" s="132" t="s">
        <v>170</v>
      </c>
      <c r="I2" s="133"/>
      <c r="J2" s="132" t="s">
        <v>170</v>
      </c>
      <c r="K2" s="133"/>
      <c r="L2" s="132" t="s">
        <v>170</v>
      </c>
      <c r="M2" s="133"/>
      <c r="N2" s="132" t="s">
        <v>170</v>
      </c>
      <c r="O2" s="133"/>
      <c r="P2" s="132" t="s">
        <v>170</v>
      </c>
      <c r="Q2" s="133"/>
      <c r="R2" s="132" t="s">
        <v>170</v>
      </c>
      <c r="S2" s="133"/>
      <c r="T2" s="132" t="s">
        <v>170</v>
      </c>
      <c r="U2" s="133"/>
      <c r="V2" s="132" t="s">
        <v>170</v>
      </c>
      <c r="W2" s="133"/>
      <c r="X2" s="132" t="s">
        <v>170</v>
      </c>
      <c r="Y2" s="133"/>
      <c r="Z2" s="132" t="s">
        <v>170</v>
      </c>
      <c r="AA2" s="133"/>
      <c r="AB2" s="132" t="s">
        <v>170</v>
      </c>
      <c r="AC2" s="133"/>
      <c r="AD2" s="132" t="s">
        <v>170</v>
      </c>
      <c r="AE2" s="133"/>
      <c r="AF2" s="132" t="s">
        <v>170</v>
      </c>
      <c r="AG2" s="133"/>
      <c r="AH2" s="132" t="s">
        <v>170</v>
      </c>
      <c r="AI2" s="133"/>
      <c r="AJ2" s="132" t="s">
        <v>170</v>
      </c>
      <c r="AK2" s="133"/>
    </row>
    <row r="3" spans="1:37">
      <c r="A3" s="50">
        <v>1</v>
      </c>
      <c r="B3" s="51" t="s">
        <v>173</v>
      </c>
      <c r="C3" s="122">
        <v>5</v>
      </c>
      <c r="D3" s="51" t="s">
        <v>177</v>
      </c>
      <c r="E3" s="52">
        <v>36.099999999999987</v>
      </c>
      <c r="F3" s="53" t="s">
        <v>177</v>
      </c>
      <c r="G3" s="72">
        <v>7.2199999999999971</v>
      </c>
      <c r="H3" s="53" t="s">
        <v>175</v>
      </c>
      <c r="I3" s="72">
        <v>1.1500000000000004</v>
      </c>
      <c r="J3" s="53" t="s">
        <v>177</v>
      </c>
      <c r="K3" s="54">
        <v>2.4</v>
      </c>
      <c r="L3" s="53" t="s">
        <v>177</v>
      </c>
      <c r="M3" s="55">
        <v>0.4</v>
      </c>
      <c r="N3" s="53" t="s">
        <v>177</v>
      </c>
      <c r="O3" s="55">
        <v>0.2</v>
      </c>
      <c r="P3" s="53" t="s">
        <v>175</v>
      </c>
      <c r="Q3" s="55">
        <v>0.6</v>
      </c>
      <c r="R3" s="53" t="s">
        <v>176</v>
      </c>
      <c r="S3" s="56">
        <v>0.29629629629629628</v>
      </c>
      <c r="T3" s="53" t="s">
        <v>177</v>
      </c>
      <c r="U3" s="56">
        <v>0.1111111111111111</v>
      </c>
      <c r="V3" s="53" t="s">
        <v>175</v>
      </c>
      <c r="W3" s="57">
        <v>9100</v>
      </c>
      <c r="X3" s="53" t="s">
        <v>177</v>
      </c>
      <c r="Y3" s="57">
        <v>-5083.333333333333</v>
      </c>
      <c r="Z3" s="53" t="s">
        <v>176</v>
      </c>
      <c r="AA3" s="56">
        <v>0.27777777777777779</v>
      </c>
      <c r="AB3" s="53" t="s">
        <v>174</v>
      </c>
      <c r="AC3" s="56">
        <v>0.22222222222222221</v>
      </c>
      <c r="AD3" s="53" t="s">
        <v>175</v>
      </c>
      <c r="AE3" s="56">
        <v>0.75</v>
      </c>
      <c r="AF3" s="53" t="s">
        <v>177</v>
      </c>
      <c r="AG3" s="56">
        <v>0.5714285714285714</v>
      </c>
      <c r="AH3" s="53" t="s">
        <v>177</v>
      </c>
      <c r="AI3" s="56">
        <v>0.54545454545454541</v>
      </c>
      <c r="AJ3" s="53" t="s">
        <v>173</v>
      </c>
      <c r="AK3" s="67">
        <v>53600</v>
      </c>
    </row>
    <row r="4" spans="1:37">
      <c r="A4" s="58">
        <v>2</v>
      </c>
      <c r="B4" s="59" t="s">
        <v>177</v>
      </c>
      <c r="C4" s="123">
        <v>5</v>
      </c>
      <c r="D4" s="59" t="s">
        <v>175</v>
      </c>
      <c r="E4" s="60">
        <v>21.299999999999997</v>
      </c>
      <c r="F4" s="61" t="s">
        <v>175</v>
      </c>
      <c r="G4" s="73">
        <v>4.26</v>
      </c>
      <c r="H4" s="61" t="s">
        <v>173</v>
      </c>
      <c r="I4" s="73">
        <v>-0.50000000000000355</v>
      </c>
      <c r="J4" s="61" t="s">
        <v>175</v>
      </c>
      <c r="K4" s="62">
        <v>2.4</v>
      </c>
      <c r="L4" s="61" t="s">
        <v>174</v>
      </c>
      <c r="M4" s="63">
        <v>0.4</v>
      </c>
      <c r="N4" s="61" t="s">
        <v>175</v>
      </c>
      <c r="O4" s="63">
        <v>0.2</v>
      </c>
      <c r="P4" s="61" t="s">
        <v>176</v>
      </c>
      <c r="Q4" s="63">
        <v>0.6</v>
      </c>
      <c r="R4" s="61" t="s">
        <v>173</v>
      </c>
      <c r="S4" s="64">
        <v>0.20833333333333334</v>
      </c>
      <c r="T4" s="61" t="s">
        <v>175</v>
      </c>
      <c r="U4" s="64">
        <v>0.12962962962962962</v>
      </c>
      <c r="V4" s="61" t="s">
        <v>174</v>
      </c>
      <c r="W4" s="65">
        <v>6862.5</v>
      </c>
      <c r="X4" s="61" t="s">
        <v>176</v>
      </c>
      <c r="Y4" s="65">
        <v>-5488.8888888888887</v>
      </c>
      <c r="Z4" s="61" t="s">
        <v>174</v>
      </c>
      <c r="AA4" s="64">
        <v>0.22222222222222221</v>
      </c>
      <c r="AB4" s="61" t="s">
        <v>176</v>
      </c>
      <c r="AC4" s="64">
        <v>0.20370370370370369</v>
      </c>
      <c r="AD4" s="61" t="s">
        <v>176</v>
      </c>
      <c r="AE4" s="64">
        <v>0.73333333333333328</v>
      </c>
      <c r="AF4" s="61" t="s">
        <v>173</v>
      </c>
      <c r="AG4" s="64">
        <v>0.27777777777777779</v>
      </c>
      <c r="AH4" s="61" t="s">
        <v>174</v>
      </c>
      <c r="AI4" s="64">
        <v>0.375</v>
      </c>
      <c r="AJ4" s="61" t="s">
        <v>177</v>
      </c>
      <c r="AK4" s="68">
        <v>53600</v>
      </c>
    </row>
    <row r="5" spans="1:37">
      <c r="A5" s="58">
        <v>3</v>
      </c>
      <c r="B5" s="59" t="s">
        <v>174</v>
      </c>
      <c r="C5" s="123">
        <v>5</v>
      </c>
      <c r="D5" s="59" t="s">
        <v>173</v>
      </c>
      <c r="E5" s="60">
        <v>-10</v>
      </c>
      <c r="F5" s="61" t="s">
        <v>173</v>
      </c>
      <c r="G5" s="73">
        <v>-0.5</v>
      </c>
      <c r="H5" s="61" t="s">
        <v>177</v>
      </c>
      <c r="I5" s="73">
        <v>-3.4749999999999996</v>
      </c>
      <c r="J5" s="61" t="s">
        <v>173</v>
      </c>
      <c r="K5" s="62">
        <v>2.5</v>
      </c>
      <c r="L5" s="61" t="s">
        <v>173</v>
      </c>
      <c r="M5" s="63">
        <v>0.25</v>
      </c>
      <c r="N5" s="61" t="s">
        <v>176</v>
      </c>
      <c r="O5" s="63">
        <v>0.2</v>
      </c>
      <c r="P5" s="61" t="s">
        <v>173</v>
      </c>
      <c r="Q5" s="63">
        <v>0.5</v>
      </c>
      <c r="R5" s="61" t="s">
        <v>177</v>
      </c>
      <c r="S5" s="64">
        <v>0.20370370370370369</v>
      </c>
      <c r="T5" s="61" t="s">
        <v>173</v>
      </c>
      <c r="U5" s="64">
        <v>0.14351851851851852</v>
      </c>
      <c r="V5" s="61" t="s">
        <v>173</v>
      </c>
      <c r="W5" s="65">
        <v>6677.7777777777774</v>
      </c>
      <c r="X5" s="61" t="s">
        <v>175</v>
      </c>
      <c r="Y5" s="65">
        <v>-5557.1428571428569</v>
      </c>
      <c r="Z5" s="61" t="s">
        <v>175</v>
      </c>
      <c r="AA5" s="64">
        <v>0.22222222222222221</v>
      </c>
      <c r="AB5" s="61" t="s">
        <v>173</v>
      </c>
      <c r="AC5" s="64">
        <v>0.16666666666666666</v>
      </c>
      <c r="AD5" s="61" t="s">
        <v>173</v>
      </c>
      <c r="AE5" s="64">
        <v>0.5957446808510638</v>
      </c>
      <c r="AF5" s="61" t="s">
        <v>176</v>
      </c>
      <c r="AG5" s="64">
        <v>0.27272727272727271</v>
      </c>
      <c r="AH5" s="61" t="s">
        <v>173</v>
      </c>
      <c r="AI5" s="64">
        <v>0.31111111111111112</v>
      </c>
      <c r="AJ5" s="61" t="s">
        <v>174</v>
      </c>
      <c r="AK5" s="68">
        <v>44700</v>
      </c>
    </row>
    <row r="6" spans="1:37">
      <c r="A6" s="58">
        <v>4</v>
      </c>
      <c r="B6" s="59" t="s">
        <v>175</v>
      </c>
      <c r="C6" s="123">
        <v>5</v>
      </c>
      <c r="D6" s="59" t="s">
        <v>174</v>
      </c>
      <c r="E6" s="60">
        <v>-19.899999999999991</v>
      </c>
      <c r="F6" s="61" t="s">
        <v>174</v>
      </c>
      <c r="G6" s="73">
        <v>-3.9799999999999982</v>
      </c>
      <c r="H6" s="61" t="s">
        <v>174</v>
      </c>
      <c r="I6" s="73">
        <v>-6.4124999999999996</v>
      </c>
      <c r="J6" s="61" t="s">
        <v>174</v>
      </c>
      <c r="K6" s="62">
        <v>2.6</v>
      </c>
      <c r="L6" s="61" t="s">
        <v>175</v>
      </c>
      <c r="M6" s="63">
        <v>0.2</v>
      </c>
      <c r="N6" s="61" t="s">
        <v>173</v>
      </c>
      <c r="O6" s="63">
        <v>0.25</v>
      </c>
      <c r="P6" s="61" t="s">
        <v>177</v>
      </c>
      <c r="Q6" s="63">
        <v>0.4</v>
      </c>
      <c r="R6" s="61" t="s">
        <v>175</v>
      </c>
      <c r="S6" s="64">
        <v>0.18518518518518517</v>
      </c>
      <c r="T6" s="61" t="s">
        <v>174</v>
      </c>
      <c r="U6" s="64">
        <v>0.16666666666666666</v>
      </c>
      <c r="V6" s="61" t="s">
        <v>177</v>
      </c>
      <c r="W6" s="65">
        <v>5845.454545454545</v>
      </c>
      <c r="X6" s="61" t="s">
        <v>173</v>
      </c>
      <c r="Y6" s="65">
        <v>-5580.6451612903229</v>
      </c>
      <c r="Z6" s="61" t="s">
        <v>173</v>
      </c>
      <c r="AA6" s="64">
        <v>0.21759259259259259</v>
      </c>
      <c r="AB6" s="61" t="s">
        <v>177</v>
      </c>
      <c r="AC6" s="64">
        <v>0.12962962962962962</v>
      </c>
      <c r="AD6" s="61" t="s">
        <v>174</v>
      </c>
      <c r="AE6" s="64">
        <v>0.41666666666666669</v>
      </c>
      <c r="AF6" s="61" t="s">
        <v>174</v>
      </c>
      <c r="AG6" s="64">
        <v>0.16666666666666666</v>
      </c>
      <c r="AH6" s="61" t="s">
        <v>175</v>
      </c>
      <c r="AI6" s="64">
        <v>0.2</v>
      </c>
      <c r="AJ6" s="61" t="s">
        <v>175</v>
      </c>
      <c r="AK6" s="68">
        <v>40000</v>
      </c>
    </row>
    <row r="7" spans="1:37">
      <c r="A7" s="58">
        <v>5</v>
      </c>
      <c r="B7" s="59" t="s">
        <v>176</v>
      </c>
      <c r="C7" s="123">
        <v>5</v>
      </c>
      <c r="D7" s="59" t="s">
        <v>176</v>
      </c>
      <c r="E7" s="60">
        <v>-47.5</v>
      </c>
      <c r="F7" s="61" t="s">
        <v>176</v>
      </c>
      <c r="G7" s="73">
        <v>-9.5</v>
      </c>
      <c r="H7" s="61" t="s">
        <v>176</v>
      </c>
      <c r="I7" s="73">
        <v>-17.108333333333334</v>
      </c>
      <c r="J7" s="61" t="s">
        <v>176</v>
      </c>
      <c r="K7" s="62">
        <v>2.6</v>
      </c>
      <c r="L7" s="61" t="s">
        <v>176</v>
      </c>
      <c r="M7" s="63">
        <v>0</v>
      </c>
      <c r="N7" s="61" t="s">
        <v>174</v>
      </c>
      <c r="O7" s="63">
        <v>0.4</v>
      </c>
      <c r="P7" s="61" t="s">
        <v>174</v>
      </c>
      <c r="Q7" s="63">
        <v>0.4</v>
      </c>
      <c r="R7" s="61" t="s">
        <v>174</v>
      </c>
      <c r="S7" s="64">
        <v>0.14814814814814814</v>
      </c>
      <c r="T7" s="61" t="s">
        <v>176</v>
      </c>
      <c r="U7" s="64">
        <v>0.16666666666666666</v>
      </c>
      <c r="V7" s="61" t="s">
        <v>176</v>
      </c>
      <c r="W7" s="65">
        <v>5643.75</v>
      </c>
      <c r="X7" s="61" t="s">
        <v>174</v>
      </c>
      <c r="Y7" s="65">
        <v>-6022.2222222222226</v>
      </c>
      <c r="Z7" s="61" t="s">
        <v>177</v>
      </c>
      <c r="AA7" s="64">
        <v>0.14814814814814814</v>
      </c>
      <c r="AB7" s="61" t="s">
        <v>175</v>
      </c>
      <c r="AC7" s="64">
        <v>0.1111111111111111</v>
      </c>
      <c r="AD7" s="61" t="s">
        <v>177</v>
      </c>
      <c r="AE7" s="64">
        <v>0.375</v>
      </c>
      <c r="AF7" s="61" t="s">
        <v>175</v>
      </c>
      <c r="AG7" s="64">
        <v>0.16666666666666666</v>
      </c>
      <c r="AH7" s="61" t="s">
        <v>176</v>
      </c>
      <c r="AI7" s="64">
        <v>0.1875</v>
      </c>
      <c r="AJ7" s="61" t="s">
        <v>176</v>
      </c>
      <c r="AK7" s="68">
        <v>36601</v>
      </c>
    </row>
  </sheetData>
  <sortState xmlns:xlrd2="http://schemas.microsoft.com/office/spreadsheetml/2017/richdata2" ref="AJ3:AK30">
    <sortCondition descending="1" ref="AK1"/>
  </sortState>
  <mergeCells count="36">
    <mergeCell ref="B1:C1"/>
    <mergeCell ref="B2:C2"/>
    <mergeCell ref="AH2:AI2"/>
    <mergeCell ref="T1:U1"/>
    <mergeCell ref="AJ2:AK2"/>
    <mergeCell ref="Z2:AA2"/>
    <mergeCell ref="AB2:AC2"/>
    <mergeCell ref="AD2:AE2"/>
    <mergeCell ref="AF2:AG2"/>
    <mergeCell ref="T2:U2"/>
    <mergeCell ref="V2:W2"/>
    <mergeCell ref="X2:Y2"/>
    <mergeCell ref="AJ1:AK1"/>
    <mergeCell ref="V1:W1"/>
    <mergeCell ref="X1:Y1"/>
    <mergeCell ref="AH1:AI1"/>
    <mergeCell ref="D2:E2"/>
    <mergeCell ref="F2:G2"/>
    <mergeCell ref="J2:K2"/>
    <mergeCell ref="L2:M2"/>
    <mergeCell ref="R2:S2"/>
    <mergeCell ref="N2:O2"/>
    <mergeCell ref="P2:Q2"/>
    <mergeCell ref="H2:I2"/>
    <mergeCell ref="AD1:AE1"/>
    <mergeCell ref="AF1:AG1"/>
    <mergeCell ref="D1:E1"/>
    <mergeCell ref="F1:G1"/>
    <mergeCell ref="J1:K1"/>
    <mergeCell ref="L1:M1"/>
    <mergeCell ref="R1:S1"/>
    <mergeCell ref="N1:O1"/>
    <mergeCell ref="P1:Q1"/>
    <mergeCell ref="Z1:AA1"/>
    <mergeCell ref="AB1:AC1"/>
    <mergeCell ref="H1:I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0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75" customWidth="1"/>
    <col min="13" max="13" width="3.59765625" style="1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1"/>
  </cols>
  <sheetData>
    <row r="1" spans="1:17">
      <c r="A1" s="17" t="s">
        <v>0</v>
      </c>
      <c r="B1" s="138"/>
      <c r="C1" s="139"/>
      <c r="E1" s="104" t="s">
        <v>127</v>
      </c>
      <c r="F1" s="118" t="s">
        <v>91</v>
      </c>
      <c r="G1" s="117" t="s">
        <v>92</v>
      </c>
      <c r="H1" s="105" t="s">
        <v>93</v>
      </c>
      <c r="I1" s="118" t="s">
        <v>116</v>
      </c>
      <c r="K1" s="2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121</v>
      </c>
    </row>
    <row r="2" spans="1:17">
      <c r="A2" s="18" t="s">
        <v>9</v>
      </c>
      <c r="B2" s="140">
        <v>0</v>
      </c>
      <c r="C2" s="141"/>
      <c r="E2" s="45" t="s">
        <v>162</v>
      </c>
      <c r="F2" s="42" t="s">
        <v>154</v>
      </c>
      <c r="G2" s="34">
        <v>0</v>
      </c>
      <c r="H2" s="107">
        <f>IF(B$22=0,0,G2/B$22)</f>
        <v>0</v>
      </c>
      <c r="I2" s="69"/>
      <c r="K2" s="3">
        <v>0</v>
      </c>
      <c r="L2" s="74">
        <v>0</v>
      </c>
      <c r="N2" s="89" t="s">
        <v>102</v>
      </c>
      <c r="O2" s="96">
        <f t="shared" ref="O2:O9" si="0">IF(P2=0,0,Q2/P2)</f>
        <v>0</v>
      </c>
      <c r="P2" s="93">
        <v>0</v>
      </c>
      <c r="Q2" s="77">
        <v>0</v>
      </c>
    </row>
    <row r="3" spans="1:17">
      <c r="A3" s="19" t="s">
        <v>8</v>
      </c>
      <c r="B3" s="142">
        <v>0</v>
      </c>
      <c r="C3" s="143"/>
      <c r="E3" s="46" t="s">
        <v>163</v>
      </c>
      <c r="F3" s="43" t="s">
        <v>19</v>
      </c>
      <c r="G3" s="35">
        <v>0</v>
      </c>
      <c r="H3" s="108">
        <f>IF(B$22=0,0,G3/B$22)</f>
        <v>0</v>
      </c>
      <c r="I3" s="70"/>
      <c r="N3" s="90" t="s">
        <v>103</v>
      </c>
      <c r="O3" s="97">
        <f t="shared" si="0"/>
        <v>0</v>
      </c>
      <c r="P3" s="94">
        <v>0</v>
      </c>
      <c r="Q3" s="78">
        <v>0</v>
      </c>
    </row>
    <row r="4" spans="1:17">
      <c r="A4" s="19" t="s">
        <v>6</v>
      </c>
      <c r="B4" s="144">
        <v>0</v>
      </c>
      <c r="C4" s="145"/>
      <c r="E4" s="46" t="s">
        <v>54</v>
      </c>
      <c r="F4" s="43" t="s">
        <v>20</v>
      </c>
      <c r="G4" s="35">
        <v>0</v>
      </c>
      <c r="H4" s="108">
        <f>IF(B$22=0,0,G4/B$22)</f>
        <v>0</v>
      </c>
      <c r="I4" s="70"/>
      <c r="N4" s="90" t="s">
        <v>104</v>
      </c>
      <c r="O4" s="97">
        <f t="shared" si="0"/>
        <v>0</v>
      </c>
      <c r="P4" s="94">
        <v>0</v>
      </c>
      <c r="Q4" s="78">
        <v>0</v>
      </c>
    </row>
    <row r="5" spans="1:17">
      <c r="A5" s="19" t="s">
        <v>7</v>
      </c>
      <c r="B5" s="146">
        <f>IF(B$2=0,0,B$4/B$2)</f>
        <v>0</v>
      </c>
      <c r="C5" s="147"/>
      <c r="E5" s="46" t="s">
        <v>55</v>
      </c>
      <c r="F5" s="43" t="s">
        <v>153</v>
      </c>
      <c r="G5" s="35">
        <v>0</v>
      </c>
      <c r="H5" s="108">
        <f>IF(B$22=0,0,G5/B$22)</f>
        <v>0</v>
      </c>
      <c r="I5" s="70"/>
      <c r="N5" s="90" t="s">
        <v>155</v>
      </c>
      <c r="O5" s="97">
        <f>IF(P5=0,0,Q5/P5)</f>
        <v>0</v>
      </c>
      <c r="P5" s="94">
        <v>0</v>
      </c>
      <c r="Q5" s="78">
        <v>0</v>
      </c>
    </row>
    <row r="6" spans="1:17">
      <c r="A6" s="19" t="s">
        <v>1</v>
      </c>
      <c r="B6" s="148">
        <f>IF(B$2=0,0,(B$7*1+B$8*2+B$9*3+B$10*4)/B$2)</f>
        <v>0</v>
      </c>
      <c r="C6" s="149"/>
      <c r="E6" s="46" t="s">
        <v>56</v>
      </c>
      <c r="F6" s="43" t="s">
        <v>166</v>
      </c>
      <c r="G6" s="35">
        <v>0</v>
      </c>
      <c r="H6" s="108">
        <f>IF(B$22=0,0,G6/B$22)</f>
        <v>0</v>
      </c>
      <c r="I6" s="70"/>
      <c r="N6" s="90" t="s">
        <v>105</v>
      </c>
      <c r="O6" s="97">
        <f t="shared" ref="O6" si="1">IF(P6=0,0,Q6/P6)</f>
        <v>0</v>
      </c>
      <c r="P6" s="94">
        <v>0</v>
      </c>
      <c r="Q6" s="78">
        <v>0</v>
      </c>
    </row>
    <row r="7" spans="1:17">
      <c r="A7" s="19" t="s">
        <v>2</v>
      </c>
      <c r="B7" s="13">
        <v>0</v>
      </c>
      <c r="C7" s="6">
        <f t="shared" ref="C7:C17" si="2">IF(B$2=0,0,B7/B$2)</f>
        <v>0</v>
      </c>
      <c r="E7" s="46" t="s">
        <v>57</v>
      </c>
      <c r="F7" s="43" t="s">
        <v>21</v>
      </c>
      <c r="G7" s="35">
        <v>0</v>
      </c>
      <c r="H7" s="108">
        <f>IF(B$22=0,0,G7/B$22)</f>
        <v>0</v>
      </c>
      <c r="I7" s="70"/>
      <c r="N7" s="90" t="s">
        <v>106</v>
      </c>
      <c r="O7" s="97">
        <f t="shared" si="0"/>
        <v>0</v>
      </c>
      <c r="P7" s="94">
        <v>0</v>
      </c>
      <c r="Q7" s="78">
        <v>0</v>
      </c>
    </row>
    <row r="8" spans="1:17">
      <c r="A8" s="19" t="s">
        <v>3</v>
      </c>
      <c r="B8" s="13">
        <v>0</v>
      </c>
      <c r="C8" s="30">
        <f>IF(B$2=0,0,B8/B$2)</f>
        <v>0</v>
      </c>
      <c r="E8" s="46" t="s">
        <v>58</v>
      </c>
      <c r="F8" s="43" t="s">
        <v>22</v>
      </c>
      <c r="G8" s="35">
        <v>0</v>
      </c>
      <c r="H8" s="108">
        <f>IF(B$22=0,0,G8/B$22)</f>
        <v>0</v>
      </c>
      <c r="I8" s="70"/>
      <c r="N8" s="90" t="s">
        <v>107</v>
      </c>
      <c r="O8" s="97">
        <f t="shared" si="0"/>
        <v>0</v>
      </c>
      <c r="P8" s="94">
        <v>0</v>
      </c>
      <c r="Q8" s="7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46" t="s">
        <v>59</v>
      </c>
      <c r="F9" s="43" t="s">
        <v>23</v>
      </c>
      <c r="G9" s="35">
        <v>0</v>
      </c>
      <c r="H9" s="108">
        <f>IF(B$22=0,0,G9/B$22)</f>
        <v>0</v>
      </c>
      <c r="I9" s="70"/>
      <c r="N9" s="91" t="s">
        <v>156</v>
      </c>
      <c r="O9" s="98">
        <f t="shared" si="0"/>
        <v>0</v>
      </c>
      <c r="P9" s="95">
        <v>0</v>
      </c>
      <c r="Q9" s="79">
        <v>0</v>
      </c>
    </row>
    <row r="10" spans="1:17">
      <c r="A10" s="39" t="s">
        <v>150</v>
      </c>
      <c r="B10" s="36">
        <v>0</v>
      </c>
      <c r="C10" s="31">
        <f>IF(B$2=0,0,B10/B$2)</f>
        <v>0</v>
      </c>
      <c r="E10" s="46" t="s">
        <v>60</v>
      </c>
      <c r="F10" s="43" t="s">
        <v>24</v>
      </c>
      <c r="G10" s="35">
        <v>0</v>
      </c>
      <c r="H10" s="108">
        <f>IF(B$22=0,0,G10/B$22)</f>
        <v>0</v>
      </c>
      <c r="I10" s="70"/>
      <c r="N10" s="33"/>
      <c r="O10" s="102"/>
      <c r="P10" s="86"/>
      <c r="Q10" s="84"/>
    </row>
    <row r="11" spans="1:17">
      <c r="A11" s="39" t="s">
        <v>151</v>
      </c>
      <c r="B11" s="36">
        <f>B7+B8</f>
        <v>0</v>
      </c>
      <c r="C11" s="31">
        <f>IF(B$2=0,0,B11/B$2)</f>
        <v>0</v>
      </c>
      <c r="E11" s="46" t="s">
        <v>61</v>
      </c>
      <c r="F11" s="43" t="s">
        <v>25</v>
      </c>
      <c r="G11" s="35">
        <v>0</v>
      </c>
      <c r="H11" s="108">
        <f>IF(B$22=0,0,G11/B$22)</f>
        <v>0</v>
      </c>
      <c r="I11" s="70"/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183</v>
      </c>
      <c r="B12" s="152">
        <f>IF(B7=0,0,C12/B7)</f>
        <v>0</v>
      </c>
      <c r="C12" s="153">
        <v>0</v>
      </c>
      <c r="E12" s="46" t="s">
        <v>62</v>
      </c>
      <c r="F12" s="43" t="s">
        <v>26</v>
      </c>
      <c r="G12" s="35">
        <v>0</v>
      </c>
      <c r="H12" s="108">
        <f>IF(B$22=0,0,G12/B$22)</f>
        <v>0</v>
      </c>
      <c r="I12" s="70"/>
      <c r="N12" s="89" t="s">
        <v>124</v>
      </c>
      <c r="O12" s="99">
        <f>IF(P12=0,0,Q12/P12)</f>
        <v>0</v>
      </c>
      <c r="P12" s="93">
        <v>0</v>
      </c>
      <c r="Q12" s="81">
        <v>0</v>
      </c>
    </row>
    <row r="13" spans="1:17">
      <c r="A13" s="39" t="s">
        <v>184</v>
      </c>
      <c r="B13" s="152">
        <f t="shared" ref="B13:B15" si="3">IF(B8=0,0,C13/B8)</f>
        <v>0</v>
      </c>
      <c r="C13" s="153">
        <v>0</v>
      </c>
      <c r="E13" s="46" t="s">
        <v>63</v>
      </c>
      <c r="F13" s="43" t="s">
        <v>27</v>
      </c>
      <c r="G13" s="35">
        <v>0</v>
      </c>
      <c r="H13" s="108">
        <f>IF(B$22=0,0,G13/B$22)</f>
        <v>0</v>
      </c>
      <c r="I13" s="70"/>
      <c r="N13" s="90" t="s">
        <v>125</v>
      </c>
      <c r="O13" s="100">
        <f>IF(P13=0,0,Q13/P13)</f>
        <v>0</v>
      </c>
      <c r="P13" s="94">
        <v>0</v>
      </c>
      <c r="Q13" s="82">
        <v>0</v>
      </c>
    </row>
    <row r="14" spans="1:17">
      <c r="A14" s="39" t="s">
        <v>185</v>
      </c>
      <c r="B14" s="152">
        <f t="shared" si="3"/>
        <v>0</v>
      </c>
      <c r="C14" s="153">
        <v>0</v>
      </c>
      <c r="E14" s="46" t="s">
        <v>64</v>
      </c>
      <c r="F14" s="43" t="s">
        <v>28</v>
      </c>
      <c r="G14" s="35">
        <v>0</v>
      </c>
      <c r="H14" s="108">
        <f>IF(B$22=0,0,G14/B$22)</f>
        <v>0</v>
      </c>
      <c r="I14" s="70"/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39" t="s">
        <v>186</v>
      </c>
      <c r="B15" s="152">
        <f>IF(B10=0,0,C15/B10)</f>
        <v>0</v>
      </c>
      <c r="C15" s="153">
        <v>0</v>
      </c>
      <c r="E15" s="46" t="s">
        <v>65</v>
      </c>
      <c r="F15" s="43" t="s">
        <v>29</v>
      </c>
      <c r="G15" s="35">
        <v>0</v>
      </c>
      <c r="H15" s="108">
        <f>IF(B$22=0,0,G15/B$22)</f>
        <v>0</v>
      </c>
      <c r="I15" s="70"/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39" t="s">
        <v>182</v>
      </c>
      <c r="B16" s="146">
        <f>AVERAGE(B12:B15)</f>
        <v>0</v>
      </c>
      <c r="C16" s="147"/>
      <c r="E16" s="46" t="s">
        <v>66</v>
      </c>
      <c r="F16" s="43" t="s">
        <v>30</v>
      </c>
      <c r="G16" s="35">
        <v>0</v>
      </c>
      <c r="H16" s="108">
        <f>IF(B$22=0,0,G16/B$22)</f>
        <v>0</v>
      </c>
      <c r="I16" s="70"/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2"/>
        <v>0</v>
      </c>
      <c r="E17" s="46" t="s">
        <v>67</v>
      </c>
      <c r="F17" s="43" t="s">
        <v>31</v>
      </c>
      <c r="G17" s="35">
        <v>0</v>
      </c>
      <c r="H17" s="108">
        <f>IF(B$22=0,0,G17/B$22)</f>
        <v>0</v>
      </c>
      <c r="I17" s="70"/>
      <c r="N17" s="88" t="s">
        <v>117</v>
      </c>
      <c r="O17" s="28" t="s">
        <v>118</v>
      </c>
      <c r="P17" s="92" t="s">
        <v>119</v>
      </c>
      <c r="Q17" s="80" t="s">
        <v>120</v>
      </c>
    </row>
    <row r="18" spans="1:17">
      <c r="A18" s="22" t="s">
        <v>97</v>
      </c>
      <c r="B18" s="15">
        <v>0</v>
      </c>
      <c r="C18" s="11">
        <f>IF(B$3=0,0,B18/B$3)</f>
        <v>0</v>
      </c>
      <c r="E18" s="46" t="s">
        <v>164</v>
      </c>
      <c r="F18" s="43" t="s">
        <v>167</v>
      </c>
      <c r="G18" s="35">
        <v>0</v>
      </c>
      <c r="H18" s="108">
        <f>IF(B$22=0,0,G18/B$22)</f>
        <v>0</v>
      </c>
      <c r="I18" s="70"/>
      <c r="N18" s="89"/>
      <c r="O18" s="99"/>
      <c r="P18" s="93"/>
      <c r="Q18" s="81"/>
    </row>
    <row r="19" spans="1:17">
      <c r="A19" s="19" t="s">
        <v>94</v>
      </c>
      <c r="B19" s="13">
        <v>0</v>
      </c>
      <c r="C19" s="6">
        <f>IF(B$3=0,0,B19/B$3)</f>
        <v>0</v>
      </c>
      <c r="E19" s="46" t="s">
        <v>68</v>
      </c>
      <c r="F19" s="43" t="s">
        <v>32</v>
      </c>
      <c r="G19" s="35">
        <v>0</v>
      </c>
      <c r="H19" s="108">
        <f>IF(B$22=0,0,G19/B$22)</f>
        <v>0</v>
      </c>
      <c r="I19" s="70"/>
    </row>
    <row r="20" spans="1:17">
      <c r="A20" s="18" t="s">
        <v>99</v>
      </c>
      <c r="B20" s="12">
        <f>B26</f>
        <v>0</v>
      </c>
      <c r="C20" s="4">
        <f>IF(B$18=0,0,B20/B$18)</f>
        <v>0</v>
      </c>
      <c r="E20" s="46" t="s">
        <v>69</v>
      </c>
      <c r="F20" s="43" t="s">
        <v>33</v>
      </c>
      <c r="G20" s="35">
        <v>0</v>
      </c>
      <c r="H20" s="108">
        <f>IF(B$22=0,0,G20/B$22)</f>
        <v>0</v>
      </c>
      <c r="I20" s="70"/>
    </row>
    <row r="21" spans="1:17">
      <c r="A21" s="18" t="s">
        <v>100</v>
      </c>
      <c r="B21" s="12">
        <f>B27</f>
        <v>0</v>
      </c>
      <c r="C21" s="4">
        <f>IF(B$19=0,0,B21/B$19)</f>
        <v>0</v>
      </c>
      <c r="E21" s="46" t="s">
        <v>70</v>
      </c>
      <c r="F21" s="43" t="s">
        <v>34</v>
      </c>
      <c r="G21" s="35">
        <v>0</v>
      </c>
      <c r="H21" s="108">
        <f>IF(B$22=0,0,G21/B$22)</f>
        <v>0</v>
      </c>
      <c r="I21" s="70"/>
    </row>
    <row r="22" spans="1:17">
      <c r="A22" s="18" t="s">
        <v>10</v>
      </c>
      <c r="B22" s="12">
        <f>B25+B24</f>
        <v>0</v>
      </c>
      <c r="C22" s="4">
        <f>IF(B$3=0,0,B22/B$3)</f>
        <v>0</v>
      </c>
      <c r="E22" s="46" t="s">
        <v>71</v>
      </c>
      <c r="F22" s="43" t="s">
        <v>35</v>
      </c>
      <c r="G22" s="35">
        <v>0</v>
      </c>
      <c r="H22" s="108">
        <f>IF(B$22=0,0,G22/B$22)</f>
        <v>0</v>
      </c>
      <c r="I22" s="70"/>
    </row>
    <row r="23" spans="1:17">
      <c r="A23" s="38" t="s">
        <v>13</v>
      </c>
      <c r="B23" s="35">
        <v>0</v>
      </c>
      <c r="C23" s="30">
        <f>IF(B$3=0,0,B23/B$3)</f>
        <v>0</v>
      </c>
      <c r="E23" s="46" t="s">
        <v>72</v>
      </c>
      <c r="F23" s="43" t="s">
        <v>36</v>
      </c>
      <c r="G23" s="35">
        <v>0</v>
      </c>
      <c r="H23" s="108">
        <f>IF(B$22=0,0,G23/B$22)</f>
        <v>0</v>
      </c>
      <c r="I23" s="70"/>
    </row>
    <row r="24" spans="1:17">
      <c r="A24" s="19" t="s">
        <v>12</v>
      </c>
      <c r="B24" s="13">
        <v>0</v>
      </c>
      <c r="C24" s="6">
        <f>IF(B$22=0,0,B24/B$22)</f>
        <v>0</v>
      </c>
      <c r="E24" s="46" t="s">
        <v>73</v>
      </c>
      <c r="F24" s="43" t="s">
        <v>37</v>
      </c>
      <c r="G24" s="35">
        <v>0</v>
      </c>
      <c r="H24" s="108">
        <f>IF(B$22=0,0,G24/B$22)</f>
        <v>0</v>
      </c>
      <c r="I24" s="70"/>
    </row>
    <row r="25" spans="1:17">
      <c r="A25" s="19" t="s">
        <v>11</v>
      </c>
      <c r="B25" s="13">
        <v>0</v>
      </c>
      <c r="C25" s="6">
        <f>IF(B$22=0,0,B25/B$22)</f>
        <v>0</v>
      </c>
      <c r="E25" s="46" t="s">
        <v>74</v>
      </c>
      <c r="F25" s="43" t="s">
        <v>38</v>
      </c>
      <c r="G25" s="35">
        <v>0</v>
      </c>
      <c r="H25" s="108">
        <f>IF(B$22=0,0,G25/B$22)</f>
        <v>0</v>
      </c>
      <c r="I25" s="70"/>
    </row>
    <row r="26" spans="1:17">
      <c r="A26" s="38" t="s">
        <v>149</v>
      </c>
      <c r="B26" s="35">
        <v>0</v>
      </c>
      <c r="C26" s="30">
        <f>IF(B$22=0,0,B26/B$22)</f>
        <v>0</v>
      </c>
      <c r="E26" s="46" t="s">
        <v>75</v>
      </c>
      <c r="F26" s="43" t="s">
        <v>39</v>
      </c>
      <c r="G26" s="35">
        <v>0</v>
      </c>
      <c r="H26" s="108">
        <f>IF(B$22=0,0,G26/B$22)</f>
        <v>0</v>
      </c>
      <c r="I26" s="70"/>
    </row>
    <row r="27" spans="1:17">
      <c r="A27" s="38" t="s">
        <v>147</v>
      </c>
      <c r="B27" s="35">
        <v>0</v>
      </c>
      <c r="C27" s="30">
        <f>IF(B$22=0,0,B27/B$22)</f>
        <v>0</v>
      </c>
      <c r="E27" s="46" t="s">
        <v>76</v>
      </c>
      <c r="F27" s="43" t="s">
        <v>40</v>
      </c>
      <c r="G27" s="35">
        <v>0</v>
      </c>
      <c r="H27" s="108">
        <f>IF(B$22=0,0,G27/B$22)</f>
        <v>0</v>
      </c>
      <c r="I27" s="70"/>
    </row>
    <row r="28" spans="1:17">
      <c r="A28" s="19" t="s">
        <v>148</v>
      </c>
      <c r="B28" s="35">
        <v>0</v>
      </c>
      <c r="C28" s="30">
        <f>IF(B$22=0,0,B28/B$22)</f>
        <v>0</v>
      </c>
      <c r="E28" s="46" t="s">
        <v>77</v>
      </c>
      <c r="F28" s="43" t="s">
        <v>41</v>
      </c>
      <c r="G28" s="35">
        <v>0</v>
      </c>
      <c r="H28" s="108">
        <f>IF(B$22=0,0,G28/B$22)</f>
        <v>0</v>
      </c>
      <c r="I28" s="70"/>
    </row>
    <row r="29" spans="1:17">
      <c r="A29" s="19" t="s">
        <v>5</v>
      </c>
      <c r="B29" s="16">
        <f>IF(B$22=0,0,C29/B$22)</f>
        <v>0</v>
      </c>
      <c r="C29" s="8">
        <v>0</v>
      </c>
      <c r="E29" s="46" t="s">
        <v>78</v>
      </c>
      <c r="F29" s="43" t="s">
        <v>42</v>
      </c>
      <c r="G29" s="35">
        <v>0</v>
      </c>
      <c r="H29" s="108">
        <f>IF(B$22=0,0,G29/B$22)</f>
        <v>0</v>
      </c>
      <c r="I29" s="70"/>
    </row>
    <row r="30" spans="1:17">
      <c r="A30" s="39" t="s">
        <v>131</v>
      </c>
      <c r="B30" s="111">
        <f>IF($B$22-B$21=0,0,C30/($B$22-B$21))</f>
        <v>0</v>
      </c>
      <c r="C30" s="112">
        <v>0</v>
      </c>
      <c r="E30" s="46" t="s">
        <v>79</v>
      </c>
      <c r="F30" s="43" t="s">
        <v>43</v>
      </c>
      <c r="G30" s="35">
        <v>0</v>
      </c>
      <c r="H30" s="108">
        <f>IF(B$22=0,0,G30/B$22)</f>
        <v>0</v>
      </c>
      <c r="I30" s="70"/>
    </row>
    <row r="31" spans="1:17">
      <c r="A31" s="39" t="s">
        <v>132</v>
      </c>
      <c r="B31" s="111">
        <f>IF(B$21=0,0,C31/B$21)</f>
        <v>0</v>
      </c>
      <c r="C31" s="112">
        <v>0</v>
      </c>
      <c r="E31" s="46" t="s">
        <v>80</v>
      </c>
      <c r="F31" s="43" t="s">
        <v>44</v>
      </c>
      <c r="G31" s="35">
        <v>0</v>
      </c>
      <c r="H31" s="108">
        <f>IF(B$22=0,0,G31/B$22)</f>
        <v>0</v>
      </c>
      <c r="I31" s="70"/>
    </row>
    <row r="32" spans="1:17">
      <c r="A32" s="39" t="s">
        <v>130</v>
      </c>
      <c r="B32" s="111">
        <f>IF(B$23=0,0,C32/B$23)</f>
        <v>0</v>
      </c>
      <c r="C32" s="112">
        <v>0</v>
      </c>
      <c r="E32" s="46" t="s">
        <v>81</v>
      </c>
      <c r="F32" s="43" t="s">
        <v>45</v>
      </c>
      <c r="G32" s="35">
        <v>0</v>
      </c>
      <c r="H32" s="108">
        <f>IF(B$22=0,0,G32/B$22)</f>
        <v>0</v>
      </c>
      <c r="I32" s="70"/>
    </row>
    <row r="33" spans="1:9">
      <c r="A33" s="38" t="s">
        <v>128</v>
      </c>
      <c r="B33" s="35">
        <v>0</v>
      </c>
      <c r="C33" s="110">
        <v>0</v>
      </c>
      <c r="E33" s="46" t="s">
        <v>82</v>
      </c>
      <c r="F33" s="43" t="s">
        <v>46</v>
      </c>
      <c r="G33" s="35">
        <v>0</v>
      </c>
      <c r="H33" s="108">
        <f>IF(B$22=0,0,G33/B$22)</f>
        <v>0</v>
      </c>
      <c r="I33" s="70"/>
    </row>
    <row r="34" spans="1:9">
      <c r="A34" s="38" t="s">
        <v>129</v>
      </c>
      <c r="B34" s="35">
        <v>0</v>
      </c>
      <c r="C34" s="110">
        <v>0</v>
      </c>
      <c r="E34" s="46" t="s">
        <v>83</v>
      </c>
      <c r="F34" s="43" t="s">
        <v>47</v>
      </c>
      <c r="G34" s="35">
        <v>0</v>
      </c>
      <c r="H34" s="108">
        <f>IF(B$22=0,0,G34/B$22)</f>
        <v>0</v>
      </c>
      <c r="I34" s="70"/>
    </row>
    <row r="35" spans="1:9">
      <c r="A35" s="66" t="s">
        <v>110</v>
      </c>
      <c r="B35" s="134">
        <v>0</v>
      </c>
      <c r="C35" s="135"/>
      <c r="E35" s="46" t="s">
        <v>84</v>
      </c>
      <c r="F35" s="43" t="s">
        <v>48</v>
      </c>
      <c r="G35" s="35">
        <v>0</v>
      </c>
      <c r="H35" s="108">
        <f>IF(B$22=0,0,G35/B$22)</f>
        <v>0</v>
      </c>
      <c r="I35" s="70"/>
    </row>
    <row r="36" spans="1:9">
      <c r="A36" s="41" t="s">
        <v>146</v>
      </c>
      <c r="B36" s="136">
        <v>-1000000</v>
      </c>
      <c r="C36" s="137"/>
      <c r="E36" s="46" t="s">
        <v>85</v>
      </c>
      <c r="F36" s="43" t="s">
        <v>49</v>
      </c>
      <c r="G36" s="35">
        <v>0</v>
      </c>
      <c r="H36" s="108">
        <f>IF(B$22=0,0,G36/B$22)</f>
        <v>0</v>
      </c>
      <c r="I36" s="70"/>
    </row>
    <row r="37" spans="1:9">
      <c r="A37" s="21" t="s">
        <v>111</v>
      </c>
      <c r="B37" s="26">
        <v>0</v>
      </c>
      <c r="C37" s="9">
        <f>IF(B$3=0,0,B37/B$3)</f>
        <v>0</v>
      </c>
      <c r="E37" s="46" t="s">
        <v>86</v>
      </c>
      <c r="F37" s="43" t="s">
        <v>50</v>
      </c>
      <c r="G37" s="35">
        <v>0</v>
      </c>
      <c r="H37" s="108">
        <f>IF(B$22=0,0,G37/B$22)</f>
        <v>0</v>
      </c>
      <c r="I37" s="70"/>
    </row>
    <row r="38" spans="1:9">
      <c r="E38" s="46" t="s">
        <v>87</v>
      </c>
      <c r="F38" s="43" t="s">
        <v>51</v>
      </c>
      <c r="G38" s="35">
        <v>0</v>
      </c>
      <c r="H38" s="108">
        <f>IF(B$22=0,0,G38/B$22)</f>
        <v>0</v>
      </c>
      <c r="I38" s="70"/>
    </row>
    <row r="39" spans="1:9">
      <c r="A39" s="119" t="s">
        <v>159</v>
      </c>
      <c r="B39" s="120" t="s">
        <v>160</v>
      </c>
      <c r="C39" s="121" t="s">
        <v>161</v>
      </c>
      <c r="E39" s="46" t="s">
        <v>88</v>
      </c>
      <c r="F39" s="43" t="s">
        <v>52</v>
      </c>
      <c r="G39" s="35">
        <v>0</v>
      </c>
      <c r="H39" s="108">
        <f>IF(B$22=0,0,G39/B$22)</f>
        <v>0</v>
      </c>
      <c r="I39" s="70"/>
    </row>
    <row r="40" spans="1:9">
      <c r="A40" s="66" t="s">
        <v>137</v>
      </c>
      <c r="B40" s="113">
        <v>0</v>
      </c>
      <c r="C40" s="116">
        <f t="shared" ref="C40:C52" si="4">IF(B$22=0,0,B40/B$22)</f>
        <v>0</v>
      </c>
      <c r="E40" s="46" t="s">
        <v>89</v>
      </c>
      <c r="F40" s="43" t="s">
        <v>53</v>
      </c>
      <c r="G40" s="35">
        <v>0</v>
      </c>
      <c r="H40" s="108">
        <f>IF(B$22=0,0,G40/B$22)</f>
        <v>0</v>
      </c>
      <c r="I40" s="70"/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90</v>
      </c>
      <c r="F41" s="43" t="s">
        <v>169</v>
      </c>
      <c r="G41" s="35">
        <v>0</v>
      </c>
      <c r="H41" s="108">
        <f>IF(B$22=0,0,G41/B$22)</f>
        <v>0</v>
      </c>
      <c r="I41" s="70"/>
    </row>
    <row r="42" spans="1:9">
      <c r="A42" s="38" t="s">
        <v>134</v>
      </c>
      <c r="B42" s="114">
        <v>0</v>
      </c>
      <c r="C42" s="30">
        <f t="shared" si="4"/>
        <v>0</v>
      </c>
      <c r="E42" s="47" t="s">
        <v>165</v>
      </c>
      <c r="F42" s="44" t="s">
        <v>168</v>
      </c>
      <c r="G42" s="37">
        <v>0</v>
      </c>
      <c r="H42" s="109">
        <f>IF(B$22=0,0,G42/B$22)</f>
        <v>0</v>
      </c>
      <c r="I42" s="71"/>
    </row>
    <row r="43" spans="1:9">
      <c r="A43" s="38" t="s">
        <v>135</v>
      </c>
      <c r="B43" s="114">
        <v>0</v>
      </c>
      <c r="C43" s="30">
        <f t="shared" si="4"/>
        <v>0</v>
      </c>
    </row>
    <row r="44" spans="1:9">
      <c r="A44" s="38" t="s">
        <v>136</v>
      </c>
      <c r="B44" s="114">
        <v>0</v>
      </c>
      <c r="C44" s="30">
        <f t="shared" si="4"/>
        <v>0</v>
      </c>
    </row>
    <row r="45" spans="1:9">
      <c r="A45" s="38" t="s">
        <v>138</v>
      </c>
      <c r="B45" s="114">
        <v>0</v>
      </c>
      <c r="C45" s="30">
        <f t="shared" si="4"/>
        <v>0</v>
      </c>
    </row>
    <row r="46" spans="1:9">
      <c r="A46" s="38" t="s">
        <v>139</v>
      </c>
      <c r="B46" s="114">
        <v>0</v>
      </c>
      <c r="C46" s="30">
        <f t="shared" si="4"/>
        <v>0</v>
      </c>
    </row>
    <row r="47" spans="1:9">
      <c r="A47" s="38" t="s">
        <v>140</v>
      </c>
      <c r="B47" s="114">
        <v>0</v>
      </c>
      <c r="C47" s="30">
        <f t="shared" si="4"/>
        <v>0</v>
      </c>
    </row>
    <row r="48" spans="1:9">
      <c r="A48" s="38" t="s">
        <v>141</v>
      </c>
      <c r="B48" s="114">
        <v>0</v>
      </c>
      <c r="C48" s="30">
        <f t="shared" si="4"/>
        <v>0</v>
      </c>
    </row>
    <row r="49" spans="1:3">
      <c r="A49" s="38" t="s">
        <v>142</v>
      </c>
      <c r="B49" s="114">
        <v>0</v>
      </c>
      <c r="C49" s="30">
        <f t="shared" si="4"/>
        <v>0</v>
      </c>
    </row>
    <row r="50" spans="1:3">
      <c r="A50" s="38" t="s">
        <v>143</v>
      </c>
      <c r="B50" s="114">
        <v>0</v>
      </c>
      <c r="C50" s="30">
        <f t="shared" si="4"/>
        <v>0</v>
      </c>
    </row>
    <row r="51" spans="1:3">
      <c r="A51" s="38" t="s">
        <v>144</v>
      </c>
      <c r="B51" s="114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mergeCells count="9">
    <mergeCell ref="B36:C36"/>
    <mergeCell ref="B35:C35"/>
    <mergeCell ref="B6:C6"/>
    <mergeCell ref="B1:C1"/>
    <mergeCell ref="B2:C2"/>
    <mergeCell ref="B3:C3"/>
    <mergeCell ref="B4:C4"/>
    <mergeCell ref="B5:C5"/>
    <mergeCell ref="B16:C1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3F2E8-4F87-4341-9C64-F9032F7FCE16}">
  <sheetPr codeName="Sheet4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38" t="s">
        <v>173</v>
      </c>
      <c r="C1" s="139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0">
        <v>20</v>
      </c>
      <c r="C2" s="141"/>
      <c r="E2" s="45" t="s">
        <v>162</v>
      </c>
      <c r="F2" s="42" t="s">
        <v>154</v>
      </c>
      <c r="G2" s="34">
        <v>28</v>
      </c>
      <c r="H2" s="107">
        <f>IF(B$22=0,0,G2/B$22)</f>
        <v>0.62222222222222223</v>
      </c>
      <c r="I2" s="69">
        <v>4</v>
      </c>
      <c r="K2" s="3">
        <v>0</v>
      </c>
      <c r="L2" s="74">
        <v>0</v>
      </c>
      <c r="N2" s="89" t="s">
        <v>102</v>
      </c>
      <c r="O2" s="96">
        <f t="shared" ref="O2:O9" si="0">IF(P2=0,0,Q2/P2)</f>
        <v>0</v>
      </c>
      <c r="P2" s="93">
        <v>20</v>
      </c>
      <c r="Q2" s="77">
        <v>0</v>
      </c>
    </row>
    <row r="3" spans="1:17">
      <c r="A3" s="38" t="s">
        <v>8</v>
      </c>
      <c r="B3" s="142">
        <v>216</v>
      </c>
      <c r="C3" s="143"/>
      <c r="E3" s="46" t="s">
        <v>54</v>
      </c>
      <c r="F3" s="43" t="s">
        <v>20</v>
      </c>
      <c r="G3" s="35">
        <v>27</v>
      </c>
      <c r="H3" s="108">
        <f>IF(B$22=0,0,G3/B$22)</f>
        <v>0.6</v>
      </c>
      <c r="I3" s="70">
        <v>2</v>
      </c>
      <c r="K3" s="5">
        <v>1</v>
      </c>
      <c r="L3" s="75">
        <v>65.5</v>
      </c>
      <c r="N3" s="90" t="s">
        <v>103</v>
      </c>
      <c r="O3" s="97">
        <f t="shared" si="0"/>
        <v>-100</v>
      </c>
      <c r="P3" s="94">
        <v>20</v>
      </c>
      <c r="Q3" s="78">
        <v>-2000</v>
      </c>
    </row>
    <row r="4" spans="1:17">
      <c r="A4" s="38" t="s">
        <v>6</v>
      </c>
      <c r="B4" s="144">
        <v>-10</v>
      </c>
      <c r="C4" s="145"/>
      <c r="E4" s="46" t="s">
        <v>165</v>
      </c>
      <c r="F4" s="43" t="s">
        <v>168</v>
      </c>
      <c r="G4" s="35">
        <v>20</v>
      </c>
      <c r="H4" s="108">
        <f>IF(B$22=0,0,G4/B$22)</f>
        <v>0.44444444444444442</v>
      </c>
      <c r="I4" s="70">
        <v>3</v>
      </c>
      <c r="K4" s="5">
        <v>2</v>
      </c>
      <c r="L4" s="75">
        <v>-0.20000000000000284</v>
      </c>
      <c r="N4" s="90" t="s">
        <v>104</v>
      </c>
      <c r="O4" s="97">
        <f t="shared" si="0"/>
        <v>100</v>
      </c>
      <c r="P4" s="94">
        <v>20</v>
      </c>
      <c r="Q4" s="78">
        <v>2000</v>
      </c>
    </row>
    <row r="5" spans="1:17">
      <c r="A5" s="38" t="s">
        <v>7</v>
      </c>
      <c r="B5" s="146">
        <f>IF(B$2=0,0,B$4/B$2)</f>
        <v>-0.5</v>
      </c>
      <c r="C5" s="147"/>
      <c r="E5" s="46" t="s">
        <v>56</v>
      </c>
      <c r="F5" s="43" t="s">
        <v>166</v>
      </c>
      <c r="G5" s="35">
        <v>11</v>
      </c>
      <c r="H5" s="108">
        <f>IF(B$22=0,0,G5/B$22)</f>
        <v>0.24444444444444444</v>
      </c>
      <c r="I5" s="70">
        <v>3</v>
      </c>
      <c r="K5" s="5">
        <v>3</v>
      </c>
      <c r="L5" s="75">
        <v>-16.600000000000001</v>
      </c>
      <c r="N5" s="90" t="s">
        <v>155</v>
      </c>
      <c r="O5" s="97">
        <f>IF(P5=0,0,Q5/P5)</f>
        <v>-550</v>
      </c>
      <c r="P5" s="94">
        <v>20</v>
      </c>
      <c r="Q5" s="78">
        <v>-11000</v>
      </c>
    </row>
    <row r="6" spans="1:17">
      <c r="A6" s="38" t="s">
        <v>1</v>
      </c>
      <c r="B6" s="148">
        <f>IF(B$2=0,0,(B$7*1+B$8*2+B$9*3+B$10*4)/B$2)</f>
        <v>2.5</v>
      </c>
      <c r="C6" s="149"/>
      <c r="E6" s="46" t="s">
        <v>57</v>
      </c>
      <c r="F6" s="43" t="s">
        <v>21</v>
      </c>
      <c r="G6" s="35">
        <v>11</v>
      </c>
      <c r="H6" s="108">
        <f>IF(B$22=0,0,G6/B$22)</f>
        <v>0.24444444444444444</v>
      </c>
      <c r="I6" s="70">
        <v>4</v>
      </c>
      <c r="K6" s="5">
        <v>4</v>
      </c>
      <c r="L6" s="75">
        <v>0</v>
      </c>
      <c r="N6" s="90" t="s">
        <v>105</v>
      </c>
      <c r="O6" s="97">
        <f t="shared" ref="O6" si="1">IF(P6=0,0,Q6/P6)</f>
        <v>50</v>
      </c>
      <c r="P6" s="94">
        <v>20</v>
      </c>
      <c r="Q6" s="78">
        <v>1000</v>
      </c>
    </row>
    <row r="7" spans="1:17">
      <c r="A7" s="38" t="s">
        <v>2</v>
      </c>
      <c r="B7" s="35">
        <v>5</v>
      </c>
      <c r="C7" s="30">
        <f t="shared" ref="C7:C17" si="2">IF(B$2=0,0,B7/B$2)</f>
        <v>0.25</v>
      </c>
      <c r="E7" s="46" t="s">
        <v>60</v>
      </c>
      <c r="F7" s="43" t="s">
        <v>24</v>
      </c>
      <c r="G7" s="35">
        <v>10</v>
      </c>
      <c r="H7" s="108">
        <f>IF(B$22=0,0,G7/B$22)</f>
        <v>0.22222222222222221</v>
      </c>
      <c r="I7" s="70">
        <v>4</v>
      </c>
      <c r="K7" s="5">
        <v>5</v>
      </c>
      <c r="L7" s="75">
        <v>13.4</v>
      </c>
      <c r="N7" s="90" t="s">
        <v>106</v>
      </c>
      <c r="O7" s="97">
        <f t="shared" si="0"/>
        <v>-100</v>
      </c>
      <c r="P7" s="94">
        <v>20</v>
      </c>
      <c r="Q7" s="78">
        <v>-2000</v>
      </c>
    </row>
    <row r="8" spans="1:17">
      <c r="A8" s="38" t="s">
        <v>3</v>
      </c>
      <c r="B8" s="35">
        <v>5</v>
      </c>
      <c r="C8" s="30">
        <f>IF(B$2=0,0,B8/B$2)</f>
        <v>0.25</v>
      </c>
      <c r="E8" s="46" t="s">
        <v>163</v>
      </c>
      <c r="F8" s="43" t="s">
        <v>19</v>
      </c>
      <c r="G8" s="35">
        <v>9</v>
      </c>
      <c r="H8" s="108">
        <f>IF(B$22=0,0,G8/B$22)</f>
        <v>0.2</v>
      </c>
      <c r="I8" s="70">
        <v>3</v>
      </c>
      <c r="K8" s="5">
        <v>6</v>
      </c>
      <c r="L8" s="75">
        <v>-0.79999999999999893</v>
      </c>
      <c r="N8" s="90" t="s">
        <v>107</v>
      </c>
      <c r="O8" s="97">
        <f t="shared" si="0"/>
        <v>100</v>
      </c>
      <c r="P8" s="94">
        <v>20</v>
      </c>
      <c r="Q8" s="78">
        <v>2000</v>
      </c>
    </row>
    <row r="9" spans="1:17">
      <c r="A9" s="39" t="s">
        <v>4</v>
      </c>
      <c r="B9" s="36">
        <v>5</v>
      </c>
      <c r="C9" s="31">
        <f>IF(B$2=0,0,B9/B$2)</f>
        <v>0.25</v>
      </c>
      <c r="E9" s="46" t="s">
        <v>55</v>
      </c>
      <c r="F9" s="43" t="s">
        <v>153</v>
      </c>
      <c r="G9" s="35">
        <v>7</v>
      </c>
      <c r="H9" s="108">
        <f>IF(B$22=0,0,G9/B$22)</f>
        <v>0.15555555555555556</v>
      </c>
      <c r="I9" s="70">
        <v>3</v>
      </c>
      <c r="K9" s="5">
        <v>7</v>
      </c>
      <c r="L9" s="75">
        <v>63.900000000000006</v>
      </c>
      <c r="N9" s="91" t="s">
        <v>156</v>
      </c>
      <c r="O9" s="98">
        <f t="shared" si="0"/>
        <v>0</v>
      </c>
      <c r="P9" s="95">
        <v>20</v>
      </c>
      <c r="Q9" s="79">
        <v>0</v>
      </c>
    </row>
    <row r="10" spans="1:17">
      <c r="A10" s="39" t="s">
        <v>150</v>
      </c>
      <c r="B10" s="36">
        <v>5</v>
      </c>
      <c r="C10" s="31">
        <f>IF(B$2=0,0,B10/B$2)</f>
        <v>0.25</v>
      </c>
      <c r="E10" s="46" t="s">
        <v>58</v>
      </c>
      <c r="F10" s="43" t="s">
        <v>22</v>
      </c>
      <c r="G10" s="35">
        <v>5</v>
      </c>
      <c r="H10" s="108">
        <f>IF(B$22=0,0,G10/B$22)</f>
        <v>0.1111111111111111</v>
      </c>
      <c r="I10" s="70">
        <v>3</v>
      </c>
      <c r="K10" s="5">
        <v>8</v>
      </c>
      <c r="L10" s="75">
        <v>7.1054273576010019E-15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10</v>
      </c>
      <c r="C11" s="31">
        <f>IF(B$2=0,0,B11/B$2)</f>
        <v>0.5</v>
      </c>
      <c r="E11" s="46" t="s">
        <v>59</v>
      </c>
      <c r="F11" s="43" t="s">
        <v>23</v>
      </c>
      <c r="G11" s="35">
        <v>5</v>
      </c>
      <c r="H11" s="108">
        <f>IF(B$22=0,0,G11/B$22)</f>
        <v>0.1111111111111111</v>
      </c>
      <c r="I11" s="70">
        <v>3</v>
      </c>
      <c r="K11" s="5">
        <v>9</v>
      </c>
      <c r="L11" s="75">
        <v>-31.399999999999991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183</v>
      </c>
      <c r="B12" s="152">
        <f>IF(B7=0,0,C12/B7)</f>
        <v>65.199999999999989</v>
      </c>
      <c r="C12" s="153">
        <v>325.99999999999994</v>
      </c>
      <c r="E12" s="46" t="s">
        <v>66</v>
      </c>
      <c r="F12" s="43" t="s">
        <v>30</v>
      </c>
      <c r="G12" s="35">
        <v>2</v>
      </c>
      <c r="H12" s="108">
        <f>IF(B$22=0,0,G12/B$22)</f>
        <v>4.4444444444444446E-2</v>
      </c>
      <c r="I12" s="70">
        <v>3</v>
      </c>
      <c r="K12" s="5">
        <v>10</v>
      </c>
      <c r="L12" s="75">
        <v>-85.6</v>
      </c>
      <c r="N12" s="89" t="s">
        <v>124</v>
      </c>
      <c r="O12" s="99">
        <f>IF(P12=0,0,Q12/P12)</f>
        <v>16.060000000000002</v>
      </c>
      <c r="P12" s="93">
        <v>5</v>
      </c>
      <c r="Q12" s="81">
        <v>80.300000000000011</v>
      </c>
    </row>
    <row r="13" spans="1:17">
      <c r="A13" s="39" t="s">
        <v>184</v>
      </c>
      <c r="B13" s="152">
        <f t="shared" ref="B13:B14" si="3">IF(B8=0,0,C13/B8)</f>
        <v>12.959999999999999</v>
      </c>
      <c r="C13" s="153">
        <v>64.8</v>
      </c>
      <c r="E13" s="46" t="s">
        <v>74</v>
      </c>
      <c r="F13" s="43" t="s">
        <v>38</v>
      </c>
      <c r="G13" s="35">
        <v>2</v>
      </c>
      <c r="H13" s="108">
        <f>IF(B$22=0,0,G13/B$22)</f>
        <v>4.4444444444444446E-2</v>
      </c>
      <c r="I13" s="70">
        <v>3</v>
      </c>
      <c r="K13" s="5">
        <v>11</v>
      </c>
      <c r="L13" s="75">
        <v>-12</v>
      </c>
      <c r="N13" s="90" t="s">
        <v>125</v>
      </c>
      <c r="O13" s="100">
        <f>IF(P13=0,0,Q13/P13)</f>
        <v>-40.86</v>
      </c>
      <c r="P13" s="94">
        <v>5</v>
      </c>
      <c r="Q13" s="82">
        <v>-204.3</v>
      </c>
    </row>
    <row r="14" spans="1:17">
      <c r="A14" s="39" t="s">
        <v>185</v>
      </c>
      <c r="B14" s="152">
        <f t="shared" si="3"/>
        <v>-20.22</v>
      </c>
      <c r="C14" s="153">
        <v>-101.1</v>
      </c>
      <c r="E14" s="46" t="s">
        <v>77</v>
      </c>
      <c r="F14" s="43" t="s">
        <v>41</v>
      </c>
      <c r="G14" s="35">
        <v>2</v>
      </c>
      <c r="H14" s="108">
        <f>IF(B$22=0,0,G14/B$22)</f>
        <v>4.4444444444444446E-2</v>
      </c>
      <c r="I14" s="70">
        <v>3</v>
      </c>
      <c r="K14" s="5">
        <v>12</v>
      </c>
      <c r="L14" s="75">
        <v>-10</v>
      </c>
      <c r="N14" s="90" t="s">
        <v>126</v>
      </c>
      <c r="O14" s="100">
        <f>IF(P14=0,0,Q14/P14)</f>
        <v>33.1</v>
      </c>
      <c r="P14" s="94">
        <v>5</v>
      </c>
      <c r="Q14" s="82">
        <v>165.5</v>
      </c>
    </row>
    <row r="15" spans="1:17">
      <c r="A15" s="39" t="s">
        <v>186</v>
      </c>
      <c r="B15" s="152">
        <f>IF(B10=0,0,C15/B10)</f>
        <v>-59.94</v>
      </c>
      <c r="C15" s="153">
        <v>-299.7</v>
      </c>
      <c r="E15" s="46" t="s">
        <v>67</v>
      </c>
      <c r="F15" s="43" t="s">
        <v>31</v>
      </c>
      <c r="G15" s="35">
        <v>1</v>
      </c>
      <c r="H15" s="108">
        <f>IF(B$22=0,0,G15/B$22)</f>
        <v>2.2222222222222223E-2</v>
      </c>
      <c r="I15" s="70">
        <v>2</v>
      </c>
      <c r="K15" s="5">
        <v>13</v>
      </c>
      <c r="L15" s="75">
        <v>2.8000000000000007</v>
      </c>
      <c r="N15" s="91" t="s">
        <v>157</v>
      </c>
      <c r="O15" s="101">
        <f>IF(P15=0,0,Q15/P15)</f>
        <v>-10.3</v>
      </c>
      <c r="P15" s="95">
        <v>5</v>
      </c>
      <c r="Q15" s="83">
        <v>-51.5</v>
      </c>
    </row>
    <row r="16" spans="1:17">
      <c r="A16" s="39" t="s">
        <v>182</v>
      </c>
      <c r="B16" s="146">
        <f>AVERAGE(B12:B15)</f>
        <v>-0.50000000000000355</v>
      </c>
      <c r="C16" s="147"/>
      <c r="E16" s="46" t="s">
        <v>164</v>
      </c>
      <c r="F16" s="43" t="s">
        <v>167</v>
      </c>
      <c r="G16" s="35">
        <v>1</v>
      </c>
      <c r="H16" s="108">
        <f>IF(B$22=0,0,G16/B$22)</f>
        <v>2.2222222222222223E-2</v>
      </c>
      <c r="I16" s="70">
        <v>2</v>
      </c>
      <c r="K16" s="5">
        <v>14</v>
      </c>
      <c r="L16" s="75">
        <v>-48.400000000000006</v>
      </c>
      <c r="N16" s="27"/>
      <c r="O16" s="85"/>
      <c r="P16" s="87"/>
      <c r="Q16" s="85"/>
    </row>
    <row r="17" spans="1:17">
      <c r="A17" s="40" t="s">
        <v>17</v>
      </c>
      <c r="B17" s="37">
        <v>3</v>
      </c>
      <c r="C17" s="32">
        <f t="shared" si="2"/>
        <v>0.15</v>
      </c>
      <c r="E17" s="46" t="s">
        <v>69</v>
      </c>
      <c r="F17" s="43" t="s">
        <v>33</v>
      </c>
      <c r="G17" s="35">
        <v>1</v>
      </c>
      <c r="H17" s="108">
        <f>IF(B$22=0,0,G17/B$22)</f>
        <v>2.2222222222222223E-2</v>
      </c>
      <c r="I17" s="70">
        <v>2</v>
      </c>
      <c r="K17" s="5">
        <v>15</v>
      </c>
      <c r="L17" s="75">
        <v>-68.5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47</v>
      </c>
      <c r="C18" s="11">
        <f>IF(B$3=0,0,B18/B$3)</f>
        <v>0.21759259259259259</v>
      </c>
      <c r="E18" s="46" t="s">
        <v>76</v>
      </c>
      <c r="F18" s="43" t="s">
        <v>40</v>
      </c>
      <c r="G18" s="35">
        <v>1</v>
      </c>
      <c r="H18" s="108">
        <f>IF(B$22=0,0,G18/B$22)</f>
        <v>2.2222222222222223E-2</v>
      </c>
      <c r="I18" s="70">
        <v>2</v>
      </c>
      <c r="K18" s="5">
        <v>16</v>
      </c>
      <c r="L18" s="75">
        <v>-10</v>
      </c>
      <c r="N18" s="89" t="s">
        <v>176</v>
      </c>
      <c r="O18" s="99">
        <f>IF(P18=0,0,Q18/P18)</f>
        <v>12</v>
      </c>
      <c r="P18" s="93">
        <v>15</v>
      </c>
      <c r="Q18" s="81">
        <v>180</v>
      </c>
    </row>
    <row r="19" spans="1:17">
      <c r="A19" s="38" t="s">
        <v>94</v>
      </c>
      <c r="B19" s="35">
        <v>36</v>
      </c>
      <c r="C19" s="30">
        <f>IF(B$3=0,0,B19/B$3)</f>
        <v>0.16666666666666666</v>
      </c>
      <c r="E19" s="46" t="s">
        <v>61</v>
      </c>
      <c r="F19" s="43" t="s">
        <v>25</v>
      </c>
      <c r="G19" s="35">
        <v>0</v>
      </c>
      <c r="H19" s="108">
        <f>IF(B$22=0,0,G19/B$22)</f>
        <v>0</v>
      </c>
      <c r="I19" s="70">
        <v>1</v>
      </c>
      <c r="K19" s="5">
        <v>17</v>
      </c>
      <c r="L19" s="75">
        <v>10</v>
      </c>
      <c r="N19" s="90" t="s">
        <v>174</v>
      </c>
      <c r="O19" s="100">
        <f>IF(P19=0,0,Q19/P19)</f>
        <v>4.6400000000000041</v>
      </c>
      <c r="P19" s="94">
        <v>15</v>
      </c>
      <c r="Q19" s="82">
        <v>69.600000000000065</v>
      </c>
    </row>
    <row r="20" spans="1:17">
      <c r="A20" s="18" t="s">
        <v>99</v>
      </c>
      <c r="B20" s="34">
        <f>B26</f>
        <v>28</v>
      </c>
      <c r="C20" s="4">
        <f>IF(B$18=0,0,B20/B$18)</f>
        <v>0.5957446808510638</v>
      </c>
      <c r="E20" s="46" t="s">
        <v>62</v>
      </c>
      <c r="F20" s="43" t="s">
        <v>26</v>
      </c>
      <c r="G20" s="35">
        <v>0</v>
      </c>
      <c r="H20" s="108">
        <f>IF(B$22=0,0,G20/B$22)</f>
        <v>0</v>
      </c>
      <c r="I20" s="70">
        <v>1</v>
      </c>
      <c r="K20" s="5">
        <v>18</v>
      </c>
      <c r="L20" s="75">
        <v>-9</v>
      </c>
      <c r="N20" s="90" t="s">
        <v>175</v>
      </c>
      <c r="O20" s="100">
        <f>IF(P20=0,0,Q20/P20)</f>
        <v>-6.3466666666666693</v>
      </c>
      <c r="P20" s="94">
        <v>15</v>
      </c>
      <c r="Q20" s="82">
        <v>-95.200000000000045</v>
      </c>
    </row>
    <row r="21" spans="1:17">
      <c r="A21" s="18" t="s">
        <v>100</v>
      </c>
      <c r="B21" s="34">
        <f>B27</f>
        <v>10</v>
      </c>
      <c r="C21" s="4">
        <f>IF(B$19=0,0,B21/B$19)</f>
        <v>0.27777777777777779</v>
      </c>
      <c r="E21" s="46" t="s">
        <v>63</v>
      </c>
      <c r="F21" s="43" t="s">
        <v>27</v>
      </c>
      <c r="G21" s="35">
        <v>0</v>
      </c>
      <c r="H21" s="108">
        <f>IF(B$22=0,0,G21/B$22)</f>
        <v>0</v>
      </c>
      <c r="I21" s="70">
        <v>1</v>
      </c>
      <c r="K21" s="5">
        <v>19</v>
      </c>
      <c r="L21" s="75">
        <v>54.7</v>
      </c>
      <c r="N21" s="90" t="s">
        <v>177</v>
      </c>
      <c r="O21" s="100">
        <f>IF(P21=0,0,Q21/P21)</f>
        <v>-10.293333333333326</v>
      </c>
      <c r="P21" s="94">
        <v>15</v>
      </c>
      <c r="Q21" s="82">
        <v>-154.39999999999989</v>
      </c>
    </row>
    <row r="22" spans="1:17">
      <c r="A22" s="18" t="s">
        <v>10</v>
      </c>
      <c r="B22" s="34">
        <f>B25+B24</f>
        <v>45</v>
      </c>
      <c r="C22" s="4">
        <f>IF(B$3=0,0,B22/B$3)</f>
        <v>0.20833333333333334</v>
      </c>
      <c r="E22" s="46" t="s">
        <v>64</v>
      </c>
      <c r="F22" s="43" t="s">
        <v>28</v>
      </c>
      <c r="G22" s="35">
        <v>0</v>
      </c>
      <c r="H22" s="108">
        <f>IF(B$22=0,0,G22/B$22)</f>
        <v>0</v>
      </c>
      <c r="I22" s="70">
        <v>1</v>
      </c>
      <c r="K22" s="5">
        <v>20</v>
      </c>
      <c r="L22" s="75">
        <v>-10</v>
      </c>
    </row>
    <row r="23" spans="1:17">
      <c r="A23" s="38" t="s">
        <v>13</v>
      </c>
      <c r="B23" s="35">
        <v>31</v>
      </c>
      <c r="C23" s="30">
        <f>IF(B$3=0,0,B23/B$3)</f>
        <v>0.14351851851851852</v>
      </c>
      <c r="E23" s="46" t="s">
        <v>65</v>
      </c>
      <c r="F23" s="43" t="s">
        <v>29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14</v>
      </c>
      <c r="C24" s="30">
        <f>IF(B$22=0,0,B24/B$22)</f>
        <v>0.31111111111111112</v>
      </c>
      <c r="E24" s="46" t="s">
        <v>68</v>
      </c>
      <c r="F24" s="43" t="s">
        <v>32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31</v>
      </c>
      <c r="C25" s="30">
        <f>IF(B$22=0,0,B25/B$22)</f>
        <v>0.68888888888888888</v>
      </c>
      <c r="E25" s="46" t="s">
        <v>70</v>
      </c>
      <c r="F25" s="43" t="s">
        <v>34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28</v>
      </c>
      <c r="C26" s="30">
        <f>IF(B$22=0,0,B26/B$22)</f>
        <v>0.62222222222222223</v>
      </c>
      <c r="E26" s="46" t="s">
        <v>71</v>
      </c>
      <c r="F26" s="43" t="s">
        <v>35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10</v>
      </c>
      <c r="C27" s="30">
        <f>IF(B$22=0,0,B27/B$22)</f>
        <v>0.22222222222222221</v>
      </c>
      <c r="E27" s="46" t="s">
        <v>72</v>
      </c>
      <c r="F27" s="43" t="s">
        <v>36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7</v>
      </c>
      <c r="C28" s="30">
        <f>IF(B$22=0,0,B28/B$22)</f>
        <v>0.15555555555555556</v>
      </c>
      <c r="E28" s="46" t="s">
        <v>73</v>
      </c>
      <c r="F28" s="43" t="s">
        <v>37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6677.7777777777774</v>
      </c>
      <c r="C29" s="8">
        <v>300500</v>
      </c>
      <c r="E29" s="46" t="s">
        <v>75</v>
      </c>
      <c r="F29" s="43" t="s">
        <v>39</v>
      </c>
      <c r="G29" s="35">
        <v>0</v>
      </c>
      <c r="H29" s="108">
        <f>IF(B$22=0,0,G29/B$22)</f>
        <v>0</v>
      </c>
      <c r="I29" s="70">
        <v>1</v>
      </c>
    </row>
    <row r="30" spans="1:17">
      <c r="A30" s="39" t="s">
        <v>131</v>
      </c>
      <c r="B30" s="111">
        <f>IF($B$22-B$21=0,0,C30/($B$22-B$21))</f>
        <v>7100</v>
      </c>
      <c r="C30" s="112">
        <v>248500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5200</v>
      </c>
      <c r="C31" s="112">
        <v>52000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-5580.6451612903229</v>
      </c>
      <c r="C32" s="112">
        <v>-173000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4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40</v>
      </c>
      <c r="C34" s="110">
        <v>4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34">
        <v>5</v>
      </c>
      <c r="C35" s="13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36">
        <v>53600</v>
      </c>
      <c r="C36" s="13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9</v>
      </c>
      <c r="C37" s="32">
        <f>IF(B$3=0,0,B37/B$3)</f>
        <v>4.1666666666666664E-2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B38" s="27">
        <v>2</v>
      </c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6">
        <v>0</v>
      </c>
      <c r="C40" s="116">
        <f t="shared" ref="C40:C52" si="4">IF(B$22=0,0,B40/B$22)</f>
        <v>0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7">
        <v>1</v>
      </c>
      <c r="C42" s="30">
        <f t="shared" si="4"/>
        <v>2.2222222222222223E-2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7">
        <v>1</v>
      </c>
      <c r="C43" s="30">
        <f t="shared" si="4"/>
        <v>2.2222222222222223E-2</v>
      </c>
    </row>
    <row r="44" spans="1:9">
      <c r="A44" s="38" t="s">
        <v>136</v>
      </c>
      <c r="B44" s="127">
        <v>0</v>
      </c>
      <c r="C44" s="30">
        <f t="shared" si="4"/>
        <v>0</v>
      </c>
    </row>
    <row r="45" spans="1:9">
      <c r="A45" s="38" t="s">
        <v>138</v>
      </c>
      <c r="B45" s="127">
        <v>0</v>
      </c>
      <c r="C45" s="30">
        <f t="shared" si="4"/>
        <v>0</v>
      </c>
    </row>
    <row r="46" spans="1:9">
      <c r="A46" s="38" t="s">
        <v>139</v>
      </c>
      <c r="B46" s="127">
        <v>0</v>
      </c>
      <c r="C46" s="30">
        <f t="shared" si="4"/>
        <v>0</v>
      </c>
    </row>
    <row r="47" spans="1:9">
      <c r="A47" s="38" t="s">
        <v>140</v>
      </c>
      <c r="B47" s="127">
        <v>2</v>
      </c>
      <c r="C47" s="30">
        <f t="shared" si="4"/>
        <v>4.4444444444444446E-2</v>
      </c>
    </row>
    <row r="48" spans="1:9">
      <c r="A48" s="38" t="s">
        <v>141</v>
      </c>
      <c r="B48" s="127">
        <v>0</v>
      </c>
      <c r="C48" s="30">
        <f t="shared" si="4"/>
        <v>0</v>
      </c>
    </row>
    <row r="49" spans="1:3">
      <c r="A49" s="38" t="s">
        <v>142</v>
      </c>
      <c r="B49" s="127">
        <v>0</v>
      </c>
      <c r="C49" s="30">
        <f t="shared" si="4"/>
        <v>0</v>
      </c>
    </row>
    <row r="50" spans="1:3">
      <c r="A50" s="38" t="s">
        <v>143</v>
      </c>
      <c r="B50" s="127">
        <v>0</v>
      </c>
      <c r="C50" s="30">
        <f t="shared" si="4"/>
        <v>0</v>
      </c>
    </row>
    <row r="51" spans="1:3">
      <c r="A51" s="38" t="s">
        <v>144</v>
      </c>
      <c r="B51" s="127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1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A7C0-334D-445A-BEC3-B605185D7D38}">
  <sheetPr codeName="Sheet5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38" t="s">
        <v>177</v>
      </c>
      <c r="C1" s="139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0">
        <v>5</v>
      </c>
      <c r="C2" s="141"/>
      <c r="E2" s="45" t="s">
        <v>54</v>
      </c>
      <c r="F2" s="42" t="s">
        <v>20</v>
      </c>
      <c r="G2" s="34">
        <v>5</v>
      </c>
      <c r="H2" s="107">
        <f>IF(B$22=0,0,G2/B$22)</f>
        <v>0.45454545454545453</v>
      </c>
      <c r="I2" s="69">
        <v>4</v>
      </c>
      <c r="K2" s="3">
        <v>0</v>
      </c>
      <c r="L2" s="74">
        <v>0</v>
      </c>
      <c r="N2" s="89" t="s">
        <v>102</v>
      </c>
      <c r="O2" s="96">
        <f t="shared" ref="O2:O9" si="0">IF(P2=0,0,Q2/P2)</f>
        <v>620</v>
      </c>
      <c r="P2" s="93">
        <v>5</v>
      </c>
      <c r="Q2" s="77">
        <v>3100</v>
      </c>
    </row>
    <row r="3" spans="1:17">
      <c r="A3" s="38" t="s">
        <v>8</v>
      </c>
      <c r="B3" s="142">
        <v>54</v>
      </c>
      <c r="C3" s="143"/>
      <c r="E3" s="46" t="s">
        <v>56</v>
      </c>
      <c r="F3" s="43" t="s">
        <v>166</v>
      </c>
      <c r="G3" s="35">
        <v>5</v>
      </c>
      <c r="H3" s="108">
        <f>IF(B$22=0,0,G3/B$22)</f>
        <v>0.45454545454545453</v>
      </c>
      <c r="I3" s="70">
        <v>1</v>
      </c>
      <c r="K3" s="5">
        <v>1</v>
      </c>
      <c r="L3" s="75">
        <v>65.5</v>
      </c>
      <c r="N3" s="90" t="s">
        <v>103</v>
      </c>
      <c r="O3" s="97">
        <f t="shared" si="0"/>
        <v>-840</v>
      </c>
      <c r="P3" s="94">
        <v>5</v>
      </c>
      <c r="Q3" s="78">
        <v>-4200</v>
      </c>
    </row>
    <row r="4" spans="1:17">
      <c r="A4" s="38" t="s">
        <v>6</v>
      </c>
      <c r="B4" s="144">
        <v>36.099999999999987</v>
      </c>
      <c r="C4" s="145"/>
      <c r="E4" s="46" t="s">
        <v>165</v>
      </c>
      <c r="F4" s="43" t="s">
        <v>168</v>
      </c>
      <c r="G4" s="35">
        <v>5</v>
      </c>
      <c r="H4" s="108">
        <f>IF(B$22=0,0,G4/B$22)</f>
        <v>0.45454545454545453</v>
      </c>
      <c r="I4" s="70">
        <v>2</v>
      </c>
      <c r="K4" s="5">
        <v>2</v>
      </c>
      <c r="L4" s="75">
        <v>1.6000000000000014</v>
      </c>
      <c r="N4" s="90" t="s">
        <v>104</v>
      </c>
      <c r="O4" s="97">
        <f t="shared" si="0"/>
        <v>1480</v>
      </c>
      <c r="P4" s="94">
        <v>5</v>
      </c>
      <c r="Q4" s="78">
        <v>7400</v>
      </c>
    </row>
    <row r="5" spans="1:17">
      <c r="A5" s="38" t="s">
        <v>7</v>
      </c>
      <c r="B5" s="146">
        <f>IF(B$2=0,0,B$4/B$2)</f>
        <v>7.2199999999999971</v>
      </c>
      <c r="C5" s="147"/>
      <c r="E5" s="46" t="s">
        <v>60</v>
      </c>
      <c r="F5" s="43" t="s">
        <v>24</v>
      </c>
      <c r="G5" s="35">
        <v>4</v>
      </c>
      <c r="H5" s="108">
        <f>IF(B$22=0,0,G5/B$22)</f>
        <v>0.36363636363636365</v>
      </c>
      <c r="I5" s="70">
        <v>1</v>
      </c>
      <c r="K5" s="5">
        <v>3</v>
      </c>
      <c r="L5" s="75">
        <v>75.199999999999989</v>
      </c>
      <c r="N5" s="90" t="s">
        <v>155</v>
      </c>
      <c r="O5" s="97">
        <f>IF(P5=0,0,Q5/P5)</f>
        <v>1260</v>
      </c>
      <c r="P5" s="94">
        <v>5</v>
      </c>
      <c r="Q5" s="78">
        <v>6300</v>
      </c>
    </row>
    <row r="6" spans="1:17">
      <c r="A6" s="38" t="s">
        <v>1</v>
      </c>
      <c r="B6" s="148">
        <f>IF(B$2=0,0,(B$7*1+B$8*2+B$9*3+B$10*4)/B$2)</f>
        <v>2.4</v>
      </c>
      <c r="C6" s="149"/>
      <c r="E6" s="46" t="s">
        <v>162</v>
      </c>
      <c r="F6" s="43" t="s">
        <v>154</v>
      </c>
      <c r="G6" s="35">
        <v>3</v>
      </c>
      <c r="H6" s="108">
        <f>IF(B$22=0,0,G6/B$22)</f>
        <v>0.27272727272727271</v>
      </c>
      <c r="I6" s="70">
        <v>5</v>
      </c>
      <c r="K6" s="5">
        <v>4</v>
      </c>
      <c r="L6" s="75">
        <v>55.099999999999987</v>
      </c>
      <c r="N6" s="90" t="s">
        <v>105</v>
      </c>
      <c r="O6" s="97">
        <f t="shared" ref="O6" si="1">IF(P6=0,0,Q6/P6)</f>
        <v>1120</v>
      </c>
      <c r="P6" s="94">
        <v>5</v>
      </c>
      <c r="Q6" s="78">
        <v>5600</v>
      </c>
    </row>
    <row r="7" spans="1:17">
      <c r="A7" s="38" t="s">
        <v>2</v>
      </c>
      <c r="B7" s="35">
        <v>2</v>
      </c>
      <c r="C7" s="30">
        <f t="shared" ref="C7:C17" si="2">IF(B$2=0,0,B7/B$2)</f>
        <v>0.4</v>
      </c>
      <c r="E7" s="46" t="s">
        <v>59</v>
      </c>
      <c r="F7" s="43" t="s">
        <v>23</v>
      </c>
      <c r="G7" s="35">
        <v>3</v>
      </c>
      <c r="H7" s="108">
        <f>IF(B$22=0,0,G7/B$22)</f>
        <v>0.27272727272727271</v>
      </c>
      <c r="I7" s="70">
        <v>1</v>
      </c>
      <c r="K7" s="5">
        <v>5</v>
      </c>
      <c r="L7" s="75">
        <v>36.099999999999987</v>
      </c>
      <c r="N7" s="90" t="s">
        <v>106</v>
      </c>
      <c r="O7" s="97">
        <f t="shared" si="0"/>
        <v>-100</v>
      </c>
      <c r="P7" s="94">
        <v>5</v>
      </c>
      <c r="Q7" s="78">
        <v>-500</v>
      </c>
    </row>
    <row r="8" spans="1:17">
      <c r="A8" s="38" t="s">
        <v>3</v>
      </c>
      <c r="B8" s="35">
        <v>0</v>
      </c>
      <c r="C8" s="30">
        <f>IF(B$2=0,0,B8/B$2)</f>
        <v>0</v>
      </c>
      <c r="E8" s="46" t="s">
        <v>58</v>
      </c>
      <c r="F8" s="43" t="s">
        <v>22</v>
      </c>
      <c r="G8" s="35">
        <v>2</v>
      </c>
      <c r="H8" s="108">
        <f>IF(B$22=0,0,G8/B$22)</f>
        <v>0.18181818181818182</v>
      </c>
      <c r="I8" s="70">
        <v>1</v>
      </c>
      <c r="N8" s="90" t="s">
        <v>107</v>
      </c>
      <c r="O8" s="97">
        <f t="shared" si="0"/>
        <v>-2360</v>
      </c>
      <c r="P8" s="94">
        <v>5</v>
      </c>
      <c r="Q8" s="78">
        <v>-11800</v>
      </c>
    </row>
    <row r="9" spans="1:17">
      <c r="A9" s="39" t="s">
        <v>4</v>
      </c>
      <c r="B9" s="36">
        <v>2</v>
      </c>
      <c r="C9" s="31">
        <f>IF(B$2=0,0,B9/B$2)</f>
        <v>0.4</v>
      </c>
      <c r="E9" s="46" t="s">
        <v>67</v>
      </c>
      <c r="F9" s="43" t="s">
        <v>31</v>
      </c>
      <c r="G9" s="35">
        <v>1</v>
      </c>
      <c r="H9" s="108">
        <f>IF(B$22=0,0,G9/B$22)</f>
        <v>9.0909090909090912E-2</v>
      </c>
      <c r="I9" s="70">
        <v>1</v>
      </c>
      <c r="N9" s="91" t="s">
        <v>156</v>
      </c>
      <c r="O9" s="98">
        <f t="shared" si="0"/>
        <v>1040</v>
      </c>
      <c r="P9" s="95">
        <v>5</v>
      </c>
      <c r="Q9" s="79">
        <v>5200</v>
      </c>
    </row>
    <row r="10" spans="1:17">
      <c r="A10" s="39" t="s">
        <v>150</v>
      </c>
      <c r="B10" s="36">
        <v>1</v>
      </c>
      <c r="C10" s="31">
        <f>IF(B$2=0,0,B10/B$2)</f>
        <v>0.2</v>
      </c>
      <c r="E10" s="46" t="s">
        <v>69</v>
      </c>
      <c r="F10" s="43" t="s">
        <v>33</v>
      </c>
      <c r="G10" s="35">
        <v>1</v>
      </c>
      <c r="H10" s="108">
        <f>IF(B$22=0,0,G10/B$22)</f>
        <v>9.0909090909090912E-2</v>
      </c>
      <c r="I10" s="70">
        <v>1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2</v>
      </c>
      <c r="C11" s="31">
        <f>IF(B$2=0,0,B11/B$2)</f>
        <v>0.4</v>
      </c>
      <c r="E11" s="46" t="s">
        <v>77</v>
      </c>
      <c r="F11" s="43" t="s">
        <v>41</v>
      </c>
      <c r="G11" s="35">
        <v>1</v>
      </c>
      <c r="H11" s="108">
        <f>IF(B$22=0,0,G11/B$22)</f>
        <v>9.0909090909090912E-2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183</v>
      </c>
      <c r="B12" s="152">
        <f>IF(B7=0,0,C12/B7)</f>
        <v>69.55</v>
      </c>
      <c r="C12" s="153">
        <v>139.1</v>
      </c>
      <c r="E12" s="46" t="s">
        <v>163</v>
      </c>
      <c r="F12" s="43" t="s">
        <v>19</v>
      </c>
      <c r="G12" s="35">
        <v>0</v>
      </c>
      <c r="H12" s="108">
        <f>IF(B$22=0,0,G12/B$22)</f>
        <v>0</v>
      </c>
      <c r="I12" s="70">
        <v>5</v>
      </c>
      <c r="N12" s="89" t="s">
        <v>124</v>
      </c>
      <c r="O12" s="99">
        <f>IF(P12=0,0,Q12/P12)</f>
        <v>65.5</v>
      </c>
      <c r="P12" s="93">
        <v>1</v>
      </c>
      <c r="Q12" s="81">
        <v>65.5</v>
      </c>
    </row>
    <row r="13" spans="1:17">
      <c r="A13" s="39" t="s">
        <v>184</v>
      </c>
      <c r="B13" s="152">
        <f t="shared" ref="B13:B14" si="3">IF(B8=0,0,C13/B8)</f>
        <v>0</v>
      </c>
      <c r="C13" s="153">
        <v>0</v>
      </c>
      <c r="E13" s="46" t="s">
        <v>55</v>
      </c>
      <c r="F13" s="43" t="s">
        <v>153</v>
      </c>
      <c r="G13" s="35">
        <v>0</v>
      </c>
      <c r="H13" s="108">
        <f>IF(B$22=0,0,G13/B$22)</f>
        <v>0</v>
      </c>
      <c r="I13" s="70">
        <v>5</v>
      </c>
      <c r="N13" s="90" t="s">
        <v>125</v>
      </c>
      <c r="O13" s="100">
        <f>IF(P13=0,0,Q13/P13)</f>
        <v>-19</v>
      </c>
      <c r="P13" s="94">
        <v>1</v>
      </c>
      <c r="Q13" s="82">
        <v>-19</v>
      </c>
    </row>
    <row r="14" spans="1:17">
      <c r="A14" s="39" t="s">
        <v>185</v>
      </c>
      <c r="B14" s="152">
        <f t="shared" si="3"/>
        <v>-19.55</v>
      </c>
      <c r="C14" s="153">
        <v>-39.1</v>
      </c>
      <c r="E14" s="46" t="s">
        <v>57</v>
      </c>
      <c r="F14" s="43" t="s">
        <v>21</v>
      </c>
      <c r="G14" s="35">
        <v>0</v>
      </c>
      <c r="H14" s="108">
        <f>IF(B$22=0,0,G14/B$22)</f>
        <v>0</v>
      </c>
      <c r="I14" s="70">
        <v>5</v>
      </c>
      <c r="N14" s="90" t="s">
        <v>126</v>
      </c>
      <c r="O14" s="100">
        <f>IF(P14=0,0,Q14/P14)</f>
        <v>26.749999999999996</v>
      </c>
      <c r="P14" s="94">
        <v>2</v>
      </c>
      <c r="Q14" s="82">
        <v>53.499999999999993</v>
      </c>
    </row>
    <row r="15" spans="1:17">
      <c r="A15" s="39" t="s">
        <v>186</v>
      </c>
      <c r="B15" s="152">
        <f>IF(B10=0,0,C15/B10)</f>
        <v>-63.9</v>
      </c>
      <c r="C15" s="153">
        <v>-63.9</v>
      </c>
      <c r="E15" s="46" t="s">
        <v>61</v>
      </c>
      <c r="F15" s="43" t="s">
        <v>25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-63.9</v>
      </c>
      <c r="P15" s="95">
        <v>1</v>
      </c>
      <c r="Q15" s="83">
        <v>-63.9</v>
      </c>
    </row>
    <row r="16" spans="1:17">
      <c r="A16" s="39" t="s">
        <v>182</v>
      </c>
      <c r="B16" s="146">
        <f>AVERAGE(B12:B15)</f>
        <v>-3.4749999999999996</v>
      </c>
      <c r="C16" s="147"/>
      <c r="E16" s="46" t="s">
        <v>62</v>
      </c>
      <c r="F16" s="43" t="s">
        <v>26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0.2</v>
      </c>
      <c r="E17" s="46" t="s">
        <v>63</v>
      </c>
      <c r="F17" s="43" t="s">
        <v>27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8</v>
      </c>
      <c r="C18" s="11">
        <f>IF(B$3=0,0,B18/B$3)</f>
        <v>0.14814814814814814</v>
      </c>
      <c r="E18" s="46" t="s">
        <v>64</v>
      </c>
      <c r="F18" s="43" t="s">
        <v>28</v>
      </c>
      <c r="G18" s="35">
        <v>0</v>
      </c>
      <c r="H18" s="108">
        <f>IF(B$22=0,0,G18/B$22)</f>
        <v>0</v>
      </c>
      <c r="I18" s="70">
        <v>1</v>
      </c>
      <c r="N18" s="89" t="s">
        <v>176</v>
      </c>
      <c r="O18" s="99">
        <f>IF(P18=0,0,Q18/P18)</f>
        <v>16.72</v>
      </c>
      <c r="P18" s="93">
        <v>5</v>
      </c>
      <c r="Q18" s="81">
        <v>83.6</v>
      </c>
    </row>
    <row r="19" spans="1:17">
      <c r="A19" s="38" t="s">
        <v>94</v>
      </c>
      <c r="B19" s="35">
        <v>7</v>
      </c>
      <c r="C19" s="30">
        <f>IF(B$3=0,0,B19/B$3)</f>
        <v>0.12962962962962962</v>
      </c>
      <c r="E19" s="46" t="s">
        <v>65</v>
      </c>
      <c r="F19" s="43" t="s">
        <v>29</v>
      </c>
      <c r="G19" s="35">
        <v>0</v>
      </c>
      <c r="H19" s="108">
        <f>IF(B$22=0,0,G19/B$22)</f>
        <v>0</v>
      </c>
      <c r="I19" s="70">
        <v>1</v>
      </c>
      <c r="N19" s="90" t="s">
        <v>174</v>
      </c>
      <c r="O19" s="100">
        <f>IF(P19=0,0,Q19/P19)</f>
        <v>11.199999999999998</v>
      </c>
      <c r="P19" s="94">
        <v>5</v>
      </c>
      <c r="Q19" s="82">
        <v>55.999999999999986</v>
      </c>
    </row>
    <row r="20" spans="1:17">
      <c r="A20" s="18" t="s">
        <v>99</v>
      </c>
      <c r="B20" s="34">
        <f>B26</f>
        <v>3</v>
      </c>
      <c r="C20" s="4">
        <f>IF(B$18=0,0,B20/B$18)</f>
        <v>0.375</v>
      </c>
      <c r="E20" s="46" t="s">
        <v>66</v>
      </c>
      <c r="F20" s="43" t="s">
        <v>30</v>
      </c>
      <c r="G20" s="35">
        <v>0</v>
      </c>
      <c r="H20" s="108">
        <f>IF(B$22=0,0,G20/B$22)</f>
        <v>0</v>
      </c>
      <c r="I20" s="70">
        <v>4</v>
      </c>
      <c r="N20" s="90" t="s">
        <v>175</v>
      </c>
      <c r="O20" s="100">
        <f>IF(P20=0,0,Q20/P20)</f>
        <v>2.9600000000000022</v>
      </c>
      <c r="P20" s="94">
        <v>5</v>
      </c>
      <c r="Q20" s="82">
        <v>14.800000000000011</v>
      </c>
    </row>
    <row r="21" spans="1:17">
      <c r="A21" s="18" t="s">
        <v>100</v>
      </c>
      <c r="B21" s="34">
        <f>B27</f>
        <v>4</v>
      </c>
      <c r="C21" s="4">
        <f>IF(B$19=0,0,B21/B$19)</f>
        <v>0.5714285714285714</v>
      </c>
      <c r="E21" s="46" t="s">
        <v>164</v>
      </c>
      <c r="F21" s="43" t="s">
        <v>167</v>
      </c>
      <c r="G21" s="35">
        <v>0</v>
      </c>
      <c r="H21" s="108">
        <f>IF(B$22=0,0,G21/B$22)</f>
        <v>0</v>
      </c>
      <c r="I21" s="70">
        <v>3</v>
      </c>
    </row>
    <row r="22" spans="1:17">
      <c r="A22" s="18" t="s">
        <v>10</v>
      </c>
      <c r="B22" s="34">
        <f>B25+B24</f>
        <v>11</v>
      </c>
      <c r="C22" s="4">
        <f>IF(B$3=0,0,B22/B$3)</f>
        <v>0.20370370370370369</v>
      </c>
      <c r="E22" s="46" t="s">
        <v>68</v>
      </c>
      <c r="F22" s="43" t="s">
        <v>32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6</v>
      </c>
      <c r="C23" s="30">
        <f>IF(B$3=0,0,B23/B$3)</f>
        <v>0.1111111111111111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6</v>
      </c>
      <c r="C24" s="30">
        <f>IF(B$22=0,0,B24/B$22)</f>
        <v>0.54545454545454541</v>
      </c>
      <c r="E24" s="46" t="s">
        <v>71</v>
      </c>
      <c r="F24" s="43" t="s">
        <v>35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5</v>
      </c>
      <c r="C25" s="30">
        <f>IF(B$22=0,0,B25/B$22)</f>
        <v>0.45454545454545453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3</v>
      </c>
      <c r="C26" s="30">
        <f>IF(B$22=0,0,B26/B$22)</f>
        <v>0.27272727272727271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4</v>
      </c>
      <c r="C27" s="30">
        <f>IF(B$22=0,0,B27/B$22)</f>
        <v>0.36363636363636365</v>
      </c>
      <c r="E27" s="46" t="s">
        <v>74</v>
      </c>
      <c r="F27" s="43" t="s">
        <v>38</v>
      </c>
      <c r="G27" s="35">
        <v>0</v>
      </c>
      <c r="H27" s="108">
        <f>IF(B$22=0,0,G27/B$22)</f>
        <v>0</v>
      </c>
      <c r="I27" s="70">
        <v>4</v>
      </c>
    </row>
    <row r="28" spans="1:17">
      <c r="A28" s="38" t="s">
        <v>148</v>
      </c>
      <c r="B28" s="35">
        <v>4</v>
      </c>
      <c r="C28" s="30">
        <f>IF(B$22=0,0,B28/B$22)</f>
        <v>0.36363636363636365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5845.454545454545</v>
      </c>
      <c r="C29" s="8">
        <v>64300</v>
      </c>
      <c r="E29" s="46" t="s">
        <v>76</v>
      </c>
      <c r="F29" s="43" t="s">
        <v>40</v>
      </c>
      <c r="G29" s="35">
        <v>0</v>
      </c>
      <c r="H29" s="108">
        <f>IF(B$22=0,0,G29/B$22)</f>
        <v>0</v>
      </c>
      <c r="I29" s="70">
        <v>3</v>
      </c>
    </row>
    <row r="30" spans="1:17">
      <c r="A30" s="39" t="s">
        <v>131</v>
      </c>
      <c r="B30" s="111">
        <f>IF($B$22-B$21=0,0,C30/($B$22-B$21))</f>
        <v>5900</v>
      </c>
      <c r="C30" s="112">
        <v>41300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5750</v>
      </c>
      <c r="C31" s="112">
        <v>23000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-5083.333333333333</v>
      </c>
      <c r="C32" s="112">
        <v>-30500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23</v>
      </c>
      <c r="C34" s="110">
        <v>1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34">
        <v>4</v>
      </c>
      <c r="C35" s="13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36">
        <v>53600</v>
      </c>
      <c r="C36" s="13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2</v>
      </c>
      <c r="C37" s="32">
        <f>IF(B$3=0,0,B37/B$3)</f>
        <v>3.7037037037037035E-2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6">
        <v>0</v>
      </c>
      <c r="C40" s="116">
        <f t="shared" ref="C40:C52" si="4">IF(B$22=0,0,B40/B$22)</f>
        <v>0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7">
        <v>0</v>
      </c>
      <c r="C42" s="30">
        <f t="shared" si="4"/>
        <v>0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7">
        <v>1</v>
      </c>
      <c r="C43" s="30">
        <f t="shared" si="4"/>
        <v>9.0909090909090912E-2</v>
      </c>
    </row>
    <row r="44" spans="1:9">
      <c r="A44" s="38" t="s">
        <v>136</v>
      </c>
      <c r="B44" s="127">
        <v>0</v>
      </c>
      <c r="C44" s="30">
        <f t="shared" si="4"/>
        <v>0</v>
      </c>
    </row>
    <row r="45" spans="1:9">
      <c r="A45" s="38" t="s">
        <v>138</v>
      </c>
      <c r="B45" s="127">
        <v>0</v>
      </c>
      <c r="C45" s="30">
        <f t="shared" si="4"/>
        <v>0</v>
      </c>
    </row>
    <row r="46" spans="1:9">
      <c r="A46" s="38" t="s">
        <v>139</v>
      </c>
      <c r="B46" s="127">
        <v>0</v>
      </c>
      <c r="C46" s="30">
        <f t="shared" si="4"/>
        <v>0</v>
      </c>
    </row>
    <row r="47" spans="1:9">
      <c r="A47" s="38" t="s">
        <v>140</v>
      </c>
      <c r="B47" s="127">
        <v>0</v>
      </c>
      <c r="C47" s="30">
        <f t="shared" si="4"/>
        <v>0</v>
      </c>
    </row>
    <row r="48" spans="1:9">
      <c r="A48" s="38" t="s">
        <v>141</v>
      </c>
      <c r="B48" s="127">
        <v>0</v>
      </c>
      <c r="C48" s="30">
        <f t="shared" si="4"/>
        <v>0</v>
      </c>
    </row>
    <row r="49" spans="1:3">
      <c r="A49" s="38" t="s">
        <v>142</v>
      </c>
      <c r="B49" s="127">
        <v>0</v>
      </c>
      <c r="C49" s="30">
        <f t="shared" si="4"/>
        <v>0</v>
      </c>
    </row>
    <row r="50" spans="1:3">
      <c r="A50" s="38" t="s">
        <v>143</v>
      </c>
      <c r="B50" s="127">
        <v>0</v>
      </c>
      <c r="C50" s="30">
        <f t="shared" si="4"/>
        <v>0</v>
      </c>
    </row>
    <row r="51" spans="1:3">
      <c r="A51" s="38" t="s">
        <v>144</v>
      </c>
      <c r="B51" s="127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C772A-3A60-4B45-97EE-83A6CF1BCA2E}">
  <sheetPr codeName="Sheet6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38" t="s">
        <v>174</v>
      </c>
      <c r="C1" s="139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0">
        <v>5</v>
      </c>
      <c r="C2" s="141"/>
      <c r="E2" s="45" t="s">
        <v>162</v>
      </c>
      <c r="F2" s="42" t="s">
        <v>154</v>
      </c>
      <c r="G2" s="34">
        <v>5</v>
      </c>
      <c r="H2" s="107">
        <f>IF(B$22=0,0,G2/B$22)</f>
        <v>0.625</v>
      </c>
      <c r="I2" s="69">
        <v>3</v>
      </c>
      <c r="K2" s="3">
        <v>0</v>
      </c>
      <c r="L2" s="74">
        <v>0</v>
      </c>
      <c r="N2" s="89" t="s">
        <v>102</v>
      </c>
      <c r="O2" s="96">
        <f t="shared" ref="O2:O9" si="0">IF(P2=0,0,Q2/P2)</f>
        <v>-1680</v>
      </c>
      <c r="P2" s="93">
        <v>5</v>
      </c>
      <c r="Q2" s="77">
        <v>-8400</v>
      </c>
    </row>
    <row r="3" spans="1:17">
      <c r="A3" s="38" t="s">
        <v>8</v>
      </c>
      <c r="B3" s="142">
        <v>54</v>
      </c>
      <c r="C3" s="143"/>
      <c r="E3" s="46" t="s">
        <v>165</v>
      </c>
      <c r="F3" s="43" t="s">
        <v>168</v>
      </c>
      <c r="G3" s="35">
        <v>5</v>
      </c>
      <c r="H3" s="108">
        <f>IF(B$22=0,0,G3/B$22)</f>
        <v>0.625</v>
      </c>
      <c r="I3" s="70">
        <v>1</v>
      </c>
      <c r="K3" s="5">
        <v>1</v>
      </c>
      <c r="L3" s="75">
        <v>-65.7</v>
      </c>
      <c r="N3" s="90" t="s">
        <v>103</v>
      </c>
      <c r="O3" s="97">
        <f t="shared" si="0"/>
        <v>200</v>
      </c>
      <c r="P3" s="94">
        <v>5</v>
      </c>
      <c r="Q3" s="78">
        <v>1000</v>
      </c>
    </row>
    <row r="4" spans="1:17">
      <c r="A4" s="38" t="s">
        <v>6</v>
      </c>
      <c r="B4" s="144">
        <v>-19.899999999999991</v>
      </c>
      <c r="C4" s="145"/>
      <c r="E4" s="46" t="s">
        <v>54</v>
      </c>
      <c r="F4" s="43" t="s">
        <v>20</v>
      </c>
      <c r="G4" s="35">
        <v>3</v>
      </c>
      <c r="H4" s="108">
        <f>IF(B$22=0,0,G4/B$22)</f>
        <v>0.375</v>
      </c>
      <c r="I4" s="70">
        <v>5</v>
      </c>
      <c r="K4" s="5">
        <v>2</v>
      </c>
      <c r="L4" s="75">
        <v>-1</v>
      </c>
      <c r="N4" s="90" t="s">
        <v>104</v>
      </c>
      <c r="O4" s="97">
        <f t="shared" si="0"/>
        <v>-1700</v>
      </c>
      <c r="P4" s="94">
        <v>5</v>
      </c>
      <c r="Q4" s="78">
        <v>-8500</v>
      </c>
    </row>
    <row r="5" spans="1:17">
      <c r="A5" s="38" t="s">
        <v>7</v>
      </c>
      <c r="B5" s="146">
        <f>IF(B$2=0,0,B$4/B$2)</f>
        <v>-3.9799999999999982</v>
      </c>
      <c r="C5" s="147"/>
      <c r="E5" s="46" t="s">
        <v>56</v>
      </c>
      <c r="F5" s="43" t="s">
        <v>166</v>
      </c>
      <c r="G5" s="35">
        <v>2</v>
      </c>
      <c r="H5" s="108">
        <f>IF(B$22=0,0,G5/B$22)</f>
        <v>0.25</v>
      </c>
      <c r="I5" s="70">
        <v>2</v>
      </c>
      <c r="K5" s="5">
        <v>3</v>
      </c>
      <c r="L5" s="75">
        <v>-32.4</v>
      </c>
      <c r="N5" s="90" t="s">
        <v>155</v>
      </c>
      <c r="O5" s="97">
        <f>IF(P5=0,0,Q5/P5)</f>
        <v>-740</v>
      </c>
      <c r="P5" s="94">
        <v>5</v>
      </c>
      <c r="Q5" s="78">
        <v>-3700</v>
      </c>
    </row>
    <row r="6" spans="1:17">
      <c r="A6" s="38" t="s">
        <v>1</v>
      </c>
      <c r="B6" s="148">
        <f>IF(B$2=0,0,(B$7*1+B$8*2+B$9*3+B$10*4)/B$2)</f>
        <v>2.6</v>
      </c>
      <c r="C6" s="149"/>
      <c r="E6" s="46" t="s">
        <v>57</v>
      </c>
      <c r="F6" s="43" t="s">
        <v>21</v>
      </c>
      <c r="G6" s="35">
        <v>2</v>
      </c>
      <c r="H6" s="108">
        <f>IF(B$22=0,0,G6/B$22)</f>
        <v>0.25</v>
      </c>
      <c r="I6" s="70">
        <v>2</v>
      </c>
      <c r="K6" s="5">
        <v>4</v>
      </c>
      <c r="L6" s="75">
        <v>-83.6</v>
      </c>
      <c r="N6" s="90" t="s">
        <v>105</v>
      </c>
      <c r="O6" s="97">
        <f t="shared" ref="O6" si="1">IF(P6=0,0,Q6/P6)</f>
        <v>-2820</v>
      </c>
      <c r="P6" s="94">
        <v>5</v>
      </c>
      <c r="Q6" s="78">
        <v>-14100</v>
      </c>
    </row>
    <row r="7" spans="1:17">
      <c r="A7" s="38" t="s">
        <v>2</v>
      </c>
      <c r="B7" s="35">
        <v>2</v>
      </c>
      <c r="C7" s="30">
        <f t="shared" ref="C7:C17" si="2">IF(B$2=0,0,B7/B$2)</f>
        <v>0.4</v>
      </c>
      <c r="E7" s="46" t="s">
        <v>60</v>
      </c>
      <c r="F7" s="43" t="s">
        <v>24</v>
      </c>
      <c r="G7" s="35">
        <v>2</v>
      </c>
      <c r="H7" s="108">
        <f>IF(B$22=0,0,G7/B$22)</f>
        <v>0.25</v>
      </c>
      <c r="I7" s="70">
        <v>2</v>
      </c>
      <c r="K7" s="5">
        <v>5</v>
      </c>
      <c r="L7" s="75">
        <v>-19.899999999999991</v>
      </c>
      <c r="N7" s="90" t="s">
        <v>106</v>
      </c>
      <c r="O7" s="97">
        <f t="shared" si="0"/>
        <v>-2000</v>
      </c>
      <c r="P7" s="94">
        <v>5</v>
      </c>
      <c r="Q7" s="78">
        <v>-10000</v>
      </c>
    </row>
    <row r="8" spans="1:17">
      <c r="A8" s="38" t="s">
        <v>3</v>
      </c>
      <c r="B8" s="35">
        <v>0</v>
      </c>
      <c r="C8" s="30">
        <f>IF(B$2=0,0,B8/B$2)</f>
        <v>0</v>
      </c>
      <c r="E8" s="46" t="s">
        <v>163</v>
      </c>
      <c r="F8" s="43" t="s">
        <v>19</v>
      </c>
      <c r="G8" s="35">
        <v>1</v>
      </c>
      <c r="H8" s="108">
        <f>IF(B$22=0,0,G8/B$22)</f>
        <v>0.125</v>
      </c>
      <c r="I8" s="70">
        <v>4</v>
      </c>
      <c r="N8" s="90" t="s">
        <v>107</v>
      </c>
      <c r="O8" s="97">
        <f t="shared" si="0"/>
        <v>6580</v>
      </c>
      <c r="P8" s="94">
        <v>5</v>
      </c>
      <c r="Q8" s="78">
        <v>32900</v>
      </c>
    </row>
    <row r="9" spans="1:17">
      <c r="A9" s="39" t="s">
        <v>4</v>
      </c>
      <c r="B9" s="36">
        <v>1</v>
      </c>
      <c r="C9" s="31">
        <f>IF(B$2=0,0,B9/B$2)</f>
        <v>0.2</v>
      </c>
      <c r="E9" s="46" t="s">
        <v>55</v>
      </c>
      <c r="F9" s="43" t="s">
        <v>153</v>
      </c>
      <c r="G9" s="35">
        <v>1</v>
      </c>
      <c r="H9" s="108">
        <f>IF(B$22=0,0,G9/B$22)</f>
        <v>0.125</v>
      </c>
      <c r="I9" s="70">
        <v>4</v>
      </c>
      <c r="N9" s="91" t="s">
        <v>156</v>
      </c>
      <c r="O9" s="98">
        <f t="shared" si="0"/>
        <v>-2820</v>
      </c>
      <c r="P9" s="95">
        <v>5</v>
      </c>
      <c r="Q9" s="79">
        <v>-14100</v>
      </c>
    </row>
    <row r="10" spans="1:17">
      <c r="A10" s="39" t="s">
        <v>150</v>
      </c>
      <c r="B10" s="36">
        <v>2</v>
      </c>
      <c r="C10" s="31">
        <f>IF(B$2=0,0,B10/B$2)</f>
        <v>0.4</v>
      </c>
      <c r="E10" s="46" t="s">
        <v>59</v>
      </c>
      <c r="F10" s="43" t="s">
        <v>23</v>
      </c>
      <c r="G10" s="35">
        <v>1</v>
      </c>
      <c r="H10" s="108">
        <f>IF(B$22=0,0,G10/B$22)</f>
        <v>0.125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2</v>
      </c>
      <c r="C11" s="31">
        <f>IF(B$2=0,0,B11/B$2)</f>
        <v>0.4</v>
      </c>
      <c r="E11" s="46" t="s">
        <v>74</v>
      </c>
      <c r="F11" s="43" t="s">
        <v>38</v>
      </c>
      <c r="G11" s="35">
        <v>1</v>
      </c>
      <c r="H11" s="108">
        <f>IF(B$22=0,0,G11/B$22)</f>
        <v>0.125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183</v>
      </c>
      <c r="B12" s="152">
        <f>IF(B7=0,0,C12/B7)</f>
        <v>64.2</v>
      </c>
      <c r="C12" s="153">
        <v>128.4</v>
      </c>
      <c r="E12" s="46" t="s">
        <v>58</v>
      </c>
      <c r="F12" s="43" t="s">
        <v>22</v>
      </c>
      <c r="G12" s="35">
        <v>0</v>
      </c>
      <c r="H12" s="108">
        <f>IF(B$22=0,0,G12/B$22)</f>
        <v>0</v>
      </c>
      <c r="I12" s="70">
        <v>5</v>
      </c>
      <c r="N12" s="89" t="s">
        <v>124</v>
      </c>
      <c r="O12" s="99">
        <f>IF(P12=0,0,Q12/P12)</f>
        <v>-31.4</v>
      </c>
      <c r="P12" s="93">
        <v>1</v>
      </c>
      <c r="Q12" s="81">
        <v>-31.4</v>
      </c>
    </row>
    <row r="13" spans="1:17">
      <c r="A13" s="39" t="s">
        <v>184</v>
      </c>
      <c r="B13" s="152">
        <f t="shared" ref="B13:B14" si="3">IF(B8=0,0,C13/B8)</f>
        <v>0</v>
      </c>
      <c r="C13" s="153">
        <v>0</v>
      </c>
      <c r="E13" s="46" t="s">
        <v>61</v>
      </c>
      <c r="F13" s="43" t="s">
        <v>25</v>
      </c>
      <c r="G13" s="35">
        <v>0</v>
      </c>
      <c r="H13" s="108">
        <f>IF(B$22=0,0,G13/B$22)</f>
        <v>0</v>
      </c>
      <c r="I13" s="70">
        <v>1</v>
      </c>
      <c r="N13" s="90" t="s">
        <v>125</v>
      </c>
      <c r="O13" s="100">
        <f>IF(P13=0,0,Q13/P13)</f>
        <v>-58.45</v>
      </c>
      <c r="P13" s="94">
        <v>2</v>
      </c>
      <c r="Q13" s="82">
        <v>-116.9</v>
      </c>
    </row>
    <row r="14" spans="1:17">
      <c r="A14" s="39" t="s">
        <v>185</v>
      </c>
      <c r="B14" s="152">
        <f t="shared" si="3"/>
        <v>-31.4</v>
      </c>
      <c r="C14" s="153">
        <v>-31.4</v>
      </c>
      <c r="E14" s="46" t="s">
        <v>62</v>
      </c>
      <c r="F14" s="43" t="s">
        <v>26</v>
      </c>
      <c r="G14" s="35">
        <v>0</v>
      </c>
      <c r="H14" s="108">
        <f>IF(B$22=0,0,G14/B$22)</f>
        <v>0</v>
      </c>
      <c r="I14" s="70">
        <v>1</v>
      </c>
      <c r="N14" s="90" t="s">
        <v>126</v>
      </c>
      <c r="O14" s="100">
        <f>IF(P14=0,0,Q14/P14)</f>
        <v>64.2</v>
      </c>
      <c r="P14" s="94">
        <v>2</v>
      </c>
      <c r="Q14" s="82">
        <v>128.4</v>
      </c>
    </row>
    <row r="15" spans="1:17">
      <c r="A15" s="39" t="s">
        <v>186</v>
      </c>
      <c r="B15" s="152">
        <f>IF(B10=0,0,C15/B10)</f>
        <v>-58.45</v>
      </c>
      <c r="C15" s="153">
        <v>-116.9</v>
      </c>
      <c r="E15" s="46" t="s">
        <v>63</v>
      </c>
      <c r="F15" s="43" t="s">
        <v>27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39" t="s">
        <v>182</v>
      </c>
      <c r="B16" s="146">
        <f>AVERAGE(B12:B15)</f>
        <v>-6.4124999999999996</v>
      </c>
      <c r="C16" s="147"/>
      <c r="E16" s="46" t="s">
        <v>64</v>
      </c>
      <c r="F16" s="43" t="s">
        <v>28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0.2</v>
      </c>
      <c r="E17" s="46" t="s">
        <v>65</v>
      </c>
      <c r="F17" s="43" t="s">
        <v>29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12</v>
      </c>
      <c r="C18" s="11">
        <f>IF(B$3=0,0,B18/B$3)</f>
        <v>0.22222222222222221</v>
      </c>
      <c r="E18" s="46" t="s">
        <v>66</v>
      </c>
      <c r="F18" s="43" t="s">
        <v>30</v>
      </c>
      <c r="G18" s="35">
        <v>0</v>
      </c>
      <c r="H18" s="108">
        <f>IF(B$22=0,0,G18/B$22)</f>
        <v>0</v>
      </c>
      <c r="I18" s="70">
        <v>4</v>
      </c>
      <c r="N18" s="89" t="s">
        <v>176</v>
      </c>
      <c r="O18" s="99">
        <f>IF(P18=0,0,Q18/P18)</f>
        <v>5.5199999999999987</v>
      </c>
      <c r="P18" s="93">
        <v>5</v>
      </c>
      <c r="Q18" s="81">
        <v>27.599999999999994</v>
      </c>
    </row>
    <row r="19" spans="1:17">
      <c r="A19" s="38" t="s">
        <v>94</v>
      </c>
      <c r="B19" s="35">
        <v>12</v>
      </c>
      <c r="C19" s="30">
        <f>IF(B$3=0,0,B19/B$3)</f>
        <v>0.22222222222222221</v>
      </c>
      <c r="E19" s="46" t="s">
        <v>67</v>
      </c>
      <c r="F19" s="43" t="s">
        <v>31</v>
      </c>
      <c r="G19" s="35">
        <v>0</v>
      </c>
      <c r="H19" s="108">
        <f>IF(B$22=0,0,G19/B$22)</f>
        <v>0</v>
      </c>
      <c r="I19" s="70">
        <v>3</v>
      </c>
      <c r="N19" s="90" t="s">
        <v>175</v>
      </c>
      <c r="O19" s="100">
        <f>IF(P19=0,0,Q19/P19)</f>
        <v>-8.24</v>
      </c>
      <c r="P19" s="94">
        <v>5</v>
      </c>
      <c r="Q19" s="82">
        <v>-41.2</v>
      </c>
    </row>
    <row r="20" spans="1:17">
      <c r="A20" s="18" t="s">
        <v>99</v>
      </c>
      <c r="B20" s="34">
        <f>B26</f>
        <v>5</v>
      </c>
      <c r="C20" s="4">
        <f>IF(B$18=0,0,B20/B$18)</f>
        <v>0.41666666666666669</v>
      </c>
      <c r="E20" s="46" t="s">
        <v>164</v>
      </c>
      <c r="F20" s="43" t="s">
        <v>167</v>
      </c>
      <c r="G20" s="35">
        <v>0</v>
      </c>
      <c r="H20" s="108">
        <f>IF(B$22=0,0,G20/B$22)</f>
        <v>0</v>
      </c>
      <c r="I20" s="70">
        <v>3</v>
      </c>
      <c r="N20" s="90" t="s">
        <v>177</v>
      </c>
      <c r="O20" s="100">
        <f>IF(P20=0,0,Q20/P20)</f>
        <v>-11.199999999999998</v>
      </c>
      <c r="P20" s="94">
        <v>5</v>
      </c>
      <c r="Q20" s="82">
        <v>-55.999999999999986</v>
      </c>
    </row>
    <row r="21" spans="1:17">
      <c r="A21" s="18" t="s">
        <v>100</v>
      </c>
      <c r="B21" s="34">
        <f>B27</f>
        <v>2</v>
      </c>
      <c r="C21" s="4">
        <f>IF(B$19=0,0,B21/B$19)</f>
        <v>0.16666666666666666</v>
      </c>
      <c r="E21" s="46" t="s">
        <v>68</v>
      </c>
      <c r="F21" s="43" t="s">
        <v>32</v>
      </c>
      <c r="G21" s="35">
        <v>0</v>
      </c>
      <c r="H21" s="108">
        <f>IF(B$22=0,0,G21/B$22)</f>
        <v>0</v>
      </c>
      <c r="I21" s="70">
        <v>1</v>
      </c>
    </row>
    <row r="22" spans="1:17">
      <c r="A22" s="18" t="s">
        <v>10</v>
      </c>
      <c r="B22" s="34">
        <f>B25+B24</f>
        <v>8</v>
      </c>
      <c r="C22" s="4">
        <f>IF(B$3=0,0,B22/B$3)</f>
        <v>0.14814814814814814</v>
      </c>
      <c r="E22" s="46" t="s">
        <v>69</v>
      </c>
      <c r="F22" s="43" t="s">
        <v>33</v>
      </c>
      <c r="G22" s="35">
        <v>0</v>
      </c>
      <c r="H22" s="108">
        <f>IF(B$22=0,0,G22/B$22)</f>
        <v>0</v>
      </c>
      <c r="I22" s="70">
        <v>3</v>
      </c>
    </row>
    <row r="23" spans="1:17">
      <c r="A23" s="38" t="s">
        <v>13</v>
      </c>
      <c r="B23" s="35">
        <v>9</v>
      </c>
      <c r="C23" s="30">
        <f>IF(B$3=0,0,B23/B$3)</f>
        <v>0.16666666666666666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3</v>
      </c>
      <c r="C24" s="30">
        <f>IF(B$22=0,0,B24/B$22)</f>
        <v>0.375</v>
      </c>
      <c r="E24" s="46" t="s">
        <v>71</v>
      </c>
      <c r="F24" s="43" t="s">
        <v>35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5</v>
      </c>
      <c r="C25" s="30">
        <f>IF(B$22=0,0,B25/B$22)</f>
        <v>0.625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5</v>
      </c>
      <c r="C26" s="30">
        <f>IF(B$22=0,0,B26/B$22)</f>
        <v>0.625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2</v>
      </c>
      <c r="C27" s="30">
        <f>IF(B$22=0,0,B27/B$22)</f>
        <v>0.25</v>
      </c>
      <c r="E27" s="46" t="s">
        <v>75</v>
      </c>
      <c r="F27" s="43" t="s">
        <v>39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1</v>
      </c>
      <c r="C28" s="30">
        <f>IF(B$22=0,0,B28/B$22)</f>
        <v>0.125</v>
      </c>
      <c r="E28" s="46" t="s">
        <v>76</v>
      </c>
      <c r="F28" s="43" t="s">
        <v>40</v>
      </c>
      <c r="G28" s="35">
        <v>0</v>
      </c>
      <c r="H28" s="108">
        <f>IF(B$22=0,0,G28/B$22)</f>
        <v>0</v>
      </c>
      <c r="I28" s="70">
        <v>3</v>
      </c>
    </row>
    <row r="29" spans="1:17">
      <c r="A29" s="38" t="s">
        <v>5</v>
      </c>
      <c r="B29" s="16">
        <f>IF(B$22=0,0,C29/B$22)</f>
        <v>6862.5</v>
      </c>
      <c r="C29" s="8">
        <v>54900</v>
      </c>
      <c r="E29" s="46" t="s">
        <v>77</v>
      </c>
      <c r="F29" s="43" t="s">
        <v>41</v>
      </c>
      <c r="G29" s="35">
        <v>0</v>
      </c>
      <c r="H29" s="108">
        <f>IF(B$22=0,0,G29/B$22)</f>
        <v>0</v>
      </c>
      <c r="I29" s="70">
        <v>4</v>
      </c>
    </row>
    <row r="30" spans="1:17">
      <c r="A30" s="39" t="s">
        <v>131</v>
      </c>
      <c r="B30" s="111">
        <f>IF($B$22-B$21=0,0,C30/($B$22-B$21))</f>
        <v>8483.3333333333339</v>
      </c>
      <c r="C30" s="112">
        <v>50900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2000</v>
      </c>
      <c r="C31" s="112">
        <v>4000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-6022.2222222222226</v>
      </c>
      <c r="C32" s="112">
        <v>-54200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4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16</v>
      </c>
      <c r="C34" s="110">
        <v>2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34">
        <v>3</v>
      </c>
      <c r="C35" s="13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36">
        <v>44700</v>
      </c>
      <c r="C36" s="13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1</v>
      </c>
      <c r="C37" s="32">
        <f>IF(B$3=0,0,B37/B$3)</f>
        <v>1.8518518518518517E-2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6">
        <v>0</v>
      </c>
      <c r="C40" s="116">
        <f t="shared" ref="C40:C52" si="4">IF(B$22=0,0,B40/B$22)</f>
        <v>0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7">
        <v>0</v>
      </c>
      <c r="C42" s="30">
        <f t="shared" si="4"/>
        <v>0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7">
        <v>0</v>
      </c>
      <c r="C43" s="30">
        <f t="shared" si="4"/>
        <v>0</v>
      </c>
    </row>
    <row r="44" spans="1:9">
      <c r="A44" s="38" t="s">
        <v>136</v>
      </c>
      <c r="B44" s="127">
        <v>0</v>
      </c>
      <c r="C44" s="30">
        <f t="shared" si="4"/>
        <v>0</v>
      </c>
    </row>
    <row r="45" spans="1:9">
      <c r="A45" s="38" t="s">
        <v>138</v>
      </c>
      <c r="B45" s="127">
        <v>0</v>
      </c>
      <c r="C45" s="30">
        <f t="shared" si="4"/>
        <v>0</v>
      </c>
    </row>
    <row r="46" spans="1:9">
      <c r="A46" s="38" t="s">
        <v>139</v>
      </c>
      <c r="B46" s="127">
        <v>0</v>
      </c>
      <c r="C46" s="30">
        <f t="shared" si="4"/>
        <v>0</v>
      </c>
    </row>
    <row r="47" spans="1:9">
      <c r="A47" s="38" t="s">
        <v>140</v>
      </c>
      <c r="B47" s="127">
        <v>1</v>
      </c>
      <c r="C47" s="30">
        <f t="shared" si="4"/>
        <v>0.125</v>
      </c>
    </row>
    <row r="48" spans="1:9">
      <c r="A48" s="38" t="s">
        <v>141</v>
      </c>
      <c r="B48" s="127">
        <v>0</v>
      </c>
      <c r="C48" s="30">
        <f t="shared" si="4"/>
        <v>0</v>
      </c>
    </row>
    <row r="49" spans="1:3">
      <c r="A49" s="38" t="s">
        <v>142</v>
      </c>
      <c r="B49" s="127">
        <v>0</v>
      </c>
      <c r="C49" s="30">
        <f t="shared" si="4"/>
        <v>0</v>
      </c>
    </row>
    <row r="50" spans="1:3">
      <c r="A50" s="38" t="s">
        <v>143</v>
      </c>
      <c r="B50" s="127">
        <v>0</v>
      </c>
      <c r="C50" s="30">
        <f t="shared" si="4"/>
        <v>0</v>
      </c>
    </row>
    <row r="51" spans="1:3">
      <c r="A51" s="38" t="s">
        <v>144</v>
      </c>
      <c r="B51" s="127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75E1-4318-4F21-8641-4D5F265028F2}">
  <sheetPr codeName="Sheet7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38" t="s">
        <v>175</v>
      </c>
      <c r="C1" s="139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0">
        <v>5</v>
      </c>
      <c r="C2" s="141"/>
      <c r="E2" s="45" t="s">
        <v>54</v>
      </c>
      <c r="F2" s="42" t="s">
        <v>20</v>
      </c>
      <c r="G2" s="34">
        <v>11</v>
      </c>
      <c r="H2" s="107">
        <f>IF(B$22=0,0,G2/B$22)</f>
        <v>1.1000000000000001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4900</v>
      </c>
      <c r="P2" s="93">
        <v>5</v>
      </c>
      <c r="Q2" s="77">
        <v>24500</v>
      </c>
    </row>
    <row r="3" spans="1:17">
      <c r="A3" s="38" t="s">
        <v>8</v>
      </c>
      <c r="B3" s="142">
        <v>54</v>
      </c>
      <c r="C3" s="143"/>
      <c r="E3" s="46" t="s">
        <v>162</v>
      </c>
      <c r="F3" s="43" t="s">
        <v>154</v>
      </c>
      <c r="G3" s="35">
        <v>9</v>
      </c>
      <c r="H3" s="108">
        <f>IF(B$22=0,0,G3/B$22)</f>
        <v>0.9</v>
      </c>
      <c r="I3" s="70">
        <v>1</v>
      </c>
      <c r="K3" s="5">
        <v>1</v>
      </c>
      <c r="L3" s="75">
        <v>-16.399999999999999</v>
      </c>
      <c r="N3" s="90" t="s">
        <v>103</v>
      </c>
      <c r="O3" s="97">
        <f t="shared" si="0"/>
        <v>-840</v>
      </c>
      <c r="P3" s="94">
        <v>5</v>
      </c>
      <c r="Q3" s="78">
        <v>-4200</v>
      </c>
    </row>
    <row r="4" spans="1:17">
      <c r="A4" s="38" t="s">
        <v>6</v>
      </c>
      <c r="B4" s="144">
        <v>21.299999999999997</v>
      </c>
      <c r="C4" s="145"/>
      <c r="E4" s="46" t="s">
        <v>57</v>
      </c>
      <c r="F4" s="43" t="s">
        <v>21</v>
      </c>
      <c r="G4" s="35">
        <v>5</v>
      </c>
      <c r="H4" s="108">
        <f>IF(B$22=0,0,G4/B$22)</f>
        <v>0.5</v>
      </c>
      <c r="I4" s="70">
        <v>1</v>
      </c>
      <c r="K4" s="5">
        <v>2</v>
      </c>
      <c r="L4" s="75">
        <v>-2.9999999999999982</v>
      </c>
      <c r="N4" s="90" t="s">
        <v>104</v>
      </c>
      <c r="O4" s="97">
        <f t="shared" si="0"/>
        <v>-2080</v>
      </c>
      <c r="P4" s="94">
        <v>5</v>
      </c>
      <c r="Q4" s="78">
        <v>-10400</v>
      </c>
    </row>
    <row r="5" spans="1:17">
      <c r="A5" s="38" t="s">
        <v>7</v>
      </c>
      <c r="B5" s="146">
        <f>IF(B$2=0,0,B$4/B$2)</f>
        <v>4.26</v>
      </c>
      <c r="C5" s="147"/>
      <c r="E5" s="46" t="s">
        <v>163</v>
      </c>
      <c r="F5" s="43" t="s">
        <v>19</v>
      </c>
      <c r="G5" s="35">
        <v>4</v>
      </c>
      <c r="H5" s="108">
        <f>IF(B$22=0,0,G5/B$22)</f>
        <v>0.4</v>
      </c>
      <c r="I5" s="70">
        <v>1</v>
      </c>
      <c r="K5" s="5">
        <v>3</v>
      </c>
      <c r="L5" s="75">
        <v>-57.2</v>
      </c>
      <c r="N5" s="90" t="s">
        <v>155</v>
      </c>
      <c r="O5" s="97">
        <f>IF(P5=0,0,Q5/P5)</f>
        <v>-280</v>
      </c>
      <c r="P5" s="94">
        <v>5</v>
      </c>
      <c r="Q5" s="78">
        <v>-1400</v>
      </c>
    </row>
    <row r="6" spans="1:17">
      <c r="A6" s="38" t="s">
        <v>1</v>
      </c>
      <c r="B6" s="148">
        <f>IF(B$2=0,0,(B$7*1+B$8*2+B$9*3+B$10*4)/B$2)</f>
        <v>2.4</v>
      </c>
      <c r="C6" s="149"/>
      <c r="E6" s="46" t="s">
        <v>165</v>
      </c>
      <c r="F6" s="43" t="s">
        <v>168</v>
      </c>
      <c r="G6" s="35">
        <v>4</v>
      </c>
      <c r="H6" s="108">
        <f>IF(B$22=0,0,G6/B$22)</f>
        <v>0.4</v>
      </c>
      <c r="I6" s="70">
        <v>4</v>
      </c>
      <c r="K6" s="5">
        <v>4</v>
      </c>
      <c r="L6" s="75">
        <v>1.2999999999999972</v>
      </c>
      <c r="N6" s="90" t="s">
        <v>105</v>
      </c>
      <c r="O6" s="97">
        <f t="shared" ref="O6" si="1">IF(P6=0,0,Q6/P6)</f>
        <v>3660</v>
      </c>
      <c r="P6" s="94">
        <v>5</v>
      </c>
      <c r="Q6" s="78">
        <v>18300</v>
      </c>
    </row>
    <row r="7" spans="1:17">
      <c r="A7" s="38" t="s">
        <v>2</v>
      </c>
      <c r="B7" s="35">
        <v>1</v>
      </c>
      <c r="C7" s="30">
        <f t="shared" ref="C7:C17" si="2">IF(B$2=0,0,B7/B$2)</f>
        <v>0.2</v>
      </c>
      <c r="E7" s="46" t="s">
        <v>55</v>
      </c>
      <c r="F7" s="43" t="s">
        <v>153</v>
      </c>
      <c r="G7" s="35">
        <v>3</v>
      </c>
      <c r="H7" s="108">
        <f>IF(B$22=0,0,G7/B$22)</f>
        <v>0.3</v>
      </c>
      <c r="I7" s="70">
        <v>1</v>
      </c>
      <c r="K7" s="5">
        <v>5</v>
      </c>
      <c r="L7" s="75">
        <v>21.299999999999997</v>
      </c>
      <c r="N7" s="90" t="s">
        <v>106</v>
      </c>
      <c r="O7" s="97">
        <f t="shared" si="0"/>
        <v>1720</v>
      </c>
      <c r="P7" s="94">
        <v>5</v>
      </c>
      <c r="Q7" s="78">
        <v>8600</v>
      </c>
    </row>
    <row r="8" spans="1:17">
      <c r="A8" s="38" t="s">
        <v>3</v>
      </c>
      <c r="B8" s="35">
        <v>2</v>
      </c>
      <c r="C8" s="30">
        <f>IF(B$2=0,0,B8/B$2)</f>
        <v>0.4</v>
      </c>
      <c r="E8" s="46" t="s">
        <v>56</v>
      </c>
      <c r="F8" s="43" t="s">
        <v>166</v>
      </c>
      <c r="G8" s="35">
        <v>2</v>
      </c>
      <c r="H8" s="108">
        <f>IF(B$22=0,0,G8/B$22)</f>
        <v>0.2</v>
      </c>
      <c r="I8" s="70">
        <v>4</v>
      </c>
      <c r="N8" s="90" t="s">
        <v>107</v>
      </c>
      <c r="O8" s="97">
        <f t="shared" si="0"/>
        <v>-3820</v>
      </c>
      <c r="P8" s="94">
        <v>5</v>
      </c>
      <c r="Q8" s="78">
        <v>-19100</v>
      </c>
    </row>
    <row r="9" spans="1:17">
      <c r="A9" s="39" t="s">
        <v>4</v>
      </c>
      <c r="B9" s="36">
        <v>1</v>
      </c>
      <c r="C9" s="31">
        <f>IF(B$2=0,0,B9/B$2)</f>
        <v>0.2</v>
      </c>
      <c r="E9" s="46" t="s">
        <v>58</v>
      </c>
      <c r="F9" s="43" t="s">
        <v>22</v>
      </c>
      <c r="G9" s="35">
        <v>1</v>
      </c>
      <c r="H9" s="108">
        <f>IF(B$22=0,0,G9/B$22)</f>
        <v>0.1</v>
      </c>
      <c r="I9" s="70">
        <v>4</v>
      </c>
      <c r="N9" s="91" t="s">
        <v>156</v>
      </c>
      <c r="O9" s="98">
        <f t="shared" si="0"/>
        <v>0</v>
      </c>
      <c r="P9" s="95">
        <v>5</v>
      </c>
      <c r="Q9" s="79">
        <v>0</v>
      </c>
    </row>
    <row r="10" spans="1:17">
      <c r="A10" s="39" t="s">
        <v>150</v>
      </c>
      <c r="B10" s="36">
        <v>1</v>
      </c>
      <c r="C10" s="31">
        <f>IF(B$2=0,0,B10/B$2)</f>
        <v>0.2</v>
      </c>
      <c r="E10" s="46" t="s">
        <v>66</v>
      </c>
      <c r="F10" s="43" t="s">
        <v>30</v>
      </c>
      <c r="G10" s="35">
        <v>1</v>
      </c>
      <c r="H10" s="108">
        <f>IF(B$22=0,0,G10/B$22)</f>
        <v>0.1</v>
      </c>
      <c r="I10" s="70">
        <v>1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0.6</v>
      </c>
      <c r="E11" s="46" t="s">
        <v>164</v>
      </c>
      <c r="F11" s="43" t="s">
        <v>167</v>
      </c>
      <c r="G11" s="35">
        <v>1</v>
      </c>
      <c r="H11" s="108">
        <f>IF(B$22=0,0,G11/B$22)</f>
        <v>0.1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183</v>
      </c>
      <c r="B12" s="152">
        <f>IF(B7=0,0,C12/B7)</f>
        <v>58.5</v>
      </c>
      <c r="C12" s="153">
        <v>58.5</v>
      </c>
      <c r="E12" s="46" t="s">
        <v>76</v>
      </c>
      <c r="F12" s="43" t="s">
        <v>40</v>
      </c>
      <c r="G12" s="35">
        <v>1</v>
      </c>
      <c r="H12" s="108">
        <f>IF(B$22=0,0,G12/B$22)</f>
        <v>0.1</v>
      </c>
      <c r="I12" s="70">
        <v>1</v>
      </c>
      <c r="N12" s="89" t="s">
        <v>124</v>
      </c>
      <c r="O12" s="99">
        <f>IF(P12=0,0,Q12/P12)</f>
        <v>16.7</v>
      </c>
      <c r="P12" s="93">
        <v>2</v>
      </c>
      <c r="Q12" s="81">
        <v>33.4</v>
      </c>
    </row>
    <row r="13" spans="1:17">
      <c r="A13" s="39" t="s">
        <v>184</v>
      </c>
      <c r="B13" s="152">
        <f t="shared" ref="B13:B14" si="3">IF(B8=0,0,C13/B8)</f>
        <v>16.7</v>
      </c>
      <c r="C13" s="153">
        <v>33.4</v>
      </c>
      <c r="E13" s="46" t="s">
        <v>59</v>
      </c>
      <c r="F13" s="43" t="s">
        <v>23</v>
      </c>
      <c r="G13" s="35">
        <v>0</v>
      </c>
      <c r="H13" s="108">
        <f>IF(B$22=0,0,G13/B$22)</f>
        <v>0</v>
      </c>
      <c r="I13" s="70">
        <v>5</v>
      </c>
      <c r="N13" s="90" t="s">
        <v>125</v>
      </c>
      <c r="O13" s="100">
        <f>IF(P13=0,0,Q13/P13)</f>
        <v>-54.2</v>
      </c>
      <c r="P13" s="94">
        <v>1</v>
      </c>
      <c r="Q13" s="82">
        <v>-54.2</v>
      </c>
    </row>
    <row r="14" spans="1:17">
      <c r="A14" s="39" t="s">
        <v>185</v>
      </c>
      <c r="B14" s="152">
        <f t="shared" si="3"/>
        <v>-16.399999999999999</v>
      </c>
      <c r="C14" s="153">
        <v>-16.399999999999999</v>
      </c>
      <c r="E14" s="46" t="s">
        <v>60</v>
      </c>
      <c r="F14" s="43" t="s">
        <v>24</v>
      </c>
      <c r="G14" s="35">
        <v>0</v>
      </c>
      <c r="H14" s="108">
        <f>IF(B$22=0,0,G14/B$22)</f>
        <v>0</v>
      </c>
      <c r="I14" s="70">
        <v>5</v>
      </c>
      <c r="N14" s="90" t="s">
        <v>126</v>
      </c>
      <c r="O14" s="100">
        <f>IF(P14=0,0,Q14/P14)</f>
        <v>-16.399999999999999</v>
      </c>
      <c r="P14" s="94">
        <v>1</v>
      </c>
      <c r="Q14" s="82">
        <v>-16.399999999999999</v>
      </c>
    </row>
    <row r="15" spans="1:17">
      <c r="A15" s="39" t="s">
        <v>186</v>
      </c>
      <c r="B15" s="152">
        <f>IF(B10=0,0,C15/B10)</f>
        <v>-54.2</v>
      </c>
      <c r="C15" s="153">
        <v>-54.2</v>
      </c>
      <c r="E15" s="46" t="s">
        <v>61</v>
      </c>
      <c r="F15" s="43" t="s">
        <v>25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58.5</v>
      </c>
      <c r="P15" s="95">
        <v>1</v>
      </c>
      <c r="Q15" s="83">
        <v>58.5</v>
      </c>
    </row>
    <row r="16" spans="1:17">
      <c r="A16" s="39" t="s">
        <v>182</v>
      </c>
      <c r="B16" s="146">
        <f>AVERAGE(B12:B15)</f>
        <v>1.1500000000000004</v>
      </c>
      <c r="C16" s="147"/>
      <c r="E16" s="46" t="s">
        <v>62</v>
      </c>
      <c r="F16" s="43" t="s">
        <v>26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2"/>
        <v>0</v>
      </c>
      <c r="E17" s="46" t="s">
        <v>63</v>
      </c>
      <c r="F17" s="43" t="s">
        <v>27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12</v>
      </c>
      <c r="C18" s="11">
        <f>IF(B$3=0,0,B18/B$3)</f>
        <v>0.22222222222222221</v>
      </c>
      <c r="E18" s="46" t="s">
        <v>64</v>
      </c>
      <c r="F18" s="43" t="s">
        <v>28</v>
      </c>
      <c r="G18" s="35">
        <v>0</v>
      </c>
      <c r="H18" s="108">
        <f>IF(B$22=0,0,G18/B$22)</f>
        <v>0</v>
      </c>
      <c r="I18" s="70">
        <v>1</v>
      </c>
      <c r="N18" s="89" t="s">
        <v>176</v>
      </c>
      <c r="O18" s="99">
        <f>IF(P18=0,0,Q18/P18)</f>
        <v>13.76</v>
      </c>
      <c r="P18" s="93">
        <v>5</v>
      </c>
      <c r="Q18" s="81">
        <v>68.8</v>
      </c>
    </row>
    <row r="19" spans="1:17">
      <c r="A19" s="38" t="s">
        <v>94</v>
      </c>
      <c r="B19" s="35">
        <v>6</v>
      </c>
      <c r="C19" s="30">
        <f>IF(B$3=0,0,B19/B$3)</f>
        <v>0.1111111111111111</v>
      </c>
      <c r="E19" s="46" t="s">
        <v>65</v>
      </c>
      <c r="F19" s="43" t="s">
        <v>29</v>
      </c>
      <c r="G19" s="35">
        <v>0</v>
      </c>
      <c r="H19" s="108">
        <f>IF(B$22=0,0,G19/B$22)</f>
        <v>0</v>
      </c>
      <c r="I19" s="70">
        <v>1</v>
      </c>
      <c r="N19" s="90" t="s">
        <v>174</v>
      </c>
      <c r="O19" s="100">
        <f>IF(P19=0,0,Q19/P19)</f>
        <v>8.24</v>
      </c>
      <c r="P19" s="94">
        <v>5</v>
      </c>
      <c r="Q19" s="82">
        <v>41.2</v>
      </c>
    </row>
    <row r="20" spans="1:17">
      <c r="A20" s="18" t="s">
        <v>99</v>
      </c>
      <c r="B20" s="34">
        <f>B26</f>
        <v>9</v>
      </c>
      <c r="C20" s="4">
        <f>IF(B$18=0,0,B20/B$18)</f>
        <v>0.75</v>
      </c>
      <c r="E20" s="46" t="s">
        <v>67</v>
      </c>
      <c r="F20" s="43" t="s">
        <v>31</v>
      </c>
      <c r="G20" s="35">
        <v>0</v>
      </c>
      <c r="H20" s="108">
        <f>IF(B$22=0,0,G20/B$22)</f>
        <v>0</v>
      </c>
      <c r="I20" s="70">
        <v>3</v>
      </c>
      <c r="N20" s="90" t="s">
        <v>177</v>
      </c>
      <c r="O20" s="100">
        <f>IF(P20=0,0,Q20/P20)</f>
        <v>-2.9600000000000009</v>
      </c>
      <c r="P20" s="94">
        <v>5</v>
      </c>
      <c r="Q20" s="82">
        <v>-14.800000000000004</v>
      </c>
    </row>
    <row r="21" spans="1:17">
      <c r="A21" s="18" t="s">
        <v>100</v>
      </c>
      <c r="B21" s="34">
        <f>B27</f>
        <v>1</v>
      </c>
      <c r="C21" s="4">
        <f>IF(B$19=0,0,B21/B$19)</f>
        <v>0.16666666666666666</v>
      </c>
      <c r="E21" s="46" t="s">
        <v>68</v>
      </c>
      <c r="F21" s="43" t="s">
        <v>32</v>
      </c>
      <c r="G21" s="35">
        <v>0</v>
      </c>
      <c r="H21" s="108">
        <f>IF(B$22=0,0,G21/B$22)</f>
        <v>0</v>
      </c>
      <c r="I21" s="70">
        <v>1</v>
      </c>
    </row>
    <row r="22" spans="1:17">
      <c r="A22" s="18" t="s">
        <v>10</v>
      </c>
      <c r="B22" s="34">
        <f>B25+B24</f>
        <v>10</v>
      </c>
      <c r="C22" s="4">
        <f>IF(B$3=0,0,B22/B$3)</f>
        <v>0.18518518518518517</v>
      </c>
      <c r="E22" s="46" t="s">
        <v>69</v>
      </c>
      <c r="F22" s="43" t="s">
        <v>33</v>
      </c>
      <c r="G22" s="35">
        <v>0</v>
      </c>
      <c r="H22" s="108">
        <f>IF(B$22=0,0,G22/B$22)</f>
        <v>0</v>
      </c>
      <c r="I22" s="70">
        <v>3</v>
      </c>
    </row>
    <row r="23" spans="1:17">
      <c r="A23" s="38" t="s">
        <v>13</v>
      </c>
      <c r="B23" s="35">
        <v>7</v>
      </c>
      <c r="C23" s="30">
        <f>IF(B$3=0,0,B23/B$3)</f>
        <v>0.12962962962962962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2</v>
      </c>
      <c r="C24" s="30">
        <f>IF(B$22=0,0,B24/B$22)</f>
        <v>0.2</v>
      </c>
      <c r="E24" s="46" t="s">
        <v>71</v>
      </c>
      <c r="F24" s="43" t="s">
        <v>35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8</v>
      </c>
      <c r="C25" s="30">
        <f>IF(B$22=0,0,B25/B$22)</f>
        <v>0.8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9</v>
      </c>
      <c r="C26" s="30">
        <f>IF(B$22=0,0,B26/B$22)</f>
        <v>0.9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1</v>
      </c>
      <c r="C27" s="30">
        <f>IF(B$22=0,0,B27/B$22)</f>
        <v>0.1</v>
      </c>
      <c r="E27" s="46" t="s">
        <v>74</v>
      </c>
      <c r="F27" s="43" t="s">
        <v>38</v>
      </c>
      <c r="G27" s="35">
        <v>0</v>
      </c>
      <c r="H27" s="108">
        <f>IF(B$22=0,0,G27/B$22)</f>
        <v>0</v>
      </c>
      <c r="I27" s="70">
        <v>4</v>
      </c>
    </row>
    <row r="28" spans="1:17">
      <c r="A28" s="38" t="s">
        <v>148</v>
      </c>
      <c r="B28" s="35">
        <v>0</v>
      </c>
      <c r="C28" s="30">
        <f>IF(B$22=0,0,B28/B$22)</f>
        <v>0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9100</v>
      </c>
      <c r="C29" s="8">
        <v>91000</v>
      </c>
      <c r="E29" s="46" t="s">
        <v>77</v>
      </c>
      <c r="F29" s="43" t="s">
        <v>41</v>
      </c>
      <c r="G29" s="35">
        <v>0</v>
      </c>
      <c r="H29" s="108">
        <f>IF(B$22=0,0,G29/B$22)</f>
        <v>0</v>
      </c>
      <c r="I29" s="70">
        <v>4</v>
      </c>
    </row>
    <row r="30" spans="1:17">
      <c r="A30" s="39" t="s">
        <v>131</v>
      </c>
      <c r="B30" s="111">
        <f>IF($B$22-B$21=0,0,C30/($B$22-B$21))</f>
        <v>9677.7777777777774</v>
      </c>
      <c r="C30" s="112">
        <v>87100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3900</v>
      </c>
      <c r="C31" s="112">
        <v>3900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-5557.1428571428569</v>
      </c>
      <c r="C32" s="112">
        <v>-38900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1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18</v>
      </c>
      <c r="C34" s="110">
        <v>5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34">
        <v>5</v>
      </c>
      <c r="C35" s="13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36">
        <v>40000</v>
      </c>
      <c r="C36" s="13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3</v>
      </c>
      <c r="C37" s="32">
        <f>IF(B$3=0,0,B37/B$3)</f>
        <v>5.5555555555555552E-2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B38" s="27">
        <v>1</v>
      </c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6">
        <v>0</v>
      </c>
      <c r="C40" s="116">
        <f t="shared" ref="C40:C52" si="4">IF(B$22=0,0,B40/B$22)</f>
        <v>0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7">
        <v>1</v>
      </c>
      <c r="C42" s="30">
        <f t="shared" si="4"/>
        <v>0.1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7">
        <v>0</v>
      </c>
      <c r="C43" s="30">
        <f t="shared" si="4"/>
        <v>0</v>
      </c>
    </row>
    <row r="44" spans="1:9">
      <c r="A44" s="38" t="s">
        <v>136</v>
      </c>
      <c r="B44" s="127">
        <v>0</v>
      </c>
      <c r="C44" s="30">
        <f t="shared" si="4"/>
        <v>0</v>
      </c>
    </row>
    <row r="45" spans="1:9">
      <c r="A45" s="38" t="s">
        <v>138</v>
      </c>
      <c r="B45" s="127">
        <v>0</v>
      </c>
      <c r="C45" s="30">
        <f t="shared" si="4"/>
        <v>0</v>
      </c>
    </row>
    <row r="46" spans="1:9">
      <c r="A46" s="38" t="s">
        <v>139</v>
      </c>
      <c r="B46" s="127">
        <v>0</v>
      </c>
      <c r="C46" s="30">
        <f t="shared" si="4"/>
        <v>0</v>
      </c>
    </row>
    <row r="47" spans="1:9">
      <c r="A47" s="38" t="s">
        <v>140</v>
      </c>
      <c r="B47" s="127">
        <v>1</v>
      </c>
      <c r="C47" s="30">
        <f t="shared" si="4"/>
        <v>0.1</v>
      </c>
    </row>
    <row r="48" spans="1:9">
      <c r="A48" s="38" t="s">
        <v>141</v>
      </c>
      <c r="B48" s="127">
        <v>0</v>
      </c>
      <c r="C48" s="30">
        <f t="shared" si="4"/>
        <v>0</v>
      </c>
    </row>
    <row r="49" spans="1:3">
      <c r="A49" s="38" t="s">
        <v>142</v>
      </c>
      <c r="B49" s="127">
        <v>0</v>
      </c>
      <c r="C49" s="30">
        <f t="shared" si="4"/>
        <v>0</v>
      </c>
    </row>
    <row r="50" spans="1:3">
      <c r="A50" s="38" t="s">
        <v>143</v>
      </c>
      <c r="B50" s="127">
        <v>0</v>
      </c>
      <c r="C50" s="30">
        <f t="shared" si="4"/>
        <v>0</v>
      </c>
    </row>
    <row r="51" spans="1:3">
      <c r="A51" s="38" t="s">
        <v>144</v>
      </c>
      <c r="B51" s="127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92E56-E846-40E0-97E8-C76309DA1FF9}">
  <sheetPr codeName="Sheet8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38" t="s">
        <v>176</v>
      </c>
      <c r="C1" s="139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0">
        <v>5</v>
      </c>
      <c r="C2" s="141"/>
      <c r="E2" s="45" t="s">
        <v>162</v>
      </c>
      <c r="F2" s="42" t="s">
        <v>154</v>
      </c>
      <c r="G2" s="34">
        <v>11</v>
      </c>
      <c r="H2" s="107">
        <f>IF(B$22=0,0,G2/B$22)</f>
        <v>0.6875</v>
      </c>
      <c r="I2" s="69">
        <v>2</v>
      </c>
      <c r="K2" s="3">
        <v>0</v>
      </c>
      <c r="L2" s="74">
        <v>0</v>
      </c>
      <c r="N2" s="89" t="s">
        <v>102</v>
      </c>
      <c r="O2" s="96">
        <f t="shared" ref="O2:O9" si="0">IF(P2=0,0,Q2/P2)</f>
        <v>-3840</v>
      </c>
      <c r="P2" s="93">
        <v>5</v>
      </c>
      <c r="Q2" s="77">
        <v>-19200</v>
      </c>
    </row>
    <row r="3" spans="1:17">
      <c r="A3" s="38" t="s">
        <v>8</v>
      </c>
      <c r="B3" s="142">
        <v>54</v>
      </c>
      <c r="C3" s="143"/>
      <c r="E3" s="46" t="s">
        <v>54</v>
      </c>
      <c r="F3" s="43" t="s">
        <v>20</v>
      </c>
      <c r="G3" s="35">
        <v>8</v>
      </c>
      <c r="H3" s="108">
        <f>IF(B$22=0,0,G3/B$22)</f>
        <v>0.5</v>
      </c>
      <c r="I3" s="70">
        <v>3</v>
      </c>
      <c r="K3" s="5">
        <v>1</v>
      </c>
      <c r="L3" s="75">
        <v>16.600000000000001</v>
      </c>
      <c r="N3" s="90" t="s">
        <v>103</v>
      </c>
      <c r="O3" s="97">
        <f t="shared" si="0"/>
        <v>1080</v>
      </c>
      <c r="P3" s="94">
        <v>5</v>
      </c>
      <c r="Q3" s="78">
        <v>5400</v>
      </c>
    </row>
    <row r="4" spans="1:17">
      <c r="A4" s="38" t="s">
        <v>6</v>
      </c>
      <c r="B4" s="144">
        <v>-47.5</v>
      </c>
      <c r="C4" s="145"/>
      <c r="E4" s="46" t="s">
        <v>165</v>
      </c>
      <c r="F4" s="43" t="s">
        <v>168</v>
      </c>
      <c r="G4" s="35">
        <v>6</v>
      </c>
      <c r="H4" s="108">
        <f>IF(B$22=0,0,G4/B$22)</f>
        <v>0.375</v>
      </c>
      <c r="I4" s="70">
        <v>5</v>
      </c>
      <c r="K4" s="5">
        <v>2</v>
      </c>
      <c r="L4" s="75">
        <v>2.4000000000000021</v>
      </c>
      <c r="N4" s="90" t="s">
        <v>104</v>
      </c>
      <c r="O4" s="97">
        <f t="shared" si="0"/>
        <v>2700</v>
      </c>
      <c r="P4" s="94">
        <v>5</v>
      </c>
      <c r="Q4" s="78">
        <v>13500</v>
      </c>
    </row>
    <row r="5" spans="1:17">
      <c r="A5" s="38" t="s">
        <v>7</v>
      </c>
      <c r="B5" s="146">
        <f>IF(B$2=0,0,B$4/B$2)</f>
        <v>-9.5</v>
      </c>
      <c r="C5" s="147"/>
      <c r="E5" s="46" t="s">
        <v>163</v>
      </c>
      <c r="F5" s="43" t="s">
        <v>19</v>
      </c>
      <c r="G5" s="35">
        <v>4</v>
      </c>
      <c r="H5" s="108">
        <f>IF(B$22=0,0,G5/B$22)</f>
        <v>0.25</v>
      </c>
      <c r="I5" s="70">
        <v>2</v>
      </c>
      <c r="K5" s="5">
        <v>3</v>
      </c>
      <c r="L5" s="75">
        <v>4.4000000000000021</v>
      </c>
      <c r="N5" s="90" t="s">
        <v>155</v>
      </c>
      <c r="O5" s="97">
        <f>IF(P5=0,0,Q5/P5)</f>
        <v>-2440</v>
      </c>
      <c r="P5" s="94">
        <v>5</v>
      </c>
      <c r="Q5" s="78">
        <v>-12200</v>
      </c>
    </row>
    <row r="6" spans="1:17">
      <c r="A6" s="38" t="s">
        <v>1</v>
      </c>
      <c r="B6" s="148">
        <f>IF(B$2=0,0,(B$7*1+B$8*2+B$9*3+B$10*4)/B$2)</f>
        <v>2.6</v>
      </c>
      <c r="C6" s="149"/>
      <c r="E6" s="46" t="s">
        <v>57</v>
      </c>
      <c r="F6" s="43" t="s">
        <v>21</v>
      </c>
      <c r="G6" s="35">
        <v>4</v>
      </c>
      <c r="H6" s="108">
        <f>IF(B$22=0,0,G6/B$22)</f>
        <v>0.25</v>
      </c>
      <c r="I6" s="70">
        <v>2</v>
      </c>
      <c r="K6" s="5">
        <v>4</v>
      </c>
      <c r="L6" s="75">
        <v>17.200000000000003</v>
      </c>
      <c r="N6" s="90" t="s">
        <v>105</v>
      </c>
      <c r="O6" s="97">
        <f t="shared" ref="O6" si="1">IF(P6=0,0,Q6/P6)</f>
        <v>-1760</v>
      </c>
      <c r="P6" s="94">
        <v>5</v>
      </c>
      <c r="Q6" s="78">
        <v>-8800</v>
      </c>
    </row>
    <row r="7" spans="1:17">
      <c r="A7" s="38" t="s">
        <v>2</v>
      </c>
      <c r="B7" s="35">
        <v>0</v>
      </c>
      <c r="C7" s="30">
        <f t="shared" ref="C7:C17" si="2">IF(B$2=0,0,B7/B$2)</f>
        <v>0</v>
      </c>
      <c r="E7" s="46" t="s">
        <v>60</v>
      </c>
      <c r="F7" s="43" t="s">
        <v>24</v>
      </c>
      <c r="G7" s="35">
        <v>4</v>
      </c>
      <c r="H7" s="108">
        <f>IF(B$22=0,0,G7/B$22)</f>
        <v>0.25</v>
      </c>
      <c r="I7" s="70">
        <v>2</v>
      </c>
      <c r="K7" s="5">
        <v>5</v>
      </c>
      <c r="L7" s="75">
        <v>-47.5</v>
      </c>
      <c r="N7" s="90" t="s">
        <v>106</v>
      </c>
      <c r="O7" s="97">
        <f t="shared" si="0"/>
        <v>-20</v>
      </c>
      <c r="P7" s="94">
        <v>5</v>
      </c>
      <c r="Q7" s="78">
        <v>-100</v>
      </c>
    </row>
    <row r="8" spans="1:17">
      <c r="A8" s="38" t="s">
        <v>3</v>
      </c>
      <c r="B8" s="35">
        <v>3</v>
      </c>
      <c r="C8" s="30">
        <f>IF(B$2=0,0,B8/B$2)</f>
        <v>0.6</v>
      </c>
      <c r="E8" s="46" t="s">
        <v>55</v>
      </c>
      <c r="F8" s="43" t="s">
        <v>153</v>
      </c>
      <c r="G8" s="35">
        <v>3</v>
      </c>
      <c r="H8" s="108">
        <f>IF(B$22=0,0,G8/B$22)</f>
        <v>0.1875</v>
      </c>
      <c r="I8" s="70">
        <v>2</v>
      </c>
      <c r="N8" s="90" t="s">
        <v>107</v>
      </c>
      <c r="O8" s="97">
        <f t="shared" si="0"/>
        <v>0</v>
      </c>
      <c r="P8" s="94">
        <v>5</v>
      </c>
      <c r="Q8" s="78">
        <v>0</v>
      </c>
    </row>
    <row r="9" spans="1:17">
      <c r="A9" s="39" t="s">
        <v>4</v>
      </c>
      <c r="B9" s="36">
        <v>1</v>
      </c>
      <c r="C9" s="31">
        <f>IF(B$2=0,0,B9/B$2)</f>
        <v>0.2</v>
      </c>
      <c r="E9" s="46" t="s">
        <v>56</v>
      </c>
      <c r="F9" s="43" t="s">
        <v>166</v>
      </c>
      <c r="G9" s="35">
        <v>2</v>
      </c>
      <c r="H9" s="108">
        <f>IF(B$22=0,0,G9/B$22)</f>
        <v>0.125</v>
      </c>
      <c r="I9" s="70">
        <v>5</v>
      </c>
      <c r="N9" s="91" t="s">
        <v>156</v>
      </c>
      <c r="O9" s="98">
        <f t="shared" si="0"/>
        <v>1780</v>
      </c>
      <c r="P9" s="95">
        <v>5</v>
      </c>
      <c r="Q9" s="79">
        <v>8900</v>
      </c>
    </row>
    <row r="10" spans="1:17">
      <c r="A10" s="39" t="s">
        <v>150</v>
      </c>
      <c r="B10" s="36">
        <v>1</v>
      </c>
      <c r="C10" s="31">
        <f>IF(B$2=0,0,B10/B$2)</f>
        <v>0.2</v>
      </c>
      <c r="E10" s="46" t="s">
        <v>58</v>
      </c>
      <c r="F10" s="43" t="s">
        <v>22</v>
      </c>
      <c r="G10" s="35">
        <v>2</v>
      </c>
      <c r="H10" s="108">
        <f>IF(B$22=0,0,G10/B$22)</f>
        <v>0.125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0.6</v>
      </c>
      <c r="E11" s="46" t="s">
        <v>59</v>
      </c>
      <c r="F11" s="43" t="s">
        <v>23</v>
      </c>
      <c r="G11" s="35">
        <v>1</v>
      </c>
      <c r="H11" s="108">
        <f>IF(B$22=0,0,G11/B$22)</f>
        <v>6.25E-2</v>
      </c>
      <c r="I11" s="70">
        <v>4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183</v>
      </c>
      <c r="B12" s="152">
        <f>IF(B7=0,0,C12/B7)</f>
        <v>0</v>
      </c>
      <c r="C12" s="153">
        <v>0</v>
      </c>
      <c r="E12" s="46" t="s">
        <v>66</v>
      </c>
      <c r="F12" s="43" t="s">
        <v>30</v>
      </c>
      <c r="G12" s="35">
        <v>1</v>
      </c>
      <c r="H12" s="108">
        <f>IF(B$22=0,0,G12/B$22)</f>
        <v>6.25E-2</v>
      </c>
      <c r="I12" s="70">
        <v>2</v>
      </c>
      <c r="N12" s="89" t="s">
        <v>124</v>
      </c>
      <c r="O12" s="99">
        <f>IF(P12=0,0,Q12/P12)</f>
        <v>12.8</v>
      </c>
      <c r="P12" s="93">
        <v>1</v>
      </c>
      <c r="Q12" s="81">
        <v>12.8</v>
      </c>
    </row>
    <row r="13" spans="1:17">
      <c r="A13" s="39" t="s">
        <v>184</v>
      </c>
      <c r="B13" s="152">
        <f t="shared" ref="B13:B14" si="3">IF(B8=0,0,C13/B8)</f>
        <v>10.466666666666667</v>
      </c>
      <c r="C13" s="153">
        <v>31.400000000000002</v>
      </c>
      <c r="E13" s="46" t="s">
        <v>74</v>
      </c>
      <c r="F13" s="43" t="s">
        <v>38</v>
      </c>
      <c r="G13" s="35">
        <v>1</v>
      </c>
      <c r="H13" s="108">
        <f>IF(B$22=0,0,G13/B$22)</f>
        <v>6.25E-2</v>
      </c>
      <c r="I13" s="70">
        <v>2</v>
      </c>
      <c r="N13" s="90" t="s">
        <v>125</v>
      </c>
      <c r="O13" s="100">
        <f>IF(P13=0,0,Q13/P13)</f>
        <v>-14.2</v>
      </c>
      <c r="P13" s="94">
        <v>1</v>
      </c>
      <c r="Q13" s="82">
        <v>-14.2</v>
      </c>
    </row>
    <row r="14" spans="1:17">
      <c r="A14" s="39" t="s">
        <v>185</v>
      </c>
      <c r="B14" s="152">
        <f t="shared" si="3"/>
        <v>-14.2</v>
      </c>
      <c r="C14" s="153">
        <v>-14.2</v>
      </c>
      <c r="E14" s="46" t="s">
        <v>77</v>
      </c>
      <c r="F14" s="43" t="s">
        <v>41</v>
      </c>
      <c r="G14" s="35">
        <v>1</v>
      </c>
      <c r="H14" s="108">
        <f>IF(B$22=0,0,G14/B$22)</f>
        <v>6.25E-2</v>
      </c>
      <c r="I14" s="70">
        <v>2</v>
      </c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39" t="s">
        <v>186</v>
      </c>
      <c r="B15" s="152">
        <f>IF(B10=0,0,C15/B10)</f>
        <v>-64.7</v>
      </c>
      <c r="C15" s="153">
        <v>-64.7</v>
      </c>
      <c r="E15" s="46" t="s">
        <v>61</v>
      </c>
      <c r="F15" s="43" t="s">
        <v>25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-15.366666666666667</v>
      </c>
      <c r="P15" s="95">
        <v>3</v>
      </c>
      <c r="Q15" s="83">
        <v>-46.1</v>
      </c>
    </row>
    <row r="16" spans="1:17">
      <c r="A16" s="39" t="s">
        <v>182</v>
      </c>
      <c r="B16" s="146">
        <f>AVERAGE(B12:B15)</f>
        <v>-17.108333333333334</v>
      </c>
      <c r="C16" s="147"/>
      <c r="E16" s="46" t="s">
        <v>62</v>
      </c>
      <c r="F16" s="43" t="s">
        <v>26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0.2</v>
      </c>
      <c r="E17" s="46" t="s">
        <v>63</v>
      </c>
      <c r="F17" s="43" t="s">
        <v>27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15</v>
      </c>
      <c r="C18" s="11">
        <f>IF(B$3=0,0,B18/B$3)</f>
        <v>0.27777777777777779</v>
      </c>
      <c r="E18" s="46" t="s">
        <v>64</v>
      </c>
      <c r="F18" s="43" t="s">
        <v>28</v>
      </c>
      <c r="G18" s="35">
        <v>0</v>
      </c>
      <c r="H18" s="108">
        <f>IF(B$22=0,0,G18/B$22)</f>
        <v>0</v>
      </c>
      <c r="I18" s="70">
        <v>1</v>
      </c>
      <c r="N18" s="89" t="s">
        <v>174</v>
      </c>
      <c r="O18" s="99">
        <f>IF(P18=0,0,Q18/P18)</f>
        <v>-5.5199999999999987</v>
      </c>
      <c r="P18" s="93">
        <v>5</v>
      </c>
      <c r="Q18" s="81">
        <v>-27.599999999999994</v>
      </c>
    </row>
    <row r="19" spans="1:17">
      <c r="A19" s="38" t="s">
        <v>94</v>
      </c>
      <c r="B19" s="35">
        <v>11</v>
      </c>
      <c r="C19" s="30">
        <f>IF(B$3=0,0,B19/B$3)</f>
        <v>0.20370370370370369</v>
      </c>
      <c r="E19" s="46" t="s">
        <v>65</v>
      </c>
      <c r="F19" s="43" t="s">
        <v>29</v>
      </c>
      <c r="G19" s="35">
        <v>0</v>
      </c>
      <c r="H19" s="108">
        <f>IF(B$22=0,0,G19/B$22)</f>
        <v>0</v>
      </c>
      <c r="I19" s="70">
        <v>1</v>
      </c>
      <c r="N19" s="90" t="s">
        <v>175</v>
      </c>
      <c r="O19" s="100">
        <f>IF(P19=0,0,Q19/P19)</f>
        <v>-13.76</v>
      </c>
      <c r="P19" s="94">
        <v>5</v>
      </c>
      <c r="Q19" s="82">
        <v>-68.8</v>
      </c>
    </row>
    <row r="20" spans="1:17">
      <c r="A20" s="18" t="s">
        <v>99</v>
      </c>
      <c r="B20" s="34">
        <f>B26</f>
        <v>11</v>
      </c>
      <c r="C20" s="4">
        <f>IF(B$18=0,0,B20/B$18)</f>
        <v>0.73333333333333328</v>
      </c>
      <c r="E20" s="46" t="s">
        <v>67</v>
      </c>
      <c r="F20" s="43" t="s">
        <v>31</v>
      </c>
      <c r="G20" s="35">
        <v>0</v>
      </c>
      <c r="H20" s="108">
        <f>IF(B$22=0,0,G20/B$22)</f>
        <v>0</v>
      </c>
      <c r="I20" s="70">
        <v>3</v>
      </c>
      <c r="N20" s="90" t="s">
        <v>177</v>
      </c>
      <c r="O20" s="100">
        <f>IF(P20=0,0,Q20/P20)</f>
        <v>-16.72</v>
      </c>
      <c r="P20" s="94">
        <v>5</v>
      </c>
      <c r="Q20" s="82">
        <v>-83.6</v>
      </c>
    </row>
    <row r="21" spans="1:17">
      <c r="A21" s="18" t="s">
        <v>100</v>
      </c>
      <c r="B21" s="34">
        <f>B27</f>
        <v>3</v>
      </c>
      <c r="C21" s="4">
        <f>IF(B$19=0,0,B21/B$19)</f>
        <v>0.27272727272727271</v>
      </c>
      <c r="E21" s="46" t="s">
        <v>164</v>
      </c>
      <c r="F21" s="43" t="s">
        <v>167</v>
      </c>
      <c r="G21" s="35">
        <v>0</v>
      </c>
      <c r="H21" s="108">
        <f>IF(B$22=0,0,G21/B$22)</f>
        <v>0</v>
      </c>
      <c r="I21" s="70">
        <v>3</v>
      </c>
    </row>
    <row r="22" spans="1:17">
      <c r="A22" s="18" t="s">
        <v>10</v>
      </c>
      <c r="B22" s="34">
        <f>B25+B24</f>
        <v>16</v>
      </c>
      <c r="C22" s="4">
        <f>IF(B$3=0,0,B22/B$3)</f>
        <v>0.29629629629629628</v>
      </c>
      <c r="E22" s="46" t="s">
        <v>68</v>
      </c>
      <c r="F22" s="43" t="s">
        <v>32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9</v>
      </c>
      <c r="C23" s="30">
        <f>IF(B$3=0,0,B23/B$3)</f>
        <v>0.16666666666666666</v>
      </c>
      <c r="E23" s="46" t="s">
        <v>69</v>
      </c>
      <c r="F23" s="43" t="s">
        <v>33</v>
      </c>
      <c r="G23" s="35">
        <v>0</v>
      </c>
      <c r="H23" s="108">
        <f>IF(B$22=0,0,G23/B$22)</f>
        <v>0</v>
      </c>
      <c r="I23" s="70">
        <v>3</v>
      </c>
    </row>
    <row r="24" spans="1:17">
      <c r="A24" s="38" t="s">
        <v>12</v>
      </c>
      <c r="B24" s="35">
        <v>3</v>
      </c>
      <c r="C24" s="30">
        <f>IF(B$22=0,0,B24/B$22)</f>
        <v>0.1875</v>
      </c>
      <c r="E24" s="46" t="s">
        <v>70</v>
      </c>
      <c r="F24" s="43" t="s">
        <v>34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13</v>
      </c>
      <c r="C25" s="30">
        <f>IF(B$22=0,0,B25/B$22)</f>
        <v>0.8125</v>
      </c>
      <c r="E25" s="46" t="s">
        <v>71</v>
      </c>
      <c r="F25" s="43" t="s">
        <v>35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11</v>
      </c>
      <c r="C26" s="30">
        <f>IF(B$22=0,0,B26/B$22)</f>
        <v>0.6875</v>
      </c>
      <c r="E26" s="46" t="s">
        <v>72</v>
      </c>
      <c r="F26" s="43" t="s">
        <v>36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3</v>
      </c>
      <c r="C27" s="30">
        <f>IF(B$22=0,0,B27/B$22)</f>
        <v>0.1875</v>
      </c>
      <c r="E27" s="46" t="s">
        <v>73</v>
      </c>
      <c r="F27" s="43" t="s">
        <v>37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2</v>
      </c>
      <c r="C28" s="30">
        <f>IF(B$22=0,0,B28/B$22)</f>
        <v>0.125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5643.75</v>
      </c>
      <c r="C29" s="8">
        <v>90300</v>
      </c>
      <c r="E29" s="46" t="s">
        <v>76</v>
      </c>
      <c r="F29" s="43" t="s">
        <v>40</v>
      </c>
      <c r="G29" s="35">
        <v>0</v>
      </c>
      <c r="H29" s="108">
        <f>IF(B$22=0,0,G29/B$22)</f>
        <v>0</v>
      </c>
      <c r="I29" s="70">
        <v>3</v>
      </c>
    </row>
    <row r="30" spans="1:17">
      <c r="A30" s="39" t="s">
        <v>131</v>
      </c>
      <c r="B30" s="111">
        <f>IF($B$22-B$21=0,0,C30/($B$22-B$21))</f>
        <v>5323.0769230769229</v>
      </c>
      <c r="C30" s="112">
        <v>69200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7033.333333333333</v>
      </c>
      <c r="C31" s="112">
        <v>21100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-5488.8888888888887</v>
      </c>
      <c r="C32" s="112">
        <v>-49400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16</v>
      </c>
      <c r="C34" s="110">
        <v>4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34">
        <v>4</v>
      </c>
      <c r="C35" s="13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36">
        <v>36601</v>
      </c>
      <c r="C36" s="13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3</v>
      </c>
      <c r="C37" s="32">
        <f>IF(B$3=0,0,B37/B$3)</f>
        <v>5.5555555555555552E-2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B38" s="27">
        <v>1</v>
      </c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6">
        <v>0</v>
      </c>
      <c r="C40" s="116">
        <f t="shared" ref="C40:C52" si="4">IF(B$22=0,0,B40/B$22)</f>
        <v>0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7">
        <v>0</v>
      </c>
      <c r="C42" s="30">
        <f t="shared" si="4"/>
        <v>0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7">
        <v>0</v>
      </c>
      <c r="C43" s="30">
        <f t="shared" si="4"/>
        <v>0</v>
      </c>
    </row>
    <row r="44" spans="1:9">
      <c r="A44" s="38" t="s">
        <v>136</v>
      </c>
      <c r="B44" s="127">
        <v>0</v>
      </c>
      <c r="C44" s="30">
        <f t="shared" si="4"/>
        <v>0</v>
      </c>
    </row>
    <row r="45" spans="1:9">
      <c r="A45" s="38" t="s">
        <v>138</v>
      </c>
      <c r="B45" s="127">
        <v>0</v>
      </c>
      <c r="C45" s="30">
        <f t="shared" si="4"/>
        <v>0</v>
      </c>
    </row>
    <row r="46" spans="1:9">
      <c r="A46" s="38" t="s">
        <v>139</v>
      </c>
      <c r="B46" s="127">
        <v>0</v>
      </c>
      <c r="C46" s="30">
        <f t="shared" si="4"/>
        <v>0</v>
      </c>
    </row>
    <row r="47" spans="1:9">
      <c r="A47" s="38" t="s">
        <v>140</v>
      </c>
      <c r="B47" s="127">
        <v>0</v>
      </c>
      <c r="C47" s="30">
        <f t="shared" si="4"/>
        <v>0</v>
      </c>
    </row>
    <row r="48" spans="1:9">
      <c r="A48" s="38" t="s">
        <v>141</v>
      </c>
      <c r="B48" s="127">
        <v>0</v>
      </c>
      <c r="C48" s="30">
        <f t="shared" si="4"/>
        <v>0</v>
      </c>
    </row>
    <row r="49" spans="1:3">
      <c r="A49" s="38" t="s">
        <v>142</v>
      </c>
      <c r="B49" s="127">
        <v>0</v>
      </c>
      <c r="C49" s="30">
        <f t="shared" si="4"/>
        <v>0</v>
      </c>
    </row>
    <row r="50" spans="1:3">
      <c r="A50" s="38" t="s">
        <v>143</v>
      </c>
      <c r="B50" s="127">
        <v>0</v>
      </c>
      <c r="C50" s="30">
        <f t="shared" si="4"/>
        <v>0</v>
      </c>
    </row>
    <row r="51" spans="1:3">
      <c r="A51" s="38" t="s">
        <v>144</v>
      </c>
      <c r="B51" s="127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396</vt:i4>
      </vt:variant>
    </vt:vector>
  </HeadingPairs>
  <TitlesOfParts>
    <vt:vector size="405" baseType="lpstr">
      <vt:lpstr>Cache</vt:lpstr>
      <vt:lpstr>Players</vt:lpstr>
      <vt:lpstr>ランキング</vt:lpstr>
      <vt:lpstr>Template</vt:lpstr>
      <vt:lpstr>全体</vt:lpstr>
      <vt:lpstr>だいち</vt:lpstr>
      <vt:lpstr>りくと</vt:lpstr>
      <vt:lpstr>てんちゃん</vt:lpstr>
      <vt:lpstr>ただ</vt:lpstr>
      <vt:lpstr>だいち!アガリ数</vt:lpstr>
      <vt:lpstr>ただ!アガリ数</vt:lpstr>
      <vt:lpstr>てんちゃん!アガリ数</vt:lpstr>
      <vt:lpstr>りくと!アガリ数</vt:lpstr>
      <vt:lpstr>全体!アガリ数</vt:lpstr>
      <vt:lpstr>アガリ数</vt:lpstr>
      <vt:lpstr>だいち!アガリ率</vt:lpstr>
      <vt:lpstr>ただ!アガリ率</vt:lpstr>
      <vt:lpstr>てんちゃん!アガリ率</vt:lpstr>
      <vt:lpstr>りくと!アガリ率</vt:lpstr>
      <vt:lpstr>全体!アガリ率</vt:lpstr>
      <vt:lpstr>アガリ率</vt:lpstr>
      <vt:lpstr>だいち!ダマアガリ数</vt:lpstr>
      <vt:lpstr>ただ!ダマアガリ数</vt:lpstr>
      <vt:lpstr>てんちゃん!ダマアガリ数</vt:lpstr>
      <vt:lpstr>りくと!ダマアガリ数</vt:lpstr>
      <vt:lpstr>全体!ダマアガリ数</vt:lpstr>
      <vt:lpstr>ダマアガリ数</vt:lpstr>
      <vt:lpstr>だいち!ダマアガリ率</vt:lpstr>
      <vt:lpstr>ただ!ダマアガリ率</vt:lpstr>
      <vt:lpstr>てんちゃん!ダマアガリ率</vt:lpstr>
      <vt:lpstr>りくと!ダマアガリ率</vt:lpstr>
      <vt:lpstr>全体!ダマアガリ率</vt:lpstr>
      <vt:lpstr>ダマアガリ率</vt:lpstr>
      <vt:lpstr>だいち!チョンボ数</vt:lpstr>
      <vt:lpstr>ただ!チョンボ数</vt:lpstr>
      <vt:lpstr>てんちゃん!チョンボ数</vt:lpstr>
      <vt:lpstr>りくと!チョンボ数</vt:lpstr>
      <vt:lpstr>全体!チョンボ数</vt:lpstr>
      <vt:lpstr>チョンボ数</vt:lpstr>
      <vt:lpstr>だいち!チョンボ率</vt:lpstr>
      <vt:lpstr>ただ!チョンボ率</vt:lpstr>
      <vt:lpstr>てんちゃん!チョンボ率</vt:lpstr>
      <vt:lpstr>りくと!チョンボ率</vt:lpstr>
      <vt:lpstr>全体!チョンボ率</vt:lpstr>
      <vt:lpstr>チョンボ率</vt:lpstr>
      <vt:lpstr>だいち!ツモ数</vt:lpstr>
      <vt:lpstr>ただ!ツモ数</vt:lpstr>
      <vt:lpstr>てんちゃん!ツモ数</vt:lpstr>
      <vt:lpstr>りくと!ツモ数</vt:lpstr>
      <vt:lpstr>全体!ツモ数</vt:lpstr>
      <vt:lpstr>ツモ数</vt:lpstr>
      <vt:lpstr>だいち!ツモ率</vt:lpstr>
      <vt:lpstr>ただ!ツモ率</vt:lpstr>
      <vt:lpstr>てんちゃん!ツモ率</vt:lpstr>
      <vt:lpstr>りくと!ツモ率</vt:lpstr>
      <vt:lpstr>全体!ツモ率</vt:lpstr>
      <vt:lpstr>ツモ率</vt:lpstr>
      <vt:lpstr>だいち!トップ数</vt:lpstr>
      <vt:lpstr>ただ!トップ数</vt:lpstr>
      <vt:lpstr>てんちゃん!トップ数</vt:lpstr>
      <vt:lpstr>りくと!トップ数</vt:lpstr>
      <vt:lpstr>全体!トップ数</vt:lpstr>
      <vt:lpstr>トップ数</vt:lpstr>
      <vt:lpstr>だいち!トップ率</vt:lpstr>
      <vt:lpstr>ただ!トップ率</vt:lpstr>
      <vt:lpstr>てんちゃん!トップ率</vt:lpstr>
      <vt:lpstr>りくと!トップ率</vt:lpstr>
      <vt:lpstr>全体!トップ率</vt:lpstr>
      <vt:lpstr>トップ率</vt:lpstr>
      <vt:lpstr>だいち!バランス</vt:lpstr>
      <vt:lpstr>ただ!バランス</vt:lpstr>
      <vt:lpstr>てんちゃん!バランス</vt:lpstr>
      <vt:lpstr>りくと!バランス</vt:lpstr>
      <vt:lpstr>全体!バランス</vt:lpstr>
      <vt:lpstr>バランス</vt:lpstr>
      <vt:lpstr>だいち!ふっとび数</vt:lpstr>
      <vt:lpstr>ただ!ふっとび数</vt:lpstr>
      <vt:lpstr>てんちゃん!ふっとび数</vt:lpstr>
      <vt:lpstr>りくと!ふっとび数</vt:lpstr>
      <vt:lpstr>全体!ふっとび数</vt:lpstr>
      <vt:lpstr>ふっとび数</vt:lpstr>
      <vt:lpstr>だいち!ふっとび率</vt:lpstr>
      <vt:lpstr>ただ!ふっとび率</vt:lpstr>
      <vt:lpstr>てんちゃん!ふっとび率</vt:lpstr>
      <vt:lpstr>りくと!ふっとび率</vt:lpstr>
      <vt:lpstr>全体!ふっとび率</vt:lpstr>
      <vt:lpstr>ふっとび率</vt:lpstr>
      <vt:lpstr>だいち!ラス数</vt:lpstr>
      <vt:lpstr>ただ!ラス数</vt:lpstr>
      <vt:lpstr>てんちゃん!ラス数</vt:lpstr>
      <vt:lpstr>りくと!ラス数</vt:lpstr>
      <vt:lpstr>全体!ラス数</vt:lpstr>
      <vt:lpstr>ラス数</vt:lpstr>
      <vt:lpstr>だいち!ラス率</vt:lpstr>
      <vt:lpstr>ただ!ラス率</vt:lpstr>
      <vt:lpstr>てんちゃん!ラス率</vt:lpstr>
      <vt:lpstr>りくと!ラス率</vt:lpstr>
      <vt:lpstr>全体!ラス率</vt:lpstr>
      <vt:lpstr>ラス率</vt:lpstr>
      <vt:lpstr>だいち!リーチアガリ数</vt:lpstr>
      <vt:lpstr>ただ!リーチアガリ数</vt:lpstr>
      <vt:lpstr>てんちゃん!リーチアガリ数</vt:lpstr>
      <vt:lpstr>りくと!リーチアガリ数</vt:lpstr>
      <vt:lpstr>全体!リーチアガリ数</vt:lpstr>
      <vt:lpstr>リーチアガリ数</vt:lpstr>
      <vt:lpstr>だいち!リーチアガリ率</vt:lpstr>
      <vt:lpstr>ただ!リーチアガリ率</vt:lpstr>
      <vt:lpstr>てんちゃん!リーチアガリ率</vt:lpstr>
      <vt:lpstr>りくと!リーチアガリ率</vt:lpstr>
      <vt:lpstr>全体!リーチアガリ率</vt:lpstr>
      <vt:lpstr>リーチアガリ率</vt:lpstr>
      <vt:lpstr>だいち!リーチ数</vt:lpstr>
      <vt:lpstr>ただ!リーチ数</vt:lpstr>
      <vt:lpstr>てんちゃん!リーチ数</vt:lpstr>
      <vt:lpstr>りくと!リーチ数</vt:lpstr>
      <vt:lpstr>全体!リーチ数</vt:lpstr>
      <vt:lpstr>リーチ数</vt:lpstr>
      <vt:lpstr>だいち!リーチ成功数</vt:lpstr>
      <vt:lpstr>ただ!リーチ成功数</vt:lpstr>
      <vt:lpstr>てんちゃん!リーチ成功数</vt:lpstr>
      <vt:lpstr>りくと!リーチ成功数</vt:lpstr>
      <vt:lpstr>全体!リーチ成功数</vt:lpstr>
      <vt:lpstr>リーチ成功数</vt:lpstr>
      <vt:lpstr>だいち!リーチ成功率</vt:lpstr>
      <vt:lpstr>ただ!リーチ成功率</vt:lpstr>
      <vt:lpstr>てんちゃん!リーチ成功率</vt:lpstr>
      <vt:lpstr>りくと!リーチ成功率</vt:lpstr>
      <vt:lpstr>全体!リーチ成功率</vt:lpstr>
      <vt:lpstr>リーチ成功率</vt:lpstr>
      <vt:lpstr>だいち!リーチ率</vt:lpstr>
      <vt:lpstr>ただ!リーチ率</vt:lpstr>
      <vt:lpstr>てんちゃん!リーチ率</vt:lpstr>
      <vt:lpstr>りくと!リーチ率</vt:lpstr>
      <vt:lpstr>全体!リーチ率</vt:lpstr>
      <vt:lpstr>リーチ率</vt:lpstr>
      <vt:lpstr>だいち!ロン数</vt:lpstr>
      <vt:lpstr>ただ!ロン数</vt:lpstr>
      <vt:lpstr>てんちゃん!ロン数</vt:lpstr>
      <vt:lpstr>りくと!ロン数</vt:lpstr>
      <vt:lpstr>全体!ロン数</vt:lpstr>
      <vt:lpstr>ロン数</vt:lpstr>
      <vt:lpstr>だいち!ロン率</vt:lpstr>
      <vt:lpstr>ただ!ロン率</vt:lpstr>
      <vt:lpstr>てんちゃん!ロン率</vt:lpstr>
      <vt:lpstr>りくと!ロン率</vt:lpstr>
      <vt:lpstr>全体!ロン率</vt:lpstr>
      <vt:lpstr>ロン率</vt:lpstr>
      <vt:lpstr>だいち!一位スコア</vt:lpstr>
      <vt:lpstr>ただ!一位スコア</vt:lpstr>
      <vt:lpstr>てんちゃん!一位スコア</vt:lpstr>
      <vt:lpstr>りくと!一位スコア</vt:lpstr>
      <vt:lpstr>全体!一位スコア</vt:lpstr>
      <vt:lpstr>一位スコア</vt:lpstr>
      <vt:lpstr>だいち!一位通算スコア</vt:lpstr>
      <vt:lpstr>ただ!一位通算スコア</vt:lpstr>
      <vt:lpstr>てんちゃん!一位通算スコア</vt:lpstr>
      <vt:lpstr>りくと!一位通算スコア</vt:lpstr>
      <vt:lpstr>全体!一位通算スコア</vt:lpstr>
      <vt:lpstr>一位通算スコア</vt:lpstr>
      <vt:lpstr>だいち!現行連続アガリ</vt:lpstr>
      <vt:lpstr>ただ!現行連続アガリ</vt:lpstr>
      <vt:lpstr>てんちゃん!現行連続アガリ</vt:lpstr>
      <vt:lpstr>りくと!現行連続アガリ</vt:lpstr>
      <vt:lpstr>全体!現行連続アガリ</vt:lpstr>
      <vt:lpstr>現行連続アガリ</vt:lpstr>
      <vt:lpstr>だいち!現行連続無放銃</vt:lpstr>
      <vt:lpstr>ただ!現行連続無放銃</vt:lpstr>
      <vt:lpstr>てんちゃん!現行連続無放銃</vt:lpstr>
      <vt:lpstr>りくと!現行連続無放銃</vt:lpstr>
      <vt:lpstr>全体!現行連続無放銃</vt:lpstr>
      <vt:lpstr>現行連続無放銃</vt:lpstr>
      <vt:lpstr>だいち!最高点</vt:lpstr>
      <vt:lpstr>ただ!最高点</vt:lpstr>
      <vt:lpstr>てんちゃん!最高点</vt:lpstr>
      <vt:lpstr>りくと!最高点</vt:lpstr>
      <vt:lpstr>全体!最高点</vt:lpstr>
      <vt:lpstr>最高点</vt:lpstr>
      <vt:lpstr>だいち!最大ドラ数</vt:lpstr>
      <vt:lpstr>ただ!最大ドラ数</vt:lpstr>
      <vt:lpstr>てんちゃん!最大ドラ数</vt:lpstr>
      <vt:lpstr>りくと!最大ドラ数</vt:lpstr>
      <vt:lpstr>全体!最大ドラ数</vt:lpstr>
      <vt:lpstr>最大ドラ数</vt:lpstr>
      <vt:lpstr>だいち!最大点数</vt:lpstr>
      <vt:lpstr>ただ!最大点数</vt:lpstr>
      <vt:lpstr>てんちゃん!最大点数</vt:lpstr>
      <vt:lpstr>りくと!最大点数</vt:lpstr>
      <vt:lpstr>全体!最大点数</vt:lpstr>
      <vt:lpstr>最大点数</vt:lpstr>
      <vt:lpstr>だいち!三位スコア</vt:lpstr>
      <vt:lpstr>ただ!三位スコア</vt:lpstr>
      <vt:lpstr>てんちゃん!三位スコア</vt:lpstr>
      <vt:lpstr>りくと!三位スコア</vt:lpstr>
      <vt:lpstr>全体!三位スコア</vt:lpstr>
      <vt:lpstr>三位スコア</vt:lpstr>
      <vt:lpstr>だいち!三位数</vt:lpstr>
      <vt:lpstr>ただ!三位数</vt:lpstr>
      <vt:lpstr>てんちゃん!三位数</vt:lpstr>
      <vt:lpstr>りくと!三位数</vt:lpstr>
      <vt:lpstr>全体!三位数</vt:lpstr>
      <vt:lpstr>三位数</vt:lpstr>
      <vt:lpstr>だいち!三位通算スコア</vt:lpstr>
      <vt:lpstr>ただ!三位通算スコア</vt:lpstr>
      <vt:lpstr>てんちゃん!三位通算スコア</vt:lpstr>
      <vt:lpstr>りくと!三位通算スコア</vt:lpstr>
      <vt:lpstr>全体!三位通算スコア</vt:lpstr>
      <vt:lpstr>三位通算スコア</vt:lpstr>
      <vt:lpstr>だいち!三位率</vt:lpstr>
      <vt:lpstr>ただ!三位率</vt:lpstr>
      <vt:lpstr>てんちゃん!三位率</vt:lpstr>
      <vt:lpstr>りくと!三位率</vt:lpstr>
      <vt:lpstr>全体!三位率</vt:lpstr>
      <vt:lpstr>三位率</vt:lpstr>
      <vt:lpstr>だいち!四位スコア</vt:lpstr>
      <vt:lpstr>ただ!四位スコア</vt:lpstr>
      <vt:lpstr>てんちゃん!四位スコア</vt:lpstr>
      <vt:lpstr>りくと!四位スコア</vt:lpstr>
      <vt:lpstr>全体!四位スコア</vt:lpstr>
      <vt:lpstr>四位スコア</vt:lpstr>
      <vt:lpstr>だいち!四位通算スコア</vt:lpstr>
      <vt:lpstr>ただ!四位通算スコア</vt:lpstr>
      <vt:lpstr>てんちゃん!四位通算スコア</vt:lpstr>
      <vt:lpstr>りくと!四位通算スコア</vt:lpstr>
      <vt:lpstr>全体!四位通算スコア</vt:lpstr>
      <vt:lpstr>四位通算スコア</vt:lpstr>
      <vt:lpstr>だいち!総局数</vt:lpstr>
      <vt:lpstr>ただ!総局数</vt:lpstr>
      <vt:lpstr>てんちゃん!総局数</vt:lpstr>
      <vt:lpstr>りくと!総局数</vt:lpstr>
      <vt:lpstr>全体!総局数</vt:lpstr>
      <vt:lpstr>総局数</vt:lpstr>
      <vt:lpstr>だいち!対戦数</vt:lpstr>
      <vt:lpstr>ただ!対戦数</vt:lpstr>
      <vt:lpstr>てんちゃん!対戦数</vt:lpstr>
      <vt:lpstr>りくと!対戦数</vt:lpstr>
      <vt:lpstr>全体!対戦数</vt:lpstr>
      <vt:lpstr>対戦数</vt:lpstr>
      <vt:lpstr>だいち!通算アガリ点</vt:lpstr>
      <vt:lpstr>ただ!通算アガリ点</vt:lpstr>
      <vt:lpstr>てんちゃん!通算アガリ点</vt:lpstr>
      <vt:lpstr>りくと!通算アガリ点</vt:lpstr>
      <vt:lpstr>全体!通算アガリ点</vt:lpstr>
      <vt:lpstr>通算アガリ点</vt:lpstr>
      <vt:lpstr>だいち!通算スコア</vt:lpstr>
      <vt:lpstr>ただ!通算スコア</vt:lpstr>
      <vt:lpstr>てんちゃん!通算スコア</vt:lpstr>
      <vt:lpstr>りくと!通算スコア</vt:lpstr>
      <vt:lpstr>全体!通算スコア</vt:lpstr>
      <vt:lpstr>通算スコア</vt:lpstr>
      <vt:lpstr>だいち!通算副露アガリ点</vt:lpstr>
      <vt:lpstr>ただ!通算副露アガリ点</vt:lpstr>
      <vt:lpstr>てんちゃん!通算副露アガリ点</vt:lpstr>
      <vt:lpstr>りくと!通算副露アガリ点</vt:lpstr>
      <vt:lpstr>全体!通算副露アガリ点</vt:lpstr>
      <vt:lpstr>通算副露アガリ点</vt:lpstr>
      <vt:lpstr>だいち!通算放銃点</vt:lpstr>
      <vt:lpstr>ただ!通算放銃点</vt:lpstr>
      <vt:lpstr>てんちゃん!通算放銃点</vt:lpstr>
      <vt:lpstr>りくと!通算放銃点</vt:lpstr>
      <vt:lpstr>全体!通算放銃点</vt:lpstr>
      <vt:lpstr>通算放銃点</vt:lpstr>
      <vt:lpstr>だいち!通算門前アガリ点</vt:lpstr>
      <vt:lpstr>ただ!通算門前アガリ点</vt:lpstr>
      <vt:lpstr>てんちゃん!通算門前アガリ点</vt:lpstr>
      <vt:lpstr>りくと!通算門前アガリ点</vt:lpstr>
      <vt:lpstr>全体!通算門前アガリ点</vt:lpstr>
      <vt:lpstr>通算門前アガリ点</vt:lpstr>
      <vt:lpstr>だいち!二位スコア</vt:lpstr>
      <vt:lpstr>ただ!二位スコア</vt:lpstr>
      <vt:lpstr>てんちゃん!二位スコア</vt:lpstr>
      <vt:lpstr>りくと!二位スコア</vt:lpstr>
      <vt:lpstr>全体!二位スコア</vt:lpstr>
      <vt:lpstr>二位スコア</vt:lpstr>
      <vt:lpstr>だいち!二位数</vt:lpstr>
      <vt:lpstr>ただ!二位数</vt:lpstr>
      <vt:lpstr>てんちゃん!二位数</vt:lpstr>
      <vt:lpstr>りくと!二位数</vt:lpstr>
      <vt:lpstr>全体!二位数</vt:lpstr>
      <vt:lpstr>二位数</vt:lpstr>
      <vt:lpstr>だいち!二位通算スコア</vt:lpstr>
      <vt:lpstr>ただ!二位通算スコア</vt:lpstr>
      <vt:lpstr>てんちゃん!二位通算スコア</vt:lpstr>
      <vt:lpstr>りくと!二位通算スコア</vt:lpstr>
      <vt:lpstr>全体!二位通算スコア</vt:lpstr>
      <vt:lpstr>二位通算スコア</vt:lpstr>
      <vt:lpstr>だいち!二位率</vt:lpstr>
      <vt:lpstr>ただ!二位率</vt:lpstr>
      <vt:lpstr>てんちゃん!二位率</vt:lpstr>
      <vt:lpstr>りくと!二位率</vt:lpstr>
      <vt:lpstr>全体!二位率</vt:lpstr>
      <vt:lpstr>二位率</vt:lpstr>
      <vt:lpstr>だいち!副露アガリ数</vt:lpstr>
      <vt:lpstr>ただ!副露アガリ数</vt:lpstr>
      <vt:lpstr>てんちゃん!副露アガリ数</vt:lpstr>
      <vt:lpstr>りくと!副露アガリ数</vt:lpstr>
      <vt:lpstr>全体!副露アガリ数</vt:lpstr>
      <vt:lpstr>副露アガリ数</vt:lpstr>
      <vt:lpstr>だいち!副露アガリ点</vt:lpstr>
      <vt:lpstr>ただ!副露アガリ点</vt:lpstr>
      <vt:lpstr>てんちゃん!副露アガリ点</vt:lpstr>
      <vt:lpstr>りくと!副露アガリ点</vt:lpstr>
      <vt:lpstr>全体!副露アガリ点</vt:lpstr>
      <vt:lpstr>副露アガリ点</vt:lpstr>
      <vt:lpstr>だいち!副露アガリ率</vt:lpstr>
      <vt:lpstr>ただ!副露アガリ率</vt:lpstr>
      <vt:lpstr>てんちゃん!副露アガリ率</vt:lpstr>
      <vt:lpstr>りくと!副露アガリ率</vt:lpstr>
      <vt:lpstr>全体!副露アガリ率</vt:lpstr>
      <vt:lpstr>副露アガリ率</vt:lpstr>
      <vt:lpstr>だいち!副露数</vt:lpstr>
      <vt:lpstr>ただ!副露数</vt:lpstr>
      <vt:lpstr>てんちゃん!副露数</vt:lpstr>
      <vt:lpstr>りくと!副露数</vt:lpstr>
      <vt:lpstr>全体!副露数</vt:lpstr>
      <vt:lpstr>副露数</vt:lpstr>
      <vt:lpstr>だいち!副露成功数</vt:lpstr>
      <vt:lpstr>ただ!副露成功数</vt:lpstr>
      <vt:lpstr>てんちゃん!副露成功数</vt:lpstr>
      <vt:lpstr>りくと!副露成功数</vt:lpstr>
      <vt:lpstr>全体!副露成功数</vt:lpstr>
      <vt:lpstr>副露成功数</vt:lpstr>
      <vt:lpstr>だいち!副露成功率</vt:lpstr>
      <vt:lpstr>ただ!副露成功率</vt:lpstr>
      <vt:lpstr>てんちゃん!副露成功率</vt:lpstr>
      <vt:lpstr>りくと!副露成功率</vt:lpstr>
      <vt:lpstr>全体!副露成功率</vt:lpstr>
      <vt:lpstr>副露成功率</vt:lpstr>
      <vt:lpstr>だいち!副露率</vt:lpstr>
      <vt:lpstr>ただ!副露率</vt:lpstr>
      <vt:lpstr>てんちゃん!副露率</vt:lpstr>
      <vt:lpstr>りくと!副露率</vt:lpstr>
      <vt:lpstr>全体!副露率</vt:lpstr>
      <vt:lpstr>副露率</vt:lpstr>
      <vt:lpstr>だいち!平均アガリ点</vt:lpstr>
      <vt:lpstr>ただ!平均アガリ点</vt:lpstr>
      <vt:lpstr>てんちゃん!平均アガリ点</vt:lpstr>
      <vt:lpstr>りくと!平均アガリ点</vt:lpstr>
      <vt:lpstr>全体!平均アガリ点</vt:lpstr>
      <vt:lpstr>平均アガリ点</vt:lpstr>
      <vt:lpstr>だいち!平均スコア</vt:lpstr>
      <vt:lpstr>ただ!平均スコア</vt:lpstr>
      <vt:lpstr>てんちゃん!平均スコア</vt:lpstr>
      <vt:lpstr>りくと!平均スコア</vt:lpstr>
      <vt:lpstr>全体!平均スコア</vt:lpstr>
      <vt:lpstr>平均スコア</vt:lpstr>
      <vt:lpstr>だいち!平均順位</vt:lpstr>
      <vt:lpstr>ただ!平均順位</vt:lpstr>
      <vt:lpstr>てんちゃん!平均順位</vt:lpstr>
      <vt:lpstr>りくと!平均順位</vt:lpstr>
      <vt:lpstr>全体!平均順位</vt:lpstr>
      <vt:lpstr>平均順位</vt:lpstr>
      <vt:lpstr>だいち!平均放銃点</vt:lpstr>
      <vt:lpstr>ただ!平均放銃点</vt:lpstr>
      <vt:lpstr>てんちゃん!平均放銃点</vt:lpstr>
      <vt:lpstr>りくと!平均放銃点</vt:lpstr>
      <vt:lpstr>全体!平均放銃点</vt:lpstr>
      <vt:lpstr>平均放銃点</vt:lpstr>
      <vt:lpstr>だいち!放銃数</vt:lpstr>
      <vt:lpstr>ただ!放銃数</vt:lpstr>
      <vt:lpstr>てんちゃん!放銃数</vt:lpstr>
      <vt:lpstr>りくと!放銃数</vt:lpstr>
      <vt:lpstr>全体!放銃数</vt:lpstr>
      <vt:lpstr>放銃数</vt:lpstr>
      <vt:lpstr>だいち!放銃率</vt:lpstr>
      <vt:lpstr>ただ!放銃率</vt:lpstr>
      <vt:lpstr>てんちゃん!放銃率</vt:lpstr>
      <vt:lpstr>りくと!放銃率</vt:lpstr>
      <vt:lpstr>全体!放銃率</vt:lpstr>
      <vt:lpstr>放銃率</vt:lpstr>
      <vt:lpstr>だいち!名前</vt:lpstr>
      <vt:lpstr>ただ!名前</vt:lpstr>
      <vt:lpstr>てんちゃん!名前</vt:lpstr>
      <vt:lpstr>りくと!名前</vt:lpstr>
      <vt:lpstr>全体!名前</vt:lpstr>
      <vt:lpstr>名前</vt:lpstr>
      <vt:lpstr>だいち!門前アガリ点</vt:lpstr>
      <vt:lpstr>ただ!門前アガリ点</vt:lpstr>
      <vt:lpstr>てんちゃん!門前アガリ点</vt:lpstr>
      <vt:lpstr>りくと!門前アガリ点</vt:lpstr>
      <vt:lpstr>全体!門前アガリ点</vt:lpstr>
      <vt:lpstr>門前アガリ点</vt:lpstr>
      <vt:lpstr>だいち!連続アガリ</vt:lpstr>
      <vt:lpstr>ただ!連続アガリ</vt:lpstr>
      <vt:lpstr>てんちゃん!連続アガリ</vt:lpstr>
      <vt:lpstr>りくと!連続アガリ</vt:lpstr>
      <vt:lpstr>全体!連続アガリ</vt:lpstr>
      <vt:lpstr>連続アガリ</vt:lpstr>
      <vt:lpstr>だいち!連続無放銃</vt:lpstr>
      <vt:lpstr>ただ!連続無放銃</vt:lpstr>
      <vt:lpstr>てんちゃん!連続無放銃</vt:lpstr>
      <vt:lpstr>りくと!連続無放銃</vt:lpstr>
      <vt:lpstr>全体!連続無放銃</vt:lpstr>
      <vt:lpstr>連続無放銃</vt:lpstr>
      <vt:lpstr>だいち!連対数</vt:lpstr>
      <vt:lpstr>ただ!連対数</vt:lpstr>
      <vt:lpstr>てんちゃん!連対数</vt:lpstr>
      <vt:lpstr>りくと!連対数</vt:lpstr>
      <vt:lpstr>全体!連対数</vt:lpstr>
      <vt:lpstr>連対数</vt:lpstr>
      <vt:lpstr>だいち!連対率</vt:lpstr>
      <vt:lpstr>ただ!連対率</vt:lpstr>
      <vt:lpstr>てんちゃん!連対率</vt:lpstr>
      <vt:lpstr>りくと!連対率</vt:lpstr>
      <vt:lpstr>全体!連対率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2020-03-31T11:46:32Z</dcterms:modified>
</cp:coreProperties>
</file>