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四人麻雀\"/>
    </mc:Choice>
  </mc:AlternateContent>
  <xr:revisionPtr revIDLastSave="0" documentId="13_ncr:1_{F07C999B-38D2-4378-A10C-1FAC26B71419}" xr6:coauthVersionLast="44" xr6:coauthVersionMax="44" xr10:uidLastSave="{00000000-0000-0000-0000-000000000000}"/>
  <bookViews>
    <workbookView xWindow="5760" yWindow="3432" windowWidth="17280" windowHeight="9072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3371" r:id="rId4"/>
    <sheet name="だいち" sheetId="3372" r:id="rId5"/>
    <sheet name="りくと" sheetId="3373" r:id="rId6"/>
    <sheet name="てんちゃん" sheetId="3374" r:id="rId7"/>
    <sheet name="ただ" sheetId="3375" r:id="rId8"/>
    <sheet name="わさび" sheetId="3376" r:id="rId9"/>
    <sheet name="Template" sheetId="2228" state="hidden" r:id="rId10"/>
  </sheets>
  <definedNames>
    <definedName name="アガリ数" localSheetId="4">だいち!$B$22</definedName>
    <definedName name="アガリ数" localSheetId="7">ただ!$B$22</definedName>
    <definedName name="アガリ数" localSheetId="6">てんちゃん!$B$22</definedName>
    <definedName name="アガリ数" localSheetId="5">りくと!$B$22</definedName>
    <definedName name="アガリ数" localSheetId="8">わさび!$B$22</definedName>
    <definedName name="アガリ数" localSheetId="3">全体!$B$22</definedName>
    <definedName name="アガリ数">Template!$B$22</definedName>
    <definedName name="アガリ率" localSheetId="4">だいち!$C$22</definedName>
    <definedName name="アガリ率" localSheetId="7">ただ!$C$22</definedName>
    <definedName name="アガリ率" localSheetId="6">てんちゃん!$C$22</definedName>
    <definedName name="アガリ率" localSheetId="5">りくと!$C$22</definedName>
    <definedName name="アガリ率" localSheetId="8">わさび!$C$22</definedName>
    <definedName name="アガリ率" localSheetId="3">全体!$C$22</definedName>
    <definedName name="アガリ率">Template!$C$22</definedName>
    <definedName name="ダマアガリ数" localSheetId="4">だいち!$B$28</definedName>
    <definedName name="ダマアガリ数" localSheetId="7">ただ!$B$28</definedName>
    <definedName name="ダマアガリ数" localSheetId="6">てんちゃん!$B$28</definedName>
    <definedName name="ダマアガリ数" localSheetId="5">りくと!$B$28</definedName>
    <definedName name="ダマアガリ数" localSheetId="8">わさび!$B$28</definedName>
    <definedName name="ダマアガリ数" localSheetId="3">全体!$B$28</definedName>
    <definedName name="ダマアガリ数">Template!$B$28</definedName>
    <definedName name="ダマアガリ点" localSheetId="4">だいち!#REF!</definedName>
    <definedName name="ダマアガリ点" localSheetId="7">ただ!#REF!</definedName>
    <definedName name="ダマアガリ点" localSheetId="6">てんちゃん!#REF!</definedName>
    <definedName name="ダマアガリ点" localSheetId="5">りくと!#REF!</definedName>
    <definedName name="ダマアガリ点" localSheetId="8">わさび!#REF!</definedName>
    <definedName name="ダマアガリ点" localSheetId="3">全体!#REF!</definedName>
    <definedName name="ダマアガリ点">Template!#REF!</definedName>
    <definedName name="ダマアガリ率" localSheetId="4">だいち!$C$28</definedName>
    <definedName name="ダマアガリ率" localSheetId="7">ただ!$C$28</definedName>
    <definedName name="ダマアガリ率" localSheetId="6">てんちゃん!$C$28</definedName>
    <definedName name="ダマアガリ率" localSheetId="5">りくと!$C$28</definedName>
    <definedName name="ダマアガリ率" localSheetId="8">わさび!$C$28</definedName>
    <definedName name="ダマアガリ率" localSheetId="3">全体!$C$28</definedName>
    <definedName name="ダマアガリ率">Template!$C$28</definedName>
    <definedName name="チョンボ数" localSheetId="4">だいち!$B$37</definedName>
    <definedName name="チョンボ数" localSheetId="7">ただ!$B$37</definedName>
    <definedName name="チョンボ数" localSheetId="6">てんちゃん!$B$37</definedName>
    <definedName name="チョンボ数" localSheetId="5">りくと!$B$37</definedName>
    <definedName name="チョンボ数" localSheetId="8">わさび!$B$37</definedName>
    <definedName name="チョンボ数" localSheetId="3">全体!$B$37</definedName>
    <definedName name="チョンボ数">Template!$B$37</definedName>
    <definedName name="チョンボ率" localSheetId="4">だいち!$C$37</definedName>
    <definedName name="チョンボ率" localSheetId="7">ただ!$C$37</definedName>
    <definedName name="チョンボ率" localSheetId="6">てんちゃん!$C$37</definedName>
    <definedName name="チョンボ率" localSheetId="5">りくと!$C$37</definedName>
    <definedName name="チョンボ率" localSheetId="8">わさび!$C$37</definedName>
    <definedName name="チョンボ率" localSheetId="3">全体!$C$37</definedName>
    <definedName name="チョンボ率">Template!$C$37</definedName>
    <definedName name="ツモ数" localSheetId="4">だいち!$B$24</definedName>
    <definedName name="ツモ数" localSheetId="7">ただ!$B$24</definedName>
    <definedName name="ツモ数" localSheetId="6">てんちゃん!$B$24</definedName>
    <definedName name="ツモ数" localSheetId="5">りくと!$B$24</definedName>
    <definedName name="ツモ数" localSheetId="8">わさび!$B$24</definedName>
    <definedName name="ツモ数" localSheetId="3">全体!$B$24</definedName>
    <definedName name="ツモ数">Template!$B$24</definedName>
    <definedName name="ツモ率" localSheetId="4">だいち!$C$24</definedName>
    <definedName name="ツモ率" localSheetId="7">ただ!$C$24</definedName>
    <definedName name="ツモ率" localSheetId="6">てんちゃん!$C$24</definedName>
    <definedName name="ツモ率" localSheetId="5">りくと!$C$24</definedName>
    <definedName name="ツモ率" localSheetId="8">わさび!$C$24</definedName>
    <definedName name="ツモ率" localSheetId="3">全体!$C$24</definedName>
    <definedName name="ツモ率">Template!$C$24</definedName>
    <definedName name="トップ数" localSheetId="4">だいち!$B$7</definedName>
    <definedName name="トップ数" localSheetId="7">ただ!$B$7</definedName>
    <definedName name="トップ数" localSheetId="6">てんちゃん!$B$7</definedName>
    <definedName name="トップ数" localSheetId="5">りくと!$B$7</definedName>
    <definedName name="トップ数" localSheetId="8">わさび!$B$7</definedName>
    <definedName name="トップ数" localSheetId="3">全体!$B$7</definedName>
    <definedName name="トップ数">Template!$B$7</definedName>
    <definedName name="トップ率" localSheetId="4">だいち!$C$7</definedName>
    <definedName name="トップ率" localSheetId="7">ただ!$C$7</definedName>
    <definedName name="トップ率" localSheetId="6">てんちゃん!$C$7</definedName>
    <definedName name="トップ率" localSheetId="5">りくと!$C$7</definedName>
    <definedName name="トップ率" localSheetId="8">わさび!$C$7</definedName>
    <definedName name="トップ率" localSheetId="3">全体!$C$7</definedName>
    <definedName name="トップ率">Template!$C$7</definedName>
    <definedName name="バランス" localSheetId="4">だいち!$B$16</definedName>
    <definedName name="バランス" localSheetId="7">ただ!$B$16</definedName>
    <definedName name="バランス" localSheetId="6">てんちゃん!$B$16</definedName>
    <definedName name="バランス" localSheetId="5">りくと!$B$16</definedName>
    <definedName name="バランス" localSheetId="8">わさび!$B$16</definedName>
    <definedName name="バランス" localSheetId="3">全体!$B$16</definedName>
    <definedName name="バランス">Template!$B$16</definedName>
    <definedName name="ふっとばし数" localSheetId="4">だいち!#REF!</definedName>
    <definedName name="ふっとばし数" localSheetId="7">ただ!#REF!</definedName>
    <definedName name="ふっとばし数" localSheetId="6">てんちゃん!#REF!</definedName>
    <definedName name="ふっとばし数" localSheetId="5">りくと!#REF!</definedName>
    <definedName name="ふっとばし数" localSheetId="8">わさび!#REF!</definedName>
    <definedName name="ふっとばし数" localSheetId="3">全体!#REF!</definedName>
    <definedName name="ふっとばし数">Template!#REF!</definedName>
    <definedName name="ふっとばし率" localSheetId="4">だいち!#REF!</definedName>
    <definedName name="ふっとばし率" localSheetId="7">ただ!#REF!</definedName>
    <definedName name="ふっとばし率" localSheetId="6">てんちゃん!#REF!</definedName>
    <definedName name="ふっとばし率" localSheetId="5">りくと!#REF!</definedName>
    <definedName name="ふっとばし率" localSheetId="8">わさび!#REF!</definedName>
    <definedName name="ふっとばし率" localSheetId="3">全体!#REF!</definedName>
    <definedName name="ふっとばし率">Template!#REF!</definedName>
    <definedName name="ふっとび数" localSheetId="4">だいち!$B$17</definedName>
    <definedName name="ふっとび数" localSheetId="7">ただ!$B$17</definedName>
    <definedName name="ふっとび数" localSheetId="6">てんちゃん!$B$17</definedName>
    <definedName name="ふっとび数" localSheetId="5">りくと!$B$17</definedName>
    <definedName name="ふっとび数" localSheetId="8">わさび!$B$17</definedName>
    <definedName name="ふっとび数" localSheetId="3">全体!$B$17</definedName>
    <definedName name="ふっとび数">Template!$B$17</definedName>
    <definedName name="ふっとび率" localSheetId="4">だいち!$C$17</definedName>
    <definedName name="ふっとび率" localSheetId="7">ただ!$C$17</definedName>
    <definedName name="ふっとび率" localSheetId="6">てんちゃん!$C$17</definedName>
    <definedName name="ふっとび率" localSheetId="5">りくと!$C$17</definedName>
    <definedName name="ふっとび率" localSheetId="8">わさび!$C$17</definedName>
    <definedName name="ふっとび率" localSheetId="3">全体!$C$17</definedName>
    <definedName name="ふっとび率">Template!$C$17</definedName>
    <definedName name="ラス数" localSheetId="4">だいち!$B$10</definedName>
    <definedName name="ラス数" localSheetId="7">ただ!$B$10</definedName>
    <definedName name="ラス数" localSheetId="6">てんちゃん!$B$10</definedName>
    <definedName name="ラス数" localSheetId="5">りくと!$B$10</definedName>
    <definedName name="ラス数" localSheetId="8">わさび!$B$10</definedName>
    <definedName name="ラス数" localSheetId="3">全体!$B$10</definedName>
    <definedName name="ラス数">Template!$B$10</definedName>
    <definedName name="ラス率" localSheetId="4">だいち!$C$10</definedName>
    <definedName name="ラス率" localSheetId="7">ただ!$C$10</definedName>
    <definedName name="ラス率" localSheetId="6">てんちゃん!$C$10</definedName>
    <definedName name="ラス率" localSheetId="5">りくと!$C$10</definedName>
    <definedName name="ラス率" localSheetId="8">わさび!$C$10</definedName>
    <definedName name="ラス率" localSheetId="3">全体!$C$10</definedName>
    <definedName name="ラス率">Template!$C$10</definedName>
    <definedName name="リーチアガリ数" localSheetId="4">だいち!$B$26</definedName>
    <definedName name="リーチアガリ数" localSheetId="7">ただ!$B$26</definedName>
    <definedName name="リーチアガリ数" localSheetId="6">てんちゃん!$B$26</definedName>
    <definedName name="リーチアガリ数" localSheetId="5">りくと!$B$26</definedName>
    <definedName name="リーチアガリ数" localSheetId="8">わさび!$B$26</definedName>
    <definedName name="リーチアガリ数" localSheetId="3">全体!$B$26</definedName>
    <definedName name="リーチアガリ数">Template!$B$26</definedName>
    <definedName name="リーチアガリ率" localSheetId="4">だいち!$C$26</definedName>
    <definedName name="リーチアガリ率" localSheetId="7">ただ!$C$26</definedName>
    <definedName name="リーチアガリ率" localSheetId="6">てんちゃん!$C$26</definedName>
    <definedName name="リーチアガリ率" localSheetId="5">りくと!$C$26</definedName>
    <definedName name="リーチアガリ率" localSheetId="8">わさび!$C$26</definedName>
    <definedName name="リーチアガリ率" localSheetId="3">全体!$C$26</definedName>
    <definedName name="リーチアガリ率">Template!$C$26</definedName>
    <definedName name="リーチ数" localSheetId="4">だいち!$B$18</definedName>
    <definedName name="リーチ数" localSheetId="7">ただ!$B$18</definedName>
    <definedName name="リーチ数" localSheetId="6">てんちゃん!$B$18</definedName>
    <definedName name="リーチ数" localSheetId="5">りくと!$B$18</definedName>
    <definedName name="リーチ数" localSheetId="8">わさび!$B$18</definedName>
    <definedName name="リーチ数" localSheetId="3">全体!$B$18</definedName>
    <definedName name="リーチ数">Template!$B$18</definedName>
    <definedName name="リーチ成功数" localSheetId="4">だいち!$B$20</definedName>
    <definedName name="リーチ成功数" localSheetId="7">ただ!$B$20</definedName>
    <definedName name="リーチ成功数" localSheetId="6">てんちゃん!$B$20</definedName>
    <definedName name="リーチ成功数" localSheetId="5">りくと!$B$20</definedName>
    <definedName name="リーチ成功数" localSheetId="8">わさび!$B$20</definedName>
    <definedName name="リーチ成功数" localSheetId="3">全体!$B$20</definedName>
    <definedName name="リーチ成功数">Template!$B$20</definedName>
    <definedName name="リーチ成功率" localSheetId="4">だいち!$C$20</definedName>
    <definedName name="リーチ成功率" localSheetId="7">ただ!$C$20</definedName>
    <definedName name="リーチ成功率" localSheetId="6">てんちゃん!$C$20</definedName>
    <definedName name="リーチ成功率" localSheetId="5">りくと!$C$20</definedName>
    <definedName name="リーチ成功率" localSheetId="8">わさび!$C$20</definedName>
    <definedName name="リーチ成功率" localSheetId="3">全体!$C$20</definedName>
    <definedName name="リーチ成功率">Template!$C$20</definedName>
    <definedName name="リーチ率" localSheetId="4">だいち!$C$18</definedName>
    <definedName name="リーチ率" localSheetId="7">ただ!$C$18</definedName>
    <definedName name="リーチ率" localSheetId="6">てんちゃん!$C$18</definedName>
    <definedName name="リーチ率" localSheetId="5">りくと!$C$18</definedName>
    <definedName name="リーチ率" localSheetId="8">わさび!$C$18</definedName>
    <definedName name="リーチ率" localSheetId="3">全体!$C$18</definedName>
    <definedName name="リーチ率">Template!$C$18</definedName>
    <definedName name="ロン数" localSheetId="4">だいち!$B$25</definedName>
    <definedName name="ロン数" localSheetId="7">ただ!$B$25</definedName>
    <definedName name="ロン数" localSheetId="6">てんちゃん!$B$25</definedName>
    <definedName name="ロン数" localSheetId="5">りくと!$B$25</definedName>
    <definedName name="ロン数" localSheetId="8">わさび!$B$25</definedName>
    <definedName name="ロン数" localSheetId="3">全体!$B$25</definedName>
    <definedName name="ロン数">Template!$B$25</definedName>
    <definedName name="ロン率" localSheetId="4">だいち!$C$25</definedName>
    <definedName name="ロン率" localSheetId="7">ただ!$C$25</definedName>
    <definedName name="ロン率" localSheetId="6">てんちゃん!$C$25</definedName>
    <definedName name="ロン率" localSheetId="5">りくと!$C$25</definedName>
    <definedName name="ロン率" localSheetId="8">わさび!$C$25</definedName>
    <definedName name="ロン率" localSheetId="3">全体!$C$25</definedName>
    <definedName name="ロン率">Template!$C$25</definedName>
    <definedName name="一位スコア" localSheetId="4">だいち!$B$12</definedName>
    <definedName name="一位スコア" localSheetId="7">ただ!$B$12</definedName>
    <definedName name="一位スコア" localSheetId="6">てんちゃん!$B$12</definedName>
    <definedName name="一位スコア" localSheetId="5">りくと!$B$12</definedName>
    <definedName name="一位スコア" localSheetId="8">わさび!$B$12</definedName>
    <definedName name="一位スコア" localSheetId="3">全体!$B$12</definedName>
    <definedName name="一位スコア">Template!$B$12</definedName>
    <definedName name="一位通算スコア" localSheetId="4">だいち!$C$12</definedName>
    <definedName name="一位通算スコア" localSheetId="7">ただ!$C$12</definedName>
    <definedName name="一位通算スコア" localSheetId="6">てんちゃん!$C$12</definedName>
    <definedName name="一位通算スコア" localSheetId="5">りくと!$C$12</definedName>
    <definedName name="一位通算スコア" localSheetId="8">わさび!$C$12</definedName>
    <definedName name="一位通算スコア" localSheetId="3">全体!$C$12</definedName>
    <definedName name="一位通算スコア">Template!$C$12</definedName>
    <definedName name="逆転数" localSheetId="4">だいち!#REF!</definedName>
    <definedName name="逆転数" localSheetId="7">ただ!#REF!</definedName>
    <definedName name="逆転数" localSheetId="6">てんちゃん!#REF!</definedName>
    <definedName name="逆転数" localSheetId="5">りくと!#REF!</definedName>
    <definedName name="逆転数" localSheetId="8">わさび!#REF!</definedName>
    <definedName name="逆転数" localSheetId="3">全体!#REF!</definedName>
    <definedName name="逆転数">Template!#REF!</definedName>
    <definedName name="逆転率" localSheetId="4">だいち!#REF!</definedName>
    <definedName name="逆転率" localSheetId="7">ただ!#REF!</definedName>
    <definedName name="逆転率" localSheetId="6">てんちゃん!#REF!</definedName>
    <definedName name="逆転率" localSheetId="5">りくと!#REF!</definedName>
    <definedName name="逆転率" localSheetId="8">わさび!#REF!</definedName>
    <definedName name="逆転率" localSheetId="3">全体!#REF!</definedName>
    <definedName name="逆転率">Template!#REF!</definedName>
    <definedName name="現行連続アガリ" localSheetId="4">だいち!$C$33</definedName>
    <definedName name="現行連続アガリ" localSheetId="7">ただ!$C$33</definedName>
    <definedName name="現行連続アガリ" localSheetId="6">てんちゃん!$C$33</definedName>
    <definedName name="現行連続アガリ" localSheetId="5">りくと!$C$33</definedName>
    <definedName name="現行連続アガリ" localSheetId="8">わさび!$C$33</definedName>
    <definedName name="現行連続アガリ" localSheetId="3">全体!$C$33</definedName>
    <definedName name="現行連続アガリ">Template!$C$33</definedName>
    <definedName name="現行連続無放銃" localSheetId="4">だいち!$C$34</definedName>
    <definedName name="現行連続無放銃" localSheetId="7">ただ!$C$34</definedName>
    <definedName name="現行連続無放銃" localSheetId="6">てんちゃん!$C$34</definedName>
    <definedName name="現行連続無放銃" localSheetId="5">りくと!$C$34</definedName>
    <definedName name="現行連続無放銃" localSheetId="8">わさび!$C$34</definedName>
    <definedName name="現行連続無放銃" localSheetId="3">全体!$C$34</definedName>
    <definedName name="現行連続無放銃">Template!$C$34</definedName>
    <definedName name="最高点" localSheetId="4">だいち!$B$36</definedName>
    <definedName name="最高点" localSheetId="7">ただ!$B$36</definedName>
    <definedName name="最高点" localSheetId="6">てんちゃん!$B$36</definedName>
    <definedName name="最高点" localSheetId="5">りくと!$B$36</definedName>
    <definedName name="最高点" localSheetId="8">わさび!$B$36</definedName>
    <definedName name="最高点" localSheetId="3">全体!$B$36</definedName>
    <definedName name="最高点">Template!$B$36</definedName>
    <definedName name="最大ドラ数" localSheetId="4">だいち!$B$35</definedName>
    <definedName name="最大ドラ数" localSheetId="7">ただ!$B$35</definedName>
    <definedName name="最大ドラ数" localSheetId="6">てんちゃん!$B$35</definedName>
    <definedName name="最大ドラ数" localSheetId="5">りくと!$B$35</definedName>
    <definedName name="最大ドラ数" localSheetId="8">わさび!$B$35</definedName>
    <definedName name="最大ドラ数" localSheetId="3">全体!$B$35</definedName>
    <definedName name="最大ドラ数">Template!$B$35</definedName>
    <definedName name="最大点数" localSheetId="4">だいち!$B$36</definedName>
    <definedName name="最大点数" localSheetId="7">ただ!$B$36</definedName>
    <definedName name="最大点数" localSheetId="6">てんちゃん!$B$36</definedName>
    <definedName name="最大点数" localSheetId="5">りくと!$B$36</definedName>
    <definedName name="最大点数" localSheetId="8">わさび!$B$36</definedName>
    <definedName name="最大点数" localSheetId="3">全体!$B$36</definedName>
    <definedName name="最大点数">Template!$B$36</definedName>
    <definedName name="三位スコア" localSheetId="4">だいち!$B$14</definedName>
    <definedName name="三位スコア" localSheetId="7">ただ!$B$14</definedName>
    <definedName name="三位スコア" localSheetId="6">てんちゃん!$B$14</definedName>
    <definedName name="三位スコア" localSheetId="5">りくと!$B$14</definedName>
    <definedName name="三位スコア" localSheetId="8">わさび!$B$14</definedName>
    <definedName name="三位スコア" localSheetId="3">全体!$B$14</definedName>
    <definedName name="三位スコア">Template!$B$14</definedName>
    <definedName name="三位数" localSheetId="4">だいち!$B$9</definedName>
    <definedName name="三位数" localSheetId="7">ただ!$B$9</definedName>
    <definedName name="三位数" localSheetId="6">てんちゃん!$B$9</definedName>
    <definedName name="三位数" localSheetId="5">りくと!$B$9</definedName>
    <definedName name="三位数" localSheetId="8">わさび!$B$9</definedName>
    <definedName name="三位数" localSheetId="3">全体!$B$9</definedName>
    <definedName name="三位数">Template!$B$9</definedName>
    <definedName name="三位通算スコア" localSheetId="4">だいち!$C$14</definedName>
    <definedName name="三位通算スコア" localSheetId="7">ただ!$C$14</definedName>
    <definedName name="三位通算スコア" localSheetId="6">てんちゃん!$C$14</definedName>
    <definedName name="三位通算スコア" localSheetId="5">りくと!$C$14</definedName>
    <definedName name="三位通算スコア" localSheetId="8">わさび!$C$14</definedName>
    <definedName name="三位通算スコア" localSheetId="3">全体!$C$14</definedName>
    <definedName name="三位通算スコア">Template!$C$14</definedName>
    <definedName name="三位率" localSheetId="4">だいち!$C$9</definedName>
    <definedName name="三位率" localSheetId="7">ただ!$C$9</definedName>
    <definedName name="三位率" localSheetId="6">てんちゃん!$C$9</definedName>
    <definedName name="三位率" localSheetId="5">りくと!$C$9</definedName>
    <definedName name="三位率" localSheetId="8">わさび!$C$9</definedName>
    <definedName name="三位率" localSheetId="3">全体!$C$9</definedName>
    <definedName name="三位率">Template!$C$9</definedName>
    <definedName name="四位スコア" localSheetId="4">だいち!$B$15</definedName>
    <definedName name="四位スコア" localSheetId="7">ただ!$B$15</definedName>
    <definedName name="四位スコア" localSheetId="6">てんちゃん!$B$15</definedName>
    <definedName name="四位スコア" localSheetId="5">りくと!$B$15</definedName>
    <definedName name="四位スコア" localSheetId="8">わさび!$B$15</definedName>
    <definedName name="四位スコア" localSheetId="3">全体!$B$15</definedName>
    <definedName name="四位スコア">Template!$B$15</definedName>
    <definedName name="四位通算スコア" localSheetId="4">だいち!$C$15</definedName>
    <definedName name="四位通算スコア" localSheetId="7">ただ!$C$15</definedName>
    <definedName name="四位通算スコア" localSheetId="6">てんちゃん!$C$15</definedName>
    <definedName name="四位通算スコア" localSheetId="5">りくと!$C$15</definedName>
    <definedName name="四位通算スコア" localSheetId="8">わさび!$C$15</definedName>
    <definedName name="四位通算スコア" localSheetId="3">全体!$C$15</definedName>
    <definedName name="四位通算スコア">Template!$C$15</definedName>
    <definedName name="総局数" localSheetId="4">だいち!$B$3</definedName>
    <definedName name="総局数" localSheetId="7">ただ!$B$3</definedName>
    <definedName name="総局数" localSheetId="6">てんちゃん!$B$3</definedName>
    <definedName name="総局数" localSheetId="5">りくと!$B$3</definedName>
    <definedName name="総局数" localSheetId="8">わさび!$B$3</definedName>
    <definedName name="総局数" localSheetId="3">全体!$B$3</definedName>
    <definedName name="総局数">Template!$B$3</definedName>
    <definedName name="対戦数" localSheetId="4">だいち!$B$2</definedName>
    <definedName name="対戦数" localSheetId="7">ただ!$B$2</definedName>
    <definedName name="対戦数" localSheetId="6">てんちゃん!$B$2</definedName>
    <definedName name="対戦数" localSheetId="5">りくと!$B$2</definedName>
    <definedName name="対戦数" localSheetId="8">わさび!$B$2</definedName>
    <definedName name="対戦数" localSheetId="3">全体!$B$2</definedName>
    <definedName name="対戦数">Template!$B$2</definedName>
    <definedName name="通算アガリ点" localSheetId="4">だいち!$C$29</definedName>
    <definedName name="通算アガリ点" localSheetId="7">ただ!$C$29</definedName>
    <definedName name="通算アガリ点" localSheetId="6">てんちゃん!$C$29</definedName>
    <definedName name="通算アガリ点" localSheetId="5">りくと!$C$29</definedName>
    <definedName name="通算アガリ点" localSheetId="8">わさび!$C$29</definedName>
    <definedName name="通算アガリ点" localSheetId="3">全体!$C$29</definedName>
    <definedName name="通算アガリ点">Template!$C$29</definedName>
    <definedName name="通算スコア" localSheetId="4">だいち!$B$4</definedName>
    <definedName name="通算スコア" localSheetId="7">ただ!$B$4</definedName>
    <definedName name="通算スコア" localSheetId="6">てんちゃん!$B$4</definedName>
    <definedName name="通算スコア" localSheetId="5">りくと!$B$4</definedName>
    <definedName name="通算スコア" localSheetId="8">わさび!$B$4</definedName>
    <definedName name="通算スコア" localSheetId="3">全体!$B$4</definedName>
    <definedName name="通算スコア">Template!$B$4</definedName>
    <definedName name="通算副露アガリ点" localSheetId="4">だいち!$C$31</definedName>
    <definedName name="通算副露アガリ点" localSheetId="7">ただ!$C$31</definedName>
    <definedName name="通算副露アガリ点" localSheetId="6">てんちゃん!$C$31</definedName>
    <definedName name="通算副露アガリ点" localSheetId="5">りくと!$C$31</definedName>
    <definedName name="通算副露アガリ点" localSheetId="8">わさび!$C$31</definedName>
    <definedName name="通算副露アガリ点" localSheetId="3">全体!$C$31</definedName>
    <definedName name="通算副露アガリ点">Template!$C$31</definedName>
    <definedName name="通算放銃点" localSheetId="4">だいち!$C$32</definedName>
    <definedName name="通算放銃点" localSheetId="7">ただ!$C$32</definedName>
    <definedName name="通算放銃点" localSheetId="6">てんちゃん!$C$32</definedName>
    <definedName name="通算放銃点" localSheetId="5">りくと!$C$32</definedName>
    <definedName name="通算放銃点" localSheetId="8">わさび!$C$32</definedName>
    <definedName name="通算放銃点" localSheetId="3">全体!$C$32</definedName>
    <definedName name="通算放銃点">Template!$C$32</definedName>
    <definedName name="通算門前アガリ点" localSheetId="4">だいち!$C$30</definedName>
    <definedName name="通算門前アガリ点" localSheetId="7">ただ!$C$30</definedName>
    <definedName name="通算門前アガリ点" localSheetId="6">てんちゃん!$C$30</definedName>
    <definedName name="通算門前アガリ点" localSheetId="5">りくと!$C$30</definedName>
    <definedName name="通算門前アガリ点" localSheetId="8">わさび!$C$30</definedName>
    <definedName name="通算門前アガリ点" localSheetId="3">全体!$C$30</definedName>
    <definedName name="通算門前アガリ点">Template!$C$30</definedName>
    <definedName name="二位スコア" localSheetId="4">だいち!$B$13</definedName>
    <definedName name="二位スコア" localSheetId="7">ただ!$B$13</definedName>
    <definedName name="二位スコア" localSheetId="6">てんちゃん!$B$13</definedName>
    <definedName name="二位スコア" localSheetId="5">りくと!$B$13</definedName>
    <definedName name="二位スコア" localSheetId="8">わさび!$B$13</definedName>
    <definedName name="二位スコア" localSheetId="3">全体!$B$13</definedName>
    <definedName name="二位スコア">Template!$B$13</definedName>
    <definedName name="二位数" localSheetId="4">だいち!$B$8</definedName>
    <definedName name="二位数" localSheetId="7">ただ!$B$8</definedName>
    <definedName name="二位数" localSheetId="6">てんちゃん!$B$8</definedName>
    <definedName name="二位数" localSheetId="5">りくと!$B$8</definedName>
    <definedName name="二位数" localSheetId="8">わさび!$B$8</definedName>
    <definedName name="二位数" localSheetId="3">全体!$B$8</definedName>
    <definedName name="二位数">Template!$B$8</definedName>
    <definedName name="二位通算スコア" localSheetId="4">だいち!$C$13</definedName>
    <definedName name="二位通算スコア" localSheetId="7">ただ!$C$13</definedName>
    <definedName name="二位通算スコア" localSheetId="6">てんちゃん!$C$13</definedName>
    <definedName name="二位通算スコア" localSheetId="5">りくと!$C$13</definedName>
    <definedName name="二位通算スコア" localSheetId="8">わさび!$C$13</definedName>
    <definedName name="二位通算スコア" localSheetId="3">全体!$C$13</definedName>
    <definedName name="二位通算スコア">Template!$C$13</definedName>
    <definedName name="二位率" localSheetId="4">だいち!$C$8</definedName>
    <definedName name="二位率" localSheetId="7">ただ!$C$8</definedName>
    <definedName name="二位率" localSheetId="6">てんちゃん!$C$8</definedName>
    <definedName name="二位率" localSheetId="5">りくと!$C$8</definedName>
    <definedName name="二位率" localSheetId="8">わさび!$C$8</definedName>
    <definedName name="二位率" localSheetId="3">全体!$C$8</definedName>
    <definedName name="二位率">Template!$C$8</definedName>
    <definedName name="副露アガリ数" localSheetId="4">だいち!$B$27</definedName>
    <definedName name="副露アガリ数" localSheetId="7">ただ!$B$27</definedName>
    <definedName name="副露アガリ数" localSheetId="6">てんちゃん!$B$27</definedName>
    <definedName name="副露アガリ数" localSheetId="5">りくと!$B$27</definedName>
    <definedName name="副露アガリ数" localSheetId="8">わさび!$B$27</definedName>
    <definedName name="副露アガリ数" localSheetId="3">全体!$B$27</definedName>
    <definedName name="副露アガリ数">Template!$B$27</definedName>
    <definedName name="副露アガリ点" localSheetId="4">だいち!$B$31</definedName>
    <definedName name="副露アガリ点" localSheetId="7">ただ!$B$31</definedName>
    <definedName name="副露アガリ点" localSheetId="6">てんちゃん!$B$31</definedName>
    <definedName name="副露アガリ点" localSheetId="5">りくと!$B$31</definedName>
    <definedName name="副露アガリ点" localSheetId="8">わさび!$B$31</definedName>
    <definedName name="副露アガリ点" localSheetId="3">全体!$B$31</definedName>
    <definedName name="副露アガリ点">Template!$B$31</definedName>
    <definedName name="副露アガリ率" localSheetId="4">だいち!$C$27</definedName>
    <definedName name="副露アガリ率" localSheetId="7">ただ!$C$27</definedName>
    <definedName name="副露アガリ率" localSheetId="6">てんちゃん!$C$27</definedName>
    <definedName name="副露アガリ率" localSheetId="5">りくと!$C$27</definedName>
    <definedName name="副露アガリ率" localSheetId="8">わさび!$C$27</definedName>
    <definedName name="副露アガリ率" localSheetId="3">全体!$C$27</definedName>
    <definedName name="副露アガリ率">Template!$C$27</definedName>
    <definedName name="副露数" localSheetId="4">だいち!$B$19</definedName>
    <definedName name="副露数" localSheetId="7">ただ!$B$19</definedName>
    <definedName name="副露数" localSheetId="6">てんちゃん!$B$19</definedName>
    <definedName name="副露数" localSheetId="5">りくと!$B$19</definedName>
    <definedName name="副露数" localSheetId="8">わさび!$B$19</definedName>
    <definedName name="副露数" localSheetId="3">全体!$B$19</definedName>
    <definedName name="副露数">Template!$B$19</definedName>
    <definedName name="副露成功数" localSheetId="4">だいち!$B$21</definedName>
    <definedName name="副露成功数" localSheetId="7">ただ!$B$21</definedName>
    <definedName name="副露成功数" localSheetId="6">てんちゃん!$B$21</definedName>
    <definedName name="副露成功数" localSheetId="5">りくと!$B$21</definedName>
    <definedName name="副露成功数" localSheetId="8">わさび!$B$21</definedName>
    <definedName name="副露成功数" localSheetId="3">全体!$B$21</definedName>
    <definedName name="副露成功数">Template!$B$21</definedName>
    <definedName name="副露成功率" localSheetId="4">だいち!$C$21</definedName>
    <definedName name="副露成功率" localSheetId="7">ただ!$C$21</definedName>
    <definedName name="副露成功率" localSheetId="6">てんちゃん!$C$21</definedName>
    <definedName name="副露成功率" localSheetId="5">りくと!$C$21</definedName>
    <definedName name="副露成功率" localSheetId="8">わさび!$C$21</definedName>
    <definedName name="副露成功率" localSheetId="3">全体!$C$21</definedName>
    <definedName name="副露成功率">Template!$C$21</definedName>
    <definedName name="副露率" localSheetId="4">だいち!$C$19</definedName>
    <definedName name="副露率" localSheetId="7">ただ!$C$19</definedName>
    <definedName name="副露率" localSheetId="6">てんちゃん!$C$19</definedName>
    <definedName name="副露率" localSheetId="5">りくと!$C$19</definedName>
    <definedName name="副露率" localSheetId="8">わさび!$C$19</definedName>
    <definedName name="副露率" localSheetId="3">全体!$C$19</definedName>
    <definedName name="副露率">Template!$C$19</definedName>
    <definedName name="平均アガリ点" localSheetId="4">だいち!$B$29</definedName>
    <definedName name="平均アガリ点" localSheetId="7">ただ!$B$29</definedName>
    <definedName name="平均アガリ点" localSheetId="6">てんちゃん!$B$29</definedName>
    <definedName name="平均アガリ点" localSheetId="5">りくと!$B$29</definedName>
    <definedName name="平均アガリ点" localSheetId="8">わさび!$B$29</definedName>
    <definedName name="平均アガリ点" localSheetId="3">全体!$B$29</definedName>
    <definedName name="平均アガリ点">Template!$B$29</definedName>
    <definedName name="平均スコア" localSheetId="4">だいち!$B$5</definedName>
    <definedName name="平均スコア" localSheetId="7">ただ!$B$5</definedName>
    <definedName name="平均スコア" localSheetId="6">てんちゃん!$B$5</definedName>
    <definedName name="平均スコア" localSheetId="5">りくと!$B$5</definedName>
    <definedName name="平均スコア" localSheetId="8">わさび!$B$5</definedName>
    <definedName name="平均スコア" localSheetId="3">全体!$B$5</definedName>
    <definedName name="平均スコア">Template!$B$5</definedName>
    <definedName name="平均順位" localSheetId="4">だいち!$B$6</definedName>
    <definedName name="平均順位" localSheetId="7">ただ!$B$6</definedName>
    <definedName name="平均順位" localSheetId="6">てんちゃん!$B$6</definedName>
    <definedName name="平均順位" localSheetId="5">りくと!$B$6</definedName>
    <definedName name="平均順位" localSheetId="8">わさび!$B$6</definedName>
    <definedName name="平均順位" localSheetId="3">全体!$B$6</definedName>
    <definedName name="平均順位">Template!$B$6</definedName>
    <definedName name="平均放銃点" localSheetId="4">だいち!$B$32</definedName>
    <definedName name="平均放銃点" localSheetId="7">ただ!$B$32</definedName>
    <definedName name="平均放銃点" localSheetId="6">てんちゃん!$B$32</definedName>
    <definedName name="平均放銃点" localSheetId="5">りくと!$B$32</definedName>
    <definedName name="平均放銃点" localSheetId="8">わさび!$B$32</definedName>
    <definedName name="平均放銃点" localSheetId="3">全体!$B$32</definedName>
    <definedName name="平均放銃点">Template!$B$32</definedName>
    <definedName name="放銃数" localSheetId="4">だいち!$B$23</definedName>
    <definedName name="放銃数" localSheetId="7">ただ!$B$23</definedName>
    <definedName name="放銃数" localSheetId="6">てんちゃん!$B$23</definedName>
    <definedName name="放銃数" localSheetId="5">りくと!$B$23</definedName>
    <definedName name="放銃数" localSheetId="8">わさび!$B$23</definedName>
    <definedName name="放銃数" localSheetId="3">全体!$B$23</definedName>
    <definedName name="放銃数">Template!$B$23</definedName>
    <definedName name="放銃率" localSheetId="4">だいち!$C$23</definedName>
    <definedName name="放銃率" localSheetId="7">ただ!$C$23</definedName>
    <definedName name="放銃率" localSheetId="6">てんちゃん!$C$23</definedName>
    <definedName name="放銃率" localSheetId="5">りくと!$C$23</definedName>
    <definedName name="放銃率" localSheetId="8">わさび!$C$23</definedName>
    <definedName name="放銃率" localSheetId="3">全体!$C$23</definedName>
    <definedName name="放銃率">Template!$C$23</definedName>
    <definedName name="名前" localSheetId="4">だいち!$B$1</definedName>
    <definedName name="名前" localSheetId="7">ただ!$B$1</definedName>
    <definedName name="名前" localSheetId="6">てんちゃん!$B$1</definedName>
    <definedName name="名前" localSheetId="5">りくと!$B$1</definedName>
    <definedName name="名前" localSheetId="8">わさび!$B$1</definedName>
    <definedName name="名前" localSheetId="3">全体!$B$1</definedName>
    <definedName name="名前">Template!$B$1</definedName>
    <definedName name="門前アガリ点" localSheetId="4">だいち!$B$30</definedName>
    <definedName name="門前アガリ点" localSheetId="7">ただ!$B$30</definedName>
    <definedName name="門前アガリ点" localSheetId="6">てんちゃん!$B$30</definedName>
    <definedName name="門前アガリ点" localSheetId="5">りくと!$B$30</definedName>
    <definedName name="門前アガリ点" localSheetId="8">わさび!$B$30</definedName>
    <definedName name="門前アガリ点" localSheetId="3">全体!$B$30</definedName>
    <definedName name="門前アガリ点">Template!$B$30</definedName>
    <definedName name="連続アガリ" localSheetId="4">だいち!$B$33</definedName>
    <definedName name="連続アガリ" localSheetId="7">ただ!$B$33</definedName>
    <definedName name="連続アガリ" localSheetId="6">てんちゃん!$B$33</definedName>
    <definedName name="連続アガリ" localSheetId="5">りくと!$B$33</definedName>
    <definedName name="連続アガリ" localSheetId="8">わさび!$B$33</definedName>
    <definedName name="連続アガリ" localSheetId="3">全体!$B$33</definedName>
    <definedName name="連続アガリ">Template!$B$33</definedName>
    <definedName name="連続無放銃" localSheetId="4">だいち!$B$34</definedName>
    <definedName name="連続無放銃" localSheetId="7">ただ!$B$34</definedName>
    <definedName name="連続無放銃" localSheetId="6">てんちゃん!$B$34</definedName>
    <definedName name="連続無放銃" localSheetId="5">りくと!$B$34</definedName>
    <definedName name="連続無放銃" localSheetId="8">わさび!$B$34</definedName>
    <definedName name="連続無放銃" localSheetId="3">全体!$B$34</definedName>
    <definedName name="連続無放銃">Template!$B$34</definedName>
    <definedName name="連対数" localSheetId="4">だいち!$B$11</definedName>
    <definedName name="連対数" localSheetId="7">ただ!$B$11</definedName>
    <definedName name="連対数" localSheetId="6">てんちゃん!$B$11</definedName>
    <definedName name="連対数" localSheetId="5">りくと!$B$11</definedName>
    <definedName name="連対数" localSheetId="8">わさび!$B$11</definedName>
    <definedName name="連対数" localSheetId="3">全体!$B$11</definedName>
    <definedName name="連対数">Template!$B$11</definedName>
    <definedName name="連対率" localSheetId="4">だいち!$C$11</definedName>
    <definedName name="連対率" localSheetId="7">ただ!$C$11</definedName>
    <definedName name="連対率" localSheetId="6">てんちゃん!$C$11</definedName>
    <definedName name="連対率" localSheetId="5">りくと!$C$11</definedName>
    <definedName name="連対率" localSheetId="8">わさび!$C$11</definedName>
    <definedName name="連対率" localSheetId="3">全体!$C$11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3376" l="1"/>
  <c r="O21" i="3375"/>
  <c r="O19" i="3373"/>
  <c r="O18" i="3374"/>
  <c r="O21" i="3376"/>
  <c r="O19" i="3376"/>
  <c r="O20" i="3376"/>
  <c r="C37" i="3376"/>
  <c r="B32" i="3376"/>
  <c r="C23" i="3376"/>
  <c r="B22" i="3376"/>
  <c r="C50" i="3376" s="1"/>
  <c r="B21" i="3376"/>
  <c r="B31" i="3376" s="1"/>
  <c r="C20" i="3376"/>
  <c r="B20" i="3376"/>
  <c r="C19" i="3376"/>
  <c r="C18" i="3376"/>
  <c r="C17" i="3376"/>
  <c r="O15" i="3376"/>
  <c r="B15" i="3376"/>
  <c r="O14" i="3376"/>
  <c r="B14" i="3376"/>
  <c r="O13" i="3376"/>
  <c r="B13" i="3376"/>
  <c r="O12" i="3376"/>
  <c r="B12" i="3376"/>
  <c r="B11" i="3376"/>
  <c r="C11" i="3376" s="1"/>
  <c r="C10" i="3376"/>
  <c r="O9" i="3376"/>
  <c r="C9" i="3376"/>
  <c r="O8" i="3376"/>
  <c r="C8" i="3376"/>
  <c r="O7" i="3376"/>
  <c r="C7" i="3376"/>
  <c r="O6" i="3376"/>
  <c r="B6" i="3376"/>
  <c r="O5" i="3376"/>
  <c r="B5" i="3376"/>
  <c r="O4" i="3376"/>
  <c r="O3" i="3376"/>
  <c r="O2" i="3376"/>
  <c r="O18" i="3372"/>
  <c r="O20" i="3371"/>
  <c r="B16" i="3376" l="1"/>
  <c r="C21" i="3376"/>
  <c r="C26" i="3376"/>
  <c r="H15" i="3376"/>
  <c r="H22" i="3376"/>
  <c r="H10" i="3376"/>
  <c r="H34" i="3376"/>
  <c r="H42" i="3376"/>
  <c r="H19" i="3376"/>
  <c r="C22" i="3376"/>
  <c r="H37" i="3376"/>
  <c r="H8" i="3376"/>
  <c r="H13" i="3376"/>
  <c r="H23" i="3376"/>
  <c r="H29" i="3376"/>
  <c r="C45" i="3376"/>
  <c r="H27" i="3376"/>
  <c r="B29" i="3376"/>
  <c r="H9" i="3376"/>
  <c r="C48" i="3376"/>
  <c r="C43" i="3376"/>
  <c r="C47" i="3376"/>
  <c r="H6" i="3376"/>
  <c r="C24" i="3376"/>
  <c r="H31" i="3376"/>
  <c r="H40" i="3376"/>
  <c r="H2" i="3376"/>
  <c r="H3" i="3376"/>
  <c r="H14" i="3376"/>
  <c r="H25" i="3376"/>
  <c r="C40" i="3376"/>
  <c r="C51" i="3376"/>
  <c r="H12" i="3376"/>
  <c r="H36" i="3376"/>
  <c r="C28" i="3376"/>
  <c r="C44" i="3376"/>
  <c r="H7" i="3376"/>
  <c r="H20" i="3376"/>
  <c r="H16" i="3376"/>
  <c r="H39" i="3376"/>
  <c r="H18" i="3376"/>
  <c r="C25" i="3376"/>
  <c r="H33" i="3376"/>
  <c r="C41" i="3376"/>
  <c r="C52" i="3376"/>
  <c r="H26" i="3376"/>
  <c r="H30" i="3376"/>
  <c r="H35" i="3376"/>
  <c r="H41" i="3376"/>
  <c r="C46" i="3376"/>
  <c r="B30" i="3376"/>
  <c r="C27" i="3376"/>
  <c r="C42" i="3376"/>
  <c r="C49" i="3376"/>
  <c r="H17" i="3376"/>
  <c r="H5" i="3376"/>
  <c r="H11" i="3376"/>
  <c r="H21" i="3376"/>
  <c r="H24" i="3376"/>
  <c r="H28" i="3376"/>
  <c r="H32" i="3376"/>
  <c r="H38" i="3376"/>
  <c r="H4" i="3376"/>
  <c r="O19" i="3375" l="1"/>
  <c r="O18" i="3375"/>
  <c r="O20" i="3375"/>
  <c r="C37" i="3375"/>
  <c r="B32" i="3375"/>
  <c r="C23" i="3375"/>
  <c r="B22" i="3375"/>
  <c r="C50" i="3375" s="1"/>
  <c r="C21" i="3375"/>
  <c r="B21" i="3375"/>
  <c r="B31" i="3375" s="1"/>
  <c r="B20" i="3375"/>
  <c r="C20" i="3375" s="1"/>
  <c r="C19" i="3375"/>
  <c r="C18" i="3375"/>
  <c r="C17" i="3375"/>
  <c r="O15" i="3375"/>
  <c r="B15" i="3375"/>
  <c r="B16" i="3375" s="1"/>
  <c r="O14" i="3375"/>
  <c r="B14" i="3375"/>
  <c r="O13" i="3375"/>
  <c r="B13" i="3375"/>
  <c r="O12" i="3375"/>
  <c r="B12" i="3375"/>
  <c r="B11" i="3375"/>
  <c r="C11" i="3375" s="1"/>
  <c r="C10" i="3375"/>
  <c r="O9" i="3375"/>
  <c r="C9" i="3375"/>
  <c r="O8" i="3375"/>
  <c r="C8" i="3375"/>
  <c r="O7" i="3375"/>
  <c r="C7" i="3375"/>
  <c r="O6" i="3375"/>
  <c r="B6" i="3375"/>
  <c r="O5" i="3375"/>
  <c r="B5" i="3375"/>
  <c r="O4" i="3375"/>
  <c r="O3" i="3375"/>
  <c r="O2" i="3375"/>
  <c r="O19" i="3374"/>
  <c r="O21" i="3374"/>
  <c r="O20" i="3374"/>
  <c r="C37" i="3374"/>
  <c r="B32" i="3374"/>
  <c r="C23" i="3374"/>
  <c r="B22" i="3374"/>
  <c r="C49" i="3374" s="1"/>
  <c r="B21" i="3374"/>
  <c r="B31" i="3374" s="1"/>
  <c r="B20" i="3374"/>
  <c r="C20" i="3374" s="1"/>
  <c r="C19" i="3374"/>
  <c r="C18" i="3374"/>
  <c r="C17" i="3374"/>
  <c r="O15" i="3374"/>
  <c r="B15" i="3374"/>
  <c r="O14" i="3374"/>
  <c r="B14" i="3374"/>
  <c r="O13" i="3374"/>
  <c r="B13" i="3374"/>
  <c r="O12" i="3374"/>
  <c r="B12" i="3374"/>
  <c r="B11" i="3374"/>
  <c r="C11" i="3374" s="1"/>
  <c r="C10" i="3374"/>
  <c r="O9" i="3374"/>
  <c r="C9" i="3374"/>
  <c r="O8" i="3374"/>
  <c r="C8" i="3374"/>
  <c r="O7" i="3374"/>
  <c r="C7" i="3374"/>
  <c r="O6" i="3374"/>
  <c r="B6" i="3374"/>
  <c r="O5" i="3374"/>
  <c r="B5" i="3374"/>
  <c r="O4" i="3374"/>
  <c r="O3" i="3374"/>
  <c r="O2" i="3374"/>
  <c r="O20" i="3373"/>
  <c r="O18" i="3373"/>
  <c r="O21" i="3373"/>
  <c r="C37" i="3373"/>
  <c r="B32" i="3373"/>
  <c r="C23" i="3373"/>
  <c r="B22" i="3373"/>
  <c r="C49" i="3373" s="1"/>
  <c r="B21" i="3373"/>
  <c r="B31" i="3373" s="1"/>
  <c r="B20" i="3373"/>
  <c r="C20" i="3373" s="1"/>
  <c r="C19" i="3373"/>
  <c r="C18" i="3373"/>
  <c r="C17" i="3373"/>
  <c r="O15" i="3373"/>
  <c r="B15" i="3373"/>
  <c r="O14" i="3373"/>
  <c r="B14" i="3373"/>
  <c r="O13" i="3373"/>
  <c r="B13" i="3373"/>
  <c r="O12" i="3373"/>
  <c r="B12" i="3373"/>
  <c r="B11" i="3373"/>
  <c r="C11" i="3373" s="1"/>
  <c r="C10" i="3373"/>
  <c r="O9" i="3373"/>
  <c r="C9" i="3373"/>
  <c r="O8" i="3373"/>
  <c r="C8" i="3373"/>
  <c r="O7" i="3373"/>
  <c r="C7" i="3373"/>
  <c r="O6" i="3373"/>
  <c r="B6" i="3373"/>
  <c r="O5" i="3373"/>
  <c r="B5" i="3373"/>
  <c r="O4" i="3373"/>
  <c r="O3" i="3373"/>
  <c r="O2" i="3373"/>
  <c r="O21" i="3371"/>
  <c r="O20" i="3372"/>
  <c r="O21" i="3372"/>
  <c r="O19" i="3372"/>
  <c r="C37" i="3372"/>
  <c r="B32" i="3372"/>
  <c r="C23" i="3372"/>
  <c r="B22" i="3372"/>
  <c r="C49" i="3372" s="1"/>
  <c r="B21" i="3372"/>
  <c r="B31" i="3372" s="1"/>
  <c r="B20" i="3372"/>
  <c r="C20" i="3372" s="1"/>
  <c r="C19" i="3372"/>
  <c r="C18" i="3372"/>
  <c r="C17" i="3372"/>
  <c r="O15" i="3372"/>
  <c r="B15" i="3372"/>
  <c r="O14" i="3372"/>
  <c r="B14" i="3372"/>
  <c r="O13" i="3372"/>
  <c r="B13" i="3372"/>
  <c r="O12" i="3372"/>
  <c r="B12" i="3372"/>
  <c r="B11" i="3372"/>
  <c r="C11" i="3372" s="1"/>
  <c r="C10" i="3372"/>
  <c r="O9" i="3372"/>
  <c r="C9" i="3372"/>
  <c r="O8" i="3372"/>
  <c r="C8" i="3372"/>
  <c r="O7" i="3372"/>
  <c r="C7" i="3372"/>
  <c r="O6" i="3372"/>
  <c r="B6" i="3372"/>
  <c r="O5" i="3372"/>
  <c r="B5" i="3372"/>
  <c r="O4" i="3372"/>
  <c r="O3" i="3372"/>
  <c r="O2" i="3372"/>
  <c r="O18" i="3371"/>
  <c r="O22" i="3371"/>
  <c r="O19" i="3371"/>
  <c r="C37" i="3371"/>
  <c r="B32" i="3371"/>
  <c r="C23" i="3371"/>
  <c r="B22" i="3371"/>
  <c r="C52" i="3371" s="1"/>
  <c r="B21" i="3371"/>
  <c r="B31" i="3371" s="1"/>
  <c r="B20" i="3371"/>
  <c r="C20" i="3371" s="1"/>
  <c r="C19" i="3371"/>
  <c r="C18" i="3371"/>
  <c r="C17" i="3371"/>
  <c r="O15" i="3371"/>
  <c r="B15" i="3371"/>
  <c r="O14" i="3371"/>
  <c r="B14" i="3371"/>
  <c r="O13" i="3371"/>
  <c r="B13" i="3371"/>
  <c r="O12" i="3371"/>
  <c r="B12" i="3371"/>
  <c r="B11" i="3371"/>
  <c r="C11" i="3371" s="1"/>
  <c r="C10" i="3371"/>
  <c r="O9" i="3371"/>
  <c r="C9" i="3371"/>
  <c r="O8" i="3371"/>
  <c r="C8" i="3371"/>
  <c r="O7" i="3371"/>
  <c r="C7" i="3371"/>
  <c r="O6" i="3371"/>
  <c r="B6" i="3371"/>
  <c r="O5" i="3371"/>
  <c r="B5" i="3371"/>
  <c r="O4" i="3371"/>
  <c r="O3" i="3371"/>
  <c r="O2" i="3371"/>
  <c r="H18" i="3373" l="1"/>
  <c r="H5" i="3373"/>
  <c r="C22" i="3373"/>
  <c r="C21" i="3374"/>
  <c r="H21" i="3372"/>
  <c r="B16" i="3372"/>
  <c r="C21" i="3373"/>
  <c r="B16" i="3371"/>
  <c r="H19" i="3374"/>
  <c r="C25" i="3375"/>
  <c r="H28" i="3375"/>
  <c r="H15" i="3375"/>
  <c r="H18" i="3375"/>
  <c r="H33" i="3375"/>
  <c r="H34" i="3375"/>
  <c r="H20" i="3375"/>
  <c r="H24" i="3375"/>
  <c r="C42" i="3375"/>
  <c r="C43" i="3375"/>
  <c r="H6" i="3375"/>
  <c r="H16" i="3375"/>
  <c r="H21" i="3375"/>
  <c r="C27" i="3375"/>
  <c r="H37" i="3375"/>
  <c r="C44" i="3375"/>
  <c r="H19" i="3375"/>
  <c r="C22" i="3375"/>
  <c r="C28" i="3375"/>
  <c r="C45" i="3375"/>
  <c r="H39" i="3375"/>
  <c r="C48" i="3375"/>
  <c r="H3" i="3375"/>
  <c r="H25" i="3375"/>
  <c r="H7" i="3375"/>
  <c r="H5" i="3375"/>
  <c r="H17" i="3375"/>
  <c r="B29" i="3375"/>
  <c r="H40" i="3375"/>
  <c r="C49" i="3375"/>
  <c r="H11" i="3375"/>
  <c r="H14" i="3375"/>
  <c r="H12" i="3375"/>
  <c r="C24" i="3375"/>
  <c r="H31" i="3375"/>
  <c r="C40" i="3375"/>
  <c r="C51" i="3375"/>
  <c r="H9" i="3375"/>
  <c r="H22" i="3375"/>
  <c r="H8" i="3375"/>
  <c r="H27" i="3375"/>
  <c r="H42" i="3375"/>
  <c r="C52" i="3375"/>
  <c r="H13" i="3375"/>
  <c r="H30" i="3375"/>
  <c r="H35" i="3375"/>
  <c r="H41" i="3375"/>
  <c r="C46" i="3375"/>
  <c r="C26" i="3375"/>
  <c r="B30" i="3375"/>
  <c r="H36" i="3375"/>
  <c r="C41" i="3375"/>
  <c r="C47" i="3375"/>
  <c r="H2" i="3375"/>
  <c r="H10" i="3375"/>
  <c r="H23" i="3375"/>
  <c r="H26" i="3375"/>
  <c r="H29" i="3375"/>
  <c r="H32" i="3375"/>
  <c r="H38" i="3375"/>
  <c r="H4" i="3375"/>
  <c r="B16" i="3374"/>
  <c r="H2" i="3374"/>
  <c r="C22" i="3374"/>
  <c r="H30" i="3374"/>
  <c r="C46" i="3374"/>
  <c r="H3" i="3374"/>
  <c r="H12" i="3374"/>
  <c r="H22" i="3374"/>
  <c r="H25" i="3374"/>
  <c r="H14" i="3374"/>
  <c r="H32" i="3374"/>
  <c r="H38" i="3374"/>
  <c r="H6" i="3374"/>
  <c r="C50" i="3374"/>
  <c r="H15" i="3374"/>
  <c r="H18" i="3374"/>
  <c r="H20" i="3374"/>
  <c r="C24" i="3374"/>
  <c r="C28" i="3374"/>
  <c r="H39" i="3374"/>
  <c r="C43" i="3374"/>
  <c r="C51" i="3374"/>
  <c r="H7" i="3374"/>
  <c r="H10" i="3374"/>
  <c r="H26" i="3374"/>
  <c r="H29" i="3374"/>
  <c r="H33" i="3374"/>
  <c r="H40" i="3374"/>
  <c r="C44" i="3374"/>
  <c r="C52" i="3374"/>
  <c r="H9" i="3374"/>
  <c r="H16" i="3374"/>
  <c r="H11" i="3374"/>
  <c r="H23" i="3374"/>
  <c r="C25" i="3374"/>
  <c r="B29" i="3374"/>
  <c r="H34" i="3374"/>
  <c r="C40" i="3374"/>
  <c r="C45" i="3374"/>
  <c r="H27" i="3374"/>
  <c r="H35" i="3374"/>
  <c r="H41" i="3374"/>
  <c r="H4" i="3374"/>
  <c r="H21" i="3374"/>
  <c r="C26" i="3374"/>
  <c r="B30" i="3374"/>
  <c r="H36" i="3374"/>
  <c r="C41" i="3374"/>
  <c r="C47" i="3374"/>
  <c r="H5" i="3374"/>
  <c r="H17" i="3374"/>
  <c r="H24" i="3374"/>
  <c r="H28" i="3374"/>
  <c r="H31" i="3374"/>
  <c r="H37" i="3374"/>
  <c r="H42" i="3374"/>
  <c r="C48" i="3374"/>
  <c r="H8" i="3374"/>
  <c r="H13" i="3374"/>
  <c r="C27" i="3374"/>
  <c r="C42" i="3374"/>
  <c r="B16" i="3373"/>
  <c r="H30" i="3373"/>
  <c r="C46" i="3373"/>
  <c r="H3" i="3373"/>
  <c r="H10" i="3373"/>
  <c r="H23" i="3373"/>
  <c r="H26" i="3373"/>
  <c r="H29" i="3373"/>
  <c r="H32" i="3373"/>
  <c r="H38" i="3373"/>
  <c r="H2" i="3373"/>
  <c r="C50" i="3373"/>
  <c r="H14" i="3373"/>
  <c r="H17" i="3373"/>
  <c r="H20" i="3373"/>
  <c r="C24" i="3373"/>
  <c r="C28" i="3373"/>
  <c r="H39" i="3373"/>
  <c r="C43" i="3373"/>
  <c r="C51" i="3373"/>
  <c r="H8" i="3373"/>
  <c r="H6" i="3373"/>
  <c r="H27" i="3373"/>
  <c r="H13" i="3373"/>
  <c r="H33" i="3373"/>
  <c r="H40" i="3373"/>
  <c r="C44" i="3373"/>
  <c r="C52" i="3373"/>
  <c r="H11" i="3373"/>
  <c r="H15" i="3373"/>
  <c r="H21" i="3373"/>
  <c r="H24" i="3373"/>
  <c r="C25" i="3373"/>
  <c r="B29" i="3373"/>
  <c r="H34" i="3373"/>
  <c r="C40" i="3373"/>
  <c r="C45" i="3373"/>
  <c r="H12" i="3373"/>
  <c r="H35" i="3373"/>
  <c r="H41" i="3373"/>
  <c r="H7" i="3373"/>
  <c r="H22" i="3373"/>
  <c r="C26" i="3373"/>
  <c r="B30" i="3373"/>
  <c r="H36" i="3373"/>
  <c r="C41" i="3373"/>
  <c r="C47" i="3373"/>
  <c r="H4" i="3373"/>
  <c r="H16" i="3373"/>
  <c r="H25" i="3373"/>
  <c r="H28" i="3373"/>
  <c r="H31" i="3373"/>
  <c r="H37" i="3373"/>
  <c r="H42" i="3373"/>
  <c r="C48" i="3373"/>
  <c r="H9" i="3373"/>
  <c r="H19" i="3373"/>
  <c r="C27" i="3373"/>
  <c r="C42" i="3373"/>
  <c r="C21" i="3372"/>
  <c r="H2" i="3372"/>
  <c r="C22" i="3372"/>
  <c r="H35" i="3372"/>
  <c r="H7" i="3372"/>
  <c r="H8" i="3372"/>
  <c r="H11" i="3372"/>
  <c r="H26" i="3372"/>
  <c r="H30" i="3372"/>
  <c r="H32" i="3372"/>
  <c r="H38" i="3372"/>
  <c r="H3" i="3372"/>
  <c r="C50" i="3372"/>
  <c r="H17" i="3372"/>
  <c r="H20" i="3372"/>
  <c r="H9" i="3372"/>
  <c r="C24" i="3372"/>
  <c r="C28" i="3372"/>
  <c r="H39" i="3372"/>
  <c r="C43" i="3372"/>
  <c r="C51" i="3372"/>
  <c r="H14" i="3372"/>
  <c r="H4" i="3372"/>
  <c r="H27" i="3372"/>
  <c r="H12" i="3372"/>
  <c r="H33" i="3372"/>
  <c r="H40" i="3372"/>
  <c r="C44" i="3372"/>
  <c r="C52" i="3372"/>
  <c r="H6" i="3372"/>
  <c r="H18" i="3372"/>
  <c r="H10" i="3372"/>
  <c r="H24" i="3372"/>
  <c r="C25" i="3372"/>
  <c r="B29" i="3372"/>
  <c r="H34" i="3372"/>
  <c r="C40" i="3372"/>
  <c r="C45" i="3372"/>
  <c r="H28" i="3372"/>
  <c r="H13" i="3372"/>
  <c r="H41" i="3372"/>
  <c r="C46" i="3372"/>
  <c r="H16" i="3372"/>
  <c r="H23" i="3372"/>
  <c r="C26" i="3372"/>
  <c r="B30" i="3372"/>
  <c r="H36" i="3372"/>
  <c r="C41" i="3372"/>
  <c r="C47" i="3372"/>
  <c r="H5" i="3372"/>
  <c r="H19" i="3372"/>
  <c r="H25" i="3372"/>
  <c r="H29" i="3372"/>
  <c r="H31" i="3372"/>
  <c r="H37" i="3372"/>
  <c r="H42" i="3372"/>
  <c r="C48" i="3372"/>
  <c r="H15" i="3372"/>
  <c r="H22" i="3372"/>
  <c r="C27" i="3372"/>
  <c r="C42" i="3372"/>
  <c r="C21" i="3371"/>
  <c r="H11" i="3371"/>
  <c r="H23" i="3371"/>
  <c r="H8" i="3371"/>
  <c r="H2" i="3371"/>
  <c r="H24" i="3371"/>
  <c r="C22" i="3371"/>
  <c r="H21" i="3371"/>
  <c r="H25" i="3371"/>
  <c r="C24" i="3371"/>
  <c r="H6" i="3371"/>
  <c r="C28" i="3371"/>
  <c r="H5" i="3371"/>
  <c r="H22" i="3371"/>
  <c r="H14" i="3371"/>
  <c r="H3" i="3371"/>
  <c r="H16" i="3371"/>
  <c r="H20" i="3371"/>
  <c r="H7" i="3371"/>
  <c r="H9" i="3371"/>
  <c r="C27" i="3371"/>
  <c r="H10" i="3371"/>
  <c r="H12" i="3371"/>
  <c r="H26" i="3371"/>
  <c r="C25" i="3371"/>
  <c r="B29" i="3371"/>
  <c r="H34" i="3371"/>
  <c r="C40" i="3371"/>
  <c r="C45" i="3371"/>
  <c r="H15" i="3371"/>
  <c r="H19" i="3371"/>
  <c r="H35" i="3371"/>
  <c r="H41" i="3371"/>
  <c r="C46" i="3371"/>
  <c r="C26" i="3371"/>
  <c r="B30" i="3371"/>
  <c r="H36" i="3371"/>
  <c r="C41" i="3371"/>
  <c r="C47" i="3371"/>
  <c r="H27" i="3371"/>
  <c r="H30" i="3371"/>
  <c r="H31" i="3371"/>
  <c r="H37" i="3371"/>
  <c r="H42" i="3371"/>
  <c r="C48" i="3371"/>
  <c r="C42" i="3371"/>
  <c r="C49" i="3371"/>
  <c r="H17" i="3371"/>
  <c r="H28" i="3371"/>
  <c r="H18" i="3371"/>
  <c r="H32" i="3371"/>
  <c r="H38" i="3371"/>
  <c r="H4" i="3371"/>
  <c r="C50" i="3371"/>
  <c r="H39" i="3371"/>
  <c r="C43" i="3371"/>
  <c r="C51" i="3371"/>
  <c r="H29" i="3371"/>
  <c r="H13" i="3371"/>
  <c r="H33" i="3371"/>
  <c r="H40" i="3371"/>
  <c r="C44" i="3371"/>
  <c r="B16" i="2228" l="1"/>
  <c r="B15" i="2228"/>
  <c r="B14" i="2228"/>
  <c r="B13" i="2228"/>
  <c r="B12" i="2228"/>
  <c r="B6" i="2228" l="1"/>
  <c r="O5" i="2228" l="1"/>
  <c r="O12" i="2228"/>
  <c r="O13" i="2228"/>
  <c r="O6" i="2228"/>
  <c r="C11" i="2228" l="1"/>
  <c r="B11" i="2228"/>
  <c r="C10" i="2228"/>
  <c r="C8" i="2228"/>
  <c r="C9" i="2228"/>
  <c r="B21" i="2228" l="1"/>
  <c r="B20" i="2228"/>
  <c r="B5" i="2228"/>
  <c r="C22" i="2228"/>
  <c r="C23" i="2228"/>
  <c r="B32" i="2228"/>
  <c r="B31" i="2228" l="1"/>
  <c r="C21" i="2228"/>
  <c r="C37" i="2228" l="1"/>
  <c r="B22" i="2228"/>
  <c r="C20" i="2228"/>
  <c r="C19" i="2228"/>
  <c r="C18" i="2228"/>
  <c r="O15" i="2228"/>
  <c r="O14" i="2228"/>
  <c r="C17" i="2228"/>
  <c r="O9" i="2228"/>
  <c r="C7" i="2228"/>
  <c r="O8" i="2228"/>
  <c r="O7" i="2228"/>
  <c r="O4" i="2228"/>
  <c r="O3" i="2228"/>
  <c r="O2" i="2228"/>
  <c r="C28" i="2228" l="1"/>
  <c r="H9" i="2228"/>
  <c r="C26" i="2228"/>
  <c r="C25" i="2228"/>
  <c r="C24" i="2228"/>
  <c r="C27" i="2228"/>
  <c r="H6" i="2228"/>
  <c r="B30" i="2228"/>
  <c r="B29" i="2228"/>
  <c r="C42" i="2228"/>
  <c r="C52" i="2228"/>
  <c r="C44" i="2228"/>
  <c r="C51" i="2228"/>
  <c r="C43" i="2228"/>
  <c r="C50" i="2228"/>
  <c r="C41" i="2228"/>
  <c r="C49" i="2228"/>
  <c r="C40" i="2228"/>
  <c r="C48" i="2228"/>
  <c r="C47" i="2228"/>
  <c r="C46" i="2228"/>
  <c r="C45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<sst xmlns="http://schemas.openxmlformats.org/spreadsheetml/2006/main" count="1353" uniqueCount="190">
  <si>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</si>
  <si>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</si>
  <si>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</si>
  <si>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</si>
  <si>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</si>
  <si>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</si>
  <si>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</si>
  <si>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</si>
  <si>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</si>
  <si>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</si>
  <si>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</si>
  <si>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</si>
  <si>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</si>
  <si>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</si>
  <si>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</si>
  <si>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</si>
  <si>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</si>
  <si>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</si>
  <si>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</si>
  <si>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</si>
  <si>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</si>
  <si>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</si>
  <si>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</si>
  <si>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</si>
  <si>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</si>
  <si>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</si>
  <si>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</si>
  <si>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</si>
  <si>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</si>
  <si>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</si>
  <si>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</si>
  <si>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</si>
  <si>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</si>
  <si>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</si>
  <si>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</si>
  <si>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</si>
  <si>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</si>
  <si>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</si>
  <si>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</si>
  <si>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</si>
  <si>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</si>
  <si>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</si>
  <si>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</si>
  <si>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</si>
  <si>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</si>
  <si>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</si>
  <si>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</si>
  <si>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</si>
  <si>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</si>
  <si>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</si>
  <si>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</si>
  <si>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</si>
  <si>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</si>
  <si>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</si>
  <si>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</si>
  <si>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</si>
  <si>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</si>
  <si>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</si>
  <si>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</si>
  <si>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</si>
  <si>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</si>
  <si>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</si>
  <si>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</si>
  <si>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</si>
  <si>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</si>
  <si>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</si>
  <si>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</si>
  <si>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</si>
  <si>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</si>
  <si>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</si>
  <si>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</si>
  <si>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</si>
  <si>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</si>
  <si>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</si>
  <si>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</si>
  <si>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</si>
  <si>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</si>
  <si>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</si>
  <si>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</si>
  <si>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</si>
  <si>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</si>
  <si>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</si>
  <si>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</si>
  <si>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</si>
  <si>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</si>
  <si>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</si>
  <si>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</si>
  <si>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</si>
  <si>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</si>
  <si>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</si>
  <si>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</si>
  <si>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</si>
  <si>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</si>
  <si>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</si>
  <si>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</si>
  <si>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</si>
  <si>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</si>
  <si>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</si>
  <si>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</si>
  <si>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</si>
  <si>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</si>
  <si>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</si>
  <si>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</si>
  <si>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</si>
  <si>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</si>
  <si>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</si>
  <si>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</si>
  <si>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</si>
  <si>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</si>
  <si>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</si>
  <si>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</si>
  <si>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</si>
  <si>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</si>
  <si>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</si>
  <si>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</si>
  <si>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</si>
  <si>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</si>
  <si>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</si>
  <si>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</si>
  <si>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</si>
  <si>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</si>
  <si>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</si>
  <si>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</si>
  <si>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</si>
  <si>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</si>
  <si>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</si>
  <si>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</si>
  <si>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</si>
  <si>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</si>
  <si>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</si>
  <si>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</si>
  <si>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</si>
  <si>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</si>
  <si>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</si>
  <si>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</si>
  <si>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</si>
  <si>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</si>
  <si>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</si>
  <si>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</si>
  <si>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</si>
  <si>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</si>
  <si>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</si>
  <si>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</si>
  <si>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</si>
  <si>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</si>
  <si>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</si>
  <si>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</si>
  <si>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</si>
  <si>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</si>
  <si>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</si>
  <si>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</si>
  <si>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</si>
  <si>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</si>
  <si>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</si>
  <si>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</si>
  <si>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</si>
  <si>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</si>
  <si>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</si>
  <si>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</si>
  <si>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</si>
  <si>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</si>
  <si>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</si>
  <si>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</si>
  <si>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</si>
  <si>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</si>
  <si>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</si>
  <si>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</si>
  <si>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</si>
  <si>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</si>
  <si>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地和</t>
    <phoneticPr fontId="2"/>
  </si>
  <si>
    <t>―</t>
  </si>
  <si>
    <t>2020-03-30@Jiqoo.xlsm</t>
  </si>
  <si>
    <t>Sheet1</t>
  </si>
  <si>
    <t>全体</t>
  </si>
  <si>
    <t>りくと</t>
  </si>
  <si>
    <t>てんちゃん</t>
  </si>
  <si>
    <t>ただ</t>
  </si>
  <si>
    <t>だいち</t>
  </si>
  <si>
    <t>バランス</t>
    <phoneticPr fontId="2"/>
  </si>
  <si>
    <t>1位スコア</t>
    <rPh sb="1" eb="2">
      <t>イ</t>
    </rPh>
    <phoneticPr fontId="2"/>
  </si>
  <si>
    <t>2位スコア</t>
    <phoneticPr fontId="2"/>
  </si>
  <si>
    <t>3位スコア</t>
    <phoneticPr fontId="2"/>
  </si>
  <si>
    <t>4位スコア</t>
    <phoneticPr fontId="2"/>
  </si>
  <si>
    <t>d</t>
    <phoneticPr fontId="2"/>
  </si>
  <si>
    <t>Sheet2</t>
  </si>
  <si>
    <t>Sheet3</t>
  </si>
  <si>
    <t>Sheet4</t>
  </si>
  <si>
    <t>Sheet5</t>
  </si>
  <si>
    <t>2020-07-19@AllStar.xlsm</t>
  </si>
  <si>
    <t>わさび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</si>
</sst>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3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全体!$L$2:$L$34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65.5</c:v>
                </c:pt>
                <c:pt idx="2">
                  <c:v>-0.20000000000000284</c:v>
                </c:pt>
                <c:pt idx="3">
                  <c:v>-16.600000000000001</c:v>
                </c:pt>
                <c:pt idx="4">
                  <c:v>0</c:v>
                </c:pt>
                <c:pt idx="5">
                  <c:v>13.4</c:v>
                </c:pt>
                <c:pt idx="6">
                  <c:v>-0.79999999999999893</c:v>
                </c:pt>
                <c:pt idx="7">
                  <c:v>63.900000000000006</c:v>
                </c:pt>
                <c:pt idx="8">
                  <c:v>7.1054273576010019E-15</c:v>
                </c:pt>
                <c:pt idx="9">
                  <c:v>-31.399999999999991</c:v>
                </c:pt>
                <c:pt idx="10">
                  <c:v>-85.6</c:v>
                </c:pt>
                <c:pt idx="11">
                  <c:v>-12</c:v>
                </c:pt>
                <c:pt idx="12">
                  <c:v>-10</c:v>
                </c:pt>
                <c:pt idx="13">
                  <c:v>2.8000000000000007</c:v>
                </c:pt>
                <c:pt idx="14">
                  <c:v>-48.400000000000006</c:v>
                </c:pt>
                <c:pt idx="15">
                  <c:v>-68.5</c:v>
                </c:pt>
                <c:pt idx="16">
                  <c:v>-10</c:v>
                </c:pt>
                <c:pt idx="17">
                  <c:v>10</c:v>
                </c:pt>
                <c:pt idx="18">
                  <c:v>-9</c:v>
                </c:pt>
                <c:pt idx="19">
                  <c:v>54.7</c:v>
                </c:pt>
                <c:pt idx="20">
                  <c:v>-10</c:v>
                </c:pt>
                <c:pt idx="21">
                  <c:v>-65.3</c:v>
                </c:pt>
                <c:pt idx="22">
                  <c:v>-50.599999999999994</c:v>
                </c:pt>
                <c:pt idx="23">
                  <c:v>17.200000000000003</c:v>
                </c:pt>
                <c:pt idx="24">
                  <c:v>-9.9999999999999964</c:v>
                </c:pt>
                <c:pt idx="25">
                  <c:v>-49.599999999999994</c:v>
                </c:pt>
                <c:pt idx="26">
                  <c:v>0.20000000000000284</c:v>
                </c:pt>
                <c:pt idx="27">
                  <c:v>-17.799999999999997</c:v>
                </c:pt>
                <c:pt idx="28">
                  <c:v>-9.9999999999999964</c:v>
                </c:pt>
                <c:pt idx="29">
                  <c:v>-77.8</c:v>
                </c:pt>
                <c:pt idx="30">
                  <c:v>-54.8</c:v>
                </c:pt>
                <c:pt idx="31">
                  <c:v>-78.099999999999994</c:v>
                </c:pt>
                <c:pt idx="32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7D-42DF-AD91-1E7BA5056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-62.5</c:v>
                </c:pt>
                <c:pt idx="2">
                  <c:v>31.25</c:v>
                </c:pt>
                <c:pt idx="3">
                  <c:v>-312.5</c:v>
                </c:pt>
                <c:pt idx="4">
                  <c:v>31.25</c:v>
                </c:pt>
                <c:pt idx="5">
                  <c:v>-62.5</c:v>
                </c:pt>
                <c:pt idx="6">
                  <c:v>62.5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B6-4889-A277-3984D57F2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全体!$A$40:$A$52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全体!$B$40:$B$52</c:f>
              <c:numCache>
                <c:formatCode>0\ "回"</c:formatCode>
                <c:ptCount val="13"/>
                <c:pt idx="0">
                  <c:v>8</c:v>
                </c:pt>
                <c:pt idx="1">
                  <c:v>20</c:v>
                </c:pt>
                <c:pt idx="2">
                  <c:v>20</c:v>
                </c:pt>
                <c:pt idx="3">
                  <c:v>13</c:v>
                </c:pt>
                <c:pt idx="4">
                  <c:v>5</c:v>
                </c:pt>
                <c:pt idx="5">
                  <c:v>6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D3-4AAE-B135-C9BE5B8A7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だいち!$L$2:$L$9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65.5</c:v>
                </c:pt>
                <c:pt idx="2">
                  <c:v>1.6000000000000014</c:v>
                </c:pt>
                <c:pt idx="3">
                  <c:v>75.199999999999989</c:v>
                </c:pt>
                <c:pt idx="4">
                  <c:v>55.099999999999987</c:v>
                </c:pt>
                <c:pt idx="5">
                  <c:v>36.099999999999987</c:v>
                </c:pt>
                <c:pt idx="6">
                  <c:v>-19.20000000000001</c:v>
                </c:pt>
                <c:pt idx="7">
                  <c:v>48.899999999999984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94-44AF-85DA-07D0D94B7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だいち!$O$2:$O$9</c:f>
              <c:numCache>
                <c:formatCode>\+0;\-0;\±0</c:formatCode>
                <c:ptCount val="8"/>
                <c:pt idx="0">
                  <c:v>1585.7142857142858</c:v>
                </c:pt>
                <c:pt idx="1">
                  <c:v>-1457.1428571428571</c:v>
                </c:pt>
                <c:pt idx="2">
                  <c:v>914.28571428571433</c:v>
                </c:pt>
                <c:pt idx="3">
                  <c:v>-700</c:v>
                </c:pt>
                <c:pt idx="4">
                  <c:v>-57.142857142857146</c:v>
                </c:pt>
                <c:pt idx="5">
                  <c:v>-71.428571428571431</c:v>
                </c:pt>
                <c:pt idx="6">
                  <c:v>-1685.7142857142858</c:v>
                </c:pt>
                <c:pt idx="7">
                  <c:v>3457.1428571428573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B7-47ED-B0E6-EC0162529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だいち!$A$40:$A$52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だいち!$B$40:$B$52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F8-4B52-811B-030AD79F6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-65.7</c:v>
                </c:pt>
                <c:pt idx="2">
                  <c:v>-1</c:v>
                </c:pt>
                <c:pt idx="3">
                  <c:v>-32.4</c:v>
                </c:pt>
                <c:pt idx="4">
                  <c:v>-83.6</c:v>
                </c:pt>
                <c:pt idx="5">
                  <c:v>-19.899999999999991</c:v>
                </c:pt>
                <c:pt idx="6">
                  <c:v>-47.099999999999994</c:v>
                </c:pt>
                <c:pt idx="7">
                  <c:v>-39.299999999999997</c:v>
                </c:pt>
                <c:pt idx="8">
                  <c:v>-62.599999999999994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8E-4C66-BA95-5C74688A6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りくと!$O$2:$O$9</c:f>
              <c:numCache>
                <c:formatCode>\+0;\-0;\±0</c:formatCode>
                <c:ptCount val="8"/>
                <c:pt idx="0">
                  <c:v>-900</c:v>
                </c:pt>
                <c:pt idx="1">
                  <c:v>-937.5</c:v>
                </c:pt>
                <c:pt idx="2">
                  <c:v>562.5</c:v>
                </c:pt>
                <c:pt idx="3">
                  <c:v>-600</c:v>
                </c:pt>
                <c:pt idx="4">
                  <c:v>-1712.5</c:v>
                </c:pt>
                <c:pt idx="5">
                  <c:v>-1500</c:v>
                </c:pt>
                <c:pt idx="6">
                  <c:v>4675</c:v>
                </c:pt>
                <c:pt idx="7">
                  <c:v>-4912.5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CD-497A-B52F-43BCE755C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りくと!$A$40:$A$52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りくと!$B$40:$B$52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18-46B2-8A97-B4500A4CE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てんちゃん!$L$2:$L$10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-16.399999999999999</c:v>
                </c:pt>
                <c:pt idx="2">
                  <c:v>-2.9999999999999982</c:v>
                </c:pt>
                <c:pt idx="3">
                  <c:v>-57.2</c:v>
                </c:pt>
                <c:pt idx="4">
                  <c:v>1.2999999999999972</c:v>
                </c:pt>
                <c:pt idx="5">
                  <c:v>21.299999999999997</c:v>
                </c:pt>
                <c:pt idx="6">
                  <c:v>89.1</c:v>
                </c:pt>
                <c:pt idx="7">
                  <c:v>71.099999999999994</c:v>
                </c:pt>
                <c:pt idx="8">
                  <c:v>94.1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EB-4230-AEE0-B0F47FEAE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てんちゃん!$O$2:$O$9</c:f>
              <c:numCache>
                <c:formatCode>\+0;\-0;\±0</c:formatCode>
                <c:ptCount val="8"/>
                <c:pt idx="0">
                  <c:v>3187.5</c:v>
                </c:pt>
                <c:pt idx="1">
                  <c:v>-1025</c:v>
                </c:pt>
                <c:pt idx="2">
                  <c:v>362.5</c:v>
                </c:pt>
                <c:pt idx="3">
                  <c:v>1550</c:v>
                </c:pt>
                <c:pt idx="4">
                  <c:v>3450</c:v>
                </c:pt>
                <c:pt idx="5">
                  <c:v>1450</c:v>
                </c:pt>
                <c:pt idx="6">
                  <c:v>-2575</c:v>
                </c:pt>
                <c:pt idx="7">
                  <c:v>362.5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96-43BB-96CC-F079E92BD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てんちゃん!$A$40:$A$52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てんちゃん!$B$40:$B$52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86-429E-834A-508DC000F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ただ!$L$2:$L$8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16.600000000000001</c:v>
                </c:pt>
                <c:pt idx="2">
                  <c:v>2.4000000000000021</c:v>
                </c:pt>
                <c:pt idx="3">
                  <c:v>4.4000000000000021</c:v>
                </c:pt>
                <c:pt idx="4">
                  <c:v>17.200000000000003</c:v>
                </c:pt>
                <c:pt idx="5">
                  <c:v>-47.5</c:v>
                </c:pt>
                <c:pt idx="6">
                  <c:v>-87.1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AD-450C-B083-F2960577C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ただ!$O$2:$O$9</c:f>
              <c:numCache>
                <c:formatCode>\+0;\-0;\±0</c:formatCode>
                <c:ptCount val="8"/>
                <c:pt idx="0">
                  <c:v>-3200</c:v>
                </c:pt>
                <c:pt idx="1">
                  <c:v>633.33333333333337</c:v>
                </c:pt>
                <c:pt idx="2">
                  <c:v>2166.6666666666665</c:v>
                </c:pt>
                <c:pt idx="3">
                  <c:v>-2366.6666666666665</c:v>
                </c:pt>
                <c:pt idx="4">
                  <c:v>-1550</c:v>
                </c:pt>
                <c:pt idx="5">
                  <c:v>150</c:v>
                </c:pt>
                <c:pt idx="6">
                  <c:v>-166.66666666666666</c:v>
                </c:pt>
                <c:pt idx="7">
                  <c:v>1483.3333333333333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FA-495A-94DA-30A27AC66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ただ!$A$40:$A$52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ただ!$B$40:$B$52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6E-4F37-8738-A4C38E3E4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わさび!$L$2:$L$5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14.7</c:v>
                </c:pt>
                <c:pt idx="2">
                  <c:v>64.5</c:v>
                </c:pt>
                <c:pt idx="3">
                  <c:v>-3.2999999999999972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2-43BE-B862-27BD1BC797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わさび!$O$2:$O$9</c:f>
              <c:numCache>
                <c:formatCode>\+0;\-0;\±0</c:formatCode>
                <c:ptCount val="8"/>
                <c:pt idx="0">
                  <c:v>-3400</c:v>
                </c:pt>
                <c:pt idx="1">
                  <c:v>6700</c:v>
                </c:pt>
                <c:pt idx="2">
                  <c:v>-8600</c:v>
                </c:pt>
                <c:pt idx="3">
                  <c:v>500</c:v>
                </c:pt>
                <c:pt idx="4">
                  <c:v>-1066.6666666666667</c:v>
                </c:pt>
                <c:pt idx="5">
                  <c:v>-666.66666666666663</c:v>
                </c:pt>
                <c:pt idx="6">
                  <c:v>-666.66666666666663</c:v>
                </c:pt>
                <c:pt idx="7">
                  <c:v>1100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BC-4138-8860-B55E6060F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わさび!$A$40:$A$52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わさび!$B$40:$B$52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BF-4E25-AD8D-7857C774E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Template!$A$40:$A$52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Template!$B$40:$B$52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6EBC997-F89B-4F52-9B99-DF9C2C2D11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8501B2F-1568-4F11-9DFE-95587FBE1F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80587B8-27CD-49AF-AC79-6027409D8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3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7">
      <c r="A1" s="23">
        <v>32874</v>
      </c>
      <c r="B1" s="23">
        <v>2958465</v>
      </c>
    </row>
    <row r="2" spans="1:7">
      <c r="A2" s="24" t="s">
        <v>171</v>
      </c>
      <c r="B2" s="25">
        <v>43927.609270833331</v>
      </c>
      <c r="C2" s="24" t="s">
        <v>172</v>
      </c>
      <c r="D2" s="24" t="s">
        <v>184</v>
      </c>
      <c r="E2" s="24" t="s">
        <v>185</v>
      </c>
      <c r="F2" s="24" t="s">
        <v>186</v>
      </c>
      <c r="G2" s="24" t="s">
        <v>187</v>
      </c>
    </row>
    <row r="3" spans="1:7">
      <c r="A3" s="24" t="s">
        <v>188</v>
      </c>
      <c r="B3" s="25">
        <v>44031.784432870372</v>
      </c>
      <c r="C3" s="24" t="s">
        <v>172</v>
      </c>
      <c r="D3" s="24" t="s">
        <v>184</v>
      </c>
      <c r="E3" s="24" t="s">
        <v>185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6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173</v>
      </c>
      <c r="B1">
        <v>32</v>
      </c>
    </row>
    <row r="2" spans="1:2">
      <c r="A2" t="s">
        <v>177</v>
      </c>
      <c r="B2">
        <v>7</v>
      </c>
    </row>
    <row r="3" spans="1:2">
      <c r="A3" t="s">
        <v>174</v>
      </c>
      <c r="B3">
        <v>8</v>
      </c>
    </row>
    <row r="4" spans="1:2">
      <c r="A4" t="s">
        <v>175</v>
      </c>
      <c r="B4">
        <v>8</v>
      </c>
    </row>
    <row r="5" spans="1:2">
      <c r="A5" t="s">
        <v>176</v>
      </c>
      <c r="B5">
        <v>6</v>
      </c>
    </row>
    <row r="6" spans="1:2">
      <c r="A6" t="s">
        <v>189</v>
      </c>
      <c r="B6">
        <v>3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8"/>
  <sheetViews>
    <sheetView showGridLines="0" tabSelected="1" zoomScale="130" zoomScaleNormal="130" workbookViewId="0"/>
  </sheetViews>
  <sheetFormatPr defaultColWidth="9" defaultRowHeight="18"/>
  <cols>
    <col min="1" max="1" width="6" style="58" customWidth="1"/>
    <col min="2" max="2" width="10.69921875" style="59" customWidth="1"/>
    <col min="3" max="3" width="10.69921875" style="123" customWidth="1"/>
    <col min="4" max="4" width="10.69921875" style="59" customWidth="1"/>
    <col min="5" max="5" width="10.69921875" style="60" customWidth="1"/>
    <col min="6" max="6" width="10.69921875" style="61" customWidth="1"/>
    <col min="7" max="7" width="10.69921875" style="73" customWidth="1"/>
    <col min="8" max="8" width="10.69921875" style="61" customWidth="1"/>
    <col min="9" max="9" width="10.69921875" style="73" customWidth="1"/>
    <col min="10" max="10" width="10.69921875" style="61" customWidth="1"/>
    <col min="11" max="11" width="10.69921875" style="62" customWidth="1"/>
    <col min="12" max="12" width="10.69921875" style="61" customWidth="1"/>
    <col min="13" max="13" width="10.69921875" style="63" customWidth="1"/>
    <col min="14" max="14" width="10.69921875" style="61" customWidth="1"/>
    <col min="15" max="15" width="10.69921875" style="63" customWidth="1"/>
    <col min="16" max="16" width="10.69921875" style="61" customWidth="1"/>
    <col min="17" max="17" width="10.69921875" style="63" customWidth="1"/>
    <col min="18" max="18" width="10.69921875" style="61" customWidth="1"/>
    <col min="19" max="19" width="10.69921875" style="64" customWidth="1"/>
    <col min="20" max="20" width="10.69921875" style="61" customWidth="1"/>
    <col min="21" max="21" width="10.69921875" style="64" customWidth="1"/>
    <col min="22" max="22" width="10.69921875" style="61" customWidth="1"/>
    <col min="23" max="23" width="10.69921875" style="65" customWidth="1"/>
    <col min="24" max="24" width="10.69921875" style="61" customWidth="1"/>
    <col min="25" max="25" width="10.69921875" style="65" customWidth="1"/>
    <col min="26" max="26" width="10.69921875" style="61" customWidth="1"/>
    <col min="27" max="27" width="10.69921875" style="64" customWidth="1"/>
    <col min="28" max="28" width="10.69921875" style="61" customWidth="1"/>
    <col min="29" max="29" width="10.69921875" style="64" customWidth="1"/>
    <col min="30" max="30" width="10.69921875" style="61" customWidth="1"/>
    <col min="31" max="31" width="10.69921875" style="64" customWidth="1"/>
    <col min="32" max="32" width="10.69921875" style="61" customWidth="1"/>
    <col min="33" max="33" width="10.69921875" style="64" customWidth="1"/>
    <col min="34" max="34" width="10.69921875" style="61" customWidth="1"/>
    <col min="35" max="35" width="10.69921875" style="64" customWidth="1"/>
    <col min="36" max="36" width="10.69921875" style="61" customWidth="1"/>
    <col min="37" max="37" width="10.69921875" style="68" customWidth="1"/>
    <col min="38" max="16384" width="9" style="49"/>
  </cols>
  <sheetData>
    <row r="1" spans="1:37">
      <c r="A1" s="48" t="s">
        <v>183</v>
      </c>
      <c r="B1" s="134" t="s">
        <v>9</v>
      </c>
      <c r="C1" s="135"/>
      <c r="D1" s="134" t="s">
        <v>6</v>
      </c>
      <c r="E1" s="135"/>
      <c r="F1" s="134" t="s">
        <v>7</v>
      </c>
      <c r="G1" s="135"/>
      <c r="H1" s="140" t="s">
        <v>178</v>
      </c>
      <c r="I1" s="141"/>
      <c r="J1" s="134" t="s">
        <v>15</v>
      </c>
      <c r="K1" s="135"/>
      <c r="L1" s="134" t="s">
        <v>14</v>
      </c>
      <c r="M1" s="135"/>
      <c r="N1" s="134" t="s">
        <v>123</v>
      </c>
      <c r="O1" s="135"/>
      <c r="P1" s="134" t="s">
        <v>152</v>
      </c>
      <c r="Q1" s="135"/>
      <c r="R1" s="134" t="s">
        <v>113</v>
      </c>
      <c r="S1" s="135"/>
      <c r="T1" s="134" t="s">
        <v>114</v>
      </c>
      <c r="U1" s="135"/>
      <c r="V1" s="134" t="s">
        <v>5</v>
      </c>
      <c r="W1" s="135"/>
      <c r="X1" s="134" t="s">
        <v>16</v>
      </c>
      <c r="Y1" s="135"/>
      <c r="Z1" s="134" t="s">
        <v>98</v>
      </c>
      <c r="AA1" s="135"/>
      <c r="AB1" s="134" t="s">
        <v>95</v>
      </c>
      <c r="AC1" s="135"/>
      <c r="AD1" s="134" t="s">
        <v>101</v>
      </c>
      <c r="AE1" s="135"/>
      <c r="AF1" s="134" t="s">
        <v>115</v>
      </c>
      <c r="AG1" s="135"/>
      <c r="AH1" s="134" t="s">
        <v>112</v>
      </c>
      <c r="AI1" s="135"/>
      <c r="AJ1" s="134" t="s">
        <v>146</v>
      </c>
      <c r="AK1" s="135"/>
    </row>
    <row r="2" spans="1:37">
      <c r="A2" s="48" t="s">
        <v>122</v>
      </c>
      <c r="B2" s="136" t="s">
        <v>170</v>
      </c>
      <c r="C2" s="137"/>
      <c r="D2" s="138"/>
      <c r="E2" s="139"/>
      <c r="F2" s="138"/>
      <c r="G2" s="139"/>
      <c r="H2" s="136" t="s">
        <v>170</v>
      </c>
      <c r="I2" s="137"/>
      <c r="J2" s="136" t="s">
        <v>170</v>
      </c>
      <c r="K2" s="137"/>
      <c r="L2" s="136" t="s">
        <v>170</v>
      </c>
      <c r="M2" s="137"/>
      <c r="N2" s="136" t="s">
        <v>170</v>
      </c>
      <c r="O2" s="137"/>
      <c r="P2" s="136" t="s">
        <v>170</v>
      </c>
      <c r="Q2" s="137"/>
      <c r="R2" s="136" t="s">
        <v>170</v>
      </c>
      <c r="S2" s="137"/>
      <c r="T2" s="136" t="s">
        <v>170</v>
      </c>
      <c r="U2" s="137"/>
      <c r="V2" s="136" t="s">
        <v>170</v>
      </c>
      <c r="W2" s="137"/>
      <c r="X2" s="136" t="s">
        <v>170</v>
      </c>
      <c r="Y2" s="137"/>
      <c r="Z2" s="136" t="s">
        <v>170</v>
      </c>
      <c r="AA2" s="137"/>
      <c r="AB2" s="136" t="s">
        <v>170</v>
      </c>
      <c r="AC2" s="137"/>
      <c r="AD2" s="136" t="s">
        <v>170</v>
      </c>
      <c r="AE2" s="137"/>
      <c r="AF2" s="136" t="s">
        <v>170</v>
      </c>
      <c r="AG2" s="137"/>
      <c r="AH2" s="136" t="s">
        <v>170</v>
      </c>
      <c r="AI2" s="137"/>
      <c r="AJ2" s="136" t="s">
        <v>170</v>
      </c>
      <c r="AK2" s="137"/>
    </row>
    <row r="3" spans="1:37">
      <c r="A3" s="50">
        <v>1</v>
      </c>
      <c r="B3" s="51" t="s">
        <v>173</v>
      </c>
      <c r="C3" s="122">
        <v>8</v>
      </c>
      <c r="D3" s="51" t="s">
        <v>175</v>
      </c>
      <c r="E3" s="52">
        <v>94.1</v>
      </c>
      <c r="F3" s="53" t="s">
        <v>175</v>
      </c>
      <c r="G3" s="72">
        <v>11.762499999999999</v>
      </c>
      <c r="H3" s="53" t="s">
        <v>175</v>
      </c>
      <c r="I3" s="72">
        <v>2.6374999999999993</v>
      </c>
      <c r="J3" s="53" t="s">
        <v>175</v>
      </c>
      <c r="K3" s="54">
        <v>2.25</v>
      </c>
      <c r="L3" s="53" t="s">
        <v>177</v>
      </c>
      <c r="M3" s="55">
        <v>0.42857142857142855</v>
      </c>
      <c r="N3" s="53" t="s">
        <v>175</v>
      </c>
      <c r="O3" s="55">
        <v>0.125</v>
      </c>
      <c r="P3" s="53" t="s">
        <v>189</v>
      </c>
      <c r="Q3" s="55">
        <v>0.66666666666666663</v>
      </c>
      <c r="R3" s="53" t="s">
        <v>176</v>
      </c>
      <c r="S3" s="56">
        <v>0.2537313432835821</v>
      </c>
      <c r="T3" s="53" t="s">
        <v>175</v>
      </c>
      <c r="U3" s="56">
        <v>0.10112359550561797</v>
      </c>
      <c r="V3" s="53" t="s">
        <v>175</v>
      </c>
      <c r="W3" s="57">
        <v>6850</v>
      </c>
      <c r="X3" s="53" t="s">
        <v>176</v>
      </c>
      <c r="Y3" s="57">
        <v>-4936.363636363636</v>
      </c>
      <c r="Z3" s="53" t="s">
        <v>176</v>
      </c>
      <c r="AA3" s="56">
        <v>0.28358208955223879</v>
      </c>
      <c r="AB3" s="53" t="s">
        <v>174</v>
      </c>
      <c r="AC3" s="56">
        <v>0.2247191011235955</v>
      </c>
      <c r="AD3" s="53" t="s">
        <v>175</v>
      </c>
      <c r="AE3" s="56">
        <v>0.75</v>
      </c>
      <c r="AF3" s="53" t="s">
        <v>177</v>
      </c>
      <c r="AG3" s="56">
        <v>0.63636363636363635</v>
      </c>
      <c r="AH3" s="53" t="s">
        <v>177</v>
      </c>
      <c r="AI3" s="56">
        <v>0.5</v>
      </c>
      <c r="AJ3" s="53" t="s">
        <v>173</v>
      </c>
      <c r="AK3" s="67">
        <v>53600</v>
      </c>
    </row>
    <row r="4" spans="1:37">
      <c r="A4" s="58">
        <v>2</v>
      </c>
      <c r="B4" s="59" t="s">
        <v>174</v>
      </c>
      <c r="C4" s="123">
        <v>8</v>
      </c>
      <c r="D4" s="59" t="s">
        <v>177</v>
      </c>
      <c r="E4" s="60">
        <v>48.899999999999984</v>
      </c>
      <c r="F4" s="61" t="s">
        <v>177</v>
      </c>
      <c r="G4" s="73">
        <v>6.9857142857142831</v>
      </c>
      <c r="H4" s="61" t="s">
        <v>173</v>
      </c>
      <c r="I4" s="73">
        <v>-0.31250000000000533</v>
      </c>
      <c r="J4" s="61" t="s">
        <v>189</v>
      </c>
      <c r="K4" s="62">
        <v>2.3333333333333335</v>
      </c>
      <c r="L4" s="61" t="s">
        <v>189</v>
      </c>
      <c r="M4" s="63">
        <v>0.33333333333333331</v>
      </c>
      <c r="N4" s="61" t="s">
        <v>173</v>
      </c>
      <c r="O4" s="63">
        <v>0.25</v>
      </c>
      <c r="P4" s="61" t="s">
        <v>175</v>
      </c>
      <c r="Q4" s="63">
        <v>0.625</v>
      </c>
      <c r="R4" s="61" t="s">
        <v>189</v>
      </c>
      <c r="S4" s="64">
        <v>0.22857142857142856</v>
      </c>
      <c r="T4" s="61" t="s">
        <v>177</v>
      </c>
      <c r="U4" s="64">
        <v>0.11842105263157894</v>
      </c>
      <c r="V4" s="61" t="s">
        <v>177</v>
      </c>
      <c r="W4" s="65">
        <v>6592.8571428571431</v>
      </c>
      <c r="X4" s="61" t="s">
        <v>174</v>
      </c>
      <c r="Y4" s="65">
        <v>-5050</v>
      </c>
      <c r="Z4" s="61" t="s">
        <v>174</v>
      </c>
      <c r="AA4" s="64">
        <v>0.20224719101123595</v>
      </c>
      <c r="AB4" s="61" t="s">
        <v>176</v>
      </c>
      <c r="AC4" s="64">
        <v>0.22388059701492538</v>
      </c>
      <c r="AD4" s="61" t="s">
        <v>176</v>
      </c>
      <c r="AE4" s="64">
        <v>0.57894736842105265</v>
      </c>
      <c r="AF4" s="61" t="s">
        <v>189</v>
      </c>
      <c r="AG4" s="64">
        <v>0.6</v>
      </c>
      <c r="AH4" s="61" t="s">
        <v>174</v>
      </c>
      <c r="AI4" s="64">
        <v>0.35714285714285715</v>
      </c>
      <c r="AJ4" s="61" t="s">
        <v>177</v>
      </c>
      <c r="AK4" s="68">
        <v>53600</v>
      </c>
    </row>
    <row r="5" spans="1:37">
      <c r="A5" s="58">
        <v>3</v>
      </c>
      <c r="B5" s="59" t="s">
        <v>175</v>
      </c>
      <c r="C5" s="123">
        <v>8</v>
      </c>
      <c r="D5" s="59" t="s">
        <v>189</v>
      </c>
      <c r="E5" s="60">
        <v>-3.2999999999999972</v>
      </c>
      <c r="F5" s="61" t="s">
        <v>173</v>
      </c>
      <c r="G5" s="73">
        <v>-0.3125</v>
      </c>
      <c r="H5" s="61" t="s">
        <v>189</v>
      </c>
      <c r="I5" s="73">
        <v>-0.82499999999999929</v>
      </c>
      <c r="J5" s="61" t="s">
        <v>177</v>
      </c>
      <c r="K5" s="62">
        <v>2.4285714285714284</v>
      </c>
      <c r="L5" s="61" t="s">
        <v>173</v>
      </c>
      <c r="M5" s="63">
        <v>0.25</v>
      </c>
      <c r="N5" s="61" t="s">
        <v>174</v>
      </c>
      <c r="O5" s="63">
        <v>0.25</v>
      </c>
      <c r="P5" s="61" t="s">
        <v>173</v>
      </c>
      <c r="Q5" s="63">
        <v>0.5</v>
      </c>
      <c r="R5" s="61" t="s">
        <v>175</v>
      </c>
      <c r="S5" s="64">
        <v>0.2247191011235955</v>
      </c>
      <c r="T5" s="61" t="s">
        <v>173</v>
      </c>
      <c r="U5" s="64">
        <v>0.14887640449438203</v>
      </c>
      <c r="V5" s="61" t="s">
        <v>174</v>
      </c>
      <c r="W5" s="65">
        <v>6021.4285714285716</v>
      </c>
      <c r="X5" s="61" t="s">
        <v>175</v>
      </c>
      <c r="Y5" s="65">
        <v>-5122.2222222222226</v>
      </c>
      <c r="Z5" s="61" t="s">
        <v>173</v>
      </c>
      <c r="AA5" s="64">
        <v>0.18820224719101122</v>
      </c>
      <c r="AB5" s="61" t="s">
        <v>173</v>
      </c>
      <c r="AC5" s="64">
        <v>0.19101123595505617</v>
      </c>
      <c r="AD5" s="61" t="s">
        <v>173</v>
      </c>
      <c r="AE5" s="64">
        <v>0.52238805970149249</v>
      </c>
      <c r="AF5" s="61" t="s">
        <v>175</v>
      </c>
      <c r="AG5" s="64">
        <v>0.41176470588235292</v>
      </c>
      <c r="AH5" s="61" t="s">
        <v>173</v>
      </c>
      <c r="AI5" s="64">
        <v>0.27397260273972601</v>
      </c>
      <c r="AJ5" s="61" t="s">
        <v>175</v>
      </c>
      <c r="AK5" s="68">
        <v>47800</v>
      </c>
    </row>
    <row r="6" spans="1:37">
      <c r="A6" s="58">
        <v>4</v>
      </c>
      <c r="B6" s="59" t="s">
        <v>177</v>
      </c>
      <c r="C6" s="123">
        <v>7</v>
      </c>
      <c r="D6" s="59" t="s">
        <v>173</v>
      </c>
      <c r="E6" s="60">
        <v>-10</v>
      </c>
      <c r="F6" s="61" t="s">
        <v>189</v>
      </c>
      <c r="G6" s="73">
        <v>-1.099999999999999</v>
      </c>
      <c r="H6" s="61" t="s">
        <v>177</v>
      </c>
      <c r="I6" s="73">
        <v>-2.5208333333333321</v>
      </c>
      <c r="J6" s="61" t="s">
        <v>173</v>
      </c>
      <c r="K6" s="62">
        <v>2.5</v>
      </c>
      <c r="L6" s="61" t="s">
        <v>174</v>
      </c>
      <c r="M6" s="63">
        <v>0.25</v>
      </c>
      <c r="N6" s="61" t="s">
        <v>177</v>
      </c>
      <c r="O6" s="63">
        <v>0.2857142857142857</v>
      </c>
      <c r="P6" s="61" t="s">
        <v>176</v>
      </c>
      <c r="Q6" s="63">
        <v>0.5</v>
      </c>
      <c r="R6" s="61" t="s">
        <v>173</v>
      </c>
      <c r="S6" s="64">
        <v>0.2050561797752809</v>
      </c>
      <c r="T6" s="61" t="s">
        <v>176</v>
      </c>
      <c r="U6" s="64">
        <v>0.16417910447761194</v>
      </c>
      <c r="V6" s="61" t="s">
        <v>173</v>
      </c>
      <c r="W6" s="65">
        <v>5894.5205479452052</v>
      </c>
      <c r="X6" s="61" t="s">
        <v>173</v>
      </c>
      <c r="Y6" s="65">
        <v>-5220.7547169811323</v>
      </c>
      <c r="Z6" s="61" t="s">
        <v>175</v>
      </c>
      <c r="AA6" s="64">
        <v>0.1797752808988764</v>
      </c>
      <c r="AB6" s="61" t="s">
        <v>175</v>
      </c>
      <c r="AC6" s="64">
        <v>0.19101123595505617</v>
      </c>
      <c r="AD6" s="61" t="s">
        <v>189</v>
      </c>
      <c r="AE6" s="64">
        <v>0.5</v>
      </c>
      <c r="AF6" s="61" t="s">
        <v>173</v>
      </c>
      <c r="AG6" s="64">
        <v>0.39705882352941174</v>
      </c>
      <c r="AH6" s="61" t="s">
        <v>189</v>
      </c>
      <c r="AI6" s="64">
        <v>0.25</v>
      </c>
      <c r="AJ6" s="61" t="s">
        <v>174</v>
      </c>
      <c r="AK6" s="68">
        <v>44700</v>
      </c>
    </row>
    <row r="7" spans="1:37">
      <c r="A7" s="58">
        <v>5</v>
      </c>
      <c r="B7" s="59" t="s">
        <v>176</v>
      </c>
      <c r="C7" s="123">
        <v>6</v>
      </c>
      <c r="D7" s="59" t="s">
        <v>174</v>
      </c>
      <c r="E7" s="60">
        <v>-62.599999999999994</v>
      </c>
      <c r="F7" s="61" t="s">
        <v>174</v>
      </c>
      <c r="G7" s="73">
        <v>-7.8249999999999993</v>
      </c>
      <c r="H7" s="61" t="s">
        <v>174</v>
      </c>
      <c r="I7" s="73">
        <v>-3.4375</v>
      </c>
      <c r="J7" s="61" t="s">
        <v>174</v>
      </c>
      <c r="K7" s="62">
        <v>2.625</v>
      </c>
      <c r="L7" s="61" t="s">
        <v>175</v>
      </c>
      <c r="M7" s="63">
        <v>0.25</v>
      </c>
      <c r="N7" s="61" t="s">
        <v>176</v>
      </c>
      <c r="O7" s="63">
        <v>0.33333333333333331</v>
      </c>
      <c r="P7" s="61" t="s">
        <v>177</v>
      </c>
      <c r="Q7" s="63">
        <v>0.42857142857142855</v>
      </c>
      <c r="R7" s="61" t="s">
        <v>177</v>
      </c>
      <c r="S7" s="64">
        <v>0.18421052631578946</v>
      </c>
      <c r="T7" s="61" t="s">
        <v>189</v>
      </c>
      <c r="U7" s="64">
        <v>0.17142857142857143</v>
      </c>
      <c r="V7" s="61" t="s">
        <v>176</v>
      </c>
      <c r="W7" s="65">
        <v>5429.411764705882</v>
      </c>
      <c r="X7" s="61" t="s">
        <v>177</v>
      </c>
      <c r="Y7" s="65">
        <v>-5233.333333333333</v>
      </c>
      <c r="Z7" s="61" t="s">
        <v>177</v>
      </c>
      <c r="AA7" s="64">
        <v>0.13157894736842105</v>
      </c>
      <c r="AB7" s="61" t="s">
        <v>177</v>
      </c>
      <c r="AC7" s="64">
        <v>0.14473684210526316</v>
      </c>
      <c r="AD7" s="61" t="s">
        <v>174</v>
      </c>
      <c r="AE7" s="64">
        <v>0.3888888888888889</v>
      </c>
      <c r="AF7" s="61" t="s">
        <v>174</v>
      </c>
      <c r="AG7" s="64">
        <v>0.3</v>
      </c>
      <c r="AH7" s="61" t="s">
        <v>176</v>
      </c>
      <c r="AI7" s="64">
        <v>0.17647058823529413</v>
      </c>
      <c r="AJ7" s="61" t="s">
        <v>176</v>
      </c>
      <c r="AK7" s="68">
        <v>36600</v>
      </c>
    </row>
    <row r="8" spans="1:37">
      <c r="A8" s="58">
        <v>6</v>
      </c>
      <c r="B8" s="59" t="s">
        <v>189</v>
      </c>
      <c r="C8" s="123">
        <v>3</v>
      </c>
      <c r="D8" s="59" t="s">
        <v>176</v>
      </c>
      <c r="E8" s="60">
        <v>-87.1</v>
      </c>
      <c r="F8" s="61" t="s">
        <v>176</v>
      </c>
      <c r="G8" s="73">
        <v>-14.516666666666666</v>
      </c>
      <c r="H8" s="61" t="s">
        <v>176</v>
      </c>
      <c r="I8" s="73">
        <v>-13.970833333333335</v>
      </c>
      <c r="J8" s="61" t="s">
        <v>176</v>
      </c>
      <c r="K8" s="62">
        <v>2.8333333333333335</v>
      </c>
      <c r="L8" s="61" t="s">
        <v>176</v>
      </c>
      <c r="M8" s="63">
        <v>0</v>
      </c>
      <c r="N8" s="61" t="s">
        <v>189</v>
      </c>
      <c r="O8" s="63">
        <v>0.33333333333333331</v>
      </c>
      <c r="P8" s="61" t="s">
        <v>174</v>
      </c>
      <c r="Q8" s="63">
        <v>0.375</v>
      </c>
      <c r="R8" s="61" t="s">
        <v>174</v>
      </c>
      <c r="S8" s="64">
        <v>0.15730337078651685</v>
      </c>
      <c r="T8" s="61" t="s">
        <v>174</v>
      </c>
      <c r="U8" s="64">
        <v>0.20224719101123595</v>
      </c>
      <c r="V8" s="61" t="s">
        <v>189</v>
      </c>
      <c r="W8" s="65">
        <v>3050</v>
      </c>
      <c r="X8" s="61" t="s">
        <v>189</v>
      </c>
      <c r="Y8" s="65">
        <v>-6383.333333333333</v>
      </c>
      <c r="Z8" s="61" t="s">
        <v>189</v>
      </c>
      <c r="AA8" s="64">
        <v>0.11428571428571428</v>
      </c>
      <c r="AB8" s="61" t="s">
        <v>189</v>
      </c>
      <c r="AC8" s="64">
        <v>0.14285714285714285</v>
      </c>
      <c r="AD8" s="61" t="s">
        <v>177</v>
      </c>
      <c r="AE8" s="64">
        <v>0.3</v>
      </c>
      <c r="AF8" s="61" t="s">
        <v>176</v>
      </c>
      <c r="AG8" s="64">
        <v>0.26666666666666666</v>
      </c>
      <c r="AH8" s="61" t="s">
        <v>175</v>
      </c>
      <c r="AI8" s="64">
        <v>0.15</v>
      </c>
      <c r="AJ8" s="61" t="s">
        <v>189</v>
      </c>
      <c r="AK8" s="68">
        <v>34700</v>
      </c>
    </row>
  </sheetData>
  <sortState xmlns:xlrd2="http://schemas.microsoft.com/office/spreadsheetml/2017/richdata2" ref="AJ3:AK32">
    <sortCondition descending="1" ref="AK1"/>
  </sortState>
  <mergeCells count="36">
    <mergeCell ref="AD1:AE1"/>
    <mergeCell ref="AF1:AG1"/>
    <mergeCell ref="D1:E1"/>
    <mergeCell ref="F1:G1"/>
    <mergeCell ref="J1:K1"/>
    <mergeCell ref="L1:M1"/>
    <mergeCell ref="R1:S1"/>
    <mergeCell ref="N1:O1"/>
    <mergeCell ref="P1:Q1"/>
    <mergeCell ref="Z1:AA1"/>
    <mergeCell ref="AB1:AC1"/>
    <mergeCell ref="H1:I1"/>
    <mergeCell ref="D2:E2"/>
    <mergeCell ref="F2:G2"/>
    <mergeCell ref="J2:K2"/>
    <mergeCell ref="L2:M2"/>
    <mergeCell ref="R2:S2"/>
    <mergeCell ref="N2:O2"/>
    <mergeCell ref="P2:Q2"/>
    <mergeCell ref="H2:I2"/>
    <mergeCell ref="B1:C1"/>
    <mergeCell ref="B2:C2"/>
    <mergeCell ref="AH2:AI2"/>
    <mergeCell ref="T1:U1"/>
    <mergeCell ref="AJ2:AK2"/>
    <mergeCell ref="Z2:AA2"/>
    <mergeCell ref="AB2:AC2"/>
    <mergeCell ref="AD2:AE2"/>
    <mergeCell ref="AF2:AG2"/>
    <mergeCell ref="T2:U2"/>
    <mergeCell ref="V2:W2"/>
    <mergeCell ref="X2:Y2"/>
    <mergeCell ref="AJ1:AK1"/>
    <mergeCell ref="V1:W1"/>
    <mergeCell ref="X1:Y1"/>
    <mergeCell ref="AH1:AI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E0E97-B0B3-41DF-954B-3B5966D438E7}">
  <sheetPr codeName="Sheet4"/>
  <dimension ref="A1:Q52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03" bestFit="1" customWidth="1"/>
    <col min="6" max="6" width="11" style="33" bestFit="1" customWidth="1"/>
    <col min="7" max="9" width="9" style="27" customWidth="1"/>
    <col min="10" max="10" width="3.59765625" style="27" customWidth="1"/>
    <col min="11" max="11" width="3.5" style="5" customWidth="1"/>
    <col min="12" max="12" width="9" style="75" customWidth="1"/>
    <col min="13" max="13" width="3.59765625" style="27" customWidth="1"/>
    <col min="14" max="14" width="9" style="90" customWidth="1"/>
    <col min="15" max="15" width="9" style="100" customWidth="1"/>
    <col min="16" max="16" width="9" style="94" customWidth="1"/>
    <col min="17" max="17" width="3.59765625" style="82" customWidth="1"/>
    <col min="18" max="16384" width="9" style="27"/>
  </cols>
  <sheetData>
    <row r="1" spans="1:17">
      <c r="A1" s="17" t="s">
        <v>0</v>
      </c>
      <c r="B1" s="148" t="s">
        <v>173</v>
      </c>
      <c r="C1" s="149"/>
      <c r="E1" s="104" t="s">
        <v>127</v>
      </c>
      <c r="F1" s="127" t="s">
        <v>91</v>
      </c>
      <c r="G1" s="126" t="s">
        <v>92</v>
      </c>
      <c r="H1" s="105" t="s">
        <v>93</v>
      </c>
      <c r="I1" s="127" t="s">
        <v>116</v>
      </c>
      <c r="K1" s="28" t="s">
        <v>18</v>
      </c>
      <c r="L1" s="29" t="s">
        <v>96</v>
      </c>
      <c r="M1" s="106"/>
      <c r="N1" s="88" t="s">
        <v>108</v>
      </c>
      <c r="O1" s="28" t="s">
        <v>109</v>
      </c>
      <c r="P1" s="92" t="s">
        <v>92</v>
      </c>
      <c r="Q1" s="76" t="s">
        <v>120</v>
      </c>
    </row>
    <row r="2" spans="1:17">
      <c r="A2" s="18" t="s">
        <v>9</v>
      </c>
      <c r="B2" s="150">
        <v>32</v>
      </c>
      <c r="C2" s="151"/>
      <c r="E2" s="45" t="s">
        <v>54</v>
      </c>
      <c r="F2" s="42" t="s">
        <v>20</v>
      </c>
      <c r="G2" s="34">
        <v>39</v>
      </c>
      <c r="H2" s="107">
        <f>IF(B$22=0,0,G2/B$22)</f>
        <v>0.53424657534246578</v>
      </c>
      <c r="I2" s="69">
        <v>2</v>
      </c>
      <c r="K2" s="3">
        <v>0</v>
      </c>
      <c r="L2" s="74">
        <v>0</v>
      </c>
      <c r="N2" s="89" t="s">
        <v>102</v>
      </c>
      <c r="O2" s="96">
        <f t="shared" ref="O2:O9" si="0">IF(P2=0,0,Q2/P2)</f>
        <v>0</v>
      </c>
      <c r="P2" s="93">
        <v>32</v>
      </c>
      <c r="Q2" s="77">
        <v>0</v>
      </c>
    </row>
    <row r="3" spans="1:17">
      <c r="A3" s="38" t="s">
        <v>8</v>
      </c>
      <c r="B3" s="152">
        <v>356</v>
      </c>
      <c r="C3" s="153"/>
      <c r="E3" s="46" t="s">
        <v>162</v>
      </c>
      <c r="F3" s="43" t="s">
        <v>154</v>
      </c>
      <c r="G3" s="35">
        <v>35</v>
      </c>
      <c r="H3" s="108">
        <f>IF(B$22=0,0,G3/B$22)</f>
        <v>0.47945205479452052</v>
      </c>
      <c r="I3" s="70">
        <v>4</v>
      </c>
      <c r="K3" s="5">
        <v>1</v>
      </c>
      <c r="L3" s="75">
        <v>65.5</v>
      </c>
      <c r="N3" s="90" t="s">
        <v>103</v>
      </c>
      <c r="O3" s="97">
        <f t="shared" si="0"/>
        <v>-62.5</v>
      </c>
      <c r="P3" s="94">
        <v>32</v>
      </c>
      <c r="Q3" s="78">
        <v>-2000</v>
      </c>
    </row>
    <row r="4" spans="1:17">
      <c r="A4" s="38" t="s">
        <v>6</v>
      </c>
      <c r="B4" s="154">
        <v>-10</v>
      </c>
      <c r="C4" s="155"/>
      <c r="E4" s="46" t="s">
        <v>165</v>
      </c>
      <c r="F4" s="43" t="s">
        <v>168</v>
      </c>
      <c r="G4" s="35">
        <v>33</v>
      </c>
      <c r="H4" s="108">
        <f>IF(B$22=0,0,G4/B$22)</f>
        <v>0.45205479452054792</v>
      </c>
      <c r="I4" s="70">
        <v>3</v>
      </c>
      <c r="K4" s="5">
        <v>2</v>
      </c>
      <c r="L4" s="75">
        <v>-0.20000000000000284</v>
      </c>
      <c r="N4" s="90" t="s">
        <v>104</v>
      </c>
      <c r="O4" s="97">
        <f t="shared" si="0"/>
        <v>31.25</v>
      </c>
      <c r="P4" s="94">
        <v>32</v>
      </c>
      <c r="Q4" s="78">
        <v>1000</v>
      </c>
    </row>
    <row r="5" spans="1:17">
      <c r="A5" s="38" t="s">
        <v>7</v>
      </c>
      <c r="B5" s="142">
        <f>IF(B$2=0,0,B$4/B$2)</f>
        <v>-0.3125</v>
      </c>
      <c r="C5" s="143"/>
      <c r="E5" s="46" t="s">
        <v>60</v>
      </c>
      <c r="F5" s="43" t="s">
        <v>24</v>
      </c>
      <c r="G5" s="35">
        <v>27</v>
      </c>
      <c r="H5" s="108">
        <f>IF(B$22=0,0,G5/B$22)</f>
        <v>0.36986301369863012</v>
      </c>
      <c r="I5" s="70">
        <v>4</v>
      </c>
      <c r="K5" s="5">
        <v>3</v>
      </c>
      <c r="L5" s="75">
        <v>-16.600000000000001</v>
      </c>
      <c r="N5" s="90" t="s">
        <v>155</v>
      </c>
      <c r="O5" s="97">
        <f>IF(P5=0,0,Q5/P5)</f>
        <v>-312.5</v>
      </c>
      <c r="P5" s="94">
        <v>32</v>
      </c>
      <c r="Q5" s="78">
        <v>-10000</v>
      </c>
    </row>
    <row r="6" spans="1:17">
      <c r="A6" s="38" t="s">
        <v>1</v>
      </c>
      <c r="B6" s="156">
        <f>IF(B$2=0,0,(B$7*1+B$8*2+B$9*3+B$10*4)/B$2)</f>
        <v>2.5</v>
      </c>
      <c r="C6" s="157"/>
      <c r="E6" s="46" t="s">
        <v>57</v>
      </c>
      <c r="F6" s="43" t="s">
        <v>21</v>
      </c>
      <c r="G6" s="35">
        <v>18</v>
      </c>
      <c r="H6" s="108">
        <f>IF(B$22=0,0,G6/B$22)</f>
        <v>0.24657534246575341</v>
      </c>
      <c r="I6" s="70">
        <v>3</v>
      </c>
      <c r="K6" s="5">
        <v>4</v>
      </c>
      <c r="L6" s="75">
        <v>0</v>
      </c>
      <c r="N6" s="90" t="s">
        <v>105</v>
      </c>
      <c r="O6" s="97">
        <f t="shared" ref="O6" si="1">IF(P6=0,0,Q6/P6)</f>
        <v>31.25</v>
      </c>
      <c r="P6" s="94">
        <v>32</v>
      </c>
      <c r="Q6" s="78">
        <v>1000</v>
      </c>
    </row>
    <row r="7" spans="1:17">
      <c r="A7" s="38" t="s">
        <v>2</v>
      </c>
      <c r="B7" s="35">
        <v>8</v>
      </c>
      <c r="C7" s="30">
        <f t="shared" ref="C7:C17" si="2">IF(B$2=0,0,B7/B$2)</f>
        <v>0.25</v>
      </c>
      <c r="E7" s="46" t="s">
        <v>56</v>
      </c>
      <c r="F7" s="43" t="s">
        <v>166</v>
      </c>
      <c r="G7" s="35">
        <v>13</v>
      </c>
      <c r="H7" s="108">
        <f>IF(B$22=0,0,G7/B$22)</f>
        <v>0.17808219178082191</v>
      </c>
      <c r="I7" s="70">
        <v>3</v>
      </c>
      <c r="K7" s="5">
        <v>5</v>
      </c>
      <c r="L7" s="75">
        <v>13.4</v>
      </c>
      <c r="N7" s="90" t="s">
        <v>106</v>
      </c>
      <c r="O7" s="97">
        <f t="shared" si="0"/>
        <v>-62.5</v>
      </c>
      <c r="P7" s="94">
        <v>32</v>
      </c>
      <c r="Q7" s="78">
        <v>-2000</v>
      </c>
    </row>
    <row r="8" spans="1:17">
      <c r="A8" s="38" t="s">
        <v>3</v>
      </c>
      <c r="B8" s="35">
        <v>8</v>
      </c>
      <c r="C8" s="30">
        <f>IF(B$2=0,0,B8/B$2)</f>
        <v>0.25</v>
      </c>
      <c r="E8" s="46" t="s">
        <v>163</v>
      </c>
      <c r="F8" s="43" t="s">
        <v>19</v>
      </c>
      <c r="G8" s="35">
        <v>10</v>
      </c>
      <c r="H8" s="108">
        <f>IF(B$22=0,0,G8/B$22)</f>
        <v>0.13698630136986301</v>
      </c>
      <c r="I8" s="70">
        <v>3</v>
      </c>
      <c r="K8" s="5">
        <v>6</v>
      </c>
      <c r="L8" s="75">
        <v>-0.79999999999999893</v>
      </c>
      <c r="N8" s="90" t="s">
        <v>107</v>
      </c>
      <c r="O8" s="97">
        <f t="shared" si="0"/>
        <v>62.5</v>
      </c>
      <c r="P8" s="94">
        <v>32</v>
      </c>
      <c r="Q8" s="78">
        <v>2000</v>
      </c>
    </row>
    <row r="9" spans="1:17">
      <c r="A9" s="39" t="s">
        <v>4</v>
      </c>
      <c r="B9" s="36">
        <v>8</v>
      </c>
      <c r="C9" s="31">
        <f>IF(B$2=0,0,B9/B$2)</f>
        <v>0.25</v>
      </c>
      <c r="E9" s="46" t="s">
        <v>59</v>
      </c>
      <c r="F9" s="43" t="s">
        <v>23</v>
      </c>
      <c r="G9" s="35">
        <v>10</v>
      </c>
      <c r="H9" s="108">
        <f>IF(B$22=0,0,G9/B$22)</f>
        <v>0.13698630136986301</v>
      </c>
      <c r="I9" s="70">
        <v>3</v>
      </c>
      <c r="K9" s="5">
        <v>7</v>
      </c>
      <c r="L9" s="75">
        <v>63.900000000000006</v>
      </c>
      <c r="N9" s="91" t="s">
        <v>156</v>
      </c>
      <c r="O9" s="98">
        <f t="shared" si="0"/>
        <v>0</v>
      </c>
      <c r="P9" s="95">
        <v>32</v>
      </c>
      <c r="Q9" s="79">
        <v>0</v>
      </c>
    </row>
    <row r="10" spans="1:17">
      <c r="A10" s="39" t="s">
        <v>150</v>
      </c>
      <c r="B10" s="36">
        <v>8</v>
      </c>
      <c r="C10" s="31">
        <f>IF(B$2=0,0,B10/B$2)</f>
        <v>0.25</v>
      </c>
      <c r="E10" s="46" t="s">
        <v>55</v>
      </c>
      <c r="F10" s="43" t="s">
        <v>153</v>
      </c>
      <c r="G10" s="35">
        <v>8</v>
      </c>
      <c r="H10" s="108">
        <f>IF(B$22=0,0,G10/B$22)</f>
        <v>0.1095890410958904</v>
      </c>
      <c r="I10" s="70">
        <v>3</v>
      </c>
      <c r="K10" s="5">
        <v>8</v>
      </c>
      <c r="L10" s="75">
        <v>7.1054273576010019E-15</v>
      </c>
      <c r="N10" s="33"/>
      <c r="O10" s="102"/>
      <c r="P10" s="86"/>
      <c r="Q10" s="84"/>
    </row>
    <row r="11" spans="1:17">
      <c r="A11" s="39" t="s">
        <v>151</v>
      </c>
      <c r="B11" s="36">
        <f>B7+B8</f>
        <v>16</v>
      </c>
      <c r="C11" s="31">
        <f>IF(B$2=0,0,B11/B$2)</f>
        <v>0.5</v>
      </c>
      <c r="E11" s="46" t="s">
        <v>58</v>
      </c>
      <c r="F11" s="43" t="s">
        <v>22</v>
      </c>
      <c r="G11" s="35">
        <v>6</v>
      </c>
      <c r="H11" s="108">
        <f>IF(B$22=0,0,G11/B$22)</f>
        <v>8.2191780821917804E-2</v>
      </c>
      <c r="I11" s="70">
        <v>3</v>
      </c>
      <c r="K11" s="5">
        <v>9</v>
      </c>
      <c r="L11" s="75">
        <v>-31.399999999999991</v>
      </c>
      <c r="N11" s="88" t="s">
        <v>158</v>
      </c>
      <c r="O11" s="28" t="s">
        <v>96</v>
      </c>
      <c r="P11" s="92" t="s">
        <v>92</v>
      </c>
      <c r="Q11" s="80" t="s">
        <v>120</v>
      </c>
    </row>
    <row r="12" spans="1:17">
      <c r="A12" s="39" t="s">
        <v>179</v>
      </c>
      <c r="B12" s="124">
        <f>IF(B7=0,0,C12/B7)</f>
        <v>63.962499999999991</v>
      </c>
      <c r="C12" s="125">
        <v>511.69999999999993</v>
      </c>
      <c r="E12" s="46" t="s">
        <v>164</v>
      </c>
      <c r="F12" s="43" t="s">
        <v>167</v>
      </c>
      <c r="G12" s="35">
        <v>3</v>
      </c>
      <c r="H12" s="108">
        <f>IF(B$22=0,0,G12/B$22)</f>
        <v>4.1095890410958902E-2</v>
      </c>
      <c r="I12" s="70">
        <v>3</v>
      </c>
      <c r="K12" s="5">
        <v>10</v>
      </c>
      <c r="L12" s="75">
        <v>-85.6</v>
      </c>
      <c r="N12" s="89" t="s">
        <v>124</v>
      </c>
      <c r="O12" s="99">
        <f>IF(P12=0,0,Q12/P12)</f>
        <v>-6.7874999999999988</v>
      </c>
      <c r="P12" s="93">
        <v>8</v>
      </c>
      <c r="Q12" s="81">
        <v>-54.29999999999999</v>
      </c>
    </row>
    <row r="13" spans="1:17">
      <c r="A13" s="39" t="s">
        <v>180</v>
      </c>
      <c r="B13" s="124">
        <f t="shared" ref="B13:B14" si="3">IF(B8=0,0,C13/B8)</f>
        <v>13.7875</v>
      </c>
      <c r="C13" s="125">
        <v>110.3</v>
      </c>
      <c r="E13" s="46" t="s">
        <v>77</v>
      </c>
      <c r="F13" s="43" t="s">
        <v>41</v>
      </c>
      <c r="G13" s="35">
        <v>3</v>
      </c>
      <c r="H13" s="108">
        <f>IF(B$22=0,0,G13/B$22)</f>
        <v>4.1095890410958902E-2</v>
      </c>
      <c r="I13" s="70">
        <v>4</v>
      </c>
      <c r="K13" s="5">
        <v>11</v>
      </c>
      <c r="L13" s="75">
        <v>-12</v>
      </c>
      <c r="N13" s="90" t="s">
        <v>125</v>
      </c>
      <c r="O13" s="100">
        <f>IF(P13=0,0,Q13/P13)</f>
        <v>-23.35</v>
      </c>
      <c r="P13" s="94">
        <v>8</v>
      </c>
      <c r="Q13" s="82">
        <v>-186.8</v>
      </c>
    </row>
    <row r="14" spans="1:17">
      <c r="A14" s="39" t="s">
        <v>181</v>
      </c>
      <c r="B14" s="124">
        <f t="shared" si="3"/>
        <v>-21.2</v>
      </c>
      <c r="C14" s="125">
        <v>-169.6</v>
      </c>
      <c r="E14" s="46" t="s">
        <v>66</v>
      </c>
      <c r="F14" s="43" t="s">
        <v>30</v>
      </c>
      <c r="G14" s="35">
        <v>2</v>
      </c>
      <c r="H14" s="108">
        <f>IF(B$22=0,0,G14/B$22)</f>
        <v>2.7397260273972601E-2</v>
      </c>
      <c r="I14" s="70">
        <v>3</v>
      </c>
      <c r="K14" s="5">
        <v>12</v>
      </c>
      <c r="L14" s="75">
        <v>-10</v>
      </c>
      <c r="N14" s="90" t="s">
        <v>126</v>
      </c>
      <c r="O14" s="100">
        <f>IF(P14=0,0,Q14/P14)</f>
        <v>17.362499999999997</v>
      </c>
      <c r="P14" s="94">
        <v>8</v>
      </c>
      <c r="Q14" s="82">
        <v>138.89999999999998</v>
      </c>
    </row>
    <row r="15" spans="1:17">
      <c r="A15" s="39" t="s">
        <v>182</v>
      </c>
      <c r="B15" s="124">
        <f>IF(B10=0,0,C15/B10)</f>
        <v>-57.800000000000004</v>
      </c>
      <c r="C15" s="125">
        <v>-462.40000000000003</v>
      </c>
      <c r="E15" s="46" t="s">
        <v>74</v>
      </c>
      <c r="F15" s="43" t="s">
        <v>38</v>
      </c>
      <c r="G15" s="35">
        <v>2</v>
      </c>
      <c r="H15" s="108">
        <f>IF(B$22=0,0,G15/B$22)</f>
        <v>2.7397260273972601E-2</v>
      </c>
      <c r="I15" s="70">
        <v>3</v>
      </c>
      <c r="K15" s="5">
        <v>13</v>
      </c>
      <c r="L15" s="75">
        <v>2.8000000000000007</v>
      </c>
      <c r="N15" s="91" t="s">
        <v>157</v>
      </c>
      <c r="O15" s="101">
        <f>IF(P15=0,0,Q15/P15)</f>
        <v>11.524999999999999</v>
      </c>
      <c r="P15" s="95">
        <v>8</v>
      </c>
      <c r="Q15" s="83">
        <v>92.199999999999989</v>
      </c>
    </row>
    <row r="16" spans="1:17">
      <c r="A16" s="39" t="s">
        <v>178</v>
      </c>
      <c r="B16" s="142">
        <f>AVERAGE(B12:B15)</f>
        <v>-0.31250000000000533</v>
      </c>
      <c r="C16" s="143"/>
      <c r="E16" s="46" t="s">
        <v>67</v>
      </c>
      <c r="F16" s="43" t="s">
        <v>31</v>
      </c>
      <c r="G16" s="35">
        <v>1</v>
      </c>
      <c r="H16" s="108">
        <f>IF(B$22=0,0,G16/B$22)</f>
        <v>1.3698630136986301E-2</v>
      </c>
      <c r="I16" s="70">
        <v>2</v>
      </c>
      <c r="K16" s="5">
        <v>14</v>
      </c>
      <c r="L16" s="75">
        <v>-48.400000000000006</v>
      </c>
      <c r="N16" s="27"/>
      <c r="O16" s="85"/>
      <c r="P16" s="87"/>
      <c r="Q16" s="85"/>
    </row>
    <row r="17" spans="1:17">
      <c r="A17" s="40" t="s">
        <v>17</v>
      </c>
      <c r="B17" s="37">
        <v>4</v>
      </c>
      <c r="C17" s="32">
        <f t="shared" si="2"/>
        <v>0.125</v>
      </c>
      <c r="E17" s="46" t="s">
        <v>69</v>
      </c>
      <c r="F17" s="43" t="s">
        <v>33</v>
      </c>
      <c r="G17" s="35">
        <v>1</v>
      </c>
      <c r="H17" s="108">
        <f>IF(B$22=0,0,G17/B$22)</f>
        <v>1.3698630136986301E-2</v>
      </c>
      <c r="I17" s="70">
        <v>2</v>
      </c>
      <c r="K17" s="5">
        <v>15</v>
      </c>
      <c r="L17" s="75">
        <v>-68.5</v>
      </c>
      <c r="N17" s="88" t="s">
        <v>117</v>
      </c>
      <c r="O17" s="28" t="s">
        <v>96</v>
      </c>
      <c r="P17" s="92" t="s">
        <v>92</v>
      </c>
      <c r="Q17" s="80" t="s">
        <v>120</v>
      </c>
    </row>
    <row r="18" spans="1:17">
      <c r="A18" s="41" t="s">
        <v>97</v>
      </c>
      <c r="B18" s="15">
        <v>67</v>
      </c>
      <c r="C18" s="11">
        <f>IF(B$3=0,0,B18/B$3)</f>
        <v>0.18820224719101122</v>
      </c>
      <c r="E18" s="46" t="s">
        <v>76</v>
      </c>
      <c r="F18" s="43" t="s">
        <v>40</v>
      </c>
      <c r="G18" s="35">
        <v>1</v>
      </c>
      <c r="H18" s="108">
        <f>IF(B$22=0,0,G18/B$22)</f>
        <v>1.3698630136986301E-2</v>
      </c>
      <c r="I18" s="70">
        <v>2</v>
      </c>
      <c r="K18" s="5">
        <v>16</v>
      </c>
      <c r="L18" s="75">
        <v>-10</v>
      </c>
      <c r="N18" s="89" t="s">
        <v>176</v>
      </c>
      <c r="O18" s="99">
        <f>IF(P18=0,0,Q18/P18)</f>
        <v>18.800000000000004</v>
      </c>
      <c r="P18" s="93">
        <v>18</v>
      </c>
      <c r="Q18" s="81">
        <v>338.40000000000009</v>
      </c>
    </row>
    <row r="19" spans="1:17">
      <c r="A19" s="38" t="s">
        <v>94</v>
      </c>
      <c r="B19" s="35">
        <v>68</v>
      </c>
      <c r="C19" s="30">
        <f>IF(B$3=0,0,B19/B$3)</f>
        <v>0.19101123595505617</v>
      </c>
      <c r="E19" s="46" t="s">
        <v>78</v>
      </c>
      <c r="F19" s="43" t="s">
        <v>42</v>
      </c>
      <c r="G19" s="35">
        <v>1</v>
      </c>
      <c r="H19" s="108">
        <f>IF(B$22=0,0,G19/B$22)</f>
        <v>1.3698630136986301E-2</v>
      </c>
      <c r="I19" s="70">
        <v>2</v>
      </c>
      <c r="K19" s="5">
        <v>17</v>
      </c>
      <c r="L19" s="75">
        <v>10</v>
      </c>
      <c r="N19" s="90" t="s">
        <v>174</v>
      </c>
      <c r="O19" s="100">
        <f>IF(P19=0,0,Q19/P19)</f>
        <v>10.016666666666669</v>
      </c>
      <c r="P19" s="94">
        <v>24</v>
      </c>
      <c r="Q19" s="82">
        <v>240.40000000000006</v>
      </c>
    </row>
    <row r="20" spans="1:17">
      <c r="A20" s="18" t="s">
        <v>99</v>
      </c>
      <c r="B20" s="34">
        <f>B26</f>
        <v>35</v>
      </c>
      <c r="C20" s="4">
        <f>IF(B$18=0,0,B20/B$18)</f>
        <v>0.52238805970149249</v>
      </c>
      <c r="E20" s="46" t="s">
        <v>61</v>
      </c>
      <c r="F20" s="43" t="s">
        <v>25</v>
      </c>
      <c r="G20" s="35">
        <v>0</v>
      </c>
      <c r="H20" s="108">
        <f>IF(B$22=0,0,G20/B$22)</f>
        <v>0</v>
      </c>
      <c r="I20" s="70">
        <v>1</v>
      </c>
      <c r="K20" s="5">
        <v>18</v>
      </c>
      <c r="L20" s="75">
        <v>-9</v>
      </c>
      <c r="N20" s="90" t="s">
        <v>189</v>
      </c>
      <c r="O20" s="100">
        <f>IF(P20=0,0,Q20/P20)</f>
        <v>1.4666666666666655</v>
      </c>
      <c r="P20" s="94">
        <v>9</v>
      </c>
      <c r="Q20" s="82">
        <v>13.199999999999989</v>
      </c>
    </row>
    <row r="21" spans="1:17">
      <c r="A21" s="18" t="s">
        <v>100</v>
      </c>
      <c r="B21" s="34">
        <f>B27</f>
        <v>27</v>
      </c>
      <c r="C21" s="4">
        <f>IF(B$19=0,0,B21/B$19)</f>
        <v>0.39705882352941174</v>
      </c>
      <c r="E21" s="46" t="s">
        <v>62</v>
      </c>
      <c r="F21" s="43" t="s">
        <v>26</v>
      </c>
      <c r="G21" s="35">
        <v>0</v>
      </c>
      <c r="H21" s="108">
        <f>IF(B$22=0,0,G21/B$22)</f>
        <v>0</v>
      </c>
      <c r="I21" s="70">
        <v>1</v>
      </c>
      <c r="K21" s="5">
        <v>19</v>
      </c>
      <c r="L21" s="75">
        <v>54.7</v>
      </c>
      <c r="N21" s="90" t="s">
        <v>177</v>
      </c>
      <c r="O21" s="100">
        <f>IF(P21=0,0,Q21/P21)</f>
        <v>-9.7904761904761859</v>
      </c>
      <c r="P21" s="94">
        <v>21</v>
      </c>
      <c r="Q21" s="82">
        <v>-205.59999999999991</v>
      </c>
    </row>
    <row r="22" spans="1:17">
      <c r="A22" s="18" t="s">
        <v>10</v>
      </c>
      <c r="B22" s="34">
        <f>B25+B24</f>
        <v>73</v>
      </c>
      <c r="C22" s="4">
        <f>IF(B$3=0,0,B22/B$3)</f>
        <v>0.2050561797752809</v>
      </c>
      <c r="E22" s="46" t="s">
        <v>63</v>
      </c>
      <c r="F22" s="43" t="s">
        <v>27</v>
      </c>
      <c r="G22" s="35">
        <v>0</v>
      </c>
      <c r="H22" s="108">
        <f>IF(B$22=0,0,G22/B$22)</f>
        <v>0</v>
      </c>
      <c r="I22" s="70">
        <v>1</v>
      </c>
      <c r="K22" s="5">
        <v>20</v>
      </c>
      <c r="L22" s="75">
        <v>-10</v>
      </c>
      <c r="N22" s="90" t="s">
        <v>175</v>
      </c>
      <c r="O22" s="100">
        <f>IF(P22=0,0,Q22/P22)</f>
        <v>-16.100000000000005</v>
      </c>
      <c r="P22" s="94">
        <v>24</v>
      </c>
      <c r="Q22" s="82">
        <v>-386.40000000000009</v>
      </c>
    </row>
    <row r="23" spans="1:17">
      <c r="A23" s="38" t="s">
        <v>13</v>
      </c>
      <c r="B23" s="35">
        <v>53</v>
      </c>
      <c r="C23" s="30">
        <f>IF(B$3=0,0,B23/B$3)</f>
        <v>0.14887640449438203</v>
      </c>
      <c r="E23" s="46" t="s">
        <v>64</v>
      </c>
      <c r="F23" s="43" t="s">
        <v>28</v>
      </c>
      <c r="G23" s="35">
        <v>0</v>
      </c>
      <c r="H23" s="108">
        <f>IF(B$22=0,0,G23/B$22)</f>
        <v>0</v>
      </c>
      <c r="I23" s="70">
        <v>1</v>
      </c>
      <c r="K23" s="5">
        <v>21</v>
      </c>
      <c r="L23" s="75">
        <v>-65.3</v>
      </c>
    </row>
    <row r="24" spans="1:17">
      <c r="A24" s="38" t="s">
        <v>12</v>
      </c>
      <c r="B24" s="35">
        <v>20</v>
      </c>
      <c r="C24" s="30">
        <f>IF(B$22=0,0,B24/B$22)</f>
        <v>0.27397260273972601</v>
      </c>
      <c r="E24" s="46" t="s">
        <v>65</v>
      </c>
      <c r="F24" s="43" t="s">
        <v>29</v>
      </c>
      <c r="G24" s="35">
        <v>0</v>
      </c>
      <c r="H24" s="108">
        <f>IF(B$22=0,0,G24/B$22)</f>
        <v>0</v>
      </c>
      <c r="I24" s="70">
        <v>1</v>
      </c>
      <c r="K24" s="5">
        <v>22</v>
      </c>
      <c r="L24" s="75">
        <v>-50.599999999999994</v>
      </c>
    </row>
    <row r="25" spans="1:17">
      <c r="A25" s="38" t="s">
        <v>11</v>
      </c>
      <c r="B25" s="35">
        <v>53</v>
      </c>
      <c r="C25" s="30">
        <f>IF(B$22=0,0,B25/B$22)</f>
        <v>0.72602739726027399</v>
      </c>
      <c r="E25" s="46" t="s">
        <v>68</v>
      </c>
      <c r="F25" s="43" t="s">
        <v>32</v>
      </c>
      <c r="G25" s="35">
        <v>0</v>
      </c>
      <c r="H25" s="108">
        <f>IF(B$22=0,0,G25/B$22)</f>
        <v>0</v>
      </c>
      <c r="I25" s="70">
        <v>1</v>
      </c>
      <c r="K25" s="5">
        <v>23</v>
      </c>
      <c r="L25" s="75">
        <v>17.200000000000003</v>
      </c>
    </row>
    <row r="26" spans="1:17">
      <c r="A26" s="38" t="s">
        <v>149</v>
      </c>
      <c r="B26" s="35">
        <v>35</v>
      </c>
      <c r="C26" s="30">
        <f>IF(B$22=0,0,B26/B$22)</f>
        <v>0.47945205479452052</v>
      </c>
      <c r="E26" s="46" t="s">
        <v>70</v>
      </c>
      <c r="F26" s="43" t="s">
        <v>34</v>
      </c>
      <c r="G26" s="35">
        <v>0</v>
      </c>
      <c r="H26" s="108">
        <f>IF(B$22=0,0,G26/B$22)</f>
        <v>0</v>
      </c>
      <c r="I26" s="70">
        <v>1</v>
      </c>
      <c r="K26" s="5">
        <v>24</v>
      </c>
      <c r="L26" s="75">
        <v>-9.9999999999999964</v>
      </c>
    </row>
    <row r="27" spans="1:17">
      <c r="A27" s="38" t="s">
        <v>147</v>
      </c>
      <c r="B27" s="35">
        <v>27</v>
      </c>
      <c r="C27" s="30">
        <f>IF(B$22=0,0,B27/B$22)</f>
        <v>0.36986301369863012</v>
      </c>
      <c r="E27" s="46" t="s">
        <v>71</v>
      </c>
      <c r="F27" s="43" t="s">
        <v>35</v>
      </c>
      <c r="G27" s="35">
        <v>0</v>
      </c>
      <c r="H27" s="108">
        <f>IF(B$22=0,0,G27/B$22)</f>
        <v>0</v>
      </c>
      <c r="I27" s="70">
        <v>1</v>
      </c>
      <c r="K27" s="5">
        <v>25</v>
      </c>
      <c r="L27" s="75">
        <v>-49.599999999999994</v>
      </c>
    </row>
    <row r="28" spans="1:17">
      <c r="A28" s="38" t="s">
        <v>148</v>
      </c>
      <c r="B28" s="35">
        <v>11</v>
      </c>
      <c r="C28" s="30">
        <f>IF(B$22=0,0,B28/B$22)</f>
        <v>0.15068493150684931</v>
      </c>
      <c r="E28" s="46" t="s">
        <v>72</v>
      </c>
      <c r="F28" s="43" t="s">
        <v>36</v>
      </c>
      <c r="G28" s="35">
        <v>0</v>
      </c>
      <c r="H28" s="108">
        <f>IF(B$22=0,0,G28/B$22)</f>
        <v>0</v>
      </c>
      <c r="I28" s="70">
        <v>1</v>
      </c>
      <c r="K28" s="5">
        <v>26</v>
      </c>
      <c r="L28" s="75">
        <v>0.20000000000000284</v>
      </c>
    </row>
    <row r="29" spans="1:17">
      <c r="A29" s="38" t="s">
        <v>5</v>
      </c>
      <c r="B29" s="16">
        <f>IF(B$22=0,0,C29/B$22)</f>
        <v>5894.5205479452052</v>
      </c>
      <c r="C29" s="8">
        <v>430300</v>
      </c>
      <c r="E29" s="46" t="s">
        <v>73</v>
      </c>
      <c r="F29" s="43" t="s">
        <v>37</v>
      </c>
      <c r="G29" s="35">
        <v>0</v>
      </c>
      <c r="H29" s="108">
        <f>IF(B$22=0,0,G29/B$22)</f>
        <v>0</v>
      </c>
      <c r="I29" s="70">
        <v>1</v>
      </c>
      <c r="K29" s="5">
        <v>27</v>
      </c>
      <c r="L29" s="75">
        <v>-17.799999999999997</v>
      </c>
    </row>
    <row r="30" spans="1:17">
      <c r="A30" s="39" t="s">
        <v>131</v>
      </c>
      <c r="B30" s="111">
        <f>IF($B$22-B$21=0,0,C30/($B$22-B$21))</f>
        <v>6897.826086956522</v>
      </c>
      <c r="C30" s="112">
        <v>317300</v>
      </c>
      <c r="E30" s="46" t="s">
        <v>75</v>
      </c>
      <c r="F30" s="43" t="s">
        <v>39</v>
      </c>
      <c r="G30" s="35">
        <v>0</v>
      </c>
      <c r="H30" s="108">
        <f>IF(B$22=0,0,G30/B$22)</f>
        <v>0</v>
      </c>
      <c r="I30" s="70">
        <v>1</v>
      </c>
      <c r="K30" s="5">
        <v>28</v>
      </c>
      <c r="L30" s="75">
        <v>-9.9999999999999964</v>
      </c>
    </row>
    <row r="31" spans="1:17">
      <c r="A31" s="39" t="s">
        <v>132</v>
      </c>
      <c r="B31" s="111">
        <f>IF(B$21=0,0,C31/B$21)</f>
        <v>4185.1851851851852</v>
      </c>
      <c r="C31" s="112">
        <v>113000</v>
      </c>
      <c r="E31" s="46" t="s">
        <v>79</v>
      </c>
      <c r="F31" s="43" t="s">
        <v>43</v>
      </c>
      <c r="G31" s="35">
        <v>0</v>
      </c>
      <c r="H31" s="108">
        <f>IF(B$22=0,0,G31/B$22)</f>
        <v>0</v>
      </c>
      <c r="I31" s="70">
        <v>1</v>
      </c>
      <c r="K31" s="5">
        <v>29</v>
      </c>
      <c r="L31" s="75">
        <v>-77.8</v>
      </c>
    </row>
    <row r="32" spans="1:17">
      <c r="A32" s="39" t="s">
        <v>130</v>
      </c>
      <c r="B32" s="111">
        <f>IF(B$23=0,0,C32/B$23)</f>
        <v>-5220.7547169811323</v>
      </c>
      <c r="C32" s="112">
        <v>-276700</v>
      </c>
      <c r="E32" s="46" t="s">
        <v>80</v>
      </c>
      <c r="F32" s="43" t="s">
        <v>44</v>
      </c>
      <c r="G32" s="35">
        <v>0</v>
      </c>
      <c r="H32" s="108">
        <f>IF(B$22=0,0,G32/B$22)</f>
        <v>0</v>
      </c>
      <c r="I32" s="70">
        <v>1</v>
      </c>
      <c r="K32" s="5">
        <v>30</v>
      </c>
      <c r="L32" s="75">
        <v>-54.8</v>
      </c>
    </row>
    <row r="33" spans="1:12">
      <c r="A33" s="38" t="s">
        <v>128</v>
      </c>
      <c r="B33" s="35">
        <v>4</v>
      </c>
      <c r="C33" s="110">
        <v>0</v>
      </c>
      <c r="E33" s="46" t="s">
        <v>81</v>
      </c>
      <c r="F33" s="43" t="s">
        <v>45</v>
      </c>
      <c r="G33" s="35">
        <v>0</v>
      </c>
      <c r="H33" s="108">
        <f>IF(B$22=0,0,G33/B$22)</f>
        <v>0</v>
      </c>
      <c r="I33" s="70">
        <v>1</v>
      </c>
      <c r="K33" s="5">
        <v>31</v>
      </c>
      <c r="L33" s="75">
        <v>-78.099999999999994</v>
      </c>
    </row>
    <row r="34" spans="1:12">
      <c r="A34" s="38" t="s">
        <v>129</v>
      </c>
      <c r="B34" s="35">
        <v>30</v>
      </c>
      <c r="C34" s="110">
        <v>8</v>
      </c>
      <c r="E34" s="46" t="s">
        <v>82</v>
      </c>
      <c r="F34" s="43" t="s">
        <v>46</v>
      </c>
      <c r="G34" s="35">
        <v>0</v>
      </c>
      <c r="H34" s="108">
        <f>IF(B$22=0,0,G34/B$22)</f>
        <v>0</v>
      </c>
      <c r="I34" s="70">
        <v>1</v>
      </c>
      <c r="K34" s="5">
        <v>32</v>
      </c>
      <c r="L34" s="75">
        <v>-10</v>
      </c>
    </row>
    <row r="35" spans="1:12">
      <c r="A35" s="66" t="s">
        <v>110</v>
      </c>
      <c r="B35" s="144">
        <v>5</v>
      </c>
      <c r="C35" s="145"/>
      <c r="E35" s="46" t="s">
        <v>83</v>
      </c>
      <c r="F35" s="43" t="s">
        <v>47</v>
      </c>
      <c r="G35" s="35">
        <v>0</v>
      </c>
      <c r="H35" s="108">
        <f>IF(B$22=0,0,G35/B$22)</f>
        <v>0</v>
      </c>
      <c r="I35" s="70">
        <v>1</v>
      </c>
    </row>
    <row r="36" spans="1:12">
      <c r="A36" s="41" t="s">
        <v>146</v>
      </c>
      <c r="B36" s="146">
        <v>53600</v>
      </c>
      <c r="C36" s="147"/>
      <c r="E36" s="46" t="s">
        <v>84</v>
      </c>
      <c r="F36" s="43" t="s">
        <v>48</v>
      </c>
      <c r="G36" s="35">
        <v>0</v>
      </c>
      <c r="H36" s="108">
        <f>IF(B$22=0,0,G36/B$22)</f>
        <v>0</v>
      </c>
      <c r="I36" s="70">
        <v>1</v>
      </c>
    </row>
    <row r="37" spans="1:12">
      <c r="A37" s="40" t="s">
        <v>111</v>
      </c>
      <c r="B37" s="26">
        <v>1</v>
      </c>
      <c r="C37" s="32">
        <f>IF(B$3=0,0,B37/B$3)</f>
        <v>2.8089887640449437E-3</v>
      </c>
      <c r="E37" s="46" t="s">
        <v>85</v>
      </c>
      <c r="F37" s="43" t="s">
        <v>49</v>
      </c>
      <c r="G37" s="35">
        <v>0</v>
      </c>
      <c r="H37" s="108">
        <f>IF(B$22=0,0,G37/B$22)</f>
        <v>0</v>
      </c>
      <c r="I37" s="70">
        <v>1</v>
      </c>
    </row>
    <row r="38" spans="1:12">
      <c r="E38" s="46" t="s">
        <v>86</v>
      </c>
      <c r="F38" s="43" t="s">
        <v>50</v>
      </c>
      <c r="G38" s="35">
        <v>0</v>
      </c>
      <c r="H38" s="108">
        <f>IF(B$22=0,0,G38/B$22)</f>
        <v>0</v>
      </c>
      <c r="I38" s="70">
        <v>1</v>
      </c>
    </row>
    <row r="39" spans="1:12">
      <c r="A39" s="119" t="s">
        <v>159</v>
      </c>
      <c r="B39" s="120" t="s">
        <v>92</v>
      </c>
      <c r="C39" s="121" t="s">
        <v>93</v>
      </c>
      <c r="E39" s="46" t="s">
        <v>87</v>
      </c>
      <c r="F39" s="43" t="s">
        <v>51</v>
      </c>
      <c r="G39" s="35">
        <v>0</v>
      </c>
      <c r="H39" s="108">
        <f>IF(B$22=0,0,G39/B$22)</f>
        <v>0</v>
      </c>
      <c r="I39" s="70">
        <v>1</v>
      </c>
    </row>
    <row r="40" spans="1:12">
      <c r="A40" s="66" t="s">
        <v>137</v>
      </c>
      <c r="B40" s="128">
        <v>8</v>
      </c>
      <c r="C40" s="116">
        <f t="shared" ref="C40:C52" si="4">IF(B$22=0,0,B40/B$22)</f>
        <v>0.1095890410958904</v>
      </c>
      <c r="E40" s="46" t="s">
        <v>88</v>
      </c>
      <c r="F40" s="43" t="s">
        <v>52</v>
      </c>
      <c r="G40" s="35">
        <v>0</v>
      </c>
      <c r="H40" s="108">
        <f>IF(B$22=0,0,G40/B$22)</f>
        <v>0</v>
      </c>
      <c r="I40" s="70">
        <v>1</v>
      </c>
    </row>
    <row r="41" spans="1:12">
      <c r="A41" s="38" t="s">
        <v>133</v>
      </c>
      <c r="B41" s="35">
        <v>20</v>
      </c>
      <c r="C41" s="30">
        <f t="shared" si="4"/>
        <v>0.27397260273972601</v>
      </c>
      <c r="E41" s="46" t="s">
        <v>89</v>
      </c>
      <c r="F41" s="43" t="s">
        <v>53</v>
      </c>
      <c r="G41" s="35">
        <v>0</v>
      </c>
      <c r="H41" s="108">
        <f>IF(B$22=0,0,G41/B$22)</f>
        <v>0</v>
      </c>
      <c r="I41" s="70">
        <v>1</v>
      </c>
    </row>
    <row r="42" spans="1:12">
      <c r="A42" s="38" t="s">
        <v>134</v>
      </c>
      <c r="B42" s="129">
        <v>20</v>
      </c>
      <c r="C42" s="30">
        <f t="shared" si="4"/>
        <v>0.27397260273972601</v>
      </c>
      <c r="E42" s="47" t="s">
        <v>90</v>
      </c>
      <c r="F42" s="44" t="s">
        <v>169</v>
      </c>
      <c r="G42" s="37">
        <v>0</v>
      </c>
      <c r="H42" s="109">
        <f>IF(B$22=0,0,G42/B$22)</f>
        <v>0</v>
      </c>
      <c r="I42" s="71">
        <v>1</v>
      </c>
    </row>
    <row r="43" spans="1:12">
      <c r="A43" s="38" t="s">
        <v>135</v>
      </c>
      <c r="B43" s="129">
        <v>13</v>
      </c>
      <c r="C43" s="30">
        <f t="shared" si="4"/>
        <v>0.17808219178082191</v>
      </c>
    </row>
    <row r="44" spans="1:12">
      <c r="A44" s="38" t="s">
        <v>136</v>
      </c>
      <c r="B44" s="129">
        <v>5</v>
      </c>
      <c r="C44" s="30">
        <f t="shared" si="4"/>
        <v>6.8493150684931503E-2</v>
      </c>
    </row>
    <row r="45" spans="1:12">
      <c r="A45" s="38" t="s">
        <v>138</v>
      </c>
      <c r="B45" s="129">
        <v>6</v>
      </c>
      <c r="C45" s="30">
        <f t="shared" si="4"/>
        <v>8.2191780821917804E-2</v>
      </c>
    </row>
    <row r="46" spans="1:12">
      <c r="A46" s="38" t="s">
        <v>139</v>
      </c>
      <c r="B46" s="129">
        <v>1</v>
      </c>
      <c r="C46" s="30">
        <f t="shared" si="4"/>
        <v>1.3698630136986301E-2</v>
      </c>
    </row>
    <row r="47" spans="1:12">
      <c r="A47" s="38" t="s">
        <v>140</v>
      </c>
      <c r="B47" s="129">
        <v>0</v>
      </c>
      <c r="C47" s="30">
        <f t="shared" si="4"/>
        <v>0</v>
      </c>
    </row>
    <row r="48" spans="1:12">
      <c r="A48" s="38" t="s">
        <v>141</v>
      </c>
      <c r="B48" s="129">
        <v>0</v>
      </c>
      <c r="C48" s="30">
        <f t="shared" si="4"/>
        <v>0</v>
      </c>
    </row>
    <row r="49" spans="1:3">
      <c r="A49" s="38" t="s">
        <v>142</v>
      </c>
      <c r="B49" s="129">
        <v>0</v>
      </c>
      <c r="C49" s="30">
        <f t="shared" si="4"/>
        <v>0</v>
      </c>
    </row>
    <row r="50" spans="1:3">
      <c r="A50" s="38" t="s">
        <v>143</v>
      </c>
      <c r="B50" s="129">
        <v>0</v>
      </c>
      <c r="C50" s="30">
        <f t="shared" si="4"/>
        <v>0</v>
      </c>
    </row>
    <row r="51" spans="1:3">
      <c r="A51" s="38" t="s">
        <v>144</v>
      </c>
      <c r="B51" s="129">
        <v>0</v>
      </c>
      <c r="C51" s="30">
        <f t="shared" si="4"/>
        <v>0</v>
      </c>
    </row>
    <row r="52" spans="1:3">
      <c r="A52" s="40" t="s">
        <v>145</v>
      </c>
      <c r="B52" s="115">
        <v>0</v>
      </c>
      <c r="C52" s="32">
        <f t="shared" si="4"/>
        <v>0</v>
      </c>
    </row>
  </sheetData>
  <sortState xmlns:xlrd2="http://schemas.microsoft.com/office/spreadsheetml/2017/richdata2" ref="N18:Q22">
    <sortCondition descending="1" ref="O18"/>
  </sortState>
  <mergeCells count="9">
    <mergeCell ref="B16:C16"/>
    <mergeCell ref="B35:C35"/>
    <mergeCell ref="B36:C36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F3C64-F0A3-41CE-9B27-AA6A6A446313}">
  <sheetPr codeName="Sheet5"/>
  <dimension ref="A1:Q52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03" bestFit="1" customWidth="1"/>
    <col min="6" max="6" width="11" style="33" bestFit="1" customWidth="1"/>
    <col min="7" max="9" width="9" style="27" customWidth="1"/>
    <col min="10" max="10" width="3.59765625" style="27" customWidth="1"/>
    <col min="11" max="11" width="3.5" style="5" customWidth="1"/>
    <col min="12" max="12" width="9" style="75" customWidth="1"/>
    <col min="13" max="13" width="3.59765625" style="27" customWidth="1"/>
    <col min="14" max="14" width="9" style="90" customWidth="1"/>
    <col min="15" max="15" width="9" style="100" customWidth="1"/>
    <col min="16" max="16" width="9" style="94" customWidth="1"/>
    <col min="17" max="17" width="3.59765625" style="82" customWidth="1"/>
    <col min="18" max="16384" width="9" style="27"/>
  </cols>
  <sheetData>
    <row r="1" spans="1:17">
      <c r="A1" s="17" t="s">
        <v>0</v>
      </c>
      <c r="B1" s="148" t="s">
        <v>177</v>
      </c>
      <c r="C1" s="149"/>
      <c r="E1" s="104" t="s">
        <v>127</v>
      </c>
      <c r="F1" s="127" t="s">
        <v>91</v>
      </c>
      <c r="G1" s="126" t="s">
        <v>92</v>
      </c>
      <c r="H1" s="105" t="s">
        <v>93</v>
      </c>
      <c r="I1" s="127" t="s">
        <v>116</v>
      </c>
      <c r="K1" s="28" t="s">
        <v>18</v>
      </c>
      <c r="L1" s="29" t="s">
        <v>96</v>
      </c>
      <c r="M1" s="106"/>
      <c r="N1" s="88" t="s">
        <v>108</v>
      </c>
      <c r="O1" s="28" t="s">
        <v>109</v>
      </c>
      <c r="P1" s="92" t="s">
        <v>92</v>
      </c>
      <c r="Q1" s="76" t="s">
        <v>120</v>
      </c>
    </row>
    <row r="2" spans="1:17">
      <c r="A2" s="18" t="s">
        <v>9</v>
      </c>
      <c r="B2" s="150">
        <v>7</v>
      </c>
      <c r="C2" s="151"/>
      <c r="E2" s="45" t="s">
        <v>54</v>
      </c>
      <c r="F2" s="42" t="s">
        <v>20</v>
      </c>
      <c r="G2" s="34">
        <v>7</v>
      </c>
      <c r="H2" s="107">
        <f>IF(B$22=0,0,G2/B$22)</f>
        <v>0.5</v>
      </c>
      <c r="I2" s="69">
        <v>4</v>
      </c>
      <c r="K2" s="3">
        <v>0</v>
      </c>
      <c r="L2" s="74">
        <v>0</v>
      </c>
      <c r="N2" s="89" t="s">
        <v>102</v>
      </c>
      <c r="O2" s="96">
        <f t="shared" ref="O2:O9" si="0">IF(P2=0,0,Q2/P2)</f>
        <v>1585.7142857142858</v>
      </c>
      <c r="P2" s="93">
        <v>7</v>
      </c>
      <c r="Q2" s="77">
        <v>11100</v>
      </c>
    </row>
    <row r="3" spans="1:17">
      <c r="A3" s="38" t="s">
        <v>8</v>
      </c>
      <c r="B3" s="152">
        <v>76</v>
      </c>
      <c r="C3" s="153"/>
      <c r="E3" s="46" t="s">
        <v>165</v>
      </c>
      <c r="F3" s="43" t="s">
        <v>168</v>
      </c>
      <c r="G3" s="35">
        <v>7</v>
      </c>
      <c r="H3" s="108">
        <f>IF(B$22=0,0,G3/B$22)</f>
        <v>0.5</v>
      </c>
      <c r="I3" s="70">
        <v>2</v>
      </c>
      <c r="K3" s="5">
        <v>1</v>
      </c>
      <c r="L3" s="75">
        <v>65.5</v>
      </c>
      <c r="N3" s="90" t="s">
        <v>103</v>
      </c>
      <c r="O3" s="97">
        <f t="shared" si="0"/>
        <v>-1457.1428571428571</v>
      </c>
      <c r="P3" s="94">
        <v>7</v>
      </c>
      <c r="Q3" s="78">
        <v>-10200</v>
      </c>
    </row>
    <row r="4" spans="1:17">
      <c r="A4" s="38" t="s">
        <v>6</v>
      </c>
      <c r="B4" s="154">
        <v>48.899999999999984</v>
      </c>
      <c r="C4" s="155"/>
      <c r="E4" s="46" t="s">
        <v>56</v>
      </c>
      <c r="F4" s="43" t="s">
        <v>166</v>
      </c>
      <c r="G4" s="35">
        <v>5</v>
      </c>
      <c r="H4" s="108">
        <f>IF(B$22=0,0,G4/B$22)</f>
        <v>0.35714285714285715</v>
      </c>
      <c r="I4" s="70">
        <v>1</v>
      </c>
      <c r="K4" s="5">
        <v>2</v>
      </c>
      <c r="L4" s="75">
        <v>1.6000000000000014</v>
      </c>
      <c r="N4" s="90" t="s">
        <v>104</v>
      </c>
      <c r="O4" s="97">
        <f t="shared" si="0"/>
        <v>914.28571428571433</v>
      </c>
      <c r="P4" s="94">
        <v>7</v>
      </c>
      <c r="Q4" s="78">
        <v>6400</v>
      </c>
    </row>
    <row r="5" spans="1:17">
      <c r="A5" s="38" t="s">
        <v>7</v>
      </c>
      <c r="B5" s="142">
        <f>IF(B$2=0,0,B$4/B$2)</f>
        <v>6.9857142857142831</v>
      </c>
      <c r="C5" s="143"/>
      <c r="E5" s="46" t="s">
        <v>60</v>
      </c>
      <c r="F5" s="43" t="s">
        <v>24</v>
      </c>
      <c r="G5" s="35">
        <v>5</v>
      </c>
      <c r="H5" s="108">
        <f>IF(B$22=0,0,G5/B$22)</f>
        <v>0.35714285714285715</v>
      </c>
      <c r="I5" s="70">
        <v>5</v>
      </c>
      <c r="K5" s="5">
        <v>3</v>
      </c>
      <c r="L5" s="75">
        <v>75.199999999999989</v>
      </c>
      <c r="N5" s="90" t="s">
        <v>155</v>
      </c>
      <c r="O5" s="97">
        <f>IF(P5=0,0,Q5/P5)</f>
        <v>-700</v>
      </c>
      <c r="P5" s="94">
        <v>7</v>
      </c>
      <c r="Q5" s="78">
        <v>-4900</v>
      </c>
    </row>
    <row r="6" spans="1:17">
      <c r="A6" s="38" t="s">
        <v>1</v>
      </c>
      <c r="B6" s="156">
        <f>IF(B$2=0,0,(B$7*1+B$8*2+B$9*3+B$10*4)/B$2)</f>
        <v>2.4285714285714284</v>
      </c>
      <c r="C6" s="157"/>
      <c r="E6" s="46" t="s">
        <v>59</v>
      </c>
      <c r="F6" s="43" t="s">
        <v>23</v>
      </c>
      <c r="G6" s="35">
        <v>4</v>
      </c>
      <c r="H6" s="108">
        <f>IF(B$22=0,0,G6/B$22)</f>
        <v>0.2857142857142857</v>
      </c>
      <c r="I6" s="70">
        <v>1</v>
      </c>
      <c r="K6" s="5">
        <v>4</v>
      </c>
      <c r="L6" s="75">
        <v>55.099999999999987</v>
      </c>
      <c r="N6" s="90" t="s">
        <v>105</v>
      </c>
      <c r="O6" s="97">
        <f t="shared" ref="O6" si="1">IF(P6=0,0,Q6/P6)</f>
        <v>-57.142857142857146</v>
      </c>
      <c r="P6" s="94">
        <v>7</v>
      </c>
      <c r="Q6" s="78">
        <v>-400</v>
      </c>
    </row>
    <row r="7" spans="1:17">
      <c r="A7" s="38" t="s">
        <v>2</v>
      </c>
      <c r="B7" s="35">
        <v>3</v>
      </c>
      <c r="C7" s="30">
        <f t="shared" ref="C7:C17" si="2">IF(B$2=0,0,B7/B$2)</f>
        <v>0.42857142857142855</v>
      </c>
      <c r="E7" s="46" t="s">
        <v>162</v>
      </c>
      <c r="F7" s="43" t="s">
        <v>154</v>
      </c>
      <c r="G7" s="35">
        <v>3</v>
      </c>
      <c r="H7" s="108">
        <f>IF(B$22=0,0,G7/B$22)</f>
        <v>0.21428571428571427</v>
      </c>
      <c r="I7" s="70">
        <v>6</v>
      </c>
      <c r="K7" s="5">
        <v>5</v>
      </c>
      <c r="L7" s="75">
        <v>36.099999999999987</v>
      </c>
      <c r="N7" s="90" t="s">
        <v>106</v>
      </c>
      <c r="O7" s="97">
        <f t="shared" si="0"/>
        <v>-71.428571428571431</v>
      </c>
      <c r="P7" s="94">
        <v>7</v>
      </c>
      <c r="Q7" s="78">
        <v>-500</v>
      </c>
    </row>
    <row r="8" spans="1:17">
      <c r="A8" s="38" t="s">
        <v>3</v>
      </c>
      <c r="B8" s="35">
        <v>0</v>
      </c>
      <c r="C8" s="30">
        <f>IF(B$2=0,0,B8/B$2)</f>
        <v>0</v>
      </c>
      <c r="E8" s="46" t="s">
        <v>58</v>
      </c>
      <c r="F8" s="43" t="s">
        <v>22</v>
      </c>
      <c r="G8" s="35">
        <v>2</v>
      </c>
      <c r="H8" s="108">
        <f>IF(B$22=0,0,G8/B$22)</f>
        <v>0.14285714285714285</v>
      </c>
      <c r="I8" s="70">
        <v>1</v>
      </c>
      <c r="K8" s="5">
        <v>6</v>
      </c>
      <c r="L8" s="75">
        <v>-19.20000000000001</v>
      </c>
      <c r="N8" s="90" t="s">
        <v>107</v>
      </c>
      <c r="O8" s="97">
        <f t="shared" si="0"/>
        <v>-1685.7142857142858</v>
      </c>
      <c r="P8" s="94">
        <v>7</v>
      </c>
      <c r="Q8" s="78">
        <v>-11800</v>
      </c>
    </row>
    <row r="9" spans="1:17">
      <c r="A9" s="39" t="s">
        <v>4</v>
      </c>
      <c r="B9" s="36">
        <v>2</v>
      </c>
      <c r="C9" s="31">
        <f>IF(B$2=0,0,B9/B$2)</f>
        <v>0.2857142857142857</v>
      </c>
      <c r="E9" s="46" t="s">
        <v>67</v>
      </c>
      <c r="F9" s="43" t="s">
        <v>31</v>
      </c>
      <c r="G9" s="35">
        <v>1</v>
      </c>
      <c r="H9" s="108">
        <f>IF(B$22=0,0,G9/B$22)</f>
        <v>7.1428571428571425E-2</v>
      </c>
      <c r="I9" s="70">
        <v>1</v>
      </c>
      <c r="K9" s="5">
        <v>7</v>
      </c>
      <c r="L9" s="75">
        <v>48.899999999999984</v>
      </c>
      <c r="N9" s="91" t="s">
        <v>156</v>
      </c>
      <c r="O9" s="98">
        <f t="shared" si="0"/>
        <v>3457.1428571428573</v>
      </c>
      <c r="P9" s="95">
        <v>7</v>
      </c>
      <c r="Q9" s="79">
        <v>24200</v>
      </c>
    </row>
    <row r="10" spans="1:17">
      <c r="A10" s="39" t="s">
        <v>150</v>
      </c>
      <c r="B10" s="36">
        <v>2</v>
      </c>
      <c r="C10" s="31">
        <f>IF(B$2=0,0,B10/B$2)</f>
        <v>0.2857142857142857</v>
      </c>
      <c r="E10" s="46" t="s">
        <v>164</v>
      </c>
      <c r="F10" s="43" t="s">
        <v>167</v>
      </c>
      <c r="G10" s="35">
        <v>1</v>
      </c>
      <c r="H10" s="108">
        <f>IF(B$22=0,0,G10/B$22)</f>
        <v>7.1428571428571425E-2</v>
      </c>
      <c r="I10" s="70">
        <v>2</v>
      </c>
      <c r="N10" s="33"/>
      <c r="O10" s="102"/>
      <c r="P10" s="86"/>
      <c r="Q10" s="84"/>
    </row>
    <row r="11" spans="1:17">
      <c r="A11" s="39" t="s">
        <v>151</v>
      </c>
      <c r="B11" s="36">
        <f>B7+B8</f>
        <v>3</v>
      </c>
      <c r="C11" s="31">
        <f>IF(B$2=0,0,B11/B$2)</f>
        <v>0.42857142857142855</v>
      </c>
      <c r="E11" s="46" t="s">
        <v>69</v>
      </c>
      <c r="F11" s="43" t="s">
        <v>33</v>
      </c>
      <c r="G11" s="35">
        <v>1</v>
      </c>
      <c r="H11" s="108">
        <f>IF(B$22=0,0,G11/B$22)</f>
        <v>7.1428571428571425E-2</v>
      </c>
      <c r="I11" s="70">
        <v>1</v>
      </c>
      <c r="N11" s="88" t="s">
        <v>158</v>
      </c>
      <c r="O11" s="28" t="s">
        <v>96</v>
      </c>
      <c r="P11" s="92" t="s">
        <v>92</v>
      </c>
      <c r="Q11" s="80" t="s">
        <v>120</v>
      </c>
    </row>
    <row r="12" spans="1:17">
      <c r="A12" s="39" t="s">
        <v>179</v>
      </c>
      <c r="B12" s="124">
        <f>IF(B7=0,0,C12/B7)</f>
        <v>69.066666666666663</v>
      </c>
      <c r="C12" s="125">
        <v>207.2</v>
      </c>
      <c r="E12" s="46" t="s">
        <v>77</v>
      </c>
      <c r="F12" s="43" t="s">
        <v>41</v>
      </c>
      <c r="G12" s="35">
        <v>1</v>
      </c>
      <c r="H12" s="108">
        <f>IF(B$22=0,0,G12/B$22)</f>
        <v>7.1428571428571425E-2</v>
      </c>
      <c r="I12" s="70">
        <v>1</v>
      </c>
      <c r="N12" s="89" t="s">
        <v>124</v>
      </c>
      <c r="O12" s="99">
        <f>IF(P12=0,0,Q12/P12)</f>
        <v>65.5</v>
      </c>
      <c r="P12" s="93">
        <v>1</v>
      </c>
      <c r="Q12" s="81">
        <v>65.5</v>
      </c>
    </row>
    <row r="13" spans="1:17">
      <c r="A13" s="39" t="s">
        <v>180</v>
      </c>
      <c r="B13" s="124">
        <f t="shared" ref="B13:B14" si="3">IF(B8=0,0,C13/B8)</f>
        <v>0</v>
      </c>
      <c r="C13" s="125">
        <v>0</v>
      </c>
      <c r="E13" s="46" t="s">
        <v>78</v>
      </c>
      <c r="F13" s="43" t="s">
        <v>42</v>
      </c>
      <c r="G13" s="35">
        <v>1</v>
      </c>
      <c r="H13" s="108">
        <f>IF(B$22=0,0,G13/B$22)</f>
        <v>7.1428571428571425E-2</v>
      </c>
      <c r="I13" s="70">
        <v>1</v>
      </c>
      <c r="N13" s="90" t="s">
        <v>125</v>
      </c>
      <c r="O13" s="100">
        <f>IF(P13=0,0,Q13/P13)</f>
        <v>-37.15</v>
      </c>
      <c r="P13" s="94">
        <v>2</v>
      </c>
      <c r="Q13" s="82">
        <v>-74.3</v>
      </c>
    </row>
    <row r="14" spans="1:17">
      <c r="A14" s="39" t="s">
        <v>181</v>
      </c>
      <c r="B14" s="124">
        <f t="shared" si="3"/>
        <v>-19.55</v>
      </c>
      <c r="C14" s="125">
        <v>-39.1</v>
      </c>
      <c r="E14" s="46" t="s">
        <v>163</v>
      </c>
      <c r="F14" s="43" t="s">
        <v>19</v>
      </c>
      <c r="G14" s="35">
        <v>0</v>
      </c>
      <c r="H14" s="108">
        <f>IF(B$22=0,0,G14/B$22)</f>
        <v>0</v>
      </c>
      <c r="I14" s="70">
        <v>6</v>
      </c>
      <c r="N14" s="90" t="s">
        <v>126</v>
      </c>
      <c r="O14" s="100">
        <f>IF(P14=0,0,Q14/P14)</f>
        <v>26.749999999999996</v>
      </c>
      <c r="P14" s="94">
        <v>2</v>
      </c>
      <c r="Q14" s="82">
        <v>53.499999999999993</v>
      </c>
    </row>
    <row r="15" spans="1:17">
      <c r="A15" s="39" t="s">
        <v>182</v>
      </c>
      <c r="B15" s="124">
        <f>IF(B10=0,0,C15/B10)</f>
        <v>-59.599999999999994</v>
      </c>
      <c r="C15" s="125">
        <v>-119.19999999999999</v>
      </c>
      <c r="E15" s="46" t="s">
        <v>55</v>
      </c>
      <c r="F15" s="43" t="s">
        <v>153</v>
      </c>
      <c r="G15" s="35">
        <v>0</v>
      </c>
      <c r="H15" s="108">
        <f>IF(B$22=0,0,G15/B$22)</f>
        <v>0</v>
      </c>
      <c r="I15" s="70">
        <v>5</v>
      </c>
      <c r="N15" s="91" t="s">
        <v>157</v>
      </c>
      <c r="O15" s="101">
        <f>IF(P15=0,0,Q15/P15)</f>
        <v>2.0999999999999979</v>
      </c>
      <c r="P15" s="95">
        <v>2</v>
      </c>
      <c r="Q15" s="83">
        <v>4.1999999999999957</v>
      </c>
    </row>
    <row r="16" spans="1:17">
      <c r="A16" s="39" t="s">
        <v>178</v>
      </c>
      <c r="B16" s="142">
        <f>AVERAGE(B12:B15)</f>
        <v>-2.5208333333333321</v>
      </c>
      <c r="C16" s="143"/>
      <c r="E16" s="46" t="s">
        <v>57</v>
      </c>
      <c r="F16" s="43" t="s">
        <v>21</v>
      </c>
      <c r="G16" s="35">
        <v>0</v>
      </c>
      <c r="H16" s="108">
        <f>IF(B$22=0,0,G16/B$22)</f>
        <v>0</v>
      </c>
      <c r="I16" s="70">
        <v>6</v>
      </c>
      <c r="N16" s="27"/>
      <c r="O16" s="85"/>
      <c r="P16" s="87"/>
      <c r="Q16" s="85"/>
    </row>
    <row r="17" spans="1:17">
      <c r="A17" s="40" t="s">
        <v>17</v>
      </c>
      <c r="B17" s="37">
        <v>1</v>
      </c>
      <c r="C17" s="32">
        <f t="shared" si="2"/>
        <v>0.14285714285714285</v>
      </c>
      <c r="E17" s="46" t="s">
        <v>61</v>
      </c>
      <c r="F17" s="43" t="s">
        <v>25</v>
      </c>
      <c r="G17" s="35">
        <v>0</v>
      </c>
      <c r="H17" s="108">
        <f>IF(B$22=0,0,G17/B$22)</f>
        <v>0</v>
      </c>
      <c r="I17" s="70">
        <v>1</v>
      </c>
      <c r="N17" s="88" t="s">
        <v>117</v>
      </c>
      <c r="O17" s="28" t="s">
        <v>96</v>
      </c>
      <c r="P17" s="92" t="s">
        <v>92</v>
      </c>
      <c r="Q17" s="80" t="s">
        <v>120</v>
      </c>
    </row>
    <row r="18" spans="1:17">
      <c r="A18" s="41" t="s">
        <v>97</v>
      </c>
      <c r="B18" s="15">
        <v>10</v>
      </c>
      <c r="C18" s="11">
        <f>IF(B$3=0,0,B18/B$3)</f>
        <v>0.13157894736842105</v>
      </c>
      <c r="E18" s="46" t="s">
        <v>62</v>
      </c>
      <c r="F18" s="43" t="s">
        <v>26</v>
      </c>
      <c r="G18" s="35">
        <v>0</v>
      </c>
      <c r="H18" s="108">
        <f>IF(B$22=0,0,G18/B$22)</f>
        <v>0</v>
      </c>
      <c r="I18" s="70">
        <v>1</v>
      </c>
      <c r="N18" s="89" t="s">
        <v>189</v>
      </c>
      <c r="O18" s="99">
        <f>IF(P18=0,0,Q18/P18)</f>
        <v>32.949999999999996</v>
      </c>
      <c r="P18" s="93">
        <v>2</v>
      </c>
      <c r="Q18" s="81">
        <v>65.899999999999991</v>
      </c>
    </row>
    <row r="19" spans="1:17">
      <c r="A19" s="38" t="s">
        <v>94</v>
      </c>
      <c r="B19" s="35">
        <v>11</v>
      </c>
      <c r="C19" s="30">
        <f>IF(B$3=0,0,B19/B$3)</f>
        <v>0.14473684210526316</v>
      </c>
      <c r="E19" s="46" t="s">
        <v>63</v>
      </c>
      <c r="F19" s="43" t="s">
        <v>27</v>
      </c>
      <c r="G19" s="35">
        <v>0</v>
      </c>
      <c r="H19" s="108">
        <f>IF(B$22=0,0,G19/B$22)</f>
        <v>0</v>
      </c>
      <c r="I19" s="70">
        <v>1</v>
      </c>
      <c r="N19" s="90" t="s">
        <v>174</v>
      </c>
      <c r="O19" s="100">
        <f>IF(P19=0,0,Q19/P19)</f>
        <v>17.042857142857141</v>
      </c>
      <c r="P19" s="94">
        <v>7</v>
      </c>
      <c r="Q19" s="82">
        <v>119.29999999999998</v>
      </c>
    </row>
    <row r="20" spans="1:17">
      <c r="A20" s="18" t="s">
        <v>99</v>
      </c>
      <c r="B20" s="34">
        <f>B26</f>
        <v>3</v>
      </c>
      <c r="C20" s="4">
        <f>IF(B$18=0,0,B20/B$18)</f>
        <v>0.3</v>
      </c>
      <c r="E20" s="46" t="s">
        <v>64</v>
      </c>
      <c r="F20" s="43" t="s">
        <v>28</v>
      </c>
      <c r="G20" s="35">
        <v>0</v>
      </c>
      <c r="H20" s="108">
        <f>IF(B$22=0,0,G20/B$22)</f>
        <v>0</v>
      </c>
      <c r="I20" s="70">
        <v>1</v>
      </c>
      <c r="N20" s="90" t="s">
        <v>176</v>
      </c>
      <c r="O20" s="100">
        <f>IF(P20=0,0,Q20/P20)</f>
        <v>16.72</v>
      </c>
      <c r="P20" s="94">
        <v>5</v>
      </c>
      <c r="Q20" s="82">
        <v>83.6</v>
      </c>
    </row>
    <row r="21" spans="1:17">
      <c r="A21" s="18" t="s">
        <v>100</v>
      </c>
      <c r="B21" s="34">
        <f>B27</f>
        <v>7</v>
      </c>
      <c r="C21" s="4">
        <f>IF(B$19=0,0,B21/B$19)</f>
        <v>0.63636363636363635</v>
      </c>
      <c r="E21" s="46" t="s">
        <v>65</v>
      </c>
      <c r="F21" s="43" t="s">
        <v>29</v>
      </c>
      <c r="G21" s="35">
        <v>0</v>
      </c>
      <c r="H21" s="108">
        <f>IF(B$22=0,0,G21/B$22)</f>
        <v>0</v>
      </c>
      <c r="I21" s="70">
        <v>1</v>
      </c>
      <c r="N21" s="90" t="s">
        <v>175</v>
      </c>
      <c r="O21" s="100">
        <f>IF(P21=0,0,Q21/P21)</f>
        <v>-9.0285714285714267</v>
      </c>
      <c r="P21" s="94">
        <v>7</v>
      </c>
      <c r="Q21" s="82">
        <v>-63.199999999999989</v>
      </c>
    </row>
    <row r="22" spans="1:17">
      <c r="A22" s="18" t="s">
        <v>10</v>
      </c>
      <c r="B22" s="34">
        <f>B25+B24</f>
        <v>14</v>
      </c>
      <c r="C22" s="4">
        <f>IF(B$3=0,0,B22/B$3)</f>
        <v>0.18421052631578946</v>
      </c>
      <c r="E22" s="46" t="s">
        <v>66</v>
      </c>
      <c r="F22" s="43" t="s">
        <v>30</v>
      </c>
      <c r="G22" s="35">
        <v>0</v>
      </c>
      <c r="H22" s="108">
        <f>IF(B$22=0,0,G22/B$22)</f>
        <v>0</v>
      </c>
      <c r="I22" s="70">
        <v>4</v>
      </c>
    </row>
    <row r="23" spans="1:17">
      <c r="A23" s="38" t="s">
        <v>13</v>
      </c>
      <c r="B23" s="35">
        <v>9</v>
      </c>
      <c r="C23" s="30">
        <f>IF(B$3=0,0,B23/B$3)</f>
        <v>0.11842105263157894</v>
      </c>
      <c r="E23" s="46" t="s">
        <v>68</v>
      </c>
      <c r="F23" s="43" t="s">
        <v>32</v>
      </c>
      <c r="G23" s="35">
        <v>0</v>
      </c>
      <c r="H23" s="108">
        <f>IF(B$22=0,0,G23/B$22)</f>
        <v>0</v>
      </c>
      <c r="I23" s="70">
        <v>1</v>
      </c>
    </row>
    <row r="24" spans="1:17">
      <c r="A24" s="38" t="s">
        <v>12</v>
      </c>
      <c r="B24" s="35">
        <v>7</v>
      </c>
      <c r="C24" s="30">
        <f>IF(B$22=0,0,B24/B$22)</f>
        <v>0.5</v>
      </c>
      <c r="E24" s="46" t="s">
        <v>70</v>
      </c>
      <c r="F24" s="43" t="s">
        <v>34</v>
      </c>
      <c r="G24" s="35">
        <v>0</v>
      </c>
      <c r="H24" s="108">
        <f>IF(B$22=0,0,G24/B$22)</f>
        <v>0</v>
      </c>
      <c r="I24" s="70">
        <v>1</v>
      </c>
    </row>
    <row r="25" spans="1:17">
      <c r="A25" s="38" t="s">
        <v>11</v>
      </c>
      <c r="B25" s="35">
        <v>7</v>
      </c>
      <c r="C25" s="30">
        <f>IF(B$22=0,0,B25/B$22)</f>
        <v>0.5</v>
      </c>
      <c r="E25" s="46" t="s">
        <v>71</v>
      </c>
      <c r="F25" s="43" t="s">
        <v>35</v>
      </c>
      <c r="G25" s="35">
        <v>0</v>
      </c>
      <c r="H25" s="108">
        <f>IF(B$22=0,0,G25/B$22)</f>
        <v>0</v>
      </c>
      <c r="I25" s="70">
        <v>1</v>
      </c>
    </row>
    <row r="26" spans="1:17">
      <c r="A26" s="38" t="s">
        <v>149</v>
      </c>
      <c r="B26" s="35">
        <v>3</v>
      </c>
      <c r="C26" s="30">
        <f>IF(B$22=0,0,B26/B$22)</f>
        <v>0.21428571428571427</v>
      </c>
      <c r="E26" s="46" t="s">
        <v>72</v>
      </c>
      <c r="F26" s="43" t="s">
        <v>36</v>
      </c>
      <c r="G26" s="35">
        <v>0</v>
      </c>
      <c r="H26" s="108">
        <f>IF(B$22=0,0,G26/B$22)</f>
        <v>0</v>
      </c>
      <c r="I26" s="70">
        <v>1</v>
      </c>
    </row>
    <row r="27" spans="1:17">
      <c r="A27" s="38" t="s">
        <v>147</v>
      </c>
      <c r="B27" s="35">
        <v>7</v>
      </c>
      <c r="C27" s="30">
        <f>IF(B$22=0,0,B27/B$22)</f>
        <v>0.5</v>
      </c>
      <c r="E27" s="46" t="s">
        <v>73</v>
      </c>
      <c r="F27" s="43" t="s">
        <v>37</v>
      </c>
      <c r="G27" s="35">
        <v>0</v>
      </c>
      <c r="H27" s="108">
        <f>IF(B$22=0,0,G27/B$22)</f>
        <v>0</v>
      </c>
      <c r="I27" s="70">
        <v>1</v>
      </c>
    </row>
    <row r="28" spans="1:17">
      <c r="A28" s="38" t="s">
        <v>148</v>
      </c>
      <c r="B28" s="35">
        <v>4</v>
      </c>
      <c r="C28" s="30">
        <f>IF(B$22=0,0,B28/B$22)</f>
        <v>0.2857142857142857</v>
      </c>
      <c r="E28" s="46" t="s">
        <v>74</v>
      </c>
      <c r="F28" s="43" t="s">
        <v>38</v>
      </c>
      <c r="G28" s="35">
        <v>0</v>
      </c>
      <c r="H28" s="108">
        <f>IF(B$22=0,0,G28/B$22)</f>
        <v>0</v>
      </c>
      <c r="I28" s="70">
        <v>4</v>
      </c>
    </row>
    <row r="29" spans="1:17">
      <c r="A29" s="38" t="s">
        <v>5</v>
      </c>
      <c r="B29" s="16">
        <f>IF(B$22=0,0,C29/B$22)</f>
        <v>6592.8571428571431</v>
      </c>
      <c r="C29" s="8">
        <v>92300</v>
      </c>
      <c r="E29" s="46" t="s">
        <v>75</v>
      </c>
      <c r="F29" s="43" t="s">
        <v>39</v>
      </c>
      <c r="G29" s="35">
        <v>0</v>
      </c>
      <c r="H29" s="108">
        <f>IF(B$22=0,0,G29/B$22)</f>
        <v>0</v>
      </c>
      <c r="I29" s="70">
        <v>1</v>
      </c>
    </row>
    <row r="30" spans="1:17">
      <c r="A30" s="39" t="s">
        <v>131</v>
      </c>
      <c r="B30" s="111">
        <f>IF($B$22-B$21=0,0,C30/($B$22-B$21))</f>
        <v>5900</v>
      </c>
      <c r="C30" s="112">
        <v>41300</v>
      </c>
      <c r="E30" s="46" t="s">
        <v>76</v>
      </c>
      <c r="F30" s="43" t="s">
        <v>40</v>
      </c>
      <c r="G30" s="35">
        <v>0</v>
      </c>
      <c r="H30" s="108">
        <f>IF(B$22=0,0,G30/B$22)</f>
        <v>0</v>
      </c>
      <c r="I30" s="70">
        <v>3</v>
      </c>
    </row>
    <row r="31" spans="1:17">
      <c r="A31" s="39" t="s">
        <v>132</v>
      </c>
      <c r="B31" s="111">
        <f>IF(B$21=0,0,C31/B$21)</f>
        <v>7285.7142857142853</v>
      </c>
      <c r="C31" s="112">
        <v>51000</v>
      </c>
      <c r="E31" s="46" t="s">
        <v>79</v>
      </c>
      <c r="F31" s="43" t="s">
        <v>43</v>
      </c>
      <c r="G31" s="35">
        <v>0</v>
      </c>
      <c r="H31" s="108">
        <f>IF(B$22=0,0,G31/B$22)</f>
        <v>0</v>
      </c>
      <c r="I31" s="70">
        <v>1</v>
      </c>
    </row>
    <row r="32" spans="1:17">
      <c r="A32" s="39" t="s">
        <v>130</v>
      </c>
      <c r="B32" s="111">
        <f>IF(B$23=0,0,C32/B$23)</f>
        <v>-5233.333333333333</v>
      </c>
      <c r="C32" s="112">
        <v>-47100</v>
      </c>
      <c r="E32" s="46" t="s">
        <v>80</v>
      </c>
      <c r="F32" s="43" t="s">
        <v>44</v>
      </c>
      <c r="G32" s="35">
        <v>0</v>
      </c>
      <c r="H32" s="108">
        <f>IF(B$22=0,0,G32/B$22)</f>
        <v>0</v>
      </c>
      <c r="I32" s="70">
        <v>1</v>
      </c>
    </row>
    <row r="33" spans="1:9">
      <c r="A33" s="38" t="s">
        <v>128</v>
      </c>
      <c r="B33" s="35">
        <v>2</v>
      </c>
      <c r="C33" s="110">
        <v>0</v>
      </c>
      <c r="E33" s="46" t="s">
        <v>81</v>
      </c>
      <c r="F33" s="43" t="s">
        <v>45</v>
      </c>
      <c r="G33" s="35">
        <v>0</v>
      </c>
      <c r="H33" s="108">
        <f>IF(B$22=0,0,G33/B$22)</f>
        <v>0</v>
      </c>
      <c r="I33" s="70">
        <v>1</v>
      </c>
    </row>
    <row r="34" spans="1:9">
      <c r="A34" s="38" t="s">
        <v>129</v>
      </c>
      <c r="B34" s="35">
        <v>17</v>
      </c>
      <c r="C34" s="110">
        <v>8</v>
      </c>
      <c r="E34" s="46" t="s">
        <v>82</v>
      </c>
      <c r="F34" s="43" t="s">
        <v>46</v>
      </c>
      <c r="G34" s="35">
        <v>0</v>
      </c>
      <c r="H34" s="108">
        <f>IF(B$22=0,0,G34/B$22)</f>
        <v>0</v>
      </c>
      <c r="I34" s="70">
        <v>1</v>
      </c>
    </row>
    <row r="35" spans="1:9">
      <c r="A35" s="66" t="s">
        <v>110</v>
      </c>
      <c r="B35" s="144">
        <v>4</v>
      </c>
      <c r="C35" s="145"/>
      <c r="E35" s="46" t="s">
        <v>83</v>
      </c>
      <c r="F35" s="43" t="s">
        <v>47</v>
      </c>
      <c r="G35" s="35">
        <v>0</v>
      </c>
      <c r="H35" s="108">
        <f>IF(B$22=0,0,G35/B$22)</f>
        <v>0</v>
      </c>
      <c r="I35" s="70">
        <v>1</v>
      </c>
    </row>
    <row r="36" spans="1:9">
      <c r="A36" s="41" t="s">
        <v>146</v>
      </c>
      <c r="B36" s="146">
        <v>53600</v>
      </c>
      <c r="C36" s="147"/>
      <c r="E36" s="46" t="s">
        <v>84</v>
      </c>
      <c r="F36" s="43" t="s">
        <v>48</v>
      </c>
      <c r="G36" s="35">
        <v>0</v>
      </c>
      <c r="H36" s="108">
        <f>IF(B$22=0,0,G36/B$22)</f>
        <v>0</v>
      </c>
      <c r="I36" s="70">
        <v>1</v>
      </c>
    </row>
    <row r="37" spans="1:9">
      <c r="A37" s="40" t="s">
        <v>111</v>
      </c>
      <c r="B37" s="26">
        <v>0</v>
      </c>
      <c r="C37" s="32">
        <f>IF(B$3=0,0,B37/B$3)</f>
        <v>0</v>
      </c>
      <c r="E37" s="46" t="s">
        <v>85</v>
      </c>
      <c r="F37" s="43" t="s">
        <v>49</v>
      </c>
      <c r="G37" s="35">
        <v>0</v>
      </c>
      <c r="H37" s="108">
        <f>IF(B$22=0,0,G37/B$22)</f>
        <v>0</v>
      </c>
      <c r="I37" s="70">
        <v>1</v>
      </c>
    </row>
    <row r="38" spans="1:9">
      <c r="E38" s="46" t="s">
        <v>86</v>
      </c>
      <c r="F38" s="43" t="s">
        <v>50</v>
      </c>
      <c r="G38" s="35">
        <v>0</v>
      </c>
      <c r="H38" s="108">
        <f>IF(B$22=0,0,G38/B$22)</f>
        <v>0</v>
      </c>
      <c r="I38" s="70">
        <v>1</v>
      </c>
    </row>
    <row r="39" spans="1:9">
      <c r="A39" s="119" t="s">
        <v>159</v>
      </c>
      <c r="B39" s="120" t="s">
        <v>92</v>
      </c>
      <c r="C39" s="121" t="s">
        <v>93</v>
      </c>
      <c r="E39" s="46" t="s">
        <v>87</v>
      </c>
      <c r="F39" s="43" t="s">
        <v>51</v>
      </c>
      <c r="G39" s="35">
        <v>0</v>
      </c>
      <c r="H39" s="108">
        <f>IF(B$22=0,0,G39/B$22)</f>
        <v>0</v>
      </c>
      <c r="I39" s="70">
        <v>1</v>
      </c>
    </row>
    <row r="40" spans="1:9">
      <c r="A40" s="66" t="s">
        <v>137</v>
      </c>
      <c r="B40" s="128">
        <v>2</v>
      </c>
      <c r="C40" s="116">
        <f t="shared" ref="C40:C52" si="4">IF(B$22=0,0,B40/B$22)</f>
        <v>0.14285714285714285</v>
      </c>
      <c r="E40" s="46" t="s">
        <v>88</v>
      </c>
      <c r="F40" s="43" t="s">
        <v>52</v>
      </c>
      <c r="G40" s="35">
        <v>0</v>
      </c>
      <c r="H40" s="108">
        <f>IF(B$22=0,0,G40/B$22)</f>
        <v>0</v>
      </c>
      <c r="I40" s="70">
        <v>1</v>
      </c>
    </row>
    <row r="41" spans="1:9">
      <c r="A41" s="38" t="s">
        <v>133</v>
      </c>
      <c r="B41" s="35">
        <v>3</v>
      </c>
      <c r="C41" s="30">
        <f t="shared" si="4"/>
        <v>0.21428571428571427</v>
      </c>
      <c r="E41" s="46" t="s">
        <v>89</v>
      </c>
      <c r="F41" s="43" t="s">
        <v>53</v>
      </c>
      <c r="G41" s="35">
        <v>0</v>
      </c>
      <c r="H41" s="108">
        <f>IF(B$22=0,0,G41/B$22)</f>
        <v>0</v>
      </c>
      <c r="I41" s="70">
        <v>1</v>
      </c>
    </row>
    <row r="42" spans="1:9">
      <c r="A42" s="38" t="s">
        <v>134</v>
      </c>
      <c r="B42" s="129">
        <v>2</v>
      </c>
      <c r="C42" s="30">
        <f t="shared" si="4"/>
        <v>0.14285714285714285</v>
      </c>
      <c r="E42" s="47" t="s">
        <v>90</v>
      </c>
      <c r="F42" s="44" t="s">
        <v>169</v>
      </c>
      <c r="G42" s="37">
        <v>0</v>
      </c>
      <c r="H42" s="109">
        <f>IF(B$22=0,0,G42/B$22)</f>
        <v>0</v>
      </c>
      <c r="I42" s="71">
        <v>1</v>
      </c>
    </row>
    <row r="43" spans="1:9">
      <c r="A43" s="38" t="s">
        <v>135</v>
      </c>
      <c r="B43" s="129">
        <v>5</v>
      </c>
      <c r="C43" s="30">
        <f t="shared" si="4"/>
        <v>0.35714285714285715</v>
      </c>
    </row>
    <row r="44" spans="1:9">
      <c r="A44" s="38" t="s">
        <v>136</v>
      </c>
      <c r="B44" s="129">
        <v>1</v>
      </c>
      <c r="C44" s="30">
        <f t="shared" si="4"/>
        <v>7.1428571428571425E-2</v>
      </c>
    </row>
    <row r="45" spans="1:9">
      <c r="A45" s="38" t="s">
        <v>138</v>
      </c>
      <c r="B45" s="129">
        <v>1</v>
      </c>
      <c r="C45" s="30">
        <f t="shared" si="4"/>
        <v>7.1428571428571425E-2</v>
      </c>
    </row>
    <row r="46" spans="1:9">
      <c r="A46" s="38" t="s">
        <v>139</v>
      </c>
      <c r="B46" s="129">
        <v>0</v>
      </c>
      <c r="C46" s="30">
        <f t="shared" si="4"/>
        <v>0</v>
      </c>
    </row>
    <row r="47" spans="1:9">
      <c r="A47" s="38" t="s">
        <v>140</v>
      </c>
      <c r="B47" s="129">
        <v>0</v>
      </c>
      <c r="C47" s="30">
        <f t="shared" si="4"/>
        <v>0</v>
      </c>
    </row>
    <row r="48" spans="1:9">
      <c r="A48" s="38" t="s">
        <v>141</v>
      </c>
      <c r="B48" s="129">
        <v>0</v>
      </c>
      <c r="C48" s="30">
        <f t="shared" si="4"/>
        <v>0</v>
      </c>
    </row>
    <row r="49" spans="1:3">
      <c r="A49" s="38" t="s">
        <v>142</v>
      </c>
      <c r="B49" s="129">
        <v>0</v>
      </c>
      <c r="C49" s="30">
        <f t="shared" si="4"/>
        <v>0</v>
      </c>
    </row>
    <row r="50" spans="1:3">
      <c r="A50" s="38" t="s">
        <v>143</v>
      </c>
      <c r="B50" s="129">
        <v>0</v>
      </c>
      <c r="C50" s="30">
        <f t="shared" si="4"/>
        <v>0</v>
      </c>
    </row>
    <row r="51" spans="1:3">
      <c r="A51" s="38" t="s">
        <v>144</v>
      </c>
      <c r="B51" s="129">
        <v>0</v>
      </c>
      <c r="C51" s="30">
        <f t="shared" si="4"/>
        <v>0</v>
      </c>
    </row>
    <row r="52" spans="1:3">
      <c r="A52" s="40" t="s">
        <v>145</v>
      </c>
      <c r="B52" s="115">
        <v>0</v>
      </c>
      <c r="C52" s="32">
        <f t="shared" si="4"/>
        <v>0</v>
      </c>
    </row>
  </sheetData>
  <sortState xmlns:xlrd2="http://schemas.microsoft.com/office/spreadsheetml/2017/richdata2" ref="N18:Q21">
    <sortCondition descending="1" ref="O18"/>
  </sortState>
  <mergeCells count="9">
    <mergeCell ref="B16:C16"/>
    <mergeCell ref="B35:C35"/>
    <mergeCell ref="B36:C36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41B9C-A1F9-46F2-A9BC-E522133F9CD0}">
  <sheetPr codeName="Sheet6"/>
  <dimension ref="A1:Q52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03" bestFit="1" customWidth="1"/>
    <col min="6" max="6" width="11" style="33" bestFit="1" customWidth="1"/>
    <col min="7" max="9" width="9" style="27" customWidth="1"/>
    <col min="10" max="10" width="3.59765625" style="27" customWidth="1"/>
    <col min="11" max="11" width="3.5" style="5" customWidth="1"/>
    <col min="12" max="12" width="9" style="75" customWidth="1"/>
    <col min="13" max="13" width="3.59765625" style="27" customWidth="1"/>
    <col min="14" max="14" width="9" style="90" customWidth="1"/>
    <col min="15" max="15" width="9" style="100" customWidth="1"/>
    <col min="16" max="16" width="9" style="94" customWidth="1"/>
    <col min="17" max="17" width="3.59765625" style="82" customWidth="1"/>
    <col min="18" max="16384" width="9" style="27"/>
  </cols>
  <sheetData>
    <row r="1" spans="1:17">
      <c r="A1" s="17" t="s">
        <v>0</v>
      </c>
      <c r="B1" s="148" t="s">
        <v>174</v>
      </c>
      <c r="C1" s="149"/>
      <c r="E1" s="104" t="s">
        <v>127</v>
      </c>
      <c r="F1" s="127" t="s">
        <v>91</v>
      </c>
      <c r="G1" s="126" t="s">
        <v>92</v>
      </c>
      <c r="H1" s="105" t="s">
        <v>93</v>
      </c>
      <c r="I1" s="127" t="s">
        <v>116</v>
      </c>
      <c r="K1" s="28" t="s">
        <v>18</v>
      </c>
      <c r="L1" s="29" t="s">
        <v>96</v>
      </c>
      <c r="M1" s="106"/>
      <c r="N1" s="88" t="s">
        <v>108</v>
      </c>
      <c r="O1" s="28" t="s">
        <v>109</v>
      </c>
      <c r="P1" s="92" t="s">
        <v>92</v>
      </c>
      <c r="Q1" s="76" t="s">
        <v>120</v>
      </c>
    </row>
    <row r="2" spans="1:17">
      <c r="A2" s="18" t="s">
        <v>9</v>
      </c>
      <c r="B2" s="150">
        <v>8</v>
      </c>
      <c r="C2" s="151"/>
      <c r="E2" s="45" t="s">
        <v>165</v>
      </c>
      <c r="F2" s="42" t="s">
        <v>168</v>
      </c>
      <c r="G2" s="34">
        <v>10</v>
      </c>
      <c r="H2" s="107">
        <f>IF(B$22=0,0,G2/B$22)</f>
        <v>0.7142857142857143</v>
      </c>
      <c r="I2" s="69">
        <v>1</v>
      </c>
      <c r="K2" s="3">
        <v>0</v>
      </c>
      <c r="L2" s="74">
        <v>0</v>
      </c>
      <c r="N2" s="89" t="s">
        <v>102</v>
      </c>
      <c r="O2" s="96">
        <f t="shared" ref="O2:O9" si="0">IF(P2=0,0,Q2/P2)</f>
        <v>-900</v>
      </c>
      <c r="P2" s="93">
        <v>8</v>
      </c>
      <c r="Q2" s="77">
        <v>-7200</v>
      </c>
    </row>
    <row r="3" spans="1:17">
      <c r="A3" s="38" t="s">
        <v>8</v>
      </c>
      <c r="B3" s="152">
        <v>89</v>
      </c>
      <c r="C3" s="153"/>
      <c r="E3" s="46" t="s">
        <v>162</v>
      </c>
      <c r="F3" s="43" t="s">
        <v>154</v>
      </c>
      <c r="G3" s="35">
        <v>7</v>
      </c>
      <c r="H3" s="108">
        <f>IF(B$22=0,0,G3/B$22)</f>
        <v>0.5</v>
      </c>
      <c r="I3" s="70">
        <v>3</v>
      </c>
      <c r="K3" s="5">
        <v>1</v>
      </c>
      <c r="L3" s="75">
        <v>-65.7</v>
      </c>
      <c r="N3" s="90" t="s">
        <v>103</v>
      </c>
      <c r="O3" s="97">
        <f t="shared" si="0"/>
        <v>-937.5</v>
      </c>
      <c r="P3" s="94">
        <v>8</v>
      </c>
      <c r="Q3" s="78">
        <v>-7500</v>
      </c>
    </row>
    <row r="4" spans="1:17">
      <c r="A4" s="38" t="s">
        <v>6</v>
      </c>
      <c r="B4" s="154">
        <v>-62.599999999999994</v>
      </c>
      <c r="C4" s="155"/>
      <c r="E4" s="46" t="s">
        <v>60</v>
      </c>
      <c r="F4" s="43" t="s">
        <v>24</v>
      </c>
      <c r="G4" s="35">
        <v>6</v>
      </c>
      <c r="H4" s="108">
        <f>IF(B$22=0,0,G4/B$22)</f>
        <v>0.42857142857142855</v>
      </c>
      <c r="I4" s="70">
        <v>1</v>
      </c>
      <c r="K4" s="5">
        <v>2</v>
      </c>
      <c r="L4" s="75">
        <v>-1</v>
      </c>
      <c r="N4" s="90" t="s">
        <v>104</v>
      </c>
      <c r="O4" s="97">
        <f t="shared" si="0"/>
        <v>562.5</v>
      </c>
      <c r="P4" s="94">
        <v>8</v>
      </c>
      <c r="Q4" s="78">
        <v>4500</v>
      </c>
    </row>
    <row r="5" spans="1:17">
      <c r="A5" s="38" t="s">
        <v>7</v>
      </c>
      <c r="B5" s="142">
        <f>IF(B$2=0,0,B$4/B$2)</f>
        <v>-7.8249999999999993</v>
      </c>
      <c r="C5" s="143"/>
      <c r="E5" s="46" t="s">
        <v>54</v>
      </c>
      <c r="F5" s="43" t="s">
        <v>20</v>
      </c>
      <c r="G5" s="35">
        <v>5</v>
      </c>
      <c r="H5" s="108">
        <f>IF(B$22=0,0,G5/B$22)</f>
        <v>0.35714285714285715</v>
      </c>
      <c r="I5" s="70">
        <v>5</v>
      </c>
      <c r="K5" s="5">
        <v>3</v>
      </c>
      <c r="L5" s="75">
        <v>-32.4</v>
      </c>
      <c r="N5" s="90" t="s">
        <v>155</v>
      </c>
      <c r="O5" s="97">
        <f>IF(P5=0,0,Q5/P5)</f>
        <v>-600</v>
      </c>
      <c r="P5" s="94">
        <v>8</v>
      </c>
      <c r="Q5" s="78">
        <v>-4800</v>
      </c>
    </row>
    <row r="6" spans="1:17">
      <c r="A6" s="38" t="s">
        <v>1</v>
      </c>
      <c r="B6" s="156">
        <f>IF(B$2=0,0,(B$7*1+B$8*2+B$9*3+B$10*4)/B$2)</f>
        <v>2.625</v>
      </c>
      <c r="C6" s="157"/>
      <c r="E6" s="46" t="s">
        <v>56</v>
      </c>
      <c r="F6" s="43" t="s">
        <v>166</v>
      </c>
      <c r="G6" s="35">
        <v>2</v>
      </c>
      <c r="H6" s="108">
        <f>IF(B$22=0,0,G6/B$22)</f>
        <v>0.14285714285714285</v>
      </c>
      <c r="I6" s="70">
        <v>4</v>
      </c>
      <c r="K6" s="5">
        <v>4</v>
      </c>
      <c r="L6" s="75">
        <v>-83.6</v>
      </c>
      <c r="N6" s="90" t="s">
        <v>105</v>
      </c>
      <c r="O6" s="97">
        <f t="shared" ref="O6" si="1">IF(P6=0,0,Q6/P6)</f>
        <v>-1712.5</v>
      </c>
      <c r="P6" s="94">
        <v>8</v>
      </c>
      <c r="Q6" s="78">
        <v>-13700</v>
      </c>
    </row>
    <row r="7" spans="1:17">
      <c r="A7" s="38" t="s">
        <v>2</v>
      </c>
      <c r="B7" s="35">
        <v>2</v>
      </c>
      <c r="C7" s="30">
        <f t="shared" ref="C7:C17" si="2">IF(B$2=0,0,B7/B$2)</f>
        <v>0.25</v>
      </c>
      <c r="E7" s="46" t="s">
        <v>57</v>
      </c>
      <c r="F7" s="43" t="s">
        <v>21</v>
      </c>
      <c r="G7" s="35">
        <v>2</v>
      </c>
      <c r="H7" s="108">
        <f>IF(B$22=0,0,G7/B$22)</f>
        <v>0.14285714285714285</v>
      </c>
      <c r="I7" s="70">
        <v>5</v>
      </c>
      <c r="K7" s="5">
        <v>5</v>
      </c>
      <c r="L7" s="75">
        <v>-19.899999999999991</v>
      </c>
      <c r="N7" s="90" t="s">
        <v>106</v>
      </c>
      <c r="O7" s="97">
        <f t="shared" si="0"/>
        <v>-1500</v>
      </c>
      <c r="P7" s="94">
        <v>8</v>
      </c>
      <c r="Q7" s="78">
        <v>-12000</v>
      </c>
    </row>
    <row r="8" spans="1:17">
      <c r="A8" s="38" t="s">
        <v>3</v>
      </c>
      <c r="B8" s="35">
        <v>1</v>
      </c>
      <c r="C8" s="30">
        <f>IF(B$2=0,0,B8/B$2)</f>
        <v>0.125</v>
      </c>
      <c r="E8" s="46" t="s">
        <v>163</v>
      </c>
      <c r="F8" s="43" t="s">
        <v>19</v>
      </c>
      <c r="G8" s="35">
        <v>1</v>
      </c>
      <c r="H8" s="108">
        <f>IF(B$22=0,0,G8/B$22)</f>
        <v>7.1428571428571425E-2</v>
      </c>
      <c r="I8" s="70">
        <v>5</v>
      </c>
      <c r="K8" s="5">
        <v>6</v>
      </c>
      <c r="L8" s="75">
        <v>-47.099999999999994</v>
      </c>
      <c r="N8" s="90" t="s">
        <v>107</v>
      </c>
      <c r="O8" s="97">
        <f t="shared" si="0"/>
        <v>4675</v>
      </c>
      <c r="P8" s="94">
        <v>8</v>
      </c>
      <c r="Q8" s="78">
        <v>37400</v>
      </c>
    </row>
    <row r="9" spans="1:17">
      <c r="A9" s="39" t="s">
        <v>4</v>
      </c>
      <c r="B9" s="36">
        <v>3</v>
      </c>
      <c r="C9" s="31">
        <f>IF(B$2=0,0,B9/B$2)</f>
        <v>0.375</v>
      </c>
      <c r="E9" s="46" t="s">
        <v>55</v>
      </c>
      <c r="F9" s="43" t="s">
        <v>153</v>
      </c>
      <c r="G9" s="35">
        <v>1</v>
      </c>
      <c r="H9" s="108">
        <f>IF(B$22=0,0,G9/B$22)</f>
        <v>7.1428571428571425E-2</v>
      </c>
      <c r="I9" s="70">
        <v>4</v>
      </c>
      <c r="K9" s="5">
        <v>7</v>
      </c>
      <c r="L9" s="75">
        <v>-39.299999999999997</v>
      </c>
      <c r="N9" s="91" t="s">
        <v>156</v>
      </c>
      <c r="O9" s="98">
        <f t="shared" si="0"/>
        <v>-4912.5</v>
      </c>
      <c r="P9" s="95">
        <v>8</v>
      </c>
      <c r="Q9" s="79">
        <v>-39300</v>
      </c>
    </row>
    <row r="10" spans="1:17">
      <c r="A10" s="39" t="s">
        <v>150</v>
      </c>
      <c r="B10" s="36">
        <v>2</v>
      </c>
      <c r="C10" s="31">
        <f>IF(B$2=0,0,B10/B$2)</f>
        <v>0.25</v>
      </c>
      <c r="E10" s="46" t="s">
        <v>58</v>
      </c>
      <c r="F10" s="43" t="s">
        <v>22</v>
      </c>
      <c r="G10" s="35">
        <v>1</v>
      </c>
      <c r="H10" s="108">
        <f>IF(B$22=0,0,G10/B$22)</f>
        <v>7.1428571428571425E-2</v>
      </c>
      <c r="I10" s="70">
        <v>4</v>
      </c>
      <c r="K10" s="5">
        <v>8</v>
      </c>
      <c r="L10" s="75">
        <v>-62.599999999999994</v>
      </c>
      <c r="N10" s="33"/>
      <c r="O10" s="102"/>
      <c r="P10" s="86"/>
      <c r="Q10" s="84"/>
    </row>
    <row r="11" spans="1:17">
      <c r="A11" s="39" t="s">
        <v>151</v>
      </c>
      <c r="B11" s="36">
        <f>B7+B8</f>
        <v>3</v>
      </c>
      <c r="C11" s="31">
        <f>IF(B$2=0,0,B11/B$2)</f>
        <v>0.375</v>
      </c>
      <c r="E11" s="46" t="s">
        <v>59</v>
      </c>
      <c r="F11" s="43" t="s">
        <v>23</v>
      </c>
      <c r="G11" s="35">
        <v>1</v>
      </c>
      <c r="H11" s="108">
        <f>IF(B$22=0,0,G11/B$22)</f>
        <v>7.1428571428571425E-2</v>
      </c>
      <c r="I11" s="70">
        <v>5</v>
      </c>
      <c r="N11" s="88" t="s">
        <v>158</v>
      </c>
      <c r="O11" s="28" t="s">
        <v>96</v>
      </c>
      <c r="P11" s="92" t="s">
        <v>92</v>
      </c>
      <c r="Q11" s="80" t="s">
        <v>120</v>
      </c>
    </row>
    <row r="12" spans="1:17">
      <c r="A12" s="39" t="s">
        <v>179</v>
      </c>
      <c r="B12" s="124">
        <f>IF(B7=0,0,C12/B7)</f>
        <v>64.2</v>
      </c>
      <c r="C12" s="125">
        <v>128.4</v>
      </c>
      <c r="E12" s="46" t="s">
        <v>74</v>
      </c>
      <c r="F12" s="43" t="s">
        <v>38</v>
      </c>
      <c r="G12" s="35">
        <v>1</v>
      </c>
      <c r="H12" s="108">
        <f>IF(B$22=0,0,G12/B$22)</f>
        <v>7.1428571428571425E-2</v>
      </c>
      <c r="I12" s="70">
        <v>1</v>
      </c>
      <c r="N12" s="89" t="s">
        <v>124</v>
      </c>
      <c r="O12" s="99">
        <f>IF(P12=0,0,Q12/P12)</f>
        <v>-29.299999999999997</v>
      </c>
      <c r="P12" s="93">
        <v>2</v>
      </c>
      <c r="Q12" s="81">
        <v>-58.599999999999994</v>
      </c>
    </row>
    <row r="13" spans="1:17">
      <c r="A13" s="39" t="s">
        <v>180</v>
      </c>
      <c r="B13" s="124">
        <f t="shared" ref="B13:B14" si="3">IF(B8=0,0,C13/B8)</f>
        <v>7.8</v>
      </c>
      <c r="C13" s="125">
        <v>7.8</v>
      </c>
      <c r="E13" s="46" t="s">
        <v>77</v>
      </c>
      <c r="F13" s="43" t="s">
        <v>41</v>
      </c>
      <c r="G13" s="35">
        <v>1</v>
      </c>
      <c r="H13" s="108">
        <f>IF(B$22=0,0,G13/B$22)</f>
        <v>7.1428571428571425E-2</v>
      </c>
      <c r="I13" s="70">
        <v>1</v>
      </c>
      <c r="N13" s="90" t="s">
        <v>125</v>
      </c>
      <c r="O13" s="100">
        <f>IF(P13=0,0,Q13/P13)</f>
        <v>-58.45</v>
      </c>
      <c r="P13" s="94">
        <v>2</v>
      </c>
      <c r="Q13" s="82">
        <v>-116.9</v>
      </c>
    </row>
    <row r="14" spans="1:17">
      <c r="A14" s="39" t="s">
        <v>181</v>
      </c>
      <c r="B14" s="124">
        <f t="shared" si="3"/>
        <v>-27.299999999999997</v>
      </c>
      <c r="C14" s="125">
        <v>-81.899999999999991</v>
      </c>
      <c r="E14" s="46" t="s">
        <v>61</v>
      </c>
      <c r="F14" s="43" t="s">
        <v>25</v>
      </c>
      <c r="G14" s="35">
        <v>0</v>
      </c>
      <c r="H14" s="108">
        <f>IF(B$22=0,0,G14/B$22)</f>
        <v>0</v>
      </c>
      <c r="I14" s="70">
        <v>1</v>
      </c>
      <c r="N14" s="90" t="s">
        <v>126</v>
      </c>
      <c r="O14" s="100">
        <f>IF(P14=0,0,Q14/P14)</f>
        <v>35.033333333333339</v>
      </c>
      <c r="P14" s="94">
        <v>3</v>
      </c>
      <c r="Q14" s="82">
        <v>105.10000000000001</v>
      </c>
    </row>
    <row r="15" spans="1:17">
      <c r="A15" s="39" t="s">
        <v>182</v>
      </c>
      <c r="B15" s="124">
        <f>IF(B10=0,0,C15/B10)</f>
        <v>-58.45</v>
      </c>
      <c r="C15" s="125">
        <v>-116.9</v>
      </c>
      <c r="E15" s="46" t="s">
        <v>62</v>
      </c>
      <c r="F15" s="43" t="s">
        <v>26</v>
      </c>
      <c r="G15" s="35">
        <v>0</v>
      </c>
      <c r="H15" s="108">
        <f>IF(B$22=0,0,G15/B$22)</f>
        <v>0</v>
      </c>
      <c r="I15" s="70">
        <v>1</v>
      </c>
      <c r="N15" s="91" t="s">
        <v>157</v>
      </c>
      <c r="O15" s="101">
        <f>IF(P15=0,0,Q15/P15)</f>
        <v>7.8</v>
      </c>
      <c r="P15" s="95">
        <v>1</v>
      </c>
      <c r="Q15" s="83">
        <v>7.8</v>
      </c>
    </row>
    <row r="16" spans="1:17">
      <c r="A16" s="39" t="s">
        <v>178</v>
      </c>
      <c r="B16" s="142">
        <f>AVERAGE(B12:B15)</f>
        <v>-3.4375</v>
      </c>
      <c r="C16" s="143"/>
      <c r="E16" s="46" t="s">
        <v>63</v>
      </c>
      <c r="F16" s="43" t="s">
        <v>27</v>
      </c>
      <c r="G16" s="35">
        <v>0</v>
      </c>
      <c r="H16" s="108">
        <f>IF(B$22=0,0,G16/B$22)</f>
        <v>0</v>
      </c>
      <c r="I16" s="70">
        <v>1</v>
      </c>
      <c r="N16" s="27"/>
      <c r="O16" s="85"/>
      <c r="P16" s="87"/>
      <c r="Q16" s="85"/>
    </row>
    <row r="17" spans="1:17">
      <c r="A17" s="40" t="s">
        <v>17</v>
      </c>
      <c r="B17" s="37">
        <v>1</v>
      </c>
      <c r="C17" s="32">
        <f t="shared" si="2"/>
        <v>0.125</v>
      </c>
      <c r="E17" s="46" t="s">
        <v>64</v>
      </c>
      <c r="F17" s="43" t="s">
        <v>28</v>
      </c>
      <c r="G17" s="35">
        <v>0</v>
      </c>
      <c r="H17" s="108">
        <f>IF(B$22=0,0,G17/B$22)</f>
        <v>0</v>
      </c>
      <c r="I17" s="70">
        <v>1</v>
      </c>
      <c r="N17" s="88" t="s">
        <v>117</v>
      </c>
      <c r="O17" s="28" t="s">
        <v>96</v>
      </c>
      <c r="P17" s="92" t="s">
        <v>92</v>
      </c>
      <c r="Q17" s="80" t="s">
        <v>120</v>
      </c>
    </row>
    <row r="18" spans="1:17">
      <c r="A18" s="41" t="s">
        <v>97</v>
      </c>
      <c r="B18" s="15">
        <v>18</v>
      </c>
      <c r="C18" s="11">
        <f>IF(B$3=0,0,B18/B$3)</f>
        <v>0.20224719101123595</v>
      </c>
      <c r="E18" s="46" t="s">
        <v>65</v>
      </c>
      <c r="F18" s="43" t="s">
        <v>29</v>
      </c>
      <c r="G18" s="35">
        <v>0</v>
      </c>
      <c r="H18" s="108">
        <f>IF(B$22=0,0,G18/B$22)</f>
        <v>0</v>
      </c>
      <c r="I18" s="70">
        <v>1</v>
      </c>
      <c r="N18" s="89" t="s">
        <v>176</v>
      </c>
      <c r="O18" s="99">
        <f>IF(P18=0,0,Q18/P18)</f>
        <v>12.5</v>
      </c>
      <c r="P18" s="93">
        <v>6</v>
      </c>
      <c r="Q18" s="81">
        <v>75</v>
      </c>
    </row>
    <row r="19" spans="1:17">
      <c r="A19" s="38" t="s">
        <v>94</v>
      </c>
      <c r="B19" s="35">
        <v>20</v>
      </c>
      <c r="C19" s="30">
        <f>IF(B$3=0,0,B19/B$3)</f>
        <v>0.2247191011235955</v>
      </c>
      <c r="E19" s="46" t="s">
        <v>66</v>
      </c>
      <c r="F19" s="43" t="s">
        <v>30</v>
      </c>
      <c r="G19" s="35">
        <v>0</v>
      </c>
      <c r="H19" s="108">
        <f>IF(B$22=0,0,G19/B$22)</f>
        <v>0</v>
      </c>
      <c r="I19" s="70">
        <v>4</v>
      </c>
      <c r="N19" s="90" t="s">
        <v>189</v>
      </c>
      <c r="O19" s="100">
        <f>IF(P19=0,0,Q19/P19)</f>
        <v>-13.133333333333335</v>
      </c>
      <c r="P19" s="94">
        <v>3</v>
      </c>
      <c r="Q19" s="82">
        <v>-39.400000000000006</v>
      </c>
    </row>
    <row r="20" spans="1:17">
      <c r="A20" s="18" t="s">
        <v>99</v>
      </c>
      <c r="B20" s="34">
        <f>B26</f>
        <v>7</v>
      </c>
      <c r="C20" s="4">
        <f>IF(B$18=0,0,B20/B$18)</f>
        <v>0.3888888888888889</v>
      </c>
      <c r="E20" s="46" t="s">
        <v>67</v>
      </c>
      <c r="F20" s="43" t="s">
        <v>31</v>
      </c>
      <c r="G20" s="35">
        <v>0</v>
      </c>
      <c r="H20" s="108">
        <f>IF(B$22=0,0,G20/B$22)</f>
        <v>0</v>
      </c>
      <c r="I20" s="70">
        <v>3</v>
      </c>
      <c r="N20" s="90" t="s">
        <v>177</v>
      </c>
      <c r="O20" s="100">
        <f>IF(P20=0,0,Q20/P20)</f>
        <v>-17.042857142857141</v>
      </c>
      <c r="P20" s="94">
        <v>7</v>
      </c>
      <c r="Q20" s="82">
        <v>-119.29999999999998</v>
      </c>
    </row>
    <row r="21" spans="1:17">
      <c r="A21" s="18" t="s">
        <v>100</v>
      </c>
      <c r="B21" s="34">
        <f>B27</f>
        <v>6</v>
      </c>
      <c r="C21" s="4">
        <f>IF(B$19=0,0,B21/B$19)</f>
        <v>0.3</v>
      </c>
      <c r="E21" s="46" t="s">
        <v>164</v>
      </c>
      <c r="F21" s="43" t="s">
        <v>167</v>
      </c>
      <c r="G21" s="35">
        <v>0</v>
      </c>
      <c r="H21" s="108">
        <f>IF(B$22=0,0,G21/B$22)</f>
        <v>0</v>
      </c>
      <c r="I21" s="70">
        <v>4</v>
      </c>
      <c r="N21" s="90" t="s">
        <v>175</v>
      </c>
      <c r="O21" s="100">
        <f>IF(P21=0,0,Q21/P21)</f>
        <v>-19.587499999999999</v>
      </c>
      <c r="P21" s="94">
        <v>8</v>
      </c>
      <c r="Q21" s="82">
        <v>-156.69999999999999</v>
      </c>
    </row>
    <row r="22" spans="1:17">
      <c r="A22" s="18" t="s">
        <v>10</v>
      </c>
      <c r="B22" s="34">
        <f>B25+B24</f>
        <v>14</v>
      </c>
      <c r="C22" s="4">
        <f>IF(B$3=0,0,B22/B$3)</f>
        <v>0.15730337078651685</v>
      </c>
      <c r="E22" s="46" t="s">
        <v>68</v>
      </c>
      <c r="F22" s="43" t="s">
        <v>32</v>
      </c>
      <c r="G22" s="35">
        <v>0</v>
      </c>
      <c r="H22" s="108">
        <f>IF(B$22=0,0,G22/B$22)</f>
        <v>0</v>
      </c>
      <c r="I22" s="70">
        <v>1</v>
      </c>
    </row>
    <row r="23" spans="1:17">
      <c r="A23" s="38" t="s">
        <v>13</v>
      </c>
      <c r="B23" s="35">
        <v>18</v>
      </c>
      <c r="C23" s="30">
        <f>IF(B$3=0,0,B23/B$3)</f>
        <v>0.20224719101123595</v>
      </c>
      <c r="E23" s="46" t="s">
        <v>69</v>
      </c>
      <c r="F23" s="43" t="s">
        <v>33</v>
      </c>
      <c r="G23" s="35">
        <v>0</v>
      </c>
      <c r="H23" s="108">
        <f>IF(B$22=0,0,G23/B$22)</f>
        <v>0</v>
      </c>
      <c r="I23" s="70">
        <v>3</v>
      </c>
    </row>
    <row r="24" spans="1:17">
      <c r="A24" s="38" t="s">
        <v>12</v>
      </c>
      <c r="B24" s="35">
        <v>5</v>
      </c>
      <c r="C24" s="30">
        <f>IF(B$22=0,0,B24/B$22)</f>
        <v>0.35714285714285715</v>
      </c>
      <c r="E24" s="46" t="s">
        <v>70</v>
      </c>
      <c r="F24" s="43" t="s">
        <v>34</v>
      </c>
      <c r="G24" s="35">
        <v>0</v>
      </c>
      <c r="H24" s="108">
        <f>IF(B$22=0,0,G24/B$22)</f>
        <v>0</v>
      </c>
      <c r="I24" s="70">
        <v>1</v>
      </c>
    </row>
    <row r="25" spans="1:17">
      <c r="A25" s="38" t="s">
        <v>11</v>
      </c>
      <c r="B25" s="35">
        <v>9</v>
      </c>
      <c r="C25" s="30">
        <f>IF(B$22=0,0,B25/B$22)</f>
        <v>0.6428571428571429</v>
      </c>
      <c r="E25" s="46" t="s">
        <v>71</v>
      </c>
      <c r="F25" s="43" t="s">
        <v>35</v>
      </c>
      <c r="G25" s="35">
        <v>0</v>
      </c>
      <c r="H25" s="108">
        <f>IF(B$22=0,0,G25/B$22)</f>
        <v>0</v>
      </c>
      <c r="I25" s="70">
        <v>1</v>
      </c>
    </row>
    <row r="26" spans="1:17">
      <c r="A26" s="38" t="s">
        <v>149</v>
      </c>
      <c r="B26" s="35">
        <v>7</v>
      </c>
      <c r="C26" s="30">
        <f>IF(B$22=0,0,B26/B$22)</f>
        <v>0.5</v>
      </c>
      <c r="E26" s="46" t="s">
        <v>72</v>
      </c>
      <c r="F26" s="43" t="s">
        <v>36</v>
      </c>
      <c r="G26" s="35">
        <v>0</v>
      </c>
      <c r="H26" s="108">
        <f>IF(B$22=0,0,G26/B$22)</f>
        <v>0</v>
      </c>
      <c r="I26" s="70">
        <v>1</v>
      </c>
    </row>
    <row r="27" spans="1:17">
      <c r="A27" s="38" t="s">
        <v>147</v>
      </c>
      <c r="B27" s="35">
        <v>6</v>
      </c>
      <c r="C27" s="30">
        <f>IF(B$22=0,0,B27/B$22)</f>
        <v>0.42857142857142855</v>
      </c>
      <c r="E27" s="46" t="s">
        <v>73</v>
      </c>
      <c r="F27" s="43" t="s">
        <v>37</v>
      </c>
      <c r="G27" s="35">
        <v>0</v>
      </c>
      <c r="H27" s="108">
        <f>IF(B$22=0,0,G27/B$22)</f>
        <v>0</v>
      </c>
      <c r="I27" s="70">
        <v>1</v>
      </c>
    </row>
    <row r="28" spans="1:17">
      <c r="A28" s="38" t="s">
        <v>148</v>
      </c>
      <c r="B28" s="35">
        <v>1</v>
      </c>
      <c r="C28" s="30">
        <f>IF(B$22=0,0,B28/B$22)</f>
        <v>7.1428571428571425E-2</v>
      </c>
      <c r="E28" s="46" t="s">
        <v>75</v>
      </c>
      <c r="F28" s="43" t="s">
        <v>39</v>
      </c>
      <c r="G28" s="35">
        <v>0</v>
      </c>
      <c r="H28" s="108">
        <f>IF(B$22=0,0,G28/B$22)</f>
        <v>0</v>
      </c>
      <c r="I28" s="70">
        <v>1</v>
      </c>
    </row>
    <row r="29" spans="1:17">
      <c r="A29" s="38" t="s">
        <v>5</v>
      </c>
      <c r="B29" s="16">
        <f>IF(B$22=0,0,C29/B$22)</f>
        <v>6021.4285714285716</v>
      </c>
      <c r="C29" s="8">
        <v>84300</v>
      </c>
      <c r="E29" s="46" t="s">
        <v>76</v>
      </c>
      <c r="F29" s="43" t="s">
        <v>40</v>
      </c>
      <c r="G29" s="35">
        <v>0</v>
      </c>
      <c r="H29" s="108">
        <f>IF(B$22=0,0,G29/B$22)</f>
        <v>0</v>
      </c>
      <c r="I29" s="70">
        <v>3</v>
      </c>
    </row>
    <row r="30" spans="1:17">
      <c r="A30" s="39" t="s">
        <v>131</v>
      </c>
      <c r="B30" s="111">
        <f>IF($B$22-B$21=0,0,C30/($B$22-B$21))</f>
        <v>8512.5</v>
      </c>
      <c r="C30" s="112">
        <v>68100</v>
      </c>
      <c r="E30" s="46" t="s">
        <v>78</v>
      </c>
      <c r="F30" s="43" t="s">
        <v>42</v>
      </c>
      <c r="G30" s="35">
        <v>0</v>
      </c>
      <c r="H30" s="108">
        <f>IF(B$22=0,0,G30/B$22)</f>
        <v>0</v>
      </c>
      <c r="I30" s="70">
        <v>3</v>
      </c>
    </row>
    <row r="31" spans="1:17">
      <c r="A31" s="39" t="s">
        <v>132</v>
      </c>
      <c r="B31" s="111">
        <f>IF(B$21=0,0,C31/B$21)</f>
        <v>2700</v>
      </c>
      <c r="C31" s="112">
        <v>16200</v>
      </c>
      <c r="E31" s="46" t="s">
        <v>79</v>
      </c>
      <c r="F31" s="43" t="s">
        <v>43</v>
      </c>
      <c r="G31" s="35">
        <v>0</v>
      </c>
      <c r="H31" s="108">
        <f>IF(B$22=0,0,G31/B$22)</f>
        <v>0</v>
      </c>
      <c r="I31" s="70">
        <v>1</v>
      </c>
    </row>
    <row r="32" spans="1:17">
      <c r="A32" s="39" t="s">
        <v>130</v>
      </c>
      <c r="B32" s="111">
        <f>IF(B$23=0,0,C32/B$23)</f>
        <v>-5050</v>
      </c>
      <c r="C32" s="112">
        <v>-90900</v>
      </c>
      <c r="E32" s="46" t="s">
        <v>80</v>
      </c>
      <c r="F32" s="43" t="s">
        <v>44</v>
      </c>
      <c r="G32" s="35">
        <v>0</v>
      </c>
      <c r="H32" s="108">
        <f>IF(B$22=0,0,G32/B$22)</f>
        <v>0</v>
      </c>
      <c r="I32" s="70">
        <v>1</v>
      </c>
    </row>
    <row r="33" spans="1:9">
      <c r="A33" s="38" t="s">
        <v>128</v>
      </c>
      <c r="B33" s="35">
        <v>4</v>
      </c>
      <c r="C33" s="110">
        <v>0</v>
      </c>
      <c r="E33" s="46" t="s">
        <v>81</v>
      </c>
      <c r="F33" s="43" t="s">
        <v>45</v>
      </c>
      <c r="G33" s="35">
        <v>0</v>
      </c>
      <c r="H33" s="108">
        <f>IF(B$22=0,0,G33/B$22)</f>
        <v>0</v>
      </c>
      <c r="I33" s="70">
        <v>1</v>
      </c>
    </row>
    <row r="34" spans="1:9">
      <c r="A34" s="38" t="s">
        <v>129</v>
      </c>
      <c r="B34" s="35">
        <v>12</v>
      </c>
      <c r="C34" s="110">
        <v>1</v>
      </c>
      <c r="E34" s="46" t="s">
        <v>82</v>
      </c>
      <c r="F34" s="43" t="s">
        <v>46</v>
      </c>
      <c r="G34" s="35">
        <v>0</v>
      </c>
      <c r="H34" s="108">
        <f>IF(B$22=0,0,G34/B$22)</f>
        <v>0</v>
      </c>
      <c r="I34" s="70">
        <v>1</v>
      </c>
    </row>
    <row r="35" spans="1:9">
      <c r="A35" s="66" t="s">
        <v>110</v>
      </c>
      <c r="B35" s="144">
        <v>3</v>
      </c>
      <c r="C35" s="145"/>
      <c r="E35" s="46" t="s">
        <v>83</v>
      </c>
      <c r="F35" s="43" t="s">
        <v>47</v>
      </c>
      <c r="G35" s="35">
        <v>0</v>
      </c>
      <c r="H35" s="108">
        <f>IF(B$22=0,0,G35/B$22)</f>
        <v>0</v>
      </c>
      <c r="I35" s="70">
        <v>1</v>
      </c>
    </row>
    <row r="36" spans="1:9">
      <c r="A36" s="41" t="s">
        <v>146</v>
      </c>
      <c r="B36" s="146">
        <v>44700</v>
      </c>
      <c r="C36" s="147"/>
      <c r="E36" s="46" t="s">
        <v>84</v>
      </c>
      <c r="F36" s="43" t="s">
        <v>48</v>
      </c>
      <c r="G36" s="35">
        <v>0</v>
      </c>
      <c r="H36" s="108">
        <f>IF(B$22=0,0,G36/B$22)</f>
        <v>0</v>
      </c>
      <c r="I36" s="70">
        <v>1</v>
      </c>
    </row>
    <row r="37" spans="1:9">
      <c r="A37" s="40" t="s">
        <v>111</v>
      </c>
      <c r="B37" s="26">
        <v>0</v>
      </c>
      <c r="C37" s="32">
        <f>IF(B$3=0,0,B37/B$3)</f>
        <v>0</v>
      </c>
      <c r="E37" s="46" t="s">
        <v>85</v>
      </c>
      <c r="F37" s="43" t="s">
        <v>49</v>
      </c>
      <c r="G37" s="35">
        <v>0</v>
      </c>
      <c r="H37" s="108">
        <f>IF(B$22=0,0,G37/B$22)</f>
        <v>0</v>
      </c>
      <c r="I37" s="70">
        <v>1</v>
      </c>
    </row>
    <row r="38" spans="1:9">
      <c r="E38" s="46" t="s">
        <v>86</v>
      </c>
      <c r="F38" s="43" t="s">
        <v>50</v>
      </c>
      <c r="G38" s="35">
        <v>0</v>
      </c>
      <c r="H38" s="108">
        <f>IF(B$22=0,0,G38/B$22)</f>
        <v>0</v>
      </c>
      <c r="I38" s="70">
        <v>1</v>
      </c>
    </row>
    <row r="39" spans="1:9">
      <c r="A39" s="119" t="s">
        <v>159</v>
      </c>
      <c r="B39" s="120" t="s">
        <v>92</v>
      </c>
      <c r="C39" s="121" t="s">
        <v>93</v>
      </c>
      <c r="E39" s="46" t="s">
        <v>87</v>
      </c>
      <c r="F39" s="43" t="s">
        <v>51</v>
      </c>
      <c r="G39" s="35">
        <v>0</v>
      </c>
      <c r="H39" s="108">
        <f>IF(B$22=0,0,G39/B$22)</f>
        <v>0</v>
      </c>
      <c r="I39" s="70">
        <v>1</v>
      </c>
    </row>
    <row r="40" spans="1:9">
      <c r="A40" s="66" t="s">
        <v>137</v>
      </c>
      <c r="B40" s="128">
        <v>2</v>
      </c>
      <c r="C40" s="116">
        <f t="shared" ref="C40:C52" si="4">IF(B$22=0,0,B40/B$22)</f>
        <v>0.14285714285714285</v>
      </c>
      <c r="E40" s="46" t="s">
        <v>88</v>
      </c>
      <c r="F40" s="43" t="s">
        <v>52</v>
      </c>
      <c r="G40" s="35">
        <v>0</v>
      </c>
      <c r="H40" s="108">
        <f>IF(B$22=0,0,G40/B$22)</f>
        <v>0</v>
      </c>
      <c r="I40" s="70">
        <v>1</v>
      </c>
    </row>
    <row r="41" spans="1:9">
      <c r="A41" s="38" t="s">
        <v>133</v>
      </c>
      <c r="B41" s="35">
        <v>5</v>
      </c>
      <c r="C41" s="30">
        <f t="shared" si="4"/>
        <v>0.35714285714285715</v>
      </c>
      <c r="E41" s="46" t="s">
        <v>89</v>
      </c>
      <c r="F41" s="43" t="s">
        <v>53</v>
      </c>
      <c r="G41" s="35">
        <v>0</v>
      </c>
      <c r="H41" s="108">
        <f>IF(B$22=0,0,G41/B$22)</f>
        <v>0</v>
      </c>
      <c r="I41" s="70">
        <v>1</v>
      </c>
    </row>
    <row r="42" spans="1:9">
      <c r="A42" s="38" t="s">
        <v>134</v>
      </c>
      <c r="B42" s="129">
        <v>4</v>
      </c>
      <c r="C42" s="30">
        <f t="shared" si="4"/>
        <v>0.2857142857142857</v>
      </c>
      <c r="E42" s="47" t="s">
        <v>90</v>
      </c>
      <c r="F42" s="44" t="s">
        <v>169</v>
      </c>
      <c r="G42" s="37">
        <v>0</v>
      </c>
      <c r="H42" s="109">
        <f>IF(B$22=0,0,G42/B$22)</f>
        <v>0</v>
      </c>
      <c r="I42" s="71">
        <v>1</v>
      </c>
    </row>
    <row r="43" spans="1:9">
      <c r="A43" s="38" t="s">
        <v>135</v>
      </c>
      <c r="B43" s="129">
        <v>1</v>
      </c>
      <c r="C43" s="30">
        <f t="shared" si="4"/>
        <v>7.1428571428571425E-2</v>
      </c>
    </row>
    <row r="44" spans="1:9">
      <c r="A44" s="38" t="s">
        <v>136</v>
      </c>
      <c r="B44" s="129">
        <v>0</v>
      </c>
      <c r="C44" s="30">
        <f t="shared" si="4"/>
        <v>0</v>
      </c>
    </row>
    <row r="45" spans="1:9">
      <c r="A45" s="38" t="s">
        <v>138</v>
      </c>
      <c r="B45" s="129">
        <v>2</v>
      </c>
      <c r="C45" s="30">
        <f t="shared" si="4"/>
        <v>0.14285714285714285</v>
      </c>
    </row>
    <row r="46" spans="1:9">
      <c r="A46" s="38" t="s">
        <v>139</v>
      </c>
      <c r="B46" s="129">
        <v>0</v>
      </c>
      <c r="C46" s="30">
        <f t="shared" si="4"/>
        <v>0</v>
      </c>
    </row>
    <row r="47" spans="1:9">
      <c r="A47" s="38" t="s">
        <v>140</v>
      </c>
      <c r="B47" s="129">
        <v>0</v>
      </c>
      <c r="C47" s="30">
        <f t="shared" si="4"/>
        <v>0</v>
      </c>
    </row>
    <row r="48" spans="1:9">
      <c r="A48" s="38" t="s">
        <v>141</v>
      </c>
      <c r="B48" s="129">
        <v>0</v>
      </c>
      <c r="C48" s="30">
        <f t="shared" si="4"/>
        <v>0</v>
      </c>
    </row>
    <row r="49" spans="1:3">
      <c r="A49" s="38" t="s">
        <v>142</v>
      </c>
      <c r="B49" s="129">
        <v>0</v>
      </c>
      <c r="C49" s="30">
        <f t="shared" si="4"/>
        <v>0</v>
      </c>
    </row>
    <row r="50" spans="1:3">
      <c r="A50" s="38" t="s">
        <v>143</v>
      </c>
      <c r="B50" s="129">
        <v>0</v>
      </c>
      <c r="C50" s="30">
        <f t="shared" si="4"/>
        <v>0</v>
      </c>
    </row>
    <row r="51" spans="1:3">
      <c r="A51" s="38" t="s">
        <v>144</v>
      </c>
      <c r="B51" s="129">
        <v>0</v>
      </c>
      <c r="C51" s="30">
        <f t="shared" si="4"/>
        <v>0</v>
      </c>
    </row>
    <row r="52" spans="1:3">
      <c r="A52" s="40" t="s">
        <v>145</v>
      </c>
      <c r="B52" s="115">
        <v>0</v>
      </c>
      <c r="C52" s="32">
        <f t="shared" si="4"/>
        <v>0</v>
      </c>
    </row>
  </sheetData>
  <sortState xmlns:xlrd2="http://schemas.microsoft.com/office/spreadsheetml/2017/richdata2" ref="N18:Q21">
    <sortCondition descending="1" ref="O18"/>
  </sortState>
  <mergeCells count="9">
    <mergeCell ref="B16:C16"/>
    <mergeCell ref="B35:C35"/>
    <mergeCell ref="B36:C36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E0355-3A1B-4004-BDB5-26C3784867EF}">
  <sheetPr codeName="Sheet7"/>
  <dimension ref="A1:Q52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03" bestFit="1" customWidth="1"/>
    <col min="6" max="6" width="11" style="33" bestFit="1" customWidth="1"/>
    <col min="7" max="9" width="9" style="27" customWidth="1"/>
    <col min="10" max="10" width="3.59765625" style="27" customWidth="1"/>
    <col min="11" max="11" width="3.5" style="5" customWidth="1"/>
    <col min="12" max="12" width="9" style="75" customWidth="1"/>
    <col min="13" max="13" width="3.59765625" style="27" customWidth="1"/>
    <col min="14" max="14" width="9" style="90" customWidth="1"/>
    <col min="15" max="15" width="9" style="100" customWidth="1"/>
    <col min="16" max="16" width="9" style="94" customWidth="1"/>
    <col min="17" max="17" width="3.59765625" style="82" customWidth="1"/>
    <col min="18" max="16384" width="9" style="27"/>
  </cols>
  <sheetData>
    <row r="1" spans="1:17">
      <c r="A1" s="17" t="s">
        <v>0</v>
      </c>
      <c r="B1" s="148" t="s">
        <v>175</v>
      </c>
      <c r="C1" s="149"/>
      <c r="E1" s="104" t="s">
        <v>127</v>
      </c>
      <c r="F1" s="127" t="s">
        <v>91</v>
      </c>
      <c r="G1" s="126" t="s">
        <v>92</v>
      </c>
      <c r="H1" s="105" t="s">
        <v>93</v>
      </c>
      <c r="I1" s="127" t="s">
        <v>116</v>
      </c>
      <c r="K1" s="28" t="s">
        <v>18</v>
      </c>
      <c r="L1" s="29" t="s">
        <v>96</v>
      </c>
      <c r="M1" s="106"/>
      <c r="N1" s="88" t="s">
        <v>108</v>
      </c>
      <c r="O1" s="28" t="s">
        <v>109</v>
      </c>
      <c r="P1" s="92" t="s">
        <v>92</v>
      </c>
      <c r="Q1" s="76" t="s">
        <v>120</v>
      </c>
    </row>
    <row r="2" spans="1:17">
      <c r="A2" s="18" t="s">
        <v>9</v>
      </c>
      <c r="B2" s="150">
        <v>8</v>
      </c>
      <c r="C2" s="151"/>
      <c r="E2" s="45" t="s">
        <v>54</v>
      </c>
      <c r="F2" s="42" t="s">
        <v>20</v>
      </c>
      <c r="G2" s="34">
        <v>16</v>
      </c>
      <c r="H2" s="107">
        <f>IF(B$22=0,0,G2/B$22)</f>
        <v>0.8</v>
      </c>
      <c r="I2" s="69">
        <v>1</v>
      </c>
      <c r="K2" s="3">
        <v>0</v>
      </c>
      <c r="L2" s="74">
        <v>0</v>
      </c>
      <c r="N2" s="89" t="s">
        <v>102</v>
      </c>
      <c r="O2" s="96">
        <f t="shared" ref="O2:O9" si="0">IF(P2=0,0,Q2/P2)</f>
        <v>3187.5</v>
      </c>
      <c r="P2" s="93">
        <v>8</v>
      </c>
      <c r="Q2" s="77">
        <v>25500</v>
      </c>
    </row>
    <row r="3" spans="1:17">
      <c r="A3" s="38" t="s">
        <v>8</v>
      </c>
      <c r="B3" s="152">
        <v>89</v>
      </c>
      <c r="C3" s="153"/>
      <c r="E3" s="46" t="s">
        <v>162</v>
      </c>
      <c r="F3" s="43" t="s">
        <v>154</v>
      </c>
      <c r="G3" s="35">
        <v>12</v>
      </c>
      <c r="H3" s="108">
        <f>IF(B$22=0,0,G3/B$22)</f>
        <v>0.6</v>
      </c>
      <c r="I3" s="70">
        <v>2</v>
      </c>
      <c r="K3" s="5">
        <v>1</v>
      </c>
      <c r="L3" s="75">
        <v>-16.399999999999999</v>
      </c>
      <c r="N3" s="90" t="s">
        <v>103</v>
      </c>
      <c r="O3" s="97">
        <f t="shared" si="0"/>
        <v>-1025</v>
      </c>
      <c r="P3" s="94">
        <v>8</v>
      </c>
      <c r="Q3" s="78">
        <v>-8200</v>
      </c>
    </row>
    <row r="4" spans="1:17">
      <c r="A4" s="38" t="s">
        <v>6</v>
      </c>
      <c r="B4" s="154">
        <v>94.1</v>
      </c>
      <c r="C4" s="155"/>
      <c r="E4" s="46" t="s">
        <v>57</v>
      </c>
      <c r="F4" s="43" t="s">
        <v>21</v>
      </c>
      <c r="G4" s="35">
        <v>8</v>
      </c>
      <c r="H4" s="108">
        <f>IF(B$22=0,0,G4/B$22)</f>
        <v>0.4</v>
      </c>
      <c r="I4" s="70">
        <v>2</v>
      </c>
      <c r="K4" s="5">
        <v>2</v>
      </c>
      <c r="L4" s="75">
        <v>-2.9999999999999982</v>
      </c>
      <c r="N4" s="90" t="s">
        <v>104</v>
      </c>
      <c r="O4" s="97">
        <f t="shared" si="0"/>
        <v>362.5</v>
      </c>
      <c r="P4" s="94">
        <v>8</v>
      </c>
      <c r="Q4" s="78">
        <v>2900</v>
      </c>
    </row>
    <row r="5" spans="1:17">
      <c r="A5" s="38" t="s">
        <v>7</v>
      </c>
      <c r="B5" s="142">
        <f>IF(B$2=0,0,B$4/B$2)</f>
        <v>11.762499999999999</v>
      </c>
      <c r="C5" s="143"/>
      <c r="E5" s="46" t="s">
        <v>60</v>
      </c>
      <c r="F5" s="43" t="s">
        <v>24</v>
      </c>
      <c r="G5" s="35">
        <v>8</v>
      </c>
      <c r="H5" s="108">
        <f>IF(B$22=0,0,G5/B$22)</f>
        <v>0.4</v>
      </c>
      <c r="I5" s="70">
        <v>2</v>
      </c>
      <c r="K5" s="5">
        <v>3</v>
      </c>
      <c r="L5" s="75">
        <v>-57.2</v>
      </c>
      <c r="N5" s="90" t="s">
        <v>155</v>
      </c>
      <c r="O5" s="97">
        <f>IF(P5=0,0,Q5/P5)</f>
        <v>1550</v>
      </c>
      <c r="P5" s="94">
        <v>8</v>
      </c>
      <c r="Q5" s="78">
        <v>12400</v>
      </c>
    </row>
    <row r="6" spans="1:17">
      <c r="A6" s="38" t="s">
        <v>1</v>
      </c>
      <c r="B6" s="156">
        <f>IF(B$2=0,0,(B$7*1+B$8*2+B$9*3+B$10*4)/B$2)</f>
        <v>2.25</v>
      </c>
      <c r="C6" s="157"/>
      <c r="E6" s="46" t="s">
        <v>165</v>
      </c>
      <c r="F6" s="43" t="s">
        <v>168</v>
      </c>
      <c r="G6" s="35">
        <v>7</v>
      </c>
      <c r="H6" s="108">
        <f>IF(B$22=0,0,G6/B$22)</f>
        <v>0.35</v>
      </c>
      <c r="I6" s="70">
        <v>6</v>
      </c>
      <c r="K6" s="5">
        <v>4</v>
      </c>
      <c r="L6" s="75">
        <v>1.2999999999999972</v>
      </c>
      <c r="N6" s="90" t="s">
        <v>105</v>
      </c>
      <c r="O6" s="97">
        <f t="shared" ref="O6" si="1">IF(P6=0,0,Q6/P6)</f>
        <v>3450</v>
      </c>
      <c r="P6" s="94">
        <v>8</v>
      </c>
      <c r="Q6" s="78">
        <v>27600</v>
      </c>
    </row>
    <row r="7" spans="1:17">
      <c r="A7" s="38" t="s">
        <v>2</v>
      </c>
      <c r="B7" s="35">
        <v>2</v>
      </c>
      <c r="C7" s="30">
        <f t="shared" ref="C7:C17" si="2">IF(B$2=0,0,B7/B$2)</f>
        <v>0.25</v>
      </c>
      <c r="E7" s="46" t="s">
        <v>163</v>
      </c>
      <c r="F7" s="43" t="s">
        <v>19</v>
      </c>
      <c r="G7" s="35">
        <v>4</v>
      </c>
      <c r="H7" s="108">
        <f>IF(B$22=0,0,G7/B$22)</f>
        <v>0.2</v>
      </c>
      <c r="I7" s="70">
        <v>2</v>
      </c>
      <c r="K7" s="5">
        <v>5</v>
      </c>
      <c r="L7" s="75">
        <v>21.299999999999997</v>
      </c>
      <c r="N7" s="90" t="s">
        <v>106</v>
      </c>
      <c r="O7" s="97">
        <f t="shared" si="0"/>
        <v>1450</v>
      </c>
      <c r="P7" s="94">
        <v>8</v>
      </c>
      <c r="Q7" s="78">
        <v>11600</v>
      </c>
    </row>
    <row r="8" spans="1:17">
      <c r="A8" s="38" t="s">
        <v>3</v>
      </c>
      <c r="B8" s="35">
        <v>3</v>
      </c>
      <c r="C8" s="30">
        <f>IF(B$2=0,0,B8/B$2)</f>
        <v>0.375</v>
      </c>
      <c r="E8" s="46" t="s">
        <v>55</v>
      </c>
      <c r="F8" s="43" t="s">
        <v>153</v>
      </c>
      <c r="G8" s="35">
        <v>4</v>
      </c>
      <c r="H8" s="108">
        <f>IF(B$22=0,0,G8/B$22)</f>
        <v>0.2</v>
      </c>
      <c r="I8" s="70">
        <v>1</v>
      </c>
      <c r="K8" s="5">
        <v>6</v>
      </c>
      <c r="L8" s="75">
        <v>89.1</v>
      </c>
      <c r="N8" s="90" t="s">
        <v>107</v>
      </c>
      <c r="O8" s="97">
        <f t="shared" si="0"/>
        <v>-2575</v>
      </c>
      <c r="P8" s="94">
        <v>8</v>
      </c>
      <c r="Q8" s="78">
        <v>-20600</v>
      </c>
    </row>
    <row r="9" spans="1:17">
      <c r="A9" s="39" t="s">
        <v>4</v>
      </c>
      <c r="B9" s="36">
        <v>2</v>
      </c>
      <c r="C9" s="31">
        <f>IF(B$2=0,0,B9/B$2)</f>
        <v>0.25</v>
      </c>
      <c r="E9" s="46" t="s">
        <v>59</v>
      </c>
      <c r="F9" s="43" t="s">
        <v>23</v>
      </c>
      <c r="G9" s="35">
        <v>3</v>
      </c>
      <c r="H9" s="108">
        <f>IF(B$22=0,0,G9/B$22)</f>
        <v>0.15</v>
      </c>
      <c r="I9" s="70">
        <v>2</v>
      </c>
      <c r="K9" s="5">
        <v>7</v>
      </c>
      <c r="L9" s="75">
        <v>71.099999999999994</v>
      </c>
      <c r="N9" s="91" t="s">
        <v>156</v>
      </c>
      <c r="O9" s="98">
        <f t="shared" si="0"/>
        <v>362.5</v>
      </c>
      <c r="P9" s="95">
        <v>8</v>
      </c>
      <c r="Q9" s="79">
        <v>2900</v>
      </c>
    </row>
    <row r="10" spans="1:17">
      <c r="A10" s="39" t="s">
        <v>150</v>
      </c>
      <c r="B10" s="36">
        <v>1</v>
      </c>
      <c r="C10" s="31">
        <f>IF(B$2=0,0,B10/B$2)</f>
        <v>0.125</v>
      </c>
      <c r="E10" s="46" t="s">
        <v>56</v>
      </c>
      <c r="F10" s="43" t="s">
        <v>166</v>
      </c>
      <c r="G10" s="35">
        <v>2</v>
      </c>
      <c r="H10" s="108">
        <f>IF(B$22=0,0,G10/B$22)</f>
        <v>0.1</v>
      </c>
      <c r="I10" s="70">
        <v>6</v>
      </c>
      <c r="K10" s="5">
        <v>8</v>
      </c>
      <c r="L10" s="75">
        <v>94.1</v>
      </c>
      <c r="N10" s="33"/>
      <c r="O10" s="102"/>
      <c r="P10" s="86"/>
      <c r="Q10" s="84"/>
    </row>
    <row r="11" spans="1:17">
      <c r="A11" s="39" t="s">
        <v>151</v>
      </c>
      <c r="B11" s="36">
        <f>B7+B8</f>
        <v>5</v>
      </c>
      <c r="C11" s="31">
        <f>IF(B$2=0,0,B11/B$2)</f>
        <v>0.625</v>
      </c>
      <c r="E11" s="46" t="s">
        <v>164</v>
      </c>
      <c r="F11" s="43" t="s">
        <v>167</v>
      </c>
      <c r="G11" s="35">
        <v>2</v>
      </c>
      <c r="H11" s="108">
        <f>IF(B$22=0,0,G11/B$22)</f>
        <v>0.1</v>
      </c>
      <c r="I11" s="70">
        <v>1</v>
      </c>
      <c r="N11" s="88" t="s">
        <v>158</v>
      </c>
      <c r="O11" s="28" t="s">
        <v>96</v>
      </c>
      <c r="P11" s="92" t="s">
        <v>92</v>
      </c>
      <c r="Q11" s="80" t="s">
        <v>120</v>
      </c>
    </row>
    <row r="12" spans="1:17">
      <c r="A12" s="39" t="s">
        <v>179</v>
      </c>
      <c r="B12" s="124">
        <f>IF(B7=0,0,C12/B7)</f>
        <v>63.15</v>
      </c>
      <c r="C12" s="125">
        <v>126.3</v>
      </c>
      <c r="E12" s="46" t="s">
        <v>58</v>
      </c>
      <c r="F12" s="43" t="s">
        <v>22</v>
      </c>
      <c r="G12" s="35">
        <v>1</v>
      </c>
      <c r="H12" s="108">
        <f>IF(B$22=0,0,G12/B$22)</f>
        <v>0.05</v>
      </c>
      <c r="I12" s="70">
        <v>5</v>
      </c>
      <c r="N12" s="89" t="s">
        <v>124</v>
      </c>
      <c r="O12" s="99">
        <f>IF(P12=0,0,Q12/P12)</f>
        <v>16.7</v>
      </c>
      <c r="P12" s="93">
        <v>2</v>
      </c>
      <c r="Q12" s="81">
        <v>33.4</v>
      </c>
    </row>
    <row r="13" spans="1:17">
      <c r="A13" s="39" t="s">
        <v>180</v>
      </c>
      <c r="B13" s="124">
        <f t="shared" ref="B13:B14" si="3">IF(B8=0,0,C13/B8)</f>
        <v>18.8</v>
      </c>
      <c r="C13" s="125">
        <v>56.4</v>
      </c>
      <c r="E13" s="46" t="s">
        <v>66</v>
      </c>
      <c r="F13" s="43" t="s">
        <v>30</v>
      </c>
      <c r="G13" s="35">
        <v>1</v>
      </c>
      <c r="H13" s="108">
        <f>IF(B$22=0,0,G13/B$22)</f>
        <v>0.05</v>
      </c>
      <c r="I13" s="70">
        <v>2</v>
      </c>
      <c r="N13" s="90" t="s">
        <v>125</v>
      </c>
      <c r="O13" s="100">
        <f>IF(P13=0,0,Q13/P13)</f>
        <v>-15.600000000000001</v>
      </c>
      <c r="P13" s="94">
        <v>2</v>
      </c>
      <c r="Q13" s="82">
        <v>-31.200000000000003</v>
      </c>
    </row>
    <row r="14" spans="1:17">
      <c r="A14" s="39" t="s">
        <v>181</v>
      </c>
      <c r="B14" s="124">
        <f t="shared" si="3"/>
        <v>-17.2</v>
      </c>
      <c r="C14" s="125">
        <v>-34.4</v>
      </c>
      <c r="E14" s="46" t="s">
        <v>76</v>
      </c>
      <c r="F14" s="43" t="s">
        <v>40</v>
      </c>
      <c r="G14" s="35">
        <v>1</v>
      </c>
      <c r="H14" s="108">
        <f>IF(B$22=0,0,G14/B$22)</f>
        <v>0.05</v>
      </c>
      <c r="I14" s="70">
        <v>1</v>
      </c>
      <c r="N14" s="90" t="s">
        <v>126</v>
      </c>
      <c r="O14" s="100">
        <f>IF(P14=0,0,Q14/P14)</f>
        <v>-17.2</v>
      </c>
      <c r="P14" s="94">
        <v>2</v>
      </c>
      <c r="Q14" s="82">
        <v>-34.4</v>
      </c>
    </row>
    <row r="15" spans="1:17">
      <c r="A15" s="39" t="s">
        <v>182</v>
      </c>
      <c r="B15" s="124">
        <f>IF(B10=0,0,C15/B10)</f>
        <v>-54.2</v>
      </c>
      <c r="C15" s="125">
        <v>-54.2</v>
      </c>
      <c r="E15" s="46" t="s">
        <v>61</v>
      </c>
      <c r="F15" s="43" t="s">
        <v>25</v>
      </c>
      <c r="G15" s="35">
        <v>0</v>
      </c>
      <c r="H15" s="108">
        <f>IF(B$22=0,0,G15/B$22)</f>
        <v>0</v>
      </c>
      <c r="I15" s="70">
        <v>1</v>
      </c>
      <c r="N15" s="91" t="s">
        <v>157</v>
      </c>
      <c r="O15" s="101">
        <f>IF(P15=0,0,Q15/P15)</f>
        <v>63.15</v>
      </c>
      <c r="P15" s="95">
        <v>2</v>
      </c>
      <c r="Q15" s="83">
        <v>126.3</v>
      </c>
    </row>
    <row r="16" spans="1:17">
      <c r="A16" s="39" t="s">
        <v>178</v>
      </c>
      <c r="B16" s="142">
        <f>AVERAGE(B12:B15)</f>
        <v>2.6374999999999993</v>
      </c>
      <c r="C16" s="143"/>
      <c r="E16" s="46" t="s">
        <v>62</v>
      </c>
      <c r="F16" s="43" t="s">
        <v>26</v>
      </c>
      <c r="G16" s="35">
        <v>0</v>
      </c>
      <c r="H16" s="108">
        <f>IF(B$22=0,0,G16/B$22)</f>
        <v>0</v>
      </c>
      <c r="I16" s="70">
        <v>1</v>
      </c>
      <c r="N16" s="27"/>
      <c r="O16" s="85"/>
      <c r="P16" s="87"/>
      <c r="Q16" s="85"/>
    </row>
    <row r="17" spans="1:17">
      <c r="A17" s="40" t="s">
        <v>17</v>
      </c>
      <c r="B17" s="37">
        <v>0</v>
      </c>
      <c r="C17" s="32">
        <f t="shared" si="2"/>
        <v>0</v>
      </c>
      <c r="E17" s="46" t="s">
        <v>63</v>
      </c>
      <c r="F17" s="43" t="s">
        <v>27</v>
      </c>
      <c r="G17" s="35">
        <v>0</v>
      </c>
      <c r="H17" s="108">
        <f>IF(B$22=0,0,G17/B$22)</f>
        <v>0</v>
      </c>
      <c r="I17" s="70">
        <v>1</v>
      </c>
      <c r="N17" s="88" t="s">
        <v>117</v>
      </c>
      <c r="O17" s="28" t="s">
        <v>96</v>
      </c>
      <c r="P17" s="92" t="s">
        <v>92</v>
      </c>
      <c r="Q17" s="80" t="s">
        <v>120</v>
      </c>
    </row>
    <row r="18" spans="1:17">
      <c r="A18" s="41" t="s">
        <v>97</v>
      </c>
      <c r="B18" s="15">
        <v>16</v>
      </c>
      <c r="C18" s="11">
        <f>IF(B$3=0,0,B18/B$3)</f>
        <v>0.1797752808988764</v>
      </c>
      <c r="E18" s="46" t="s">
        <v>64</v>
      </c>
      <c r="F18" s="43" t="s">
        <v>28</v>
      </c>
      <c r="G18" s="35">
        <v>0</v>
      </c>
      <c r="H18" s="108">
        <f>IF(B$22=0,0,G18/B$22)</f>
        <v>0</v>
      </c>
      <c r="I18" s="70">
        <v>1</v>
      </c>
      <c r="N18" s="89" t="s">
        <v>189</v>
      </c>
      <c r="O18" s="99">
        <f>IF(P18=0,0,Q18/P18)</f>
        <v>25.366666666666664</v>
      </c>
      <c r="P18" s="93">
        <v>3</v>
      </c>
      <c r="Q18" s="81">
        <v>76.099999999999994</v>
      </c>
    </row>
    <row r="19" spans="1:17">
      <c r="A19" s="38" t="s">
        <v>94</v>
      </c>
      <c r="B19" s="35">
        <v>17</v>
      </c>
      <c r="C19" s="30">
        <f>IF(B$3=0,0,B19/B$3)</f>
        <v>0.19101123595505617</v>
      </c>
      <c r="E19" s="46" t="s">
        <v>65</v>
      </c>
      <c r="F19" s="43" t="s">
        <v>29</v>
      </c>
      <c r="G19" s="35">
        <v>0</v>
      </c>
      <c r="H19" s="108">
        <f>IF(B$22=0,0,G19/B$22)</f>
        <v>0</v>
      </c>
      <c r="I19" s="70">
        <v>1</v>
      </c>
      <c r="N19" s="90" t="s">
        <v>174</v>
      </c>
      <c r="O19" s="100">
        <f>IF(P19=0,0,Q19/P19)</f>
        <v>19.587499999999999</v>
      </c>
      <c r="P19" s="94">
        <v>8</v>
      </c>
      <c r="Q19" s="82">
        <v>156.69999999999999</v>
      </c>
    </row>
    <row r="20" spans="1:17">
      <c r="A20" s="18" t="s">
        <v>99</v>
      </c>
      <c r="B20" s="34">
        <f>B26</f>
        <v>12</v>
      </c>
      <c r="C20" s="4">
        <f>IF(B$18=0,0,B20/B$18)</f>
        <v>0.75</v>
      </c>
      <c r="E20" s="46" t="s">
        <v>67</v>
      </c>
      <c r="F20" s="43" t="s">
        <v>31</v>
      </c>
      <c r="G20" s="35">
        <v>0</v>
      </c>
      <c r="H20" s="108">
        <f>IF(B$22=0,0,G20/B$22)</f>
        <v>0</v>
      </c>
      <c r="I20" s="70">
        <v>3</v>
      </c>
      <c r="N20" s="90" t="s">
        <v>176</v>
      </c>
      <c r="O20" s="100">
        <f>IF(P20=0,0,Q20/P20)</f>
        <v>15.066666666666668</v>
      </c>
      <c r="P20" s="94">
        <v>6</v>
      </c>
      <c r="Q20" s="82">
        <v>90.4</v>
      </c>
    </row>
    <row r="21" spans="1:17">
      <c r="A21" s="18" t="s">
        <v>100</v>
      </c>
      <c r="B21" s="34">
        <f>B27</f>
        <v>7</v>
      </c>
      <c r="C21" s="4">
        <f>IF(B$19=0,0,B21/B$19)</f>
        <v>0.41176470588235292</v>
      </c>
      <c r="E21" s="46" t="s">
        <v>68</v>
      </c>
      <c r="F21" s="43" t="s">
        <v>32</v>
      </c>
      <c r="G21" s="35">
        <v>0</v>
      </c>
      <c r="H21" s="108">
        <f>IF(B$22=0,0,G21/B$22)</f>
        <v>0</v>
      </c>
      <c r="I21" s="70">
        <v>1</v>
      </c>
      <c r="N21" s="90" t="s">
        <v>177</v>
      </c>
      <c r="O21" s="100">
        <f>IF(P21=0,0,Q21/P21)</f>
        <v>9.0285714285714267</v>
      </c>
      <c r="P21" s="94">
        <v>7</v>
      </c>
      <c r="Q21" s="82">
        <v>63.199999999999989</v>
      </c>
    </row>
    <row r="22" spans="1:17">
      <c r="A22" s="18" t="s">
        <v>10</v>
      </c>
      <c r="B22" s="34">
        <f>B25+B24</f>
        <v>20</v>
      </c>
      <c r="C22" s="4">
        <f>IF(B$3=0,0,B22/B$3)</f>
        <v>0.2247191011235955</v>
      </c>
      <c r="E22" s="46" t="s">
        <v>69</v>
      </c>
      <c r="F22" s="43" t="s">
        <v>33</v>
      </c>
      <c r="G22" s="35">
        <v>0</v>
      </c>
      <c r="H22" s="108">
        <f>IF(B$22=0,0,G22/B$22)</f>
        <v>0</v>
      </c>
      <c r="I22" s="70">
        <v>3</v>
      </c>
    </row>
    <row r="23" spans="1:17">
      <c r="A23" s="38" t="s">
        <v>13</v>
      </c>
      <c r="B23" s="35">
        <v>9</v>
      </c>
      <c r="C23" s="30">
        <f>IF(B$3=0,0,B23/B$3)</f>
        <v>0.10112359550561797</v>
      </c>
      <c r="E23" s="46" t="s">
        <v>70</v>
      </c>
      <c r="F23" s="43" t="s">
        <v>34</v>
      </c>
      <c r="G23" s="35">
        <v>0</v>
      </c>
      <c r="H23" s="108">
        <f>IF(B$22=0,0,G23/B$22)</f>
        <v>0</v>
      </c>
      <c r="I23" s="70">
        <v>1</v>
      </c>
    </row>
    <row r="24" spans="1:17">
      <c r="A24" s="38" t="s">
        <v>12</v>
      </c>
      <c r="B24" s="35">
        <v>3</v>
      </c>
      <c r="C24" s="30">
        <f>IF(B$22=0,0,B24/B$22)</f>
        <v>0.15</v>
      </c>
      <c r="E24" s="46" t="s">
        <v>71</v>
      </c>
      <c r="F24" s="43" t="s">
        <v>35</v>
      </c>
      <c r="G24" s="35">
        <v>0</v>
      </c>
      <c r="H24" s="108">
        <f>IF(B$22=0,0,G24/B$22)</f>
        <v>0</v>
      </c>
      <c r="I24" s="70">
        <v>1</v>
      </c>
    </row>
    <row r="25" spans="1:17">
      <c r="A25" s="38" t="s">
        <v>11</v>
      </c>
      <c r="B25" s="35">
        <v>17</v>
      </c>
      <c r="C25" s="30">
        <f>IF(B$22=0,0,B25/B$22)</f>
        <v>0.85</v>
      </c>
      <c r="E25" s="46" t="s">
        <v>72</v>
      </c>
      <c r="F25" s="43" t="s">
        <v>36</v>
      </c>
      <c r="G25" s="35">
        <v>0</v>
      </c>
      <c r="H25" s="108">
        <f>IF(B$22=0,0,G25/B$22)</f>
        <v>0</v>
      </c>
      <c r="I25" s="70">
        <v>1</v>
      </c>
    </row>
    <row r="26" spans="1:17">
      <c r="A26" s="38" t="s">
        <v>149</v>
      </c>
      <c r="B26" s="35">
        <v>12</v>
      </c>
      <c r="C26" s="30">
        <f>IF(B$22=0,0,B26/B$22)</f>
        <v>0.6</v>
      </c>
      <c r="E26" s="46" t="s">
        <v>73</v>
      </c>
      <c r="F26" s="43" t="s">
        <v>37</v>
      </c>
      <c r="G26" s="35">
        <v>0</v>
      </c>
      <c r="H26" s="108">
        <f>IF(B$22=0,0,G26/B$22)</f>
        <v>0</v>
      </c>
      <c r="I26" s="70">
        <v>1</v>
      </c>
    </row>
    <row r="27" spans="1:17">
      <c r="A27" s="38" t="s">
        <v>147</v>
      </c>
      <c r="B27" s="35">
        <v>7</v>
      </c>
      <c r="C27" s="30">
        <f>IF(B$22=0,0,B27/B$22)</f>
        <v>0.35</v>
      </c>
      <c r="E27" s="46" t="s">
        <v>74</v>
      </c>
      <c r="F27" s="43" t="s">
        <v>38</v>
      </c>
      <c r="G27" s="35">
        <v>0</v>
      </c>
      <c r="H27" s="108">
        <f>IF(B$22=0,0,G27/B$22)</f>
        <v>0</v>
      </c>
      <c r="I27" s="70">
        <v>4</v>
      </c>
    </row>
    <row r="28" spans="1:17">
      <c r="A28" s="38" t="s">
        <v>148</v>
      </c>
      <c r="B28" s="35">
        <v>1</v>
      </c>
      <c r="C28" s="30">
        <f>IF(B$22=0,0,B28/B$22)</f>
        <v>0.05</v>
      </c>
      <c r="E28" s="46" t="s">
        <v>75</v>
      </c>
      <c r="F28" s="43" t="s">
        <v>39</v>
      </c>
      <c r="G28" s="35">
        <v>0</v>
      </c>
      <c r="H28" s="108">
        <f>IF(B$22=0,0,G28/B$22)</f>
        <v>0</v>
      </c>
      <c r="I28" s="70">
        <v>1</v>
      </c>
    </row>
    <row r="29" spans="1:17">
      <c r="A29" s="38" t="s">
        <v>5</v>
      </c>
      <c r="B29" s="16">
        <f>IF(B$22=0,0,C29/B$22)</f>
        <v>6850</v>
      </c>
      <c r="C29" s="8">
        <v>137000</v>
      </c>
      <c r="E29" s="46" t="s">
        <v>77</v>
      </c>
      <c r="F29" s="43" t="s">
        <v>41</v>
      </c>
      <c r="G29" s="35">
        <v>0</v>
      </c>
      <c r="H29" s="108">
        <f>IF(B$22=0,0,G29/B$22)</f>
        <v>0</v>
      </c>
      <c r="I29" s="70">
        <v>5</v>
      </c>
    </row>
    <row r="30" spans="1:17">
      <c r="A30" s="39" t="s">
        <v>131</v>
      </c>
      <c r="B30" s="111">
        <f>IF($B$22-B$21=0,0,C30/($B$22-B$21))</f>
        <v>9100</v>
      </c>
      <c r="C30" s="112">
        <v>118300</v>
      </c>
      <c r="E30" s="46" t="s">
        <v>78</v>
      </c>
      <c r="F30" s="43" t="s">
        <v>42</v>
      </c>
      <c r="G30" s="35">
        <v>0</v>
      </c>
      <c r="H30" s="108">
        <f>IF(B$22=0,0,G30/B$22)</f>
        <v>0</v>
      </c>
      <c r="I30" s="70">
        <v>3</v>
      </c>
    </row>
    <row r="31" spans="1:17">
      <c r="A31" s="39" t="s">
        <v>132</v>
      </c>
      <c r="B31" s="111">
        <f>IF(B$21=0,0,C31/B$21)</f>
        <v>2671.4285714285716</v>
      </c>
      <c r="C31" s="112">
        <v>18700</v>
      </c>
      <c r="E31" s="46" t="s">
        <v>79</v>
      </c>
      <c r="F31" s="43" t="s">
        <v>43</v>
      </c>
      <c r="G31" s="35">
        <v>0</v>
      </c>
      <c r="H31" s="108">
        <f>IF(B$22=0,0,G31/B$22)</f>
        <v>0</v>
      </c>
      <c r="I31" s="70">
        <v>1</v>
      </c>
    </row>
    <row r="32" spans="1:17">
      <c r="A32" s="39" t="s">
        <v>130</v>
      </c>
      <c r="B32" s="111">
        <f>IF(B$23=0,0,C32/B$23)</f>
        <v>-5122.2222222222226</v>
      </c>
      <c r="C32" s="112">
        <v>-46100</v>
      </c>
      <c r="E32" s="46" t="s">
        <v>80</v>
      </c>
      <c r="F32" s="43" t="s">
        <v>44</v>
      </c>
      <c r="G32" s="35">
        <v>0</v>
      </c>
      <c r="H32" s="108">
        <f>IF(B$22=0,0,G32/B$22)</f>
        <v>0</v>
      </c>
      <c r="I32" s="70">
        <v>1</v>
      </c>
    </row>
    <row r="33" spans="1:9">
      <c r="A33" s="38" t="s">
        <v>128</v>
      </c>
      <c r="B33" s="35">
        <v>3</v>
      </c>
      <c r="C33" s="110">
        <v>0</v>
      </c>
      <c r="E33" s="46" t="s">
        <v>81</v>
      </c>
      <c r="F33" s="43" t="s">
        <v>45</v>
      </c>
      <c r="G33" s="35">
        <v>0</v>
      </c>
      <c r="H33" s="108">
        <f>IF(B$22=0,0,G33/B$22)</f>
        <v>0</v>
      </c>
      <c r="I33" s="70">
        <v>1</v>
      </c>
    </row>
    <row r="34" spans="1:9">
      <c r="A34" s="38" t="s">
        <v>129</v>
      </c>
      <c r="B34" s="35">
        <v>21</v>
      </c>
      <c r="C34" s="110">
        <v>12</v>
      </c>
      <c r="E34" s="46" t="s">
        <v>82</v>
      </c>
      <c r="F34" s="43" t="s">
        <v>46</v>
      </c>
      <c r="G34" s="35">
        <v>0</v>
      </c>
      <c r="H34" s="108">
        <f>IF(B$22=0,0,G34/B$22)</f>
        <v>0</v>
      </c>
      <c r="I34" s="70">
        <v>1</v>
      </c>
    </row>
    <row r="35" spans="1:9">
      <c r="A35" s="66" t="s">
        <v>110</v>
      </c>
      <c r="B35" s="144">
        <v>5</v>
      </c>
      <c r="C35" s="145"/>
      <c r="E35" s="46" t="s">
        <v>83</v>
      </c>
      <c r="F35" s="43" t="s">
        <v>47</v>
      </c>
      <c r="G35" s="35">
        <v>0</v>
      </c>
      <c r="H35" s="108">
        <f>IF(B$22=0,0,G35/B$22)</f>
        <v>0</v>
      </c>
      <c r="I35" s="70">
        <v>1</v>
      </c>
    </row>
    <row r="36" spans="1:9">
      <c r="A36" s="41" t="s">
        <v>146</v>
      </c>
      <c r="B36" s="146">
        <v>47800</v>
      </c>
      <c r="C36" s="147"/>
      <c r="E36" s="46" t="s">
        <v>84</v>
      </c>
      <c r="F36" s="43" t="s">
        <v>48</v>
      </c>
      <c r="G36" s="35">
        <v>0</v>
      </c>
      <c r="H36" s="108">
        <f>IF(B$22=0,0,G36/B$22)</f>
        <v>0</v>
      </c>
      <c r="I36" s="70">
        <v>1</v>
      </c>
    </row>
    <row r="37" spans="1:9">
      <c r="A37" s="40" t="s">
        <v>111</v>
      </c>
      <c r="B37" s="26">
        <v>0</v>
      </c>
      <c r="C37" s="32">
        <f>IF(B$3=0,0,B37/B$3)</f>
        <v>0</v>
      </c>
      <c r="E37" s="46" t="s">
        <v>85</v>
      </c>
      <c r="F37" s="43" t="s">
        <v>49</v>
      </c>
      <c r="G37" s="35">
        <v>0</v>
      </c>
      <c r="H37" s="108">
        <f>IF(B$22=0,0,G37/B$22)</f>
        <v>0</v>
      </c>
      <c r="I37" s="70">
        <v>1</v>
      </c>
    </row>
    <row r="38" spans="1:9">
      <c r="E38" s="46" t="s">
        <v>86</v>
      </c>
      <c r="F38" s="43" t="s">
        <v>50</v>
      </c>
      <c r="G38" s="35">
        <v>0</v>
      </c>
      <c r="H38" s="108">
        <f>IF(B$22=0,0,G38/B$22)</f>
        <v>0</v>
      </c>
      <c r="I38" s="70">
        <v>1</v>
      </c>
    </row>
    <row r="39" spans="1:9">
      <c r="A39" s="119" t="s">
        <v>159</v>
      </c>
      <c r="B39" s="120" t="s">
        <v>92</v>
      </c>
      <c r="C39" s="121" t="s">
        <v>93</v>
      </c>
      <c r="E39" s="46" t="s">
        <v>87</v>
      </c>
      <c r="F39" s="43" t="s">
        <v>51</v>
      </c>
      <c r="G39" s="35">
        <v>0</v>
      </c>
      <c r="H39" s="108">
        <f>IF(B$22=0,0,G39/B$22)</f>
        <v>0</v>
      </c>
      <c r="I39" s="70">
        <v>1</v>
      </c>
    </row>
    <row r="40" spans="1:9">
      <c r="A40" s="66" t="s">
        <v>137</v>
      </c>
      <c r="B40" s="128">
        <v>1</v>
      </c>
      <c r="C40" s="116">
        <f t="shared" ref="C40:C52" si="4">IF(B$22=0,0,B40/B$22)</f>
        <v>0.05</v>
      </c>
      <c r="E40" s="46" t="s">
        <v>88</v>
      </c>
      <c r="F40" s="43" t="s">
        <v>52</v>
      </c>
      <c r="G40" s="35">
        <v>0</v>
      </c>
      <c r="H40" s="108">
        <f>IF(B$22=0,0,G40/B$22)</f>
        <v>0</v>
      </c>
      <c r="I40" s="70">
        <v>1</v>
      </c>
    </row>
    <row r="41" spans="1:9">
      <c r="A41" s="38" t="s">
        <v>133</v>
      </c>
      <c r="B41" s="35">
        <v>5</v>
      </c>
      <c r="C41" s="30">
        <f t="shared" si="4"/>
        <v>0.25</v>
      </c>
      <c r="E41" s="46" t="s">
        <v>89</v>
      </c>
      <c r="F41" s="43" t="s">
        <v>53</v>
      </c>
      <c r="G41" s="35">
        <v>0</v>
      </c>
      <c r="H41" s="108">
        <f>IF(B$22=0,0,G41/B$22)</f>
        <v>0</v>
      </c>
      <c r="I41" s="70">
        <v>1</v>
      </c>
    </row>
    <row r="42" spans="1:9">
      <c r="A42" s="38" t="s">
        <v>134</v>
      </c>
      <c r="B42" s="129">
        <v>5</v>
      </c>
      <c r="C42" s="30">
        <f t="shared" si="4"/>
        <v>0.25</v>
      </c>
      <c r="E42" s="47" t="s">
        <v>90</v>
      </c>
      <c r="F42" s="44" t="s">
        <v>169</v>
      </c>
      <c r="G42" s="37">
        <v>0</v>
      </c>
      <c r="H42" s="109">
        <f>IF(B$22=0,0,G42/B$22)</f>
        <v>0</v>
      </c>
      <c r="I42" s="71">
        <v>1</v>
      </c>
    </row>
    <row r="43" spans="1:9">
      <c r="A43" s="38" t="s">
        <v>135</v>
      </c>
      <c r="B43" s="129">
        <v>3</v>
      </c>
      <c r="C43" s="30">
        <f t="shared" si="4"/>
        <v>0.15</v>
      </c>
    </row>
    <row r="44" spans="1:9">
      <c r="A44" s="38" t="s">
        <v>136</v>
      </c>
      <c r="B44" s="129">
        <v>3</v>
      </c>
      <c r="C44" s="30">
        <f t="shared" si="4"/>
        <v>0.15</v>
      </c>
    </row>
    <row r="45" spans="1:9">
      <c r="A45" s="38" t="s">
        <v>138</v>
      </c>
      <c r="B45" s="129">
        <v>2</v>
      </c>
      <c r="C45" s="30">
        <f t="shared" si="4"/>
        <v>0.1</v>
      </c>
    </row>
    <row r="46" spans="1:9">
      <c r="A46" s="38" t="s">
        <v>139</v>
      </c>
      <c r="B46" s="129">
        <v>1</v>
      </c>
      <c r="C46" s="30">
        <f t="shared" si="4"/>
        <v>0.05</v>
      </c>
    </row>
    <row r="47" spans="1:9">
      <c r="A47" s="38" t="s">
        <v>140</v>
      </c>
      <c r="B47" s="129">
        <v>0</v>
      </c>
      <c r="C47" s="30">
        <f t="shared" si="4"/>
        <v>0</v>
      </c>
    </row>
    <row r="48" spans="1:9">
      <c r="A48" s="38" t="s">
        <v>141</v>
      </c>
      <c r="B48" s="129">
        <v>0</v>
      </c>
      <c r="C48" s="30">
        <f t="shared" si="4"/>
        <v>0</v>
      </c>
    </row>
    <row r="49" spans="1:3">
      <c r="A49" s="38" t="s">
        <v>142</v>
      </c>
      <c r="B49" s="129">
        <v>0</v>
      </c>
      <c r="C49" s="30">
        <f t="shared" si="4"/>
        <v>0</v>
      </c>
    </row>
    <row r="50" spans="1:3">
      <c r="A50" s="38" t="s">
        <v>143</v>
      </c>
      <c r="B50" s="129">
        <v>0</v>
      </c>
      <c r="C50" s="30">
        <f t="shared" si="4"/>
        <v>0</v>
      </c>
    </row>
    <row r="51" spans="1:3">
      <c r="A51" s="38" t="s">
        <v>144</v>
      </c>
      <c r="B51" s="129">
        <v>0</v>
      </c>
      <c r="C51" s="30">
        <f t="shared" si="4"/>
        <v>0</v>
      </c>
    </row>
    <row r="52" spans="1:3">
      <c r="A52" s="40" t="s">
        <v>145</v>
      </c>
      <c r="B52" s="115">
        <v>0</v>
      </c>
      <c r="C52" s="32">
        <f t="shared" si="4"/>
        <v>0</v>
      </c>
    </row>
  </sheetData>
  <sortState xmlns:xlrd2="http://schemas.microsoft.com/office/spreadsheetml/2017/richdata2" ref="N18:Q21">
    <sortCondition descending="1" ref="O18"/>
  </sortState>
  <mergeCells count="9">
    <mergeCell ref="B16:C16"/>
    <mergeCell ref="B35:C35"/>
    <mergeCell ref="B36:C36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E437-52AA-4093-8B64-676E12BDC97E}">
  <sheetPr codeName="Sheet8"/>
  <dimension ref="A1:Q52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03" bestFit="1" customWidth="1"/>
    <col min="6" max="6" width="11" style="33" bestFit="1" customWidth="1"/>
    <col min="7" max="9" width="9" style="27" customWidth="1"/>
    <col min="10" max="10" width="3.59765625" style="27" customWidth="1"/>
    <col min="11" max="11" width="3.5" style="5" customWidth="1"/>
    <col min="12" max="12" width="9" style="75" customWidth="1"/>
    <col min="13" max="13" width="3.59765625" style="27" customWidth="1"/>
    <col min="14" max="14" width="9" style="90" customWidth="1"/>
    <col min="15" max="15" width="9" style="100" customWidth="1"/>
    <col min="16" max="16" width="9" style="94" customWidth="1"/>
    <col min="17" max="17" width="3.59765625" style="82" customWidth="1"/>
    <col min="18" max="16384" width="9" style="27"/>
  </cols>
  <sheetData>
    <row r="1" spans="1:17">
      <c r="A1" s="17" t="s">
        <v>0</v>
      </c>
      <c r="B1" s="148" t="s">
        <v>176</v>
      </c>
      <c r="C1" s="149"/>
      <c r="E1" s="104" t="s">
        <v>127</v>
      </c>
      <c r="F1" s="127" t="s">
        <v>91</v>
      </c>
      <c r="G1" s="126" t="s">
        <v>92</v>
      </c>
      <c r="H1" s="105" t="s">
        <v>93</v>
      </c>
      <c r="I1" s="127" t="s">
        <v>116</v>
      </c>
      <c r="K1" s="28" t="s">
        <v>18</v>
      </c>
      <c r="L1" s="29" t="s">
        <v>96</v>
      </c>
      <c r="M1" s="106"/>
      <c r="N1" s="88" t="s">
        <v>108</v>
      </c>
      <c r="O1" s="28" t="s">
        <v>109</v>
      </c>
      <c r="P1" s="92" t="s">
        <v>92</v>
      </c>
      <c r="Q1" s="76" t="s">
        <v>120</v>
      </c>
    </row>
    <row r="2" spans="1:17">
      <c r="A2" s="18" t="s">
        <v>9</v>
      </c>
      <c r="B2" s="150">
        <v>6</v>
      </c>
      <c r="C2" s="151"/>
      <c r="E2" s="45" t="s">
        <v>162</v>
      </c>
      <c r="F2" s="42" t="s">
        <v>154</v>
      </c>
      <c r="G2" s="34">
        <v>11</v>
      </c>
      <c r="H2" s="107">
        <f>IF(B$22=0,0,G2/B$22)</f>
        <v>0.6470588235294118</v>
      </c>
      <c r="I2" s="69">
        <v>1</v>
      </c>
      <c r="K2" s="3">
        <v>0</v>
      </c>
      <c r="L2" s="74">
        <v>0</v>
      </c>
      <c r="N2" s="89" t="s">
        <v>102</v>
      </c>
      <c r="O2" s="96">
        <f t="shared" ref="O2:O9" si="0">IF(P2=0,0,Q2/P2)</f>
        <v>-3200</v>
      </c>
      <c r="P2" s="93">
        <v>6</v>
      </c>
      <c r="Q2" s="77">
        <v>-19200</v>
      </c>
    </row>
    <row r="3" spans="1:17">
      <c r="A3" s="38" t="s">
        <v>8</v>
      </c>
      <c r="B3" s="152">
        <v>67</v>
      </c>
      <c r="C3" s="153"/>
      <c r="E3" s="46" t="s">
        <v>54</v>
      </c>
      <c r="F3" s="43" t="s">
        <v>20</v>
      </c>
      <c r="G3" s="35">
        <v>9</v>
      </c>
      <c r="H3" s="108">
        <f>IF(B$22=0,0,G3/B$22)</f>
        <v>0.52941176470588236</v>
      </c>
      <c r="I3" s="70">
        <v>3</v>
      </c>
      <c r="K3" s="5">
        <v>1</v>
      </c>
      <c r="L3" s="75">
        <v>16.600000000000001</v>
      </c>
      <c r="N3" s="90" t="s">
        <v>103</v>
      </c>
      <c r="O3" s="97">
        <f t="shared" si="0"/>
        <v>633.33333333333337</v>
      </c>
      <c r="P3" s="94">
        <v>6</v>
      </c>
      <c r="Q3" s="78">
        <v>3800</v>
      </c>
    </row>
    <row r="4" spans="1:17">
      <c r="A4" s="38" t="s">
        <v>6</v>
      </c>
      <c r="B4" s="154">
        <v>-87.1</v>
      </c>
      <c r="C4" s="155"/>
      <c r="E4" s="46" t="s">
        <v>165</v>
      </c>
      <c r="F4" s="43" t="s">
        <v>168</v>
      </c>
      <c r="G4" s="35">
        <v>6</v>
      </c>
      <c r="H4" s="108">
        <f>IF(B$22=0,0,G4/B$22)</f>
        <v>0.35294117647058826</v>
      </c>
      <c r="I4" s="70">
        <v>5</v>
      </c>
      <c r="K4" s="5">
        <v>2</v>
      </c>
      <c r="L4" s="75">
        <v>2.4000000000000021</v>
      </c>
      <c r="N4" s="90" t="s">
        <v>104</v>
      </c>
      <c r="O4" s="97">
        <f t="shared" si="0"/>
        <v>2166.6666666666665</v>
      </c>
      <c r="P4" s="94">
        <v>6</v>
      </c>
      <c r="Q4" s="78">
        <v>13000</v>
      </c>
    </row>
    <row r="5" spans="1:17">
      <c r="A5" s="38" t="s">
        <v>7</v>
      </c>
      <c r="B5" s="142">
        <f>IF(B$2=0,0,B$4/B$2)</f>
        <v>-14.516666666666666</v>
      </c>
      <c r="C5" s="143"/>
      <c r="E5" s="46" t="s">
        <v>60</v>
      </c>
      <c r="F5" s="43" t="s">
        <v>24</v>
      </c>
      <c r="G5" s="35">
        <v>5</v>
      </c>
      <c r="H5" s="108">
        <f>IF(B$22=0,0,G5/B$22)</f>
        <v>0.29411764705882354</v>
      </c>
      <c r="I5" s="70">
        <v>6</v>
      </c>
      <c r="K5" s="5">
        <v>3</v>
      </c>
      <c r="L5" s="75">
        <v>4.4000000000000021</v>
      </c>
      <c r="N5" s="90" t="s">
        <v>155</v>
      </c>
      <c r="O5" s="97">
        <f>IF(P5=0,0,Q5/P5)</f>
        <v>-2366.6666666666665</v>
      </c>
      <c r="P5" s="94">
        <v>6</v>
      </c>
      <c r="Q5" s="78">
        <v>-14200</v>
      </c>
    </row>
    <row r="6" spans="1:17">
      <c r="A6" s="38" t="s">
        <v>1</v>
      </c>
      <c r="B6" s="156">
        <f>IF(B$2=0,0,(B$7*1+B$8*2+B$9*3+B$10*4)/B$2)</f>
        <v>2.8333333333333335</v>
      </c>
      <c r="C6" s="157"/>
      <c r="E6" s="46" t="s">
        <v>163</v>
      </c>
      <c r="F6" s="43" t="s">
        <v>19</v>
      </c>
      <c r="G6" s="35">
        <v>4</v>
      </c>
      <c r="H6" s="108">
        <f>IF(B$22=0,0,G6/B$22)</f>
        <v>0.23529411764705882</v>
      </c>
      <c r="I6" s="70">
        <v>1</v>
      </c>
      <c r="K6" s="5">
        <v>4</v>
      </c>
      <c r="L6" s="75">
        <v>17.200000000000003</v>
      </c>
      <c r="N6" s="90" t="s">
        <v>105</v>
      </c>
      <c r="O6" s="97">
        <f t="shared" ref="O6" si="1">IF(P6=0,0,Q6/P6)</f>
        <v>-1550</v>
      </c>
      <c r="P6" s="94">
        <v>6</v>
      </c>
      <c r="Q6" s="78">
        <v>-9300</v>
      </c>
    </row>
    <row r="7" spans="1:17">
      <c r="A7" s="38" t="s">
        <v>2</v>
      </c>
      <c r="B7" s="35">
        <v>0</v>
      </c>
      <c r="C7" s="30">
        <f t="shared" ref="C7:C17" si="2">IF(B$2=0,0,B7/B$2)</f>
        <v>0</v>
      </c>
      <c r="E7" s="46" t="s">
        <v>57</v>
      </c>
      <c r="F7" s="43" t="s">
        <v>21</v>
      </c>
      <c r="G7" s="35">
        <v>4</v>
      </c>
      <c r="H7" s="108">
        <f>IF(B$22=0,0,G7/B$22)</f>
        <v>0.23529411764705882</v>
      </c>
      <c r="I7" s="70">
        <v>4</v>
      </c>
      <c r="K7" s="5">
        <v>5</v>
      </c>
      <c r="L7" s="75">
        <v>-47.5</v>
      </c>
      <c r="N7" s="90" t="s">
        <v>106</v>
      </c>
      <c r="O7" s="97">
        <f t="shared" si="0"/>
        <v>150</v>
      </c>
      <c r="P7" s="94">
        <v>6</v>
      </c>
      <c r="Q7" s="78">
        <v>900</v>
      </c>
    </row>
    <row r="8" spans="1:17">
      <c r="A8" s="38" t="s">
        <v>3</v>
      </c>
      <c r="B8" s="35">
        <v>3</v>
      </c>
      <c r="C8" s="30">
        <f>IF(B$2=0,0,B8/B$2)</f>
        <v>0.5</v>
      </c>
      <c r="E8" s="46" t="s">
        <v>55</v>
      </c>
      <c r="F8" s="43" t="s">
        <v>153</v>
      </c>
      <c r="G8" s="35">
        <v>3</v>
      </c>
      <c r="H8" s="108">
        <f>IF(B$22=0,0,G8/B$22)</f>
        <v>0.17647058823529413</v>
      </c>
      <c r="I8" s="70">
        <v>2</v>
      </c>
      <c r="K8" s="5">
        <v>6</v>
      </c>
      <c r="L8" s="75">
        <v>-87.1</v>
      </c>
      <c r="N8" s="90" t="s">
        <v>107</v>
      </c>
      <c r="O8" s="97">
        <f t="shared" si="0"/>
        <v>-166.66666666666666</v>
      </c>
      <c r="P8" s="94">
        <v>6</v>
      </c>
      <c r="Q8" s="78">
        <v>-1000</v>
      </c>
    </row>
    <row r="9" spans="1:17">
      <c r="A9" s="39" t="s">
        <v>4</v>
      </c>
      <c r="B9" s="36">
        <v>1</v>
      </c>
      <c r="C9" s="31">
        <f>IF(B$2=0,0,B9/B$2)</f>
        <v>0.16666666666666666</v>
      </c>
      <c r="E9" s="46" t="s">
        <v>56</v>
      </c>
      <c r="F9" s="43" t="s">
        <v>166</v>
      </c>
      <c r="G9" s="35">
        <v>2</v>
      </c>
      <c r="H9" s="108">
        <f>IF(B$22=0,0,G9/B$22)</f>
        <v>0.11764705882352941</v>
      </c>
      <c r="I9" s="70">
        <v>5</v>
      </c>
      <c r="N9" s="91" t="s">
        <v>156</v>
      </c>
      <c r="O9" s="98">
        <f t="shared" si="0"/>
        <v>1483.3333333333333</v>
      </c>
      <c r="P9" s="95">
        <v>6</v>
      </c>
      <c r="Q9" s="79">
        <v>8900</v>
      </c>
    </row>
    <row r="10" spans="1:17">
      <c r="A10" s="39" t="s">
        <v>150</v>
      </c>
      <c r="B10" s="36">
        <v>2</v>
      </c>
      <c r="C10" s="31">
        <f>IF(B$2=0,0,B10/B$2)</f>
        <v>0.33333333333333331</v>
      </c>
      <c r="E10" s="46" t="s">
        <v>58</v>
      </c>
      <c r="F10" s="43" t="s">
        <v>22</v>
      </c>
      <c r="G10" s="35">
        <v>2</v>
      </c>
      <c r="H10" s="108">
        <f>IF(B$22=0,0,G10/B$22)</f>
        <v>0.11764705882352941</v>
      </c>
      <c r="I10" s="70">
        <v>2</v>
      </c>
      <c r="N10" s="33"/>
      <c r="O10" s="102"/>
      <c r="P10" s="86"/>
      <c r="Q10" s="84"/>
    </row>
    <row r="11" spans="1:17">
      <c r="A11" s="39" t="s">
        <v>151</v>
      </c>
      <c r="B11" s="36">
        <f>B7+B8</f>
        <v>3</v>
      </c>
      <c r="C11" s="31">
        <f>IF(B$2=0,0,B11/B$2)</f>
        <v>0.5</v>
      </c>
      <c r="E11" s="46" t="s">
        <v>59</v>
      </c>
      <c r="F11" s="43" t="s">
        <v>23</v>
      </c>
      <c r="G11" s="35">
        <v>1</v>
      </c>
      <c r="H11" s="108">
        <f>IF(B$22=0,0,G11/B$22)</f>
        <v>5.8823529411764705E-2</v>
      </c>
      <c r="I11" s="70">
        <v>6</v>
      </c>
      <c r="N11" s="88" t="s">
        <v>158</v>
      </c>
      <c r="O11" s="28" t="s">
        <v>96</v>
      </c>
      <c r="P11" s="92" t="s">
        <v>92</v>
      </c>
      <c r="Q11" s="80" t="s">
        <v>120</v>
      </c>
    </row>
    <row r="12" spans="1:17">
      <c r="A12" s="39" t="s">
        <v>179</v>
      </c>
      <c r="B12" s="124">
        <f>IF(B7=0,0,C12/B7)</f>
        <v>0</v>
      </c>
      <c r="C12" s="125">
        <v>0</v>
      </c>
      <c r="E12" s="46" t="s">
        <v>66</v>
      </c>
      <c r="F12" s="43" t="s">
        <v>30</v>
      </c>
      <c r="G12" s="35">
        <v>1</v>
      </c>
      <c r="H12" s="108">
        <f>IF(B$22=0,0,G12/B$22)</f>
        <v>5.8823529411764705E-2</v>
      </c>
      <c r="I12" s="70">
        <v>1</v>
      </c>
      <c r="N12" s="89" t="s">
        <v>124</v>
      </c>
      <c r="O12" s="99">
        <f>IF(P12=0,0,Q12/P12)</f>
        <v>-13.4</v>
      </c>
      <c r="P12" s="93">
        <v>2</v>
      </c>
      <c r="Q12" s="81">
        <v>-26.8</v>
      </c>
    </row>
    <row r="13" spans="1:17">
      <c r="A13" s="39" t="s">
        <v>180</v>
      </c>
      <c r="B13" s="124">
        <f t="shared" ref="B13:B14" si="3">IF(B8=0,0,C13/B8)</f>
        <v>10.466666666666667</v>
      </c>
      <c r="C13" s="125">
        <v>31.400000000000002</v>
      </c>
      <c r="E13" s="46" t="s">
        <v>74</v>
      </c>
      <c r="F13" s="43" t="s">
        <v>38</v>
      </c>
      <c r="G13" s="35">
        <v>1</v>
      </c>
      <c r="H13" s="108">
        <f>IF(B$22=0,0,G13/B$22)</f>
        <v>5.8823529411764705E-2</v>
      </c>
      <c r="I13" s="70">
        <v>2</v>
      </c>
      <c r="N13" s="90" t="s">
        <v>125</v>
      </c>
      <c r="O13" s="100">
        <f>IF(P13=0,0,Q13/P13)</f>
        <v>-14.2</v>
      </c>
      <c r="P13" s="94">
        <v>1</v>
      </c>
      <c r="Q13" s="82">
        <v>-14.2</v>
      </c>
    </row>
    <row r="14" spans="1:17">
      <c r="A14" s="39" t="s">
        <v>181</v>
      </c>
      <c r="B14" s="124">
        <f t="shared" si="3"/>
        <v>-14.2</v>
      </c>
      <c r="C14" s="125">
        <v>-14.2</v>
      </c>
      <c r="E14" s="46" t="s">
        <v>77</v>
      </c>
      <c r="F14" s="43" t="s">
        <v>41</v>
      </c>
      <c r="G14" s="35">
        <v>1</v>
      </c>
      <c r="H14" s="108">
        <f>IF(B$22=0,0,G14/B$22)</f>
        <v>5.8823529411764705E-2</v>
      </c>
      <c r="I14" s="70">
        <v>3</v>
      </c>
      <c r="N14" s="90" t="s">
        <v>126</v>
      </c>
      <c r="O14" s="100">
        <f>IF(P14=0,0,Q14/P14)</f>
        <v>0</v>
      </c>
      <c r="P14" s="94">
        <v>0</v>
      </c>
      <c r="Q14" s="82">
        <v>0</v>
      </c>
    </row>
    <row r="15" spans="1:17">
      <c r="A15" s="39" t="s">
        <v>182</v>
      </c>
      <c r="B15" s="124">
        <f>IF(B10=0,0,C15/B10)</f>
        <v>-52.150000000000006</v>
      </c>
      <c r="C15" s="125">
        <v>-104.30000000000001</v>
      </c>
      <c r="E15" s="46" t="s">
        <v>61</v>
      </c>
      <c r="F15" s="43" t="s">
        <v>25</v>
      </c>
      <c r="G15" s="35">
        <v>0</v>
      </c>
      <c r="H15" s="108">
        <f>IF(B$22=0,0,G15/B$22)</f>
        <v>0</v>
      </c>
      <c r="I15" s="70">
        <v>1</v>
      </c>
      <c r="N15" s="91" t="s">
        <v>157</v>
      </c>
      <c r="O15" s="101">
        <f>IF(P15=0,0,Q15/P15)</f>
        <v>-15.366666666666667</v>
      </c>
      <c r="P15" s="95">
        <v>3</v>
      </c>
      <c r="Q15" s="83">
        <v>-46.1</v>
      </c>
    </row>
    <row r="16" spans="1:17">
      <c r="A16" s="39" t="s">
        <v>178</v>
      </c>
      <c r="B16" s="142">
        <f>AVERAGE(B12:B15)</f>
        <v>-13.970833333333335</v>
      </c>
      <c r="C16" s="143"/>
      <c r="E16" s="46" t="s">
        <v>62</v>
      </c>
      <c r="F16" s="43" t="s">
        <v>26</v>
      </c>
      <c r="G16" s="35">
        <v>0</v>
      </c>
      <c r="H16" s="108">
        <f>IF(B$22=0,0,G16/B$22)</f>
        <v>0</v>
      </c>
      <c r="I16" s="70">
        <v>1</v>
      </c>
      <c r="N16" s="27"/>
      <c r="O16" s="85"/>
      <c r="P16" s="87"/>
      <c r="Q16" s="85"/>
    </row>
    <row r="17" spans="1:17">
      <c r="A17" s="40" t="s">
        <v>17</v>
      </c>
      <c r="B17" s="37">
        <v>1</v>
      </c>
      <c r="C17" s="32">
        <f t="shared" si="2"/>
        <v>0.16666666666666666</v>
      </c>
      <c r="E17" s="46" t="s">
        <v>63</v>
      </c>
      <c r="F17" s="43" t="s">
        <v>27</v>
      </c>
      <c r="G17" s="35">
        <v>0</v>
      </c>
      <c r="H17" s="108">
        <f>IF(B$22=0,0,G17/B$22)</f>
        <v>0</v>
      </c>
      <c r="I17" s="70">
        <v>1</v>
      </c>
      <c r="N17" s="88" t="s">
        <v>117</v>
      </c>
      <c r="O17" s="28" t="s">
        <v>96</v>
      </c>
      <c r="P17" s="92" t="s">
        <v>92</v>
      </c>
      <c r="Q17" s="80" t="s">
        <v>120</v>
      </c>
    </row>
    <row r="18" spans="1:17">
      <c r="A18" s="41" t="s">
        <v>97</v>
      </c>
      <c r="B18" s="15">
        <v>19</v>
      </c>
      <c r="C18" s="11">
        <f>IF(B$3=0,0,B18/B$3)</f>
        <v>0.28358208955223879</v>
      </c>
      <c r="E18" s="46" t="s">
        <v>64</v>
      </c>
      <c r="F18" s="43" t="s">
        <v>28</v>
      </c>
      <c r="G18" s="35">
        <v>0</v>
      </c>
      <c r="H18" s="108">
        <f>IF(B$22=0,0,G18/B$22)</f>
        <v>0</v>
      </c>
      <c r="I18" s="70">
        <v>1</v>
      </c>
      <c r="N18" s="89" t="s">
        <v>174</v>
      </c>
      <c r="O18" s="99">
        <f>IF(P18=0,0,Q18/P18)</f>
        <v>-12.499999999999998</v>
      </c>
      <c r="P18" s="93">
        <v>6</v>
      </c>
      <c r="Q18" s="81">
        <v>-74.999999999999986</v>
      </c>
    </row>
    <row r="19" spans="1:17">
      <c r="A19" s="38" t="s">
        <v>94</v>
      </c>
      <c r="B19" s="35">
        <v>15</v>
      </c>
      <c r="C19" s="30">
        <f>IF(B$3=0,0,B19/B$3)</f>
        <v>0.22388059701492538</v>
      </c>
      <c r="E19" s="46" t="s">
        <v>65</v>
      </c>
      <c r="F19" s="43" t="s">
        <v>29</v>
      </c>
      <c r="G19" s="35">
        <v>0</v>
      </c>
      <c r="H19" s="108">
        <f>IF(B$22=0,0,G19/B$22)</f>
        <v>0</v>
      </c>
      <c r="I19" s="70">
        <v>1</v>
      </c>
      <c r="N19" s="90" t="s">
        <v>175</v>
      </c>
      <c r="O19" s="100">
        <f>IF(P19=0,0,Q19/P19)</f>
        <v>-15.066666666666668</v>
      </c>
      <c r="P19" s="94">
        <v>6</v>
      </c>
      <c r="Q19" s="82">
        <v>-90.4</v>
      </c>
    </row>
    <row r="20" spans="1:17">
      <c r="A20" s="18" t="s">
        <v>99</v>
      </c>
      <c r="B20" s="34">
        <f>B26</f>
        <v>11</v>
      </c>
      <c r="C20" s="4">
        <f>IF(B$18=0,0,B20/B$18)</f>
        <v>0.57894736842105265</v>
      </c>
      <c r="E20" s="46" t="s">
        <v>67</v>
      </c>
      <c r="F20" s="43" t="s">
        <v>31</v>
      </c>
      <c r="G20" s="35">
        <v>0</v>
      </c>
      <c r="H20" s="108">
        <f>IF(B$22=0,0,G20/B$22)</f>
        <v>0</v>
      </c>
      <c r="I20" s="70">
        <v>3</v>
      </c>
      <c r="N20" s="90" t="s">
        <v>177</v>
      </c>
      <c r="O20" s="100">
        <f>IF(P20=0,0,Q20/P20)</f>
        <v>-16.72</v>
      </c>
      <c r="P20" s="94">
        <v>5</v>
      </c>
      <c r="Q20" s="82">
        <v>-83.6</v>
      </c>
    </row>
    <row r="21" spans="1:17">
      <c r="A21" s="18" t="s">
        <v>100</v>
      </c>
      <c r="B21" s="34">
        <f>B27</f>
        <v>4</v>
      </c>
      <c r="C21" s="4">
        <f>IF(B$19=0,0,B21/B$19)</f>
        <v>0.26666666666666666</v>
      </c>
      <c r="E21" s="46" t="s">
        <v>164</v>
      </c>
      <c r="F21" s="43" t="s">
        <v>167</v>
      </c>
      <c r="G21" s="35">
        <v>0</v>
      </c>
      <c r="H21" s="108">
        <f>IF(B$22=0,0,G21/B$22)</f>
        <v>0</v>
      </c>
      <c r="I21" s="70">
        <v>4</v>
      </c>
      <c r="N21" s="90" t="s">
        <v>189</v>
      </c>
      <c r="O21" s="100">
        <f>IF(P21=0,0,Q21/P21)</f>
        <v>-89.4</v>
      </c>
      <c r="P21" s="94">
        <v>1</v>
      </c>
      <c r="Q21" s="82">
        <v>-89.4</v>
      </c>
    </row>
    <row r="22" spans="1:17">
      <c r="A22" s="18" t="s">
        <v>10</v>
      </c>
      <c r="B22" s="34">
        <f>B25+B24</f>
        <v>17</v>
      </c>
      <c r="C22" s="4">
        <f>IF(B$3=0,0,B22/B$3)</f>
        <v>0.2537313432835821</v>
      </c>
      <c r="E22" s="46" t="s">
        <v>68</v>
      </c>
      <c r="F22" s="43" t="s">
        <v>32</v>
      </c>
      <c r="G22" s="35">
        <v>0</v>
      </c>
      <c r="H22" s="108">
        <f>IF(B$22=0,0,G22/B$22)</f>
        <v>0</v>
      </c>
      <c r="I22" s="70">
        <v>1</v>
      </c>
    </row>
    <row r="23" spans="1:17">
      <c r="A23" s="38" t="s">
        <v>13</v>
      </c>
      <c r="B23" s="35">
        <v>11</v>
      </c>
      <c r="C23" s="30">
        <f>IF(B$3=0,0,B23/B$3)</f>
        <v>0.16417910447761194</v>
      </c>
      <c r="E23" s="46" t="s">
        <v>69</v>
      </c>
      <c r="F23" s="43" t="s">
        <v>33</v>
      </c>
      <c r="G23" s="35">
        <v>0</v>
      </c>
      <c r="H23" s="108">
        <f>IF(B$22=0,0,G23/B$22)</f>
        <v>0</v>
      </c>
      <c r="I23" s="70">
        <v>3</v>
      </c>
    </row>
    <row r="24" spans="1:17">
      <c r="A24" s="38" t="s">
        <v>12</v>
      </c>
      <c r="B24" s="35">
        <v>3</v>
      </c>
      <c r="C24" s="30">
        <f>IF(B$22=0,0,B24/B$22)</f>
        <v>0.17647058823529413</v>
      </c>
      <c r="E24" s="46" t="s">
        <v>70</v>
      </c>
      <c r="F24" s="43" t="s">
        <v>34</v>
      </c>
      <c r="G24" s="35">
        <v>0</v>
      </c>
      <c r="H24" s="108">
        <f>IF(B$22=0,0,G24/B$22)</f>
        <v>0</v>
      </c>
      <c r="I24" s="70">
        <v>1</v>
      </c>
    </row>
    <row r="25" spans="1:17">
      <c r="A25" s="38" t="s">
        <v>11</v>
      </c>
      <c r="B25" s="35">
        <v>14</v>
      </c>
      <c r="C25" s="30">
        <f>IF(B$22=0,0,B25/B$22)</f>
        <v>0.82352941176470584</v>
      </c>
      <c r="E25" s="46" t="s">
        <v>71</v>
      </c>
      <c r="F25" s="43" t="s">
        <v>35</v>
      </c>
      <c r="G25" s="35">
        <v>0</v>
      </c>
      <c r="H25" s="108">
        <f>IF(B$22=0,0,G25/B$22)</f>
        <v>0</v>
      </c>
      <c r="I25" s="70">
        <v>1</v>
      </c>
    </row>
    <row r="26" spans="1:17">
      <c r="A26" s="38" t="s">
        <v>149</v>
      </c>
      <c r="B26" s="35">
        <v>11</v>
      </c>
      <c r="C26" s="30">
        <f>IF(B$22=0,0,B26/B$22)</f>
        <v>0.6470588235294118</v>
      </c>
      <c r="E26" s="46" t="s">
        <v>72</v>
      </c>
      <c r="F26" s="43" t="s">
        <v>36</v>
      </c>
      <c r="G26" s="35">
        <v>0</v>
      </c>
      <c r="H26" s="108">
        <f>IF(B$22=0,0,G26/B$22)</f>
        <v>0</v>
      </c>
      <c r="I26" s="70">
        <v>1</v>
      </c>
    </row>
    <row r="27" spans="1:17">
      <c r="A27" s="38" t="s">
        <v>147</v>
      </c>
      <c r="B27" s="35">
        <v>4</v>
      </c>
      <c r="C27" s="30">
        <f>IF(B$22=0,0,B27/B$22)</f>
        <v>0.23529411764705882</v>
      </c>
      <c r="E27" s="46" t="s">
        <v>73</v>
      </c>
      <c r="F27" s="43" t="s">
        <v>37</v>
      </c>
      <c r="G27" s="35">
        <v>0</v>
      </c>
      <c r="H27" s="108">
        <f>IF(B$22=0,0,G27/B$22)</f>
        <v>0</v>
      </c>
      <c r="I27" s="70">
        <v>1</v>
      </c>
    </row>
    <row r="28" spans="1:17">
      <c r="A28" s="38" t="s">
        <v>148</v>
      </c>
      <c r="B28" s="35">
        <v>2</v>
      </c>
      <c r="C28" s="30">
        <f>IF(B$22=0,0,B28/B$22)</f>
        <v>0.11764705882352941</v>
      </c>
      <c r="E28" s="46" t="s">
        <v>75</v>
      </c>
      <c r="F28" s="43" t="s">
        <v>39</v>
      </c>
      <c r="G28" s="35">
        <v>0</v>
      </c>
      <c r="H28" s="108">
        <f>IF(B$22=0,0,G28/B$22)</f>
        <v>0</v>
      </c>
      <c r="I28" s="70">
        <v>1</v>
      </c>
    </row>
    <row r="29" spans="1:17">
      <c r="A29" s="38" t="s">
        <v>5</v>
      </c>
      <c r="B29" s="16">
        <f>IF(B$22=0,0,C29/B$22)</f>
        <v>5429.411764705882</v>
      </c>
      <c r="C29" s="8">
        <v>92300</v>
      </c>
      <c r="E29" s="46" t="s">
        <v>76</v>
      </c>
      <c r="F29" s="43" t="s">
        <v>40</v>
      </c>
      <c r="G29" s="35">
        <v>0</v>
      </c>
      <c r="H29" s="108">
        <f>IF(B$22=0,0,G29/B$22)</f>
        <v>0</v>
      </c>
      <c r="I29" s="70">
        <v>3</v>
      </c>
    </row>
    <row r="30" spans="1:17">
      <c r="A30" s="39" t="s">
        <v>131</v>
      </c>
      <c r="B30" s="111">
        <f>IF($B$22-B$21=0,0,C30/($B$22-B$21))</f>
        <v>5323.0769230769229</v>
      </c>
      <c r="C30" s="112">
        <v>69200</v>
      </c>
      <c r="E30" s="46" t="s">
        <v>78</v>
      </c>
      <c r="F30" s="43" t="s">
        <v>42</v>
      </c>
      <c r="G30" s="35">
        <v>0</v>
      </c>
      <c r="H30" s="108">
        <f>IF(B$22=0,0,G30/B$22)</f>
        <v>0</v>
      </c>
      <c r="I30" s="70">
        <v>3</v>
      </c>
    </row>
    <row r="31" spans="1:17">
      <c r="A31" s="39" t="s">
        <v>132</v>
      </c>
      <c r="B31" s="111">
        <f>IF(B$21=0,0,C31/B$21)</f>
        <v>5775</v>
      </c>
      <c r="C31" s="112">
        <v>23100</v>
      </c>
      <c r="E31" s="46" t="s">
        <v>79</v>
      </c>
      <c r="F31" s="43" t="s">
        <v>43</v>
      </c>
      <c r="G31" s="35">
        <v>0</v>
      </c>
      <c r="H31" s="108">
        <f>IF(B$22=0,0,G31/B$22)</f>
        <v>0</v>
      </c>
      <c r="I31" s="70">
        <v>1</v>
      </c>
    </row>
    <row r="32" spans="1:17">
      <c r="A32" s="39" t="s">
        <v>130</v>
      </c>
      <c r="B32" s="111">
        <f>IF(B$23=0,0,C32/B$23)</f>
        <v>-4936.363636363636</v>
      </c>
      <c r="C32" s="112">
        <v>-54300</v>
      </c>
      <c r="E32" s="46" t="s">
        <v>80</v>
      </c>
      <c r="F32" s="43" t="s">
        <v>44</v>
      </c>
      <c r="G32" s="35">
        <v>0</v>
      </c>
      <c r="H32" s="108">
        <f>IF(B$22=0,0,G32/B$22)</f>
        <v>0</v>
      </c>
      <c r="I32" s="70">
        <v>1</v>
      </c>
    </row>
    <row r="33" spans="1:9">
      <c r="A33" s="38" t="s">
        <v>128</v>
      </c>
      <c r="B33" s="35">
        <v>2</v>
      </c>
      <c r="C33" s="110">
        <v>0</v>
      </c>
      <c r="E33" s="46" t="s">
        <v>81</v>
      </c>
      <c r="F33" s="43" t="s">
        <v>45</v>
      </c>
      <c r="G33" s="35">
        <v>0</v>
      </c>
      <c r="H33" s="108">
        <f>IF(B$22=0,0,G33/B$22)</f>
        <v>0</v>
      </c>
      <c r="I33" s="70">
        <v>1</v>
      </c>
    </row>
    <row r="34" spans="1:9">
      <c r="A34" s="38" t="s">
        <v>129</v>
      </c>
      <c r="B34" s="35">
        <v>12</v>
      </c>
      <c r="C34" s="110">
        <v>5</v>
      </c>
      <c r="E34" s="46" t="s">
        <v>82</v>
      </c>
      <c r="F34" s="43" t="s">
        <v>46</v>
      </c>
      <c r="G34" s="35">
        <v>0</v>
      </c>
      <c r="H34" s="108">
        <f>IF(B$22=0,0,G34/B$22)</f>
        <v>0</v>
      </c>
      <c r="I34" s="70">
        <v>1</v>
      </c>
    </row>
    <row r="35" spans="1:9">
      <c r="A35" s="66" t="s">
        <v>110</v>
      </c>
      <c r="B35" s="144">
        <v>4</v>
      </c>
      <c r="C35" s="145"/>
      <c r="E35" s="46" t="s">
        <v>83</v>
      </c>
      <c r="F35" s="43" t="s">
        <v>47</v>
      </c>
      <c r="G35" s="35">
        <v>0</v>
      </c>
      <c r="H35" s="108">
        <f>IF(B$22=0,0,G35/B$22)</f>
        <v>0</v>
      </c>
      <c r="I35" s="70">
        <v>1</v>
      </c>
    </row>
    <row r="36" spans="1:9">
      <c r="A36" s="41" t="s">
        <v>146</v>
      </c>
      <c r="B36" s="146">
        <v>36600</v>
      </c>
      <c r="C36" s="147"/>
      <c r="E36" s="46" t="s">
        <v>84</v>
      </c>
      <c r="F36" s="43" t="s">
        <v>48</v>
      </c>
      <c r="G36" s="35">
        <v>0</v>
      </c>
      <c r="H36" s="108">
        <f>IF(B$22=0,0,G36/B$22)</f>
        <v>0</v>
      </c>
      <c r="I36" s="70">
        <v>1</v>
      </c>
    </row>
    <row r="37" spans="1:9">
      <c r="A37" s="40" t="s">
        <v>111</v>
      </c>
      <c r="B37" s="26">
        <v>1</v>
      </c>
      <c r="C37" s="32">
        <f>IF(B$3=0,0,B37/B$3)</f>
        <v>1.4925373134328358E-2</v>
      </c>
      <c r="E37" s="46" t="s">
        <v>85</v>
      </c>
      <c r="F37" s="43" t="s">
        <v>49</v>
      </c>
      <c r="G37" s="35">
        <v>0</v>
      </c>
      <c r="H37" s="108">
        <f>IF(B$22=0,0,G37/B$22)</f>
        <v>0</v>
      </c>
      <c r="I37" s="70">
        <v>1</v>
      </c>
    </row>
    <row r="38" spans="1:9">
      <c r="E38" s="46" t="s">
        <v>86</v>
      </c>
      <c r="F38" s="43" t="s">
        <v>50</v>
      </c>
      <c r="G38" s="35">
        <v>0</v>
      </c>
      <c r="H38" s="108">
        <f>IF(B$22=0,0,G38/B$22)</f>
        <v>0</v>
      </c>
      <c r="I38" s="70">
        <v>1</v>
      </c>
    </row>
    <row r="39" spans="1:9">
      <c r="A39" s="119" t="s">
        <v>159</v>
      </c>
      <c r="B39" s="120" t="s">
        <v>92</v>
      </c>
      <c r="C39" s="121" t="s">
        <v>93</v>
      </c>
      <c r="E39" s="46" t="s">
        <v>87</v>
      </c>
      <c r="F39" s="43" t="s">
        <v>51</v>
      </c>
      <c r="G39" s="35">
        <v>0</v>
      </c>
      <c r="H39" s="108">
        <f>IF(B$22=0,0,G39/B$22)</f>
        <v>0</v>
      </c>
      <c r="I39" s="70">
        <v>1</v>
      </c>
    </row>
    <row r="40" spans="1:9">
      <c r="A40" s="66" t="s">
        <v>137</v>
      </c>
      <c r="B40" s="128">
        <v>1</v>
      </c>
      <c r="C40" s="116">
        <f t="shared" ref="C40:C52" si="4">IF(B$22=0,0,B40/B$22)</f>
        <v>5.8823529411764705E-2</v>
      </c>
      <c r="E40" s="46" t="s">
        <v>88</v>
      </c>
      <c r="F40" s="43" t="s">
        <v>52</v>
      </c>
      <c r="G40" s="35">
        <v>0</v>
      </c>
      <c r="H40" s="108">
        <f>IF(B$22=0,0,G40/B$22)</f>
        <v>0</v>
      </c>
      <c r="I40" s="70">
        <v>1</v>
      </c>
    </row>
    <row r="41" spans="1:9">
      <c r="A41" s="38" t="s">
        <v>133</v>
      </c>
      <c r="B41" s="35">
        <v>4</v>
      </c>
      <c r="C41" s="30">
        <f t="shared" si="4"/>
        <v>0.23529411764705882</v>
      </c>
      <c r="E41" s="46" t="s">
        <v>89</v>
      </c>
      <c r="F41" s="43" t="s">
        <v>53</v>
      </c>
      <c r="G41" s="35">
        <v>0</v>
      </c>
      <c r="H41" s="108">
        <f>IF(B$22=0,0,G41/B$22)</f>
        <v>0</v>
      </c>
      <c r="I41" s="70">
        <v>1</v>
      </c>
    </row>
    <row r="42" spans="1:9">
      <c r="A42" s="38" t="s">
        <v>134</v>
      </c>
      <c r="B42" s="129">
        <v>7</v>
      </c>
      <c r="C42" s="30">
        <f t="shared" si="4"/>
        <v>0.41176470588235292</v>
      </c>
      <c r="E42" s="47" t="s">
        <v>90</v>
      </c>
      <c r="F42" s="44" t="s">
        <v>169</v>
      </c>
      <c r="G42" s="37">
        <v>0</v>
      </c>
      <c r="H42" s="109">
        <f>IF(B$22=0,0,G42/B$22)</f>
        <v>0</v>
      </c>
      <c r="I42" s="71">
        <v>1</v>
      </c>
    </row>
    <row r="43" spans="1:9">
      <c r="A43" s="38" t="s">
        <v>135</v>
      </c>
      <c r="B43" s="129">
        <v>3</v>
      </c>
      <c r="C43" s="30">
        <f t="shared" si="4"/>
        <v>0.17647058823529413</v>
      </c>
    </row>
    <row r="44" spans="1:9">
      <c r="A44" s="38" t="s">
        <v>136</v>
      </c>
      <c r="B44" s="129">
        <v>1</v>
      </c>
      <c r="C44" s="30">
        <f t="shared" si="4"/>
        <v>5.8823529411764705E-2</v>
      </c>
    </row>
    <row r="45" spans="1:9">
      <c r="A45" s="38" t="s">
        <v>138</v>
      </c>
      <c r="B45" s="129">
        <v>1</v>
      </c>
      <c r="C45" s="30">
        <f t="shared" si="4"/>
        <v>5.8823529411764705E-2</v>
      </c>
    </row>
    <row r="46" spans="1:9">
      <c r="A46" s="38" t="s">
        <v>139</v>
      </c>
      <c r="B46" s="129">
        <v>0</v>
      </c>
      <c r="C46" s="30">
        <f t="shared" si="4"/>
        <v>0</v>
      </c>
    </row>
    <row r="47" spans="1:9">
      <c r="A47" s="38" t="s">
        <v>140</v>
      </c>
      <c r="B47" s="129">
        <v>0</v>
      </c>
      <c r="C47" s="30">
        <f t="shared" si="4"/>
        <v>0</v>
      </c>
    </row>
    <row r="48" spans="1:9">
      <c r="A48" s="38" t="s">
        <v>141</v>
      </c>
      <c r="B48" s="129">
        <v>0</v>
      </c>
      <c r="C48" s="30">
        <f t="shared" si="4"/>
        <v>0</v>
      </c>
    </row>
    <row r="49" spans="1:3">
      <c r="A49" s="38" t="s">
        <v>142</v>
      </c>
      <c r="B49" s="129">
        <v>0</v>
      </c>
      <c r="C49" s="30">
        <f t="shared" si="4"/>
        <v>0</v>
      </c>
    </row>
    <row r="50" spans="1:3">
      <c r="A50" s="38" t="s">
        <v>143</v>
      </c>
      <c r="B50" s="129">
        <v>0</v>
      </c>
      <c r="C50" s="30">
        <f t="shared" si="4"/>
        <v>0</v>
      </c>
    </row>
    <row r="51" spans="1:3">
      <c r="A51" s="38" t="s">
        <v>144</v>
      </c>
      <c r="B51" s="129">
        <v>0</v>
      </c>
      <c r="C51" s="30">
        <f t="shared" si="4"/>
        <v>0</v>
      </c>
    </row>
    <row r="52" spans="1:3">
      <c r="A52" s="40" t="s">
        <v>145</v>
      </c>
      <c r="B52" s="115">
        <v>0</v>
      </c>
      <c r="C52" s="32">
        <f t="shared" si="4"/>
        <v>0</v>
      </c>
    </row>
  </sheetData>
  <sortState xmlns:xlrd2="http://schemas.microsoft.com/office/spreadsheetml/2017/richdata2" ref="N18:Q21">
    <sortCondition descending="1" ref="O18"/>
  </sortState>
  <mergeCells count="9">
    <mergeCell ref="B16:C16"/>
    <mergeCell ref="B35:C35"/>
    <mergeCell ref="B36:C36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38F8E-D9DD-4761-B8EB-EDF9AC49C5F6}">
  <sheetPr codeName="Sheet9"/>
  <dimension ref="A1:Q52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03" bestFit="1" customWidth="1"/>
    <col min="6" max="6" width="11" style="33" bestFit="1" customWidth="1"/>
    <col min="7" max="9" width="9" style="27" customWidth="1"/>
    <col min="10" max="10" width="3.59765625" style="27" customWidth="1"/>
    <col min="11" max="11" width="3.5" style="5" customWidth="1"/>
    <col min="12" max="12" width="9" style="75" customWidth="1"/>
    <col min="13" max="13" width="3.59765625" style="27" customWidth="1"/>
    <col min="14" max="14" width="9" style="90" customWidth="1"/>
    <col min="15" max="15" width="9" style="100" customWidth="1"/>
    <col min="16" max="16" width="9" style="94" customWidth="1"/>
    <col min="17" max="17" width="3.59765625" style="82" customWidth="1"/>
    <col min="18" max="16384" width="9" style="27"/>
  </cols>
  <sheetData>
    <row r="1" spans="1:17">
      <c r="A1" s="17" t="s">
        <v>0</v>
      </c>
      <c r="B1" s="148" t="s">
        <v>189</v>
      </c>
      <c r="C1" s="149"/>
      <c r="E1" s="104" t="s">
        <v>127</v>
      </c>
      <c r="F1" s="131" t="s">
        <v>91</v>
      </c>
      <c r="G1" s="130" t="s">
        <v>92</v>
      </c>
      <c r="H1" s="105" t="s">
        <v>93</v>
      </c>
      <c r="I1" s="131" t="s">
        <v>116</v>
      </c>
      <c r="K1" s="28" t="s">
        <v>18</v>
      </c>
      <c r="L1" s="29" t="s">
        <v>96</v>
      </c>
      <c r="M1" s="106"/>
      <c r="N1" s="88" t="s">
        <v>108</v>
      </c>
      <c r="O1" s="28" t="s">
        <v>109</v>
      </c>
      <c r="P1" s="92" t="s">
        <v>92</v>
      </c>
      <c r="Q1" s="76" t="s">
        <v>120</v>
      </c>
    </row>
    <row r="2" spans="1:17">
      <c r="A2" s="18" t="s">
        <v>9</v>
      </c>
      <c r="B2" s="150">
        <v>3</v>
      </c>
      <c r="C2" s="151"/>
      <c r="E2" s="45" t="s">
        <v>57</v>
      </c>
      <c r="F2" s="42" t="s">
        <v>21</v>
      </c>
      <c r="G2" s="34">
        <v>4</v>
      </c>
      <c r="H2" s="107">
        <f>IF(B$22=0,0,G2/B$22)</f>
        <v>0.5</v>
      </c>
      <c r="I2" s="69">
        <v>1</v>
      </c>
      <c r="K2" s="3">
        <v>0</v>
      </c>
      <c r="L2" s="74">
        <v>0</v>
      </c>
      <c r="N2" s="89" t="s">
        <v>102</v>
      </c>
      <c r="O2" s="96">
        <f t="shared" ref="O2:O9" si="0">IF(P2=0,0,Q2/P2)</f>
        <v>-3400</v>
      </c>
      <c r="P2" s="93">
        <v>3</v>
      </c>
      <c r="Q2" s="77">
        <v>-10200</v>
      </c>
    </row>
    <row r="3" spans="1:17">
      <c r="A3" s="38" t="s">
        <v>8</v>
      </c>
      <c r="B3" s="152">
        <v>35</v>
      </c>
      <c r="C3" s="153"/>
      <c r="E3" s="46" t="s">
        <v>60</v>
      </c>
      <c r="F3" s="43" t="s">
        <v>24</v>
      </c>
      <c r="G3" s="35">
        <v>3</v>
      </c>
      <c r="H3" s="108">
        <f>IF(B$22=0,0,G3/B$22)</f>
        <v>0.375</v>
      </c>
      <c r="I3" s="70">
        <v>3</v>
      </c>
      <c r="K3" s="5">
        <v>1</v>
      </c>
      <c r="L3" s="75">
        <v>14.7</v>
      </c>
      <c r="N3" s="90" t="s">
        <v>103</v>
      </c>
      <c r="O3" s="97">
        <f t="shared" si="0"/>
        <v>6700</v>
      </c>
      <c r="P3" s="94">
        <v>3</v>
      </c>
      <c r="Q3" s="78">
        <v>20100</v>
      </c>
    </row>
    <row r="4" spans="1:17">
      <c r="A4" s="38" t="s">
        <v>6</v>
      </c>
      <c r="B4" s="154">
        <v>-3.2999999999999972</v>
      </c>
      <c r="C4" s="155"/>
      <c r="E4" s="46" t="s">
        <v>165</v>
      </c>
      <c r="F4" s="43" t="s">
        <v>168</v>
      </c>
      <c r="G4" s="35">
        <v>3</v>
      </c>
      <c r="H4" s="108">
        <f>IF(B$22=0,0,G4/B$22)</f>
        <v>0.375</v>
      </c>
      <c r="I4" s="70">
        <v>4</v>
      </c>
      <c r="K4" s="5">
        <v>2</v>
      </c>
      <c r="L4" s="75">
        <v>64.5</v>
      </c>
      <c r="N4" s="90" t="s">
        <v>104</v>
      </c>
      <c r="O4" s="97">
        <f t="shared" si="0"/>
        <v>-8600</v>
      </c>
      <c r="P4" s="94">
        <v>3</v>
      </c>
      <c r="Q4" s="78">
        <v>-25800</v>
      </c>
    </row>
    <row r="5" spans="1:17">
      <c r="A5" s="38" t="s">
        <v>7</v>
      </c>
      <c r="B5" s="142">
        <f>IF(B$2=0,0,B$4/B$2)</f>
        <v>-1.099999999999999</v>
      </c>
      <c r="C5" s="143"/>
      <c r="E5" s="46" t="s">
        <v>162</v>
      </c>
      <c r="F5" s="43" t="s">
        <v>154</v>
      </c>
      <c r="G5" s="35">
        <v>2</v>
      </c>
      <c r="H5" s="108">
        <f>IF(B$22=0,0,G5/B$22)</f>
        <v>0.25</v>
      </c>
      <c r="I5" s="70">
        <v>5</v>
      </c>
      <c r="K5" s="5">
        <v>3</v>
      </c>
      <c r="L5" s="75">
        <v>-3.2999999999999972</v>
      </c>
      <c r="N5" s="90" t="s">
        <v>155</v>
      </c>
      <c r="O5" s="97">
        <f>IF(P5=0,0,Q5/P5)</f>
        <v>500</v>
      </c>
      <c r="P5" s="94">
        <v>3</v>
      </c>
      <c r="Q5" s="78">
        <v>1500</v>
      </c>
    </row>
    <row r="6" spans="1:17">
      <c r="A6" s="38" t="s">
        <v>1</v>
      </c>
      <c r="B6" s="156">
        <f>IF(B$2=0,0,(B$7*1+B$8*2+B$9*3+B$10*4)/B$2)</f>
        <v>2.3333333333333335</v>
      </c>
      <c r="C6" s="157"/>
      <c r="E6" s="46" t="s">
        <v>54</v>
      </c>
      <c r="F6" s="43" t="s">
        <v>20</v>
      </c>
      <c r="G6" s="35">
        <v>2</v>
      </c>
      <c r="H6" s="108">
        <f>IF(B$22=0,0,G6/B$22)</f>
        <v>0.25</v>
      </c>
      <c r="I6" s="70">
        <v>6</v>
      </c>
      <c r="N6" s="90" t="s">
        <v>105</v>
      </c>
      <c r="O6" s="97">
        <f t="shared" ref="O6" si="1">IF(P6=0,0,Q6/P6)</f>
        <v>-1066.6666666666667</v>
      </c>
      <c r="P6" s="94">
        <v>3</v>
      </c>
      <c r="Q6" s="78">
        <v>-3200</v>
      </c>
    </row>
    <row r="7" spans="1:17">
      <c r="A7" s="38" t="s">
        <v>2</v>
      </c>
      <c r="B7" s="35">
        <v>1</v>
      </c>
      <c r="C7" s="30">
        <f t="shared" ref="C7:C17" si="2">IF(B$2=0,0,B7/B$2)</f>
        <v>0.33333333333333331</v>
      </c>
      <c r="E7" s="46" t="s">
        <v>56</v>
      </c>
      <c r="F7" s="43" t="s">
        <v>166</v>
      </c>
      <c r="G7" s="35">
        <v>2</v>
      </c>
      <c r="H7" s="108">
        <f>IF(B$22=0,0,G7/B$22)</f>
        <v>0.25</v>
      </c>
      <c r="I7" s="70">
        <v>2</v>
      </c>
      <c r="N7" s="90" t="s">
        <v>106</v>
      </c>
      <c r="O7" s="97">
        <f t="shared" si="0"/>
        <v>-666.66666666666663</v>
      </c>
      <c r="P7" s="94">
        <v>3</v>
      </c>
      <c r="Q7" s="78">
        <v>-2000</v>
      </c>
    </row>
    <row r="8" spans="1:17">
      <c r="A8" s="38" t="s">
        <v>3</v>
      </c>
      <c r="B8" s="35">
        <v>1</v>
      </c>
      <c r="C8" s="30">
        <f>IF(B$2=0,0,B8/B$2)</f>
        <v>0.33333333333333331</v>
      </c>
      <c r="E8" s="46" t="s">
        <v>163</v>
      </c>
      <c r="F8" s="43" t="s">
        <v>19</v>
      </c>
      <c r="G8" s="35">
        <v>1</v>
      </c>
      <c r="H8" s="108">
        <f>IF(B$22=0,0,G8/B$22)</f>
        <v>0.125</v>
      </c>
      <c r="I8" s="70">
        <v>4</v>
      </c>
      <c r="N8" s="90" t="s">
        <v>107</v>
      </c>
      <c r="O8" s="97">
        <f t="shared" si="0"/>
        <v>-666.66666666666663</v>
      </c>
      <c r="P8" s="94">
        <v>3</v>
      </c>
      <c r="Q8" s="78">
        <v>-2000</v>
      </c>
    </row>
    <row r="9" spans="1:17">
      <c r="A9" s="39" t="s">
        <v>4</v>
      </c>
      <c r="B9" s="36">
        <v>0</v>
      </c>
      <c r="C9" s="31">
        <f>IF(B$2=0,0,B9/B$2)</f>
        <v>0</v>
      </c>
      <c r="E9" s="46" t="s">
        <v>59</v>
      </c>
      <c r="F9" s="43" t="s">
        <v>23</v>
      </c>
      <c r="G9" s="35">
        <v>1</v>
      </c>
      <c r="H9" s="108">
        <f>IF(B$22=0,0,G9/B$22)</f>
        <v>0.125</v>
      </c>
      <c r="I9" s="70">
        <v>4</v>
      </c>
      <c r="N9" s="91" t="s">
        <v>156</v>
      </c>
      <c r="O9" s="98">
        <f t="shared" si="0"/>
        <v>1100</v>
      </c>
      <c r="P9" s="95">
        <v>3</v>
      </c>
      <c r="Q9" s="79">
        <v>3300</v>
      </c>
    </row>
    <row r="10" spans="1:17">
      <c r="A10" s="39" t="s">
        <v>150</v>
      </c>
      <c r="B10" s="36">
        <v>1</v>
      </c>
      <c r="C10" s="31">
        <f>IF(B$2=0,0,B10/B$2)</f>
        <v>0.33333333333333331</v>
      </c>
      <c r="E10" s="46" t="s">
        <v>55</v>
      </c>
      <c r="F10" s="43" t="s">
        <v>153</v>
      </c>
      <c r="G10" s="35">
        <v>0</v>
      </c>
      <c r="H10" s="108">
        <f>IF(B$22=0,0,G10/B$22)</f>
        <v>0</v>
      </c>
      <c r="I10" s="70">
        <v>5</v>
      </c>
      <c r="N10" s="33"/>
      <c r="O10" s="102"/>
      <c r="P10" s="86"/>
      <c r="Q10" s="84"/>
    </row>
    <row r="11" spans="1:17">
      <c r="A11" s="39" t="s">
        <v>151</v>
      </c>
      <c r="B11" s="36">
        <f>B7+B8</f>
        <v>2</v>
      </c>
      <c r="C11" s="31">
        <f>IF(B$2=0,0,B11/B$2)</f>
        <v>0.66666666666666663</v>
      </c>
      <c r="E11" s="46" t="s">
        <v>58</v>
      </c>
      <c r="F11" s="43" t="s">
        <v>22</v>
      </c>
      <c r="G11" s="35">
        <v>0</v>
      </c>
      <c r="H11" s="108">
        <f>IF(B$22=0,0,G11/B$22)</f>
        <v>0</v>
      </c>
      <c r="I11" s="70">
        <v>6</v>
      </c>
      <c r="N11" s="88" t="s">
        <v>158</v>
      </c>
      <c r="O11" s="28" t="s">
        <v>96</v>
      </c>
      <c r="P11" s="92" t="s">
        <v>92</v>
      </c>
      <c r="Q11" s="80" t="s">
        <v>120</v>
      </c>
    </row>
    <row r="12" spans="1:17">
      <c r="A12" s="39" t="s">
        <v>179</v>
      </c>
      <c r="B12" s="124">
        <f>IF(B7=0,0,C12/B7)</f>
        <v>49.8</v>
      </c>
      <c r="C12" s="125">
        <v>49.8</v>
      </c>
      <c r="E12" s="46" t="s">
        <v>61</v>
      </c>
      <c r="F12" s="43" t="s">
        <v>25</v>
      </c>
      <c r="G12" s="35">
        <v>0</v>
      </c>
      <c r="H12" s="108">
        <f>IF(B$22=0,0,G12/B$22)</f>
        <v>0</v>
      </c>
      <c r="I12" s="70">
        <v>1</v>
      </c>
      <c r="N12" s="89" t="s">
        <v>124</v>
      </c>
      <c r="O12" s="99">
        <f>IF(P12=0,0,Q12/P12)</f>
        <v>-67.8</v>
      </c>
      <c r="P12" s="93">
        <v>1</v>
      </c>
      <c r="Q12" s="81">
        <v>-67.8</v>
      </c>
    </row>
    <row r="13" spans="1:17">
      <c r="A13" s="39" t="s">
        <v>180</v>
      </c>
      <c r="B13" s="124">
        <f t="shared" ref="B13:B14" si="3">IF(B8=0,0,C13/B8)</f>
        <v>14.7</v>
      </c>
      <c r="C13" s="125">
        <v>14.7</v>
      </c>
      <c r="E13" s="46" t="s">
        <v>62</v>
      </c>
      <c r="F13" s="43" t="s">
        <v>26</v>
      </c>
      <c r="G13" s="35">
        <v>0</v>
      </c>
      <c r="H13" s="108">
        <f>IF(B$22=0,0,G13/B$22)</f>
        <v>0</v>
      </c>
      <c r="I13" s="70">
        <v>1</v>
      </c>
      <c r="N13" s="90" t="s">
        <v>125</v>
      </c>
      <c r="O13" s="100">
        <f>IF(P13=0,0,Q13/P13)</f>
        <v>49.8</v>
      </c>
      <c r="P13" s="94">
        <v>1</v>
      </c>
      <c r="Q13" s="82">
        <v>49.8</v>
      </c>
    </row>
    <row r="14" spans="1:17">
      <c r="A14" s="39" t="s">
        <v>181</v>
      </c>
      <c r="B14" s="124">
        <f t="shared" si="3"/>
        <v>0</v>
      </c>
      <c r="C14" s="125">
        <v>0</v>
      </c>
      <c r="E14" s="46" t="s">
        <v>63</v>
      </c>
      <c r="F14" s="43" t="s">
        <v>27</v>
      </c>
      <c r="G14" s="35">
        <v>0</v>
      </c>
      <c r="H14" s="108">
        <f>IF(B$22=0,0,G14/B$22)</f>
        <v>0</v>
      </c>
      <c r="I14" s="70">
        <v>1</v>
      </c>
      <c r="N14" s="90" t="s">
        <v>126</v>
      </c>
      <c r="O14" s="100">
        <f>IF(P14=0,0,Q14/P14)</f>
        <v>14.7</v>
      </c>
      <c r="P14" s="94">
        <v>1</v>
      </c>
      <c r="Q14" s="82">
        <v>14.7</v>
      </c>
    </row>
    <row r="15" spans="1:17">
      <c r="A15" s="39" t="s">
        <v>182</v>
      </c>
      <c r="B15" s="124">
        <f>IF(B10=0,0,C15/B10)</f>
        <v>-67.8</v>
      </c>
      <c r="C15" s="125">
        <v>-67.8</v>
      </c>
      <c r="E15" s="46" t="s">
        <v>64</v>
      </c>
      <c r="F15" s="43" t="s">
        <v>28</v>
      </c>
      <c r="G15" s="35">
        <v>0</v>
      </c>
      <c r="H15" s="108">
        <f>IF(B$22=0,0,G15/B$22)</f>
        <v>0</v>
      </c>
      <c r="I15" s="70">
        <v>1</v>
      </c>
      <c r="N15" s="91" t="s">
        <v>157</v>
      </c>
      <c r="O15" s="101">
        <f>IF(P15=0,0,Q15/P15)</f>
        <v>0</v>
      </c>
      <c r="P15" s="95">
        <v>0</v>
      </c>
      <c r="Q15" s="83">
        <v>0</v>
      </c>
    </row>
    <row r="16" spans="1:17">
      <c r="A16" s="39" t="s">
        <v>178</v>
      </c>
      <c r="B16" s="142">
        <f>AVERAGE(B12:B15)</f>
        <v>-0.82499999999999929</v>
      </c>
      <c r="C16" s="143"/>
      <c r="E16" s="46" t="s">
        <v>65</v>
      </c>
      <c r="F16" s="43" t="s">
        <v>29</v>
      </c>
      <c r="G16" s="35">
        <v>0</v>
      </c>
      <c r="H16" s="108">
        <f>IF(B$22=0,0,G16/B$22)</f>
        <v>0</v>
      </c>
      <c r="I16" s="70">
        <v>1</v>
      </c>
      <c r="N16" s="27"/>
      <c r="O16" s="85"/>
      <c r="P16" s="87"/>
      <c r="Q16" s="85"/>
    </row>
    <row r="17" spans="1:17">
      <c r="A17" s="40" t="s">
        <v>17</v>
      </c>
      <c r="B17" s="37">
        <v>1</v>
      </c>
      <c r="C17" s="32">
        <f t="shared" si="2"/>
        <v>0.33333333333333331</v>
      </c>
      <c r="E17" s="46" t="s">
        <v>66</v>
      </c>
      <c r="F17" s="43" t="s">
        <v>30</v>
      </c>
      <c r="G17" s="35">
        <v>0</v>
      </c>
      <c r="H17" s="108">
        <f>IF(B$22=0,0,G17/B$22)</f>
        <v>0</v>
      </c>
      <c r="I17" s="70">
        <v>4</v>
      </c>
      <c r="N17" s="88" t="s">
        <v>117</v>
      </c>
      <c r="O17" s="28" t="s">
        <v>96</v>
      </c>
      <c r="P17" s="92" t="s">
        <v>92</v>
      </c>
      <c r="Q17" s="80" t="s">
        <v>120</v>
      </c>
    </row>
    <row r="18" spans="1:17">
      <c r="A18" s="41" t="s">
        <v>97</v>
      </c>
      <c r="B18" s="15">
        <v>4</v>
      </c>
      <c r="C18" s="11">
        <f>IF(B$3=0,0,B18/B$3)</f>
        <v>0.11428571428571428</v>
      </c>
      <c r="E18" s="46" t="s">
        <v>67</v>
      </c>
      <c r="F18" s="43" t="s">
        <v>31</v>
      </c>
      <c r="G18" s="35">
        <v>0</v>
      </c>
      <c r="H18" s="108">
        <f>IF(B$22=0,0,G18/B$22)</f>
        <v>0</v>
      </c>
      <c r="I18" s="70">
        <v>3</v>
      </c>
      <c r="N18" s="89" t="s">
        <v>176</v>
      </c>
      <c r="O18" s="99">
        <f>IF(P18=0,0,Q18/P18)</f>
        <v>89.4</v>
      </c>
      <c r="P18" s="93">
        <v>1</v>
      </c>
      <c r="Q18" s="81">
        <v>89.4</v>
      </c>
    </row>
    <row r="19" spans="1:17">
      <c r="A19" s="38" t="s">
        <v>94</v>
      </c>
      <c r="B19" s="35">
        <v>5</v>
      </c>
      <c r="C19" s="30">
        <f>IF(B$3=0,0,B19/B$3)</f>
        <v>0.14285714285714285</v>
      </c>
      <c r="E19" s="46" t="s">
        <v>164</v>
      </c>
      <c r="F19" s="43" t="s">
        <v>167</v>
      </c>
      <c r="G19" s="35">
        <v>0</v>
      </c>
      <c r="H19" s="108">
        <f>IF(B$22=0,0,G19/B$22)</f>
        <v>0</v>
      </c>
      <c r="I19" s="70">
        <v>4</v>
      </c>
      <c r="N19" s="90" t="s">
        <v>174</v>
      </c>
      <c r="O19" s="100">
        <f>IF(P19=0,0,Q19/P19)</f>
        <v>13.133333333333331</v>
      </c>
      <c r="P19" s="94">
        <v>3</v>
      </c>
      <c r="Q19" s="82">
        <v>39.399999999999991</v>
      </c>
    </row>
    <row r="20" spans="1:17">
      <c r="A20" s="18" t="s">
        <v>99</v>
      </c>
      <c r="B20" s="34">
        <f>B26</f>
        <v>2</v>
      </c>
      <c r="C20" s="4">
        <f>IF(B$18=0,0,B20/B$18)</f>
        <v>0.5</v>
      </c>
      <c r="E20" s="46" t="s">
        <v>68</v>
      </c>
      <c r="F20" s="43" t="s">
        <v>32</v>
      </c>
      <c r="G20" s="35">
        <v>0</v>
      </c>
      <c r="H20" s="108">
        <f>IF(B$22=0,0,G20/B$22)</f>
        <v>0</v>
      </c>
      <c r="I20" s="70">
        <v>1</v>
      </c>
      <c r="N20" s="90" t="s">
        <v>175</v>
      </c>
      <c r="O20" s="100">
        <f>IF(P20=0,0,Q20/P20)</f>
        <v>-25.366666666666664</v>
      </c>
      <c r="P20" s="94">
        <v>3</v>
      </c>
      <c r="Q20" s="82">
        <v>-76.099999999999994</v>
      </c>
    </row>
    <row r="21" spans="1:17">
      <c r="A21" s="18" t="s">
        <v>100</v>
      </c>
      <c r="B21" s="34">
        <f>B27</f>
        <v>3</v>
      </c>
      <c r="C21" s="4">
        <f>IF(B$19=0,0,B21/B$19)</f>
        <v>0.6</v>
      </c>
      <c r="E21" s="46" t="s">
        <v>69</v>
      </c>
      <c r="F21" s="43" t="s">
        <v>33</v>
      </c>
      <c r="G21" s="35">
        <v>0</v>
      </c>
      <c r="H21" s="108">
        <f>IF(B$22=0,0,G21/B$22)</f>
        <v>0</v>
      </c>
      <c r="I21" s="70">
        <v>3</v>
      </c>
      <c r="N21" s="90" t="s">
        <v>177</v>
      </c>
      <c r="O21" s="100">
        <f>IF(P21=0,0,Q21/P21)</f>
        <v>-32.949999999999996</v>
      </c>
      <c r="P21" s="94">
        <v>2</v>
      </c>
      <c r="Q21" s="82">
        <v>-65.899999999999991</v>
      </c>
    </row>
    <row r="22" spans="1:17">
      <c r="A22" s="18" t="s">
        <v>10</v>
      </c>
      <c r="B22" s="34">
        <f>B25+B24</f>
        <v>8</v>
      </c>
      <c r="C22" s="4">
        <f>IF(B$3=0,0,B22/B$3)</f>
        <v>0.22857142857142856</v>
      </c>
      <c r="E22" s="46" t="s">
        <v>70</v>
      </c>
      <c r="F22" s="43" t="s">
        <v>34</v>
      </c>
      <c r="G22" s="35">
        <v>0</v>
      </c>
      <c r="H22" s="108">
        <f>IF(B$22=0,0,G22/B$22)</f>
        <v>0</v>
      </c>
      <c r="I22" s="70">
        <v>1</v>
      </c>
    </row>
    <row r="23" spans="1:17">
      <c r="A23" s="38" t="s">
        <v>13</v>
      </c>
      <c r="B23" s="35">
        <v>6</v>
      </c>
      <c r="C23" s="30">
        <f>IF(B$3=0,0,B23/B$3)</f>
        <v>0.17142857142857143</v>
      </c>
      <c r="E23" s="46" t="s">
        <v>71</v>
      </c>
      <c r="F23" s="43" t="s">
        <v>35</v>
      </c>
      <c r="G23" s="35">
        <v>0</v>
      </c>
      <c r="H23" s="108">
        <f>IF(B$22=0,0,G23/B$22)</f>
        <v>0</v>
      </c>
      <c r="I23" s="70">
        <v>1</v>
      </c>
    </row>
    <row r="24" spans="1:17">
      <c r="A24" s="38" t="s">
        <v>12</v>
      </c>
      <c r="B24" s="35">
        <v>2</v>
      </c>
      <c r="C24" s="30">
        <f>IF(B$22=0,0,B24/B$22)</f>
        <v>0.25</v>
      </c>
      <c r="E24" s="46" t="s">
        <v>72</v>
      </c>
      <c r="F24" s="43" t="s">
        <v>36</v>
      </c>
      <c r="G24" s="35">
        <v>0</v>
      </c>
      <c r="H24" s="108">
        <f>IF(B$22=0,0,G24/B$22)</f>
        <v>0</v>
      </c>
      <c r="I24" s="70">
        <v>1</v>
      </c>
    </row>
    <row r="25" spans="1:17">
      <c r="A25" s="38" t="s">
        <v>11</v>
      </c>
      <c r="B25" s="35">
        <v>6</v>
      </c>
      <c r="C25" s="30">
        <f>IF(B$22=0,0,B25/B$22)</f>
        <v>0.75</v>
      </c>
      <c r="E25" s="46" t="s">
        <v>73</v>
      </c>
      <c r="F25" s="43" t="s">
        <v>37</v>
      </c>
      <c r="G25" s="35">
        <v>0</v>
      </c>
      <c r="H25" s="108">
        <f>IF(B$22=0,0,G25/B$22)</f>
        <v>0</v>
      </c>
      <c r="I25" s="70">
        <v>1</v>
      </c>
    </row>
    <row r="26" spans="1:17">
      <c r="A26" s="38" t="s">
        <v>149</v>
      </c>
      <c r="B26" s="35">
        <v>2</v>
      </c>
      <c r="C26" s="30">
        <f>IF(B$22=0,0,B26/B$22)</f>
        <v>0.25</v>
      </c>
      <c r="E26" s="46" t="s">
        <v>74</v>
      </c>
      <c r="F26" s="43" t="s">
        <v>38</v>
      </c>
      <c r="G26" s="35">
        <v>0</v>
      </c>
      <c r="H26" s="108">
        <f>IF(B$22=0,0,G26/B$22)</f>
        <v>0</v>
      </c>
      <c r="I26" s="70">
        <v>4</v>
      </c>
    </row>
    <row r="27" spans="1:17">
      <c r="A27" s="38" t="s">
        <v>147</v>
      </c>
      <c r="B27" s="35">
        <v>3</v>
      </c>
      <c r="C27" s="30">
        <f>IF(B$22=0,0,B27/B$22)</f>
        <v>0.375</v>
      </c>
      <c r="E27" s="46" t="s">
        <v>75</v>
      </c>
      <c r="F27" s="43" t="s">
        <v>39</v>
      </c>
      <c r="G27" s="35">
        <v>0</v>
      </c>
      <c r="H27" s="108">
        <f>IF(B$22=0,0,G27/B$22)</f>
        <v>0</v>
      </c>
      <c r="I27" s="70">
        <v>1</v>
      </c>
    </row>
    <row r="28" spans="1:17">
      <c r="A28" s="38" t="s">
        <v>148</v>
      </c>
      <c r="B28" s="35">
        <v>3</v>
      </c>
      <c r="C28" s="30">
        <f>IF(B$22=0,0,B28/B$22)</f>
        <v>0.375</v>
      </c>
      <c r="E28" s="46" t="s">
        <v>76</v>
      </c>
      <c r="F28" s="43" t="s">
        <v>40</v>
      </c>
      <c r="G28" s="35">
        <v>0</v>
      </c>
      <c r="H28" s="108">
        <f>IF(B$22=0,0,G28/B$22)</f>
        <v>0</v>
      </c>
      <c r="I28" s="70">
        <v>3</v>
      </c>
    </row>
    <row r="29" spans="1:17">
      <c r="A29" s="38" t="s">
        <v>5</v>
      </c>
      <c r="B29" s="16">
        <f>IF(B$22=0,0,C29/B$22)</f>
        <v>3050</v>
      </c>
      <c r="C29" s="8">
        <v>24400</v>
      </c>
      <c r="E29" s="46" t="s">
        <v>77</v>
      </c>
      <c r="F29" s="43" t="s">
        <v>41</v>
      </c>
      <c r="G29" s="35">
        <v>0</v>
      </c>
      <c r="H29" s="108">
        <f>IF(B$22=0,0,G29/B$22)</f>
        <v>0</v>
      </c>
      <c r="I29" s="70">
        <v>5</v>
      </c>
    </row>
    <row r="30" spans="1:17">
      <c r="A30" s="39" t="s">
        <v>131</v>
      </c>
      <c r="B30" s="111">
        <f>IF($B$22-B$21=0,0,C30/($B$22-B$21))</f>
        <v>4080</v>
      </c>
      <c r="C30" s="112">
        <v>20400</v>
      </c>
      <c r="E30" s="46" t="s">
        <v>78</v>
      </c>
      <c r="F30" s="43" t="s">
        <v>42</v>
      </c>
      <c r="G30" s="35">
        <v>0</v>
      </c>
      <c r="H30" s="108">
        <f>IF(B$22=0,0,G30/B$22)</f>
        <v>0</v>
      </c>
      <c r="I30" s="70">
        <v>3</v>
      </c>
    </row>
    <row r="31" spans="1:17">
      <c r="A31" s="39" t="s">
        <v>132</v>
      </c>
      <c r="B31" s="111">
        <f>IF(B$21=0,0,C31/B$21)</f>
        <v>1333.3333333333333</v>
      </c>
      <c r="C31" s="112">
        <v>4000</v>
      </c>
      <c r="E31" s="46" t="s">
        <v>79</v>
      </c>
      <c r="F31" s="43" t="s">
        <v>43</v>
      </c>
      <c r="G31" s="35">
        <v>0</v>
      </c>
      <c r="H31" s="108">
        <f>IF(B$22=0,0,G31/B$22)</f>
        <v>0</v>
      </c>
      <c r="I31" s="70">
        <v>1</v>
      </c>
    </row>
    <row r="32" spans="1:17">
      <c r="A32" s="39" t="s">
        <v>130</v>
      </c>
      <c r="B32" s="111">
        <f>IF(B$23=0,0,C32/B$23)</f>
        <v>-6383.333333333333</v>
      </c>
      <c r="C32" s="112">
        <v>-38300</v>
      </c>
      <c r="E32" s="46" t="s">
        <v>80</v>
      </c>
      <c r="F32" s="43" t="s">
        <v>44</v>
      </c>
      <c r="G32" s="35">
        <v>0</v>
      </c>
      <c r="H32" s="108">
        <f>IF(B$22=0,0,G32/B$22)</f>
        <v>0</v>
      </c>
      <c r="I32" s="70">
        <v>1</v>
      </c>
    </row>
    <row r="33" spans="1:9">
      <c r="A33" s="38" t="s">
        <v>128</v>
      </c>
      <c r="B33" s="35">
        <v>3</v>
      </c>
      <c r="C33" s="110">
        <v>0</v>
      </c>
      <c r="E33" s="46" t="s">
        <v>81</v>
      </c>
      <c r="F33" s="43" t="s">
        <v>45</v>
      </c>
      <c r="G33" s="35">
        <v>0</v>
      </c>
      <c r="H33" s="108">
        <f>IF(B$22=0,0,G33/B$22)</f>
        <v>0</v>
      </c>
      <c r="I33" s="70">
        <v>1</v>
      </c>
    </row>
    <row r="34" spans="1:9">
      <c r="A34" s="38" t="s">
        <v>129</v>
      </c>
      <c r="B34" s="35">
        <v>11</v>
      </c>
      <c r="C34" s="110">
        <v>2</v>
      </c>
      <c r="E34" s="46" t="s">
        <v>82</v>
      </c>
      <c r="F34" s="43" t="s">
        <v>46</v>
      </c>
      <c r="G34" s="35">
        <v>0</v>
      </c>
      <c r="H34" s="108">
        <f>IF(B$22=0,0,G34/B$22)</f>
        <v>0</v>
      </c>
      <c r="I34" s="70">
        <v>1</v>
      </c>
    </row>
    <row r="35" spans="1:9">
      <c r="A35" s="66" t="s">
        <v>110</v>
      </c>
      <c r="B35" s="144">
        <v>2</v>
      </c>
      <c r="C35" s="145"/>
      <c r="E35" s="46" t="s">
        <v>83</v>
      </c>
      <c r="F35" s="43" t="s">
        <v>47</v>
      </c>
      <c r="G35" s="35">
        <v>0</v>
      </c>
      <c r="H35" s="108">
        <f>IF(B$22=0,0,G35/B$22)</f>
        <v>0</v>
      </c>
      <c r="I35" s="70">
        <v>1</v>
      </c>
    </row>
    <row r="36" spans="1:9">
      <c r="A36" s="41" t="s">
        <v>146</v>
      </c>
      <c r="B36" s="146">
        <v>34700</v>
      </c>
      <c r="C36" s="147"/>
      <c r="E36" s="46" t="s">
        <v>84</v>
      </c>
      <c r="F36" s="43" t="s">
        <v>48</v>
      </c>
      <c r="G36" s="35">
        <v>0</v>
      </c>
      <c r="H36" s="108">
        <f>IF(B$22=0,0,G36/B$22)</f>
        <v>0</v>
      </c>
      <c r="I36" s="70">
        <v>1</v>
      </c>
    </row>
    <row r="37" spans="1:9">
      <c r="A37" s="40" t="s">
        <v>111</v>
      </c>
      <c r="B37" s="26">
        <v>0</v>
      </c>
      <c r="C37" s="32">
        <f>IF(B$3=0,0,B37/B$3)</f>
        <v>0</v>
      </c>
      <c r="E37" s="46" t="s">
        <v>85</v>
      </c>
      <c r="F37" s="43" t="s">
        <v>49</v>
      </c>
      <c r="G37" s="35">
        <v>0</v>
      </c>
      <c r="H37" s="108">
        <f>IF(B$22=0,0,G37/B$22)</f>
        <v>0</v>
      </c>
      <c r="I37" s="70">
        <v>1</v>
      </c>
    </row>
    <row r="38" spans="1:9">
      <c r="E38" s="46" t="s">
        <v>86</v>
      </c>
      <c r="F38" s="43" t="s">
        <v>50</v>
      </c>
      <c r="G38" s="35">
        <v>0</v>
      </c>
      <c r="H38" s="108">
        <f>IF(B$22=0,0,G38/B$22)</f>
        <v>0</v>
      </c>
      <c r="I38" s="70">
        <v>1</v>
      </c>
    </row>
    <row r="39" spans="1:9">
      <c r="A39" s="119" t="s">
        <v>159</v>
      </c>
      <c r="B39" s="120" t="s">
        <v>92</v>
      </c>
      <c r="C39" s="121" t="s">
        <v>93</v>
      </c>
      <c r="E39" s="46" t="s">
        <v>87</v>
      </c>
      <c r="F39" s="43" t="s">
        <v>51</v>
      </c>
      <c r="G39" s="35">
        <v>0</v>
      </c>
      <c r="H39" s="108">
        <f>IF(B$22=0,0,G39/B$22)</f>
        <v>0</v>
      </c>
      <c r="I39" s="70">
        <v>1</v>
      </c>
    </row>
    <row r="40" spans="1:9">
      <c r="A40" s="66" t="s">
        <v>137</v>
      </c>
      <c r="B40" s="132">
        <v>2</v>
      </c>
      <c r="C40" s="116">
        <f t="shared" ref="C40:C52" si="4">IF(B$22=0,0,B40/B$22)</f>
        <v>0.25</v>
      </c>
      <c r="E40" s="46" t="s">
        <v>88</v>
      </c>
      <c r="F40" s="43" t="s">
        <v>52</v>
      </c>
      <c r="G40" s="35">
        <v>0</v>
      </c>
      <c r="H40" s="108">
        <f>IF(B$22=0,0,G40/B$22)</f>
        <v>0</v>
      </c>
      <c r="I40" s="70">
        <v>1</v>
      </c>
    </row>
    <row r="41" spans="1:9">
      <c r="A41" s="38" t="s">
        <v>133</v>
      </c>
      <c r="B41" s="35">
        <v>3</v>
      </c>
      <c r="C41" s="30">
        <f t="shared" si="4"/>
        <v>0.375</v>
      </c>
      <c r="E41" s="46" t="s">
        <v>89</v>
      </c>
      <c r="F41" s="43" t="s">
        <v>53</v>
      </c>
      <c r="G41" s="35">
        <v>0</v>
      </c>
      <c r="H41" s="108">
        <f>IF(B$22=0,0,G41/B$22)</f>
        <v>0</v>
      </c>
      <c r="I41" s="70">
        <v>1</v>
      </c>
    </row>
    <row r="42" spans="1:9">
      <c r="A42" s="38" t="s">
        <v>134</v>
      </c>
      <c r="B42" s="133">
        <v>2</v>
      </c>
      <c r="C42" s="30">
        <f t="shared" si="4"/>
        <v>0.25</v>
      </c>
      <c r="E42" s="47" t="s">
        <v>90</v>
      </c>
      <c r="F42" s="44" t="s">
        <v>169</v>
      </c>
      <c r="G42" s="37">
        <v>0</v>
      </c>
      <c r="H42" s="109">
        <f>IF(B$22=0,0,G42/B$22)</f>
        <v>0</v>
      </c>
      <c r="I42" s="71">
        <v>1</v>
      </c>
    </row>
    <row r="43" spans="1:9">
      <c r="A43" s="38" t="s">
        <v>135</v>
      </c>
      <c r="B43" s="133">
        <v>1</v>
      </c>
      <c r="C43" s="30">
        <f t="shared" si="4"/>
        <v>0.125</v>
      </c>
    </row>
    <row r="44" spans="1:9">
      <c r="A44" s="38" t="s">
        <v>136</v>
      </c>
      <c r="B44" s="133">
        <v>0</v>
      </c>
      <c r="C44" s="30">
        <f t="shared" si="4"/>
        <v>0</v>
      </c>
    </row>
    <row r="45" spans="1:9">
      <c r="A45" s="38" t="s">
        <v>138</v>
      </c>
      <c r="B45" s="133">
        <v>0</v>
      </c>
      <c r="C45" s="30">
        <f t="shared" si="4"/>
        <v>0</v>
      </c>
    </row>
    <row r="46" spans="1:9">
      <c r="A46" s="38" t="s">
        <v>139</v>
      </c>
      <c r="B46" s="133">
        <v>0</v>
      </c>
      <c r="C46" s="30">
        <f t="shared" si="4"/>
        <v>0</v>
      </c>
    </row>
    <row r="47" spans="1:9">
      <c r="A47" s="38" t="s">
        <v>140</v>
      </c>
      <c r="B47" s="133">
        <v>0</v>
      </c>
      <c r="C47" s="30">
        <f t="shared" si="4"/>
        <v>0</v>
      </c>
    </row>
    <row r="48" spans="1:9">
      <c r="A48" s="38" t="s">
        <v>141</v>
      </c>
      <c r="B48" s="133">
        <v>0</v>
      </c>
      <c r="C48" s="30">
        <f t="shared" si="4"/>
        <v>0</v>
      </c>
    </row>
    <row r="49" spans="1:3">
      <c r="A49" s="38" t="s">
        <v>142</v>
      </c>
      <c r="B49" s="133">
        <v>0</v>
      </c>
      <c r="C49" s="30">
        <f t="shared" si="4"/>
        <v>0</v>
      </c>
    </row>
    <row r="50" spans="1:3">
      <c r="A50" s="38" t="s">
        <v>143</v>
      </c>
      <c r="B50" s="133">
        <v>0</v>
      </c>
      <c r="C50" s="30">
        <f t="shared" si="4"/>
        <v>0</v>
      </c>
    </row>
    <row r="51" spans="1:3">
      <c r="A51" s="38" t="s">
        <v>144</v>
      </c>
      <c r="B51" s="133">
        <v>0</v>
      </c>
      <c r="C51" s="30">
        <f t="shared" si="4"/>
        <v>0</v>
      </c>
    </row>
    <row r="52" spans="1:3">
      <c r="A52" s="40" t="s">
        <v>145</v>
      </c>
      <c r="B52" s="115">
        <v>0</v>
      </c>
      <c r="C52" s="32">
        <f t="shared" si="4"/>
        <v>0</v>
      </c>
    </row>
  </sheetData>
  <sortState xmlns:xlrd2="http://schemas.microsoft.com/office/spreadsheetml/2017/richdata2" ref="N18:Q21">
    <sortCondition descending="1" ref="O18"/>
  </sortState>
  <mergeCells count="9">
    <mergeCell ref="B16:C16"/>
    <mergeCell ref="B35:C35"/>
    <mergeCell ref="B36:C36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103" bestFit="1" customWidth="1"/>
    <col min="6" max="6" width="11" style="10" bestFit="1" customWidth="1"/>
    <col min="7" max="8" width="9" style="1" customWidth="1"/>
    <col min="9" max="9" width="9" style="27" customWidth="1"/>
    <col min="10" max="10" width="3.59765625" style="1" customWidth="1"/>
    <col min="11" max="11" width="3.5" style="5" customWidth="1"/>
    <col min="12" max="12" width="9" style="75" customWidth="1"/>
    <col min="13" max="13" width="3.59765625" style="1" customWidth="1"/>
    <col min="14" max="14" width="9" style="90" customWidth="1"/>
    <col min="15" max="15" width="9" style="100" customWidth="1"/>
    <col min="16" max="16" width="9" style="94" customWidth="1"/>
    <col min="17" max="17" width="3.59765625" style="82" customWidth="1"/>
    <col min="18" max="16384" width="9" style="1"/>
  </cols>
  <sheetData>
    <row r="1" spans="1:17">
      <c r="A1" s="17" t="s">
        <v>0</v>
      </c>
      <c r="B1" s="148"/>
      <c r="C1" s="149"/>
      <c r="E1" s="104" t="s">
        <v>127</v>
      </c>
      <c r="F1" s="118" t="s">
        <v>91</v>
      </c>
      <c r="G1" s="117" t="s">
        <v>92</v>
      </c>
      <c r="H1" s="105" t="s">
        <v>93</v>
      </c>
      <c r="I1" s="118" t="s">
        <v>116</v>
      </c>
      <c r="K1" s="2" t="s">
        <v>18</v>
      </c>
      <c r="L1" s="29" t="s">
        <v>96</v>
      </c>
      <c r="M1" s="106"/>
      <c r="N1" s="88" t="s">
        <v>108</v>
      </c>
      <c r="O1" s="28" t="s">
        <v>109</v>
      </c>
      <c r="P1" s="92" t="s">
        <v>92</v>
      </c>
      <c r="Q1" s="76" t="s">
        <v>121</v>
      </c>
    </row>
    <row r="2" spans="1:17">
      <c r="A2" s="18" t="s">
        <v>9</v>
      </c>
      <c r="B2" s="150">
        <v>0</v>
      </c>
      <c r="C2" s="151"/>
      <c r="E2" s="45" t="s">
        <v>162</v>
      </c>
      <c r="F2" s="42" t="s">
        <v>154</v>
      </c>
      <c r="G2" s="34">
        <v>0</v>
      </c>
      <c r="H2" s="107">
        <f t="shared" ref="H2:H42" si="0">IF(B$22=0,0,G2/B$22)</f>
        <v>0</v>
      </c>
      <c r="I2" s="69"/>
      <c r="K2" s="3">
        <v>0</v>
      </c>
      <c r="L2" s="74">
        <v>0</v>
      </c>
      <c r="N2" s="89" t="s">
        <v>102</v>
      </c>
      <c r="O2" s="96">
        <f t="shared" ref="O2:O9" si="1">IF(P2=0,0,Q2/P2)</f>
        <v>0</v>
      </c>
      <c r="P2" s="93">
        <v>0</v>
      </c>
      <c r="Q2" s="77">
        <v>0</v>
      </c>
    </row>
    <row r="3" spans="1:17">
      <c r="A3" s="19" t="s">
        <v>8</v>
      </c>
      <c r="B3" s="152">
        <v>0</v>
      </c>
      <c r="C3" s="153"/>
      <c r="E3" s="46" t="s">
        <v>163</v>
      </c>
      <c r="F3" s="43" t="s">
        <v>19</v>
      </c>
      <c r="G3" s="35">
        <v>0</v>
      </c>
      <c r="H3" s="108">
        <f t="shared" si="0"/>
        <v>0</v>
      </c>
      <c r="I3" s="70"/>
      <c r="N3" s="90" t="s">
        <v>103</v>
      </c>
      <c r="O3" s="97">
        <f t="shared" si="1"/>
        <v>0</v>
      </c>
      <c r="P3" s="94">
        <v>0</v>
      </c>
      <c r="Q3" s="78">
        <v>0</v>
      </c>
    </row>
    <row r="4" spans="1:17">
      <c r="A4" s="19" t="s">
        <v>6</v>
      </c>
      <c r="B4" s="154">
        <v>0</v>
      </c>
      <c r="C4" s="155"/>
      <c r="E4" s="46" t="s">
        <v>54</v>
      </c>
      <c r="F4" s="43" t="s">
        <v>20</v>
      </c>
      <c r="G4" s="35">
        <v>0</v>
      </c>
      <c r="H4" s="108">
        <f t="shared" si="0"/>
        <v>0</v>
      </c>
      <c r="I4" s="70"/>
      <c r="N4" s="90" t="s">
        <v>104</v>
      </c>
      <c r="O4" s="97">
        <f t="shared" si="1"/>
        <v>0</v>
      </c>
      <c r="P4" s="94">
        <v>0</v>
      </c>
      <c r="Q4" s="78">
        <v>0</v>
      </c>
    </row>
    <row r="5" spans="1:17">
      <c r="A5" s="19" t="s">
        <v>7</v>
      </c>
      <c r="B5" s="142">
        <f>IF(B$2=0,0,B$4/B$2)</f>
        <v>0</v>
      </c>
      <c r="C5" s="143"/>
      <c r="E5" s="46" t="s">
        <v>55</v>
      </c>
      <c r="F5" s="43" t="s">
        <v>153</v>
      </c>
      <c r="G5" s="35">
        <v>0</v>
      </c>
      <c r="H5" s="108">
        <f t="shared" si="0"/>
        <v>0</v>
      </c>
      <c r="I5" s="70"/>
      <c r="N5" s="90" t="s">
        <v>155</v>
      </c>
      <c r="O5" s="97">
        <f>IF(P5=0,0,Q5/P5)</f>
        <v>0</v>
      </c>
      <c r="P5" s="94">
        <v>0</v>
      </c>
      <c r="Q5" s="78">
        <v>0</v>
      </c>
    </row>
    <row r="6" spans="1:17">
      <c r="A6" s="19" t="s">
        <v>1</v>
      </c>
      <c r="B6" s="156">
        <f>IF(B$2=0,0,(B$7*1+B$8*2+B$9*3+B$10*4)/B$2)</f>
        <v>0</v>
      </c>
      <c r="C6" s="157"/>
      <c r="E6" s="46" t="s">
        <v>56</v>
      </c>
      <c r="F6" s="43" t="s">
        <v>166</v>
      </c>
      <c r="G6" s="35">
        <v>0</v>
      </c>
      <c r="H6" s="108">
        <f t="shared" si="0"/>
        <v>0</v>
      </c>
      <c r="I6" s="70"/>
      <c r="N6" s="90" t="s">
        <v>105</v>
      </c>
      <c r="O6" s="97">
        <f t="shared" ref="O6" si="2">IF(P6=0,0,Q6/P6)</f>
        <v>0</v>
      </c>
      <c r="P6" s="94">
        <v>0</v>
      </c>
      <c r="Q6" s="78">
        <v>0</v>
      </c>
    </row>
    <row r="7" spans="1:17">
      <c r="A7" s="19" t="s">
        <v>2</v>
      </c>
      <c r="B7" s="13">
        <v>0</v>
      </c>
      <c r="C7" s="6">
        <f t="shared" ref="C7:C17" si="3">IF(B$2=0,0,B7/B$2)</f>
        <v>0</v>
      </c>
      <c r="E7" s="46" t="s">
        <v>57</v>
      </c>
      <c r="F7" s="43" t="s">
        <v>21</v>
      </c>
      <c r="G7" s="35">
        <v>0</v>
      </c>
      <c r="H7" s="108">
        <f t="shared" si="0"/>
        <v>0</v>
      </c>
      <c r="I7" s="70"/>
      <c r="N7" s="90" t="s">
        <v>106</v>
      </c>
      <c r="O7" s="97">
        <f t="shared" si="1"/>
        <v>0</v>
      </c>
      <c r="P7" s="94">
        <v>0</v>
      </c>
      <c r="Q7" s="78">
        <v>0</v>
      </c>
    </row>
    <row r="8" spans="1:17">
      <c r="A8" s="19" t="s">
        <v>3</v>
      </c>
      <c r="B8" s="13">
        <v>0</v>
      </c>
      <c r="C8" s="30">
        <f>IF(B$2=0,0,B8/B$2)</f>
        <v>0</v>
      </c>
      <c r="E8" s="46" t="s">
        <v>58</v>
      </c>
      <c r="F8" s="43" t="s">
        <v>22</v>
      </c>
      <c r="G8" s="35">
        <v>0</v>
      </c>
      <c r="H8" s="108">
        <f t="shared" si="0"/>
        <v>0</v>
      </c>
      <c r="I8" s="70"/>
      <c r="N8" s="90" t="s">
        <v>107</v>
      </c>
      <c r="O8" s="97">
        <f t="shared" si="1"/>
        <v>0</v>
      </c>
      <c r="P8" s="94">
        <v>0</v>
      </c>
      <c r="Q8" s="7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46" t="s">
        <v>59</v>
      </c>
      <c r="F9" s="43" t="s">
        <v>23</v>
      </c>
      <c r="G9" s="35">
        <v>0</v>
      </c>
      <c r="H9" s="108">
        <f t="shared" si="0"/>
        <v>0</v>
      </c>
      <c r="I9" s="70"/>
      <c r="N9" s="91" t="s">
        <v>156</v>
      </c>
      <c r="O9" s="98">
        <f t="shared" si="1"/>
        <v>0</v>
      </c>
      <c r="P9" s="95">
        <v>0</v>
      </c>
      <c r="Q9" s="79">
        <v>0</v>
      </c>
    </row>
    <row r="10" spans="1:17">
      <c r="A10" s="39" t="s">
        <v>150</v>
      </c>
      <c r="B10" s="36">
        <v>0</v>
      </c>
      <c r="C10" s="31">
        <f>IF(B$2=0,0,B10/B$2)</f>
        <v>0</v>
      </c>
      <c r="E10" s="46" t="s">
        <v>60</v>
      </c>
      <c r="F10" s="43" t="s">
        <v>24</v>
      </c>
      <c r="G10" s="35">
        <v>0</v>
      </c>
      <c r="H10" s="108">
        <f t="shared" si="0"/>
        <v>0</v>
      </c>
      <c r="I10" s="70"/>
      <c r="N10" s="33"/>
      <c r="O10" s="102"/>
      <c r="P10" s="86"/>
      <c r="Q10" s="84"/>
    </row>
    <row r="11" spans="1:17">
      <c r="A11" s="39" t="s">
        <v>151</v>
      </c>
      <c r="B11" s="36">
        <f>B7+B8</f>
        <v>0</v>
      </c>
      <c r="C11" s="31">
        <f>IF(B$2=0,0,B11/B$2)</f>
        <v>0</v>
      </c>
      <c r="E11" s="46" t="s">
        <v>61</v>
      </c>
      <c r="F11" s="43" t="s">
        <v>25</v>
      </c>
      <c r="G11" s="35">
        <v>0</v>
      </c>
      <c r="H11" s="108">
        <f t="shared" si="0"/>
        <v>0</v>
      </c>
      <c r="I11" s="70"/>
      <c r="N11" s="88" t="s">
        <v>158</v>
      </c>
      <c r="O11" s="28" t="s">
        <v>96</v>
      </c>
      <c r="P11" s="92" t="s">
        <v>92</v>
      </c>
      <c r="Q11" s="80" t="s">
        <v>120</v>
      </c>
    </row>
    <row r="12" spans="1:17">
      <c r="A12" s="39" t="s">
        <v>179</v>
      </c>
      <c r="B12" s="124">
        <f>IF(B7=0,0,C12/B7)</f>
        <v>0</v>
      </c>
      <c r="C12" s="125">
        <v>0</v>
      </c>
      <c r="E12" s="46" t="s">
        <v>62</v>
      </c>
      <c r="F12" s="43" t="s">
        <v>26</v>
      </c>
      <c r="G12" s="35">
        <v>0</v>
      </c>
      <c r="H12" s="108">
        <f t="shared" si="0"/>
        <v>0</v>
      </c>
      <c r="I12" s="70"/>
      <c r="N12" s="89" t="s">
        <v>124</v>
      </c>
      <c r="O12" s="99">
        <f>IF(P12=0,0,Q12/P12)</f>
        <v>0</v>
      </c>
      <c r="P12" s="93">
        <v>0</v>
      </c>
      <c r="Q12" s="81">
        <v>0</v>
      </c>
    </row>
    <row r="13" spans="1:17">
      <c r="A13" s="39" t="s">
        <v>180</v>
      </c>
      <c r="B13" s="124">
        <f t="shared" ref="B13:B14" si="4">IF(B8=0,0,C13/B8)</f>
        <v>0</v>
      </c>
      <c r="C13" s="125">
        <v>0</v>
      </c>
      <c r="E13" s="46" t="s">
        <v>63</v>
      </c>
      <c r="F13" s="43" t="s">
        <v>27</v>
      </c>
      <c r="G13" s="35">
        <v>0</v>
      </c>
      <c r="H13" s="108">
        <f t="shared" si="0"/>
        <v>0</v>
      </c>
      <c r="I13" s="70"/>
      <c r="N13" s="90" t="s">
        <v>125</v>
      </c>
      <c r="O13" s="100">
        <f>IF(P13=0,0,Q13/P13)</f>
        <v>0</v>
      </c>
      <c r="P13" s="94">
        <v>0</v>
      </c>
      <c r="Q13" s="82">
        <v>0</v>
      </c>
    </row>
    <row r="14" spans="1:17">
      <c r="A14" s="39" t="s">
        <v>181</v>
      </c>
      <c r="B14" s="124">
        <f t="shared" si="4"/>
        <v>0</v>
      </c>
      <c r="C14" s="125">
        <v>0</v>
      </c>
      <c r="E14" s="46" t="s">
        <v>64</v>
      </c>
      <c r="F14" s="43" t="s">
        <v>28</v>
      </c>
      <c r="G14" s="35">
        <v>0</v>
      </c>
      <c r="H14" s="108">
        <f t="shared" si="0"/>
        <v>0</v>
      </c>
      <c r="I14" s="70"/>
      <c r="N14" s="90" t="s">
        <v>126</v>
      </c>
      <c r="O14" s="100">
        <f>IF(P14=0,0,Q14/P14)</f>
        <v>0</v>
      </c>
      <c r="P14" s="94">
        <v>0</v>
      </c>
      <c r="Q14" s="82">
        <v>0</v>
      </c>
    </row>
    <row r="15" spans="1:17">
      <c r="A15" s="39" t="s">
        <v>182</v>
      </c>
      <c r="B15" s="124">
        <f>IF(B10=0,0,C15/B10)</f>
        <v>0</v>
      </c>
      <c r="C15" s="125">
        <v>0</v>
      </c>
      <c r="E15" s="46" t="s">
        <v>65</v>
      </c>
      <c r="F15" s="43" t="s">
        <v>29</v>
      </c>
      <c r="G15" s="35">
        <v>0</v>
      </c>
      <c r="H15" s="108">
        <f t="shared" si="0"/>
        <v>0</v>
      </c>
      <c r="I15" s="70"/>
      <c r="N15" s="91" t="s">
        <v>157</v>
      </c>
      <c r="O15" s="101">
        <f>IF(P15=0,0,Q15/P15)</f>
        <v>0</v>
      </c>
      <c r="P15" s="95">
        <v>0</v>
      </c>
      <c r="Q15" s="83">
        <v>0</v>
      </c>
    </row>
    <row r="16" spans="1:17">
      <c r="A16" s="39" t="s">
        <v>178</v>
      </c>
      <c r="B16" s="142">
        <f>AVERAGE(B12:B15)</f>
        <v>0</v>
      </c>
      <c r="C16" s="143"/>
      <c r="E16" s="46" t="s">
        <v>66</v>
      </c>
      <c r="F16" s="43" t="s">
        <v>30</v>
      </c>
      <c r="G16" s="35">
        <v>0</v>
      </c>
      <c r="H16" s="108">
        <f t="shared" si="0"/>
        <v>0</v>
      </c>
      <c r="I16" s="70"/>
      <c r="N16" s="27"/>
      <c r="O16" s="85"/>
      <c r="P16" s="87"/>
      <c r="Q16" s="85"/>
    </row>
    <row r="17" spans="1:17">
      <c r="A17" s="40" t="s">
        <v>17</v>
      </c>
      <c r="B17" s="37">
        <v>0</v>
      </c>
      <c r="C17" s="32">
        <f t="shared" si="3"/>
        <v>0</v>
      </c>
      <c r="E17" s="46" t="s">
        <v>67</v>
      </c>
      <c r="F17" s="43" t="s">
        <v>31</v>
      </c>
      <c r="G17" s="35">
        <v>0</v>
      </c>
      <c r="H17" s="108">
        <f t="shared" si="0"/>
        <v>0</v>
      </c>
      <c r="I17" s="70"/>
      <c r="N17" s="88" t="s">
        <v>117</v>
      </c>
      <c r="O17" s="28" t="s">
        <v>118</v>
      </c>
      <c r="P17" s="92" t="s">
        <v>119</v>
      </c>
      <c r="Q17" s="80" t="s">
        <v>120</v>
      </c>
    </row>
    <row r="18" spans="1:17">
      <c r="A18" s="22" t="s">
        <v>97</v>
      </c>
      <c r="B18" s="15">
        <v>0</v>
      </c>
      <c r="C18" s="11">
        <f>IF(B$3=0,0,B18/B$3)</f>
        <v>0</v>
      </c>
      <c r="E18" s="46" t="s">
        <v>164</v>
      </c>
      <c r="F18" s="43" t="s">
        <v>167</v>
      </c>
      <c r="G18" s="35">
        <v>0</v>
      </c>
      <c r="H18" s="108">
        <f t="shared" si="0"/>
        <v>0</v>
      </c>
      <c r="I18" s="70"/>
      <c r="N18" s="89"/>
      <c r="O18" s="99"/>
      <c r="P18" s="93"/>
      <c r="Q18" s="81"/>
    </row>
    <row r="19" spans="1:17">
      <c r="A19" s="19" t="s">
        <v>94</v>
      </c>
      <c r="B19" s="13">
        <v>0</v>
      </c>
      <c r="C19" s="6">
        <f>IF(B$3=0,0,B19/B$3)</f>
        <v>0</v>
      </c>
      <c r="E19" s="46" t="s">
        <v>68</v>
      </c>
      <c r="F19" s="43" t="s">
        <v>32</v>
      </c>
      <c r="G19" s="35">
        <v>0</v>
      </c>
      <c r="H19" s="108">
        <f t="shared" si="0"/>
        <v>0</v>
      </c>
      <c r="I19" s="70"/>
    </row>
    <row r="20" spans="1:17">
      <c r="A20" s="18" t="s">
        <v>99</v>
      </c>
      <c r="B20" s="12">
        <f>B26</f>
        <v>0</v>
      </c>
      <c r="C20" s="4">
        <f>IF(B$18=0,0,B20/B$18)</f>
        <v>0</v>
      </c>
      <c r="E20" s="46" t="s">
        <v>69</v>
      </c>
      <c r="F20" s="43" t="s">
        <v>33</v>
      </c>
      <c r="G20" s="35">
        <v>0</v>
      </c>
      <c r="H20" s="108">
        <f t="shared" si="0"/>
        <v>0</v>
      </c>
      <c r="I20" s="70"/>
    </row>
    <row r="21" spans="1:17">
      <c r="A21" s="18" t="s">
        <v>100</v>
      </c>
      <c r="B21" s="12">
        <f>B27</f>
        <v>0</v>
      </c>
      <c r="C21" s="4">
        <f>IF(B$19=0,0,B21/B$19)</f>
        <v>0</v>
      </c>
      <c r="E21" s="46" t="s">
        <v>70</v>
      </c>
      <c r="F21" s="43" t="s">
        <v>34</v>
      </c>
      <c r="G21" s="35">
        <v>0</v>
      </c>
      <c r="H21" s="108">
        <f t="shared" si="0"/>
        <v>0</v>
      </c>
      <c r="I21" s="70"/>
    </row>
    <row r="22" spans="1:17">
      <c r="A22" s="18" t="s">
        <v>10</v>
      </c>
      <c r="B22" s="12">
        <f>B25+B24</f>
        <v>0</v>
      </c>
      <c r="C22" s="4">
        <f>IF(B$3=0,0,B22/B$3)</f>
        <v>0</v>
      </c>
      <c r="E22" s="46" t="s">
        <v>71</v>
      </c>
      <c r="F22" s="43" t="s">
        <v>35</v>
      </c>
      <c r="G22" s="35">
        <v>0</v>
      </c>
      <c r="H22" s="108">
        <f t="shared" si="0"/>
        <v>0</v>
      </c>
      <c r="I22" s="70"/>
    </row>
    <row r="23" spans="1:17">
      <c r="A23" s="38" t="s">
        <v>13</v>
      </c>
      <c r="B23" s="35">
        <v>0</v>
      </c>
      <c r="C23" s="30">
        <f>IF(B$3=0,0,B23/B$3)</f>
        <v>0</v>
      </c>
      <c r="E23" s="46" t="s">
        <v>72</v>
      </c>
      <c r="F23" s="43" t="s">
        <v>36</v>
      </c>
      <c r="G23" s="35">
        <v>0</v>
      </c>
      <c r="H23" s="108">
        <f t="shared" si="0"/>
        <v>0</v>
      </c>
      <c r="I23" s="70"/>
    </row>
    <row r="24" spans="1:17">
      <c r="A24" s="19" t="s">
        <v>12</v>
      </c>
      <c r="B24" s="13">
        <v>0</v>
      </c>
      <c r="C24" s="6">
        <f>IF(B$22=0,0,B24/B$22)</f>
        <v>0</v>
      </c>
      <c r="E24" s="46" t="s">
        <v>73</v>
      </c>
      <c r="F24" s="43" t="s">
        <v>37</v>
      </c>
      <c r="G24" s="35">
        <v>0</v>
      </c>
      <c r="H24" s="108">
        <f t="shared" si="0"/>
        <v>0</v>
      </c>
      <c r="I24" s="70"/>
    </row>
    <row r="25" spans="1:17">
      <c r="A25" s="19" t="s">
        <v>11</v>
      </c>
      <c r="B25" s="13">
        <v>0</v>
      </c>
      <c r="C25" s="6">
        <f>IF(B$22=0,0,B25/B$22)</f>
        <v>0</v>
      </c>
      <c r="E25" s="46" t="s">
        <v>74</v>
      </c>
      <c r="F25" s="43" t="s">
        <v>38</v>
      </c>
      <c r="G25" s="35">
        <v>0</v>
      </c>
      <c r="H25" s="108">
        <f t="shared" si="0"/>
        <v>0</v>
      </c>
      <c r="I25" s="70"/>
    </row>
    <row r="26" spans="1:17">
      <c r="A26" s="38" t="s">
        <v>149</v>
      </c>
      <c r="B26" s="35">
        <v>0</v>
      </c>
      <c r="C26" s="30">
        <f>IF(B$22=0,0,B26/B$22)</f>
        <v>0</v>
      </c>
      <c r="E26" s="46" t="s">
        <v>75</v>
      </c>
      <c r="F26" s="43" t="s">
        <v>39</v>
      </c>
      <c r="G26" s="35">
        <v>0</v>
      </c>
      <c r="H26" s="108">
        <f t="shared" si="0"/>
        <v>0</v>
      </c>
      <c r="I26" s="70"/>
    </row>
    <row r="27" spans="1:17">
      <c r="A27" s="38" t="s">
        <v>147</v>
      </c>
      <c r="B27" s="35">
        <v>0</v>
      </c>
      <c r="C27" s="30">
        <f>IF(B$22=0,0,B27/B$22)</f>
        <v>0</v>
      </c>
      <c r="E27" s="46" t="s">
        <v>76</v>
      </c>
      <c r="F27" s="43" t="s">
        <v>40</v>
      </c>
      <c r="G27" s="35">
        <v>0</v>
      </c>
      <c r="H27" s="108">
        <f t="shared" si="0"/>
        <v>0</v>
      </c>
      <c r="I27" s="70"/>
    </row>
    <row r="28" spans="1:17">
      <c r="A28" s="19" t="s">
        <v>148</v>
      </c>
      <c r="B28" s="35">
        <v>0</v>
      </c>
      <c r="C28" s="30">
        <f>IF(B$22=0,0,B28/B$22)</f>
        <v>0</v>
      </c>
      <c r="E28" s="46" t="s">
        <v>77</v>
      </c>
      <c r="F28" s="43" t="s">
        <v>41</v>
      </c>
      <c r="G28" s="35">
        <v>0</v>
      </c>
      <c r="H28" s="108">
        <f t="shared" si="0"/>
        <v>0</v>
      </c>
      <c r="I28" s="70"/>
    </row>
    <row r="29" spans="1:17">
      <c r="A29" s="19" t="s">
        <v>5</v>
      </c>
      <c r="B29" s="16">
        <f>IF(B$22=0,0,C29/B$22)</f>
        <v>0</v>
      </c>
      <c r="C29" s="8">
        <v>0</v>
      </c>
      <c r="E29" s="46" t="s">
        <v>78</v>
      </c>
      <c r="F29" s="43" t="s">
        <v>42</v>
      </c>
      <c r="G29" s="35">
        <v>0</v>
      </c>
      <c r="H29" s="108">
        <f t="shared" si="0"/>
        <v>0</v>
      </c>
      <c r="I29" s="70"/>
    </row>
    <row r="30" spans="1:17">
      <c r="A30" s="39" t="s">
        <v>131</v>
      </c>
      <c r="B30" s="111">
        <f>IF($B$22-B$21=0,0,C30/($B$22-B$21))</f>
        <v>0</v>
      </c>
      <c r="C30" s="112">
        <v>0</v>
      </c>
      <c r="E30" s="46" t="s">
        <v>79</v>
      </c>
      <c r="F30" s="43" t="s">
        <v>43</v>
      </c>
      <c r="G30" s="35">
        <v>0</v>
      </c>
      <c r="H30" s="108">
        <f t="shared" si="0"/>
        <v>0</v>
      </c>
      <c r="I30" s="70"/>
    </row>
    <row r="31" spans="1:17">
      <c r="A31" s="39" t="s">
        <v>132</v>
      </c>
      <c r="B31" s="111">
        <f>IF(B$21=0,0,C31/B$21)</f>
        <v>0</v>
      </c>
      <c r="C31" s="112">
        <v>0</v>
      </c>
      <c r="E31" s="46" t="s">
        <v>80</v>
      </c>
      <c r="F31" s="43" t="s">
        <v>44</v>
      </c>
      <c r="G31" s="35">
        <v>0</v>
      </c>
      <c r="H31" s="108">
        <f t="shared" si="0"/>
        <v>0</v>
      </c>
      <c r="I31" s="70"/>
    </row>
    <row r="32" spans="1:17">
      <c r="A32" s="39" t="s">
        <v>130</v>
      </c>
      <c r="B32" s="111">
        <f>IF(B$23=0,0,C32/B$23)</f>
        <v>0</v>
      </c>
      <c r="C32" s="112">
        <v>0</v>
      </c>
      <c r="E32" s="46" t="s">
        <v>81</v>
      </c>
      <c r="F32" s="43" t="s">
        <v>45</v>
      </c>
      <c r="G32" s="35">
        <v>0</v>
      </c>
      <c r="H32" s="108">
        <f t="shared" si="0"/>
        <v>0</v>
      </c>
      <c r="I32" s="70"/>
    </row>
    <row r="33" spans="1:9">
      <c r="A33" s="38" t="s">
        <v>128</v>
      </c>
      <c r="B33" s="35">
        <v>0</v>
      </c>
      <c r="C33" s="110">
        <v>0</v>
      </c>
      <c r="E33" s="46" t="s">
        <v>82</v>
      </c>
      <c r="F33" s="43" t="s">
        <v>46</v>
      </c>
      <c r="G33" s="35">
        <v>0</v>
      </c>
      <c r="H33" s="108">
        <f t="shared" si="0"/>
        <v>0</v>
      </c>
      <c r="I33" s="70"/>
    </row>
    <row r="34" spans="1:9">
      <c r="A34" s="38" t="s">
        <v>129</v>
      </c>
      <c r="B34" s="35">
        <v>0</v>
      </c>
      <c r="C34" s="110">
        <v>0</v>
      </c>
      <c r="E34" s="46" t="s">
        <v>83</v>
      </c>
      <c r="F34" s="43" t="s">
        <v>47</v>
      </c>
      <c r="G34" s="35">
        <v>0</v>
      </c>
      <c r="H34" s="108">
        <f t="shared" si="0"/>
        <v>0</v>
      </c>
      <c r="I34" s="70"/>
    </row>
    <row r="35" spans="1:9">
      <c r="A35" s="66" t="s">
        <v>110</v>
      </c>
      <c r="B35" s="144">
        <v>0</v>
      </c>
      <c r="C35" s="145"/>
      <c r="E35" s="46" t="s">
        <v>84</v>
      </c>
      <c r="F35" s="43" t="s">
        <v>48</v>
      </c>
      <c r="G35" s="35">
        <v>0</v>
      </c>
      <c r="H35" s="108">
        <f t="shared" si="0"/>
        <v>0</v>
      </c>
      <c r="I35" s="70"/>
    </row>
    <row r="36" spans="1:9">
      <c r="A36" s="41" t="s">
        <v>146</v>
      </c>
      <c r="B36" s="146">
        <v>-1000000</v>
      </c>
      <c r="C36" s="147"/>
      <c r="E36" s="46" t="s">
        <v>85</v>
      </c>
      <c r="F36" s="43" t="s">
        <v>49</v>
      </c>
      <c r="G36" s="35">
        <v>0</v>
      </c>
      <c r="H36" s="108">
        <f t="shared" si="0"/>
        <v>0</v>
      </c>
      <c r="I36" s="70"/>
    </row>
    <row r="37" spans="1:9">
      <c r="A37" s="21" t="s">
        <v>111</v>
      </c>
      <c r="B37" s="26">
        <v>0</v>
      </c>
      <c r="C37" s="9">
        <f>IF(B$3=0,0,B37/B$3)</f>
        <v>0</v>
      </c>
      <c r="E37" s="46" t="s">
        <v>86</v>
      </c>
      <c r="F37" s="43" t="s">
        <v>50</v>
      </c>
      <c r="G37" s="35">
        <v>0</v>
      </c>
      <c r="H37" s="108">
        <f t="shared" si="0"/>
        <v>0</v>
      </c>
      <c r="I37" s="70"/>
    </row>
    <row r="38" spans="1:9">
      <c r="E38" s="46" t="s">
        <v>87</v>
      </c>
      <c r="F38" s="43" t="s">
        <v>51</v>
      </c>
      <c r="G38" s="35">
        <v>0</v>
      </c>
      <c r="H38" s="108">
        <f t="shared" si="0"/>
        <v>0</v>
      </c>
      <c r="I38" s="70"/>
    </row>
    <row r="39" spans="1:9">
      <c r="A39" s="119" t="s">
        <v>159</v>
      </c>
      <c r="B39" s="120" t="s">
        <v>160</v>
      </c>
      <c r="C39" s="121" t="s">
        <v>161</v>
      </c>
      <c r="E39" s="46" t="s">
        <v>88</v>
      </c>
      <c r="F39" s="43" t="s">
        <v>52</v>
      </c>
      <c r="G39" s="35">
        <v>0</v>
      </c>
      <c r="H39" s="108">
        <f t="shared" si="0"/>
        <v>0</v>
      </c>
      <c r="I39" s="70"/>
    </row>
    <row r="40" spans="1:9">
      <c r="A40" s="66" t="s">
        <v>137</v>
      </c>
      <c r="B40" s="113">
        <v>0</v>
      </c>
      <c r="C40" s="116">
        <f t="shared" ref="C40:C52" si="5">IF(B$22=0,0,B40/B$22)</f>
        <v>0</v>
      </c>
      <c r="E40" s="46" t="s">
        <v>89</v>
      </c>
      <c r="F40" s="43" t="s">
        <v>53</v>
      </c>
      <c r="G40" s="35">
        <v>0</v>
      </c>
      <c r="H40" s="108">
        <f t="shared" si="0"/>
        <v>0</v>
      </c>
      <c r="I40" s="70"/>
    </row>
    <row r="41" spans="1:9">
      <c r="A41" s="38" t="s">
        <v>133</v>
      </c>
      <c r="B41" s="35">
        <v>0</v>
      </c>
      <c r="C41" s="30">
        <f t="shared" si="5"/>
        <v>0</v>
      </c>
      <c r="E41" s="46" t="s">
        <v>90</v>
      </c>
      <c r="F41" s="43" t="s">
        <v>169</v>
      </c>
      <c r="G41" s="35">
        <v>0</v>
      </c>
      <c r="H41" s="108">
        <f t="shared" si="0"/>
        <v>0</v>
      </c>
      <c r="I41" s="70"/>
    </row>
    <row r="42" spans="1:9">
      <c r="A42" s="38" t="s">
        <v>134</v>
      </c>
      <c r="B42" s="114">
        <v>0</v>
      </c>
      <c r="C42" s="30">
        <f t="shared" si="5"/>
        <v>0</v>
      </c>
      <c r="E42" s="47" t="s">
        <v>165</v>
      </c>
      <c r="F42" s="44" t="s">
        <v>168</v>
      </c>
      <c r="G42" s="37">
        <v>0</v>
      </c>
      <c r="H42" s="109">
        <f t="shared" si="0"/>
        <v>0</v>
      </c>
      <c r="I42" s="71"/>
    </row>
    <row r="43" spans="1:9">
      <c r="A43" s="38" t="s">
        <v>135</v>
      </c>
      <c r="B43" s="114">
        <v>0</v>
      </c>
      <c r="C43" s="30">
        <f t="shared" si="5"/>
        <v>0</v>
      </c>
    </row>
    <row r="44" spans="1:9">
      <c r="A44" s="38" t="s">
        <v>136</v>
      </c>
      <c r="B44" s="114">
        <v>0</v>
      </c>
      <c r="C44" s="30">
        <f t="shared" si="5"/>
        <v>0</v>
      </c>
    </row>
    <row r="45" spans="1:9">
      <c r="A45" s="38" t="s">
        <v>138</v>
      </c>
      <c r="B45" s="114">
        <v>0</v>
      </c>
      <c r="C45" s="30">
        <f t="shared" si="5"/>
        <v>0</v>
      </c>
    </row>
    <row r="46" spans="1:9">
      <c r="A46" s="38" t="s">
        <v>139</v>
      </c>
      <c r="B46" s="114">
        <v>0</v>
      </c>
      <c r="C46" s="30">
        <f t="shared" si="5"/>
        <v>0</v>
      </c>
    </row>
    <row r="47" spans="1:9">
      <c r="A47" s="38" t="s">
        <v>140</v>
      </c>
      <c r="B47" s="114">
        <v>0</v>
      </c>
      <c r="C47" s="30">
        <f t="shared" si="5"/>
        <v>0</v>
      </c>
    </row>
    <row r="48" spans="1:9">
      <c r="A48" s="38" t="s">
        <v>141</v>
      </c>
      <c r="B48" s="114">
        <v>0</v>
      </c>
      <c r="C48" s="30">
        <f t="shared" si="5"/>
        <v>0</v>
      </c>
    </row>
    <row r="49" spans="1:3">
      <c r="A49" s="38" t="s">
        <v>142</v>
      </c>
      <c r="B49" s="114">
        <v>0</v>
      </c>
      <c r="C49" s="30">
        <f t="shared" si="5"/>
        <v>0</v>
      </c>
    </row>
    <row r="50" spans="1:3">
      <c r="A50" s="38" t="s">
        <v>143</v>
      </c>
      <c r="B50" s="114">
        <v>0</v>
      </c>
      <c r="C50" s="30">
        <f t="shared" si="5"/>
        <v>0</v>
      </c>
    </row>
    <row r="51" spans="1:3">
      <c r="A51" s="38" t="s">
        <v>144</v>
      </c>
      <c r="B51" s="114">
        <v>0</v>
      </c>
      <c r="C51" s="30">
        <f t="shared" si="5"/>
        <v>0</v>
      </c>
    </row>
    <row r="52" spans="1:3">
      <c r="A52" s="40" t="s">
        <v>145</v>
      </c>
      <c r="B52" s="115">
        <v>0</v>
      </c>
      <c r="C52" s="32">
        <f t="shared" si="5"/>
        <v>0</v>
      </c>
    </row>
  </sheetData>
  <mergeCells count="9">
    <mergeCell ref="B36:C36"/>
    <mergeCell ref="B35:C35"/>
    <mergeCell ref="B6:C6"/>
    <mergeCell ref="B1:C1"/>
    <mergeCell ref="B2:C2"/>
    <mergeCell ref="B3:C3"/>
    <mergeCell ref="B4:C4"/>
    <mergeCell ref="B5:C5"/>
    <mergeCell ref="B16:C1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462</vt:i4>
      </vt:variant>
    </vt:vector>
  </HeadingPairs>
  <TitlesOfParts>
    <vt:vector size="472" baseType="lpstr">
      <vt:lpstr>Cache</vt:lpstr>
      <vt:lpstr>Players</vt:lpstr>
      <vt:lpstr>ランキング</vt:lpstr>
      <vt:lpstr>全体</vt:lpstr>
      <vt:lpstr>だいち</vt:lpstr>
      <vt:lpstr>りくと</vt:lpstr>
      <vt:lpstr>てんちゃん</vt:lpstr>
      <vt:lpstr>ただ</vt:lpstr>
      <vt:lpstr>わさび</vt:lpstr>
      <vt:lpstr>Template</vt:lpstr>
      <vt:lpstr>だいち!アガリ数</vt:lpstr>
      <vt:lpstr>ただ!アガリ数</vt:lpstr>
      <vt:lpstr>てんちゃん!アガリ数</vt:lpstr>
      <vt:lpstr>りくと!アガリ数</vt:lpstr>
      <vt:lpstr>わさび!アガリ数</vt:lpstr>
      <vt:lpstr>全体!アガリ数</vt:lpstr>
      <vt:lpstr>アガリ数</vt:lpstr>
      <vt:lpstr>だいち!アガリ率</vt:lpstr>
      <vt:lpstr>ただ!アガリ率</vt:lpstr>
      <vt:lpstr>てんちゃん!アガリ率</vt:lpstr>
      <vt:lpstr>りくと!アガリ率</vt:lpstr>
      <vt:lpstr>わさび!アガリ率</vt:lpstr>
      <vt:lpstr>全体!アガリ率</vt:lpstr>
      <vt:lpstr>アガリ率</vt:lpstr>
      <vt:lpstr>だいち!ダマアガリ数</vt:lpstr>
      <vt:lpstr>ただ!ダマアガリ数</vt:lpstr>
      <vt:lpstr>てんちゃん!ダマアガリ数</vt:lpstr>
      <vt:lpstr>りくと!ダマアガリ数</vt:lpstr>
      <vt:lpstr>わさび!ダマアガリ数</vt:lpstr>
      <vt:lpstr>全体!ダマアガリ数</vt:lpstr>
      <vt:lpstr>ダマアガリ数</vt:lpstr>
      <vt:lpstr>だいち!ダマアガリ率</vt:lpstr>
      <vt:lpstr>ただ!ダマアガリ率</vt:lpstr>
      <vt:lpstr>てんちゃん!ダマアガリ率</vt:lpstr>
      <vt:lpstr>りくと!ダマアガリ率</vt:lpstr>
      <vt:lpstr>わさび!ダマアガリ率</vt:lpstr>
      <vt:lpstr>全体!ダマアガリ率</vt:lpstr>
      <vt:lpstr>ダマアガリ率</vt:lpstr>
      <vt:lpstr>だいち!チョンボ数</vt:lpstr>
      <vt:lpstr>ただ!チョンボ数</vt:lpstr>
      <vt:lpstr>てんちゃん!チョンボ数</vt:lpstr>
      <vt:lpstr>りくと!チョンボ数</vt:lpstr>
      <vt:lpstr>わさび!チョンボ数</vt:lpstr>
      <vt:lpstr>全体!チョンボ数</vt:lpstr>
      <vt:lpstr>チョンボ数</vt:lpstr>
      <vt:lpstr>だいち!チョンボ率</vt:lpstr>
      <vt:lpstr>ただ!チョンボ率</vt:lpstr>
      <vt:lpstr>てんちゃん!チョンボ率</vt:lpstr>
      <vt:lpstr>りくと!チョンボ率</vt:lpstr>
      <vt:lpstr>わさび!チョンボ率</vt:lpstr>
      <vt:lpstr>全体!チョンボ率</vt:lpstr>
      <vt:lpstr>チョンボ率</vt:lpstr>
      <vt:lpstr>だいち!ツモ数</vt:lpstr>
      <vt:lpstr>ただ!ツモ数</vt:lpstr>
      <vt:lpstr>てんちゃん!ツモ数</vt:lpstr>
      <vt:lpstr>りくと!ツモ数</vt:lpstr>
      <vt:lpstr>わさび!ツモ数</vt:lpstr>
      <vt:lpstr>全体!ツモ数</vt:lpstr>
      <vt:lpstr>ツモ数</vt:lpstr>
      <vt:lpstr>だいち!ツモ率</vt:lpstr>
      <vt:lpstr>ただ!ツモ率</vt:lpstr>
      <vt:lpstr>てんちゃん!ツモ率</vt:lpstr>
      <vt:lpstr>りくと!ツモ率</vt:lpstr>
      <vt:lpstr>わさび!ツモ率</vt:lpstr>
      <vt:lpstr>全体!ツモ率</vt:lpstr>
      <vt:lpstr>ツモ率</vt:lpstr>
      <vt:lpstr>だいち!トップ数</vt:lpstr>
      <vt:lpstr>ただ!トップ数</vt:lpstr>
      <vt:lpstr>てんちゃん!トップ数</vt:lpstr>
      <vt:lpstr>りくと!トップ数</vt:lpstr>
      <vt:lpstr>わさび!トップ数</vt:lpstr>
      <vt:lpstr>全体!トップ数</vt:lpstr>
      <vt:lpstr>トップ数</vt:lpstr>
      <vt:lpstr>だいち!トップ率</vt:lpstr>
      <vt:lpstr>ただ!トップ率</vt:lpstr>
      <vt:lpstr>てんちゃん!トップ率</vt:lpstr>
      <vt:lpstr>りくと!トップ率</vt:lpstr>
      <vt:lpstr>わさび!トップ率</vt:lpstr>
      <vt:lpstr>全体!トップ率</vt:lpstr>
      <vt:lpstr>トップ率</vt:lpstr>
      <vt:lpstr>だいち!バランス</vt:lpstr>
      <vt:lpstr>ただ!バランス</vt:lpstr>
      <vt:lpstr>てんちゃん!バランス</vt:lpstr>
      <vt:lpstr>りくと!バランス</vt:lpstr>
      <vt:lpstr>わさび!バランス</vt:lpstr>
      <vt:lpstr>全体!バランス</vt:lpstr>
      <vt:lpstr>バランス</vt:lpstr>
      <vt:lpstr>だいち!ふっとび数</vt:lpstr>
      <vt:lpstr>ただ!ふっとび数</vt:lpstr>
      <vt:lpstr>てんちゃん!ふっとび数</vt:lpstr>
      <vt:lpstr>りくと!ふっとび数</vt:lpstr>
      <vt:lpstr>わさび!ふっとび数</vt:lpstr>
      <vt:lpstr>全体!ふっとび数</vt:lpstr>
      <vt:lpstr>ふっとび数</vt:lpstr>
      <vt:lpstr>だいち!ふっとび率</vt:lpstr>
      <vt:lpstr>ただ!ふっとび率</vt:lpstr>
      <vt:lpstr>てんちゃん!ふっとび率</vt:lpstr>
      <vt:lpstr>りくと!ふっとび率</vt:lpstr>
      <vt:lpstr>わさび!ふっとび率</vt:lpstr>
      <vt:lpstr>全体!ふっとび率</vt:lpstr>
      <vt:lpstr>ふっとび率</vt:lpstr>
      <vt:lpstr>だいち!ラス数</vt:lpstr>
      <vt:lpstr>ただ!ラス数</vt:lpstr>
      <vt:lpstr>てんちゃん!ラス数</vt:lpstr>
      <vt:lpstr>りくと!ラス数</vt:lpstr>
      <vt:lpstr>わさび!ラス数</vt:lpstr>
      <vt:lpstr>全体!ラス数</vt:lpstr>
      <vt:lpstr>ラス数</vt:lpstr>
      <vt:lpstr>だいち!ラス率</vt:lpstr>
      <vt:lpstr>ただ!ラス率</vt:lpstr>
      <vt:lpstr>てんちゃん!ラス率</vt:lpstr>
      <vt:lpstr>りくと!ラス率</vt:lpstr>
      <vt:lpstr>わさび!ラス率</vt:lpstr>
      <vt:lpstr>全体!ラス率</vt:lpstr>
      <vt:lpstr>ラス率</vt:lpstr>
      <vt:lpstr>だいち!リーチアガリ数</vt:lpstr>
      <vt:lpstr>ただ!リーチアガリ数</vt:lpstr>
      <vt:lpstr>てんちゃん!リーチアガリ数</vt:lpstr>
      <vt:lpstr>りくと!リーチアガリ数</vt:lpstr>
      <vt:lpstr>わさび!リーチアガリ数</vt:lpstr>
      <vt:lpstr>全体!リーチアガリ数</vt:lpstr>
      <vt:lpstr>リーチアガリ数</vt:lpstr>
      <vt:lpstr>だいち!リーチアガリ率</vt:lpstr>
      <vt:lpstr>ただ!リーチアガリ率</vt:lpstr>
      <vt:lpstr>てんちゃん!リーチアガリ率</vt:lpstr>
      <vt:lpstr>りくと!リーチアガリ率</vt:lpstr>
      <vt:lpstr>わさび!リーチアガリ率</vt:lpstr>
      <vt:lpstr>全体!リーチアガリ率</vt:lpstr>
      <vt:lpstr>リーチアガリ率</vt:lpstr>
      <vt:lpstr>だいち!リーチ数</vt:lpstr>
      <vt:lpstr>ただ!リーチ数</vt:lpstr>
      <vt:lpstr>てんちゃん!リーチ数</vt:lpstr>
      <vt:lpstr>りくと!リーチ数</vt:lpstr>
      <vt:lpstr>わさび!リーチ数</vt:lpstr>
      <vt:lpstr>全体!リーチ数</vt:lpstr>
      <vt:lpstr>リーチ数</vt:lpstr>
      <vt:lpstr>だいち!リーチ成功数</vt:lpstr>
      <vt:lpstr>ただ!リーチ成功数</vt:lpstr>
      <vt:lpstr>てんちゃん!リーチ成功数</vt:lpstr>
      <vt:lpstr>りくと!リーチ成功数</vt:lpstr>
      <vt:lpstr>わさび!リーチ成功数</vt:lpstr>
      <vt:lpstr>全体!リーチ成功数</vt:lpstr>
      <vt:lpstr>リーチ成功数</vt:lpstr>
      <vt:lpstr>だいち!リーチ成功率</vt:lpstr>
      <vt:lpstr>ただ!リーチ成功率</vt:lpstr>
      <vt:lpstr>てんちゃん!リーチ成功率</vt:lpstr>
      <vt:lpstr>りくと!リーチ成功率</vt:lpstr>
      <vt:lpstr>わさび!リーチ成功率</vt:lpstr>
      <vt:lpstr>全体!リーチ成功率</vt:lpstr>
      <vt:lpstr>リーチ成功率</vt:lpstr>
      <vt:lpstr>だいち!リーチ率</vt:lpstr>
      <vt:lpstr>ただ!リーチ率</vt:lpstr>
      <vt:lpstr>てんちゃん!リーチ率</vt:lpstr>
      <vt:lpstr>りくと!リーチ率</vt:lpstr>
      <vt:lpstr>わさび!リーチ率</vt:lpstr>
      <vt:lpstr>全体!リーチ率</vt:lpstr>
      <vt:lpstr>リーチ率</vt:lpstr>
      <vt:lpstr>だいち!ロン数</vt:lpstr>
      <vt:lpstr>ただ!ロン数</vt:lpstr>
      <vt:lpstr>てんちゃん!ロン数</vt:lpstr>
      <vt:lpstr>りくと!ロン数</vt:lpstr>
      <vt:lpstr>わさび!ロン数</vt:lpstr>
      <vt:lpstr>全体!ロン数</vt:lpstr>
      <vt:lpstr>ロン数</vt:lpstr>
      <vt:lpstr>だいち!ロン率</vt:lpstr>
      <vt:lpstr>ただ!ロン率</vt:lpstr>
      <vt:lpstr>てんちゃん!ロン率</vt:lpstr>
      <vt:lpstr>りくと!ロン率</vt:lpstr>
      <vt:lpstr>わさび!ロン率</vt:lpstr>
      <vt:lpstr>全体!ロン率</vt:lpstr>
      <vt:lpstr>ロン率</vt:lpstr>
      <vt:lpstr>だいち!一位スコア</vt:lpstr>
      <vt:lpstr>ただ!一位スコア</vt:lpstr>
      <vt:lpstr>てんちゃん!一位スコア</vt:lpstr>
      <vt:lpstr>りくと!一位スコア</vt:lpstr>
      <vt:lpstr>わさび!一位スコア</vt:lpstr>
      <vt:lpstr>全体!一位スコア</vt:lpstr>
      <vt:lpstr>一位スコア</vt:lpstr>
      <vt:lpstr>だいち!一位通算スコア</vt:lpstr>
      <vt:lpstr>ただ!一位通算スコア</vt:lpstr>
      <vt:lpstr>てんちゃん!一位通算スコア</vt:lpstr>
      <vt:lpstr>りくと!一位通算スコア</vt:lpstr>
      <vt:lpstr>わさび!一位通算スコア</vt:lpstr>
      <vt:lpstr>全体!一位通算スコア</vt:lpstr>
      <vt:lpstr>一位通算スコア</vt:lpstr>
      <vt:lpstr>だいち!現行連続アガリ</vt:lpstr>
      <vt:lpstr>ただ!現行連続アガリ</vt:lpstr>
      <vt:lpstr>てんちゃん!現行連続アガリ</vt:lpstr>
      <vt:lpstr>りくと!現行連続アガリ</vt:lpstr>
      <vt:lpstr>わさび!現行連続アガリ</vt:lpstr>
      <vt:lpstr>全体!現行連続アガリ</vt:lpstr>
      <vt:lpstr>現行連続アガリ</vt:lpstr>
      <vt:lpstr>だいち!現行連続無放銃</vt:lpstr>
      <vt:lpstr>ただ!現行連続無放銃</vt:lpstr>
      <vt:lpstr>てんちゃん!現行連続無放銃</vt:lpstr>
      <vt:lpstr>りくと!現行連続無放銃</vt:lpstr>
      <vt:lpstr>わさび!現行連続無放銃</vt:lpstr>
      <vt:lpstr>全体!現行連続無放銃</vt:lpstr>
      <vt:lpstr>現行連続無放銃</vt:lpstr>
      <vt:lpstr>だいち!最高点</vt:lpstr>
      <vt:lpstr>ただ!最高点</vt:lpstr>
      <vt:lpstr>てんちゃん!最高点</vt:lpstr>
      <vt:lpstr>りくと!最高点</vt:lpstr>
      <vt:lpstr>わさび!最高点</vt:lpstr>
      <vt:lpstr>全体!最高点</vt:lpstr>
      <vt:lpstr>最高点</vt:lpstr>
      <vt:lpstr>だいち!最大ドラ数</vt:lpstr>
      <vt:lpstr>ただ!最大ドラ数</vt:lpstr>
      <vt:lpstr>てんちゃん!最大ドラ数</vt:lpstr>
      <vt:lpstr>りくと!最大ドラ数</vt:lpstr>
      <vt:lpstr>わさび!最大ドラ数</vt:lpstr>
      <vt:lpstr>全体!最大ドラ数</vt:lpstr>
      <vt:lpstr>最大ドラ数</vt:lpstr>
      <vt:lpstr>だいち!最大点数</vt:lpstr>
      <vt:lpstr>ただ!最大点数</vt:lpstr>
      <vt:lpstr>てんちゃん!最大点数</vt:lpstr>
      <vt:lpstr>りくと!最大点数</vt:lpstr>
      <vt:lpstr>わさび!最大点数</vt:lpstr>
      <vt:lpstr>全体!最大点数</vt:lpstr>
      <vt:lpstr>最大点数</vt:lpstr>
      <vt:lpstr>だいち!三位スコア</vt:lpstr>
      <vt:lpstr>ただ!三位スコア</vt:lpstr>
      <vt:lpstr>てんちゃん!三位スコア</vt:lpstr>
      <vt:lpstr>りくと!三位スコア</vt:lpstr>
      <vt:lpstr>わさび!三位スコア</vt:lpstr>
      <vt:lpstr>全体!三位スコア</vt:lpstr>
      <vt:lpstr>三位スコア</vt:lpstr>
      <vt:lpstr>だいち!三位数</vt:lpstr>
      <vt:lpstr>ただ!三位数</vt:lpstr>
      <vt:lpstr>てんちゃん!三位数</vt:lpstr>
      <vt:lpstr>りくと!三位数</vt:lpstr>
      <vt:lpstr>わさび!三位数</vt:lpstr>
      <vt:lpstr>全体!三位数</vt:lpstr>
      <vt:lpstr>三位数</vt:lpstr>
      <vt:lpstr>だいち!三位通算スコア</vt:lpstr>
      <vt:lpstr>ただ!三位通算スコア</vt:lpstr>
      <vt:lpstr>てんちゃん!三位通算スコア</vt:lpstr>
      <vt:lpstr>りくと!三位通算スコア</vt:lpstr>
      <vt:lpstr>わさび!三位通算スコア</vt:lpstr>
      <vt:lpstr>全体!三位通算スコア</vt:lpstr>
      <vt:lpstr>三位通算スコア</vt:lpstr>
      <vt:lpstr>だいち!三位率</vt:lpstr>
      <vt:lpstr>ただ!三位率</vt:lpstr>
      <vt:lpstr>てんちゃん!三位率</vt:lpstr>
      <vt:lpstr>りくと!三位率</vt:lpstr>
      <vt:lpstr>わさび!三位率</vt:lpstr>
      <vt:lpstr>全体!三位率</vt:lpstr>
      <vt:lpstr>三位率</vt:lpstr>
      <vt:lpstr>だいち!四位スコア</vt:lpstr>
      <vt:lpstr>ただ!四位スコア</vt:lpstr>
      <vt:lpstr>てんちゃん!四位スコア</vt:lpstr>
      <vt:lpstr>りくと!四位スコア</vt:lpstr>
      <vt:lpstr>わさび!四位スコア</vt:lpstr>
      <vt:lpstr>全体!四位スコア</vt:lpstr>
      <vt:lpstr>四位スコア</vt:lpstr>
      <vt:lpstr>だいち!四位通算スコア</vt:lpstr>
      <vt:lpstr>ただ!四位通算スコア</vt:lpstr>
      <vt:lpstr>てんちゃん!四位通算スコア</vt:lpstr>
      <vt:lpstr>りくと!四位通算スコア</vt:lpstr>
      <vt:lpstr>わさび!四位通算スコア</vt:lpstr>
      <vt:lpstr>全体!四位通算スコア</vt:lpstr>
      <vt:lpstr>四位通算スコア</vt:lpstr>
      <vt:lpstr>だいち!総局数</vt:lpstr>
      <vt:lpstr>ただ!総局数</vt:lpstr>
      <vt:lpstr>てんちゃん!総局数</vt:lpstr>
      <vt:lpstr>りくと!総局数</vt:lpstr>
      <vt:lpstr>わさび!総局数</vt:lpstr>
      <vt:lpstr>全体!総局数</vt:lpstr>
      <vt:lpstr>総局数</vt:lpstr>
      <vt:lpstr>だいち!対戦数</vt:lpstr>
      <vt:lpstr>ただ!対戦数</vt:lpstr>
      <vt:lpstr>てんちゃん!対戦数</vt:lpstr>
      <vt:lpstr>りくと!対戦数</vt:lpstr>
      <vt:lpstr>わさび!対戦数</vt:lpstr>
      <vt:lpstr>全体!対戦数</vt:lpstr>
      <vt:lpstr>対戦数</vt:lpstr>
      <vt:lpstr>だいち!通算アガリ点</vt:lpstr>
      <vt:lpstr>ただ!通算アガリ点</vt:lpstr>
      <vt:lpstr>てんちゃん!通算アガリ点</vt:lpstr>
      <vt:lpstr>りくと!通算アガリ点</vt:lpstr>
      <vt:lpstr>わさび!通算アガリ点</vt:lpstr>
      <vt:lpstr>全体!通算アガリ点</vt:lpstr>
      <vt:lpstr>通算アガリ点</vt:lpstr>
      <vt:lpstr>だいち!通算スコア</vt:lpstr>
      <vt:lpstr>ただ!通算スコア</vt:lpstr>
      <vt:lpstr>てんちゃん!通算スコア</vt:lpstr>
      <vt:lpstr>りくと!通算スコア</vt:lpstr>
      <vt:lpstr>わさび!通算スコア</vt:lpstr>
      <vt:lpstr>全体!通算スコア</vt:lpstr>
      <vt:lpstr>通算スコア</vt:lpstr>
      <vt:lpstr>だいち!通算副露アガリ点</vt:lpstr>
      <vt:lpstr>ただ!通算副露アガリ点</vt:lpstr>
      <vt:lpstr>てんちゃん!通算副露アガリ点</vt:lpstr>
      <vt:lpstr>りくと!通算副露アガリ点</vt:lpstr>
      <vt:lpstr>わさび!通算副露アガリ点</vt:lpstr>
      <vt:lpstr>全体!通算副露アガリ点</vt:lpstr>
      <vt:lpstr>通算副露アガリ点</vt:lpstr>
      <vt:lpstr>だいち!通算放銃点</vt:lpstr>
      <vt:lpstr>ただ!通算放銃点</vt:lpstr>
      <vt:lpstr>てんちゃん!通算放銃点</vt:lpstr>
      <vt:lpstr>りくと!通算放銃点</vt:lpstr>
      <vt:lpstr>わさび!通算放銃点</vt:lpstr>
      <vt:lpstr>全体!通算放銃点</vt:lpstr>
      <vt:lpstr>通算放銃点</vt:lpstr>
      <vt:lpstr>だいち!通算門前アガリ点</vt:lpstr>
      <vt:lpstr>ただ!通算門前アガリ点</vt:lpstr>
      <vt:lpstr>てんちゃん!通算門前アガリ点</vt:lpstr>
      <vt:lpstr>りくと!通算門前アガリ点</vt:lpstr>
      <vt:lpstr>わさび!通算門前アガリ点</vt:lpstr>
      <vt:lpstr>全体!通算門前アガリ点</vt:lpstr>
      <vt:lpstr>通算門前アガリ点</vt:lpstr>
      <vt:lpstr>だいち!二位スコア</vt:lpstr>
      <vt:lpstr>ただ!二位スコア</vt:lpstr>
      <vt:lpstr>てんちゃん!二位スコア</vt:lpstr>
      <vt:lpstr>りくと!二位スコア</vt:lpstr>
      <vt:lpstr>わさび!二位スコア</vt:lpstr>
      <vt:lpstr>全体!二位スコア</vt:lpstr>
      <vt:lpstr>二位スコア</vt:lpstr>
      <vt:lpstr>だいち!二位数</vt:lpstr>
      <vt:lpstr>ただ!二位数</vt:lpstr>
      <vt:lpstr>てんちゃん!二位数</vt:lpstr>
      <vt:lpstr>りくと!二位数</vt:lpstr>
      <vt:lpstr>わさび!二位数</vt:lpstr>
      <vt:lpstr>全体!二位数</vt:lpstr>
      <vt:lpstr>二位数</vt:lpstr>
      <vt:lpstr>だいち!二位通算スコア</vt:lpstr>
      <vt:lpstr>ただ!二位通算スコア</vt:lpstr>
      <vt:lpstr>てんちゃん!二位通算スコア</vt:lpstr>
      <vt:lpstr>りくと!二位通算スコア</vt:lpstr>
      <vt:lpstr>わさび!二位通算スコア</vt:lpstr>
      <vt:lpstr>全体!二位通算スコア</vt:lpstr>
      <vt:lpstr>二位通算スコア</vt:lpstr>
      <vt:lpstr>だいち!二位率</vt:lpstr>
      <vt:lpstr>ただ!二位率</vt:lpstr>
      <vt:lpstr>てんちゃん!二位率</vt:lpstr>
      <vt:lpstr>りくと!二位率</vt:lpstr>
      <vt:lpstr>わさび!二位率</vt:lpstr>
      <vt:lpstr>全体!二位率</vt:lpstr>
      <vt:lpstr>二位率</vt:lpstr>
      <vt:lpstr>だいち!副露アガリ数</vt:lpstr>
      <vt:lpstr>ただ!副露アガリ数</vt:lpstr>
      <vt:lpstr>てんちゃん!副露アガリ数</vt:lpstr>
      <vt:lpstr>りくと!副露アガリ数</vt:lpstr>
      <vt:lpstr>わさび!副露アガリ数</vt:lpstr>
      <vt:lpstr>全体!副露アガリ数</vt:lpstr>
      <vt:lpstr>副露アガリ数</vt:lpstr>
      <vt:lpstr>だいち!副露アガリ点</vt:lpstr>
      <vt:lpstr>ただ!副露アガリ点</vt:lpstr>
      <vt:lpstr>てんちゃん!副露アガリ点</vt:lpstr>
      <vt:lpstr>りくと!副露アガリ点</vt:lpstr>
      <vt:lpstr>わさび!副露アガリ点</vt:lpstr>
      <vt:lpstr>全体!副露アガリ点</vt:lpstr>
      <vt:lpstr>副露アガリ点</vt:lpstr>
      <vt:lpstr>だいち!副露アガリ率</vt:lpstr>
      <vt:lpstr>ただ!副露アガリ率</vt:lpstr>
      <vt:lpstr>てんちゃん!副露アガリ率</vt:lpstr>
      <vt:lpstr>りくと!副露アガリ率</vt:lpstr>
      <vt:lpstr>わさび!副露アガリ率</vt:lpstr>
      <vt:lpstr>全体!副露アガリ率</vt:lpstr>
      <vt:lpstr>副露アガリ率</vt:lpstr>
      <vt:lpstr>だいち!副露数</vt:lpstr>
      <vt:lpstr>ただ!副露数</vt:lpstr>
      <vt:lpstr>てんちゃん!副露数</vt:lpstr>
      <vt:lpstr>りくと!副露数</vt:lpstr>
      <vt:lpstr>わさび!副露数</vt:lpstr>
      <vt:lpstr>全体!副露数</vt:lpstr>
      <vt:lpstr>副露数</vt:lpstr>
      <vt:lpstr>だいち!副露成功数</vt:lpstr>
      <vt:lpstr>ただ!副露成功数</vt:lpstr>
      <vt:lpstr>てんちゃん!副露成功数</vt:lpstr>
      <vt:lpstr>りくと!副露成功数</vt:lpstr>
      <vt:lpstr>わさび!副露成功数</vt:lpstr>
      <vt:lpstr>全体!副露成功数</vt:lpstr>
      <vt:lpstr>副露成功数</vt:lpstr>
      <vt:lpstr>だいち!副露成功率</vt:lpstr>
      <vt:lpstr>ただ!副露成功率</vt:lpstr>
      <vt:lpstr>てんちゃん!副露成功率</vt:lpstr>
      <vt:lpstr>りくと!副露成功率</vt:lpstr>
      <vt:lpstr>わさび!副露成功率</vt:lpstr>
      <vt:lpstr>全体!副露成功率</vt:lpstr>
      <vt:lpstr>副露成功率</vt:lpstr>
      <vt:lpstr>だいち!副露率</vt:lpstr>
      <vt:lpstr>ただ!副露率</vt:lpstr>
      <vt:lpstr>てんちゃん!副露率</vt:lpstr>
      <vt:lpstr>りくと!副露率</vt:lpstr>
      <vt:lpstr>わさび!副露率</vt:lpstr>
      <vt:lpstr>全体!副露率</vt:lpstr>
      <vt:lpstr>副露率</vt:lpstr>
      <vt:lpstr>だいち!平均アガリ点</vt:lpstr>
      <vt:lpstr>ただ!平均アガリ点</vt:lpstr>
      <vt:lpstr>てんちゃん!平均アガリ点</vt:lpstr>
      <vt:lpstr>りくと!平均アガリ点</vt:lpstr>
      <vt:lpstr>わさび!平均アガリ点</vt:lpstr>
      <vt:lpstr>全体!平均アガリ点</vt:lpstr>
      <vt:lpstr>平均アガリ点</vt:lpstr>
      <vt:lpstr>だいち!平均スコア</vt:lpstr>
      <vt:lpstr>ただ!平均スコア</vt:lpstr>
      <vt:lpstr>てんちゃん!平均スコア</vt:lpstr>
      <vt:lpstr>りくと!平均スコア</vt:lpstr>
      <vt:lpstr>わさび!平均スコア</vt:lpstr>
      <vt:lpstr>全体!平均スコア</vt:lpstr>
      <vt:lpstr>平均スコア</vt:lpstr>
      <vt:lpstr>だいち!平均順位</vt:lpstr>
      <vt:lpstr>ただ!平均順位</vt:lpstr>
      <vt:lpstr>てんちゃん!平均順位</vt:lpstr>
      <vt:lpstr>りくと!平均順位</vt:lpstr>
      <vt:lpstr>わさび!平均順位</vt:lpstr>
      <vt:lpstr>全体!平均順位</vt:lpstr>
      <vt:lpstr>平均順位</vt:lpstr>
      <vt:lpstr>だいち!平均放銃点</vt:lpstr>
      <vt:lpstr>ただ!平均放銃点</vt:lpstr>
      <vt:lpstr>てんちゃん!平均放銃点</vt:lpstr>
      <vt:lpstr>りくと!平均放銃点</vt:lpstr>
      <vt:lpstr>わさび!平均放銃点</vt:lpstr>
      <vt:lpstr>全体!平均放銃点</vt:lpstr>
      <vt:lpstr>平均放銃点</vt:lpstr>
      <vt:lpstr>だいち!放銃数</vt:lpstr>
      <vt:lpstr>ただ!放銃数</vt:lpstr>
      <vt:lpstr>てんちゃん!放銃数</vt:lpstr>
      <vt:lpstr>りくと!放銃数</vt:lpstr>
      <vt:lpstr>わさび!放銃数</vt:lpstr>
      <vt:lpstr>全体!放銃数</vt:lpstr>
      <vt:lpstr>放銃数</vt:lpstr>
      <vt:lpstr>だいち!放銃率</vt:lpstr>
      <vt:lpstr>ただ!放銃率</vt:lpstr>
      <vt:lpstr>てんちゃん!放銃率</vt:lpstr>
      <vt:lpstr>りくと!放銃率</vt:lpstr>
      <vt:lpstr>わさび!放銃率</vt:lpstr>
      <vt:lpstr>全体!放銃率</vt:lpstr>
      <vt:lpstr>放銃率</vt:lpstr>
      <vt:lpstr>だいち!名前</vt:lpstr>
      <vt:lpstr>ただ!名前</vt:lpstr>
      <vt:lpstr>てんちゃん!名前</vt:lpstr>
      <vt:lpstr>りくと!名前</vt:lpstr>
      <vt:lpstr>わさび!名前</vt:lpstr>
      <vt:lpstr>全体!名前</vt:lpstr>
      <vt:lpstr>名前</vt:lpstr>
      <vt:lpstr>だいち!門前アガリ点</vt:lpstr>
      <vt:lpstr>ただ!門前アガリ点</vt:lpstr>
      <vt:lpstr>てんちゃん!門前アガリ点</vt:lpstr>
      <vt:lpstr>りくと!門前アガリ点</vt:lpstr>
      <vt:lpstr>わさび!門前アガリ点</vt:lpstr>
      <vt:lpstr>全体!門前アガリ点</vt:lpstr>
      <vt:lpstr>門前アガリ点</vt:lpstr>
      <vt:lpstr>だいち!連続アガリ</vt:lpstr>
      <vt:lpstr>ただ!連続アガリ</vt:lpstr>
      <vt:lpstr>てんちゃん!連続アガリ</vt:lpstr>
      <vt:lpstr>りくと!連続アガリ</vt:lpstr>
      <vt:lpstr>わさび!連続アガリ</vt:lpstr>
      <vt:lpstr>全体!連続アガリ</vt:lpstr>
      <vt:lpstr>連続アガリ</vt:lpstr>
      <vt:lpstr>だいち!連続無放銃</vt:lpstr>
      <vt:lpstr>ただ!連続無放銃</vt:lpstr>
      <vt:lpstr>てんちゃん!連続無放銃</vt:lpstr>
      <vt:lpstr>りくと!連続無放銃</vt:lpstr>
      <vt:lpstr>わさび!連続無放銃</vt:lpstr>
      <vt:lpstr>全体!連続無放銃</vt:lpstr>
      <vt:lpstr>連続無放銃</vt:lpstr>
      <vt:lpstr>だいち!連対数</vt:lpstr>
      <vt:lpstr>ただ!連対数</vt:lpstr>
      <vt:lpstr>てんちゃん!連対数</vt:lpstr>
      <vt:lpstr>りくと!連対数</vt:lpstr>
      <vt:lpstr>わさび!連対数</vt:lpstr>
      <vt:lpstr>全体!連対数</vt:lpstr>
      <vt:lpstr>連対数</vt:lpstr>
      <vt:lpstr>だいち!連対率</vt:lpstr>
      <vt:lpstr>ただ!連対率</vt:lpstr>
      <vt:lpstr>てんちゃん!連対率</vt:lpstr>
      <vt:lpstr>りくと!連対率</vt:lpstr>
      <vt:lpstr>わさび!連対率</vt:lpstr>
      <vt:lpstr>全体!連対率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2020-07-19T09:50:15Z</dcterms:modified>
</cp:coreProperties>
</file>