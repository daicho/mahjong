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01009236\Git\mahjong\四人麻雀\"/>
    </mc:Choice>
  </mc:AlternateContent>
  <xr:revisionPtr revIDLastSave="0" documentId="13_ncr:1_{8D41E316-6532-4AAC-813D-6D106FCAC9CC}" xr6:coauthVersionLast="47" xr6:coauthVersionMax="47" xr10:uidLastSave="{00000000-0000-0000-0000-000000000000}"/>
  <bookViews>
    <workbookView xWindow="-120" yWindow="-120" windowWidth="29040" windowHeight="15990" tabRatio="663" firstSheet="2" activeTab="2" xr2:uid="{4FDB0271-42AC-4C1F-BA12-2E989A379038}"/>
  </bookViews>
  <sheets>
    <sheet name="Cache" sheetId="2227" state="hidden" r:id="rId1"/>
    <sheet name="Players" sheetId="3285" state="hidden" r:id="rId2"/>
    <sheet name="ランキング" sheetId="3332" r:id="rId3"/>
    <sheet name="全体" sheetId="3382" r:id="rId4"/>
    <sheet name="谷茂岡" sheetId="3383" r:id="rId5"/>
    <sheet name="澤川" sheetId="3384" r:id="rId6"/>
    <sheet name="福澤" sheetId="3385" r:id="rId7"/>
    <sheet name="池田" sheetId="3386" r:id="rId8"/>
    <sheet name="Template" sheetId="2228" state="hidden" r:id="rId9"/>
  </sheets>
  <definedNames>
    <definedName name="アガリ数" localSheetId="3">全体!$B$22</definedName>
    <definedName name="アガリ数" localSheetId="4">谷茂岡!$B$22</definedName>
    <definedName name="アガリ数" localSheetId="7">池田!$B$22</definedName>
    <definedName name="アガリ数" localSheetId="6">福澤!$B$22</definedName>
    <definedName name="アガリ数" localSheetId="5">澤川!$B$22</definedName>
    <definedName name="アガリ数">Template!$B$22</definedName>
    <definedName name="アガリ率" localSheetId="3">全体!$C$22</definedName>
    <definedName name="アガリ率" localSheetId="4">谷茂岡!$C$22</definedName>
    <definedName name="アガリ率" localSheetId="7">池田!$C$22</definedName>
    <definedName name="アガリ率" localSheetId="6">福澤!$C$22</definedName>
    <definedName name="アガリ率" localSheetId="5">澤川!$C$22</definedName>
    <definedName name="アガリ率">Template!$C$22</definedName>
    <definedName name="ダマアガリ数" localSheetId="3">全体!$B$28</definedName>
    <definedName name="ダマアガリ数" localSheetId="4">谷茂岡!$B$28</definedName>
    <definedName name="ダマアガリ数" localSheetId="7">池田!$B$28</definedName>
    <definedName name="ダマアガリ数" localSheetId="6">福澤!$B$28</definedName>
    <definedName name="ダマアガリ数" localSheetId="5">澤川!$B$28</definedName>
    <definedName name="ダマアガリ数">Template!$B$28</definedName>
    <definedName name="ダマアガリ点" localSheetId="3">全体!#REF!</definedName>
    <definedName name="ダマアガリ点" localSheetId="4">谷茂岡!#REF!</definedName>
    <definedName name="ダマアガリ点" localSheetId="7">池田!#REF!</definedName>
    <definedName name="ダマアガリ点" localSheetId="6">福澤!#REF!</definedName>
    <definedName name="ダマアガリ点" localSheetId="5">澤川!#REF!</definedName>
    <definedName name="ダマアガリ点">Template!#REF!</definedName>
    <definedName name="ダマアガリ率" localSheetId="3">全体!$C$28</definedName>
    <definedName name="ダマアガリ率" localSheetId="4">谷茂岡!$C$28</definedName>
    <definedName name="ダマアガリ率" localSheetId="7">池田!$C$28</definedName>
    <definedName name="ダマアガリ率" localSheetId="6">福澤!$C$28</definedName>
    <definedName name="ダマアガリ率" localSheetId="5">澤川!$C$28</definedName>
    <definedName name="ダマアガリ率">Template!$C$28</definedName>
    <definedName name="チョンボ数" localSheetId="3">全体!$B$37</definedName>
    <definedName name="チョンボ数" localSheetId="4">谷茂岡!$B$37</definedName>
    <definedName name="チョンボ数" localSheetId="7">池田!$B$37</definedName>
    <definedName name="チョンボ数" localSheetId="6">福澤!$B$37</definedName>
    <definedName name="チョンボ数" localSheetId="5">澤川!$B$37</definedName>
    <definedName name="チョンボ数">Template!$B$37</definedName>
    <definedName name="チョンボ率" localSheetId="3">全体!$C$37</definedName>
    <definedName name="チョンボ率" localSheetId="4">谷茂岡!$C$37</definedName>
    <definedName name="チョンボ率" localSheetId="7">池田!$C$37</definedName>
    <definedName name="チョンボ率" localSheetId="6">福澤!$C$37</definedName>
    <definedName name="チョンボ率" localSheetId="5">澤川!$C$37</definedName>
    <definedName name="チョンボ率">Template!$C$37</definedName>
    <definedName name="ツモ数" localSheetId="3">全体!$B$24</definedName>
    <definedName name="ツモ数" localSheetId="4">谷茂岡!$B$24</definedName>
    <definedName name="ツモ数" localSheetId="7">池田!$B$24</definedName>
    <definedName name="ツモ数" localSheetId="6">福澤!$B$24</definedName>
    <definedName name="ツモ数" localSheetId="5">澤川!$B$24</definedName>
    <definedName name="ツモ数">Template!$B$24</definedName>
    <definedName name="ツモ率" localSheetId="3">全体!$C$24</definedName>
    <definedName name="ツモ率" localSheetId="4">谷茂岡!$C$24</definedName>
    <definedName name="ツモ率" localSheetId="7">池田!$C$24</definedName>
    <definedName name="ツモ率" localSheetId="6">福澤!$C$24</definedName>
    <definedName name="ツモ率" localSheetId="5">澤川!$C$24</definedName>
    <definedName name="ツモ率">Template!$C$24</definedName>
    <definedName name="トップ数" localSheetId="3">全体!$B$7</definedName>
    <definedName name="トップ数" localSheetId="4">谷茂岡!$B$7</definedName>
    <definedName name="トップ数" localSheetId="7">池田!$B$7</definedName>
    <definedName name="トップ数" localSheetId="6">福澤!$B$7</definedName>
    <definedName name="トップ数" localSheetId="5">澤川!$B$7</definedName>
    <definedName name="トップ数">Template!$B$7</definedName>
    <definedName name="トップ率" localSheetId="3">全体!$C$7</definedName>
    <definedName name="トップ率" localSheetId="4">谷茂岡!$C$7</definedName>
    <definedName name="トップ率" localSheetId="7">池田!$C$7</definedName>
    <definedName name="トップ率" localSheetId="6">福澤!$C$7</definedName>
    <definedName name="トップ率" localSheetId="5">澤川!$C$7</definedName>
    <definedName name="トップ率">Template!$C$7</definedName>
    <definedName name="バランス" localSheetId="3">全体!$B$16</definedName>
    <definedName name="バランス" localSheetId="4">谷茂岡!$B$16</definedName>
    <definedName name="バランス" localSheetId="7">池田!$B$16</definedName>
    <definedName name="バランス" localSheetId="6">福澤!$B$16</definedName>
    <definedName name="バランス" localSheetId="5">澤川!$B$16</definedName>
    <definedName name="バランス">Template!$B$16</definedName>
    <definedName name="ふっとばし数" localSheetId="3">全体!#REF!</definedName>
    <definedName name="ふっとばし数" localSheetId="4">谷茂岡!#REF!</definedName>
    <definedName name="ふっとばし数" localSheetId="7">池田!#REF!</definedName>
    <definedName name="ふっとばし数" localSheetId="6">福澤!#REF!</definedName>
    <definedName name="ふっとばし数" localSheetId="5">澤川!#REF!</definedName>
    <definedName name="ふっとばし数">Template!#REF!</definedName>
    <definedName name="ふっとばし率" localSheetId="3">全体!#REF!</definedName>
    <definedName name="ふっとばし率" localSheetId="4">谷茂岡!#REF!</definedName>
    <definedName name="ふっとばし率" localSheetId="7">池田!#REF!</definedName>
    <definedName name="ふっとばし率" localSheetId="6">福澤!#REF!</definedName>
    <definedName name="ふっとばし率" localSheetId="5">澤川!#REF!</definedName>
    <definedName name="ふっとばし率">Template!#REF!</definedName>
    <definedName name="ふっとび数" localSheetId="3">全体!$B$17</definedName>
    <definedName name="ふっとび数" localSheetId="4">谷茂岡!$B$17</definedName>
    <definedName name="ふっとび数" localSheetId="7">池田!$B$17</definedName>
    <definedName name="ふっとび数" localSheetId="6">福澤!$B$17</definedName>
    <definedName name="ふっとび数" localSheetId="5">澤川!$B$17</definedName>
    <definedName name="ふっとび数">Template!$B$17</definedName>
    <definedName name="ふっとび率" localSheetId="3">全体!$C$17</definedName>
    <definedName name="ふっとび率" localSheetId="4">谷茂岡!$C$17</definedName>
    <definedName name="ふっとび率" localSheetId="7">池田!$C$17</definedName>
    <definedName name="ふっとび率" localSheetId="6">福澤!$C$17</definedName>
    <definedName name="ふっとび率" localSheetId="5">澤川!$C$17</definedName>
    <definedName name="ふっとび率">Template!$C$17</definedName>
    <definedName name="ラス数" localSheetId="3">全体!$B$10</definedName>
    <definedName name="ラス数" localSheetId="4">谷茂岡!$B$10</definedName>
    <definedName name="ラス数" localSheetId="7">池田!$B$10</definedName>
    <definedName name="ラス数" localSheetId="6">福澤!$B$10</definedName>
    <definedName name="ラス数" localSheetId="5">澤川!$B$10</definedName>
    <definedName name="ラス数">Template!$B$10</definedName>
    <definedName name="ラス率" localSheetId="3">全体!$C$10</definedName>
    <definedName name="ラス率" localSheetId="4">谷茂岡!$C$10</definedName>
    <definedName name="ラス率" localSheetId="7">池田!$C$10</definedName>
    <definedName name="ラス率" localSheetId="6">福澤!$C$10</definedName>
    <definedName name="ラス率" localSheetId="5">澤川!$C$10</definedName>
    <definedName name="ラス率">Template!$C$10</definedName>
    <definedName name="リーチアガリ数" localSheetId="3">全体!$B$26</definedName>
    <definedName name="リーチアガリ数" localSheetId="4">谷茂岡!$B$26</definedName>
    <definedName name="リーチアガリ数" localSheetId="7">池田!$B$26</definedName>
    <definedName name="リーチアガリ数" localSheetId="6">福澤!$B$26</definedName>
    <definedName name="リーチアガリ数" localSheetId="5">澤川!$B$26</definedName>
    <definedName name="リーチアガリ数">Template!$B$26</definedName>
    <definedName name="リーチアガリ率" localSheetId="3">全体!$C$26</definedName>
    <definedName name="リーチアガリ率" localSheetId="4">谷茂岡!$C$26</definedName>
    <definedName name="リーチアガリ率" localSheetId="7">池田!$C$26</definedName>
    <definedName name="リーチアガリ率" localSheetId="6">福澤!$C$26</definedName>
    <definedName name="リーチアガリ率" localSheetId="5">澤川!$C$26</definedName>
    <definedName name="リーチアガリ率">Template!$C$26</definedName>
    <definedName name="リーチ数" localSheetId="3">全体!$B$18</definedName>
    <definedName name="リーチ数" localSheetId="4">谷茂岡!$B$18</definedName>
    <definedName name="リーチ数" localSheetId="7">池田!$B$18</definedName>
    <definedName name="リーチ数" localSheetId="6">福澤!$B$18</definedName>
    <definedName name="リーチ数" localSheetId="5">澤川!$B$18</definedName>
    <definedName name="リーチ数">Template!$B$18</definedName>
    <definedName name="リーチ成功数" localSheetId="3">全体!$B$20</definedName>
    <definedName name="リーチ成功数" localSheetId="4">谷茂岡!$B$20</definedName>
    <definedName name="リーチ成功数" localSheetId="7">池田!$B$20</definedName>
    <definedName name="リーチ成功数" localSheetId="6">福澤!$B$20</definedName>
    <definedName name="リーチ成功数" localSheetId="5">澤川!$B$20</definedName>
    <definedName name="リーチ成功数">Template!$B$20</definedName>
    <definedName name="リーチ成功率" localSheetId="3">全体!$C$20</definedName>
    <definedName name="リーチ成功率" localSheetId="4">谷茂岡!$C$20</definedName>
    <definedName name="リーチ成功率" localSheetId="7">池田!$C$20</definedName>
    <definedName name="リーチ成功率" localSheetId="6">福澤!$C$20</definedName>
    <definedName name="リーチ成功率" localSheetId="5">澤川!$C$20</definedName>
    <definedName name="リーチ成功率">Template!$C$20</definedName>
    <definedName name="リーチ率" localSheetId="3">全体!$C$18</definedName>
    <definedName name="リーチ率" localSheetId="4">谷茂岡!$C$18</definedName>
    <definedName name="リーチ率" localSheetId="7">池田!$C$18</definedName>
    <definedName name="リーチ率" localSheetId="6">福澤!$C$18</definedName>
    <definedName name="リーチ率" localSheetId="5">澤川!$C$18</definedName>
    <definedName name="リーチ率">Template!$C$18</definedName>
    <definedName name="ロン数" localSheetId="3">全体!$B$25</definedName>
    <definedName name="ロン数" localSheetId="4">谷茂岡!$B$25</definedName>
    <definedName name="ロン数" localSheetId="7">池田!$B$25</definedName>
    <definedName name="ロン数" localSheetId="6">福澤!$B$25</definedName>
    <definedName name="ロン数" localSheetId="5">澤川!$B$25</definedName>
    <definedName name="ロン数">Template!$B$25</definedName>
    <definedName name="ロン率" localSheetId="3">全体!$C$25</definedName>
    <definedName name="ロン率" localSheetId="4">谷茂岡!$C$25</definedName>
    <definedName name="ロン率" localSheetId="7">池田!$C$25</definedName>
    <definedName name="ロン率" localSheetId="6">福澤!$C$25</definedName>
    <definedName name="ロン率" localSheetId="5">澤川!$C$25</definedName>
    <definedName name="ロン率">Template!$C$25</definedName>
    <definedName name="一位スコア" localSheetId="3">全体!$B$12</definedName>
    <definedName name="一位スコア" localSheetId="4">谷茂岡!$B$12</definedName>
    <definedName name="一位スコア" localSheetId="7">池田!$B$12</definedName>
    <definedName name="一位スコア" localSheetId="6">福澤!$B$12</definedName>
    <definedName name="一位スコア" localSheetId="5">澤川!$B$12</definedName>
    <definedName name="一位スコア">Template!$B$12</definedName>
    <definedName name="一位通算スコア" localSheetId="3">全体!$C$12</definedName>
    <definedName name="一位通算スコア" localSheetId="4">谷茂岡!$C$12</definedName>
    <definedName name="一位通算スコア" localSheetId="7">池田!$C$12</definedName>
    <definedName name="一位通算スコア" localSheetId="6">福澤!$C$12</definedName>
    <definedName name="一位通算スコア" localSheetId="5">澤川!$C$12</definedName>
    <definedName name="一位通算スコア">Template!$C$12</definedName>
    <definedName name="逆転数" localSheetId="3">全体!#REF!</definedName>
    <definedName name="逆転数" localSheetId="4">谷茂岡!#REF!</definedName>
    <definedName name="逆転数" localSheetId="7">池田!#REF!</definedName>
    <definedName name="逆転数" localSheetId="6">福澤!#REF!</definedName>
    <definedName name="逆転数" localSheetId="5">澤川!#REF!</definedName>
    <definedName name="逆転数">Template!#REF!</definedName>
    <definedName name="逆転率" localSheetId="3">全体!#REF!</definedName>
    <definedName name="逆転率" localSheetId="4">谷茂岡!#REF!</definedName>
    <definedName name="逆転率" localSheetId="7">池田!#REF!</definedName>
    <definedName name="逆転率" localSheetId="6">福澤!#REF!</definedName>
    <definedName name="逆転率" localSheetId="5">澤川!#REF!</definedName>
    <definedName name="逆転率">Template!#REF!</definedName>
    <definedName name="現行連続アガリ" localSheetId="3">全体!$C$33</definedName>
    <definedName name="現行連続アガリ" localSheetId="4">谷茂岡!$C$33</definedName>
    <definedName name="現行連続アガリ" localSheetId="7">池田!$C$33</definedName>
    <definedName name="現行連続アガリ" localSheetId="6">福澤!$C$33</definedName>
    <definedName name="現行連続アガリ" localSheetId="5">澤川!$C$33</definedName>
    <definedName name="現行連続アガリ">Template!$C$33</definedName>
    <definedName name="現行連続無放銃" localSheetId="3">全体!$C$34</definedName>
    <definedName name="現行連続無放銃" localSheetId="4">谷茂岡!$C$34</definedName>
    <definedName name="現行連続無放銃" localSheetId="7">池田!$C$34</definedName>
    <definedName name="現行連続無放銃" localSheetId="6">福澤!$C$34</definedName>
    <definedName name="現行連続無放銃" localSheetId="5">澤川!$C$34</definedName>
    <definedName name="現行連続無放銃">Template!$C$34</definedName>
    <definedName name="最高点" localSheetId="3">全体!$B$36</definedName>
    <definedName name="最高点" localSheetId="4">谷茂岡!$B$36</definedName>
    <definedName name="最高点" localSheetId="7">池田!$B$36</definedName>
    <definedName name="最高点" localSheetId="6">福澤!$B$36</definedName>
    <definedName name="最高点" localSheetId="5">澤川!$B$36</definedName>
    <definedName name="最高点">Template!$B$36</definedName>
    <definedName name="最大ドラ数" localSheetId="3">全体!$B$35</definedName>
    <definedName name="最大ドラ数" localSheetId="4">谷茂岡!$B$35</definedName>
    <definedName name="最大ドラ数" localSheetId="7">池田!$B$35</definedName>
    <definedName name="最大ドラ数" localSheetId="6">福澤!$B$35</definedName>
    <definedName name="最大ドラ数" localSheetId="5">澤川!$B$35</definedName>
    <definedName name="最大ドラ数">Template!$B$35</definedName>
    <definedName name="最大点数" localSheetId="3">全体!$B$36</definedName>
    <definedName name="最大点数" localSheetId="4">谷茂岡!$B$36</definedName>
    <definedName name="最大点数" localSheetId="7">池田!$B$36</definedName>
    <definedName name="最大点数" localSheetId="6">福澤!$B$36</definedName>
    <definedName name="最大点数" localSheetId="5">澤川!$B$36</definedName>
    <definedName name="最大点数">Template!$B$36</definedName>
    <definedName name="三位スコア" localSheetId="3">全体!$B$14</definedName>
    <definedName name="三位スコア" localSheetId="4">谷茂岡!$B$14</definedName>
    <definedName name="三位スコア" localSheetId="7">池田!$B$14</definedName>
    <definedName name="三位スコア" localSheetId="6">福澤!$B$14</definedName>
    <definedName name="三位スコア" localSheetId="5">澤川!$B$14</definedName>
    <definedName name="三位スコア">Template!$B$14</definedName>
    <definedName name="三位数" localSheetId="3">全体!$B$9</definedName>
    <definedName name="三位数" localSheetId="4">谷茂岡!$B$9</definedName>
    <definedName name="三位数" localSheetId="7">池田!$B$9</definedName>
    <definedName name="三位数" localSheetId="6">福澤!$B$9</definedName>
    <definedName name="三位数" localSheetId="5">澤川!$B$9</definedName>
    <definedName name="三位数">Template!$B$9</definedName>
    <definedName name="三位通算スコア" localSheetId="3">全体!$C$14</definedName>
    <definedName name="三位通算スコア" localSheetId="4">谷茂岡!$C$14</definedName>
    <definedName name="三位通算スコア" localSheetId="7">池田!$C$14</definedName>
    <definedName name="三位通算スコア" localSheetId="6">福澤!$C$14</definedName>
    <definedName name="三位通算スコア" localSheetId="5">澤川!$C$14</definedName>
    <definedName name="三位通算スコア">Template!$C$14</definedName>
    <definedName name="三位率" localSheetId="3">全体!$C$9</definedName>
    <definedName name="三位率" localSheetId="4">谷茂岡!$C$9</definedName>
    <definedName name="三位率" localSheetId="7">池田!$C$9</definedName>
    <definedName name="三位率" localSheetId="6">福澤!$C$9</definedName>
    <definedName name="三位率" localSheetId="5">澤川!$C$9</definedName>
    <definedName name="三位率">Template!$C$9</definedName>
    <definedName name="四位スコア" localSheetId="3">全体!$B$15</definedName>
    <definedName name="四位スコア" localSheetId="4">谷茂岡!$B$15</definedName>
    <definedName name="四位スコア" localSheetId="7">池田!$B$15</definedName>
    <definedName name="四位スコア" localSheetId="6">福澤!$B$15</definedName>
    <definedName name="四位スコア" localSheetId="5">澤川!$B$15</definedName>
    <definedName name="四位スコア">Template!$B$15</definedName>
    <definedName name="四位通算スコア" localSheetId="3">全体!$C$15</definedName>
    <definedName name="四位通算スコア" localSheetId="4">谷茂岡!$C$15</definedName>
    <definedName name="四位通算スコア" localSheetId="7">池田!$C$15</definedName>
    <definedName name="四位通算スコア" localSheetId="6">福澤!$C$15</definedName>
    <definedName name="四位通算スコア" localSheetId="5">澤川!$C$15</definedName>
    <definedName name="四位通算スコア">Template!$C$15</definedName>
    <definedName name="総局数" localSheetId="3">全体!$B$3</definedName>
    <definedName name="総局数" localSheetId="4">谷茂岡!$B$3</definedName>
    <definedName name="総局数" localSheetId="7">池田!$B$3</definedName>
    <definedName name="総局数" localSheetId="6">福澤!$B$3</definedName>
    <definedName name="総局数" localSheetId="5">澤川!$B$3</definedName>
    <definedName name="総局数">Template!$B$3</definedName>
    <definedName name="対戦数" localSheetId="3">全体!$B$2</definedName>
    <definedName name="対戦数" localSheetId="4">谷茂岡!$B$2</definedName>
    <definedName name="対戦数" localSheetId="7">池田!$B$2</definedName>
    <definedName name="対戦数" localSheetId="6">福澤!$B$2</definedName>
    <definedName name="対戦数" localSheetId="5">澤川!$B$2</definedName>
    <definedName name="対戦数">Template!$B$2</definedName>
    <definedName name="通算アガリ点" localSheetId="3">全体!$C$29</definedName>
    <definedName name="通算アガリ点" localSheetId="4">谷茂岡!$C$29</definedName>
    <definedName name="通算アガリ点" localSheetId="7">池田!$C$29</definedName>
    <definedName name="通算アガリ点" localSheetId="6">福澤!$C$29</definedName>
    <definedName name="通算アガリ点" localSheetId="5">澤川!$C$29</definedName>
    <definedName name="通算アガリ点">Template!$C$29</definedName>
    <definedName name="通算スコア" localSheetId="3">全体!$B$4</definedName>
    <definedName name="通算スコア" localSheetId="4">谷茂岡!$B$4</definedName>
    <definedName name="通算スコア" localSheetId="7">池田!$B$4</definedName>
    <definedName name="通算スコア" localSheetId="6">福澤!$B$4</definedName>
    <definedName name="通算スコア" localSheetId="5">澤川!$B$4</definedName>
    <definedName name="通算スコア">Template!$B$4</definedName>
    <definedName name="通算副露アガリ点" localSheetId="3">全体!$C$31</definedName>
    <definedName name="通算副露アガリ点" localSheetId="4">谷茂岡!$C$31</definedName>
    <definedName name="通算副露アガリ点" localSheetId="7">池田!$C$31</definedName>
    <definedName name="通算副露アガリ点" localSheetId="6">福澤!$C$31</definedName>
    <definedName name="通算副露アガリ点" localSheetId="5">澤川!$C$31</definedName>
    <definedName name="通算副露アガリ点">Template!$C$31</definedName>
    <definedName name="通算放銃点" localSheetId="3">全体!$C$32</definedName>
    <definedName name="通算放銃点" localSheetId="4">谷茂岡!$C$32</definedName>
    <definedName name="通算放銃点" localSheetId="7">池田!$C$32</definedName>
    <definedName name="通算放銃点" localSheetId="6">福澤!$C$32</definedName>
    <definedName name="通算放銃点" localSheetId="5">澤川!$C$32</definedName>
    <definedName name="通算放銃点">Template!$C$32</definedName>
    <definedName name="通算門前アガリ点" localSheetId="3">全体!$C$30</definedName>
    <definedName name="通算門前アガリ点" localSheetId="4">谷茂岡!$C$30</definedName>
    <definedName name="通算門前アガリ点" localSheetId="7">池田!$C$30</definedName>
    <definedName name="通算門前アガリ点" localSheetId="6">福澤!$C$30</definedName>
    <definedName name="通算門前アガリ点" localSheetId="5">澤川!$C$30</definedName>
    <definedName name="通算門前アガリ点">Template!$C$30</definedName>
    <definedName name="二位スコア" localSheetId="3">全体!$B$13</definedName>
    <definedName name="二位スコア" localSheetId="4">谷茂岡!$B$13</definedName>
    <definedName name="二位スコア" localSheetId="7">池田!$B$13</definedName>
    <definedName name="二位スコア" localSheetId="6">福澤!$B$13</definedName>
    <definedName name="二位スコア" localSheetId="5">澤川!$B$13</definedName>
    <definedName name="二位スコア">Template!$B$13</definedName>
    <definedName name="二位数" localSheetId="3">全体!$B$8</definedName>
    <definedName name="二位数" localSheetId="4">谷茂岡!$B$8</definedName>
    <definedName name="二位数" localSheetId="7">池田!$B$8</definedName>
    <definedName name="二位数" localSheetId="6">福澤!$B$8</definedName>
    <definedName name="二位数" localSheetId="5">澤川!$B$8</definedName>
    <definedName name="二位数">Template!$B$8</definedName>
    <definedName name="二位通算スコア" localSheetId="3">全体!$C$13</definedName>
    <definedName name="二位通算スコア" localSheetId="4">谷茂岡!$C$13</definedName>
    <definedName name="二位通算スコア" localSheetId="7">池田!$C$13</definedName>
    <definedName name="二位通算スコア" localSheetId="6">福澤!$C$13</definedName>
    <definedName name="二位通算スコア" localSheetId="5">澤川!$C$13</definedName>
    <definedName name="二位通算スコア">Template!$C$13</definedName>
    <definedName name="二位率" localSheetId="3">全体!$C$8</definedName>
    <definedName name="二位率" localSheetId="4">谷茂岡!$C$8</definedName>
    <definedName name="二位率" localSheetId="7">池田!$C$8</definedName>
    <definedName name="二位率" localSheetId="6">福澤!$C$8</definedName>
    <definedName name="二位率" localSheetId="5">澤川!$C$8</definedName>
    <definedName name="二位率">Template!$C$8</definedName>
    <definedName name="副露アガリ数" localSheetId="3">全体!$B$27</definedName>
    <definedName name="副露アガリ数" localSheetId="4">谷茂岡!$B$27</definedName>
    <definedName name="副露アガリ数" localSheetId="7">池田!$B$27</definedName>
    <definedName name="副露アガリ数" localSheetId="6">福澤!$B$27</definedName>
    <definedName name="副露アガリ数" localSheetId="5">澤川!$B$27</definedName>
    <definedName name="副露アガリ数">Template!$B$27</definedName>
    <definedName name="副露アガリ点" localSheetId="3">全体!$B$31</definedName>
    <definedName name="副露アガリ点" localSheetId="4">谷茂岡!$B$31</definedName>
    <definedName name="副露アガリ点" localSheetId="7">池田!$B$31</definedName>
    <definedName name="副露アガリ点" localSheetId="6">福澤!$B$31</definedName>
    <definedName name="副露アガリ点" localSheetId="5">澤川!$B$31</definedName>
    <definedName name="副露アガリ点">Template!$B$31</definedName>
    <definedName name="副露アガリ率" localSheetId="3">全体!$C$27</definedName>
    <definedName name="副露アガリ率" localSheetId="4">谷茂岡!$C$27</definedName>
    <definedName name="副露アガリ率" localSheetId="7">池田!$C$27</definedName>
    <definedName name="副露アガリ率" localSheetId="6">福澤!$C$27</definedName>
    <definedName name="副露アガリ率" localSheetId="5">澤川!$C$27</definedName>
    <definedName name="副露アガリ率">Template!$C$27</definedName>
    <definedName name="副露数" localSheetId="3">全体!$B$19</definedName>
    <definedName name="副露数" localSheetId="4">谷茂岡!$B$19</definedName>
    <definedName name="副露数" localSheetId="7">池田!$B$19</definedName>
    <definedName name="副露数" localSheetId="6">福澤!$B$19</definedName>
    <definedName name="副露数" localSheetId="5">澤川!$B$19</definedName>
    <definedName name="副露数">Template!$B$19</definedName>
    <definedName name="副露成功数" localSheetId="3">全体!$B$21</definedName>
    <definedName name="副露成功数" localSheetId="4">谷茂岡!$B$21</definedName>
    <definedName name="副露成功数" localSheetId="7">池田!$B$21</definedName>
    <definedName name="副露成功数" localSheetId="6">福澤!$B$21</definedName>
    <definedName name="副露成功数" localSheetId="5">澤川!$B$21</definedName>
    <definedName name="副露成功数">Template!$B$21</definedName>
    <definedName name="副露成功率" localSheetId="3">全体!$C$21</definedName>
    <definedName name="副露成功率" localSheetId="4">谷茂岡!$C$21</definedName>
    <definedName name="副露成功率" localSheetId="7">池田!$C$21</definedName>
    <definedName name="副露成功率" localSheetId="6">福澤!$C$21</definedName>
    <definedName name="副露成功率" localSheetId="5">澤川!$C$21</definedName>
    <definedName name="副露成功率">Template!$C$21</definedName>
    <definedName name="副露率" localSheetId="3">全体!$C$19</definedName>
    <definedName name="副露率" localSheetId="4">谷茂岡!$C$19</definedName>
    <definedName name="副露率" localSheetId="7">池田!$C$19</definedName>
    <definedName name="副露率" localSheetId="6">福澤!$C$19</definedName>
    <definedName name="副露率" localSheetId="5">澤川!$C$19</definedName>
    <definedName name="副露率">Template!$C$19</definedName>
    <definedName name="平均アガリ点" localSheetId="3">全体!$B$29</definedName>
    <definedName name="平均アガリ点" localSheetId="4">谷茂岡!$B$29</definedName>
    <definedName name="平均アガリ点" localSheetId="7">池田!$B$29</definedName>
    <definedName name="平均アガリ点" localSheetId="6">福澤!$B$29</definedName>
    <definedName name="平均アガリ点" localSheetId="5">澤川!$B$29</definedName>
    <definedName name="平均アガリ点">Template!$B$29</definedName>
    <definedName name="平均スコア" localSheetId="3">全体!$B$5</definedName>
    <definedName name="平均スコア" localSheetId="4">谷茂岡!$B$5</definedName>
    <definedName name="平均スコア" localSheetId="7">池田!$B$5</definedName>
    <definedName name="平均スコア" localSheetId="6">福澤!$B$5</definedName>
    <definedName name="平均スコア" localSheetId="5">澤川!$B$5</definedName>
    <definedName name="平均スコア">Template!$B$5</definedName>
    <definedName name="平均順位" localSheetId="3">全体!$B$6</definedName>
    <definedName name="平均順位" localSheetId="4">谷茂岡!$B$6</definedName>
    <definedName name="平均順位" localSheetId="7">池田!$B$6</definedName>
    <definedName name="平均順位" localSheetId="6">福澤!$B$6</definedName>
    <definedName name="平均順位" localSheetId="5">澤川!$B$6</definedName>
    <definedName name="平均順位">Template!$B$6</definedName>
    <definedName name="平均放銃点" localSheetId="3">全体!$B$32</definedName>
    <definedName name="平均放銃点" localSheetId="4">谷茂岡!$B$32</definedName>
    <definedName name="平均放銃点" localSheetId="7">池田!$B$32</definedName>
    <definedName name="平均放銃点" localSheetId="6">福澤!$B$32</definedName>
    <definedName name="平均放銃点" localSheetId="5">澤川!$B$32</definedName>
    <definedName name="平均放銃点">Template!$B$32</definedName>
    <definedName name="放銃数" localSheetId="3">全体!$B$23</definedName>
    <definedName name="放銃数" localSheetId="4">谷茂岡!$B$23</definedName>
    <definedName name="放銃数" localSheetId="7">池田!$B$23</definedName>
    <definedName name="放銃数" localSheetId="6">福澤!$B$23</definedName>
    <definedName name="放銃数" localSheetId="5">澤川!$B$23</definedName>
    <definedName name="放銃数">Template!$B$23</definedName>
    <definedName name="放銃率" localSheetId="3">全体!$C$23</definedName>
    <definedName name="放銃率" localSheetId="4">谷茂岡!$C$23</definedName>
    <definedName name="放銃率" localSheetId="7">池田!$C$23</definedName>
    <definedName name="放銃率" localSheetId="6">福澤!$C$23</definedName>
    <definedName name="放銃率" localSheetId="5">澤川!$C$23</definedName>
    <definedName name="放銃率">Template!$C$23</definedName>
    <definedName name="名前" localSheetId="3">全体!$B$1</definedName>
    <definedName name="名前" localSheetId="4">谷茂岡!$B$1</definedName>
    <definedName name="名前" localSheetId="7">池田!$B$1</definedName>
    <definedName name="名前" localSheetId="6">福澤!$B$1</definedName>
    <definedName name="名前" localSheetId="5">澤川!$B$1</definedName>
    <definedName name="名前">Template!$B$1</definedName>
    <definedName name="門前アガリ点" localSheetId="3">全体!$B$30</definedName>
    <definedName name="門前アガリ点" localSheetId="4">谷茂岡!$B$30</definedName>
    <definedName name="門前アガリ点" localSheetId="7">池田!$B$30</definedName>
    <definedName name="門前アガリ点" localSheetId="6">福澤!$B$30</definedName>
    <definedName name="門前アガリ点" localSheetId="5">澤川!$B$30</definedName>
    <definedName name="門前アガリ点">Template!$B$30</definedName>
    <definedName name="連続アガリ" localSheetId="3">全体!$B$33</definedName>
    <definedName name="連続アガリ" localSheetId="4">谷茂岡!$B$33</definedName>
    <definedName name="連続アガリ" localSheetId="7">池田!$B$33</definedName>
    <definedName name="連続アガリ" localSheetId="6">福澤!$B$33</definedName>
    <definedName name="連続アガリ" localSheetId="5">澤川!$B$33</definedName>
    <definedName name="連続アガリ">Template!$B$33</definedName>
    <definedName name="連続無放銃" localSheetId="3">全体!$B$34</definedName>
    <definedName name="連続無放銃" localSheetId="4">谷茂岡!$B$34</definedName>
    <definedName name="連続無放銃" localSheetId="7">池田!$B$34</definedName>
    <definedName name="連続無放銃" localSheetId="6">福澤!$B$34</definedName>
    <definedName name="連続無放銃" localSheetId="5">澤川!$B$34</definedName>
    <definedName name="連続無放銃">Template!$B$34</definedName>
    <definedName name="連対数" localSheetId="3">全体!$B$11</definedName>
    <definedName name="連対数" localSheetId="4">谷茂岡!$B$11</definedName>
    <definedName name="連対数" localSheetId="7">池田!$B$11</definedName>
    <definedName name="連対数" localSheetId="6">福澤!$B$11</definedName>
    <definedName name="連対数" localSheetId="5">澤川!$B$11</definedName>
    <definedName name="連対数">Template!$B$11</definedName>
    <definedName name="連対率" localSheetId="3">全体!$C$11</definedName>
    <definedName name="連対率" localSheetId="4">谷茂岡!$C$11</definedName>
    <definedName name="連対率" localSheetId="7">池田!$C$11</definedName>
    <definedName name="連対率" localSheetId="6">福澤!$C$11</definedName>
    <definedName name="連対率" localSheetId="5">澤川!$C$11</definedName>
    <definedName name="連対率">Template!$C$11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20" i="3386" l="1"/>
  <c r="O19" i="3386"/>
  <c r="O18" i="3386"/>
  <c r="C37" i="3386"/>
  <c r="B32" i="3386"/>
  <c r="C23" i="3386"/>
  <c r="B22" i="3386"/>
  <c r="C52" i="3386" s="1"/>
  <c r="B21" i="3386"/>
  <c r="B31" i="3386" s="1"/>
  <c r="B20" i="3386"/>
  <c r="C20" i="3386" s="1"/>
  <c r="C19" i="3386"/>
  <c r="C18" i="3386"/>
  <c r="C17" i="3386"/>
  <c r="O15" i="3386"/>
  <c r="B15" i="3386"/>
  <c r="O14" i="3386"/>
  <c r="B14" i="3386"/>
  <c r="O13" i="3386"/>
  <c r="B13" i="3386"/>
  <c r="O12" i="3386"/>
  <c r="B12" i="3386"/>
  <c r="B11" i="3386"/>
  <c r="C11" i="3386" s="1"/>
  <c r="C10" i="3386"/>
  <c r="O9" i="3386"/>
  <c r="C9" i="3386"/>
  <c r="O8" i="3386"/>
  <c r="C8" i="3386"/>
  <c r="O7" i="3386"/>
  <c r="C7" i="3386"/>
  <c r="O6" i="3386"/>
  <c r="B6" i="3386"/>
  <c r="O5" i="3386"/>
  <c r="B5" i="3386"/>
  <c r="O4" i="3386"/>
  <c r="O3" i="3386"/>
  <c r="O2" i="3386"/>
  <c r="O19" i="3385"/>
  <c r="O18" i="3385"/>
  <c r="O20" i="3385"/>
  <c r="C37" i="3385"/>
  <c r="B32" i="3385"/>
  <c r="C23" i="3385"/>
  <c r="B22" i="3385"/>
  <c r="C52" i="3385" s="1"/>
  <c r="C21" i="3385"/>
  <c r="B21" i="3385"/>
  <c r="B31" i="3385" s="1"/>
  <c r="B20" i="3385"/>
  <c r="C20" i="3385" s="1"/>
  <c r="C19" i="3385"/>
  <c r="C18" i="3385"/>
  <c r="C17" i="3385"/>
  <c r="O15" i="3385"/>
  <c r="B15" i="3385"/>
  <c r="O14" i="3385"/>
  <c r="B14" i="3385"/>
  <c r="O13" i="3385"/>
  <c r="B13" i="3385"/>
  <c r="B16" i="3385" s="1"/>
  <c r="O12" i="3385"/>
  <c r="B12" i="3385"/>
  <c r="B11" i="3385"/>
  <c r="C11" i="3385" s="1"/>
  <c r="C10" i="3385"/>
  <c r="O9" i="3385"/>
  <c r="C9" i="3385"/>
  <c r="O8" i="3385"/>
  <c r="C8" i="3385"/>
  <c r="O7" i="3385"/>
  <c r="C7" i="3385"/>
  <c r="O6" i="3385"/>
  <c r="B6" i="3385"/>
  <c r="O5" i="3385"/>
  <c r="B5" i="3385"/>
  <c r="O4" i="3385"/>
  <c r="O3" i="3385"/>
  <c r="O2" i="3385"/>
  <c r="O18" i="3384"/>
  <c r="O20" i="3384"/>
  <c r="O19" i="3384"/>
  <c r="C37" i="3384"/>
  <c r="B32" i="3384"/>
  <c r="C23" i="3384"/>
  <c r="B22" i="3384"/>
  <c r="C52" i="3384" s="1"/>
  <c r="B21" i="3384"/>
  <c r="B31" i="3384" s="1"/>
  <c r="B20" i="3384"/>
  <c r="C20" i="3384" s="1"/>
  <c r="C19" i="3384"/>
  <c r="C18" i="3384"/>
  <c r="C17" i="3384"/>
  <c r="O15" i="3384"/>
  <c r="B15" i="3384"/>
  <c r="O14" i="3384"/>
  <c r="B14" i="3384"/>
  <c r="O13" i="3384"/>
  <c r="B13" i="3384"/>
  <c r="O12" i="3384"/>
  <c r="B12" i="3384"/>
  <c r="B11" i="3384"/>
  <c r="C11" i="3384" s="1"/>
  <c r="C10" i="3384"/>
  <c r="O9" i="3384"/>
  <c r="C9" i="3384"/>
  <c r="O8" i="3384"/>
  <c r="C8" i="3384"/>
  <c r="O7" i="3384"/>
  <c r="C7" i="3384"/>
  <c r="O6" i="3384"/>
  <c r="B6" i="3384"/>
  <c r="O5" i="3384"/>
  <c r="B5" i="3384"/>
  <c r="O4" i="3384"/>
  <c r="O3" i="3384"/>
  <c r="O2" i="3384"/>
  <c r="O18" i="3382"/>
  <c r="O20" i="3383"/>
  <c r="O19" i="3383"/>
  <c r="O18" i="3383"/>
  <c r="C37" i="3383"/>
  <c r="B32" i="3383"/>
  <c r="C23" i="3383"/>
  <c r="B22" i="3383"/>
  <c r="C51" i="3383" s="1"/>
  <c r="C21" i="3383"/>
  <c r="B21" i="3383"/>
  <c r="B31" i="3383" s="1"/>
  <c r="B20" i="3383"/>
  <c r="C20" i="3383" s="1"/>
  <c r="H22" i="3383"/>
  <c r="C19" i="3383"/>
  <c r="C18" i="3383"/>
  <c r="C17" i="3383"/>
  <c r="O15" i="3383"/>
  <c r="B15" i="3383"/>
  <c r="O14" i="3383"/>
  <c r="B14" i="3383"/>
  <c r="O13" i="3383"/>
  <c r="B13" i="3383"/>
  <c r="O12" i="3383"/>
  <c r="B12" i="3383"/>
  <c r="B11" i="3383"/>
  <c r="C11" i="3383" s="1"/>
  <c r="C10" i="3383"/>
  <c r="O9" i="3383"/>
  <c r="C9" i="3383"/>
  <c r="O8" i="3383"/>
  <c r="C8" i="3383"/>
  <c r="O7" i="3383"/>
  <c r="C7" i="3383"/>
  <c r="O6" i="3383"/>
  <c r="B6" i="3383"/>
  <c r="O5" i="3383"/>
  <c r="B5" i="3383"/>
  <c r="O4" i="3383"/>
  <c r="O3" i="3383"/>
  <c r="O2" i="3383"/>
  <c r="O21" i="3382"/>
  <c r="O20" i="3382"/>
  <c r="O19" i="3382"/>
  <c r="C37" i="3382"/>
  <c r="B32" i="3382"/>
  <c r="C23" i="3382"/>
  <c r="B22" i="3382"/>
  <c r="C52" i="3382" s="1"/>
  <c r="B21" i="3382"/>
  <c r="C21" i="3382" s="1"/>
  <c r="B20" i="3382"/>
  <c r="C20" i="3382" s="1"/>
  <c r="C19" i="3382"/>
  <c r="C18" i="3382"/>
  <c r="C17" i="3382"/>
  <c r="O15" i="3382"/>
  <c r="B15" i="3382"/>
  <c r="O14" i="3382"/>
  <c r="B14" i="3382"/>
  <c r="O13" i="3382"/>
  <c r="B13" i="3382"/>
  <c r="O12" i="3382"/>
  <c r="B12" i="3382"/>
  <c r="B11" i="3382"/>
  <c r="C11" i="3382" s="1"/>
  <c r="C10" i="3382"/>
  <c r="O9" i="3382"/>
  <c r="C9" i="3382"/>
  <c r="O8" i="3382"/>
  <c r="C8" i="3382"/>
  <c r="O7" i="3382"/>
  <c r="C7" i="3382"/>
  <c r="O6" i="3382"/>
  <c r="B6" i="3382"/>
  <c r="O5" i="3382"/>
  <c r="B5" i="3382"/>
  <c r="O4" i="3382"/>
  <c r="O3" i="3382"/>
  <c r="O2" i="3382"/>
  <c r="H37" i="3383" l="1"/>
  <c r="B29" i="3383"/>
  <c r="B16" i="3384"/>
  <c r="C21" i="3384"/>
  <c r="B16" i="3386"/>
  <c r="H18" i="3385"/>
  <c r="H28" i="3385"/>
  <c r="H10" i="3385"/>
  <c r="H15" i="3385"/>
  <c r="C26" i="3385"/>
  <c r="H22" i="3385"/>
  <c r="H5" i="3385"/>
  <c r="H36" i="3385"/>
  <c r="B16" i="3383"/>
  <c r="C41" i="3383"/>
  <c r="H24" i="3383"/>
  <c r="C45" i="3383"/>
  <c r="H21" i="3383"/>
  <c r="C27" i="3383"/>
  <c r="H34" i="3383"/>
  <c r="C42" i="3383"/>
  <c r="H9" i="3383"/>
  <c r="C22" i="3383"/>
  <c r="H29" i="3383"/>
  <c r="H36" i="3383"/>
  <c r="C44" i="3383"/>
  <c r="H15" i="3383"/>
  <c r="H10" i="3383"/>
  <c r="H13" i="3383"/>
  <c r="H26" i="3383"/>
  <c r="H40" i="3383"/>
  <c r="C48" i="3383"/>
  <c r="H18" i="3383"/>
  <c r="B30" i="3383"/>
  <c r="C47" i="3383"/>
  <c r="H4" i="3383"/>
  <c r="H31" i="3383"/>
  <c r="H19" i="3383"/>
  <c r="C25" i="3383"/>
  <c r="C40" i="3383"/>
  <c r="C49" i="3383"/>
  <c r="H5" i="3383"/>
  <c r="H16" i="3383"/>
  <c r="C26" i="3383"/>
  <c r="C52" i="3383"/>
  <c r="H11" i="3383"/>
  <c r="H2" i="3383"/>
  <c r="H23" i="3383"/>
  <c r="H27" i="3383"/>
  <c r="H33" i="3383"/>
  <c r="H42" i="3383"/>
  <c r="C21" i="3386"/>
  <c r="H4" i="3386"/>
  <c r="H18" i="3386"/>
  <c r="H36" i="3386"/>
  <c r="C22" i="3386"/>
  <c r="C41" i="3386"/>
  <c r="H21" i="3386"/>
  <c r="C26" i="3386"/>
  <c r="C42" i="3386"/>
  <c r="C27" i="3386"/>
  <c r="C47" i="3386"/>
  <c r="H2" i="3386"/>
  <c r="H6" i="3386"/>
  <c r="H17" i="3386"/>
  <c r="B30" i="3386"/>
  <c r="C49" i="3386"/>
  <c r="H11" i="3386"/>
  <c r="H14" i="3386"/>
  <c r="H20" i="3386"/>
  <c r="H23" i="3386"/>
  <c r="C25" i="3386"/>
  <c r="B29" i="3386"/>
  <c r="H34" i="3386"/>
  <c r="C40" i="3386"/>
  <c r="C45" i="3386"/>
  <c r="H26" i="3386"/>
  <c r="H30" i="3386"/>
  <c r="H35" i="3386"/>
  <c r="H41" i="3386"/>
  <c r="C46" i="3386"/>
  <c r="H10" i="3386"/>
  <c r="H15" i="3386"/>
  <c r="H12" i="3386"/>
  <c r="H27" i="3386"/>
  <c r="H31" i="3386"/>
  <c r="H37" i="3386"/>
  <c r="H42" i="3386"/>
  <c r="C48" i="3386"/>
  <c r="H3" i="3386"/>
  <c r="H9" i="3386"/>
  <c r="H22" i="3386"/>
  <c r="H24" i="3386"/>
  <c r="H28" i="3386"/>
  <c r="H32" i="3386"/>
  <c r="H38" i="3386"/>
  <c r="H7" i="3386"/>
  <c r="C50" i="3386"/>
  <c r="H13" i="3386"/>
  <c r="H16" i="3386"/>
  <c r="H19" i="3386"/>
  <c r="C24" i="3386"/>
  <c r="C28" i="3386"/>
  <c r="H39" i="3386"/>
  <c r="C43" i="3386"/>
  <c r="C51" i="3386"/>
  <c r="H8" i="3386"/>
  <c r="H5" i="3386"/>
  <c r="H25" i="3386"/>
  <c r="H29" i="3386"/>
  <c r="H33" i="3386"/>
  <c r="H40" i="3386"/>
  <c r="C44" i="3386"/>
  <c r="H19" i="3385"/>
  <c r="H8" i="3385"/>
  <c r="C40" i="3385"/>
  <c r="H2" i="3385"/>
  <c r="C41" i="3385"/>
  <c r="H12" i="3385"/>
  <c r="C25" i="3385"/>
  <c r="H42" i="3385"/>
  <c r="H4" i="3385"/>
  <c r="H9" i="3385"/>
  <c r="H16" i="3385"/>
  <c r="H31" i="3385"/>
  <c r="C42" i="3385"/>
  <c r="H11" i="3385"/>
  <c r="C45" i="3385"/>
  <c r="H21" i="3385"/>
  <c r="C22" i="3385"/>
  <c r="H34" i="3385"/>
  <c r="C47" i="3385"/>
  <c r="B30" i="3385"/>
  <c r="H24" i="3385"/>
  <c r="C27" i="3385"/>
  <c r="H37" i="3385"/>
  <c r="C48" i="3385"/>
  <c r="B29" i="3385"/>
  <c r="C49" i="3385"/>
  <c r="H27" i="3385"/>
  <c r="H30" i="3385"/>
  <c r="H35" i="3385"/>
  <c r="H41" i="3385"/>
  <c r="C46" i="3385"/>
  <c r="H23" i="3385"/>
  <c r="H25" i="3385"/>
  <c r="H29" i="3385"/>
  <c r="H32" i="3385"/>
  <c r="H38" i="3385"/>
  <c r="H3" i="3385"/>
  <c r="C50" i="3385"/>
  <c r="H14" i="3385"/>
  <c r="H17" i="3385"/>
  <c r="H20" i="3385"/>
  <c r="C24" i="3385"/>
  <c r="C28" i="3385"/>
  <c r="H39" i="3385"/>
  <c r="C43" i="3385"/>
  <c r="C51" i="3385"/>
  <c r="H6" i="3385"/>
  <c r="H7" i="3385"/>
  <c r="H26" i="3385"/>
  <c r="H13" i="3385"/>
  <c r="H33" i="3385"/>
  <c r="H40" i="3385"/>
  <c r="C44" i="3385"/>
  <c r="B16" i="3382"/>
  <c r="B31" i="3382"/>
  <c r="H11" i="3384"/>
  <c r="C22" i="3384"/>
  <c r="B29" i="3384"/>
  <c r="H6" i="3384"/>
  <c r="H16" i="3384"/>
  <c r="H22" i="3384"/>
  <c r="H24" i="3384"/>
  <c r="B30" i="3384"/>
  <c r="C40" i="3384"/>
  <c r="H19" i="3384"/>
  <c r="H31" i="3384"/>
  <c r="C41" i="3384"/>
  <c r="H39" i="3384"/>
  <c r="C24" i="3384"/>
  <c r="H42" i="3384"/>
  <c r="H10" i="3384"/>
  <c r="H8" i="3384"/>
  <c r="H17" i="3384"/>
  <c r="C25" i="3384"/>
  <c r="H34" i="3384"/>
  <c r="C43" i="3384"/>
  <c r="H9" i="3384"/>
  <c r="H21" i="3384"/>
  <c r="C26" i="3384"/>
  <c r="H36" i="3384"/>
  <c r="C45" i="3384"/>
  <c r="H23" i="3384"/>
  <c r="H27" i="3384"/>
  <c r="H37" i="3384"/>
  <c r="C47" i="3384"/>
  <c r="H15" i="3384"/>
  <c r="H18" i="3384"/>
  <c r="C28" i="3384"/>
  <c r="C48" i="3384"/>
  <c r="C51" i="3384"/>
  <c r="H13" i="3384"/>
  <c r="H30" i="3384"/>
  <c r="H35" i="3384"/>
  <c r="H41" i="3384"/>
  <c r="C46" i="3384"/>
  <c r="H5" i="3384"/>
  <c r="H20" i="3384"/>
  <c r="C27" i="3384"/>
  <c r="C42" i="3384"/>
  <c r="C49" i="3384"/>
  <c r="H4" i="3384"/>
  <c r="H14" i="3384"/>
  <c r="H12" i="3384"/>
  <c r="H25" i="3384"/>
  <c r="H28" i="3384"/>
  <c r="H32" i="3384"/>
  <c r="H38" i="3384"/>
  <c r="H2" i="3384"/>
  <c r="C50" i="3384"/>
  <c r="H7" i="3384"/>
  <c r="H3" i="3384"/>
  <c r="H26" i="3384"/>
  <c r="H29" i="3384"/>
  <c r="H33" i="3384"/>
  <c r="H40" i="3384"/>
  <c r="C44" i="3384"/>
  <c r="B30" i="3382"/>
  <c r="C40" i="3382"/>
  <c r="C41" i="3382"/>
  <c r="H4" i="3382"/>
  <c r="H42" i="3382"/>
  <c r="C47" i="3382"/>
  <c r="H9" i="3382"/>
  <c r="H24" i="3382"/>
  <c r="H15" i="3382"/>
  <c r="H31" i="3382"/>
  <c r="H13" i="3382"/>
  <c r="H21" i="3382"/>
  <c r="H34" i="3382"/>
  <c r="H10" i="3382"/>
  <c r="C48" i="3382"/>
  <c r="H28" i="3382"/>
  <c r="H37" i="3382"/>
  <c r="H8" i="3382"/>
  <c r="C22" i="3382"/>
  <c r="C45" i="3382"/>
  <c r="H18" i="3382"/>
  <c r="C25" i="3382"/>
  <c r="C26" i="3382"/>
  <c r="H36" i="3382"/>
  <c r="H19" i="3382"/>
  <c r="H25" i="3382"/>
  <c r="B29" i="3382"/>
  <c r="H7" i="3383"/>
  <c r="H30" i="3383"/>
  <c r="H35" i="3383"/>
  <c r="H41" i="3383"/>
  <c r="C46" i="3383"/>
  <c r="H3" i="3383"/>
  <c r="H12" i="3383"/>
  <c r="H6" i="3383"/>
  <c r="H25" i="3383"/>
  <c r="H28" i="3383"/>
  <c r="H32" i="3383"/>
  <c r="H38" i="3383"/>
  <c r="H8" i="3383"/>
  <c r="C50" i="3383"/>
  <c r="H14" i="3383"/>
  <c r="H17" i="3383"/>
  <c r="H20" i="3383"/>
  <c r="C24" i="3383"/>
  <c r="C28" i="3383"/>
  <c r="H39" i="3383"/>
  <c r="C43" i="3383"/>
  <c r="H14" i="3382"/>
  <c r="H30" i="3382"/>
  <c r="H35" i="3382"/>
  <c r="H41" i="3382"/>
  <c r="C46" i="3382"/>
  <c r="H26" i="3382"/>
  <c r="H5" i="3382"/>
  <c r="H22" i="3382"/>
  <c r="C27" i="3382"/>
  <c r="C42" i="3382"/>
  <c r="H12" i="3382"/>
  <c r="H29" i="3382"/>
  <c r="H32" i="3382"/>
  <c r="C50" i="3382"/>
  <c r="H17" i="3382"/>
  <c r="H20" i="3382"/>
  <c r="H23" i="3382"/>
  <c r="C24" i="3382"/>
  <c r="C28" i="3382"/>
  <c r="H39" i="3382"/>
  <c r="C43" i="3382"/>
  <c r="C51" i="3382"/>
  <c r="C49" i="3382"/>
  <c r="H2" i="3382"/>
  <c r="H11" i="3382"/>
  <c r="H38" i="3382"/>
  <c r="H3" i="3382"/>
  <c r="H7" i="3382"/>
  <c r="H6" i="3382"/>
  <c r="H27" i="3382"/>
  <c r="H16" i="3382"/>
  <c r="H33" i="3382"/>
  <c r="H40" i="3382"/>
  <c r="C44" i="3382"/>
  <c r="B15" i="2228" l="1"/>
  <c r="B14" i="2228"/>
  <c r="B13" i="2228"/>
  <c r="B12" i="2228"/>
  <c r="B16" i="2228" s="1"/>
  <c r="B6" i="2228" l="1"/>
  <c r="O5" i="2228" l="1"/>
  <c r="O12" i="2228"/>
  <c r="O13" i="2228"/>
  <c r="O6" i="2228"/>
  <c r="C11" i="2228" l="1"/>
  <c r="B11" i="2228"/>
  <c r="C10" i="2228"/>
  <c r="C8" i="2228"/>
  <c r="C9" i="2228"/>
  <c r="B21" i="2228" l="1"/>
  <c r="B20" i="2228"/>
  <c r="B5" i="2228"/>
  <c r="C22" i="2228"/>
  <c r="C23" i="2228"/>
  <c r="B32" i="2228"/>
  <c r="B31" i="2228" l="1"/>
  <c r="C21" i="2228"/>
  <c r="C37" i="2228" l="1"/>
  <c r="B22" i="2228"/>
  <c r="C20" i="2228"/>
  <c r="C19" i="2228"/>
  <c r="C18" i="2228"/>
  <c r="O15" i="2228"/>
  <c r="O14" i="2228"/>
  <c r="C17" i="2228"/>
  <c r="O9" i="2228"/>
  <c r="C7" i="2228"/>
  <c r="O8" i="2228"/>
  <c r="O7" i="2228"/>
  <c r="O4" i="2228"/>
  <c r="O3" i="2228"/>
  <c r="O2" i="2228"/>
  <c r="C28" i="2228" l="1"/>
  <c r="H9" i="2228"/>
  <c r="C26" i="2228"/>
  <c r="C25" i="2228"/>
  <c r="C24" i="2228"/>
  <c r="C27" i="2228"/>
  <c r="H6" i="2228"/>
  <c r="B30" i="2228"/>
  <c r="B29" i="2228"/>
  <c r="C42" i="2228"/>
  <c r="C52" i="2228"/>
  <c r="C44" i="2228"/>
  <c r="C51" i="2228"/>
  <c r="C43" i="2228"/>
  <c r="C50" i="2228"/>
  <c r="C41" i="2228"/>
  <c r="C49" i="2228"/>
  <c r="C40" i="2228"/>
  <c r="C48" i="2228"/>
  <c r="C47" i="2228"/>
  <c r="C46" i="2228"/>
  <c r="C45" i="2228"/>
  <c r="H3" i="2228"/>
  <c r="H5" i="2228"/>
  <c r="H13" i="2228"/>
  <c r="H2" i="2228"/>
  <c r="H4" i="2228"/>
  <c r="H8" i="2228"/>
  <c r="H10" i="2228"/>
  <c r="H7" i="2228"/>
  <c r="H15" i="2228"/>
  <c r="H21" i="2228"/>
  <c r="H12" i="2228"/>
  <c r="H11" i="2228"/>
  <c r="H14" i="2228"/>
  <c r="H16" i="2228"/>
  <c r="H18" i="2228"/>
  <c r="H20" i="2228"/>
  <c r="H23" i="2228"/>
  <c r="H26" i="2228"/>
  <c r="H29" i="2228"/>
  <c r="H33" i="2228"/>
  <c r="H37" i="2228"/>
  <c r="H41" i="2228"/>
  <c r="H42" i="2228"/>
  <c r="H30" i="2228"/>
  <c r="H34" i="2228"/>
  <c r="H38" i="2228"/>
  <c r="H17" i="2228"/>
  <c r="H19" i="2228"/>
  <c r="H22" i="2228"/>
  <c r="H24" i="2228"/>
  <c r="H27" i="2228"/>
  <c r="H31" i="2228"/>
  <c r="H35" i="2228"/>
  <c r="H39" i="2228"/>
  <c r="H25" i="2228"/>
  <c r="H28" i="2228"/>
  <c r="H32" i="2228"/>
  <c r="H36" i="2228"/>
  <c r="H40" i="2228"/>
</calcChain>
</file>

<file path=xl/sharedStrings.xml><?xml version="1.0" encoding="utf-8"?>
<sst xmlns="http://schemas.openxmlformats.org/spreadsheetml/2006/main" count="1153" uniqueCount="187">
  <si>
    <t>名前</t>
    <rPh sb="0" eb="2">
      <t>ナマエ</t>
    </rPh>
    <phoneticPr fontId="2"/>
  </si>
  <si>
    <t>平均順位</t>
    <rPh sb="0" eb="4">
      <t>ヘイキンジュンイ</t>
    </rPh>
    <phoneticPr fontId="2"/>
  </si>
  <si>
    <t>1位</t>
    <rPh sb="1" eb="2">
      <t>イ</t>
    </rPh>
    <phoneticPr fontId="2"/>
  </si>
  <si>
    <t>2位</t>
    <rPh sb="1" eb="2">
      <t>イ</t>
    </rPh>
    <phoneticPr fontId="2"/>
  </si>
  <si>
    <t>3位</t>
    <rPh sb="1" eb="2">
      <t>イ</t>
    </rPh>
    <phoneticPr fontId="2"/>
  </si>
  <si>
    <t>平均アガリ点</t>
    <rPh sb="0" eb="2">
      <t>ヘイキン</t>
    </rPh>
    <rPh sb="5" eb="6">
      <t>テン</t>
    </rPh>
    <phoneticPr fontId="2"/>
  </si>
  <si>
    <t>通算スコア</t>
    <rPh sb="0" eb="2">
      <t>ツウサン</t>
    </rPh>
    <phoneticPr fontId="2"/>
  </si>
  <si>
    <t>平均スコア</t>
    <rPh sb="0" eb="2">
      <t>ヘイキン</t>
    </rPh>
    <phoneticPr fontId="2"/>
  </si>
  <si>
    <t>総局数</t>
    <rPh sb="0" eb="2">
      <t>ソウキョク</t>
    </rPh>
    <rPh sb="2" eb="3">
      <t>スウ</t>
    </rPh>
    <phoneticPr fontId="2"/>
  </si>
  <si>
    <t>対戦数</t>
    <rPh sb="0" eb="2">
      <t>タイセン</t>
    </rPh>
    <rPh sb="2" eb="3">
      <t>スウ</t>
    </rPh>
    <phoneticPr fontId="2"/>
  </si>
  <si>
    <t>アガリ</t>
    <phoneticPr fontId="2"/>
  </si>
  <si>
    <t>ロン</t>
    <phoneticPr fontId="2"/>
  </si>
  <si>
    <t>ツモ</t>
    <phoneticPr fontId="2"/>
  </si>
  <si>
    <t>放銃</t>
    <rPh sb="0" eb="2">
      <t>ホウジュウ</t>
    </rPh>
    <phoneticPr fontId="2"/>
  </si>
  <si>
    <t>トップ率</t>
    <rPh sb="3" eb="4">
      <t>リツ</t>
    </rPh>
    <phoneticPr fontId="2"/>
  </si>
  <si>
    <t>平均順位</t>
    <rPh sb="0" eb="4">
      <t>ヘイキン</t>
    </rPh>
    <phoneticPr fontId="2"/>
  </si>
  <si>
    <t>平均放銃点</t>
    <rPh sb="0" eb="2">
      <t>ヘイキン</t>
    </rPh>
    <rPh sb="2" eb="4">
      <t>ホウジュウ</t>
    </rPh>
    <rPh sb="4" eb="5">
      <t>テン</t>
    </rPh>
    <phoneticPr fontId="2"/>
  </si>
  <si>
    <t>ふっとび</t>
    <phoneticPr fontId="2"/>
  </si>
  <si>
    <t>回</t>
    <rPh sb="0" eb="1">
      <t>カイ</t>
    </rPh>
    <phoneticPr fontId="2"/>
  </si>
  <si>
    <t>一発</t>
  </si>
  <si>
    <t>ドラ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</si>
  <si>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</si>
  <si>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</si>
  <si>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</si>
  <si>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</si>
  <si>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</si>
  <si>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</si>
  <si>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</si>
  <si>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</si>
  <si>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</si>
  <si>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</si>
  <si>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</si>
  <si>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</si>
  <si>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</si>
  <si>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</si>
  <si>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</si>
  <si>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</si>
  <si>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</si>
  <si>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</si>
  <si>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</si>
  <si>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</si>
  <si>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</si>
  <si>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</si>
  <si>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</si>
  <si>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</si>
  <si>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</si>
  <si>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</si>
  <si>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</si>
  <si>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</si>
  <si>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</si>
  <si>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</si>
  <si>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</si>
  <si>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</si>
  <si>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</si>
  <si>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</si>
  <si>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</si>
  <si>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</si>
  <si>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</si>
  <si>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</si>
  <si>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</si>
  <si>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</si>
  <si>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</si>
  <si>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</si>
  <si>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</si>
  <si>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</si>
  <si>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</si>
  <si>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</si>
  <si>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</si>
  <si>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</si>
  <si>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</si>
  <si>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</si>
  <si>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</si>
  <si>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</si>
  <si>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</si>
  <si>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</si>
  <si>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</si>
  <si>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</si>
  <si>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</si>
  <si>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</si>
  <si>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</si>
  <si>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</si>
  <si>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</si>
  <si>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</si>
  <si>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</si>
  <si>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</si>
  <si>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</si>
  <si>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</si>
  <si>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</si>
  <si>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</si>
  <si>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</si>
  <si>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</si>
  <si>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役</t>
    <rPh sb="0" eb="1">
      <t>ヤク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</si>
  <si>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</si>
  <si>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</si>
  <si>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副露</t>
    <rPh sb="0" eb="2">
      <t>フーロ</t>
    </rPh>
    <phoneticPr fontId="2"/>
  </si>
  <si>
    <t>副露率</t>
    <rPh sb="0" eb="2">
      <t>フーロ</t>
    </rPh>
    <rPh sb="2" eb="3">
      <t>リツ</t>
    </rPh>
    <phoneticPr fontId="2"/>
  </si>
  <si>
    <t>スコア</t>
    <phoneticPr fontId="2"/>
  </si>
  <si>
    <t>リーチ</t>
    <phoneticPr fontId="2"/>
  </si>
  <si>
    <t>リーチ率</t>
    <rPh sb="3" eb="4">
      <t>リツ</t>
    </rPh>
    <phoneticPr fontId="2"/>
  </si>
  <si>
    <t>リーチ成功</t>
    <rPh sb="3" eb="5">
      <t>セイコウ</t>
    </rPh>
    <phoneticPr fontId="2"/>
  </si>
  <si>
    <t>副露成功</t>
    <rPh sb="0" eb="2">
      <t>フーロ</t>
    </rPh>
    <rPh sb="2" eb="4">
      <t>セイコウ</t>
    </rPh>
    <phoneticPr fontId="2"/>
  </si>
  <si>
    <t>リーチ成功率</t>
    <rPh sb="3" eb="5">
      <t>セイコウ</t>
    </rPh>
    <rPh sb="5" eb="6">
      <t>リツ</t>
    </rPh>
    <phoneticPr fontId="2"/>
  </si>
  <si>
    <t>東1局</t>
    <rPh sb="0" eb="1">
      <t>ヒガシ</t>
    </rPh>
    <rPh sb="2" eb="3">
      <t>キョク</t>
    </rPh>
    <phoneticPr fontId="2"/>
  </si>
  <si>
    <t>東2局</t>
    <rPh sb="0" eb="1">
      <t>ヒガシ</t>
    </rPh>
    <rPh sb="2" eb="3">
      <t>キョク</t>
    </rPh>
    <phoneticPr fontId="2"/>
  </si>
  <si>
    <t>東3局</t>
    <rPh sb="0" eb="1">
      <t>ヒガシ</t>
    </rPh>
    <rPh sb="2" eb="3">
      <t>キョク</t>
    </rPh>
    <phoneticPr fontId="2"/>
  </si>
  <si>
    <t>南1局</t>
    <rPh sb="0" eb="1">
      <t>ミナミ</t>
    </rPh>
    <rPh sb="2" eb="3">
      <t>キョク</t>
    </rPh>
    <phoneticPr fontId="2"/>
  </si>
  <si>
    <t>南2局</t>
    <rPh sb="0" eb="1">
      <t>ミナミ</t>
    </rPh>
    <rPh sb="2" eb="3">
      <t>キョク</t>
    </rPh>
    <phoneticPr fontId="2"/>
  </si>
  <si>
    <t>南3局</t>
    <rPh sb="0" eb="1">
      <t>ミナミ</t>
    </rPh>
    <rPh sb="2" eb="3">
      <t>キョク</t>
    </rPh>
    <phoneticPr fontId="2"/>
  </si>
  <si>
    <t>局</t>
    <rPh sb="0" eb="1">
      <t>キョク</t>
    </rPh>
    <phoneticPr fontId="2"/>
  </si>
  <si>
    <t>平均点数</t>
    <rPh sb="0" eb="2">
      <t>ヘイキン</t>
    </rPh>
    <rPh sb="2" eb="4">
      <t>テンスウ</t>
    </rPh>
    <phoneticPr fontId="2"/>
  </si>
  <si>
    <t>最大ドラ数</t>
    <rPh sb="0" eb="2">
      <t>サイダイ</t>
    </rPh>
    <rPh sb="4" eb="5">
      <t>スウ</t>
    </rPh>
    <phoneticPr fontId="2"/>
  </si>
  <si>
    <t>チョンボ</t>
    <phoneticPr fontId="2"/>
  </si>
  <si>
    <t>ツモ率</t>
    <rPh sb="2" eb="3">
      <t>リツ</t>
    </rPh>
    <phoneticPr fontId="2"/>
  </si>
  <si>
    <t>アガリ率</t>
    <rPh sb="3" eb="4">
      <t>リ</t>
    </rPh>
    <phoneticPr fontId="2"/>
  </si>
  <si>
    <t>放銃率</t>
    <rPh sb="0" eb="3">
      <t>ホウジュウリツ</t>
    </rPh>
    <phoneticPr fontId="2"/>
  </si>
  <si>
    <t>副露成功率</t>
    <rPh sb="0" eb="2">
      <t>フーロ</t>
    </rPh>
    <rPh sb="2" eb="5">
      <t>セイコウリツ</t>
    </rPh>
    <phoneticPr fontId="2"/>
  </si>
  <si>
    <t>順位</t>
    <rPh sb="0" eb="2">
      <t>ジュンイ</t>
    </rPh>
    <phoneticPr fontId="2"/>
  </si>
  <si>
    <t>相手</t>
    <rPh sb="0" eb="2">
      <t>アイテ</t>
    </rPh>
    <phoneticPr fontId="2"/>
  </si>
  <si>
    <t>スコア</t>
    <phoneticPr fontId="2"/>
  </si>
  <si>
    <t>回数</t>
    <rPh sb="0" eb="2">
      <t>カイスウ</t>
    </rPh>
    <phoneticPr fontId="2"/>
  </si>
  <si>
    <t>合計</t>
    <rPh sb="0" eb="2">
      <t>ゴウケイ</t>
    </rPh>
    <phoneticPr fontId="2"/>
  </si>
  <si>
    <t>合計</t>
    <rPh sb="0" eb="2">
      <t>ゴウケイ</t>
    </rPh>
    <phoneticPr fontId="2"/>
  </si>
  <si>
    <t>相関</t>
    <rPh sb="0" eb="2">
      <t>ソウカン</t>
    </rPh>
    <phoneticPr fontId="2"/>
  </si>
  <si>
    <t>ラス率</t>
    <rPh sb="2" eb="3">
      <t>リツ</t>
    </rPh>
    <phoneticPr fontId="2"/>
  </si>
  <si>
    <t>東家</t>
    <rPh sb="0" eb="2">
      <t>トンチャ</t>
    </rPh>
    <phoneticPr fontId="2"/>
  </si>
  <si>
    <t>南家</t>
    <rPh sb="0" eb="2">
      <t>ナンチャ</t>
    </rPh>
    <phoneticPr fontId="2"/>
  </si>
  <si>
    <t>西家</t>
    <rPh sb="0" eb="2">
      <t>シャーチャ</t>
    </rPh>
    <phoneticPr fontId="2"/>
  </si>
  <si>
    <t>コード</t>
    <phoneticPr fontId="2"/>
  </si>
  <si>
    <t>連続アガリ</t>
    <rPh sb="0" eb="2">
      <t>レンゾク</t>
    </rPh>
    <phoneticPr fontId="2"/>
  </si>
  <si>
    <t>連続無放銃</t>
    <rPh sb="0" eb="2">
      <t>レンゾク</t>
    </rPh>
    <rPh sb="2" eb="5">
      <t>ムホウジュウ</t>
    </rPh>
    <phoneticPr fontId="2"/>
  </si>
  <si>
    <t>平均放銃点</t>
  </si>
  <si>
    <t>門前アガリ点</t>
    <rPh sb="0" eb="2">
      <t>メンゼン</t>
    </rPh>
    <rPh sb="5" eb="6">
      <t>テン</t>
    </rPh>
    <phoneticPr fontId="2"/>
  </si>
  <si>
    <t>副露アガリ点</t>
    <rPh sb="0" eb="2">
      <t>フーロ</t>
    </rPh>
    <rPh sb="5" eb="6">
      <t>テン</t>
    </rPh>
    <phoneticPr fontId="2"/>
  </si>
  <si>
    <t>2翻</t>
    <phoneticPr fontId="2"/>
  </si>
  <si>
    <t>3翻</t>
    <rPh sb="1" eb="2">
      <t>ホン</t>
    </rPh>
    <phoneticPr fontId="2"/>
  </si>
  <si>
    <t>4翻</t>
    <phoneticPr fontId="2"/>
  </si>
  <si>
    <t>5翻</t>
    <rPh sb="1" eb="2">
      <t>ホン</t>
    </rPh>
    <phoneticPr fontId="2"/>
  </si>
  <si>
    <t>1翻</t>
    <rPh sb="1" eb="2">
      <t>ホン</t>
    </rPh>
    <phoneticPr fontId="2"/>
  </si>
  <si>
    <t>6翻</t>
    <phoneticPr fontId="2"/>
  </si>
  <si>
    <t>7翻</t>
    <rPh sb="1" eb="2">
      <t>ホン</t>
    </rPh>
    <phoneticPr fontId="2"/>
  </si>
  <si>
    <t>8翻</t>
    <phoneticPr fontId="2"/>
  </si>
  <si>
    <t>9翻</t>
    <rPh sb="1" eb="2">
      <t>ホン</t>
    </rPh>
    <phoneticPr fontId="2"/>
  </si>
  <si>
    <t>10翻</t>
    <phoneticPr fontId="2"/>
  </si>
  <si>
    <t>11翻</t>
    <rPh sb="2" eb="3">
      <t>ホン</t>
    </rPh>
    <phoneticPr fontId="2"/>
  </si>
  <si>
    <t>12翻</t>
    <phoneticPr fontId="2"/>
  </si>
  <si>
    <t>13翻～</t>
    <rPh sb="2" eb="3">
      <t>ホン</t>
    </rPh>
    <phoneticPr fontId="2"/>
  </si>
  <si>
    <t>最高点</t>
    <rPh sb="0" eb="3">
      <t>サイコウテン</t>
    </rPh>
    <phoneticPr fontId="2"/>
  </si>
  <si>
    <t>副露アガリ</t>
    <rPh sb="0" eb="2">
      <t>フーロ</t>
    </rPh>
    <phoneticPr fontId="2"/>
  </si>
  <si>
    <t>ダマアガリ</t>
    <phoneticPr fontId="2"/>
  </si>
  <si>
    <t>リーチアガリ</t>
    <phoneticPr fontId="2"/>
  </si>
  <si>
    <t>4位</t>
    <rPh sb="1" eb="2">
      <t>イ</t>
    </rPh>
    <phoneticPr fontId="2"/>
  </si>
  <si>
    <t>連対</t>
    <rPh sb="0" eb="2">
      <t>レンタイ</t>
    </rPh>
    <phoneticPr fontId="2"/>
  </si>
  <si>
    <t>連対率</t>
    <rPh sb="0" eb="3">
      <t>レンタイリ</t>
    </rPh>
    <phoneticPr fontId="2"/>
  </si>
  <si>
    <t>裏ドラ</t>
    <rPh sb="0" eb="1">
      <t>ウラ</t>
    </rPh>
    <phoneticPr fontId="1"/>
  </si>
  <si>
    <t>立直</t>
    <rPh sb="0" eb="2">
      <t>リーチ</t>
    </rPh>
    <phoneticPr fontId="1"/>
  </si>
  <si>
    <t>東4局</t>
    <rPh sb="0" eb="1">
      <t>ヒガシ</t>
    </rPh>
    <rPh sb="2" eb="3">
      <t>キョク</t>
    </rPh>
    <phoneticPr fontId="2"/>
  </si>
  <si>
    <t>南4局</t>
    <rPh sb="0" eb="1">
      <t>ミナミ</t>
    </rPh>
    <rPh sb="2" eb="3">
      <t>キョク</t>
    </rPh>
    <phoneticPr fontId="2"/>
  </si>
  <si>
    <t>北家</t>
    <rPh sb="0" eb="2">
      <t>ホッケ</t>
    </rPh>
    <phoneticPr fontId="2"/>
  </si>
  <si>
    <t>位置</t>
    <rPh sb="0" eb="2">
      <t>イチ</t>
    </rPh>
    <phoneticPr fontId="2"/>
  </si>
  <si>
    <t>翻数</t>
    <rPh sb="0" eb="1">
      <t>ファン</t>
    </rPh>
    <rPh sb="1" eb="2">
      <t>スウ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</si>
  <si>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</si>
  <si>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</si>
  <si>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01</t>
  </si>
  <si>
    <t>02</t>
  </si>
  <si>
    <t>18</t>
  </si>
  <si>
    <t>52</t>
  </si>
  <si>
    <t>門前清自摸和</t>
  </si>
  <si>
    <t>三色同順</t>
  </si>
  <si>
    <t>赤ドラ</t>
    <rPh sb="0" eb="1">
      <t>アカ</t>
    </rPh>
    <phoneticPr fontId="1"/>
  </si>
  <si>
    <t>地和</t>
    <phoneticPr fontId="2"/>
  </si>
  <si>
    <t>―</t>
  </si>
  <si>
    <t>Sheet1</t>
  </si>
  <si>
    <t>全体</t>
  </si>
  <si>
    <t>バランス</t>
    <phoneticPr fontId="2"/>
  </si>
  <si>
    <t>1位スコア</t>
    <rPh sb="1" eb="2">
      <t>イ</t>
    </rPh>
    <phoneticPr fontId="2"/>
  </si>
  <si>
    <t>2位スコア</t>
    <phoneticPr fontId="2"/>
  </si>
  <si>
    <t>3位スコア</t>
    <phoneticPr fontId="2"/>
  </si>
  <si>
    <t>4位スコア</t>
    <phoneticPr fontId="2"/>
  </si>
  <si>
    <t>d</t>
    <phoneticPr fontId="2"/>
  </si>
  <si>
    <t>Sheet2</t>
  </si>
  <si>
    <t>Sheet3</t>
  </si>
  <si>
    <t>Sheet4</t>
  </si>
  <si>
    <t>2023-08-19@KOA.xlsm</t>
  </si>
  <si>
    <t>澤川</t>
  </si>
  <si>
    <t>福澤</t>
  </si>
  <si>
    <t>池田</t>
  </si>
  <si>
    <t>谷茂岡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</si>
</sst>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7">
    <font>
      <sz val="11"/>
      <color theme="1"/>
      <name val="游ゴシック"/>
      <family val="2"/>
      <charset val="128"/>
      <scheme val="minor"/>
    </font>
    <font>
      <sz val="11"/>
      <name val="Yu Gothic"/>
      <family val="3"/>
      <charset val="128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5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3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4" fillId="0" borderId="1" xfId="0" applyNumberFormat="1" applyFont="1" applyBorder="1" applyAlignment="1">
      <alignment horizontal="center" vertical="center" shrinkToFit="1"/>
    </xf>
    <xf numFmtId="49" fontId="4" fillId="0" borderId="2" xfId="0" applyNumberFormat="1" applyFont="1" applyBorder="1" applyAlignment="1">
      <alignment horizontal="center" vertical="center" shrinkToFit="1"/>
    </xf>
    <xf numFmtId="49" fontId="4" fillId="0" borderId="4" xfId="0" applyNumberFormat="1" applyFont="1" applyBorder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1" fontId="3" fillId="0" borderId="49" xfId="0" applyNumberFormat="1" applyFont="1" applyBorder="1" applyAlignment="1">
      <alignment horizontal="center" vertical="center" shrinkToFit="1"/>
    </xf>
    <xf numFmtId="1" fontId="3" fillId="0" borderId="50" xfId="0" applyNumberFormat="1" applyFont="1" applyBorder="1" applyAlignment="1">
      <alignment horizontal="center" vertical="center" shrinkToFit="1"/>
    </xf>
    <xf numFmtId="1" fontId="3" fillId="0" borderId="51" xfId="0" applyNumberFormat="1" applyFont="1" applyBorder="1" applyAlignment="1">
      <alignment horizontal="center" vertical="center" shrinkToFit="1"/>
    </xf>
    <xf numFmtId="0" fontId="4" fillId="0" borderId="48" xfId="0" applyFont="1" applyBorder="1" applyAlignment="1">
      <alignment horizontal="center" vertical="center" shrinkToFit="1"/>
    </xf>
    <xf numFmtId="0" fontId="4" fillId="0" borderId="49" xfId="0" applyFont="1" applyBorder="1" applyAlignment="1">
      <alignment horizontal="center" vertical="center" shrinkToFit="1"/>
    </xf>
    <xf numFmtId="0" fontId="4" fillId="0" borderId="50" xfId="0" applyFont="1" applyBorder="1" applyAlignment="1">
      <alignment horizontal="center" vertical="center" shrinkToFit="1"/>
    </xf>
    <xf numFmtId="0" fontId="4" fillId="0" borderId="51" xfId="0" applyFont="1" applyBorder="1" applyAlignment="1">
      <alignment horizontal="center" vertical="center" shrinkToFit="1"/>
    </xf>
    <xf numFmtId="1" fontId="3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Border="1" applyAlignment="1">
      <alignment horizontal="center" vertical="center" shrinkToFit="1"/>
    </xf>
    <xf numFmtId="0" fontId="5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NumberFormat="1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Border="1" applyAlignment="1">
      <alignment horizontal="center" vertical="center" shrinkToFit="1"/>
    </xf>
    <xf numFmtId="0" fontId="4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3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4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37" xfId="0" applyNumberFormat="1" applyBorder="1" applyAlignment="1">
      <alignment horizontal="center" vertical="center" shrinkToFit="1"/>
    </xf>
    <xf numFmtId="0" fontId="0" fillId="0" borderId="23" xfId="0" applyNumberFormat="1" applyBorder="1" applyAlignment="1">
      <alignment horizontal="center" vertical="center" shrinkToFit="1"/>
    </xf>
    <xf numFmtId="0" fontId="0" fillId="0" borderId="54" xfId="0" applyNumberFormat="1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184" fontId="0" fillId="0" borderId="16" xfId="0" applyNumberFormat="1" applyBorder="1" applyAlignment="1">
      <alignment horizontal="center" vertical="center" shrinkToFit="1"/>
    </xf>
    <xf numFmtId="184" fontId="3" fillId="0" borderId="7" xfId="0" applyNumberFormat="1" applyFon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全体!$L$2:$L$18</c:f>
              <c:numCache>
                <c:formatCode>\+0.0;\-0.0;\±0</c:formatCode>
                <c:ptCount val="17"/>
                <c:pt idx="0">
                  <c:v>0</c:v>
                </c:pt>
                <c:pt idx="1">
                  <c:v>-60.9</c:v>
                </c:pt>
                <c:pt idx="2">
                  <c:v>-42.8</c:v>
                </c:pt>
                <c:pt idx="3">
                  <c:v>18.100000000000001</c:v>
                </c:pt>
                <c:pt idx="4">
                  <c:v>0</c:v>
                </c:pt>
                <c:pt idx="5">
                  <c:v>-18</c:v>
                </c:pt>
                <c:pt idx="6">
                  <c:v>-14.8</c:v>
                </c:pt>
                <c:pt idx="7">
                  <c:v>46.900000000000006</c:v>
                </c:pt>
                <c:pt idx="8">
                  <c:v>7.1054273576010019E-15</c:v>
                </c:pt>
                <c:pt idx="9">
                  <c:v>69.099999999999994</c:v>
                </c:pt>
                <c:pt idx="10">
                  <c:v>42.8</c:v>
                </c:pt>
                <c:pt idx="11">
                  <c:v>-22.100000000000009</c:v>
                </c:pt>
                <c:pt idx="12">
                  <c:v>-7.1054273576010019E-15</c:v>
                </c:pt>
                <c:pt idx="13">
                  <c:v>-14.600000000000007</c:v>
                </c:pt>
                <c:pt idx="14">
                  <c:v>-67.100000000000009</c:v>
                </c:pt>
                <c:pt idx="15">
                  <c:v>-59.300000000000011</c:v>
                </c:pt>
                <c:pt idx="16">
                  <c:v>-1.4210854715202004E-14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CE4-45E6-87E2-11E189F6C1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全体!$O$2:$O$9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-125</c:v>
                </c:pt>
                <c:pt idx="3">
                  <c:v>125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B4-4A3A-9F83-1A4FB3F7A5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全体!$A$40:$A$52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全体!$B$40:$B$52</c:f>
              <c:numCache>
                <c:formatCode>0\ "回"</c:formatCode>
                <c:ptCount val="13"/>
                <c:pt idx="0">
                  <c:v>3</c:v>
                </c:pt>
                <c:pt idx="1">
                  <c:v>1</c:v>
                </c:pt>
                <c:pt idx="2">
                  <c:v>7</c:v>
                </c:pt>
                <c:pt idx="3">
                  <c:v>6</c:v>
                </c:pt>
                <c:pt idx="4">
                  <c:v>4</c:v>
                </c:pt>
                <c:pt idx="5">
                  <c:v>5</c:v>
                </c:pt>
                <c:pt idx="6">
                  <c:v>3</c:v>
                </c:pt>
                <c:pt idx="7">
                  <c:v>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65-40BF-8B2A-F6F033C651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谷茂岡!$L$1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谷茂岡!$K$2:$K$6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谷茂岡!$L$2:$L$6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-60.9</c:v>
                </c:pt>
                <c:pt idx="2">
                  <c:v>0.80000000000000426</c:v>
                </c:pt>
                <c:pt idx="3">
                  <c:v>-64.099999999999994</c:v>
                </c:pt>
                <c:pt idx="4">
                  <c:v>-116.6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E4-4AE8-B135-58AABA1255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谷茂岡!$O$1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谷茂岡!$N$2:$N$9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谷茂岡!$O$2:$O$9</c:f>
              <c:numCache>
                <c:formatCode>\+0;\-0;\±0</c:formatCode>
                <c:ptCount val="8"/>
                <c:pt idx="0">
                  <c:v>1600</c:v>
                </c:pt>
                <c:pt idx="1">
                  <c:v>-825</c:v>
                </c:pt>
                <c:pt idx="2">
                  <c:v>-1475</c:v>
                </c:pt>
                <c:pt idx="3">
                  <c:v>-3075</c:v>
                </c:pt>
                <c:pt idx="4">
                  <c:v>-5075</c:v>
                </c:pt>
                <c:pt idx="5">
                  <c:v>-3333.3333333333335</c:v>
                </c:pt>
                <c:pt idx="6">
                  <c:v>-2600</c:v>
                </c:pt>
                <c:pt idx="7">
                  <c:v>-3000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811-4F80-A683-F55FF1646C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谷茂岡!$A$40:$A$52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谷茂岡!$B$40:$B$52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E2-4C13-A935-CF56FBFBE8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澤川!$L$1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澤川!$K$2:$K$6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澤川!$L$2:$L$6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18.100000000000001</c:v>
                </c:pt>
                <c:pt idx="2">
                  <c:v>21.3</c:v>
                </c:pt>
                <c:pt idx="3">
                  <c:v>-5</c:v>
                </c:pt>
                <c:pt idx="4">
                  <c:v>-19.600000000000001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1EE-445E-9CCC-2F2D683428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澤川!$O$1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澤川!$N$2:$N$9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澤川!$O$2:$O$9</c:f>
              <c:numCache>
                <c:formatCode>\+0;\-0;\±0</c:formatCode>
                <c:ptCount val="8"/>
                <c:pt idx="0">
                  <c:v>-3775</c:v>
                </c:pt>
                <c:pt idx="1">
                  <c:v>10425</c:v>
                </c:pt>
                <c:pt idx="2">
                  <c:v>-1375</c:v>
                </c:pt>
                <c:pt idx="3">
                  <c:v>325</c:v>
                </c:pt>
                <c:pt idx="4">
                  <c:v>-1250</c:v>
                </c:pt>
                <c:pt idx="5">
                  <c:v>-3333.3333333333335</c:v>
                </c:pt>
                <c:pt idx="6">
                  <c:v>-500</c:v>
                </c:pt>
                <c:pt idx="7">
                  <c:v>-3000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3B-4248-9B36-5A3384B5CC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澤川!$A$40:$A$52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澤川!$B$40:$B$52</c:f>
              <c:numCache>
                <c:formatCode>0\ "回"</c:formatCode>
                <c:ptCount val="13"/>
                <c:pt idx="0">
                  <c:v>2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2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D65-4C02-B449-353B1BD989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福澤!$L$1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福澤!$K$2:$K$6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福澤!$L$2:$L$6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60.9</c:v>
                </c:pt>
                <c:pt idx="2">
                  <c:v>14</c:v>
                </c:pt>
                <c:pt idx="3">
                  <c:v>36.1</c:v>
                </c:pt>
                <c:pt idx="4">
                  <c:v>43.9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173-420E-864F-9E0FD46386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福澤!$O$1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福澤!$N$2:$N$9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福澤!$O$2:$O$9</c:f>
              <c:numCache>
                <c:formatCode>\+0;\-0;\±0</c:formatCode>
                <c:ptCount val="8"/>
                <c:pt idx="0">
                  <c:v>-250</c:v>
                </c:pt>
                <c:pt idx="1">
                  <c:v>-5875</c:v>
                </c:pt>
                <c:pt idx="2">
                  <c:v>3225</c:v>
                </c:pt>
                <c:pt idx="3">
                  <c:v>3675</c:v>
                </c:pt>
                <c:pt idx="4">
                  <c:v>9375</c:v>
                </c:pt>
                <c:pt idx="5">
                  <c:v>333.33333333333331</c:v>
                </c:pt>
                <c:pt idx="6">
                  <c:v>650</c:v>
                </c:pt>
                <c:pt idx="7">
                  <c:v>-9500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83-49F9-8361-1517894EEC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福澤!$A$40:$A$52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福澤!$B$40:$B$52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4</c:v>
                </c:pt>
                <c:pt idx="3">
                  <c:v>2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1DC-4629-BAE8-9DDFCE45D1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池田!$L$1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池田!$K$2:$K$6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池田!$L$2:$L$6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-18.100000000000001</c:v>
                </c:pt>
                <c:pt idx="2">
                  <c:v>-36.1</c:v>
                </c:pt>
                <c:pt idx="3">
                  <c:v>32.999999999999993</c:v>
                </c:pt>
                <c:pt idx="4">
                  <c:v>92.299999999999983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BE3-47A7-93F5-96F3E8866A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池田!$O$1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池田!$N$2:$N$9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池田!$O$2:$O$9</c:f>
              <c:numCache>
                <c:formatCode>\+0;\-0;\±0</c:formatCode>
                <c:ptCount val="8"/>
                <c:pt idx="0">
                  <c:v>2425</c:v>
                </c:pt>
                <c:pt idx="1">
                  <c:v>-3725</c:v>
                </c:pt>
                <c:pt idx="2">
                  <c:v>-875</c:v>
                </c:pt>
                <c:pt idx="3">
                  <c:v>-425</c:v>
                </c:pt>
                <c:pt idx="4">
                  <c:v>-3050</c:v>
                </c:pt>
                <c:pt idx="5">
                  <c:v>6333.333333333333</c:v>
                </c:pt>
                <c:pt idx="6">
                  <c:v>2450</c:v>
                </c:pt>
                <c:pt idx="7">
                  <c:v>15500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D1A-4AAB-A331-8903B6F60E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池田!$A$40:$A$52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池田!$B$40:$B$52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2</c:v>
                </c:pt>
                <c:pt idx="4">
                  <c:v>1</c:v>
                </c:pt>
                <c:pt idx="5">
                  <c:v>3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DA-44BE-B3DE-71E1167DB2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Template!$O$2:$O$9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Template!$A$40:$A$52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Template!$B$40:$B$52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B576472E-EA0B-499B-ACA8-D77ED0BD01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5B0069F-850C-4384-8F92-7DB59A5EC7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A2FA3958-8D39-43D1-B5F5-3481E96FD0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F3DFB96A-379A-48EB-80C8-B2CF6751A7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96C1CC2-940E-4897-B1D7-8DA68C8782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CAD9E138-C8E2-43DD-B2F7-84164C8A436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F1593BB-3F23-499F-A8A0-8027B6400B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AA95EC6F-221C-48C8-9B22-12C84F871E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391292C4-F49E-4369-892B-FBF7B7A3915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4D0BB65-25FE-4CB8-A94A-E374FEE62CF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FD5DFF3B-BEC4-4C99-AA02-F99EDBE2D06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738CBBDC-8C21-466A-99F9-33B5AB20ABC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404C6C8-8709-4262-8FA3-727AAE369B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5F5129C0-23BB-4225-85E6-12B694B4756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B06FB3A5-5DDD-4B98-925B-866AD3BA248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F2"/>
  <sheetViews>
    <sheetView workbookViewId="0"/>
  </sheetViews>
  <sheetFormatPr defaultColWidth="9" defaultRowHeight="18.75"/>
  <cols>
    <col min="1" max="1" width="19.25" style="24" customWidth="1"/>
    <col min="2" max="2" width="19.25" style="25" customWidth="1"/>
    <col min="3" max="16384" width="9" style="24"/>
  </cols>
  <sheetData>
    <row r="1" spans="1:6">
      <c r="A1" s="23">
        <v>32874</v>
      </c>
      <c r="B1" s="23">
        <v>2958465</v>
      </c>
    </row>
    <row r="2" spans="1:6">
      <c r="A2" s="24" t="s">
        <v>182</v>
      </c>
      <c r="B2" s="25">
        <v>45157.763796296298</v>
      </c>
      <c r="C2" s="24" t="s">
        <v>171</v>
      </c>
      <c r="D2" s="24" t="s">
        <v>179</v>
      </c>
      <c r="E2" s="24" t="s">
        <v>180</v>
      </c>
      <c r="F2" s="24" t="s">
        <v>181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5"/>
  <sheetViews>
    <sheetView workbookViewId="0"/>
  </sheetViews>
  <sheetFormatPr defaultRowHeight="18.75"/>
  <cols>
    <col min="1" max="1" width="11" customWidth="1"/>
    <col min="2" max="2" width="9" customWidth="1"/>
  </cols>
  <sheetData>
    <row r="1" spans="1:2">
      <c r="A1" t="s">
        <v>172</v>
      </c>
      <c r="B1">
        <v>16</v>
      </c>
    </row>
    <row r="2" spans="1:2">
      <c r="A2" t="s">
        <v>186</v>
      </c>
      <c r="B2">
        <v>4</v>
      </c>
    </row>
    <row r="3" spans="1:2">
      <c r="A3" t="s">
        <v>183</v>
      </c>
      <c r="B3">
        <v>4</v>
      </c>
    </row>
    <row r="4" spans="1:2">
      <c r="A4" t="s">
        <v>184</v>
      </c>
      <c r="B4">
        <v>4</v>
      </c>
    </row>
    <row r="5" spans="1:2">
      <c r="A5" t="s">
        <v>185</v>
      </c>
      <c r="B5">
        <v>4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K7"/>
  <sheetViews>
    <sheetView showGridLines="0" tabSelected="1" zoomScale="130" zoomScaleNormal="130" workbookViewId="0"/>
  </sheetViews>
  <sheetFormatPr defaultColWidth="9" defaultRowHeight="18.75"/>
  <cols>
    <col min="1" max="1" width="6" style="58" customWidth="1"/>
    <col min="2" max="2" width="10.75" style="59" customWidth="1"/>
    <col min="3" max="3" width="10.75" style="123" customWidth="1"/>
    <col min="4" max="4" width="10.75" style="59" customWidth="1"/>
    <col min="5" max="5" width="10.75" style="60" customWidth="1"/>
    <col min="6" max="6" width="10.75" style="61" customWidth="1"/>
    <col min="7" max="7" width="10.75" style="73" customWidth="1"/>
    <col min="8" max="8" width="10.75" style="61" customWidth="1"/>
    <col min="9" max="9" width="10.75" style="73" customWidth="1"/>
    <col min="10" max="10" width="10.75" style="61" customWidth="1"/>
    <col min="11" max="11" width="10.75" style="62" customWidth="1"/>
    <col min="12" max="12" width="10.75" style="61" customWidth="1"/>
    <col min="13" max="13" width="10.75" style="63" customWidth="1"/>
    <col min="14" max="14" width="10.75" style="61" customWidth="1"/>
    <col min="15" max="15" width="10.75" style="63" customWidth="1"/>
    <col min="16" max="16" width="10.75" style="61" customWidth="1"/>
    <col min="17" max="17" width="10.75" style="63" customWidth="1"/>
    <col min="18" max="18" width="10.75" style="61" customWidth="1"/>
    <col min="19" max="19" width="10.75" style="64" customWidth="1"/>
    <col min="20" max="20" width="10.75" style="61" customWidth="1"/>
    <col min="21" max="21" width="10.75" style="64" customWidth="1"/>
    <col min="22" max="22" width="10.75" style="61" customWidth="1"/>
    <col min="23" max="23" width="10.75" style="65" customWidth="1"/>
    <col min="24" max="24" width="10.75" style="61" customWidth="1"/>
    <col min="25" max="25" width="10.75" style="65" customWidth="1"/>
    <col min="26" max="26" width="10.75" style="61" customWidth="1"/>
    <col min="27" max="27" width="10.75" style="64" customWidth="1"/>
    <col min="28" max="28" width="10.75" style="61" customWidth="1"/>
    <col min="29" max="29" width="10.75" style="64" customWidth="1"/>
    <col min="30" max="30" width="10.75" style="61" customWidth="1"/>
    <col min="31" max="31" width="10.75" style="64" customWidth="1"/>
    <col min="32" max="32" width="10.75" style="61" customWidth="1"/>
    <col min="33" max="33" width="10.75" style="64" customWidth="1"/>
    <col min="34" max="34" width="10.75" style="61" customWidth="1"/>
    <col min="35" max="35" width="10.75" style="64" customWidth="1"/>
    <col min="36" max="36" width="10.75" style="61" customWidth="1"/>
    <col min="37" max="37" width="10.75" style="68" customWidth="1"/>
    <col min="38" max="16384" width="9" style="49"/>
  </cols>
  <sheetData>
    <row r="1" spans="1:37">
      <c r="A1" s="48" t="s">
        <v>178</v>
      </c>
      <c r="B1" s="130" t="s">
        <v>9</v>
      </c>
      <c r="C1" s="131"/>
      <c r="D1" s="130" t="s">
        <v>6</v>
      </c>
      <c r="E1" s="131"/>
      <c r="F1" s="130" t="s">
        <v>7</v>
      </c>
      <c r="G1" s="131"/>
      <c r="H1" s="132" t="s">
        <v>173</v>
      </c>
      <c r="I1" s="133"/>
      <c r="J1" s="130" t="s">
        <v>15</v>
      </c>
      <c r="K1" s="131"/>
      <c r="L1" s="130" t="s">
        <v>14</v>
      </c>
      <c r="M1" s="131"/>
      <c r="N1" s="130" t="s">
        <v>123</v>
      </c>
      <c r="O1" s="131"/>
      <c r="P1" s="130" t="s">
        <v>152</v>
      </c>
      <c r="Q1" s="131"/>
      <c r="R1" s="130" t="s">
        <v>113</v>
      </c>
      <c r="S1" s="131"/>
      <c r="T1" s="130" t="s">
        <v>114</v>
      </c>
      <c r="U1" s="131"/>
      <c r="V1" s="130" t="s">
        <v>5</v>
      </c>
      <c r="W1" s="131"/>
      <c r="X1" s="130" t="s">
        <v>16</v>
      </c>
      <c r="Y1" s="131"/>
      <c r="Z1" s="130" t="s">
        <v>98</v>
      </c>
      <c r="AA1" s="131"/>
      <c r="AB1" s="130" t="s">
        <v>95</v>
      </c>
      <c r="AC1" s="131"/>
      <c r="AD1" s="130" t="s">
        <v>101</v>
      </c>
      <c r="AE1" s="131"/>
      <c r="AF1" s="130" t="s">
        <v>115</v>
      </c>
      <c r="AG1" s="131"/>
      <c r="AH1" s="130" t="s">
        <v>112</v>
      </c>
      <c r="AI1" s="131"/>
      <c r="AJ1" s="130" t="s">
        <v>146</v>
      </c>
      <c r="AK1" s="131"/>
    </row>
    <row r="2" spans="1:37">
      <c r="A2" s="48" t="s">
        <v>122</v>
      </c>
      <c r="B2" s="136" t="s">
        <v>170</v>
      </c>
      <c r="C2" s="137"/>
      <c r="D2" s="134"/>
      <c r="E2" s="135"/>
      <c r="F2" s="134"/>
      <c r="G2" s="135"/>
      <c r="H2" s="136" t="s">
        <v>170</v>
      </c>
      <c r="I2" s="137"/>
      <c r="J2" s="136" t="s">
        <v>170</v>
      </c>
      <c r="K2" s="137"/>
      <c r="L2" s="136" t="s">
        <v>170</v>
      </c>
      <c r="M2" s="137"/>
      <c r="N2" s="136" t="s">
        <v>170</v>
      </c>
      <c r="O2" s="137"/>
      <c r="P2" s="136" t="s">
        <v>170</v>
      </c>
      <c r="Q2" s="137"/>
      <c r="R2" s="136" t="s">
        <v>170</v>
      </c>
      <c r="S2" s="137"/>
      <c r="T2" s="136" t="s">
        <v>170</v>
      </c>
      <c r="U2" s="137"/>
      <c r="V2" s="136" t="s">
        <v>170</v>
      </c>
      <c r="W2" s="137"/>
      <c r="X2" s="136" t="s">
        <v>170</v>
      </c>
      <c r="Y2" s="137"/>
      <c r="Z2" s="136" t="s">
        <v>170</v>
      </c>
      <c r="AA2" s="137"/>
      <c r="AB2" s="136" t="s">
        <v>170</v>
      </c>
      <c r="AC2" s="137"/>
      <c r="AD2" s="136" t="s">
        <v>170</v>
      </c>
      <c r="AE2" s="137"/>
      <c r="AF2" s="136" t="s">
        <v>170</v>
      </c>
      <c r="AG2" s="137"/>
      <c r="AH2" s="136" t="s">
        <v>170</v>
      </c>
      <c r="AI2" s="137"/>
      <c r="AJ2" s="136" t="s">
        <v>170</v>
      </c>
      <c r="AK2" s="137"/>
    </row>
    <row r="3" spans="1:37">
      <c r="A3" s="50">
        <v>1</v>
      </c>
      <c r="B3" s="51" t="s">
        <v>172</v>
      </c>
      <c r="C3" s="122">
        <v>4</v>
      </c>
      <c r="D3" s="51" t="s">
        <v>185</v>
      </c>
      <c r="E3" s="52">
        <v>92.299999999999983</v>
      </c>
      <c r="F3" s="53" t="s">
        <v>185</v>
      </c>
      <c r="G3" s="72">
        <v>23.074999999999996</v>
      </c>
      <c r="H3" s="53" t="s">
        <v>185</v>
      </c>
      <c r="I3" s="72">
        <v>11.537499999999998</v>
      </c>
      <c r="J3" s="53" t="s">
        <v>185</v>
      </c>
      <c r="K3" s="54">
        <v>2</v>
      </c>
      <c r="L3" s="53" t="s">
        <v>185</v>
      </c>
      <c r="M3" s="55">
        <v>0.5</v>
      </c>
      <c r="N3" s="53" t="s">
        <v>183</v>
      </c>
      <c r="O3" s="55">
        <v>0</v>
      </c>
      <c r="P3" s="53" t="s">
        <v>184</v>
      </c>
      <c r="Q3" s="55">
        <v>0.75</v>
      </c>
      <c r="R3" s="53" t="s">
        <v>184</v>
      </c>
      <c r="S3" s="56">
        <v>0.31578947368421051</v>
      </c>
      <c r="T3" s="53" t="s">
        <v>186</v>
      </c>
      <c r="U3" s="56">
        <v>7.8947368421052627E-2</v>
      </c>
      <c r="V3" s="53" t="s">
        <v>185</v>
      </c>
      <c r="W3" s="57">
        <v>11077.777777777777</v>
      </c>
      <c r="X3" s="53" t="s">
        <v>186</v>
      </c>
      <c r="Y3" s="57">
        <v>-7066.666666666667</v>
      </c>
      <c r="Z3" s="53" t="s">
        <v>184</v>
      </c>
      <c r="AA3" s="56">
        <v>0.42105263157894735</v>
      </c>
      <c r="AB3" s="53" t="s">
        <v>186</v>
      </c>
      <c r="AC3" s="56">
        <v>0.34210526315789475</v>
      </c>
      <c r="AD3" s="53" t="s">
        <v>185</v>
      </c>
      <c r="AE3" s="56">
        <v>0.63636363636363635</v>
      </c>
      <c r="AF3" s="53" t="s">
        <v>184</v>
      </c>
      <c r="AG3" s="56">
        <v>0.33333333333333331</v>
      </c>
      <c r="AH3" s="53" t="s">
        <v>185</v>
      </c>
      <c r="AI3" s="56">
        <v>0.55555555555555558</v>
      </c>
      <c r="AJ3" s="53" t="s">
        <v>172</v>
      </c>
      <c r="AK3" s="67">
        <v>49100</v>
      </c>
    </row>
    <row r="4" spans="1:37">
      <c r="A4" s="58">
        <v>2</v>
      </c>
      <c r="B4" s="59" t="s">
        <v>186</v>
      </c>
      <c r="C4" s="123">
        <v>4</v>
      </c>
      <c r="D4" s="59" t="s">
        <v>184</v>
      </c>
      <c r="E4" s="60">
        <v>43.9</v>
      </c>
      <c r="F4" s="61" t="s">
        <v>184</v>
      </c>
      <c r="G4" s="73">
        <v>10.975</v>
      </c>
      <c r="H4" s="61" t="s">
        <v>184</v>
      </c>
      <c r="I4" s="73">
        <v>7.2374999999999989</v>
      </c>
      <c r="J4" s="61" t="s">
        <v>184</v>
      </c>
      <c r="K4" s="62">
        <v>2.25</v>
      </c>
      <c r="L4" s="61" t="s">
        <v>172</v>
      </c>
      <c r="M4" s="63">
        <v>0.25</v>
      </c>
      <c r="N4" s="61" t="s">
        <v>185</v>
      </c>
      <c r="O4" s="63">
        <v>0</v>
      </c>
      <c r="P4" s="61" t="s">
        <v>172</v>
      </c>
      <c r="Q4" s="63">
        <v>0.5</v>
      </c>
      <c r="R4" s="61" t="s">
        <v>185</v>
      </c>
      <c r="S4" s="64">
        <v>0.23684210526315788</v>
      </c>
      <c r="T4" s="61" t="s">
        <v>183</v>
      </c>
      <c r="U4" s="64">
        <v>7.8947368421052627E-2</v>
      </c>
      <c r="V4" s="61" t="s">
        <v>172</v>
      </c>
      <c r="W4" s="65">
        <v>9062.5</v>
      </c>
      <c r="X4" s="61" t="s">
        <v>184</v>
      </c>
      <c r="Y4" s="65">
        <v>-7266.666666666667</v>
      </c>
      <c r="Z4" s="61" t="s">
        <v>183</v>
      </c>
      <c r="AA4" s="64">
        <v>0.34210526315789475</v>
      </c>
      <c r="AB4" s="61" t="s">
        <v>185</v>
      </c>
      <c r="AC4" s="64">
        <v>0.23684210526315788</v>
      </c>
      <c r="AD4" s="61" t="s">
        <v>184</v>
      </c>
      <c r="AE4" s="64">
        <v>0.5625</v>
      </c>
      <c r="AF4" s="61" t="s">
        <v>183</v>
      </c>
      <c r="AG4" s="64">
        <v>0.25</v>
      </c>
      <c r="AH4" s="61" t="s">
        <v>183</v>
      </c>
      <c r="AI4" s="64">
        <v>0.5</v>
      </c>
      <c r="AJ4" s="61" t="s">
        <v>185</v>
      </c>
      <c r="AK4" s="68">
        <v>49100</v>
      </c>
    </row>
    <row r="5" spans="1:37">
      <c r="A5" s="58">
        <v>3</v>
      </c>
      <c r="B5" s="59" t="s">
        <v>183</v>
      </c>
      <c r="C5" s="123">
        <v>4</v>
      </c>
      <c r="D5" s="59" t="s">
        <v>172</v>
      </c>
      <c r="E5" s="60">
        <v>-1.4210854715202004E-14</v>
      </c>
      <c r="F5" s="61" t="s">
        <v>172</v>
      </c>
      <c r="G5" s="73">
        <v>-8.8817841970012523E-16</v>
      </c>
      <c r="H5" s="61" t="s">
        <v>186</v>
      </c>
      <c r="I5" s="73">
        <v>0.56666666666666643</v>
      </c>
      <c r="J5" s="61" t="s">
        <v>172</v>
      </c>
      <c r="K5" s="62">
        <v>2.5</v>
      </c>
      <c r="L5" s="61" t="s">
        <v>186</v>
      </c>
      <c r="M5" s="63">
        <v>0.25</v>
      </c>
      <c r="N5" s="61" t="s">
        <v>172</v>
      </c>
      <c r="O5" s="63">
        <v>0.25</v>
      </c>
      <c r="P5" s="61" t="s">
        <v>183</v>
      </c>
      <c r="Q5" s="63">
        <v>0.5</v>
      </c>
      <c r="R5" s="61" t="s">
        <v>172</v>
      </c>
      <c r="S5" s="64">
        <v>0.21052631578947367</v>
      </c>
      <c r="T5" s="61" t="s">
        <v>172</v>
      </c>
      <c r="U5" s="64">
        <v>0.11842105263157894</v>
      </c>
      <c r="V5" s="61" t="s">
        <v>183</v>
      </c>
      <c r="W5" s="65">
        <v>8550</v>
      </c>
      <c r="X5" s="61" t="s">
        <v>185</v>
      </c>
      <c r="Y5" s="65">
        <v>-7483.333333333333</v>
      </c>
      <c r="Z5" s="61" t="s">
        <v>172</v>
      </c>
      <c r="AA5" s="64">
        <v>0.30263157894736842</v>
      </c>
      <c r="AB5" s="61" t="s">
        <v>172</v>
      </c>
      <c r="AC5" s="64">
        <v>0.21710526315789475</v>
      </c>
      <c r="AD5" s="61" t="s">
        <v>172</v>
      </c>
      <c r="AE5" s="64">
        <v>0.47826086956521741</v>
      </c>
      <c r="AF5" s="61" t="s">
        <v>185</v>
      </c>
      <c r="AG5" s="64">
        <v>0.22222222222222221</v>
      </c>
      <c r="AH5" s="61" t="s">
        <v>172</v>
      </c>
      <c r="AI5" s="64">
        <v>0.4375</v>
      </c>
      <c r="AJ5" s="61" t="s">
        <v>184</v>
      </c>
      <c r="AK5" s="68">
        <v>42100</v>
      </c>
    </row>
    <row r="6" spans="1:37">
      <c r="A6" s="58">
        <v>4</v>
      </c>
      <c r="B6" s="59" t="s">
        <v>184</v>
      </c>
      <c r="C6" s="123">
        <v>4</v>
      </c>
      <c r="D6" s="59" t="s">
        <v>183</v>
      </c>
      <c r="E6" s="60">
        <v>-19.600000000000001</v>
      </c>
      <c r="F6" s="61" t="s">
        <v>183</v>
      </c>
      <c r="G6" s="73">
        <v>-4.9000000000000004</v>
      </c>
      <c r="H6" s="61" t="s">
        <v>172</v>
      </c>
      <c r="I6" s="73">
        <v>0</v>
      </c>
      <c r="J6" s="61" t="s">
        <v>183</v>
      </c>
      <c r="K6" s="62">
        <v>2.5</v>
      </c>
      <c r="L6" s="61" t="s">
        <v>184</v>
      </c>
      <c r="M6" s="63">
        <v>0.25</v>
      </c>
      <c r="N6" s="61" t="s">
        <v>184</v>
      </c>
      <c r="O6" s="63">
        <v>0.25</v>
      </c>
      <c r="P6" s="61" t="s">
        <v>185</v>
      </c>
      <c r="Q6" s="63">
        <v>0.5</v>
      </c>
      <c r="R6" s="61" t="s">
        <v>183</v>
      </c>
      <c r="S6" s="64">
        <v>0.21052631578947367</v>
      </c>
      <c r="T6" s="61" t="s">
        <v>184</v>
      </c>
      <c r="U6" s="64">
        <v>0.15789473684210525</v>
      </c>
      <c r="V6" s="61" t="s">
        <v>184</v>
      </c>
      <c r="W6" s="65">
        <v>8408.3333333333339</v>
      </c>
      <c r="X6" s="61" t="s">
        <v>172</v>
      </c>
      <c r="Y6" s="65">
        <v>-7877.7777777777774</v>
      </c>
      <c r="Z6" s="61" t="s">
        <v>185</v>
      </c>
      <c r="AA6" s="64">
        <v>0.28947368421052633</v>
      </c>
      <c r="AB6" s="61" t="s">
        <v>183</v>
      </c>
      <c r="AC6" s="64">
        <v>0.21052631578947367</v>
      </c>
      <c r="AD6" s="61" t="s">
        <v>186</v>
      </c>
      <c r="AE6" s="64">
        <v>0.33333333333333331</v>
      </c>
      <c r="AF6" s="61" t="s">
        <v>172</v>
      </c>
      <c r="AG6" s="64">
        <v>0.18181818181818182</v>
      </c>
      <c r="AH6" s="61" t="s">
        <v>184</v>
      </c>
      <c r="AI6" s="64">
        <v>0.41666666666666669</v>
      </c>
      <c r="AJ6" s="61" t="s">
        <v>186</v>
      </c>
      <c r="AK6" s="68">
        <v>41700</v>
      </c>
    </row>
    <row r="7" spans="1:37">
      <c r="A7" s="58">
        <v>5</v>
      </c>
      <c r="B7" s="59" t="s">
        <v>185</v>
      </c>
      <c r="C7" s="123">
        <v>4</v>
      </c>
      <c r="D7" s="59" t="s">
        <v>186</v>
      </c>
      <c r="E7" s="60">
        <v>-116.6</v>
      </c>
      <c r="F7" s="61" t="s">
        <v>186</v>
      </c>
      <c r="G7" s="73">
        <v>-29.15</v>
      </c>
      <c r="H7" s="61" t="s">
        <v>183</v>
      </c>
      <c r="I7" s="73">
        <v>-2.4499999999999997</v>
      </c>
      <c r="J7" s="61" t="s">
        <v>186</v>
      </c>
      <c r="K7" s="62">
        <v>3.25</v>
      </c>
      <c r="L7" s="61" t="s">
        <v>183</v>
      </c>
      <c r="M7" s="63">
        <v>0</v>
      </c>
      <c r="N7" s="61" t="s">
        <v>186</v>
      </c>
      <c r="O7" s="63">
        <v>0.75</v>
      </c>
      <c r="P7" s="61" t="s">
        <v>186</v>
      </c>
      <c r="Q7" s="63">
        <v>0.25</v>
      </c>
      <c r="R7" s="61" t="s">
        <v>186</v>
      </c>
      <c r="S7" s="64">
        <v>7.8947368421052627E-2</v>
      </c>
      <c r="T7" s="61" t="s">
        <v>185</v>
      </c>
      <c r="U7" s="64">
        <v>0.15789473684210525</v>
      </c>
      <c r="V7" s="61" t="s">
        <v>186</v>
      </c>
      <c r="W7" s="65">
        <v>7000</v>
      </c>
      <c r="X7" s="61" t="s">
        <v>183</v>
      </c>
      <c r="Y7" s="65">
        <v>-10700</v>
      </c>
      <c r="Z7" s="61" t="s">
        <v>186</v>
      </c>
      <c r="AA7" s="64">
        <v>0.15789473684210525</v>
      </c>
      <c r="AB7" s="61" t="s">
        <v>184</v>
      </c>
      <c r="AC7" s="64">
        <v>7.8947368421052627E-2</v>
      </c>
      <c r="AD7" s="61" t="s">
        <v>183</v>
      </c>
      <c r="AE7" s="64">
        <v>0.30769230769230771</v>
      </c>
      <c r="AF7" s="61" t="s">
        <v>186</v>
      </c>
      <c r="AG7" s="64">
        <v>7.6923076923076927E-2</v>
      </c>
      <c r="AH7" s="61" t="s">
        <v>186</v>
      </c>
      <c r="AI7" s="64">
        <v>0</v>
      </c>
      <c r="AJ7" s="61" t="s">
        <v>183</v>
      </c>
      <c r="AK7" s="68">
        <v>38100</v>
      </c>
    </row>
  </sheetData>
  <sortState xmlns:xlrd2="http://schemas.microsoft.com/office/spreadsheetml/2017/richdata2" ref="AJ3:AK30">
    <sortCondition descending="1" ref="AK1"/>
  </sortState>
  <mergeCells count="36">
    <mergeCell ref="B1:C1"/>
    <mergeCell ref="B2:C2"/>
    <mergeCell ref="AH2:AI2"/>
    <mergeCell ref="T1:U1"/>
    <mergeCell ref="AJ2:AK2"/>
    <mergeCell ref="Z2:AA2"/>
    <mergeCell ref="AB2:AC2"/>
    <mergeCell ref="AD2:AE2"/>
    <mergeCell ref="AF2:AG2"/>
    <mergeCell ref="T2:U2"/>
    <mergeCell ref="V2:W2"/>
    <mergeCell ref="X2:Y2"/>
    <mergeCell ref="AJ1:AK1"/>
    <mergeCell ref="V1:W1"/>
    <mergeCell ref="X1:Y1"/>
    <mergeCell ref="AH1:AI1"/>
    <mergeCell ref="D2:E2"/>
    <mergeCell ref="F2:G2"/>
    <mergeCell ref="J2:K2"/>
    <mergeCell ref="L2:M2"/>
    <mergeCell ref="R2:S2"/>
    <mergeCell ref="N2:O2"/>
    <mergeCell ref="P2:Q2"/>
    <mergeCell ref="H2:I2"/>
    <mergeCell ref="AD1:AE1"/>
    <mergeCell ref="AF1:AG1"/>
    <mergeCell ref="D1:E1"/>
    <mergeCell ref="F1:G1"/>
    <mergeCell ref="J1:K1"/>
    <mergeCell ref="L1:M1"/>
    <mergeCell ref="R1:S1"/>
    <mergeCell ref="N1:O1"/>
    <mergeCell ref="P1:Q1"/>
    <mergeCell ref="Z1:AA1"/>
    <mergeCell ref="AB1:AC1"/>
    <mergeCell ref="H1:I1"/>
  </mergeCells>
  <phoneticPr fontId="2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FB6FC2-7322-486E-BECC-8E24B3634865}">
  <sheetPr codeName="Sheet4"/>
  <dimension ref="A1:Q52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03" bestFit="1" customWidth="1"/>
    <col min="6" max="6" width="11" style="33" bestFit="1" customWidth="1"/>
    <col min="7" max="9" width="9" style="27" customWidth="1"/>
    <col min="10" max="10" width="3.625" style="27" customWidth="1"/>
    <col min="11" max="11" width="3.5" style="5" customWidth="1"/>
    <col min="12" max="12" width="9" style="75" customWidth="1"/>
    <col min="13" max="13" width="3.625" style="27" customWidth="1"/>
    <col min="14" max="14" width="9" style="90" customWidth="1"/>
    <col min="15" max="15" width="9" style="100" customWidth="1"/>
    <col min="16" max="16" width="9" style="94" customWidth="1"/>
    <col min="17" max="17" width="3.625" style="82" customWidth="1"/>
    <col min="18" max="16384" width="9" style="27"/>
  </cols>
  <sheetData>
    <row r="1" spans="1:17">
      <c r="A1" s="17" t="s">
        <v>0</v>
      </c>
      <c r="B1" s="144" t="s">
        <v>172</v>
      </c>
      <c r="C1" s="145"/>
      <c r="E1" s="104" t="s">
        <v>127</v>
      </c>
      <c r="F1" s="127" t="s">
        <v>91</v>
      </c>
      <c r="G1" s="126" t="s">
        <v>92</v>
      </c>
      <c r="H1" s="105" t="s">
        <v>93</v>
      </c>
      <c r="I1" s="127" t="s">
        <v>116</v>
      </c>
      <c r="K1" s="28" t="s">
        <v>18</v>
      </c>
      <c r="L1" s="29" t="s">
        <v>96</v>
      </c>
      <c r="M1" s="106"/>
      <c r="N1" s="88" t="s">
        <v>108</v>
      </c>
      <c r="O1" s="28" t="s">
        <v>109</v>
      </c>
      <c r="P1" s="92" t="s">
        <v>92</v>
      </c>
      <c r="Q1" s="76" t="s">
        <v>120</v>
      </c>
    </row>
    <row r="2" spans="1:17">
      <c r="A2" s="18" t="s">
        <v>9</v>
      </c>
      <c r="B2" s="146">
        <v>16</v>
      </c>
      <c r="C2" s="147"/>
      <c r="E2" s="45" t="s">
        <v>162</v>
      </c>
      <c r="F2" s="42" t="s">
        <v>154</v>
      </c>
      <c r="G2" s="34">
        <v>22</v>
      </c>
      <c r="H2" s="107">
        <f>IF(B$22=0,0,G2/B$22)</f>
        <v>0.6875</v>
      </c>
      <c r="I2" s="69">
        <v>3</v>
      </c>
      <c r="K2" s="3">
        <v>0</v>
      </c>
      <c r="L2" s="74">
        <v>0</v>
      </c>
      <c r="N2" s="89" t="s">
        <v>102</v>
      </c>
      <c r="O2" s="96">
        <f t="shared" ref="O2:O9" si="0">IF(P2=0,0,Q2/P2)</f>
        <v>0</v>
      </c>
      <c r="P2" s="93">
        <v>16</v>
      </c>
      <c r="Q2" s="77">
        <v>0</v>
      </c>
    </row>
    <row r="3" spans="1:17">
      <c r="A3" s="38" t="s">
        <v>8</v>
      </c>
      <c r="B3" s="148">
        <v>152</v>
      </c>
      <c r="C3" s="149"/>
      <c r="E3" s="46" t="s">
        <v>165</v>
      </c>
      <c r="F3" s="43" t="s">
        <v>168</v>
      </c>
      <c r="G3" s="35">
        <v>20</v>
      </c>
      <c r="H3" s="108">
        <f>IF(B$22=0,0,G3/B$22)</f>
        <v>0.625</v>
      </c>
      <c r="I3" s="70">
        <v>3</v>
      </c>
      <c r="K3" s="5">
        <v>1</v>
      </c>
      <c r="L3" s="75">
        <v>-60.9</v>
      </c>
      <c r="N3" s="90" t="s">
        <v>103</v>
      </c>
      <c r="O3" s="97">
        <f t="shared" si="0"/>
        <v>0</v>
      </c>
      <c r="P3" s="94">
        <v>16</v>
      </c>
      <c r="Q3" s="78">
        <v>0</v>
      </c>
    </row>
    <row r="4" spans="1:17">
      <c r="A4" s="38" t="s">
        <v>6</v>
      </c>
      <c r="B4" s="150">
        <v>-1.4210854715202004E-14</v>
      </c>
      <c r="C4" s="151"/>
      <c r="E4" s="46" t="s">
        <v>54</v>
      </c>
      <c r="F4" s="43" t="s">
        <v>20</v>
      </c>
      <c r="G4" s="35">
        <v>18</v>
      </c>
      <c r="H4" s="108">
        <f>IF(B$22=0,0,G4/B$22)</f>
        <v>0.5625</v>
      </c>
      <c r="I4" s="70">
        <v>3</v>
      </c>
      <c r="K4" s="5">
        <v>2</v>
      </c>
      <c r="L4" s="75">
        <v>-42.8</v>
      </c>
      <c r="N4" s="90" t="s">
        <v>104</v>
      </c>
      <c r="O4" s="97">
        <f t="shared" si="0"/>
        <v>-125</v>
      </c>
      <c r="P4" s="94">
        <v>16</v>
      </c>
      <c r="Q4" s="78">
        <v>-2000</v>
      </c>
    </row>
    <row r="5" spans="1:17">
      <c r="A5" s="38" t="s">
        <v>7</v>
      </c>
      <c r="B5" s="138">
        <f>IF(B$2=0,0,B$4/B$2)</f>
        <v>-8.8817841970012523E-16</v>
      </c>
      <c r="C5" s="139"/>
      <c r="E5" s="46" t="s">
        <v>55</v>
      </c>
      <c r="F5" s="43" t="s">
        <v>153</v>
      </c>
      <c r="G5" s="35">
        <v>16</v>
      </c>
      <c r="H5" s="108">
        <f>IF(B$22=0,0,G5/B$22)</f>
        <v>0.5</v>
      </c>
      <c r="I5" s="70">
        <v>3</v>
      </c>
      <c r="K5" s="5">
        <v>3</v>
      </c>
      <c r="L5" s="75">
        <v>18.100000000000001</v>
      </c>
      <c r="N5" s="90" t="s">
        <v>155</v>
      </c>
      <c r="O5" s="97">
        <f>IF(P5=0,0,Q5/P5)</f>
        <v>125</v>
      </c>
      <c r="P5" s="94">
        <v>16</v>
      </c>
      <c r="Q5" s="78">
        <v>2000</v>
      </c>
    </row>
    <row r="6" spans="1:17">
      <c r="A6" s="38" t="s">
        <v>1</v>
      </c>
      <c r="B6" s="152">
        <f>IF(B$2=0,0,(B$7*1+B$8*2+B$9*3+B$10*4)/B$2)</f>
        <v>2.5</v>
      </c>
      <c r="C6" s="153"/>
      <c r="E6" s="46" t="s">
        <v>56</v>
      </c>
      <c r="F6" s="43" t="s">
        <v>166</v>
      </c>
      <c r="G6" s="35">
        <v>13</v>
      </c>
      <c r="H6" s="108">
        <f>IF(B$22=0,0,G6/B$22)</f>
        <v>0.40625</v>
      </c>
      <c r="I6" s="70">
        <v>3</v>
      </c>
      <c r="K6" s="5">
        <v>4</v>
      </c>
      <c r="L6" s="75">
        <v>0</v>
      </c>
      <c r="N6" s="90" t="s">
        <v>105</v>
      </c>
      <c r="O6" s="97">
        <f t="shared" ref="O6" si="1">IF(P6=0,0,Q6/P6)</f>
        <v>0</v>
      </c>
      <c r="P6" s="94">
        <v>16</v>
      </c>
      <c r="Q6" s="78">
        <v>0</v>
      </c>
    </row>
    <row r="7" spans="1:17">
      <c r="A7" s="38" t="s">
        <v>2</v>
      </c>
      <c r="B7" s="35">
        <v>4</v>
      </c>
      <c r="C7" s="30">
        <f t="shared" ref="C7:C17" si="2">IF(B$2=0,0,B7/B$2)</f>
        <v>0.25</v>
      </c>
      <c r="E7" s="46" t="s">
        <v>163</v>
      </c>
      <c r="F7" s="43" t="s">
        <v>19</v>
      </c>
      <c r="G7" s="35">
        <v>10</v>
      </c>
      <c r="H7" s="108">
        <f>IF(B$22=0,0,G7/B$22)</f>
        <v>0.3125</v>
      </c>
      <c r="I7" s="70">
        <v>4</v>
      </c>
      <c r="K7" s="5">
        <v>5</v>
      </c>
      <c r="L7" s="75">
        <v>-18</v>
      </c>
      <c r="N7" s="90" t="s">
        <v>106</v>
      </c>
      <c r="O7" s="97">
        <f t="shared" si="0"/>
        <v>0</v>
      </c>
      <c r="P7" s="94">
        <v>12</v>
      </c>
      <c r="Q7" s="78">
        <v>0</v>
      </c>
    </row>
    <row r="8" spans="1:17">
      <c r="A8" s="38" t="s">
        <v>3</v>
      </c>
      <c r="B8" s="35">
        <v>4</v>
      </c>
      <c r="C8" s="30">
        <f>IF(B$2=0,0,B8/B$2)</f>
        <v>0.25</v>
      </c>
      <c r="E8" s="46" t="s">
        <v>60</v>
      </c>
      <c r="F8" s="43" t="s">
        <v>24</v>
      </c>
      <c r="G8" s="35">
        <v>9</v>
      </c>
      <c r="H8" s="108">
        <f>IF(B$22=0,0,G8/B$22)</f>
        <v>0.28125</v>
      </c>
      <c r="I8" s="70">
        <v>3</v>
      </c>
      <c r="K8" s="5">
        <v>6</v>
      </c>
      <c r="L8" s="75">
        <v>-14.8</v>
      </c>
      <c r="N8" s="90" t="s">
        <v>107</v>
      </c>
      <c r="O8" s="97">
        <f t="shared" si="0"/>
        <v>0</v>
      </c>
      <c r="P8" s="94">
        <v>8</v>
      </c>
      <c r="Q8" s="78">
        <v>0</v>
      </c>
    </row>
    <row r="9" spans="1:17">
      <c r="A9" s="39" t="s">
        <v>4</v>
      </c>
      <c r="B9" s="36">
        <v>4</v>
      </c>
      <c r="C9" s="31">
        <f>IF(B$2=0,0,B9/B$2)</f>
        <v>0.25</v>
      </c>
      <c r="E9" s="46" t="s">
        <v>57</v>
      </c>
      <c r="F9" s="43" t="s">
        <v>21</v>
      </c>
      <c r="G9" s="35">
        <v>8</v>
      </c>
      <c r="H9" s="108">
        <f>IF(B$22=0,0,G9/B$22)</f>
        <v>0.25</v>
      </c>
      <c r="I9" s="70">
        <v>2</v>
      </c>
      <c r="K9" s="5">
        <v>7</v>
      </c>
      <c r="L9" s="75">
        <v>46.900000000000006</v>
      </c>
      <c r="N9" s="91" t="s">
        <v>156</v>
      </c>
      <c r="O9" s="98">
        <f t="shared" si="0"/>
        <v>0</v>
      </c>
      <c r="P9" s="95">
        <v>8</v>
      </c>
      <c r="Q9" s="79">
        <v>0</v>
      </c>
    </row>
    <row r="10" spans="1:17">
      <c r="A10" s="39" t="s">
        <v>150</v>
      </c>
      <c r="B10" s="36">
        <v>4</v>
      </c>
      <c r="C10" s="31">
        <f>IF(B$2=0,0,B10/B$2)</f>
        <v>0.25</v>
      </c>
      <c r="E10" s="46" t="s">
        <v>59</v>
      </c>
      <c r="F10" s="43" t="s">
        <v>23</v>
      </c>
      <c r="G10" s="35">
        <v>8</v>
      </c>
      <c r="H10" s="108">
        <f>IF(B$22=0,0,G10/B$22)</f>
        <v>0.25</v>
      </c>
      <c r="I10" s="70">
        <v>3</v>
      </c>
      <c r="K10" s="5">
        <v>8</v>
      </c>
      <c r="L10" s="75">
        <v>7.1054273576010019E-15</v>
      </c>
      <c r="N10" s="33"/>
      <c r="O10" s="102"/>
      <c r="P10" s="86"/>
      <c r="Q10" s="84"/>
    </row>
    <row r="11" spans="1:17">
      <c r="A11" s="39" t="s">
        <v>151</v>
      </c>
      <c r="B11" s="36">
        <f>B7+B8</f>
        <v>8</v>
      </c>
      <c r="C11" s="31">
        <f>IF(B$2=0,0,B11/B$2)</f>
        <v>0.5</v>
      </c>
      <c r="E11" s="46" t="s">
        <v>58</v>
      </c>
      <c r="F11" s="43" t="s">
        <v>22</v>
      </c>
      <c r="G11" s="35">
        <v>5</v>
      </c>
      <c r="H11" s="108">
        <f>IF(B$22=0,0,G11/B$22)</f>
        <v>0.15625</v>
      </c>
      <c r="I11" s="70">
        <v>3</v>
      </c>
      <c r="K11" s="5">
        <v>9</v>
      </c>
      <c r="L11" s="75">
        <v>69.099999999999994</v>
      </c>
      <c r="N11" s="88" t="s">
        <v>158</v>
      </c>
      <c r="O11" s="28" t="s">
        <v>96</v>
      </c>
      <c r="P11" s="92" t="s">
        <v>92</v>
      </c>
      <c r="Q11" s="80" t="s">
        <v>120</v>
      </c>
    </row>
    <row r="12" spans="1:17">
      <c r="A12" s="39" t="s">
        <v>174</v>
      </c>
      <c r="B12" s="124">
        <f>IF(B7=0,0,C12/B7)</f>
        <v>62.75</v>
      </c>
      <c r="C12" s="125">
        <v>251</v>
      </c>
      <c r="E12" s="46" t="s">
        <v>69</v>
      </c>
      <c r="F12" s="43" t="s">
        <v>33</v>
      </c>
      <c r="G12" s="35">
        <v>2</v>
      </c>
      <c r="H12" s="108">
        <f>IF(B$22=0,0,G12/B$22)</f>
        <v>6.25E-2</v>
      </c>
      <c r="I12" s="70">
        <v>3</v>
      </c>
      <c r="K12" s="5">
        <v>10</v>
      </c>
      <c r="L12" s="75">
        <v>42.8</v>
      </c>
      <c r="N12" s="89" t="s">
        <v>124</v>
      </c>
      <c r="O12" s="99">
        <f>IF(P12=0,0,Q12/P12)</f>
        <v>-6.1000000000000032</v>
      </c>
      <c r="P12" s="93">
        <v>4</v>
      </c>
      <c r="Q12" s="81">
        <v>-24.400000000000013</v>
      </c>
    </row>
    <row r="13" spans="1:17">
      <c r="A13" s="39" t="s">
        <v>175</v>
      </c>
      <c r="B13" s="124">
        <f t="shared" ref="B13:B14" si="3">IF(B8=0,0,C13/B8)</f>
        <v>12.8</v>
      </c>
      <c r="C13" s="125">
        <v>51.2</v>
      </c>
      <c r="E13" s="46" t="s">
        <v>71</v>
      </c>
      <c r="F13" s="43" t="s">
        <v>35</v>
      </c>
      <c r="G13" s="35">
        <v>2</v>
      </c>
      <c r="H13" s="108">
        <f>IF(B$22=0,0,G13/B$22)</f>
        <v>6.25E-2</v>
      </c>
      <c r="I13" s="70">
        <v>3</v>
      </c>
      <c r="K13" s="5">
        <v>11</v>
      </c>
      <c r="L13" s="75">
        <v>-22.100000000000009</v>
      </c>
      <c r="N13" s="90" t="s">
        <v>125</v>
      </c>
      <c r="O13" s="100">
        <f>IF(P13=0,0,Q13/P13)</f>
        <v>-14.375</v>
      </c>
      <c r="P13" s="94">
        <v>4</v>
      </c>
      <c r="Q13" s="82">
        <v>-57.5</v>
      </c>
    </row>
    <row r="14" spans="1:17">
      <c r="A14" s="39" t="s">
        <v>176</v>
      </c>
      <c r="B14" s="124">
        <f t="shared" si="3"/>
        <v>-19.25</v>
      </c>
      <c r="C14" s="125">
        <v>-77</v>
      </c>
      <c r="E14" s="46" t="s">
        <v>74</v>
      </c>
      <c r="F14" s="43" t="s">
        <v>38</v>
      </c>
      <c r="G14" s="35">
        <v>2</v>
      </c>
      <c r="H14" s="108">
        <f>IF(B$22=0,0,G14/B$22)</f>
        <v>6.25E-2</v>
      </c>
      <c r="I14" s="70">
        <v>3</v>
      </c>
      <c r="K14" s="5">
        <v>12</v>
      </c>
      <c r="L14" s="75">
        <v>-7.1054273576010019E-15</v>
      </c>
      <c r="N14" s="90" t="s">
        <v>126</v>
      </c>
      <c r="O14" s="100">
        <f>IF(P14=0,0,Q14/P14)</f>
        <v>16.374999999999996</v>
      </c>
      <c r="P14" s="94">
        <v>4</v>
      </c>
      <c r="Q14" s="82">
        <v>65.499999999999986</v>
      </c>
    </row>
    <row r="15" spans="1:17">
      <c r="A15" s="39" t="s">
        <v>177</v>
      </c>
      <c r="B15" s="124">
        <f>IF(B10=0,0,C15/B10)</f>
        <v>-56.3</v>
      </c>
      <c r="C15" s="125">
        <v>-225.2</v>
      </c>
      <c r="E15" s="46" t="s">
        <v>164</v>
      </c>
      <c r="F15" s="43" t="s">
        <v>167</v>
      </c>
      <c r="G15" s="35">
        <v>1</v>
      </c>
      <c r="H15" s="108">
        <f>IF(B$22=0,0,G15/B$22)</f>
        <v>3.125E-2</v>
      </c>
      <c r="I15" s="70">
        <v>2</v>
      </c>
      <c r="K15" s="5">
        <v>13</v>
      </c>
      <c r="L15" s="75">
        <v>-14.600000000000007</v>
      </c>
      <c r="N15" s="91" t="s">
        <v>157</v>
      </c>
      <c r="O15" s="101">
        <f>IF(P15=0,0,Q15/P15)</f>
        <v>4.0999999999999996</v>
      </c>
      <c r="P15" s="95">
        <v>4</v>
      </c>
      <c r="Q15" s="83">
        <v>16.399999999999999</v>
      </c>
    </row>
    <row r="16" spans="1:17">
      <c r="A16" s="39" t="s">
        <v>173</v>
      </c>
      <c r="B16" s="138">
        <f>AVERAGE(B12:B15)</f>
        <v>0</v>
      </c>
      <c r="C16" s="139"/>
      <c r="E16" s="46" t="s">
        <v>77</v>
      </c>
      <c r="F16" s="43" t="s">
        <v>41</v>
      </c>
      <c r="G16" s="35">
        <v>1</v>
      </c>
      <c r="H16" s="108">
        <f>IF(B$22=0,0,G16/B$22)</f>
        <v>3.125E-2</v>
      </c>
      <c r="I16" s="70">
        <v>2</v>
      </c>
      <c r="K16" s="5">
        <v>14</v>
      </c>
      <c r="L16" s="75">
        <v>-67.100000000000009</v>
      </c>
      <c r="N16" s="27"/>
      <c r="O16" s="85"/>
      <c r="P16" s="87"/>
      <c r="Q16" s="85"/>
    </row>
    <row r="17" spans="1:17">
      <c r="A17" s="40" t="s">
        <v>17</v>
      </c>
      <c r="B17" s="37">
        <v>2</v>
      </c>
      <c r="C17" s="32">
        <f t="shared" si="2"/>
        <v>0.125</v>
      </c>
      <c r="E17" s="46" t="s">
        <v>61</v>
      </c>
      <c r="F17" s="43" t="s">
        <v>25</v>
      </c>
      <c r="G17" s="35">
        <v>0</v>
      </c>
      <c r="H17" s="108">
        <f>IF(B$22=0,0,G17/B$22)</f>
        <v>0</v>
      </c>
      <c r="I17" s="70">
        <v>1</v>
      </c>
      <c r="K17" s="5">
        <v>15</v>
      </c>
      <c r="L17" s="75">
        <v>-59.300000000000011</v>
      </c>
      <c r="N17" s="88" t="s">
        <v>117</v>
      </c>
      <c r="O17" s="28" t="s">
        <v>96</v>
      </c>
      <c r="P17" s="92" t="s">
        <v>92</v>
      </c>
      <c r="Q17" s="80" t="s">
        <v>120</v>
      </c>
    </row>
    <row r="18" spans="1:17">
      <c r="A18" s="41" t="s">
        <v>97</v>
      </c>
      <c r="B18" s="15">
        <v>46</v>
      </c>
      <c r="C18" s="11">
        <f>IF(B$3=0,0,B18/B$3)</f>
        <v>0.30263157894736842</v>
      </c>
      <c r="E18" s="46" t="s">
        <v>62</v>
      </c>
      <c r="F18" s="43" t="s">
        <v>26</v>
      </c>
      <c r="G18" s="35">
        <v>0</v>
      </c>
      <c r="H18" s="108">
        <f>IF(B$22=0,0,G18/B$22)</f>
        <v>0</v>
      </c>
      <c r="I18" s="70">
        <v>1</v>
      </c>
      <c r="K18" s="5">
        <v>16</v>
      </c>
      <c r="L18" s="75">
        <v>-1.4210854715202004E-14</v>
      </c>
      <c r="N18" s="89" t="s">
        <v>186</v>
      </c>
      <c r="O18" s="99">
        <f>IF(P18=0,0,Q18/P18)</f>
        <v>38.866666666666674</v>
      </c>
      <c r="P18" s="93">
        <v>12</v>
      </c>
      <c r="Q18" s="81">
        <v>466.40000000000009</v>
      </c>
    </row>
    <row r="19" spans="1:17">
      <c r="A19" s="38" t="s">
        <v>94</v>
      </c>
      <c r="B19" s="35">
        <v>33</v>
      </c>
      <c r="C19" s="30">
        <f>IF(B$3=0,0,B19/B$3)</f>
        <v>0.21710526315789475</v>
      </c>
      <c r="E19" s="46" t="s">
        <v>63</v>
      </c>
      <c r="F19" s="43" t="s">
        <v>27</v>
      </c>
      <c r="G19" s="35">
        <v>0</v>
      </c>
      <c r="H19" s="108">
        <f>IF(B$22=0,0,G19/B$22)</f>
        <v>0</v>
      </c>
      <c r="I19" s="70">
        <v>1</v>
      </c>
      <c r="N19" s="90" t="s">
        <v>183</v>
      </c>
      <c r="O19" s="100">
        <f>IF(P19=0,0,Q19/P19)</f>
        <v>6.5333333333333314</v>
      </c>
      <c r="P19" s="94">
        <v>12</v>
      </c>
      <c r="Q19" s="82">
        <v>78.399999999999977</v>
      </c>
    </row>
    <row r="20" spans="1:17">
      <c r="A20" s="18" t="s">
        <v>99</v>
      </c>
      <c r="B20" s="34">
        <f>B26</f>
        <v>22</v>
      </c>
      <c r="C20" s="4">
        <f>IF(B$18=0,0,B20/B$18)</f>
        <v>0.47826086956521741</v>
      </c>
      <c r="E20" s="46" t="s">
        <v>64</v>
      </c>
      <c r="F20" s="43" t="s">
        <v>28</v>
      </c>
      <c r="G20" s="35">
        <v>0</v>
      </c>
      <c r="H20" s="108">
        <f>IF(B$22=0,0,G20/B$22)</f>
        <v>0</v>
      </c>
      <c r="I20" s="70">
        <v>1</v>
      </c>
      <c r="N20" s="90" t="s">
        <v>184</v>
      </c>
      <c r="O20" s="100">
        <f>IF(P20=0,0,Q20/P20)</f>
        <v>-14.63333333333334</v>
      </c>
      <c r="P20" s="94">
        <v>12</v>
      </c>
      <c r="Q20" s="82">
        <v>-175.60000000000008</v>
      </c>
    </row>
    <row r="21" spans="1:17">
      <c r="A21" s="18" t="s">
        <v>100</v>
      </c>
      <c r="B21" s="34">
        <f>B27</f>
        <v>6</v>
      </c>
      <c r="C21" s="4">
        <f>IF(B$19=0,0,B21/B$19)</f>
        <v>0.18181818181818182</v>
      </c>
      <c r="E21" s="46" t="s">
        <v>65</v>
      </c>
      <c r="F21" s="43" t="s">
        <v>29</v>
      </c>
      <c r="G21" s="35">
        <v>0</v>
      </c>
      <c r="H21" s="108">
        <f>IF(B$22=0,0,G21/B$22)</f>
        <v>0</v>
      </c>
      <c r="I21" s="70">
        <v>1</v>
      </c>
      <c r="N21" s="90" t="s">
        <v>185</v>
      </c>
      <c r="O21" s="100">
        <f>IF(P21=0,0,Q21/P21)</f>
        <v>-30.766666666666666</v>
      </c>
      <c r="P21" s="94">
        <v>12</v>
      </c>
      <c r="Q21" s="82">
        <v>-369.2</v>
      </c>
    </row>
    <row r="22" spans="1:17">
      <c r="A22" s="18" t="s">
        <v>10</v>
      </c>
      <c r="B22" s="34">
        <f>B25+B24</f>
        <v>32</v>
      </c>
      <c r="C22" s="4">
        <f>IF(B$3=0,0,B22/B$3)</f>
        <v>0.21052631578947367</v>
      </c>
      <c r="E22" s="46" t="s">
        <v>66</v>
      </c>
      <c r="F22" s="43" t="s">
        <v>30</v>
      </c>
      <c r="G22" s="35">
        <v>0</v>
      </c>
      <c r="H22" s="108">
        <f>IF(B$22=0,0,G22/B$22)</f>
        <v>0</v>
      </c>
      <c r="I22" s="70">
        <v>1</v>
      </c>
    </row>
    <row r="23" spans="1:17">
      <c r="A23" s="38" t="s">
        <v>13</v>
      </c>
      <c r="B23" s="35">
        <v>18</v>
      </c>
      <c r="C23" s="30">
        <f>IF(B$3=0,0,B23/B$3)</f>
        <v>0.11842105263157894</v>
      </c>
      <c r="E23" s="46" t="s">
        <v>67</v>
      </c>
      <c r="F23" s="43" t="s">
        <v>31</v>
      </c>
      <c r="G23" s="35">
        <v>0</v>
      </c>
      <c r="H23" s="108">
        <f>IF(B$22=0,0,G23/B$22)</f>
        <v>0</v>
      </c>
      <c r="I23" s="70">
        <v>1</v>
      </c>
    </row>
    <row r="24" spans="1:17">
      <c r="A24" s="38" t="s">
        <v>12</v>
      </c>
      <c r="B24" s="35">
        <v>14</v>
      </c>
      <c r="C24" s="30">
        <f>IF(B$22=0,0,B24/B$22)</f>
        <v>0.4375</v>
      </c>
      <c r="E24" s="46" t="s">
        <v>68</v>
      </c>
      <c r="F24" s="43" t="s">
        <v>32</v>
      </c>
      <c r="G24" s="35">
        <v>0</v>
      </c>
      <c r="H24" s="108">
        <f>IF(B$22=0,0,G24/B$22)</f>
        <v>0</v>
      </c>
      <c r="I24" s="70">
        <v>1</v>
      </c>
    </row>
    <row r="25" spans="1:17">
      <c r="A25" s="38" t="s">
        <v>11</v>
      </c>
      <c r="B25" s="35">
        <v>18</v>
      </c>
      <c r="C25" s="30">
        <f>IF(B$22=0,0,B25/B$22)</f>
        <v>0.5625</v>
      </c>
      <c r="E25" s="46" t="s">
        <v>70</v>
      </c>
      <c r="F25" s="43" t="s">
        <v>34</v>
      </c>
      <c r="G25" s="35">
        <v>0</v>
      </c>
      <c r="H25" s="108">
        <f>IF(B$22=0,0,G25/B$22)</f>
        <v>0</v>
      </c>
      <c r="I25" s="70">
        <v>1</v>
      </c>
    </row>
    <row r="26" spans="1:17">
      <c r="A26" s="38" t="s">
        <v>149</v>
      </c>
      <c r="B26" s="35">
        <v>22</v>
      </c>
      <c r="C26" s="30">
        <f>IF(B$22=0,0,B26/B$22)</f>
        <v>0.6875</v>
      </c>
      <c r="E26" s="46" t="s">
        <v>72</v>
      </c>
      <c r="F26" s="43" t="s">
        <v>36</v>
      </c>
      <c r="G26" s="35">
        <v>0</v>
      </c>
      <c r="H26" s="108">
        <f>IF(B$22=0,0,G26/B$22)</f>
        <v>0</v>
      </c>
      <c r="I26" s="70">
        <v>1</v>
      </c>
    </row>
    <row r="27" spans="1:17">
      <c r="A27" s="38" t="s">
        <v>147</v>
      </c>
      <c r="B27" s="35">
        <v>6</v>
      </c>
      <c r="C27" s="30">
        <f>IF(B$22=0,0,B27/B$22)</f>
        <v>0.1875</v>
      </c>
      <c r="E27" s="46" t="s">
        <v>73</v>
      </c>
      <c r="F27" s="43" t="s">
        <v>37</v>
      </c>
      <c r="G27" s="35">
        <v>0</v>
      </c>
      <c r="H27" s="108">
        <f>IF(B$22=0,0,G27/B$22)</f>
        <v>0</v>
      </c>
      <c r="I27" s="70">
        <v>1</v>
      </c>
    </row>
    <row r="28" spans="1:17">
      <c r="A28" s="38" t="s">
        <v>148</v>
      </c>
      <c r="B28" s="35">
        <v>4</v>
      </c>
      <c r="C28" s="30">
        <f>IF(B$22=0,0,B28/B$22)</f>
        <v>0.125</v>
      </c>
      <c r="E28" s="46" t="s">
        <v>75</v>
      </c>
      <c r="F28" s="43" t="s">
        <v>39</v>
      </c>
      <c r="G28" s="35">
        <v>0</v>
      </c>
      <c r="H28" s="108">
        <f>IF(B$22=0,0,G28/B$22)</f>
        <v>0</v>
      </c>
      <c r="I28" s="70">
        <v>1</v>
      </c>
    </row>
    <row r="29" spans="1:17">
      <c r="A29" s="38" t="s">
        <v>5</v>
      </c>
      <c r="B29" s="16">
        <f>IF(B$22=0,0,C29/B$22)</f>
        <v>9062.5</v>
      </c>
      <c r="C29" s="8">
        <v>290000</v>
      </c>
      <c r="E29" s="46" t="s">
        <v>76</v>
      </c>
      <c r="F29" s="43" t="s">
        <v>40</v>
      </c>
      <c r="G29" s="35">
        <v>0</v>
      </c>
      <c r="H29" s="108">
        <f>IF(B$22=0,0,G29/B$22)</f>
        <v>0</v>
      </c>
      <c r="I29" s="70">
        <v>1</v>
      </c>
    </row>
    <row r="30" spans="1:17">
      <c r="A30" s="39" t="s">
        <v>131</v>
      </c>
      <c r="B30" s="111">
        <f>IF($B$22-B$21=0,0,C30/($B$22-B$21))</f>
        <v>9392.3076923076915</v>
      </c>
      <c r="C30" s="112">
        <v>244200</v>
      </c>
      <c r="E30" s="46" t="s">
        <v>78</v>
      </c>
      <c r="F30" s="43" t="s">
        <v>42</v>
      </c>
      <c r="G30" s="35">
        <v>0</v>
      </c>
      <c r="H30" s="108">
        <f>IF(B$22=0,0,G30/B$22)</f>
        <v>0</v>
      </c>
      <c r="I30" s="70">
        <v>1</v>
      </c>
    </row>
    <row r="31" spans="1:17">
      <c r="A31" s="39" t="s">
        <v>132</v>
      </c>
      <c r="B31" s="111">
        <f>IF(B$21=0,0,C31/B$21)</f>
        <v>7633.333333333333</v>
      </c>
      <c r="C31" s="112">
        <v>45800</v>
      </c>
      <c r="E31" s="46" t="s">
        <v>79</v>
      </c>
      <c r="F31" s="43" t="s">
        <v>43</v>
      </c>
      <c r="G31" s="35">
        <v>0</v>
      </c>
      <c r="H31" s="108">
        <f>IF(B$22=0,0,G31/B$22)</f>
        <v>0</v>
      </c>
      <c r="I31" s="70">
        <v>1</v>
      </c>
    </row>
    <row r="32" spans="1:17">
      <c r="A32" s="39" t="s">
        <v>130</v>
      </c>
      <c r="B32" s="111">
        <f>IF(B$23=0,0,C32/B$23)</f>
        <v>-7877.7777777777774</v>
      </c>
      <c r="C32" s="112">
        <v>-141800</v>
      </c>
      <c r="E32" s="46" t="s">
        <v>80</v>
      </c>
      <c r="F32" s="43" t="s">
        <v>44</v>
      </c>
      <c r="G32" s="35">
        <v>0</v>
      </c>
      <c r="H32" s="108">
        <f>IF(B$22=0,0,G32/B$22)</f>
        <v>0</v>
      </c>
      <c r="I32" s="70">
        <v>1</v>
      </c>
    </row>
    <row r="33" spans="1:9">
      <c r="A33" s="38" t="s">
        <v>128</v>
      </c>
      <c r="B33" s="35">
        <v>3</v>
      </c>
      <c r="C33" s="110">
        <v>3</v>
      </c>
      <c r="E33" s="46" t="s">
        <v>81</v>
      </c>
      <c r="F33" s="43" t="s">
        <v>45</v>
      </c>
      <c r="G33" s="35">
        <v>0</v>
      </c>
      <c r="H33" s="108">
        <f>IF(B$22=0,0,G33/B$22)</f>
        <v>0</v>
      </c>
      <c r="I33" s="70">
        <v>1</v>
      </c>
    </row>
    <row r="34" spans="1:9">
      <c r="A34" s="38" t="s">
        <v>129</v>
      </c>
      <c r="B34" s="35">
        <v>22</v>
      </c>
      <c r="C34" s="110">
        <v>3</v>
      </c>
      <c r="E34" s="46" t="s">
        <v>82</v>
      </c>
      <c r="F34" s="43" t="s">
        <v>46</v>
      </c>
      <c r="G34" s="35">
        <v>0</v>
      </c>
      <c r="H34" s="108">
        <f>IF(B$22=0,0,G34/B$22)</f>
        <v>0</v>
      </c>
      <c r="I34" s="70">
        <v>1</v>
      </c>
    </row>
    <row r="35" spans="1:9">
      <c r="A35" s="66" t="s">
        <v>110</v>
      </c>
      <c r="B35" s="140">
        <v>5</v>
      </c>
      <c r="C35" s="141"/>
      <c r="E35" s="46" t="s">
        <v>83</v>
      </c>
      <c r="F35" s="43" t="s">
        <v>47</v>
      </c>
      <c r="G35" s="35">
        <v>0</v>
      </c>
      <c r="H35" s="108">
        <f>IF(B$22=0,0,G35/B$22)</f>
        <v>0</v>
      </c>
      <c r="I35" s="70">
        <v>1</v>
      </c>
    </row>
    <row r="36" spans="1:9">
      <c r="A36" s="41" t="s">
        <v>146</v>
      </c>
      <c r="B36" s="142">
        <v>49100</v>
      </c>
      <c r="C36" s="143"/>
      <c r="E36" s="46" t="s">
        <v>84</v>
      </c>
      <c r="F36" s="43" t="s">
        <v>48</v>
      </c>
      <c r="G36" s="35">
        <v>0</v>
      </c>
      <c r="H36" s="108">
        <f>IF(B$22=0,0,G36/B$22)</f>
        <v>0</v>
      </c>
      <c r="I36" s="70">
        <v>1</v>
      </c>
    </row>
    <row r="37" spans="1:9">
      <c r="A37" s="40" t="s">
        <v>111</v>
      </c>
      <c r="B37" s="26">
        <v>0</v>
      </c>
      <c r="C37" s="32">
        <f>IF(B$3=0,0,B37/B$3)</f>
        <v>0</v>
      </c>
      <c r="E37" s="46" t="s">
        <v>85</v>
      </c>
      <c r="F37" s="43" t="s">
        <v>49</v>
      </c>
      <c r="G37" s="35">
        <v>0</v>
      </c>
      <c r="H37" s="108">
        <f>IF(B$22=0,0,G37/B$22)</f>
        <v>0</v>
      </c>
      <c r="I37" s="70">
        <v>1</v>
      </c>
    </row>
    <row r="38" spans="1:9">
      <c r="E38" s="46" t="s">
        <v>86</v>
      </c>
      <c r="F38" s="43" t="s">
        <v>50</v>
      </c>
      <c r="G38" s="35">
        <v>0</v>
      </c>
      <c r="H38" s="108">
        <f>IF(B$22=0,0,G38/B$22)</f>
        <v>0</v>
      </c>
      <c r="I38" s="70">
        <v>1</v>
      </c>
    </row>
    <row r="39" spans="1:9">
      <c r="A39" s="119" t="s">
        <v>159</v>
      </c>
      <c r="B39" s="120" t="s">
        <v>92</v>
      </c>
      <c r="C39" s="121" t="s">
        <v>93</v>
      </c>
      <c r="E39" s="46" t="s">
        <v>87</v>
      </c>
      <c r="F39" s="43" t="s">
        <v>51</v>
      </c>
      <c r="G39" s="35">
        <v>0</v>
      </c>
      <c r="H39" s="108">
        <f>IF(B$22=0,0,G39/B$22)</f>
        <v>0</v>
      </c>
      <c r="I39" s="70">
        <v>1</v>
      </c>
    </row>
    <row r="40" spans="1:9">
      <c r="A40" s="66" t="s">
        <v>137</v>
      </c>
      <c r="B40" s="128">
        <v>3</v>
      </c>
      <c r="C40" s="116">
        <f t="shared" ref="C40:C52" si="4">IF(B$22=0,0,B40/B$22)</f>
        <v>9.375E-2</v>
      </c>
      <c r="E40" s="46" t="s">
        <v>88</v>
      </c>
      <c r="F40" s="43" t="s">
        <v>52</v>
      </c>
      <c r="G40" s="35">
        <v>0</v>
      </c>
      <c r="H40" s="108">
        <f>IF(B$22=0,0,G40/B$22)</f>
        <v>0</v>
      </c>
      <c r="I40" s="70">
        <v>1</v>
      </c>
    </row>
    <row r="41" spans="1:9">
      <c r="A41" s="38" t="s">
        <v>133</v>
      </c>
      <c r="B41" s="35">
        <v>1</v>
      </c>
      <c r="C41" s="30">
        <f t="shared" si="4"/>
        <v>3.125E-2</v>
      </c>
      <c r="E41" s="46" t="s">
        <v>89</v>
      </c>
      <c r="F41" s="43" t="s">
        <v>53</v>
      </c>
      <c r="G41" s="35">
        <v>0</v>
      </c>
      <c r="H41" s="108">
        <f>IF(B$22=0,0,G41/B$22)</f>
        <v>0</v>
      </c>
      <c r="I41" s="70">
        <v>1</v>
      </c>
    </row>
    <row r="42" spans="1:9">
      <c r="A42" s="38" t="s">
        <v>134</v>
      </c>
      <c r="B42" s="129">
        <v>7</v>
      </c>
      <c r="C42" s="30">
        <f t="shared" si="4"/>
        <v>0.21875</v>
      </c>
      <c r="E42" s="47" t="s">
        <v>90</v>
      </c>
      <c r="F42" s="44" t="s">
        <v>169</v>
      </c>
      <c r="G42" s="37">
        <v>0</v>
      </c>
      <c r="H42" s="109">
        <f>IF(B$22=0,0,G42/B$22)</f>
        <v>0</v>
      </c>
      <c r="I42" s="71">
        <v>1</v>
      </c>
    </row>
    <row r="43" spans="1:9">
      <c r="A43" s="38" t="s">
        <v>135</v>
      </c>
      <c r="B43" s="129">
        <v>6</v>
      </c>
      <c r="C43" s="30">
        <f t="shared" si="4"/>
        <v>0.1875</v>
      </c>
    </row>
    <row r="44" spans="1:9">
      <c r="A44" s="38" t="s">
        <v>136</v>
      </c>
      <c r="B44" s="129">
        <v>4</v>
      </c>
      <c r="C44" s="30">
        <f t="shared" si="4"/>
        <v>0.125</v>
      </c>
    </row>
    <row r="45" spans="1:9">
      <c r="A45" s="38" t="s">
        <v>138</v>
      </c>
      <c r="B45" s="129">
        <v>5</v>
      </c>
      <c r="C45" s="30">
        <f t="shared" si="4"/>
        <v>0.15625</v>
      </c>
    </row>
    <row r="46" spans="1:9">
      <c r="A46" s="38" t="s">
        <v>139</v>
      </c>
      <c r="B46" s="129">
        <v>3</v>
      </c>
      <c r="C46" s="30">
        <f t="shared" si="4"/>
        <v>9.375E-2</v>
      </c>
    </row>
    <row r="47" spans="1:9">
      <c r="A47" s="38" t="s">
        <v>140</v>
      </c>
      <c r="B47" s="129">
        <v>3</v>
      </c>
      <c r="C47" s="30">
        <f t="shared" si="4"/>
        <v>9.375E-2</v>
      </c>
    </row>
    <row r="48" spans="1:9">
      <c r="A48" s="38" t="s">
        <v>141</v>
      </c>
      <c r="B48" s="129">
        <v>0</v>
      </c>
      <c r="C48" s="30">
        <f t="shared" si="4"/>
        <v>0</v>
      </c>
    </row>
    <row r="49" spans="1:3">
      <c r="A49" s="38" t="s">
        <v>142</v>
      </c>
      <c r="B49" s="129">
        <v>0</v>
      </c>
      <c r="C49" s="30">
        <f t="shared" si="4"/>
        <v>0</v>
      </c>
    </row>
    <row r="50" spans="1:3">
      <c r="A50" s="38" t="s">
        <v>143</v>
      </c>
      <c r="B50" s="129">
        <v>0</v>
      </c>
      <c r="C50" s="30">
        <f t="shared" si="4"/>
        <v>0</v>
      </c>
    </row>
    <row r="51" spans="1:3">
      <c r="A51" s="38" t="s">
        <v>144</v>
      </c>
      <c r="B51" s="129">
        <v>0</v>
      </c>
      <c r="C51" s="30">
        <f t="shared" si="4"/>
        <v>0</v>
      </c>
    </row>
    <row r="52" spans="1:3">
      <c r="A52" s="40" t="s">
        <v>145</v>
      </c>
      <c r="B52" s="115">
        <v>0</v>
      </c>
      <c r="C52" s="32">
        <f t="shared" si="4"/>
        <v>0</v>
      </c>
    </row>
  </sheetData>
  <sortState xmlns:xlrd2="http://schemas.microsoft.com/office/spreadsheetml/2017/richdata2" ref="N18:Q21">
    <sortCondition descending="1" ref="O18"/>
  </sortState>
  <mergeCells count="9">
    <mergeCell ref="B16:C16"/>
    <mergeCell ref="B35:C35"/>
    <mergeCell ref="B36:C36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F246E0-91D0-41F0-BCB1-DA117E45609D}">
  <sheetPr codeName="Sheet5"/>
  <dimension ref="A1:Q52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03" bestFit="1" customWidth="1"/>
    <col min="6" max="6" width="11" style="33" bestFit="1" customWidth="1"/>
    <col min="7" max="9" width="9" style="27" customWidth="1"/>
    <col min="10" max="10" width="3.625" style="27" customWidth="1"/>
    <col min="11" max="11" width="3.5" style="5" customWidth="1"/>
    <col min="12" max="12" width="9" style="75" customWidth="1"/>
    <col min="13" max="13" width="3.625" style="27" customWidth="1"/>
    <col min="14" max="14" width="9" style="90" customWidth="1"/>
    <col min="15" max="15" width="9" style="100" customWidth="1"/>
    <col min="16" max="16" width="9" style="94" customWidth="1"/>
    <col min="17" max="17" width="3.625" style="82" customWidth="1"/>
    <col min="18" max="16384" width="9" style="27"/>
  </cols>
  <sheetData>
    <row r="1" spans="1:17">
      <c r="A1" s="17" t="s">
        <v>0</v>
      </c>
      <c r="B1" s="144" t="s">
        <v>186</v>
      </c>
      <c r="C1" s="145"/>
      <c r="E1" s="104" t="s">
        <v>127</v>
      </c>
      <c r="F1" s="127" t="s">
        <v>91</v>
      </c>
      <c r="G1" s="126" t="s">
        <v>92</v>
      </c>
      <c r="H1" s="105" t="s">
        <v>93</v>
      </c>
      <c r="I1" s="127" t="s">
        <v>116</v>
      </c>
      <c r="K1" s="28" t="s">
        <v>18</v>
      </c>
      <c r="L1" s="29" t="s">
        <v>96</v>
      </c>
      <c r="M1" s="106"/>
      <c r="N1" s="88" t="s">
        <v>108</v>
      </c>
      <c r="O1" s="28" t="s">
        <v>109</v>
      </c>
      <c r="P1" s="92" t="s">
        <v>92</v>
      </c>
      <c r="Q1" s="76" t="s">
        <v>120</v>
      </c>
    </row>
    <row r="2" spans="1:17">
      <c r="A2" s="18" t="s">
        <v>9</v>
      </c>
      <c r="B2" s="146">
        <v>4</v>
      </c>
      <c r="C2" s="147"/>
      <c r="E2" s="45" t="s">
        <v>60</v>
      </c>
      <c r="F2" s="42" t="s">
        <v>24</v>
      </c>
      <c r="G2" s="34">
        <v>3</v>
      </c>
      <c r="H2" s="107">
        <f>IF(B$22=0,0,G2/B$22)</f>
        <v>1</v>
      </c>
      <c r="I2" s="69">
        <v>1</v>
      </c>
      <c r="K2" s="3">
        <v>0</v>
      </c>
      <c r="L2" s="74">
        <v>0</v>
      </c>
      <c r="N2" s="89" t="s">
        <v>102</v>
      </c>
      <c r="O2" s="96">
        <f t="shared" ref="O2:O9" si="0">IF(P2=0,0,Q2/P2)</f>
        <v>1600</v>
      </c>
      <c r="P2" s="93">
        <v>4</v>
      </c>
      <c r="Q2" s="77">
        <v>6400</v>
      </c>
    </row>
    <row r="3" spans="1:17">
      <c r="A3" s="38" t="s">
        <v>8</v>
      </c>
      <c r="B3" s="148">
        <v>38</v>
      </c>
      <c r="C3" s="149"/>
      <c r="E3" s="46" t="s">
        <v>162</v>
      </c>
      <c r="F3" s="43" t="s">
        <v>154</v>
      </c>
      <c r="G3" s="35">
        <v>2</v>
      </c>
      <c r="H3" s="108">
        <f>IF(B$22=0,0,G3/B$22)</f>
        <v>0.66666666666666663</v>
      </c>
      <c r="I3" s="70">
        <v>4</v>
      </c>
      <c r="K3" s="5">
        <v>1</v>
      </c>
      <c r="L3" s="75">
        <v>-60.9</v>
      </c>
      <c r="N3" s="90" t="s">
        <v>103</v>
      </c>
      <c r="O3" s="97">
        <f t="shared" si="0"/>
        <v>-825</v>
      </c>
      <c r="P3" s="94">
        <v>4</v>
      </c>
      <c r="Q3" s="78">
        <v>-3300</v>
      </c>
    </row>
    <row r="4" spans="1:17">
      <c r="A4" s="38" t="s">
        <v>6</v>
      </c>
      <c r="B4" s="150">
        <v>-116.6</v>
      </c>
      <c r="C4" s="151"/>
      <c r="E4" s="46" t="s">
        <v>163</v>
      </c>
      <c r="F4" s="43" t="s">
        <v>19</v>
      </c>
      <c r="G4" s="35">
        <v>1</v>
      </c>
      <c r="H4" s="108">
        <f>IF(B$22=0,0,G4/B$22)</f>
        <v>0.33333333333333331</v>
      </c>
      <c r="I4" s="70">
        <v>1</v>
      </c>
      <c r="K4" s="5">
        <v>2</v>
      </c>
      <c r="L4" s="75">
        <v>0.80000000000000426</v>
      </c>
      <c r="N4" s="90" t="s">
        <v>104</v>
      </c>
      <c r="O4" s="97">
        <f t="shared" si="0"/>
        <v>-1475</v>
      </c>
      <c r="P4" s="94">
        <v>4</v>
      </c>
      <c r="Q4" s="78">
        <v>-5900</v>
      </c>
    </row>
    <row r="5" spans="1:17">
      <c r="A5" s="38" t="s">
        <v>7</v>
      </c>
      <c r="B5" s="138">
        <f>IF(B$2=0,0,B$4/B$2)</f>
        <v>-29.15</v>
      </c>
      <c r="C5" s="139"/>
      <c r="E5" s="46" t="s">
        <v>54</v>
      </c>
      <c r="F5" s="43" t="s">
        <v>20</v>
      </c>
      <c r="G5" s="35">
        <v>1</v>
      </c>
      <c r="H5" s="108">
        <f>IF(B$22=0,0,G5/B$22)</f>
        <v>0.33333333333333331</v>
      </c>
      <c r="I5" s="70">
        <v>4</v>
      </c>
      <c r="K5" s="5">
        <v>3</v>
      </c>
      <c r="L5" s="75">
        <v>-64.099999999999994</v>
      </c>
      <c r="N5" s="90" t="s">
        <v>155</v>
      </c>
      <c r="O5" s="97">
        <f>IF(P5=0,0,Q5/P5)</f>
        <v>-3075</v>
      </c>
      <c r="P5" s="94">
        <v>4</v>
      </c>
      <c r="Q5" s="78">
        <v>-12300</v>
      </c>
    </row>
    <row r="6" spans="1:17">
      <c r="A6" s="38" t="s">
        <v>1</v>
      </c>
      <c r="B6" s="152">
        <f>IF(B$2=0,0,(B$7*1+B$8*2+B$9*3+B$10*4)/B$2)</f>
        <v>3.25</v>
      </c>
      <c r="C6" s="153"/>
      <c r="E6" s="46" t="s">
        <v>69</v>
      </c>
      <c r="F6" s="43" t="s">
        <v>33</v>
      </c>
      <c r="G6" s="35">
        <v>1</v>
      </c>
      <c r="H6" s="108">
        <f>IF(B$22=0,0,G6/B$22)</f>
        <v>0.33333333333333331</v>
      </c>
      <c r="I6" s="70">
        <v>1</v>
      </c>
      <c r="K6" s="5">
        <v>4</v>
      </c>
      <c r="L6" s="75">
        <v>-116.6</v>
      </c>
      <c r="N6" s="90" t="s">
        <v>105</v>
      </c>
      <c r="O6" s="97">
        <f t="shared" ref="O6" si="1">IF(P6=0,0,Q6/P6)</f>
        <v>-5075</v>
      </c>
      <c r="P6" s="94">
        <v>4</v>
      </c>
      <c r="Q6" s="78">
        <v>-20300</v>
      </c>
    </row>
    <row r="7" spans="1:17">
      <c r="A7" s="38" t="s">
        <v>2</v>
      </c>
      <c r="B7" s="35">
        <v>1</v>
      </c>
      <c r="C7" s="30">
        <f t="shared" ref="C7:C17" si="2">IF(B$2=0,0,B7/B$2)</f>
        <v>0.25</v>
      </c>
      <c r="E7" s="46" t="s">
        <v>74</v>
      </c>
      <c r="F7" s="43" t="s">
        <v>38</v>
      </c>
      <c r="G7" s="35">
        <v>1</v>
      </c>
      <c r="H7" s="108">
        <f>IF(B$22=0,0,G7/B$22)</f>
        <v>0.33333333333333331</v>
      </c>
      <c r="I7" s="70">
        <v>1</v>
      </c>
      <c r="N7" s="90" t="s">
        <v>106</v>
      </c>
      <c r="O7" s="97">
        <f t="shared" si="0"/>
        <v>-3333.3333333333335</v>
      </c>
      <c r="P7" s="94">
        <v>3</v>
      </c>
      <c r="Q7" s="78">
        <v>-10000</v>
      </c>
    </row>
    <row r="8" spans="1:17">
      <c r="A8" s="38" t="s">
        <v>3</v>
      </c>
      <c r="B8" s="35">
        <v>0</v>
      </c>
      <c r="C8" s="30">
        <f>IF(B$2=0,0,B8/B$2)</f>
        <v>0</v>
      </c>
      <c r="E8" s="46" t="s">
        <v>165</v>
      </c>
      <c r="F8" s="43" t="s">
        <v>168</v>
      </c>
      <c r="G8" s="35">
        <v>1</v>
      </c>
      <c r="H8" s="108">
        <f>IF(B$22=0,0,G8/B$22)</f>
        <v>0.33333333333333331</v>
      </c>
      <c r="I8" s="70">
        <v>5</v>
      </c>
      <c r="N8" s="90" t="s">
        <v>107</v>
      </c>
      <c r="O8" s="97">
        <f t="shared" si="0"/>
        <v>-2600</v>
      </c>
      <c r="P8" s="94">
        <v>2</v>
      </c>
      <c r="Q8" s="78">
        <v>-5200</v>
      </c>
    </row>
    <row r="9" spans="1:17">
      <c r="A9" s="39" t="s">
        <v>4</v>
      </c>
      <c r="B9" s="36">
        <v>0</v>
      </c>
      <c r="C9" s="31">
        <f>IF(B$2=0,0,B9/B$2)</f>
        <v>0</v>
      </c>
      <c r="E9" s="46" t="s">
        <v>55</v>
      </c>
      <c r="F9" s="43" t="s">
        <v>153</v>
      </c>
      <c r="G9" s="35">
        <v>0</v>
      </c>
      <c r="H9" s="108">
        <f>IF(B$22=0,0,G9/B$22)</f>
        <v>0</v>
      </c>
      <c r="I9" s="70">
        <v>5</v>
      </c>
      <c r="N9" s="91" t="s">
        <v>156</v>
      </c>
      <c r="O9" s="98">
        <f t="shared" si="0"/>
        <v>-3000</v>
      </c>
      <c r="P9" s="95">
        <v>2</v>
      </c>
      <c r="Q9" s="79">
        <v>-6000</v>
      </c>
    </row>
    <row r="10" spans="1:17">
      <c r="A10" s="39" t="s">
        <v>150</v>
      </c>
      <c r="B10" s="36">
        <v>3</v>
      </c>
      <c r="C10" s="31">
        <f>IF(B$2=0,0,B10/B$2)</f>
        <v>0.75</v>
      </c>
      <c r="E10" s="46" t="s">
        <v>56</v>
      </c>
      <c r="F10" s="43" t="s">
        <v>166</v>
      </c>
      <c r="G10" s="35">
        <v>0</v>
      </c>
      <c r="H10" s="108">
        <f>IF(B$22=0,0,G10/B$22)</f>
        <v>0</v>
      </c>
      <c r="I10" s="70">
        <v>5</v>
      </c>
      <c r="N10" s="33"/>
      <c r="O10" s="102"/>
      <c r="P10" s="86"/>
      <c r="Q10" s="84"/>
    </row>
    <row r="11" spans="1:17">
      <c r="A11" s="39" t="s">
        <v>151</v>
      </c>
      <c r="B11" s="36">
        <f>B7+B8</f>
        <v>1</v>
      </c>
      <c r="C11" s="31">
        <f>IF(B$2=0,0,B11/B$2)</f>
        <v>0.25</v>
      </c>
      <c r="E11" s="46" t="s">
        <v>57</v>
      </c>
      <c r="F11" s="43" t="s">
        <v>21</v>
      </c>
      <c r="G11" s="35">
        <v>0</v>
      </c>
      <c r="H11" s="108">
        <f>IF(B$22=0,0,G11/B$22)</f>
        <v>0</v>
      </c>
      <c r="I11" s="70">
        <v>5</v>
      </c>
      <c r="N11" s="88" t="s">
        <v>158</v>
      </c>
      <c r="O11" s="28" t="s">
        <v>96</v>
      </c>
      <c r="P11" s="92" t="s">
        <v>92</v>
      </c>
      <c r="Q11" s="80" t="s">
        <v>120</v>
      </c>
    </row>
    <row r="12" spans="1:17">
      <c r="A12" s="39" t="s">
        <v>174</v>
      </c>
      <c r="B12" s="124">
        <f>IF(B7=0,0,C12/B7)</f>
        <v>61.7</v>
      </c>
      <c r="C12" s="125">
        <v>61.7</v>
      </c>
      <c r="E12" s="46" t="s">
        <v>58</v>
      </c>
      <c r="F12" s="43" t="s">
        <v>22</v>
      </c>
      <c r="G12" s="35">
        <v>0</v>
      </c>
      <c r="H12" s="108">
        <f>IF(B$22=0,0,G12/B$22)</f>
        <v>0</v>
      </c>
      <c r="I12" s="70">
        <v>4</v>
      </c>
      <c r="N12" s="89" t="s">
        <v>124</v>
      </c>
      <c r="O12" s="99">
        <f>IF(P12=0,0,Q12/P12)</f>
        <v>-60.9</v>
      </c>
      <c r="P12" s="93">
        <v>1</v>
      </c>
      <c r="Q12" s="81">
        <v>-60.9</v>
      </c>
    </row>
    <row r="13" spans="1:17">
      <c r="A13" s="39" t="s">
        <v>175</v>
      </c>
      <c r="B13" s="124">
        <f t="shared" ref="B13:B14" si="3">IF(B8=0,0,C13/B8)</f>
        <v>0</v>
      </c>
      <c r="C13" s="125">
        <v>0</v>
      </c>
      <c r="E13" s="46" t="s">
        <v>59</v>
      </c>
      <c r="F13" s="43" t="s">
        <v>23</v>
      </c>
      <c r="G13" s="35">
        <v>0</v>
      </c>
      <c r="H13" s="108">
        <f>IF(B$22=0,0,G13/B$22)</f>
        <v>0</v>
      </c>
      <c r="I13" s="70">
        <v>5</v>
      </c>
      <c r="N13" s="90" t="s">
        <v>125</v>
      </c>
      <c r="O13" s="100">
        <f>IF(P13=0,0,Q13/P13)</f>
        <v>-52.5</v>
      </c>
      <c r="P13" s="94">
        <v>1</v>
      </c>
      <c r="Q13" s="82">
        <v>-52.5</v>
      </c>
    </row>
    <row r="14" spans="1:17">
      <c r="A14" s="39" t="s">
        <v>176</v>
      </c>
      <c r="B14" s="124">
        <f t="shared" si="3"/>
        <v>0</v>
      </c>
      <c r="C14" s="125">
        <v>0</v>
      </c>
      <c r="E14" s="46" t="s">
        <v>61</v>
      </c>
      <c r="F14" s="43" t="s">
        <v>25</v>
      </c>
      <c r="G14" s="35">
        <v>0</v>
      </c>
      <c r="H14" s="108">
        <f>IF(B$22=0,0,G14/B$22)</f>
        <v>0</v>
      </c>
      <c r="I14" s="70">
        <v>1</v>
      </c>
      <c r="N14" s="90" t="s">
        <v>126</v>
      </c>
      <c r="O14" s="100">
        <f>IF(P14=0,0,Q14/P14)</f>
        <v>-1.6000000000000014</v>
      </c>
      <c r="P14" s="94">
        <v>2</v>
      </c>
      <c r="Q14" s="82">
        <v>-3.2000000000000028</v>
      </c>
    </row>
    <row r="15" spans="1:17">
      <c r="A15" s="39" t="s">
        <v>177</v>
      </c>
      <c r="B15" s="124">
        <f>IF(B10=0,0,C15/B10)</f>
        <v>-59.433333333333337</v>
      </c>
      <c r="C15" s="125">
        <v>-178.3</v>
      </c>
      <c r="E15" s="46" t="s">
        <v>62</v>
      </c>
      <c r="F15" s="43" t="s">
        <v>26</v>
      </c>
      <c r="G15" s="35">
        <v>0</v>
      </c>
      <c r="H15" s="108">
        <f>IF(B$22=0,0,G15/B$22)</f>
        <v>0</v>
      </c>
      <c r="I15" s="70">
        <v>1</v>
      </c>
      <c r="N15" s="91" t="s">
        <v>157</v>
      </c>
      <c r="O15" s="101">
        <f>IF(P15=0,0,Q15/P15)</f>
        <v>0</v>
      </c>
      <c r="P15" s="95">
        <v>0</v>
      </c>
      <c r="Q15" s="83">
        <v>0</v>
      </c>
    </row>
    <row r="16" spans="1:17">
      <c r="A16" s="39" t="s">
        <v>173</v>
      </c>
      <c r="B16" s="138">
        <f>AVERAGE(B12:B15)</f>
        <v>0.56666666666666643</v>
      </c>
      <c r="C16" s="139"/>
      <c r="E16" s="46" t="s">
        <v>63</v>
      </c>
      <c r="F16" s="43" t="s">
        <v>27</v>
      </c>
      <c r="G16" s="35">
        <v>0</v>
      </c>
      <c r="H16" s="108">
        <f>IF(B$22=0,0,G16/B$22)</f>
        <v>0</v>
      </c>
      <c r="I16" s="70">
        <v>1</v>
      </c>
      <c r="N16" s="27"/>
      <c r="O16" s="85"/>
      <c r="P16" s="87"/>
      <c r="Q16" s="85"/>
    </row>
    <row r="17" spans="1:17">
      <c r="A17" s="40" t="s">
        <v>17</v>
      </c>
      <c r="B17" s="37">
        <v>2</v>
      </c>
      <c r="C17" s="32">
        <f t="shared" si="2"/>
        <v>0.5</v>
      </c>
      <c r="E17" s="46" t="s">
        <v>64</v>
      </c>
      <c r="F17" s="43" t="s">
        <v>28</v>
      </c>
      <c r="G17" s="35">
        <v>0</v>
      </c>
      <c r="H17" s="108">
        <f>IF(B$22=0,0,G17/B$22)</f>
        <v>0</v>
      </c>
      <c r="I17" s="70">
        <v>1</v>
      </c>
      <c r="N17" s="88" t="s">
        <v>117</v>
      </c>
      <c r="O17" s="28" t="s">
        <v>96</v>
      </c>
      <c r="P17" s="92" t="s">
        <v>92</v>
      </c>
      <c r="Q17" s="80" t="s">
        <v>120</v>
      </c>
    </row>
    <row r="18" spans="1:17">
      <c r="A18" s="41" t="s">
        <v>97</v>
      </c>
      <c r="B18" s="15">
        <v>6</v>
      </c>
      <c r="C18" s="11">
        <f>IF(B$3=0,0,B18/B$3)</f>
        <v>0.15789473684210525</v>
      </c>
      <c r="E18" s="46" t="s">
        <v>65</v>
      </c>
      <c r="F18" s="43" t="s">
        <v>29</v>
      </c>
      <c r="G18" s="35">
        <v>0</v>
      </c>
      <c r="H18" s="108">
        <f>IF(B$22=0,0,G18/B$22)</f>
        <v>0</v>
      </c>
      <c r="I18" s="70">
        <v>1</v>
      </c>
      <c r="N18" s="89" t="s">
        <v>183</v>
      </c>
      <c r="O18" s="99">
        <f>IF(P18=0,0,Q18/P18)</f>
        <v>-24.250000000000004</v>
      </c>
      <c r="P18" s="93">
        <v>4</v>
      </c>
      <c r="Q18" s="81">
        <v>-97.000000000000014</v>
      </c>
    </row>
    <row r="19" spans="1:17">
      <c r="A19" s="38" t="s">
        <v>94</v>
      </c>
      <c r="B19" s="35">
        <v>13</v>
      </c>
      <c r="C19" s="30">
        <f>IF(B$3=0,0,B19/B$3)</f>
        <v>0.34210526315789475</v>
      </c>
      <c r="E19" s="46" t="s">
        <v>66</v>
      </c>
      <c r="F19" s="43" t="s">
        <v>30</v>
      </c>
      <c r="G19" s="35">
        <v>0</v>
      </c>
      <c r="H19" s="108">
        <f>IF(B$22=0,0,G19/B$22)</f>
        <v>0</v>
      </c>
      <c r="I19" s="70">
        <v>1</v>
      </c>
      <c r="N19" s="90" t="s">
        <v>184</v>
      </c>
      <c r="O19" s="100">
        <f>IF(P19=0,0,Q19/P19)</f>
        <v>-40.125</v>
      </c>
      <c r="P19" s="94">
        <v>4</v>
      </c>
      <c r="Q19" s="82">
        <v>-160.5</v>
      </c>
    </row>
    <row r="20" spans="1:17">
      <c r="A20" s="18" t="s">
        <v>99</v>
      </c>
      <c r="B20" s="34">
        <f>B26</f>
        <v>2</v>
      </c>
      <c r="C20" s="4">
        <f>IF(B$18=0,0,B20/B$18)</f>
        <v>0.33333333333333331</v>
      </c>
      <c r="E20" s="46" t="s">
        <v>67</v>
      </c>
      <c r="F20" s="43" t="s">
        <v>31</v>
      </c>
      <c r="G20" s="35">
        <v>0</v>
      </c>
      <c r="H20" s="108">
        <f>IF(B$22=0,0,G20/B$22)</f>
        <v>0</v>
      </c>
      <c r="I20" s="70">
        <v>1</v>
      </c>
      <c r="N20" s="90" t="s">
        <v>185</v>
      </c>
      <c r="O20" s="100">
        <f>IF(P20=0,0,Q20/P20)</f>
        <v>-52.224999999999994</v>
      </c>
      <c r="P20" s="94">
        <v>4</v>
      </c>
      <c r="Q20" s="82">
        <v>-208.89999999999998</v>
      </c>
    </row>
    <row r="21" spans="1:17">
      <c r="A21" s="18" t="s">
        <v>100</v>
      </c>
      <c r="B21" s="34">
        <f>B27</f>
        <v>1</v>
      </c>
      <c r="C21" s="4">
        <f>IF(B$19=0,0,B21/B$19)</f>
        <v>7.6923076923076927E-2</v>
      </c>
      <c r="E21" s="46" t="s">
        <v>164</v>
      </c>
      <c r="F21" s="43" t="s">
        <v>167</v>
      </c>
      <c r="G21" s="35">
        <v>0</v>
      </c>
      <c r="H21" s="108">
        <f>IF(B$22=0,0,G21/B$22)</f>
        <v>0</v>
      </c>
      <c r="I21" s="70">
        <v>3</v>
      </c>
    </row>
    <row r="22" spans="1:17">
      <c r="A22" s="18" t="s">
        <v>10</v>
      </c>
      <c r="B22" s="34">
        <f>B25+B24</f>
        <v>3</v>
      </c>
      <c r="C22" s="4">
        <f>IF(B$3=0,0,B22/B$3)</f>
        <v>7.8947368421052627E-2</v>
      </c>
      <c r="E22" s="46" t="s">
        <v>68</v>
      </c>
      <c r="F22" s="43" t="s">
        <v>32</v>
      </c>
      <c r="G22" s="35">
        <v>0</v>
      </c>
      <c r="H22" s="108">
        <f>IF(B$22=0,0,G22/B$22)</f>
        <v>0</v>
      </c>
      <c r="I22" s="70">
        <v>1</v>
      </c>
    </row>
    <row r="23" spans="1:17">
      <c r="A23" s="38" t="s">
        <v>13</v>
      </c>
      <c r="B23" s="35">
        <v>3</v>
      </c>
      <c r="C23" s="30">
        <f>IF(B$3=0,0,B23/B$3)</f>
        <v>7.8947368421052627E-2</v>
      </c>
      <c r="E23" s="46" t="s">
        <v>70</v>
      </c>
      <c r="F23" s="43" t="s">
        <v>34</v>
      </c>
      <c r="G23" s="35">
        <v>0</v>
      </c>
      <c r="H23" s="108">
        <f>IF(B$22=0,0,G23/B$22)</f>
        <v>0</v>
      </c>
      <c r="I23" s="70">
        <v>1</v>
      </c>
    </row>
    <row r="24" spans="1:17">
      <c r="A24" s="38" t="s">
        <v>12</v>
      </c>
      <c r="B24" s="35">
        <v>0</v>
      </c>
      <c r="C24" s="30">
        <f>IF(B$22=0,0,B24/B$22)</f>
        <v>0</v>
      </c>
      <c r="E24" s="46" t="s">
        <v>71</v>
      </c>
      <c r="F24" s="43" t="s">
        <v>35</v>
      </c>
      <c r="G24" s="35">
        <v>0</v>
      </c>
      <c r="H24" s="108">
        <f>IF(B$22=0,0,G24/B$22)</f>
        <v>0</v>
      </c>
      <c r="I24" s="70">
        <v>4</v>
      </c>
    </row>
    <row r="25" spans="1:17">
      <c r="A25" s="38" t="s">
        <v>11</v>
      </c>
      <c r="B25" s="35">
        <v>3</v>
      </c>
      <c r="C25" s="30">
        <f>IF(B$22=0,0,B25/B$22)</f>
        <v>1</v>
      </c>
      <c r="E25" s="46" t="s">
        <v>72</v>
      </c>
      <c r="F25" s="43" t="s">
        <v>36</v>
      </c>
      <c r="G25" s="35">
        <v>0</v>
      </c>
      <c r="H25" s="108">
        <f>IF(B$22=0,0,G25/B$22)</f>
        <v>0</v>
      </c>
      <c r="I25" s="70">
        <v>1</v>
      </c>
    </row>
    <row r="26" spans="1:17">
      <c r="A26" s="38" t="s">
        <v>149</v>
      </c>
      <c r="B26" s="35">
        <v>2</v>
      </c>
      <c r="C26" s="30">
        <f>IF(B$22=0,0,B26/B$22)</f>
        <v>0.66666666666666663</v>
      </c>
      <c r="E26" s="46" t="s">
        <v>73</v>
      </c>
      <c r="F26" s="43" t="s">
        <v>37</v>
      </c>
      <c r="G26" s="35">
        <v>0</v>
      </c>
      <c r="H26" s="108">
        <f>IF(B$22=0,0,G26/B$22)</f>
        <v>0</v>
      </c>
      <c r="I26" s="70">
        <v>1</v>
      </c>
    </row>
    <row r="27" spans="1:17">
      <c r="A27" s="38" t="s">
        <v>147</v>
      </c>
      <c r="B27" s="35">
        <v>1</v>
      </c>
      <c r="C27" s="30">
        <f>IF(B$22=0,0,B27/B$22)</f>
        <v>0.33333333333333331</v>
      </c>
      <c r="E27" s="46" t="s">
        <v>75</v>
      </c>
      <c r="F27" s="43" t="s">
        <v>39</v>
      </c>
      <c r="G27" s="35">
        <v>0</v>
      </c>
      <c r="H27" s="108">
        <f>IF(B$22=0,0,G27/B$22)</f>
        <v>0</v>
      </c>
      <c r="I27" s="70">
        <v>1</v>
      </c>
    </row>
    <row r="28" spans="1:17">
      <c r="A28" s="38" t="s">
        <v>148</v>
      </c>
      <c r="B28" s="35">
        <v>0</v>
      </c>
      <c r="C28" s="30">
        <f>IF(B$22=0,0,B28/B$22)</f>
        <v>0</v>
      </c>
      <c r="E28" s="46" t="s">
        <v>76</v>
      </c>
      <c r="F28" s="43" t="s">
        <v>40</v>
      </c>
      <c r="G28" s="35">
        <v>0</v>
      </c>
      <c r="H28" s="108">
        <f>IF(B$22=0,0,G28/B$22)</f>
        <v>0</v>
      </c>
      <c r="I28" s="70">
        <v>1</v>
      </c>
    </row>
    <row r="29" spans="1:17">
      <c r="A29" s="38" t="s">
        <v>5</v>
      </c>
      <c r="B29" s="16">
        <f>IF(B$22=0,0,C29/B$22)</f>
        <v>7000</v>
      </c>
      <c r="C29" s="8">
        <v>21000</v>
      </c>
      <c r="E29" s="46" t="s">
        <v>77</v>
      </c>
      <c r="F29" s="43" t="s">
        <v>41</v>
      </c>
      <c r="G29" s="35">
        <v>0</v>
      </c>
      <c r="H29" s="108">
        <f>IF(B$22=0,0,G29/B$22)</f>
        <v>0</v>
      </c>
      <c r="I29" s="70">
        <v>3</v>
      </c>
    </row>
    <row r="30" spans="1:17">
      <c r="A30" s="39" t="s">
        <v>131</v>
      </c>
      <c r="B30" s="111">
        <f>IF($B$22-B$21=0,0,C30/($B$22-B$21))</f>
        <v>4500</v>
      </c>
      <c r="C30" s="112">
        <v>9000</v>
      </c>
      <c r="E30" s="46" t="s">
        <v>78</v>
      </c>
      <c r="F30" s="43" t="s">
        <v>42</v>
      </c>
      <c r="G30" s="35">
        <v>0</v>
      </c>
      <c r="H30" s="108">
        <f>IF(B$22=0,0,G30/B$22)</f>
        <v>0</v>
      </c>
      <c r="I30" s="70">
        <v>1</v>
      </c>
    </row>
    <row r="31" spans="1:17">
      <c r="A31" s="39" t="s">
        <v>132</v>
      </c>
      <c r="B31" s="111">
        <f>IF(B$21=0,0,C31/B$21)</f>
        <v>12000</v>
      </c>
      <c r="C31" s="112">
        <v>12000</v>
      </c>
      <c r="E31" s="46" t="s">
        <v>79</v>
      </c>
      <c r="F31" s="43" t="s">
        <v>43</v>
      </c>
      <c r="G31" s="35">
        <v>0</v>
      </c>
      <c r="H31" s="108">
        <f>IF(B$22=0,0,G31/B$22)</f>
        <v>0</v>
      </c>
      <c r="I31" s="70">
        <v>1</v>
      </c>
    </row>
    <row r="32" spans="1:17">
      <c r="A32" s="39" t="s">
        <v>130</v>
      </c>
      <c r="B32" s="111">
        <f>IF(B$23=0,0,C32/B$23)</f>
        <v>-7066.666666666667</v>
      </c>
      <c r="C32" s="112">
        <v>-21200</v>
      </c>
      <c r="E32" s="46" t="s">
        <v>80</v>
      </c>
      <c r="F32" s="43" t="s">
        <v>44</v>
      </c>
      <c r="G32" s="35">
        <v>0</v>
      </c>
      <c r="H32" s="108">
        <f>IF(B$22=0,0,G32/B$22)</f>
        <v>0</v>
      </c>
      <c r="I32" s="70">
        <v>1</v>
      </c>
    </row>
    <row r="33" spans="1:9">
      <c r="A33" s="38" t="s">
        <v>128</v>
      </c>
      <c r="B33" s="35">
        <v>1</v>
      </c>
      <c r="C33" s="110">
        <v>0</v>
      </c>
      <c r="E33" s="46" t="s">
        <v>81</v>
      </c>
      <c r="F33" s="43" t="s">
        <v>45</v>
      </c>
      <c r="G33" s="35">
        <v>0</v>
      </c>
      <c r="H33" s="108">
        <f>IF(B$22=0,0,G33/B$22)</f>
        <v>0</v>
      </c>
      <c r="I33" s="70">
        <v>1</v>
      </c>
    </row>
    <row r="34" spans="1:9">
      <c r="A34" s="38" t="s">
        <v>129</v>
      </c>
      <c r="B34" s="35">
        <v>20</v>
      </c>
      <c r="C34" s="110">
        <v>1</v>
      </c>
      <c r="E34" s="46" t="s">
        <v>82</v>
      </c>
      <c r="F34" s="43" t="s">
        <v>46</v>
      </c>
      <c r="G34" s="35">
        <v>0</v>
      </c>
      <c r="H34" s="108">
        <f>IF(B$22=0,0,G34/B$22)</f>
        <v>0</v>
      </c>
      <c r="I34" s="70">
        <v>1</v>
      </c>
    </row>
    <row r="35" spans="1:9">
      <c r="A35" s="66" t="s">
        <v>110</v>
      </c>
      <c r="B35" s="140">
        <v>2</v>
      </c>
      <c r="C35" s="141"/>
      <c r="E35" s="46" t="s">
        <v>83</v>
      </c>
      <c r="F35" s="43" t="s">
        <v>47</v>
      </c>
      <c r="G35" s="35">
        <v>0</v>
      </c>
      <c r="H35" s="108">
        <f>IF(B$22=0,0,G35/B$22)</f>
        <v>0</v>
      </c>
      <c r="I35" s="70">
        <v>1</v>
      </c>
    </row>
    <row r="36" spans="1:9">
      <c r="A36" s="41" t="s">
        <v>146</v>
      </c>
      <c r="B36" s="142">
        <v>41700</v>
      </c>
      <c r="C36" s="143"/>
      <c r="E36" s="46" t="s">
        <v>84</v>
      </c>
      <c r="F36" s="43" t="s">
        <v>48</v>
      </c>
      <c r="G36" s="35">
        <v>0</v>
      </c>
      <c r="H36" s="108">
        <f>IF(B$22=0,0,G36/B$22)</f>
        <v>0</v>
      </c>
      <c r="I36" s="70">
        <v>1</v>
      </c>
    </row>
    <row r="37" spans="1:9">
      <c r="A37" s="40" t="s">
        <v>111</v>
      </c>
      <c r="B37" s="26">
        <v>0</v>
      </c>
      <c r="C37" s="32">
        <f>IF(B$3=0,0,B37/B$3)</f>
        <v>0</v>
      </c>
      <c r="E37" s="46" t="s">
        <v>85</v>
      </c>
      <c r="F37" s="43" t="s">
        <v>49</v>
      </c>
      <c r="G37" s="35">
        <v>0</v>
      </c>
      <c r="H37" s="108">
        <f>IF(B$22=0,0,G37/B$22)</f>
        <v>0</v>
      </c>
      <c r="I37" s="70">
        <v>1</v>
      </c>
    </row>
    <row r="38" spans="1:9">
      <c r="E38" s="46" t="s">
        <v>86</v>
      </c>
      <c r="F38" s="43" t="s">
        <v>50</v>
      </c>
      <c r="G38" s="35">
        <v>0</v>
      </c>
      <c r="H38" s="108">
        <f>IF(B$22=0,0,G38/B$22)</f>
        <v>0</v>
      </c>
      <c r="I38" s="70">
        <v>1</v>
      </c>
    </row>
    <row r="39" spans="1:9">
      <c r="A39" s="119" t="s">
        <v>159</v>
      </c>
      <c r="B39" s="120" t="s">
        <v>92</v>
      </c>
      <c r="C39" s="121" t="s">
        <v>93</v>
      </c>
      <c r="E39" s="46" t="s">
        <v>87</v>
      </c>
      <c r="F39" s="43" t="s">
        <v>51</v>
      </c>
      <c r="G39" s="35">
        <v>0</v>
      </c>
      <c r="H39" s="108">
        <f>IF(B$22=0,0,G39/B$22)</f>
        <v>0</v>
      </c>
      <c r="I39" s="70">
        <v>1</v>
      </c>
    </row>
    <row r="40" spans="1:9">
      <c r="A40" s="66" t="s">
        <v>137</v>
      </c>
      <c r="B40" s="128">
        <v>0</v>
      </c>
      <c r="C40" s="116">
        <f t="shared" ref="C40:C52" si="4">IF(B$22=0,0,B40/B$22)</f>
        <v>0</v>
      </c>
      <c r="E40" s="46" t="s">
        <v>88</v>
      </c>
      <c r="F40" s="43" t="s">
        <v>52</v>
      </c>
      <c r="G40" s="35">
        <v>0</v>
      </c>
      <c r="H40" s="108">
        <f>IF(B$22=0,0,G40/B$22)</f>
        <v>0</v>
      </c>
      <c r="I40" s="70">
        <v>1</v>
      </c>
    </row>
    <row r="41" spans="1:9">
      <c r="A41" s="38" t="s">
        <v>133</v>
      </c>
      <c r="B41" s="35">
        <v>1</v>
      </c>
      <c r="C41" s="30">
        <f t="shared" si="4"/>
        <v>0.33333333333333331</v>
      </c>
      <c r="E41" s="46" t="s">
        <v>89</v>
      </c>
      <c r="F41" s="43" t="s">
        <v>53</v>
      </c>
      <c r="G41" s="35">
        <v>0</v>
      </c>
      <c r="H41" s="108">
        <f>IF(B$22=0,0,G41/B$22)</f>
        <v>0</v>
      </c>
      <c r="I41" s="70">
        <v>1</v>
      </c>
    </row>
    <row r="42" spans="1:9">
      <c r="A42" s="38" t="s">
        <v>134</v>
      </c>
      <c r="B42" s="129">
        <v>0</v>
      </c>
      <c r="C42" s="30">
        <f t="shared" si="4"/>
        <v>0</v>
      </c>
      <c r="E42" s="47" t="s">
        <v>90</v>
      </c>
      <c r="F42" s="44" t="s">
        <v>169</v>
      </c>
      <c r="G42" s="37">
        <v>0</v>
      </c>
      <c r="H42" s="109">
        <f>IF(B$22=0,0,G42/B$22)</f>
        <v>0</v>
      </c>
      <c r="I42" s="71">
        <v>1</v>
      </c>
    </row>
    <row r="43" spans="1:9">
      <c r="A43" s="38" t="s">
        <v>135</v>
      </c>
      <c r="B43" s="129">
        <v>1</v>
      </c>
      <c r="C43" s="30">
        <f t="shared" si="4"/>
        <v>0.33333333333333331</v>
      </c>
    </row>
    <row r="44" spans="1:9">
      <c r="A44" s="38" t="s">
        <v>136</v>
      </c>
      <c r="B44" s="129">
        <v>0</v>
      </c>
      <c r="C44" s="30">
        <f t="shared" si="4"/>
        <v>0</v>
      </c>
    </row>
    <row r="45" spans="1:9">
      <c r="A45" s="38" t="s">
        <v>138</v>
      </c>
      <c r="B45" s="129">
        <v>1</v>
      </c>
      <c r="C45" s="30">
        <f t="shared" si="4"/>
        <v>0.33333333333333331</v>
      </c>
    </row>
    <row r="46" spans="1:9">
      <c r="A46" s="38" t="s">
        <v>139</v>
      </c>
      <c r="B46" s="129">
        <v>0</v>
      </c>
      <c r="C46" s="30">
        <f t="shared" si="4"/>
        <v>0</v>
      </c>
    </row>
    <row r="47" spans="1:9">
      <c r="A47" s="38" t="s">
        <v>140</v>
      </c>
      <c r="B47" s="129">
        <v>0</v>
      </c>
      <c r="C47" s="30">
        <f t="shared" si="4"/>
        <v>0</v>
      </c>
    </row>
    <row r="48" spans="1:9">
      <c r="A48" s="38" t="s">
        <v>141</v>
      </c>
      <c r="B48" s="129">
        <v>0</v>
      </c>
      <c r="C48" s="30">
        <f t="shared" si="4"/>
        <v>0</v>
      </c>
    </row>
    <row r="49" spans="1:3">
      <c r="A49" s="38" t="s">
        <v>142</v>
      </c>
      <c r="B49" s="129">
        <v>0</v>
      </c>
      <c r="C49" s="30">
        <f t="shared" si="4"/>
        <v>0</v>
      </c>
    </row>
    <row r="50" spans="1:3">
      <c r="A50" s="38" t="s">
        <v>143</v>
      </c>
      <c r="B50" s="129">
        <v>0</v>
      </c>
      <c r="C50" s="30">
        <f t="shared" si="4"/>
        <v>0</v>
      </c>
    </row>
    <row r="51" spans="1:3">
      <c r="A51" s="38" t="s">
        <v>144</v>
      </c>
      <c r="B51" s="129">
        <v>0</v>
      </c>
      <c r="C51" s="30">
        <f t="shared" si="4"/>
        <v>0</v>
      </c>
    </row>
    <row r="52" spans="1:3">
      <c r="A52" s="40" t="s">
        <v>145</v>
      </c>
      <c r="B52" s="115">
        <v>0</v>
      </c>
      <c r="C52" s="32">
        <f t="shared" si="4"/>
        <v>0</v>
      </c>
    </row>
  </sheetData>
  <sortState xmlns:xlrd2="http://schemas.microsoft.com/office/spreadsheetml/2017/richdata2" ref="N18:Q20">
    <sortCondition descending="1" ref="O18"/>
  </sortState>
  <mergeCells count="9">
    <mergeCell ref="B16:C16"/>
    <mergeCell ref="B35:C35"/>
    <mergeCell ref="B36:C36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44215B-B713-4C3E-B0BD-B4F702977C16}">
  <sheetPr codeName="Sheet6"/>
  <dimension ref="A1:Q52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03" bestFit="1" customWidth="1"/>
    <col min="6" max="6" width="11" style="33" bestFit="1" customWidth="1"/>
    <col min="7" max="9" width="9" style="27" customWidth="1"/>
    <col min="10" max="10" width="3.625" style="27" customWidth="1"/>
    <col min="11" max="11" width="3.5" style="5" customWidth="1"/>
    <col min="12" max="12" width="9" style="75" customWidth="1"/>
    <col min="13" max="13" width="3.625" style="27" customWidth="1"/>
    <col min="14" max="14" width="9" style="90" customWidth="1"/>
    <col min="15" max="15" width="9" style="100" customWidth="1"/>
    <col min="16" max="16" width="9" style="94" customWidth="1"/>
    <col min="17" max="17" width="3.625" style="82" customWidth="1"/>
    <col min="18" max="16384" width="9" style="27"/>
  </cols>
  <sheetData>
    <row r="1" spans="1:17">
      <c r="A1" s="17" t="s">
        <v>0</v>
      </c>
      <c r="B1" s="144" t="s">
        <v>183</v>
      </c>
      <c r="C1" s="145"/>
      <c r="E1" s="104" t="s">
        <v>127</v>
      </c>
      <c r="F1" s="127" t="s">
        <v>91</v>
      </c>
      <c r="G1" s="126" t="s">
        <v>92</v>
      </c>
      <c r="H1" s="105" t="s">
        <v>93</v>
      </c>
      <c r="I1" s="127" t="s">
        <v>116</v>
      </c>
      <c r="K1" s="28" t="s">
        <v>18</v>
      </c>
      <c r="L1" s="29" t="s">
        <v>96</v>
      </c>
      <c r="M1" s="106"/>
      <c r="N1" s="88" t="s">
        <v>108</v>
      </c>
      <c r="O1" s="28" t="s">
        <v>109</v>
      </c>
      <c r="P1" s="92" t="s">
        <v>92</v>
      </c>
      <c r="Q1" s="76" t="s">
        <v>120</v>
      </c>
    </row>
    <row r="2" spans="1:17">
      <c r="A2" s="18" t="s">
        <v>9</v>
      </c>
      <c r="B2" s="146">
        <v>4</v>
      </c>
      <c r="C2" s="147"/>
      <c r="E2" s="45" t="s">
        <v>165</v>
      </c>
      <c r="F2" s="42" t="s">
        <v>168</v>
      </c>
      <c r="G2" s="34">
        <v>6</v>
      </c>
      <c r="H2" s="107">
        <f>IF(B$22=0,0,G2/B$22)</f>
        <v>0.75</v>
      </c>
      <c r="I2" s="69">
        <v>1</v>
      </c>
      <c r="K2" s="3">
        <v>0</v>
      </c>
      <c r="L2" s="74">
        <v>0</v>
      </c>
      <c r="N2" s="89" t="s">
        <v>102</v>
      </c>
      <c r="O2" s="96">
        <f t="shared" ref="O2:O9" si="0">IF(P2=0,0,Q2/P2)</f>
        <v>-3775</v>
      </c>
      <c r="P2" s="93">
        <v>4</v>
      </c>
      <c r="Q2" s="77">
        <v>-15100</v>
      </c>
    </row>
    <row r="3" spans="1:17">
      <c r="A3" s="38" t="s">
        <v>8</v>
      </c>
      <c r="B3" s="148">
        <v>38</v>
      </c>
      <c r="C3" s="149"/>
      <c r="E3" s="46" t="s">
        <v>56</v>
      </c>
      <c r="F3" s="43" t="s">
        <v>166</v>
      </c>
      <c r="G3" s="35">
        <v>5</v>
      </c>
      <c r="H3" s="108">
        <f>IF(B$22=0,0,G3/B$22)</f>
        <v>0.625</v>
      </c>
      <c r="I3" s="70">
        <v>1</v>
      </c>
      <c r="K3" s="5">
        <v>1</v>
      </c>
      <c r="L3" s="75">
        <v>18.100000000000001</v>
      </c>
      <c r="N3" s="90" t="s">
        <v>103</v>
      </c>
      <c r="O3" s="97">
        <f t="shared" si="0"/>
        <v>10425</v>
      </c>
      <c r="P3" s="94">
        <v>4</v>
      </c>
      <c r="Q3" s="78">
        <v>41700</v>
      </c>
    </row>
    <row r="4" spans="1:17">
      <c r="A4" s="38" t="s">
        <v>6</v>
      </c>
      <c r="B4" s="150">
        <v>-19.600000000000001</v>
      </c>
      <c r="C4" s="151"/>
      <c r="E4" s="46" t="s">
        <v>162</v>
      </c>
      <c r="F4" s="43" t="s">
        <v>154</v>
      </c>
      <c r="G4" s="35">
        <v>4</v>
      </c>
      <c r="H4" s="108">
        <f>IF(B$22=0,0,G4/B$22)</f>
        <v>0.5</v>
      </c>
      <c r="I4" s="70">
        <v>5</v>
      </c>
      <c r="K4" s="5">
        <v>2</v>
      </c>
      <c r="L4" s="75">
        <v>21.3</v>
      </c>
      <c r="N4" s="90" t="s">
        <v>104</v>
      </c>
      <c r="O4" s="97">
        <f t="shared" si="0"/>
        <v>-1375</v>
      </c>
      <c r="P4" s="94">
        <v>4</v>
      </c>
      <c r="Q4" s="78">
        <v>-5500</v>
      </c>
    </row>
    <row r="5" spans="1:17">
      <c r="A5" s="38" t="s">
        <v>7</v>
      </c>
      <c r="B5" s="138">
        <f>IF(B$2=0,0,B$4/B$2)</f>
        <v>-4.9000000000000004</v>
      </c>
      <c r="C5" s="139"/>
      <c r="E5" s="46" t="s">
        <v>55</v>
      </c>
      <c r="F5" s="43" t="s">
        <v>153</v>
      </c>
      <c r="G5" s="35">
        <v>4</v>
      </c>
      <c r="H5" s="108">
        <f>IF(B$22=0,0,G5/B$22)</f>
        <v>0.5</v>
      </c>
      <c r="I5" s="70">
        <v>3</v>
      </c>
      <c r="K5" s="5">
        <v>3</v>
      </c>
      <c r="L5" s="75">
        <v>-5</v>
      </c>
      <c r="N5" s="90" t="s">
        <v>155</v>
      </c>
      <c r="O5" s="97">
        <f>IF(P5=0,0,Q5/P5)</f>
        <v>325</v>
      </c>
      <c r="P5" s="94">
        <v>4</v>
      </c>
      <c r="Q5" s="78">
        <v>1300</v>
      </c>
    </row>
    <row r="6" spans="1:17">
      <c r="A6" s="38" t="s">
        <v>1</v>
      </c>
      <c r="B6" s="152">
        <f>IF(B$2=0,0,(B$7*1+B$8*2+B$9*3+B$10*4)/B$2)</f>
        <v>2.5</v>
      </c>
      <c r="C6" s="153"/>
      <c r="E6" s="46" t="s">
        <v>59</v>
      </c>
      <c r="F6" s="43" t="s">
        <v>23</v>
      </c>
      <c r="G6" s="35">
        <v>3</v>
      </c>
      <c r="H6" s="108">
        <f>IF(B$22=0,0,G6/B$22)</f>
        <v>0.375</v>
      </c>
      <c r="I6" s="70">
        <v>1</v>
      </c>
      <c r="K6" s="5">
        <v>4</v>
      </c>
      <c r="L6" s="75">
        <v>-19.600000000000001</v>
      </c>
      <c r="N6" s="90" t="s">
        <v>105</v>
      </c>
      <c r="O6" s="97">
        <f t="shared" ref="O6" si="1">IF(P6=0,0,Q6/P6)</f>
        <v>-1250</v>
      </c>
      <c r="P6" s="94">
        <v>4</v>
      </c>
      <c r="Q6" s="78">
        <v>-5000</v>
      </c>
    </row>
    <row r="7" spans="1:17">
      <c r="A7" s="38" t="s">
        <v>2</v>
      </c>
      <c r="B7" s="35">
        <v>0</v>
      </c>
      <c r="C7" s="30">
        <f t="shared" ref="C7:C17" si="2">IF(B$2=0,0,B7/B$2)</f>
        <v>0</v>
      </c>
      <c r="E7" s="46" t="s">
        <v>163</v>
      </c>
      <c r="F7" s="43" t="s">
        <v>19</v>
      </c>
      <c r="G7" s="35">
        <v>2</v>
      </c>
      <c r="H7" s="108">
        <f>IF(B$22=0,0,G7/B$22)</f>
        <v>0.25</v>
      </c>
      <c r="I7" s="70">
        <v>5</v>
      </c>
      <c r="N7" s="90" t="s">
        <v>106</v>
      </c>
      <c r="O7" s="97">
        <f t="shared" si="0"/>
        <v>-3333.3333333333335</v>
      </c>
      <c r="P7" s="94">
        <v>3</v>
      </c>
      <c r="Q7" s="78">
        <v>-10000</v>
      </c>
    </row>
    <row r="8" spans="1:17">
      <c r="A8" s="38" t="s">
        <v>3</v>
      </c>
      <c r="B8" s="35">
        <v>2</v>
      </c>
      <c r="C8" s="30">
        <f>IF(B$2=0,0,B8/B$2)</f>
        <v>0.5</v>
      </c>
      <c r="E8" s="46" t="s">
        <v>60</v>
      </c>
      <c r="F8" s="43" t="s">
        <v>24</v>
      </c>
      <c r="G8" s="35">
        <v>2</v>
      </c>
      <c r="H8" s="108">
        <f>IF(B$22=0,0,G8/B$22)</f>
        <v>0.25</v>
      </c>
      <c r="I8" s="70">
        <v>4</v>
      </c>
      <c r="N8" s="90" t="s">
        <v>107</v>
      </c>
      <c r="O8" s="97">
        <f t="shared" si="0"/>
        <v>-500</v>
      </c>
      <c r="P8" s="94">
        <v>2</v>
      </c>
      <c r="Q8" s="78">
        <v>-1000</v>
      </c>
    </row>
    <row r="9" spans="1:17">
      <c r="A9" s="39" t="s">
        <v>4</v>
      </c>
      <c r="B9" s="36">
        <v>2</v>
      </c>
      <c r="C9" s="31">
        <f>IF(B$2=0,0,B9/B$2)</f>
        <v>0.5</v>
      </c>
      <c r="E9" s="46" t="s">
        <v>54</v>
      </c>
      <c r="F9" s="43" t="s">
        <v>20</v>
      </c>
      <c r="G9" s="35">
        <v>1</v>
      </c>
      <c r="H9" s="108">
        <f>IF(B$22=0,0,G9/B$22)</f>
        <v>0.125</v>
      </c>
      <c r="I9" s="70">
        <v>5</v>
      </c>
      <c r="N9" s="91" t="s">
        <v>156</v>
      </c>
      <c r="O9" s="98">
        <f t="shared" si="0"/>
        <v>-3000</v>
      </c>
      <c r="P9" s="95">
        <v>2</v>
      </c>
      <c r="Q9" s="79">
        <v>-6000</v>
      </c>
    </row>
    <row r="10" spans="1:17">
      <c r="A10" s="39" t="s">
        <v>150</v>
      </c>
      <c r="B10" s="36">
        <v>0</v>
      </c>
      <c r="C10" s="31">
        <f>IF(B$2=0,0,B10/B$2)</f>
        <v>0</v>
      </c>
      <c r="E10" s="46" t="s">
        <v>57</v>
      </c>
      <c r="F10" s="43" t="s">
        <v>21</v>
      </c>
      <c r="G10" s="35">
        <v>1</v>
      </c>
      <c r="H10" s="108">
        <f>IF(B$22=0,0,G10/B$22)</f>
        <v>0.125</v>
      </c>
      <c r="I10" s="70">
        <v>4</v>
      </c>
      <c r="N10" s="33"/>
      <c r="O10" s="102"/>
      <c r="P10" s="86"/>
      <c r="Q10" s="84"/>
    </row>
    <row r="11" spans="1:17">
      <c r="A11" s="39" t="s">
        <v>151</v>
      </c>
      <c r="B11" s="36">
        <f>B7+B8</f>
        <v>2</v>
      </c>
      <c r="C11" s="31">
        <f>IF(B$2=0,0,B11/B$2)</f>
        <v>0.5</v>
      </c>
      <c r="E11" s="46" t="s">
        <v>164</v>
      </c>
      <c r="F11" s="43" t="s">
        <v>167</v>
      </c>
      <c r="G11" s="35">
        <v>1</v>
      </c>
      <c r="H11" s="108">
        <f>IF(B$22=0,0,G11/B$22)</f>
        <v>0.125</v>
      </c>
      <c r="I11" s="70">
        <v>1</v>
      </c>
      <c r="N11" s="88" t="s">
        <v>158</v>
      </c>
      <c r="O11" s="28" t="s">
        <v>96</v>
      </c>
      <c r="P11" s="92" t="s">
        <v>92</v>
      </c>
      <c r="Q11" s="80" t="s">
        <v>120</v>
      </c>
    </row>
    <row r="12" spans="1:17">
      <c r="A12" s="39" t="s">
        <v>174</v>
      </c>
      <c r="B12" s="124">
        <f>IF(B7=0,0,C12/B7)</f>
        <v>0</v>
      </c>
      <c r="C12" s="125">
        <v>0</v>
      </c>
      <c r="E12" s="46" t="s">
        <v>69</v>
      </c>
      <c r="F12" s="43" t="s">
        <v>33</v>
      </c>
      <c r="G12" s="35">
        <v>1</v>
      </c>
      <c r="H12" s="108">
        <f>IF(B$22=0,0,G12/B$22)</f>
        <v>0.125</v>
      </c>
      <c r="I12" s="70">
        <v>2</v>
      </c>
      <c r="N12" s="89" t="s">
        <v>124</v>
      </c>
      <c r="O12" s="99">
        <f>IF(P12=0,0,Q12/P12)</f>
        <v>-14.6</v>
      </c>
      <c r="P12" s="93">
        <v>1</v>
      </c>
      <c r="Q12" s="81">
        <v>-14.6</v>
      </c>
    </row>
    <row r="13" spans="1:17">
      <c r="A13" s="39" t="s">
        <v>175</v>
      </c>
      <c r="B13" s="124">
        <f t="shared" ref="B13:B14" si="3">IF(B8=0,0,C13/B8)</f>
        <v>10.65</v>
      </c>
      <c r="C13" s="125">
        <v>21.3</v>
      </c>
      <c r="E13" s="46" t="s">
        <v>74</v>
      </c>
      <c r="F13" s="43" t="s">
        <v>38</v>
      </c>
      <c r="G13" s="35">
        <v>1</v>
      </c>
      <c r="H13" s="108">
        <f>IF(B$22=0,0,G13/B$22)</f>
        <v>0.125</v>
      </c>
      <c r="I13" s="70">
        <v>2</v>
      </c>
      <c r="N13" s="90" t="s">
        <v>125</v>
      </c>
      <c r="O13" s="100">
        <f>IF(P13=0,0,Q13/P13)</f>
        <v>-1.6666666666666667</v>
      </c>
      <c r="P13" s="94">
        <v>3</v>
      </c>
      <c r="Q13" s="82">
        <v>-5</v>
      </c>
    </row>
    <row r="14" spans="1:17">
      <c r="A14" s="39" t="s">
        <v>176</v>
      </c>
      <c r="B14" s="124">
        <f t="shared" si="3"/>
        <v>-20.45</v>
      </c>
      <c r="C14" s="125">
        <v>-40.9</v>
      </c>
      <c r="E14" s="46" t="s">
        <v>58</v>
      </c>
      <c r="F14" s="43" t="s">
        <v>22</v>
      </c>
      <c r="G14" s="35">
        <v>0</v>
      </c>
      <c r="H14" s="108">
        <f>IF(B$22=0,0,G14/B$22)</f>
        <v>0</v>
      </c>
      <c r="I14" s="70">
        <v>4</v>
      </c>
      <c r="N14" s="90" t="s">
        <v>126</v>
      </c>
      <c r="O14" s="100">
        <f>IF(P14=0,0,Q14/P14)</f>
        <v>0</v>
      </c>
      <c r="P14" s="94">
        <v>0</v>
      </c>
      <c r="Q14" s="82">
        <v>0</v>
      </c>
    </row>
    <row r="15" spans="1:17">
      <c r="A15" s="39" t="s">
        <v>177</v>
      </c>
      <c r="B15" s="124">
        <f>IF(B10=0,0,C15/B10)</f>
        <v>0</v>
      </c>
      <c r="C15" s="125">
        <v>0</v>
      </c>
      <c r="E15" s="46" t="s">
        <v>61</v>
      </c>
      <c r="F15" s="43" t="s">
        <v>25</v>
      </c>
      <c r="G15" s="35">
        <v>0</v>
      </c>
      <c r="H15" s="108">
        <f>IF(B$22=0,0,G15/B$22)</f>
        <v>0</v>
      </c>
      <c r="I15" s="70">
        <v>1</v>
      </c>
      <c r="N15" s="91" t="s">
        <v>157</v>
      </c>
      <c r="O15" s="101">
        <f>IF(P15=0,0,Q15/P15)</f>
        <v>0</v>
      </c>
      <c r="P15" s="95">
        <v>0</v>
      </c>
      <c r="Q15" s="83">
        <v>0</v>
      </c>
    </row>
    <row r="16" spans="1:17">
      <c r="A16" s="39" t="s">
        <v>173</v>
      </c>
      <c r="B16" s="138">
        <f>AVERAGE(B12:B15)</f>
        <v>-2.4499999999999997</v>
      </c>
      <c r="C16" s="139"/>
      <c r="E16" s="46" t="s">
        <v>62</v>
      </c>
      <c r="F16" s="43" t="s">
        <v>26</v>
      </c>
      <c r="G16" s="35">
        <v>0</v>
      </c>
      <c r="H16" s="108">
        <f>IF(B$22=0,0,G16/B$22)</f>
        <v>0</v>
      </c>
      <c r="I16" s="70">
        <v>1</v>
      </c>
      <c r="N16" s="27"/>
      <c r="O16" s="85"/>
      <c r="P16" s="87"/>
      <c r="Q16" s="85"/>
    </row>
    <row r="17" spans="1:17">
      <c r="A17" s="40" t="s">
        <v>17</v>
      </c>
      <c r="B17" s="37">
        <v>0</v>
      </c>
      <c r="C17" s="32">
        <f t="shared" si="2"/>
        <v>0</v>
      </c>
      <c r="E17" s="46" t="s">
        <v>63</v>
      </c>
      <c r="F17" s="43" t="s">
        <v>27</v>
      </c>
      <c r="G17" s="35">
        <v>0</v>
      </c>
      <c r="H17" s="108">
        <f>IF(B$22=0,0,G17/B$22)</f>
        <v>0</v>
      </c>
      <c r="I17" s="70">
        <v>1</v>
      </c>
      <c r="N17" s="88" t="s">
        <v>117</v>
      </c>
      <c r="O17" s="28" t="s">
        <v>96</v>
      </c>
      <c r="P17" s="92" t="s">
        <v>92</v>
      </c>
      <c r="Q17" s="80" t="s">
        <v>120</v>
      </c>
    </row>
    <row r="18" spans="1:17">
      <c r="A18" s="41" t="s">
        <v>97</v>
      </c>
      <c r="B18" s="15">
        <v>13</v>
      </c>
      <c r="C18" s="11">
        <f>IF(B$3=0,0,B18/B$3)</f>
        <v>0.34210526315789475</v>
      </c>
      <c r="E18" s="46" t="s">
        <v>64</v>
      </c>
      <c r="F18" s="43" t="s">
        <v>28</v>
      </c>
      <c r="G18" s="35">
        <v>0</v>
      </c>
      <c r="H18" s="108">
        <f>IF(B$22=0,0,G18/B$22)</f>
        <v>0</v>
      </c>
      <c r="I18" s="70">
        <v>1</v>
      </c>
      <c r="N18" s="89" t="s">
        <v>186</v>
      </c>
      <c r="O18" s="99">
        <f>IF(P18=0,0,Q18/P18)</f>
        <v>24.25</v>
      </c>
      <c r="P18" s="93">
        <v>4</v>
      </c>
      <c r="Q18" s="81">
        <v>97</v>
      </c>
    </row>
    <row r="19" spans="1:17">
      <c r="A19" s="38" t="s">
        <v>94</v>
      </c>
      <c r="B19" s="35">
        <v>8</v>
      </c>
      <c r="C19" s="30">
        <f>IF(B$3=0,0,B19/B$3)</f>
        <v>0.21052631578947367</v>
      </c>
      <c r="E19" s="46" t="s">
        <v>65</v>
      </c>
      <c r="F19" s="43" t="s">
        <v>29</v>
      </c>
      <c r="G19" s="35">
        <v>0</v>
      </c>
      <c r="H19" s="108">
        <f>IF(B$22=0,0,G19/B$22)</f>
        <v>0</v>
      </c>
      <c r="I19" s="70">
        <v>1</v>
      </c>
      <c r="N19" s="90" t="s">
        <v>184</v>
      </c>
      <c r="O19" s="100">
        <f>IF(P19=0,0,Q19/P19)</f>
        <v>-15.874999999999998</v>
      </c>
      <c r="P19" s="94">
        <v>4</v>
      </c>
      <c r="Q19" s="82">
        <v>-63.499999999999993</v>
      </c>
    </row>
    <row r="20" spans="1:17">
      <c r="A20" s="18" t="s">
        <v>99</v>
      </c>
      <c r="B20" s="34">
        <f>B26</f>
        <v>4</v>
      </c>
      <c r="C20" s="4">
        <f>IF(B$18=0,0,B20/B$18)</f>
        <v>0.30769230769230771</v>
      </c>
      <c r="E20" s="46" t="s">
        <v>66</v>
      </c>
      <c r="F20" s="43" t="s">
        <v>30</v>
      </c>
      <c r="G20" s="35">
        <v>0</v>
      </c>
      <c r="H20" s="108">
        <f>IF(B$22=0,0,G20/B$22)</f>
        <v>0</v>
      </c>
      <c r="I20" s="70">
        <v>1</v>
      </c>
      <c r="N20" s="90" t="s">
        <v>185</v>
      </c>
      <c r="O20" s="100">
        <f>IF(P20=0,0,Q20/P20)</f>
        <v>-27.974999999999994</v>
      </c>
      <c r="P20" s="94">
        <v>4</v>
      </c>
      <c r="Q20" s="82">
        <v>-111.89999999999998</v>
      </c>
    </row>
    <row r="21" spans="1:17">
      <c r="A21" s="18" t="s">
        <v>100</v>
      </c>
      <c r="B21" s="34">
        <f>B27</f>
        <v>2</v>
      </c>
      <c r="C21" s="4">
        <f>IF(B$19=0,0,B21/B$19)</f>
        <v>0.25</v>
      </c>
      <c r="E21" s="46" t="s">
        <v>67</v>
      </c>
      <c r="F21" s="43" t="s">
        <v>31</v>
      </c>
      <c r="G21" s="35">
        <v>0</v>
      </c>
      <c r="H21" s="108">
        <f>IF(B$22=0,0,G21/B$22)</f>
        <v>0</v>
      </c>
      <c r="I21" s="70">
        <v>1</v>
      </c>
    </row>
    <row r="22" spans="1:17">
      <c r="A22" s="18" t="s">
        <v>10</v>
      </c>
      <c r="B22" s="34">
        <f>B25+B24</f>
        <v>8</v>
      </c>
      <c r="C22" s="4">
        <f>IF(B$3=0,0,B22/B$3)</f>
        <v>0.21052631578947367</v>
      </c>
      <c r="E22" s="46" t="s">
        <v>68</v>
      </c>
      <c r="F22" s="43" t="s">
        <v>32</v>
      </c>
      <c r="G22" s="35">
        <v>0</v>
      </c>
      <c r="H22" s="108">
        <f>IF(B$22=0,0,G22/B$22)</f>
        <v>0</v>
      </c>
      <c r="I22" s="70">
        <v>1</v>
      </c>
    </row>
    <row r="23" spans="1:17">
      <c r="A23" s="38" t="s">
        <v>13</v>
      </c>
      <c r="B23" s="35">
        <v>3</v>
      </c>
      <c r="C23" s="30">
        <f>IF(B$3=0,0,B23/B$3)</f>
        <v>7.8947368421052627E-2</v>
      </c>
      <c r="E23" s="46" t="s">
        <v>70</v>
      </c>
      <c r="F23" s="43" t="s">
        <v>34</v>
      </c>
      <c r="G23" s="35">
        <v>0</v>
      </c>
      <c r="H23" s="108">
        <f>IF(B$22=0,0,G23/B$22)</f>
        <v>0</v>
      </c>
      <c r="I23" s="70">
        <v>1</v>
      </c>
    </row>
    <row r="24" spans="1:17">
      <c r="A24" s="38" t="s">
        <v>12</v>
      </c>
      <c r="B24" s="35">
        <v>4</v>
      </c>
      <c r="C24" s="30">
        <f>IF(B$22=0,0,B24/B$22)</f>
        <v>0.5</v>
      </c>
      <c r="E24" s="46" t="s">
        <v>71</v>
      </c>
      <c r="F24" s="43" t="s">
        <v>35</v>
      </c>
      <c r="G24" s="35">
        <v>0</v>
      </c>
      <c r="H24" s="108">
        <f>IF(B$22=0,0,G24/B$22)</f>
        <v>0</v>
      </c>
      <c r="I24" s="70">
        <v>4</v>
      </c>
    </row>
    <row r="25" spans="1:17">
      <c r="A25" s="38" t="s">
        <v>11</v>
      </c>
      <c r="B25" s="35">
        <v>4</v>
      </c>
      <c r="C25" s="30">
        <f>IF(B$22=0,0,B25/B$22)</f>
        <v>0.5</v>
      </c>
      <c r="E25" s="46" t="s">
        <v>72</v>
      </c>
      <c r="F25" s="43" t="s">
        <v>36</v>
      </c>
      <c r="G25" s="35">
        <v>0</v>
      </c>
      <c r="H25" s="108">
        <f>IF(B$22=0,0,G25/B$22)</f>
        <v>0</v>
      </c>
      <c r="I25" s="70">
        <v>1</v>
      </c>
    </row>
    <row r="26" spans="1:17">
      <c r="A26" s="38" t="s">
        <v>149</v>
      </c>
      <c r="B26" s="35">
        <v>4</v>
      </c>
      <c r="C26" s="30">
        <f>IF(B$22=0,0,B26/B$22)</f>
        <v>0.5</v>
      </c>
      <c r="E26" s="46" t="s">
        <v>73</v>
      </c>
      <c r="F26" s="43" t="s">
        <v>37</v>
      </c>
      <c r="G26" s="35">
        <v>0</v>
      </c>
      <c r="H26" s="108">
        <f>IF(B$22=0,0,G26/B$22)</f>
        <v>0</v>
      </c>
      <c r="I26" s="70">
        <v>1</v>
      </c>
    </row>
    <row r="27" spans="1:17">
      <c r="A27" s="38" t="s">
        <v>147</v>
      </c>
      <c r="B27" s="35">
        <v>2</v>
      </c>
      <c r="C27" s="30">
        <f>IF(B$22=0,0,B27/B$22)</f>
        <v>0.25</v>
      </c>
      <c r="E27" s="46" t="s">
        <v>75</v>
      </c>
      <c r="F27" s="43" t="s">
        <v>39</v>
      </c>
      <c r="G27" s="35">
        <v>0</v>
      </c>
      <c r="H27" s="108">
        <f>IF(B$22=0,0,G27/B$22)</f>
        <v>0</v>
      </c>
      <c r="I27" s="70">
        <v>1</v>
      </c>
    </row>
    <row r="28" spans="1:17">
      <c r="A28" s="38" t="s">
        <v>148</v>
      </c>
      <c r="B28" s="35">
        <v>2</v>
      </c>
      <c r="C28" s="30">
        <f>IF(B$22=0,0,B28/B$22)</f>
        <v>0.25</v>
      </c>
      <c r="E28" s="46" t="s">
        <v>76</v>
      </c>
      <c r="F28" s="43" t="s">
        <v>40</v>
      </c>
      <c r="G28" s="35">
        <v>0</v>
      </c>
      <c r="H28" s="108">
        <f>IF(B$22=0,0,G28/B$22)</f>
        <v>0</v>
      </c>
      <c r="I28" s="70">
        <v>1</v>
      </c>
    </row>
    <row r="29" spans="1:17">
      <c r="A29" s="38" t="s">
        <v>5</v>
      </c>
      <c r="B29" s="16">
        <f>IF(B$22=0,0,C29/B$22)</f>
        <v>8550</v>
      </c>
      <c r="C29" s="8">
        <v>68400</v>
      </c>
      <c r="E29" s="46" t="s">
        <v>77</v>
      </c>
      <c r="F29" s="43" t="s">
        <v>41</v>
      </c>
      <c r="G29" s="35">
        <v>0</v>
      </c>
      <c r="H29" s="108">
        <f>IF(B$22=0,0,G29/B$22)</f>
        <v>0</v>
      </c>
      <c r="I29" s="70">
        <v>3</v>
      </c>
    </row>
    <row r="30" spans="1:17">
      <c r="A30" s="39" t="s">
        <v>131</v>
      </c>
      <c r="B30" s="111">
        <f>IF($B$22-B$21=0,0,C30/($B$22-B$21))</f>
        <v>11066.666666666666</v>
      </c>
      <c r="C30" s="112">
        <v>66400</v>
      </c>
      <c r="E30" s="46" t="s">
        <v>78</v>
      </c>
      <c r="F30" s="43" t="s">
        <v>42</v>
      </c>
      <c r="G30" s="35">
        <v>0</v>
      </c>
      <c r="H30" s="108">
        <f>IF(B$22=0,0,G30/B$22)</f>
        <v>0</v>
      </c>
      <c r="I30" s="70">
        <v>1</v>
      </c>
    </row>
    <row r="31" spans="1:17">
      <c r="A31" s="39" t="s">
        <v>132</v>
      </c>
      <c r="B31" s="111">
        <f>IF(B$21=0,0,C31/B$21)</f>
        <v>1000</v>
      </c>
      <c r="C31" s="112">
        <v>2000</v>
      </c>
      <c r="E31" s="46" t="s">
        <v>79</v>
      </c>
      <c r="F31" s="43" t="s">
        <v>43</v>
      </c>
      <c r="G31" s="35">
        <v>0</v>
      </c>
      <c r="H31" s="108">
        <f>IF(B$22=0,0,G31/B$22)</f>
        <v>0</v>
      </c>
      <c r="I31" s="70">
        <v>1</v>
      </c>
    </row>
    <row r="32" spans="1:17">
      <c r="A32" s="39" t="s">
        <v>130</v>
      </c>
      <c r="B32" s="111">
        <f>IF(B$23=0,0,C32/B$23)</f>
        <v>-10700</v>
      </c>
      <c r="C32" s="112">
        <v>-32100</v>
      </c>
      <c r="E32" s="46" t="s">
        <v>80</v>
      </c>
      <c r="F32" s="43" t="s">
        <v>44</v>
      </c>
      <c r="G32" s="35">
        <v>0</v>
      </c>
      <c r="H32" s="108">
        <f>IF(B$22=0,0,G32/B$22)</f>
        <v>0</v>
      </c>
      <c r="I32" s="70">
        <v>1</v>
      </c>
    </row>
    <row r="33" spans="1:9">
      <c r="A33" s="38" t="s">
        <v>128</v>
      </c>
      <c r="B33" s="35">
        <v>2</v>
      </c>
      <c r="C33" s="110">
        <v>0</v>
      </c>
      <c r="E33" s="46" t="s">
        <v>81</v>
      </c>
      <c r="F33" s="43" t="s">
        <v>45</v>
      </c>
      <c r="G33" s="35">
        <v>0</v>
      </c>
      <c r="H33" s="108">
        <f>IF(B$22=0,0,G33/B$22)</f>
        <v>0</v>
      </c>
      <c r="I33" s="70">
        <v>1</v>
      </c>
    </row>
    <row r="34" spans="1:9">
      <c r="A34" s="38" t="s">
        <v>129</v>
      </c>
      <c r="B34" s="35">
        <v>15</v>
      </c>
      <c r="C34" s="110">
        <v>15</v>
      </c>
      <c r="E34" s="46" t="s">
        <v>82</v>
      </c>
      <c r="F34" s="43" t="s">
        <v>46</v>
      </c>
      <c r="G34" s="35">
        <v>0</v>
      </c>
      <c r="H34" s="108">
        <f>IF(B$22=0,0,G34/B$22)</f>
        <v>0</v>
      </c>
      <c r="I34" s="70">
        <v>1</v>
      </c>
    </row>
    <row r="35" spans="1:9">
      <c r="A35" s="66" t="s">
        <v>110</v>
      </c>
      <c r="B35" s="140">
        <v>5</v>
      </c>
      <c r="C35" s="141"/>
      <c r="E35" s="46" t="s">
        <v>83</v>
      </c>
      <c r="F35" s="43" t="s">
        <v>47</v>
      </c>
      <c r="G35" s="35">
        <v>0</v>
      </c>
      <c r="H35" s="108">
        <f>IF(B$22=0,0,G35/B$22)</f>
        <v>0</v>
      </c>
      <c r="I35" s="70">
        <v>1</v>
      </c>
    </row>
    <row r="36" spans="1:9">
      <c r="A36" s="41" t="s">
        <v>146</v>
      </c>
      <c r="B36" s="142">
        <v>38100</v>
      </c>
      <c r="C36" s="143"/>
      <c r="E36" s="46" t="s">
        <v>84</v>
      </c>
      <c r="F36" s="43" t="s">
        <v>48</v>
      </c>
      <c r="G36" s="35">
        <v>0</v>
      </c>
      <c r="H36" s="108">
        <f>IF(B$22=0,0,G36/B$22)</f>
        <v>0</v>
      </c>
      <c r="I36" s="70">
        <v>1</v>
      </c>
    </row>
    <row r="37" spans="1:9">
      <c r="A37" s="40" t="s">
        <v>111</v>
      </c>
      <c r="B37" s="26">
        <v>0</v>
      </c>
      <c r="C37" s="32">
        <f>IF(B$3=0,0,B37/B$3)</f>
        <v>0</v>
      </c>
      <c r="E37" s="46" t="s">
        <v>85</v>
      </c>
      <c r="F37" s="43" t="s">
        <v>49</v>
      </c>
      <c r="G37" s="35">
        <v>0</v>
      </c>
      <c r="H37" s="108">
        <f>IF(B$22=0,0,G37/B$22)</f>
        <v>0</v>
      </c>
      <c r="I37" s="70">
        <v>1</v>
      </c>
    </row>
    <row r="38" spans="1:9">
      <c r="E38" s="46" t="s">
        <v>86</v>
      </c>
      <c r="F38" s="43" t="s">
        <v>50</v>
      </c>
      <c r="G38" s="35">
        <v>0</v>
      </c>
      <c r="H38" s="108">
        <f>IF(B$22=0,0,G38/B$22)</f>
        <v>0</v>
      </c>
      <c r="I38" s="70">
        <v>1</v>
      </c>
    </row>
    <row r="39" spans="1:9">
      <c r="A39" s="119" t="s">
        <v>159</v>
      </c>
      <c r="B39" s="120" t="s">
        <v>92</v>
      </c>
      <c r="C39" s="121" t="s">
        <v>93</v>
      </c>
      <c r="E39" s="46" t="s">
        <v>87</v>
      </c>
      <c r="F39" s="43" t="s">
        <v>51</v>
      </c>
      <c r="G39" s="35">
        <v>0</v>
      </c>
      <c r="H39" s="108">
        <f>IF(B$22=0,0,G39/B$22)</f>
        <v>0</v>
      </c>
      <c r="I39" s="70">
        <v>1</v>
      </c>
    </row>
    <row r="40" spans="1:9">
      <c r="A40" s="66" t="s">
        <v>137</v>
      </c>
      <c r="B40" s="128">
        <v>2</v>
      </c>
      <c r="C40" s="116">
        <f t="shared" ref="C40:C52" si="4">IF(B$22=0,0,B40/B$22)</f>
        <v>0.25</v>
      </c>
      <c r="E40" s="46" t="s">
        <v>88</v>
      </c>
      <c r="F40" s="43" t="s">
        <v>52</v>
      </c>
      <c r="G40" s="35">
        <v>0</v>
      </c>
      <c r="H40" s="108">
        <f>IF(B$22=0,0,G40/B$22)</f>
        <v>0</v>
      </c>
      <c r="I40" s="70">
        <v>1</v>
      </c>
    </row>
    <row r="41" spans="1:9">
      <c r="A41" s="38" t="s">
        <v>133</v>
      </c>
      <c r="B41" s="35">
        <v>0</v>
      </c>
      <c r="C41" s="30">
        <f t="shared" si="4"/>
        <v>0</v>
      </c>
      <c r="E41" s="46" t="s">
        <v>89</v>
      </c>
      <c r="F41" s="43" t="s">
        <v>53</v>
      </c>
      <c r="G41" s="35">
        <v>0</v>
      </c>
      <c r="H41" s="108">
        <f>IF(B$22=0,0,G41/B$22)</f>
        <v>0</v>
      </c>
      <c r="I41" s="70">
        <v>1</v>
      </c>
    </row>
    <row r="42" spans="1:9">
      <c r="A42" s="38" t="s">
        <v>134</v>
      </c>
      <c r="B42" s="129">
        <v>1</v>
      </c>
      <c r="C42" s="30">
        <f t="shared" si="4"/>
        <v>0.125</v>
      </c>
      <c r="E42" s="47" t="s">
        <v>90</v>
      </c>
      <c r="F42" s="44" t="s">
        <v>169</v>
      </c>
      <c r="G42" s="37">
        <v>0</v>
      </c>
      <c r="H42" s="109">
        <f>IF(B$22=0,0,G42/B$22)</f>
        <v>0</v>
      </c>
      <c r="I42" s="71">
        <v>1</v>
      </c>
    </row>
    <row r="43" spans="1:9">
      <c r="A43" s="38" t="s">
        <v>135</v>
      </c>
      <c r="B43" s="129">
        <v>1</v>
      </c>
      <c r="C43" s="30">
        <f t="shared" si="4"/>
        <v>0.125</v>
      </c>
    </row>
    <row r="44" spans="1:9">
      <c r="A44" s="38" t="s">
        <v>136</v>
      </c>
      <c r="B44" s="129">
        <v>2</v>
      </c>
      <c r="C44" s="30">
        <f t="shared" si="4"/>
        <v>0.25</v>
      </c>
    </row>
    <row r="45" spans="1:9">
      <c r="A45" s="38" t="s">
        <v>138</v>
      </c>
      <c r="B45" s="129">
        <v>0</v>
      </c>
      <c r="C45" s="30">
        <f t="shared" si="4"/>
        <v>0</v>
      </c>
    </row>
    <row r="46" spans="1:9">
      <c r="A46" s="38" t="s">
        <v>139</v>
      </c>
      <c r="B46" s="129">
        <v>1</v>
      </c>
      <c r="C46" s="30">
        <f t="shared" si="4"/>
        <v>0.125</v>
      </c>
    </row>
    <row r="47" spans="1:9">
      <c r="A47" s="38" t="s">
        <v>140</v>
      </c>
      <c r="B47" s="129">
        <v>1</v>
      </c>
      <c r="C47" s="30">
        <f t="shared" si="4"/>
        <v>0.125</v>
      </c>
    </row>
    <row r="48" spans="1:9">
      <c r="A48" s="38" t="s">
        <v>141</v>
      </c>
      <c r="B48" s="129">
        <v>0</v>
      </c>
      <c r="C48" s="30">
        <f t="shared" si="4"/>
        <v>0</v>
      </c>
    </row>
    <row r="49" spans="1:3">
      <c r="A49" s="38" t="s">
        <v>142</v>
      </c>
      <c r="B49" s="129">
        <v>0</v>
      </c>
      <c r="C49" s="30">
        <f t="shared" si="4"/>
        <v>0</v>
      </c>
    </row>
    <row r="50" spans="1:3">
      <c r="A50" s="38" t="s">
        <v>143</v>
      </c>
      <c r="B50" s="129">
        <v>0</v>
      </c>
      <c r="C50" s="30">
        <f t="shared" si="4"/>
        <v>0</v>
      </c>
    </row>
    <row r="51" spans="1:3">
      <c r="A51" s="38" t="s">
        <v>144</v>
      </c>
      <c r="B51" s="129">
        <v>0</v>
      </c>
      <c r="C51" s="30">
        <f t="shared" si="4"/>
        <v>0</v>
      </c>
    </row>
    <row r="52" spans="1:3">
      <c r="A52" s="40" t="s">
        <v>145</v>
      </c>
      <c r="B52" s="115">
        <v>0</v>
      </c>
      <c r="C52" s="32">
        <f t="shared" si="4"/>
        <v>0</v>
      </c>
    </row>
  </sheetData>
  <sortState xmlns:xlrd2="http://schemas.microsoft.com/office/spreadsheetml/2017/richdata2" ref="N18:Q20">
    <sortCondition descending="1" ref="O18"/>
  </sortState>
  <mergeCells count="9">
    <mergeCell ref="B16:C16"/>
    <mergeCell ref="B35:C35"/>
    <mergeCell ref="B36:C36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634B28-D020-422E-A27C-37094E5F92A0}">
  <sheetPr codeName="Sheet7"/>
  <dimension ref="A1:Q52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03" bestFit="1" customWidth="1"/>
    <col min="6" max="6" width="11" style="33" bestFit="1" customWidth="1"/>
    <col min="7" max="9" width="9" style="27" customWidth="1"/>
    <col min="10" max="10" width="3.625" style="27" customWidth="1"/>
    <col min="11" max="11" width="3.5" style="5" customWidth="1"/>
    <col min="12" max="12" width="9" style="75" customWidth="1"/>
    <col min="13" max="13" width="3.625" style="27" customWidth="1"/>
    <col min="14" max="14" width="9" style="90" customWidth="1"/>
    <col min="15" max="15" width="9" style="100" customWidth="1"/>
    <col min="16" max="16" width="9" style="94" customWidth="1"/>
    <col min="17" max="17" width="3.625" style="82" customWidth="1"/>
    <col min="18" max="16384" width="9" style="27"/>
  </cols>
  <sheetData>
    <row r="1" spans="1:17">
      <c r="A1" s="17" t="s">
        <v>0</v>
      </c>
      <c r="B1" s="144" t="s">
        <v>184</v>
      </c>
      <c r="C1" s="145"/>
      <c r="E1" s="104" t="s">
        <v>127</v>
      </c>
      <c r="F1" s="127" t="s">
        <v>91</v>
      </c>
      <c r="G1" s="126" t="s">
        <v>92</v>
      </c>
      <c r="H1" s="105" t="s">
        <v>93</v>
      </c>
      <c r="I1" s="127" t="s">
        <v>116</v>
      </c>
      <c r="K1" s="28" t="s">
        <v>18</v>
      </c>
      <c r="L1" s="29" t="s">
        <v>96</v>
      </c>
      <c r="M1" s="106"/>
      <c r="N1" s="88" t="s">
        <v>108</v>
      </c>
      <c r="O1" s="28" t="s">
        <v>109</v>
      </c>
      <c r="P1" s="92" t="s">
        <v>92</v>
      </c>
      <c r="Q1" s="76" t="s">
        <v>120</v>
      </c>
    </row>
    <row r="2" spans="1:17">
      <c r="A2" s="18" t="s">
        <v>9</v>
      </c>
      <c r="B2" s="146">
        <v>4</v>
      </c>
      <c r="C2" s="147"/>
      <c r="E2" s="45" t="s">
        <v>162</v>
      </c>
      <c r="F2" s="42" t="s">
        <v>154</v>
      </c>
      <c r="G2" s="34">
        <v>9</v>
      </c>
      <c r="H2" s="107">
        <f>IF(B$22=0,0,G2/B$22)</f>
        <v>0.75</v>
      </c>
      <c r="I2" s="69">
        <v>2</v>
      </c>
      <c r="K2" s="3">
        <v>0</v>
      </c>
      <c r="L2" s="74">
        <v>0</v>
      </c>
      <c r="N2" s="89" t="s">
        <v>102</v>
      </c>
      <c r="O2" s="96">
        <f t="shared" ref="O2:O9" si="0">IF(P2=0,0,Q2/P2)</f>
        <v>-250</v>
      </c>
      <c r="P2" s="93">
        <v>4</v>
      </c>
      <c r="Q2" s="77">
        <v>-1000</v>
      </c>
    </row>
    <row r="3" spans="1:17">
      <c r="A3" s="38" t="s">
        <v>8</v>
      </c>
      <c r="B3" s="148">
        <v>38</v>
      </c>
      <c r="C3" s="149"/>
      <c r="E3" s="46" t="s">
        <v>165</v>
      </c>
      <c r="F3" s="43" t="s">
        <v>168</v>
      </c>
      <c r="G3" s="35">
        <v>9</v>
      </c>
      <c r="H3" s="108">
        <f>IF(B$22=0,0,G3/B$22)</f>
        <v>0.75</v>
      </c>
      <c r="I3" s="70">
        <v>1</v>
      </c>
      <c r="K3" s="5">
        <v>1</v>
      </c>
      <c r="L3" s="75">
        <v>60.9</v>
      </c>
      <c r="N3" s="90" t="s">
        <v>103</v>
      </c>
      <c r="O3" s="97">
        <f t="shared" si="0"/>
        <v>-5875</v>
      </c>
      <c r="P3" s="94">
        <v>4</v>
      </c>
      <c r="Q3" s="78">
        <v>-23500</v>
      </c>
    </row>
    <row r="4" spans="1:17">
      <c r="A4" s="38" t="s">
        <v>6</v>
      </c>
      <c r="B4" s="150">
        <v>43.9</v>
      </c>
      <c r="C4" s="151"/>
      <c r="E4" s="46" t="s">
        <v>54</v>
      </c>
      <c r="F4" s="43" t="s">
        <v>20</v>
      </c>
      <c r="G4" s="35">
        <v>8</v>
      </c>
      <c r="H4" s="108">
        <f>IF(B$22=0,0,G4/B$22)</f>
        <v>0.66666666666666663</v>
      </c>
      <c r="I4" s="70">
        <v>2</v>
      </c>
      <c r="K4" s="5">
        <v>2</v>
      </c>
      <c r="L4" s="75">
        <v>14</v>
      </c>
      <c r="N4" s="90" t="s">
        <v>104</v>
      </c>
      <c r="O4" s="97">
        <f t="shared" si="0"/>
        <v>3225</v>
      </c>
      <c r="P4" s="94">
        <v>4</v>
      </c>
      <c r="Q4" s="78">
        <v>12900</v>
      </c>
    </row>
    <row r="5" spans="1:17">
      <c r="A5" s="38" t="s">
        <v>7</v>
      </c>
      <c r="B5" s="138">
        <f>IF(B$2=0,0,B$4/B$2)</f>
        <v>10.975</v>
      </c>
      <c r="C5" s="139"/>
      <c r="E5" s="46" t="s">
        <v>55</v>
      </c>
      <c r="F5" s="43" t="s">
        <v>153</v>
      </c>
      <c r="G5" s="35">
        <v>7</v>
      </c>
      <c r="H5" s="108">
        <f>IF(B$22=0,0,G5/B$22)</f>
        <v>0.58333333333333337</v>
      </c>
      <c r="I5" s="70">
        <v>1</v>
      </c>
      <c r="K5" s="5">
        <v>3</v>
      </c>
      <c r="L5" s="75">
        <v>36.1</v>
      </c>
      <c r="N5" s="90" t="s">
        <v>155</v>
      </c>
      <c r="O5" s="97">
        <f>IF(P5=0,0,Q5/P5)</f>
        <v>3675</v>
      </c>
      <c r="P5" s="94">
        <v>4</v>
      </c>
      <c r="Q5" s="78">
        <v>14700</v>
      </c>
    </row>
    <row r="6" spans="1:17">
      <c r="A6" s="38" t="s">
        <v>1</v>
      </c>
      <c r="B6" s="152">
        <f>IF(B$2=0,0,(B$7*1+B$8*2+B$9*3+B$10*4)/B$2)</f>
        <v>2.25</v>
      </c>
      <c r="C6" s="153"/>
      <c r="E6" s="46" t="s">
        <v>163</v>
      </c>
      <c r="F6" s="43" t="s">
        <v>19</v>
      </c>
      <c r="G6" s="35">
        <v>4</v>
      </c>
      <c r="H6" s="108">
        <f>IF(B$22=0,0,G6/B$22)</f>
        <v>0.33333333333333331</v>
      </c>
      <c r="I6" s="70">
        <v>1</v>
      </c>
      <c r="K6" s="5">
        <v>4</v>
      </c>
      <c r="L6" s="75">
        <v>43.9</v>
      </c>
      <c r="N6" s="90" t="s">
        <v>105</v>
      </c>
      <c r="O6" s="97">
        <f t="shared" ref="O6" si="1">IF(P6=0,0,Q6/P6)</f>
        <v>9375</v>
      </c>
      <c r="P6" s="94">
        <v>4</v>
      </c>
      <c r="Q6" s="78">
        <v>37500</v>
      </c>
    </row>
    <row r="7" spans="1:17">
      <c r="A7" s="38" t="s">
        <v>2</v>
      </c>
      <c r="B7" s="35">
        <v>1</v>
      </c>
      <c r="C7" s="30">
        <f t="shared" ref="C7:C17" si="2">IF(B$2=0,0,B7/B$2)</f>
        <v>0.25</v>
      </c>
      <c r="E7" s="46" t="s">
        <v>56</v>
      </c>
      <c r="F7" s="43" t="s">
        <v>166</v>
      </c>
      <c r="G7" s="35">
        <v>4</v>
      </c>
      <c r="H7" s="108">
        <f>IF(B$22=0,0,G7/B$22)</f>
        <v>0.33333333333333331</v>
      </c>
      <c r="I7" s="70">
        <v>4</v>
      </c>
      <c r="N7" s="90" t="s">
        <v>106</v>
      </c>
      <c r="O7" s="97">
        <f t="shared" si="0"/>
        <v>333.33333333333331</v>
      </c>
      <c r="P7" s="94">
        <v>3</v>
      </c>
      <c r="Q7" s="78">
        <v>1000</v>
      </c>
    </row>
    <row r="8" spans="1:17">
      <c r="A8" s="38" t="s">
        <v>3</v>
      </c>
      <c r="B8" s="35">
        <v>2</v>
      </c>
      <c r="C8" s="30">
        <f>IF(B$2=0,0,B8/B$2)</f>
        <v>0.5</v>
      </c>
      <c r="E8" s="46" t="s">
        <v>59</v>
      </c>
      <c r="F8" s="43" t="s">
        <v>23</v>
      </c>
      <c r="G8" s="35">
        <v>4</v>
      </c>
      <c r="H8" s="108">
        <f>IF(B$22=0,0,G8/B$22)</f>
        <v>0.33333333333333331</v>
      </c>
      <c r="I8" s="70">
        <v>2</v>
      </c>
      <c r="N8" s="90" t="s">
        <v>107</v>
      </c>
      <c r="O8" s="97">
        <f t="shared" si="0"/>
        <v>650</v>
      </c>
      <c r="P8" s="94">
        <v>2</v>
      </c>
      <c r="Q8" s="78">
        <v>1300</v>
      </c>
    </row>
    <row r="9" spans="1:17">
      <c r="A9" s="39" t="s">
        <v>4</v>
      </c>
      <c r="B9" s="36">
        <v>0</v>
      </c>
      <c r="C9" s="31">
        <f>IF(B$2=0,0,B9/B$2)</f>
        <v>0</v>
      </c>
      <c r="E9" s="46" t="s">
        <v>57</v>
      </c>
      <c r="F9" s="43" t="s">
        <v>21</v>
      </c>
      <c r="G9" s="35">
        <v>3</v>
      </c>
      <c r="H9" s="108">
        <f>IF(B$22=0,0,G9/B$22)</f>
        <v>0.25</v>
      </c>
      <c r="I9" s="70">
        <v>2</v>
      </c>
      <c r="N9" s="91" t="s">
        <v>156</v>
      </c>
      <c r="O9" s="98">
        <f t="shared" si="0"/>
        <v>-9500</v>
      </c>
      <c r="P9" s="95">
        <v>2</v>
      </c>
      <c r="Q9" s="79">
        <v>-19000</v>
      </c>
    </row>
    <row r="10" spans="1:17">
      <c r="A10" s="39" t="s">
        <v>150</v>
      </c>
      <c r="B10" s="36">
        <v>1</v>
      </c>
      <c r="C10" s="31">
        <f>IF(B$2=0,0,B10/B$2)</f>
        <v>0.25</v>
      </c>
      <c r="E10" s="46" t="s">
        <v>58</v>
      </c>
      <c r="F10" s="43" t="s">
        <v>22</v>
      </c>
      <c r="G10" s="35">
        <v>2</v>
      </c>
      <c r="H10" s="108">
        <f>IF(B$22=0,0,G10/B$22)</f>
        <v>0.16666666666666666</v>
      </c>
      <c r="I10" s="70">
        <v>2</v>
      </c>
      <c r="N10" s="33"/>
      <c r="O10" s="102"/>
      <c r="P10" s="86"/>
      <c r="Q10" s="84"/>
    </row>
    <row r="11" spans="1:17">
      <c r="A11" s="39" t="s">
        <v>151</v>
      </c>
      <c r="B11" s="36">
        <f>B7+B8</f>
        <v>3</v>
      </c>
      <c r="C11" s="31">
        <f>IF(B$2=0,0,B11/B$2)</f>
        <v>0.75</v>
      </c>
      <c r="E11" s="46" t="s">
        <v>60</v>
      </c>
      <c r="F11" s="43" t="s">
        <v>24</v>
      </c>
      <c r="G11" s="35">
        <v>1</v>
      </c>
      <c r="H11" s="108">
        <f>IF(B$22=0,0,G11/B$22)</f>
        <v>8.3333333333333329E-2</v>
      </c>
      <c r="I11" s="70">
        <v>5</v>
      </c>
      <c r="N11" s="88" t="s">
        <v>158</v>
      </c>
      <c r="O11" s="28" t="s">
        <v>96</v>
      </c>
      <c r="P11" s="92" t="s">
        <v>92</v>
      </c>
      <c r="Q11" s="80" t="s">
        <v>120</v>
      </c>
    </row>
    <row r="12" spans="1:17">
      <c r="A12" s="39" t="s">
        <v>174</v>
      </c>
      <c r="B12" s="124">
        <f>IF(B7=0,0,C12/B7)</f>
        <v>60.9</v>
      </c>
      <c r="C12" s="125">
        <v>60.9</v>
      </c>
      <c r="E12" s="46" t="s">
        <v>71</v>
      </c>
      <c r="F12" s="43" t="s">
        <v>35</v>
      </c>
      <c r="G12" s="35">
        <v>1</v>
      </c>
      <c r="H12" s="108">
        <f>IF(B$22=0,0,G12/B$22)</f>
        <v>8.3333333333333329E-2</v>
      </c>
      <c r="I12" s="70">
        <v>2</v>
      </c>
      <c r="N12" s="89" t="s">
        <v>124</v>
      </c>
      <c r="O12" s="99">
        <f>IF(P12=0,0,Q12/P12)</f>
        <v>0</v>
      </c>
      <c r="P12" s="93">
        <v>0</v>
      </c>
      <c r="Q12" s="81">
        <v>0</v>
      </c>
    </row>
    <row r="13" spans="1:17">
      <c r="A13" s="39" t="s">
        <v>175</v>
      </c>
      <c r="B13" s="124">
        <f t="shared" ref="B13:B14" si="3">IF(B8=0,0,C13/B8)</f>
        <v>14.950000000000001</v>
      </c>
      <c r="C13" s="125">
        <v>29.900000000000002</v>
      </c>
      <c r="E13" s="46" t="s">
        <v>77</v>
      </c>
      <c r="F13" s="43" t="s">
        <v>41</v>
      </c>
      <c r="G13" s="35">
        <v>1</v>
      </c>
      <c r="H13" s="108">
        <f>IF(B$22=0,0,G13/B$22)</f>
        <v>8.3333333333333329E-2</v>
      </c>
      <c r="I13" s="70">
        <v>1</v>
      </c>
      <c r="N13" s="90" t="s">
        <v>125</v>
      </c>
      <c r="O13" s="100">
        <f>IF(P13=0,0,Q13/P13)</f>
        <v>0</v>
      </c>
      <c r="P13" s="94">
        <v>0</v>
      </c>
      <c r="Q13" s="82">
        <v>0</v>
      </c>
    </row>
    <row r="14" spans="1:17">
      <c r="A14" s="39" t="s">
        <v>176</v>
      </c>
      <c r="B14" s="124">
        <f t="shared" si="3"/>
        <v>0</v>
      </c>
      <c r="C14" s="125">
        <v>0</v>
      </c>
      <c r="E14" s="46" t="s">
        <v>61</v>
      </c>
      <c r="F14" s="43" t="s">
        <v>25</v>
      </c>
      <c r="G14" s="35">
        <v>0</v>
      </c>
      <c r="H14" s="108">
        <f>IF(B$22=0,0,G14/B$22)</f>
        <v>0</v>
      </c>
      <c r="I14" s="70">
        <v>1</v>
      </c>
      <c r="N14" s="90" t="s">
        <v>126</v>
      </c>
      <c r="O14" s="100">
        <f>IF(P14=0,0,Q14/P14)</f>
        <v>34.35</v>
      </c>
      <c r="P14" s="94">
        <v>2</v>
      </c>
      <c r="Q14" s="82">
        <v>68.7</v>
      </c>
    </row>
    <row r="15" spans="1:17">
      <c r="A15" s="39" t="s">
        <v>177</v>
      </c>
      <c r="B15" s="124">
        <f>IF(B10=0,0,C15/B10)</f>
        <v>-46.9</v>
      </c>
      <c r="C15" s="125">
        <v>-46.9</v>
      </c>
      <c r="E15" s="46" t="s">
        <v>62</v>
      </c>
      <c r="F15" s="43" t="s">
        <v>26</v>
      </c>
      <c r="G15" s="35">
        <v>0</v>
      </c>
      <c r="H15" s="108">
        <f>IF(B$22=0,0,G15/B$22)</f>
        <v>0</v>
      </c>
      <c r="I15" s="70">
        <v>1</v>
      </c>
      <c r="N15" s="91" t="s">
        <v>157</v>
      </c>
      <c r="O15" s="101">
        <f>IF(P15=0,0,Q15/P15)</f>
        <v>-12.399999999999999</v>
      </c>
      <c r="P15" s="95">
        <v>2</v>
      </c>
      <c r="Q15" s="83">
        <v>-24.799999999999997</v>
      </c>
    </row>
    <row r="16" spans="1:17">
      <c r="A16" s="39" t="s">
        <v>173</v>
      </c>
      <c r="B16" s="138">
        <f>AVERAGE(B12:B15)</f>
        <v>7.2374999999999989</v>
      </c>
      <c r="C16" s="139"/>
      <c r="E16" s="46" t="s">
        <v>63</v>
      </c>
      <c r="F16" s="43" t="s">
        <v>27</v>
      </c>
      <c r="G16" s="35">
        <v>0</v>
      </c>
      <c r="H16" s="108">
        <f>IF(B$22=0,0,G16/B$22)</f>
        <v>0</v>
      </c>
      <c r="I16" s="70">
        <v>1</v>
      </c>
      <c r="N16" s="27"/>
      <c r="O16" s="85"/>
      <c r="P16" s="87"/>
      <c r="Q16" s="85"/>
    </row>
    <row r="17" spans="1:17">
      <c r="A17" s="40" t="s">
        <v>17</v>
      </c>
      <c r="B17" s="37">
        <v>0</v>
      </c>
      <c r="C17" s="32">
        <f t="shared" si="2"/>
        <v>0</v>
      </c>
      <c r="E17" s="46" t="s">
        <v>64</v>
      </c>
      <c r="F17" s="43" t="s">
        <v>28</v>
      </c>
      <c r="G17" s="35">
        <v>0</v>
      </c>
      <c r="H17" s="108">
        <f>IF(B$22=0,0,G17/B$22)</f>
        <v>0</v>
      </c>
      <c r="I17" s="70">
        <v>1</v>
      </c>
      <c r="N17" s="88" t="s">
        <v>117</v>
      </c>
      <c r="O17" s="28" t="s">
        <v>96</v>
      </c>
      <c r="P17" s="92" t="s">
        <v>92</v>
      </c>
      <c r="Q17" s="80" t="s">
        <v>120</v>
      </c>
    </row>
    <row r="18" spans="1:17">
      <c r="A18" s="41" t="s">
        <v>97</v>
      </c>
      <c r="B18" s="15">
        <v>16</v>
      </c>
      <c r="C18" s="11">
        <f>IF(B$3=0,0,B18/B$3)</f>
        <v>0.42105263157894735</v>
      </c>
      <c r="E18" s="46" t="s">
        <v>65</v>
      </c>
      <c r="F18" s="43" t="s">
        <v>29</v>
      </c>
      <c r="G18" s="35">
        <v>0</v>
      </c>
      <c r="H18" s="108">
        <f>IF(B$22=0,0,G18/B$22)</f>
        <v>0</v>
      </c>
      <c r="I18" s="70">
        <v>1</v>
      </c>
      <c r="N18" s="89" t="s">
        <v>186</v>
      </c>
      <c r="O18" s="99">
        <f>IF(P18=0,0,Q18/P18)</f>
        <v>40.125</v>
      </c>
      <c r="P18" s="93">
        <v>4</v>
      </c>
      <c r="Q18" s="81">
        <v>160.5</v>
      </c>
    </row>
    <row r="19" spans="1:17">
      <c r="A19" s="38" t="s">
        <v>94</v>
      </c>
      <c r="B19" s="35">
        <v>3</v>
      </c>
      <c r="C19" s="30">
        <f>IF(B$3=0,0,B19/B$3)</f>
        <v>7.8947368421052627E-2</v>
      </c>
      <c r="E19" s="46" t="s">
        <v>66</v>
      </c>
      <c r="F19" s="43" t="s">
        <v>30</v>
      </c>
      <c r="G19" s="35">
        <v>0</v>
      </c>
      <c r="H19" s="108">
        <f>IF(B$22=0,0,G19/B$22)</f>
        <v>0</v>
      </c>
      <c r="I19" s="70">
        <v>1</v>
      </c>
      <c r="N19" s="90" t="s">
        <v>183</v>
      </c>
      <c r="O19" s="100">
        <f>IF(P19=0,0,Q19/P19)</f>
        <v>15.875</v>
      </c>
      <c r="P19" s="94">
        <v>4</v>
      </c>
      <c r="Q19" s="82">
        <v>63.5</v>
      </c>
    </row>
    <row r="20" spans="1:17">
      <c r="A20" s="18" t="s">
        <v>99</v>
      </c>
      <c r="B20" s="34">
        <f>B26</f>
        <v>9</v>
      </c>
      <c r="C20" s="4">
        <f>IF(B$18=0,0,B20/B$18)</f>
        <v>0.5625</v>
      </c>
      <c r="E20" s="46" t="s">
        <v>67</v>
      </c>
      <c r="F20" s="43" t="s">
        <v>31</v>
      </c>
      <c r="G20" s="35">
        <v>0</v>
      </c>
      <c r="H20" s="108">
        <f>IF(B$22=0,0,G20/B$22)</f>
        <v>0</v>
      </c>
      <c r="I20" s="70">
        <v>1</v>
      </c>
      <c r="N20" s="90" t="s">
        <v>185</v>
      </c>
      <c r="O20" s="100">
        <f>IF(P20=0,0,Q20/P20)</f>
        <v>-12.099999999999998</v>
      </c>
      <c r="P20" s="94">
        <v>4</v>
      </c>
      <c r="Q20" s="82">
        <v>-48.399999999999991</v>
      </c>
    </row>
    <row r="21" spans="1:17">
      <c r="A21" s="18" t="s">
        <v>100</v>
      </c>
      <c r="B21" s="34">
        <f>B27</f>
        <v>1</v>
      </c>
      <c r="C21" s="4">
        <f>IF(B$19=0,0,B21/B$19)</f>
        <v>0.33333333333333331</v>
      </c>
      <c r="E21" s="46" t="s">
        <v>164</v>
      </c>
      <c r="F21" s="43" t="s">
        <v>167</v>
      </c>
      <c r="G21" s="35">
        <v>0</v>
      </c>
      <c r="H21" s="108">
        <f>IF(B$22=0,0,G21/B$22)</f>
        <v>0</v>
      </c>
      <c r="I21" s="70">
        <v>3</v>
      </c>
    </row>
    <row r="22" spans="1:17">
      <c r="A22" s="18" t="s">
        <v>10</v>
      </c>
      <c r="B22" s="34">
        <f>B25+B24</f>
        <v>12</v>
      </c>
      <c r="C22" s="4">
        <f>IF(B$3=0,0,B22/B$3)</f>
        <v>0.31578947368421051</v>
      </c>
      <c r="E22" s="46" t="s">
        <v>68</v>
      </c>
      <c r="F22" s="43" t="s">
        <v>32</v>
      </c>
      <c r="G22" s="35">
        <v>0</v>
      </c>
      <c r="H22" s="108">
        <f>IF(B$22=0,0,G22/B$22)</f>
        <v>0</v>
      </c>
      <c r="I22" s="70">
        <v>1</v>
      </c>
    </row>
    <row r="23" spans="1:17">
      <c r="A23" s="38" t="s">
        <v>13</v>
      </c>
      <c r="B23" s="35">
        <v>6</v>
      </c>
      <c r="C23" s="30">
        <f>IF(B$3=0,0,B23/B$3)</f>
        <v>0.15789473684210525</v>
      </c>
      <c r="E23" s="46" t="s">
        <v>69</v>
      </c>
      <c r="F23" s="43" t="s">
        <v>33</v>
      </c>
      <c r="G23" s="35">
        <v>0</v>
      </c>
      <c r="H23" s="108">
        <f>IF(B$22=0,0,G23/B$22)</f>
        <v>0</v>
      </c>
      <c r="I23" s="70">
        <v>4</v>
      </c>
    </row>
    <row r="24" spans="1:17">
      <c r="A24" s="38" t="s">
        <v>12</v>
      </c>
      <c r="B24" s="35">
        <v>5</v>
      </c>
      <c r="C24" s="30">
        <f>IF(B$22=0,0,B24/B$22)</f>
        <v>0.41666666666666669</v>
      </c>
      <c r="E24" s="46" t="s">
        <v>70</v>
      </c>
      <c r="F24" s="43" t="s">
        <v>34</v>
      </c>
      <c r="G24" s="35">
        <v>0</v>
      </c>
      <c r="H24" s="108">
        <f>IF(B$22=0,0,G24/B$22)</f>
        <v>0</v>
      </c>
      <c r="I24" s="70">
        <v>1</v>
      </c>
    </row>
    <row r="25" spans="1:17">
      <c r="A25" s="38" t="s">
        <v>11</v>
      </c>
      <c r="B25" s="35">
        <v>7</v>
      </c>
      <c r="C25" s="30">
        <f>IF(B$22=0,0,B25/B$22)</f>
        <v>0.58333333333333337</v>
      </c>
      <c r="E25" s="46" t="s">
        <v>72</v>
      </c>
      <c r="F25" s="43" t="s">
        <v>36</v>
      </c>
      <c r="G25" s="35">
        <v>0</v>
      </c>
      <c r="H25" s="108">
        <f>IF(B$22=0,0,G25/B$22)</f>
        <v>0</v>
      </c>
      <c r="I25" s="70">
        <v>1</v>
      </c>
    </row>
    <row r="26" spans="1:17">
      <c r="A26" s="38" t="s">
        <v>149</v>
      </c>
      <c r="B26" s="35">
        <v>9</v>
      </c>
      <c r="C26" s="30">
        <f>IF(B$22=0,0,B26/B$22)</f>
        <v>0.75</v>
      </c>
      <c r="E26" s="46" t="s">
        <v>73</v>
      </c>
      <c r="F26" s="43" t="s">
        <v>37</v>
      </c>
      <c r="G26" s="35">
        <v>0</v>
      </c>
      <c r="H26" s="108">
        <f>IF(B$22=0,0,G26/B$22)</f>
        <v>0</v>
      </c>
      <c r="I26" s="70">
        <v>1</v>
      </c>
    </row>
    <row r="27" spans="1:17">
      <c r="A27" s="38" t="s">
        <v>147</v>
      </c>
      <c r="B27" s="35">
        <v>1</v>
      </c>
      <c r="C27" s="30">
        <f>IF(B$22=0,0,B27/B$22)</f>
        <v>8.3333333333333329E-2</v>
      </c>
      <c r="E27" s="46" t="s">
        <v>74</v>
      </c>
      <c r="F27" s="43" t="s">
        <v>38</v>
      </c>
      <c r="G27" s="35">
        <v>0</v>
      </c>
      <c r="H27" s="108">
        <f>IF(B$22=0,0,G27/B$22)</f>
        <v>0</v>
      </c>
      <c r="I27" s="70">
        <v>4</v>
      </c>
    </row>
    <row r="28" spans="1:17">
      <c r="A28" s="38" t="s">
        <v>148</v>
      </c>
      <c r="B28" s="35">
        <v>2</v>
      </c>
      <c r="C28" s="30">
        <f>IF(B$22=0,0,B28/B$22)</f>
        <v>0.16666666666666666</v>
      </c>
      <c r="E28" s="46" t="s">
        <v>75</v>
      </c>
      <c r="F28" s="43" t="s">
        <v>39</v>
      </c>
      <c r="G28" s="35">
        <v>0</v>
      </c>
      <c r="H28" s="108">
        <f>IF(B$22=0,0,G28/B$22)</f>
        <v>0</v>
      </c>
      <c r="I28" s="70">
        <v>1</v>
      </c>
    </row>
    <row r="29" spans="1:17">
      <c r="A29" s="38" t="s">
        <v>5</v>
      </c>
      <c r="B29" s="16">
        <f>IF(B$22=0,0,C29/B$22)</f>
        <v>8408.3333333333339</v>
      </c>
      <c r="C29" s="8">
        <v>100900</v>
      </c>
      <c r="E29" s="46" t="s">
        <v>76</v>
      </c>
      <c r="F29" s="43" t="s">
        <v>40</v>
      </c>
      <c r="G29" s="35">
        <v>0</v>
      </c>
      <c r="H29" s="108">
        <f>IF(B$22=0,0,G29/B$22)</f>
        <v>0</v>
      </c>
      <c r="I29" s="70">
        <v>1</v>
      </c>
    </row>
    <row r="30" spans="1:17">
      <c r="A30" s="39" t="s">
        <v>131</v>
      </c>
      <c r="B30" s="111">
        <f>IF($B$22-B$21=0,0,C30/($B$22-B$21))</f>
        <v>7718.181818181818</v>
      </c>
      <c r="C30" s="112">
        <v>84900</v>
      </c>
      <c r="E30" s="46" t="s">
        <v>78</v>
      </c>
      <c r="F30" s="43" t="s">
        <v>42</v>
      </c>
      <c r="G30" s="35">
        <v>0</v>
      </c>
      <c r="H30" s="108">
        <f>IF(B$22=0,0,G30/B$22)</f>
        <v>0</v>
      </c>
      <c r="I30" s="70">
        <v>1</v>
      </c>
    </row>
    <row r="31" spans="1:17">
      <c r="A31" s="39" t="s">
        <v>132</v>
      </c>
      <c r="B31" s="111">
        <f>IF(B$21=0,0,C31/B$21)</f>
        <v>16000</v>
      </c>
      <c r="C31" s="112">
        <v>16000</v>
      </c>
      <c r="E31" s="46" t="s">
        <v>79</v>
      </c>
      <c r="F31" s="43" t="s">
        <v>43</v>
      </c>
      <c r="G31" s="35">
        <v>0</v>
      </c>
      <c r="H31" s="108">
        <f>IF(B$22=0,0,G31/B$22)</f>
        <v>0</v>
      </c>
      <c r="I31" s="70">
        <v>1</v>
      </c>
    </row>
    <row r="32" spans="1:17">
      <c r="A32" s="39" t="s">
        <v>130</v>
      </c>
      <c r="B32" s="111">
        <f>IF(B$23=0,0,C32/B$23)</f>
        <v>-7266.666666666667</v>
      </c>
      <c r="C32" s="112">
        <v>-43600</v>
      </c>
      <c r="E32" s="46" t="s">
        <v>80</v>
      </c>
      <c r="F32" s="43" t="s">
        <v>44</v>
      </c>
      <c r="G32" s="35">
        <v>0</v>
      </c>
      <c r="H32" s="108">
        <f>IF(B$22=0,0,G32/B$22)</f>
        <v>0</v>
      </c>
      <c r="I32" s="70">
        <v>1</v>
      </c>
    </row>
    <row r="33" spans="1:9">
      <c r="A33" s="38" t="s">
        <v>128</v>
      </c>
      <c r="B33" s="35">
        <v>2</v>
      </c>
      <c r="C33" s="110">
        <v>0</v>
      </c>
      <c r="E33" s="46" t="s">
        <v>81</v>
      </c>
      <c r="F33" s="43" t="s">
        <v>45</v>
      </c>
      <c r="G33" s="35">
        <v>0</v>
      </c>
      <c r="H33" s="108">
        <f>IF(B$22=0,0,G33/B$22)</f>
        <v>0</v>
      </c>
      <c r="I33" s="70">
        <v>1</v>
      </c>
    </row>
    <row r="34" spans="1:9">
      <c r="A34" s="38" t="s">
        <v>129</v>
      </c>
      <c r="B34" s="35">
        <v>13</v>
      </c>
      <c r="C34" s="110">
        <v>5</v>
      </c>
      <c r="E34" s="46" t="s">
        <v>82</v>
      </c>
      <c r="F34" s="43" t="s">
        <v>46</v>
      </c>
      <c r="G34" s="35">
        <v>0</v>
      </c>
      <c r="H34" s="108">
        <f>IF(B$22=0,0,G34/B$22)</f>
        <v>0</v>
      </c>
      <c r="I34" s="70">
        <v>1</v>
      </c>
    </row>
    <row r="35" spans="1:9">
      <c r="A35" s="66" t="s">
        <v>110</v>
      </c>
      <c r="B35" s="140">
        <v>4</v>
      </c>
      <c r="C35" s="141"/>
      <c r="E35" s="46" t="s">
        <v>83</v>
      </c>
      <c r="F35" s="43" t="s">
        <v>47</v>
      </c>
      <c r="G35" s="35">
        <v>0</v>
      </c>
      <c r="H35" s="108">
        <f>IF(B$22=0,0,G35/B$22)</f>
        <v>0</v>
      </c>
      <c r="I35" s="70">
        <v>1</v>
      </c>
    </row>
    <row r="36" spans="1:9">
      <c r="A36" s="41" t="s">
        <v>146</v>
      </c>
      <c r="B36" s="142">
        <v>42100</v>
      </c>
      <c r="C36" s="143"/>
      <c r="E36" s="46" t="s">
        <v>84</v>
      </c>
      <c r="F36" s="43" t="s">
        <v>48</v>
      </c>
      <c r="G36" s="35">
        <v>0</v>
      </c>
      <c r="H36" s="108">
        <f>IF(B$22=0,0,G36/B$22)</f>
        <v>0</v>
      </c>
      <c r="I36" s="70">
        <v>1</v>
      </c>
    </row>
    <row r="37" spans="1:9">
      <c r="A37" s="40" t="s">
        <v>111</v>
      </c>
      <c r="B37" s="26">
        <v>0</v>
      </c>
      <c r="C37" s="32">
        <f>IF(B$3=0,0,B37/B$3)</f>
        <v>0</v>
      </c>
      <c r="E37" s="46" t="s">
        <v>85</v>
      </c>
      <c r="F37" s="43" t="s">
        <v>49</v>
      </c>
      <c r="G37" s="35">
        <v>0</v>
      </c>
      <c r="H37" s="108">
        <f>IF(B$22=0,0,G37/B$22)</f>
        <v>0</v>
      </c>
      <c r="I37" s="70">
        <v>1</v>
      </c>
    </row>
    <row r="38" spans="1:9">
      <c r="E38" s="46" t="s">
        <v>86</v>
      </c>
      <c r="F38" s="43" t="s">
        <v>50</v>
      </c>
      <c r="G38" s="35">
        <v>0</v>
      </c>
      <c r="H38" s="108">
        <f>IF(B$22=0,0,G38/B$22)</f>
        <v>0</v>
      </c>
      <c r="I38" s="70">
        <v>1</v>
      </c>
    </row>
    <row r="39" spans="1:9">
      <c r="A39" s="119" t="s">
        <v>159</v>
      </c>
      <c r="B39" s="120" t="s">
        <v>92</v>
      </c>
      <c r="C39" s="121" t="s">
        <v>93</v>
      </c>
      <c r="E39" s="46" t="s">
        <v>87</v>
      </c>
      <c r="F39" s="43" t="s">
        <v>51</v>
      </c>
      <c r="G39" s="35">
        <v>0</v>
      </c>
      <c r="H39" s="108">
        <f>IF(B$22=0,0,G39/B$22)</f>
        <v>0</v>
      </c>
      <c r="I39" s="70">
        <v>1</v>
      </c>
    </row>
    <row r="40" spans="1:9">
      <c r="A40" s="66" t="s">
        <v>137</v>
      </c>
      <c r="B40" s="128">
        <v>1</v>
      </c>
      <c r="C40" s="116">
        <f t="shared" ref="C40:C52" si="4">IF(B$22=0,0,B40/B$22)</f>
        <v>8.3333333333333329E-2</v>
      </c>
      <c r="E40" s="46" t="s">
        <v>88</v>
      </c>
      <c r="F40" s="43" t="s">
        <v>52</v>
      </c>
      <c r="G40" s="35">
        <v>0</v>
      </c>
      <c r="H40" s="108">
        <f>IF(B$22=0,0,G40/B$22)</f>
        <v>0</v>
      </c>
      <c r="I40" s="70">
        <v>1</v>
      </c>
    </row>
    <row r="41" spans="1:9">
      <c r="A41" s="38" t="s">
        <v>133</v>
      </c>
      <c r="B41" s="35">
        <v>0</v>
      </c>
      <c r="C41" s="30">
        <f t="shared" si="4"/>
        <v>0</v>
      </c>
      <c r="E41" s="46" t="s">
        <v>89</v>
      </c>
      <c r="F41" s="43" t="s">
        <v>53</v>
      </c>
      <c r="G41" s="35">
        <v>0</v>
      </c>
      <c r="H41" s="108">
        <f>IF(B$22=0,0,G41/B$22)</f>
        <v>0</v>
      </c>
      <c r="I41" s="70">
        <v>1</v>
      </c>
    </row>
    <row r="42" spans="1:9">
      <c r="A42" s="38" t="s">
        <v>134</v>
      </c>
      <c r="B42" s="129">
        <v>4</v>
      </c>
      <c r="C42" s="30">
        <f t="shared" si="4"/>
        <v>0.33333333333333331</v>
      </c>
      <c r="E42" s="47" t="s">
        <v>90</v>
      </c>
      <c r="F42" s="44" t="s">
        <v>169</v>
      </c>
      <c r="G42" s="37">
        <v>0</v>
      </c>
      <c r="H42" s="109">
        <f>IF(B$22=0,0,G42/B$22)</f>
        <v>0</v>
      </c>
      <c r="I42" s="71">
        <v>1</v>
      </c>
    </row>
    <row r="43" spans="1:9">
      <c r="A43" s="38" t="s">
        <v>135</v>
      </c>
      <c r="B43" s="129">
        <v>2</v>
      </c>
      <c r="C43" s="30">
        <f t="shared" si="4"/>
        <v>0.16666666666666666</v>
      </c>
    </row>
    <row r="44" spans="1:9">
      <c r="A44" s="38" t="s">
        <v>136</v>
      </c>
      <c r="B44" s="129">
        <v>1</v>
      </c>
      <c r="C44" s="30">
        <f t="shared" si="4"/>
        <v>8.3333333333333329E-2</v>
      </c>
    </row>
    <row r="45" spans="1:9">
      <c r="A45" s="38" t="s">
        <v>138</v>
      </c>
      <c r="B45" s="129">
        <v>1</v>
      </c>
      <c r="C45" s="30">
        <f t="shared" si="4"/>
        <v>8.3333333333333329E-2</v>
      </c>
    </row>
    <row r="46" spans="1:9">
      <c r="A46" s="38" t="s">
        <v>139</v>
      </c>
      <c r="B46" s="129">
        <v>1</v>
      </c>
      <c r="C46" s="30">
        <f t="shared" si="4"/>
        <v>8.3333333333333329E-2</v>
      </c>
    </row>
    <row r="47" spans="1:9">
      <c r="A47" s="38" t="s">
        <v>140</v>
      </c>
      <c r="B47" s="129">
        <v>2</v>
      </c>
      <c r="C47" s="30">
        <f t="shared" si="4"/>
        <v>0.16666666666666666</v>
      </c>
    </row>
    <row r="48" spans="1:9">
      <c r="A48" s="38" t="s">
        <v>141</v>
      </c>
      <c r="B48" s="129">
        <v>0</v>
      </c>
      <c r="C48" s="30">
        <f t="shared" si="4"/>
        <v>0</v>
      </c>
    </row>
    <row r="49" spans="1:3">
      <c r="A49" s="38" t="s">
        <v>142</v>
      </c>
      <c r="B49" s="129">
        <v>0</v>
      </c>
      <c r="C49" s="30">
        <f t="shared" si="4"/>
        <v>0</v>
      </c>
    </row>
    <row r="50" spans="1:3">
      <c r="A50" s="38" t="s">
        <v>143</v>
      </c>
      <c r="B50" s="129">
        <v>0</v>
      </c>
      <c r="C50" s="30">
        <f t="shared" si="4"/>
        <v>0</v>
      </c>
    </row>
    <row r="51" spans="1:3">
      <c r="A51" s="38" t="s">
        <v>144</v>
      </c>
      <c r="B51" s="129">
        <v>0</v>
      </c>
      <c r="C51" s="30">
        <f t="shared" si="4"/>
        <v>0</v>
      </c>
    </row>
    <row r="52" spans="1:3">
      <c r="A52" s="40" t="s">
        <v>145</v>
      </c>
      <c r="B52" s="115">
        <v>0</v>
      </c>
      <c r="C52" s="32">
        <f t="shared" si="4"/>
        <v>0</v>
      </c>
    </row>
  </sheetData>
  <sortState xmlns:xlrd2="http://schemas.microsoft.com/office/spreadsheetml/2017/richdata2" ref="N18:Q20">
    <sortCondition descending="1" ref="O18"/>
  </sortState>
  <mergeCells count="9">
    <mergeCell ref="B16:C16"/>
    <mergeCell ref="B35:C35"/>
    <mergeCell ref="B36:C36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462D37-1AE4-4BB4-919A-77ABF642725B}">
  <sheetPr codeName="Sheet8"/>
  <dimension ref="A1:Q52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03" bestFit="1" customWidth="1"/>
    <col min="6" max="6" width="11" style="33" bestFit="1" customWidth="1"/>
    <col min="7" max="9" width="9" style="27" customWidth="1"/>
    <col min="10" max="10" width="3.625" style="27" customWidth="1"/>
    <col min="11" max="11" width="3.5" style="5" customWidth="1"/>
    <col min="12" max="12" width="9" style="75" customWidth="1"/>
    <col min="13" max="13" width="3.625" style="27" customWidth="1"/>
    <col min="14" max="14" width="9" style="90" customWidth="1"/>
    <col min="15" max="15" width="9" style="100" customWidth="1"/>
    <col min="16" max="16" width="9" style="94" customWidth="1"/>
    <col min="17" max="17" width="3.625" style="82" customWidth="1"/>
    <col min="18" max="16384" width="9" style="27"/>
  </cols>
  <sheetData>
    <row r="1" spans="1:17">
      <c r="A1" s="17" t="s">
        <v>0</v>
      </c>
      <c r="B1" s="144" t="s">
        <v>185</v>
      </c>
      <c r="C1" s="145"/>
      <c r="E1" s="104" t="s">
        <v>127</v>
      </c>
      <c r="F1" s="127" t="s">
        <v>91</v>
      </c>
      <c r="G1" s="126" t="s">
        <v>92</v>
      </c>
      <c r="H1" s="105" t="s">
        <v>93</v>
      </c>
      <c r="I1" s="127" t="s">
        <v>116</v>
      </c>
      <c r="K1" s="28" t="s">
        <v>18</v>
      </c>
      <c r="L1" s="29" t="s">
        <v>96</v>
      </c>
      <c r="M1" s="106"/>
      <c r="N1" s="88" t="s">
        <v>108</v>
      </c>
      <c r="O1" s="28" t="s">
        <v>109</v>
      </c>
      <c r="P1" s="92" t="s">
        <v>92</v>
      </c>
      <c r="Q1" s="76" t="s">
        <v>120</v>
      </c>
    </row>
    <row r="2" spans="1:17">
      <c r="A2" s="18" t="s">
        <v>9</v>
      </c>
      <c r="B2" s="146">
        <v>4</v>
      </c>
      <c r="C2" s="147"/>
      <c r="E2" s="45" t="s">
        <v>54</v>
      </c>
      <c r="F2" s="42" t="s">
        <v>20</v>
      </c>
      <c r="G2" s="34">
        <v>8</v>
      </c>
      <c r="H2" s="107">
        <f>IF(B$22=0,0,G2/B$22)</f>
        <v>0.88888888888888884</v>
      </c>
      <c r="I2" s="69">
        <v>1</v>
      </c>
      <c r="K2" s="3">
        <v>0</v>
      </c>
      <c r="L2" s="74">
        <v>0</v>
      </c>
      <c r="N2" s="89" t="s">
        <v>102</v>
      </c>
      <c r="O2" s="96">
        <f t="shared" ref="O2:O9" si="0">IF(P2=0,0,Q2/P2)</f>
        <v>2425</v>
      </c>
      <c r="P2" s="93">
        <v>4</v>
      </c>
      <c r="Q2" s="77">
        <v>9700</v>
      </c>
    </row>
    <row r="3" spans="1:17">
      <c r="A3" s="38" t="s">
        <v>8</v>
      </c>
      <c r="B3" s="148">
        <v>38</v>
      </c>
      <c r="C3" s="149"/>
      <c r="E3" s="46" t="s">
        <v>162</v>
      </c>
      <c r="F3" s="43" t="s">
        <v>154</v>
      </c>
      <c r="G3" s="35">
        <v>7</v>
      </c>
      <c r="H3" s="108">
        <f>IF(B$22=0,0,G3/B$22)</f>
        <v>0.77777777777777779</v>
      </c>
      <c r="I3" s="70">
        <v>1</v>
      </c>
      <c r="K3" s="5">
        <v>1</v>
      </c>
      <c r="L3" s="75">
        <v>-18.100000000000001</v>
      </c>
      <c r="N3" s="90" t="s">
        <v>103</v>
      </c>
      <c r="O3" s="97">
        <f t="shared" si="0"/>
        <v>-3725</v>
      </c>
      <c r="P3" s="94">
        <v>4</v>
      </c>
      <c r="Q3" s="78">
        <v>-14900</v>
      </c>
    </row>
    <row r="4" spans="1:17">
      <c r="A4" s="38" t="s">
        <v>6</v>
      </c>
      <c r="B4" s="150">
        <v>92.299999999999983</v>
      </c>
      <c r="C4" s="151"/>
      <c r="E4" s="46" t="s">
        <v>55</v>
      </c>
      <c r="F4" s="43" t="s">
        <v>153</v>
      </c>
      <c r="G4" s="35">
        <v>5</v>
      </c>
      <c r="H4" s="108">
        <f>IF(B$22=0,0,G4/B$22)</f>
        <v>0.55555555555555558</v>
      </c>
      <c r="I4" s="70">
        <v>2</v>
      </c>
      <c r="K4" s="5">
        <v>2</v>
      </c>
      <c r="L4" s="75">
        <v>-36.1</v>
      </c>
      <c r="N4" s="90" t="s">
        <v>104</v>
      </c>
      <c r="O4" s="97">
        <f t="shared" si="0"/>
        <v>-875</v>
      </c>
      <c r="P4" s="94">
        <v>4</v>
      </c>
      <c r="Q4" s="78">
        <v>-3500</v>
      </c>
    </row>
    <row r="5" spans="1:17">
      <c r="A5" s="38" t="s">
        <v>7</v>
      </c>
      <c r="B5" s="138">
        <f>IF(B$2=0,0,B$4/B$2)</f>
        <v>23.074999999999996</v>
      </c>
      <c r="C5" s="139"/>
      <c r="E5" s="46" t="s">
        <v>56</v>
      </c>
      <c r="F5" s="43" t="s">
        <v>166</v>
      </c>
      <c r="G5" s="35">
        <v>4</v>
      </c>
      <c r="H5" s="108">
        <f>IF(B$22=0,0,G5/B$22)</f>
        <v>0.44444444444444442</v>
      </c>
      <c r="I5" s="70">
        <v>2</v>
      </c>
      <c r="K5" s="5">
        <v>3</v>
      </c>
      <c r="L5" s="75">
        <v>32.999999999999993</v>
      </c>
      <c r="N5" s="90" t="s">
        <v>155</v>
      </c>
      <c r="O5" s="97">
        <f>IF(P5=0,0,Q5/P5)</f>
        <v>-425</v>
      </c>
      <c r="P5" s="94">
        <v>4</v>
      </c>
      <c r="Q5" s="78">
        <v>-1700</v>
      </c>
    </row>
    <row r="6" spans="1:17">
      <c r="A6" s="38" t="s">
        <v>1</v>
      </c>
      <c r="B6" s="152">
        <f>IF(B$2=0,0,(B$7*1+B$8*2+B$9*3+B$10*4)/B$2)</f>
        <v>2</v>
      </c>
      <c r="C6" s="153"/>
      <c r="E6" s="46" t="s">
        <v>57</v>
      </c>
      <c r="F6" s="43" t="s">
        <v>21</v>
      </c>
      <c r="G6" s="35">
        <v>4</v>
      </c>
      <c r="H6" s="108">
        <f>IF(B$22=0,0,G6/B$22)</f>
        <v>0.44444444444444442</v>
      </c>
      <c r="I6" s="70">
        <v>1</v>
      </c>
      <c r="K6" s="5">
        <v>4</v>
      </c>
      <c r="L6" s="75">
        <v>92.299999999999983</v>
      </c>
      <c r="N6" s="90" t="s">
        <v>105</v>
      </c>
      <c r="O6" s="97">
        <f t="shared" ref="O6" si="1">IF(P6=0,0,Q6/P6)</f>
        <v>-3050</v>
      </c>
      <c r="P6" s="94">
        <v>4</v>
      </c>
      <c r="Q6" s="78">
        <v>-12200</v>
      </c>
    </row>
    <row r="7" spans="1:17">
      <c r="A7" s="38" t="s">
        <v>2</v>
      </c>
      <c r="B7" s="35">
        <v>2</v>
      </c>
      <c r="C7" s="30">
        <f t="shared" ref="C7:C17" si="2">IF(B$2=0,0,B7/B$2)</f>
        <v>0.5</v>
      </c>
      <c r="E7" s="46" t="s">
        <v>165</v>
      </c>
      <c r="F7" s="43" t="s">
        <v>168</v>
      </c>
      <c r="G7" s="35">
        <v>4</v>
      </c>
      <c r="H7" s="108">
        <f>IF(B$22=0,0,G7/B$22)</f>
        <v>0.44444444444444442</v>
      </c>
      <c r="I7" s="70">
        <v>4</v>
      </c>
      <c r="N7" s="90" t="s">
        <v>106</v>
      </c>
      <c r="O7" s="97">
        <f t="shared" si="0"/>
        <v>6333.333333333333</v>
      </c>
      <c r="P7" s="94">
        <v>3</v>
      </c>
      <c r="Q7" s="78">
        <v>19000</v>
      </c>
    </row>
    <row r="8" spans="1:17">
      <c r="A8" s="38" t="s">
        <v>3</v>
      </c>
      <c r="B8" s="35">
        <v>0</v>
      </c>
      <c r="C8" s="30">
        <f>IF(B$2=0,0,B8/B$2)</f>
        <v>0</v>
      </c>
      <c r="E8" s="46" t="s">
        <v>163</v>
      </c>
      <c r="F8" s="43" t="s">
        <v>19</v>
      </c>
      <c r="G8" s="35">
        <v>3</v>
      </c>
      <c r="H8" s="108">
        <f>IF(B$22=0,0,G8/B$22)</f>
        <v>0.33333333333333331</v>
      </c>
      <c r="I8" s="70">
        <v>1</v>
      </c>
      <c r="N8" s="90" t="s">
        <v>107</v>
      </c>
      <c r="O8" s="97">
        <f t="shared" si="0"/>
        <v>2450</v>
      </c>
      <c r="P8" s="94">
        <v>2</v>
      </c>
      <c r="Q8" s="78">
        <v>4900</v>
      </c>
    </row>
    <row r="9" spans="1:17">
      <c r="A9" s="39" t="s">
        <v>4</v>
      </c>
      <c r="B9" s="36">
        <v>2</v>
      </c>
      <c r="C9" s="31">
        <f>IF(B$2=0,0,B9/B$2)</f>
        <v>0.5</v>
      </c>
      <c r="E9" s="46" t="s">
        <v>58</v>
      </c>
      <c r="F9" s="43" t="s">
        <v>22</v>
      </c>
      <c r="G9" s="35">
        <v>3</v>
      </c>
      <c r="H9" s="108">
        <f>IF(B$22=0,0,G9/B$22)</f>
        <v>0.33333333333333331</v>
      </c>
      <c r="I9" s="70">
        <v>1</v>
      </c>
      <c r="N9" s="91" t="s">
        <v>156</v>
      </c>
      <c r="O9" s="98">
        <f t="shared" si="0"/>
        <v>15500</v>
      </c>
      <c r="P9" s="95">
        <v>2</v>
      </c>
      <c r="Q9" s="79">
        <v>31000</v>
      </c>
    </row>
    <row r="10" spans="1:17">
      <c r="A10" s="39" t="s">
        <v>150</v>
      </c>
      <c r="B10" s="36">
        <v>0</v>
      </c>
      <c r="C10" s="31">
        <f>IF(B$2=0,0,B10/B$2)</f>
        <v>0</v>
      </c>
      <c r="E10" s="46" t="s">
        <v>60</v>
      </c>
      <c r="F10" s="43" t="s">
        <v>24</v>
      </c>
      <c r="G10" s="35">
        <v>3</v>
      </c>
      <c r="H10" s="108">
        <f>IF(B$22=0,0,G10/B$22)</f>
        <v>0.33333333333333331</v>
      </c>
      <c r="I10" s="70">
        <v>2</v>
      </c>
      <c r="N10" s="33"/>
      <c r="O10" s="102"/>
      <c r="P10" s="86"/>
      <c r="Q10" s="84"/>
    </row>
    <row r="11" spans="1:17">
      <c r="A11" s="39" t="s">
        <v>151</v>
      </c>
      <c r="B11" s="36">
        <f>B7+B8</f>
        <v>2</v>
      </c>
      <c r="C11" s="31">
        <f>IF(B$2=0,0,B11/B$2)</f>
        <v>0.5</v>
      </c>
      <c r="E11" s="46" t="s">
        <v>59</v>
      </c>
      <c r="F11" s="43" t="s">
        <v>23</v>
      </c>
      <c r="G11" s="35">
        <v>1</v>
      </c>
      <c r="H11" s="108">
        <f>IF(B$22=0,0,G11/B$22)</f>
        <v>0.1111111111111111</v>
      </c>
      <c r="I11" s="70">
        <v>4</v>
      </c>
      <c r="N11" s="88" t="s">
        <v>158</v>
      </c>
      <c r="O11" s="28" t="s">
        <v>96</v>
      </c>
      <c r="P11" s="92" t="s">
        <v>92</v>
      </c>
      <c r="Q11" s="80" t="s">
        <v>120</v>
      </c>
    </row>
    <row r="12" spans="1:17">
      <c r="A12" s="39" t="s">
        <v>174</v>
      </c>
      <c r="B12" s="124">
        <f>IF(B7=0,0,C12/B7)</f>
        <v>64.199999999999989</v>
      </c>
      <c r="C12" s="125">
        <v>128.39999999999998</v>
      </c>
      <c r="E12" s="46" t="s">
        <v>71</v>
      </c>
      <c r="F12" s="43" t="s">
        <v>35</v>
      </c>
      <c r="G12" s="35">
        <v>1</v>
      </c>
      <c r="H12" s="108">
        <f>IF(B$22=0,0,G12/B$22)</f>
        <v>0.1111111111111111</v>
      </c>
      <c r="I12" s="70">
        <v>1</v>
      </c>
      <c r="N12" s="89" t="s">
        <v>124</v>
      </c>
      <c r="O12" s="99">
        <f>IF(P12=0,0,Q12/P12)</f>
        <v>25.549999999999997</v>
      </c>
      <c r="P12" s="93">
        <v>2</v>
      </c>
      <c r="Q12" s="81">
        <v>51.099999999999994</v>
      </c>
    </row>
    <row r="13" spans="1:17">
      <c r="A13" s="39" t="s">
        <v>175</v>
      </c>
      <c r="B13" s="124">
        <f t="shared" ref="B13:B14" si="3">IF(B8=0,0,C13/B8)</f>
        <v>0</v>
      </c>
      <c r="C13" s="125">
        <v>0</v>
      </c>
      <c r="E13" s="46" t="s">
        <v>61</v>
      </c>
      <c r="F13" s="43" t="s">
        <v>25</v>
      </c>
      <c r="G13" s="35">
        <v>0</v>
      </c>
      <c r="H13" s="108">
        <f>IF(B$22=0,0,G13/B$22)</f>
        <v>0</v>
      </c>
      <c r="I13" s="70">
        <v>1</v>
      </c>
      <c r="N13" s="90" t="s">
        <v>125</v>
      </c>
      <c r="O13" s="100">
        <f>IF(P13=0,0,Q13/P13)</f>
        <v>0</v>
      </c>
      <c r="P13" s="94">
        <v>0</v>
      </c>
      <c r="Q13" s="82">
        <v>0</v>
      </c>
    </row>
    <row r="14" spans="1:17">
      <c r="A14" s="39" t="s">
        <v>176</v>
      </c>
      <c r="B14" s="124">
        <f t="shared" si="3"/>
        <v>-18.05</v>
      </c>
      <c r="C14" s="125">
        <v>-36.1</v>
      </c>
      <c r="E14" s="46" t="s">
        <v>62</v>
      </c>
      <c r="F14" s="43" t="s">
        <v>26</v>
      </c>
      <c r="G14" s="35">
        <v>0</v>
      </c>
      <c r="H14" s="108">
        <f>IF(B$22=0,0,G14/B$22)</f>
        <v>0</v>
      </c>
      <c r="I14" s="70">
        <v>1</v>
      </c>
      <c r="N14" s="90" t="s">
        <v>126</v>
      </c>
      <c r="O14" s="100">
        <f>IF(P14=0,0,Q14/P14)</f>
        <v>0</v>
      </c>
      <c r="P14" s="94">
        <v>0</v>
      </c>
      <c r="Q14" s="82">
        <v>0</v>
      </c>
    </row>
    <row r="15" spans="1:17">
      <c r="A15" s="39" t="s">
        <v>177</v>
      </c>
      <c r="B15" s="124">
        <f>IF(B10=0,0,C15/B10)</f>
        <v>0</v>
      </c>
      <c r="C15" s="125">
        <v>0</v>
      </c>
      <c r="E15" s="46" t="s">
        <v>63</v>
      </c>
      <c r="F15" s="43" t="s">
        <v>27</v>
      </c>
      <c r="G15" s="35">
        <v>0</v>
      </c>
      <c r="H15" s="108">
        <f>IF(B$22=0,0,G15/B$22)</f>
        <v>0</v>
      </c>
      <c r="I15" s="70">
        <v>1</v>
      </c>
      <c r="N15" s="91" t="s">
        <v>157</v>
      </c>
      <c r="O15" s="101">
        <f>IF(P15=0,0,Q15/P15)</f>
        <v>20.599999999999998</v>
      </c>
      <c r="P15" s="95">
        <v>2</v>
      </c>
      <c r="Q15" s="83">
        <v>41.199999999999996</v>
      </c>
    </row>
    <row r="16" spans="1:17">
      <c r="A16" s="39" t="s">
        <v>173</v>
      </c>
      <c r="B16" s="138">
        <f>AVERAGE(B12:B15)</f>
        <v>11.537499999999998</v>
      </c>
      <c r="C16" s="139"/>
      <c r="E16" s="46" t="s">
        <v>64</v>
      </c>
      <c r="F16" s="43" t="s">
        <v>28</v>
      </c>
      <c r="G16" s="35">
        <v>0</v>
      </c>
      <c r="H16" s="108">
        <f>IF(B$22=0,0,G16/B$22)</f>
        <v>0</v>
      </c>
      <c r="I16" s="70">
        <v>1</v>
      </c>
      <c r="N16" s="27"/>
      <c r="O16" s="85"/>
      <c r="P16" s="87"/>
      <c r="Q16" s="85"/>
    </row>
    <row r="17" spans="1:17">
      <c r="A17" s="40" t="s">
        <v>17</v>
      </c>
      <c r="B17" s="37">
        <v>0</v>
      </c>
      <c r="C17" s="32">
        <f t="shared" si="2"/>
        <v>0</v>
      </c>
      <c r="E17" s="46" t="s">
        <v>65</v>
      </c>
      <c r="F17" s="43" t="s">
        <v>29</v>
      </c>
      <c r="G17" s="35">
        <v>0</v>
      </c>
      <c r="H17" s="108">
        <f>IF(B$22=0,0,G17/B$22)</f>
        <v>0</v>
      </c>
      <c r="I17" s="70">
        <v>1</v>
      </c>
      <c r="N17" s="88" t="s">
        <v>117</v>
      </c>
      <c r="O17" s="28" t="s">
        <v>96</v>
      </c>
      <c r="P17" s="92" t="s">
        <v>92</v>
      </c>
      <c r="Q17" s="80" t="s">
        <v>120</v>
      </c>
    </row>
    <row r="18" spans="1:17">
      <c r="A18" s="41" t="s">
        <v>97</v>
      </c>
      <c r="B18" s="15">
        <v>11</v>
      </c>
      <c r="C18" s="11">
        <f>IF(B$3=0,0,B18/B$3)</f>
        <v>0.28947368421052633</v>
      </c>
      <c r="E18" s="46" t="s">
        <v>66</v>
      </c>
      <c r="F18" s="43" t="s">
        <v>30</v>
      </c>
      <c r="G18" s="35">
        <v>0</v>
      </c>
      <c r="H18" s="108">
        <f>IF(B$22=0,0,G18/B$22)</f>
        <v>0</v>
      </c>
      <c r="I18" s="70">
        <v>1</v>
      </c>
      <c r="N18" s="89" t="s">
        <v>186</v>
      </c>
      <c r="O18" s="99">
        <f>IF(P18=0,0,Q18/P18)</f>
        <v>52.224999999999994</v>
      </c>
      <c r="P18" s="93">
        <v>4</v>
      </c>
      <c r="Q18" s="81">
        <v>208.89999999999998</v>
      </c>
    </row>
    <row r="19" spans="1:17">
      <c r="A19" s="38" t="s">
        <v>94</v>
      </c>
      <c r="B19" s="35">
        <v>9</v>
      </c>
      <c r="C19" s="30">
        <f>IF(B$3=0,0,B19/B$3)</f>
        <v>0.23684210526315788</v>
      </c>
      <c r="E19" s="46" t="s">
        <v>67</v>
      </c>
      <c r="F19" s="43" t="s">
        <v>31</v>
      </c>
      <c r="G19" s="35">
        <v>0</v>
      </c>
      <c r="H19" s="108">
        <f>IF(B$22=0,0,G19/B$22)</f>
        <v>0</v>
      </c>
      <c r="I19" s="70">
        <v>1</v>
      </c>
      <c r="N19" s="90" t="s">
        <v>183</v>
      </c>
      <c r="O19" s="100">
        <f>IF(P19=0,0,Q19/P19)</f>
        <v>27.974999999999994</v>
      </c>
      <c r="P19" s="94">
        <v>4</v>
      </c>
      <c r="Q19" s="82">
        <v>111.89999999999998</v>
      </c>
    </row>
    <row r="20" spans="1:17">
      <c r="A20" s="18" t="s">
        <v>99</v>
      </c>
      <c r="B20" s="34">
        <f>B26</f>
        <v>7</v>
      </c>
      <c r="C20" s="4">
        <f>IF(B$18=0,0,B20/B$18)</f>
        <v>0.63636363636363635</v>
      </c>
      <c r="E20" s="46" t="s">
        <v>164</v>
      </c>
      <c r="F20" s="43" t="s">
        <v>167</v>
      </c>
      <c r="G20" s="35">
        <v>0</v>
      </c>
      <c r="H20" s="108">
        <f>IF(B$22=0,0,G20/B$22)</f>
        <v>0</v>
      </c>
      <c r="I20" s="70">
        <v>3</v>
      </c>
      <c r="N20" s="90" t="s">
        <v>184</v>
      </c>
      <c r="O20" s="100">
        <f>IF(P20=0,0,Q20/P20)</f>
        <v>12.099999999999998</v>
      </c>
      <c r="P20" s="94">
        <v>4</v>
      </c>
      <c r="Q20" s="82">
        <v>48.399999999999991</v>
      </c>
    </row>
    <row r="21" spans="1:17">
      <c r="A21" s="18" t="s">
        <v>100</v>
      </c>
      <c r="B21" s="34">
        <f>B27</f>
        <v>2</v>
      </c>
      <c r="C21" s="4">
        <f>IF(B$19=0,0,B21/B$19)</f>
        <v>0.22222222222222221</v>
      </c>
      <c r="E21" s="46" t="s">
        <v>68</v>
      </c>
      <c r="F21" s="43" t="s">
        <v>32</v>
      </c>
      <c r="G21" s="35">
        <v>0</v>
      </c>
      <c r="H21" s="108">
        <f>IF(B$22=0,0,G21/B$22)</f>
        <v>0</v>
      </c>
      <c r="I21" s="70">
        <v>1</v>
      </c>
    </row>
    <row r="22" spans="1:17">
      <c r="A22" s="18" t="s">
        <v>10</v>
      </c>
      <c r="B22" s="34">
        <f>B25+B24</f>
        <v>9</v>
      </c>
      <c r="C22" s="4">
        <f>IF(B$3=0,0,B22/B$3)</f>
        <v>0.23684210526315788</v>
      </c>
      <c r="E22" s="46" t="s">
        <v>69</v>
      </c>
      <c r="F22" s="43" t="s">
        <v>33</v>
      </c>
      <c r="G22" s="35">
        <v>0</v>
      </c>
      <c r="H22" s="108">
        <f>IF(B$22=0,0,G22/B$22)</f>
        <v>0</v>
      </c>
      <c r="I22" s="70">
        <v>4</v>
      </c>
    </row>
    <row r="23" spans="1:17">
      <c r="A23" s="38" t="s">
        <v>13</v>
      </c>
      <c r="B23" s="35">
        <v>6</v>
      </c>
      <c r="C23" s="30">
        <f>IF(B$3=0,0,B23/B$3)</f>
        <v>0.15789473684210525</v>
      </c>
      <c r="E23" s="46" t="s">
        <v>70</v>
      </c>
      <c r="F23" s="43" t="s">
        <v>34</v>
      </c>
      <c r="G23" s="35">
        <v>0</v>
      </c>
      <c r="H23" s="108">
        <f>IF(B$22=0,0,G23/B$22)</f>
        <v>0</v>
      </c>
      <c r="I23" s="70">
        <v>1</v>
      </c>
    </row>
    <row r="24" spans="1:17">
      <c r="A24" s="38" t="s">
        <v>12</v>
      </c>
      <c r="B24" s="35">
        <v>5</v>
      </c>
      <c r="C24" s="30">
        <f>IF(B$22=0,0,B24/B$22)</f>
        <v>0.55555555555555558</v>
      </c>
      <c r="E24" s="46" t="s">
        <v>72</v>
      </c>
      <c r="F24" s="43" t="s">
        <v>36</v>
      </c>
      <c r="G24" s="35">
        <v>0</v>
      </c>
      <c r="H24" s="108">
        <f>IF(B$22=0,0,G24/B$22)</f>
        <v>0</v>
      </c>
      <c r="I24" s="70">
        <v>1</v>
      </c>
    </row>
    <row r="25" spans="1:17">
      <c r="A25" s="38" t="s">
        <v>11</v>
      </c>
      <c r="B25" s="35">
        <v>4</v>
      </c>
      <c r="C25" s="30">
        <f>IF(B$22=0,0,B25/B$22)</f>
        <v>0.44444444444444442</v>
      </c>
      <c r="E25" s="46" t="s">
        <v>73</v>
      </c>
      <c r="F25" s="43" t="s">
        <v>37</v>
      </c>
      <c r="G25" s="35">
        <v>0</v>
      </c>
      <c r="H25" s="108">
        <f>IF(B$22=0,0,G25/B$22)</f>
        <v>0</v>
      </c>
      <c r="I25" s="70">
        <v>1</v>
      </c>
    </row>
    <row r="26" spans="1:17">
      <c r="A26" s="38" t="s">
        <v>149</v>
      </c>
      <c r="B26" s="35">
        <v>7</v>
      </c>
      <c r="C26" s="30">
        <f>IF(B$22=0,0,B26/B$22)</f>
        <v>0.77777777777777779</v>
      </c>
      <c r="E26" s="46" t="s">
        <v>74</v>
      </c>
      <c r="F26" s="43" t="s">
        <v>38</v>
      </c>
      <c r="G26" s="35">
        <v>0</v>
      </c>
      <c r="H26" s="108">
        <f>IF(B$22=0,0,G26/B$22)</f>
        <v>0</v>
      </c>
      <c r="I26" s="70">
        <v>4</v>
      </c>
    </row>
    <row r="27" spans="1:17">
      <c r="A27" s="38" t="s">
        <v>147</v>
      </c>
      <c r="B27" s="35">
        <v>2</v>
      </c>
      <c r="C27" s="30">
        <f>IF(B$22=0,0,B27/B$22)</f>
        <v>0.22222222222222221</v>
      </c>
      <c r="E27" s="46" t="s">
        <v>75</v>
      </c>
      <c r="F27" s="43" t="s">
        <v>39</v>
      </c>
      <c r="G27" s="35">
        <v>0</v>
      </c>
      <c r="H27" s="108">
        <f>IF(B$22=0,0,G27/B$22)</f>
        <v>0</v>
      </c>
      <c r="I27" s="70">
        <v>1</v>
      </c>
    </row>
    <row r="28" spans="1:17">
      <c r="A28" s="38" t="s">
        <v>148</v>
      </c>
      <c r="B28" s="35">
        <v>0</v>
      </c>
      <c r="C28" s="30">
        <f>IF(B$22=0,0,B28/B$22)</f>
        <v>0</v>
      </c>
      <c r="E28" s="46" t="s">
        <v>76</v>
      </c>
      <c r="F28" s="43" t="s">
        <v>40</v>
      </c>
      <c r="G28" s="35">
        <v>0</v>
      </c>
      <c r="H28" s="108">
        <f>IF(B$22=0,0,G28/B$22)</f>
        <v>0</v>
      </c>
      <c r="I28" s="70">
        <v>1</v>
      </c>
    </row>
    <row r="29" spans="1:17">
      <c r="A29" s="38" t="s">
        <v>5</v>
      </c>
      <c r="B29" s="16">
        <f>IF(B$22=0,0,C29/B$22)</f>
        <v>11077.777777777777</v>
      </c>
      <c r="C29" s="8">
        <v>99700</v>
      </c>
      <c r="E29" s="46" t="s">
        <v>77</v>
      </c>
      <c r="F29" s="43" t="s">
        <v>41</v>
      </c>
      <c r="G29" s="35">
        <v>0</v>
      </c>
      <c r="H29" s="108">
        <f>IF(B$22=0,0,G29/B$22)</f>
        <v>0</v>
      </c>
      <c r="I29" s="70">
        <v>3</v>
      </c>
    </row>
    <row r="30" spans="1:17">
      <c r="A30" s="39" t="s">
        <v>131</v>
      </c>
      <c r="B30" s="111">
        <f>IF($B$22-B$21=0,0,C30/($B$22-B$21))</f>
        <v>11985.714285714286</v>
      </c>
      <c r="C30" s="112">
        <v>83900</v>
      </c>
      <c r="E30" s="46" t="s">
        <v>78</v>
      </c>
      <c r="F30" s="43" t="s">
        <v>42</v>
      </c>
      <c r="G30" s="35">
        <v>0</v>
      </c>
      <c r="H30" s="108">
        <f>IF(B$22=0,0,G30/B$22)</f>
        <v>0</v>
      </c>
      <c r="I30" s="70">
        <v>1</v>
      </c>
    </row>
    <row r="31" spans="1:17">
      <c r="A31" s="39" t="s">
        <v>132</v>
      </c>
      <c r="B31" s="111">
        <f>IF(B$21=0,0,C31/B$21)</f>
        <v>7900</v>
      </c>
      <c r="C31" s="112">
        <v>15800</v>
      </c>
      <c r="E31" s="46" t="s">
        <v>79</v>
      </c>
      <c r="F31" s="43" t="s">
        <v>43</v>
      </c>
      <c r="G31" s="35">
        <v>0</v>
      </c>
      <c r="H31" s="108">
        <f>IF(B$22=0,0,G31/B$22)</f>
        <v>0</v>
      </c>
      <c r="I31" s="70">
        <v>1</v>
      </c>
    </row>
    <row r="32" spans="1:17">
      <c r="A32" s="39" t="s">
        <v>130</v>
      </c>
      <c r="B32" s="111">
        <f>IF(B$23=0,0,C32/B$23)</f>
        <v>-7483.333333333333</v>
      </c>
      <c r="C32" s="112">
        <v>-44900</v>
      </c>
      <c r="E32" s="46" t="s">
        <v>80</v>
      </c>
      <c r="F32" s="43" t="s">
        <v>44</v>
      </c>
      <c r="G32" s="35">
        <v>0</v>
      </c>
      <c r="H32" s="108">
        <f>IF(B$22=0,0,G32/B$22)</f>
        <v>0</v>
      </c>
      <c r="I32" s="70">
        <v>1</v>
      </c>
    </row>
    <row r="33" spans="1:9">
      <c r="A33" s="38" t="s">
        <v>128</v>
      </c>
      <c r="B33" s="35">
        <v>3</v>
      </c>
      <c r="C33" s="110">
        <v>3</v>
      </c>
      <c r="E33" s="46" t="s">
        <v>81</v>
      </c>
      <c r="F33" s="43" t="s">
        <v>45</v>
      </c>
      <c r="G33" s="35">
        <v>0</v>
      </c>
      <c r="H33" s="108">
        <f>IF(B$22=0,0,G33/B$22)</f>
        <v>0</v>
      </c>
      <c r="I33" s="70">
        <v>1</v>
      </c>
    </row>
    <row r="34" spans="1:9">
      <c r="A34" s="38" t="s">
        <v>129</v>
      </c>
      <c r="B34" s="35">
        <v>9</v>
      </c>
      <c r="C34" s="110">
        <v>3</v>
      </c>
      <c r="E34" s="46" t="s">
        <v>82</v>
      </c>
      <c r="F34" s="43" t="s">
        <v>46</v>
      </c>
      <c r="G34" s="35">
        <v>0</v>
      </c>
      <c r="H34" s="108">
        <f>IF(B$22=0,0,G34/B$22)</f>
        <v>0</v>
      </c>
      <c r="I34" s="70">
        <v>1</v>
      </c>
    </row>
    <row r="35" spans="1:9">
      <c r="A35" s="66" t="s">
        <v>110</v>
      </c>
      <c r="B35" s="140">
        <v>3</v>
      </c>
      <c r="C35" s="141"/>
      <c r="E35" s="46" t="s">
        <v>83</v>
      </c>
      <c r="F35" s="43" t="s">
        <v>47</v>
      </c>
      <c r="G35" s="35">
        <v>0</v>
      </c>
      <c r="H35" s="108">
        <f>IF(B$22=0,0,G35/B$22)</f>
        <v>0</v>
      </c>
      <c r="I35" s="70">
        <v>1</v>
      </c>
    </row>
    <row r="36" spans="1:9">
      <c r="A36" s="41" t="s">
        <v>146</v>
      </c>
      <c r="B36" s="142">
        <v>49100</v>
      </c>
      <c r="C36" s="143"/>
      <c r="E36" s="46" t="s">
        <v>84</v>
      </c>
      <c r="F36" s="43" t="s">
        <v>48</v>
      </c>
      <c r="G36" s="35">
        <v>0</v>
      </c>
      <c r="H36" s="108">
        <f>IF(B$22=0,0,G36/B$22)</f>
        <v>0</v>
      </c>
      <c r="I36" s="70">
        <v>1</v>
      </c>
    </row>
    <row r="37" spans="1:9">
      <c r="A37" s="40" t="s">
        <v>111</v>
      </c>
      <c r="B37" s="26">
        <v>0</v>
      </c>
      <c r="C37" s="32">
        <f>IF(B$3=0,0,B37/B$3)</f>
        <v>0</v>
      </c>
      <c r="E37" s="46" t="s">
        <v>85</v>
      </c>
      <c r="F37" s="43" t="s">
        <v>49</v>
      </c>
      <c r="G37" s="35">
        <v>0</v>
      </c>
      <c r="H37" s="108">
        <f>IF(B$22=0,0,G37/B$22)</f>
        <v>0</v>
      </c>
      <c r="I37" s="70">
        <v>1</v>
      </c>
    </row>
    <row r="38" spans="1:9">
      <c r="E38" s="46" t="s">
        <v>86</v>
      </c>
      <c r="F38" s="43" t="s">
        <v>50</v>
      </c>
      <c r="G38" s="35">
        <v>0</v>
      </c>
      <c r="H38" s="108">
        <f>IF(B$22=0,0,G38/B$22)</f>
        <v>0</v>
      </c>
      <c r="I38" s="70">
        <v>1</v>
      </c>
    </row>
    <row r="39" spans="1:9">
      <c r="A39" s="119" t="s">
        <v>159</v>
      </c>
      <c r="B39" s="120" t="s">
        <v>92</v>
      </c>
      <c r="C39" s="121" t="s">
        <v>93</v>
      </c>
      <c r="E39" s="46" t="s">
        <v>87</v>
      </c>
      <c r="F39" s="43" t="s">
        <v>51</v>
      </c>
      <c r="G39" s="35">
        <v>0</v>
      </c>
      <c r="H39" s="108">
        <f>IF(B$22=0,0,G39/B$22)</f>
        <v>0</v>
      </c>
      <c r="I39" s="70">
        <v>1</v>
      </c>
    </row>
    <row r="40" spans="1:9">
      <c r="A40" s="66" t="s">
        <v>137</v>
      </c>
      <c r="B40" s="128">
        <v>0</v>
      </c>
      <c r="C40" s="116">
        <f t="shared" ref="C40:C52" si="4">IF(B$22=0,0,B40/B$22)</f>
        <v>0</v>
      </c>
      <c r="E40" s="46" t="s">
        <v>88</v>
      </c>
      <c r="F40" s="43" t="s">
        <v>52</v>
      </c>
      <c r="G40" s="35">
        <v>0</v>
      </c>
      <c r="H40" s="108">
        <f>IF(B$22=0,0,G40/B$22)</f>
        <v>0</v>
      </c>
      <c r="I40" s="70">
        <v>1</v>
      </c>
    </row>
    <row r="41" spans="1:9">
      <c r="A41" s="38" t="s">
        <v>133</v>
      </c>
      <c r="B41" s="35">
        <v>0</v>
      </c>
      <c r="C41" s="30">
        <f t="shared" si="4"/>
        <v>0</v>
      </c>
      <c r="E41" s="46" t="s">
        <v>89</v>
      </c>
      <c r="F41" s="43" t="s">
        <v>53</v>
      </c>
      <c r="G41" s="35">
        <v>0</v>
      </c>
      <c r="H41" s="108">
        <f>IF(B$22=0,0,G41/B$22)</f>
        <v>0</v>
      </c>
      <c r="I41" s="70">
        <v>1</v>
      </c>
    </row>
    <row r="42" spans="1:9">
      <c r="A42" s="38" t="s">
        <v>134</v>
      </c>
      <c r="B42" s="129">
        <v>2</v>
      </c>
      <c r="C42" s="30">
        <f t="shared" si="4"/>
        <v>0.22222222222222221</v>
      </c>
      <c r="E42" s="47" t="s">
        <v>90</v>
      </c>
      <c r="F42" s="44" t="s">
        <v>169</v>
      </c>
      <c r="G42" s="37">
        <v>0</v>
      </c>
      <c r="H42" s="109">
        <f>IF(B$22=0,0,G42/B$22)</f>
        <v>0</v>
      </c>
      <c r="I42" s="71">
        <v>1</v>
      </c>
    </row>
    <row r="43" spans="1:9">
      <c r="A43" s="38" t="s">
        <v>135</v>
      </c>
      <c r="B43" s="129">
        <v>2</v>
      </c>
      <c r="C43" s="30">
        <f t="shared" si="4"/>
        <v>0.22222222222222221</v>
      </c>
    </row>
    <row r="44" spans="1:9">
      <c r="A44" s="38" t="s">
        <v>136</v>
      </c>
      <c r="B44" s="129">
        <v>1</v>
      </c>
      <c r="C44" s="30">
        <f t="shared" si="4"/>
        <v>0.1111111111111111</v>
      </c>
    </row>
    <row r="45" spans="1:9">
      <c r="A45" s="38" t="s">
        <v>138</v>
      </c>
      <c r="B45" s="129">
        <v>3</v>
      </c>
      <c r="C45" s="30">
        <f t="shared" si="4"/>
        <v>0.33333333333333331</v>
      </c>
    </row>
    <row r="46" spans="1:9">
      <c r="A46" s="38" t="s">
        <v>139</v>
      </c>
      <c r="B46" s="129">
        <v>1</v>
      </c>
      <c r="C46" s="30">
        <f t="shared" si="4"/>
        <v>0.1111111111111111</v>
      </c>
    </row>
    <row r="47" spans="1:9">
      <c r="A47" s="38" t="s">
        <v>140</v>
      </c>
      <c r="B47" s="129">
        <v>0</v>
      </c>
      <c r="C47" s="30">
        <f t="shared" si="4"/>
        <v>0</v>
      </c>
    </row>
    <row r="48" spans="1:9">
      <c r="A48" s="38" t="s">
        <v>141</v>
      </c>
      <c r="B48" s="129">
        <v>0</v>
      </c>
      <c r="C48" s="30">
        <f t="shared" si="4"/>
        <v>0</v>
      </c>
    </row>
    <row r="49" spans="1:3">
      <c r="A49" s="38" t="s">
        <v>142</v>
      </c>
      <c r="B49" s="129">
        <v>0</v>
      </c>
      <c r="C49" s="30">
        <f t="shared" si="4"/>
        <v>0</v>
      </c>
    </row>
    <row r="50" spans="1:3">
      <c r="A50" s="38" t="s">
        <v>143</v>
      </c>
      <c r="B50" s="129">
        <v>0</v>
      </c>
      <c r="C50" s="30">
        <f t="shared" si="4"/>
        <v>0</v>
      </c>
    </row>
    <row r="51" spans="1:3">
      <c r="A51" s="38" t="s">
        <v>144</v>
      </c>
      <c r="B51" s="129">
        <v>0</v>
      </c>
      <c r="C51" s="30">
        <f t="shared" si="4"/>
        <v>0</v>
      </c>
    </row>
    <row r="52" spans="1:3">
      <c r="A52" s="40" t="s">
        <v>145</v>
      </c>
      <c r="B52" s="115">
        <v>0</v>
      </c>
      <c r="C52" s="32">
        <f t="shared" si="4"/>
        <v>0</v>
      </c>
    </row>
  </sheetData>
  <sortState xmlns:xlrd2="http://schemas.microsoft.com/office/spreadsheetml/2017/richdata2" ref="N18:Q20">
    <sortCondition descending="1" ref="O18"/>
  </sortState>
  <mergeCells count="9">
    <mergeCell ref="B16:C16"/>
    <mergeCell ref="B35:C35"/>
    <mergeCell ref="B36:C36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2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103" bestFit="1" customWidth="1"/>
    <col min="6" max="6" width="11" style="10" bestFit="1" customWidth="1"/>
    <col min="7" max="8" width="9" style="1" customWidth="1"/>
    <col min="9" max="9" width="9" style="27" customWidth="1"/>
    <col min="10" max="10" width="3.625" style="1" customWidth="1"/>
    <col min="11" max="11" width="3.5" style="5" customWidth="1"/>
    <col min="12" max="12" width="9" style="75" customWidth="1"/>
    <col min="13" max="13" width="3.625" style="1" customWidth="1"/>
    <col min="14" max="14" width="9" style="90" customWidth="1"/>
    <col min="15" max="15" width="9" style="100" customWidth="1"/>
    <col min="16" max="16" width="9" style="94" customWidth="1"/>
    <col min="17" max="17" width="3.625" style="82" customWidth="1"/>
    <col min="18" max="16384" width="9" style="1"/>
  </cols>
  <sheetData>
    <row r="1" spans="1:17">
      <c r="A1" s="17" t="s">
        <v>0</v>
      </c>
      <c r="B1" s="144"/>
      <c r="C1" s="145"/>
      <c r="E1" s="104" t="s">
        <v>127</v>
      </c>
      <c r="F1" s="118" t="s">
        <v>91</v>
      </c>
      <c r="G1" s="117" t="s">
        <v>92</v>
      </c>
      <c r="H1" s="105" t="s">
        <v>93</v>
      </c>
      <c r="I1" s="118" t="s">
        <v>116</v>
      </c>
      <c r="K1" s="2" t="s">
        <v>18</v>
      </c>
      <c r="L1" s="29" t="s">
        <v>96</v>
      </c>
      <c r="M1" s="106"/>
      <c r="N1" s="88" t="s">
        <v>108</v>
      </c>
      <c r="O1" s="28" t="s">
        <v>109</v>
      </c>
      <c r="P1" s="92" t="s">
        <v>92</v>
      </c>
      <c r="Q1" s="76" t="s">
        <v>121</v>
      </c>
    </row>
    <row r="2" spans="1:17">
      <c r="A2" s="18" t="s">
        <v>9</v>
      </c>
      <c r="B2" s="146">
        <v>0</v>
      </c>
      <c r="C2" s="147"/>
      <c r="E2" s="45" t="s">
        <v>162</v>
      </c>
      <c r="F2" s="42" t="s">
        <v>154</v>
      </c>
      <c r="G2" s="34">
        <v>0</v>
      </c>
      <c r="H2" s="107">
        <f t="shared" ref="H2:H42" si="0">IF(B$22=0,0,G2/B$22)</f>
        <v>0</v>
      </c>
      <c r="I2" s="69"/>
      <c r="K2" s="3">
        <v>0</v>
      </c>
      <c r="L2" s="74">
        <v>0</v>
      </c>
      <c r="N2" s="89" t="s">
        <v>102</v>
      </c>
      <c r="O2" s="96">
        <f t="shared" ref="O2:O9" si="1">IF(P2=0,0,Q2/P2)</f>
        <v>0</v>
      </c>
      <c r="P2" s="93">
        <v>0</v>
      </c>
      <c r="Q2" s="77">
        <v>0</v>
      </c>
    </row>
    <row r="3" spans="1:17">
      <c r="A3" s="19" t="s">
        <v>8</v>
      </c>
      <c r="B3" s="148">
        <v>0</v>
      </c>
      <c r="C3" s="149"/>
      <c r="E3" s="46" t="s">
        <v>163</v>
      </c>
      <c r="F3" s="43" t="s">
        <v>19</v>
      </c>
      <c r="G3" s="35">
        <v>0</v>
      </c>
      <c r="H3" s="108">
        <f t="shared" si="0"/>
        <v>0</v>
      </c>
      <c r="I3" s="70"/>
      <c r="N3" s="90" t="s">
        <v>103</v>
      </c>
      <c r="O3" s="97">
        <f t="shared" si="1"/>
        <v>0</v>
      </c>
      <c r="P3" s="94">
        <v>0</v>
      </c>
      <c r="Q3" s="78">
        <v>0</v>
      </c>
    </row>
    <row r="4" spans="1:17">
      <c r="A4" s="19" t="s">
        <v>6</v>
      </c>
      <c r="B4" s="150">
        <v>0</v>
      </c>
      <c r="C4" s="151"/>
      <c r="E4" s="46" t="s">
        <v>54</v>
      </c>
      <c r="F4" s="43" t="s">
        <v>20</v>
      </c>
      <c r="G4" s="35">
        <v>0</v>
      </c>
      <c r="H4" s="108">
        <f t="shared" si="0"/>
        <v>0</v>
      </c>
      <c r="I4" s="70"/>
      <c r="N4" s="90" t="s">
        <v>104</v>
      </c>
      <c r="O4" s="97">
        <f t="shared" si="1"/>
        <v>0</v>
      </c>
      <c r="P4" s="94">
        <v>0</v>
      </c>
      <c r="Q4" s="78">
        <v>0</v>
      </c>
    </row>
    <row r="5" spans="1:17">
      <c r="A5" s="19" t="s">
        <v>7</v>
      </c>
      <c r="B5" s="138">
        <f>IF(B$2=0,0,B$4/B$2)</f>
        <v>0</v>
      </c>
      <c r="C5" s="139"/>
      <c r="E5" s="46" t="s">
        <v>55</v>
      </c>
      <c r="F5" s="43" t="s">
        <v>153</v>
      </c>
      <c r="G5" s="35">
        <v>0</v>
      </c>
      <c r="H5" s="108">
        <f t="shared" si="0"/>
        <v>0</v>
      </c>
      <c r="I5" s="70"/>
      <c r="N5" s="90" t="s">
        <v>155</v>
      </c>
      <c r="O5" s="97">
        <f>IF(P5=0,0,Q5/P5)</f>
        <v>0</v>
      </c>
      <c r="P5" s="94">
        <v>0</v>
      </c>
      <c r="Q5" s="78">
        <v>0</v>
      </c>
    </row>
    <row r="6" spans="1:17">
      <c r="A6" s="19" t="s">
        <v>1</v>
      </c>
      <c r="B6" s="152">
        <f>IF(B$2=0,0,(B$7*1+B$8*2+B$9*3+B$10*4)/B$2)</f>
        <v>0</v>
      </c>
      <c r="C6" s="153"/>
      <c r="E6" s="46" t="s">
        <v>56</v>
      </c>
      <c r="F6" s="43" t="s">
        <v>166</v>
      </c>
      <c r="G6" s="35">
        <v>0</v>
      </c>
      <c r="H6" s="108">
        <f t="shared" si="0"/>
        <v>0</v>
      </c>
      <c r="I6" s="70"/>
      <c r="N6" s="90" t="s">
        <v>105</v>
      </c>
      <c r="O6" s="97">
        <f t="shared" ref="O6" si="2">IF(P6=0,0,Q6/P6)</f>
        <v>0</v>
      </c>
      <c r="P6" s="94">
        <v>0</v>
      </c>
      <c r="Q6" s="78">
        <v>0</v>
      </c>
    </row>
    <row r="7" spans="1:17">
      <c r="A7" s="19" t="s">
        <v>2</v>
      </c>
      <c r="B7" s="13">
        <v>0</v>
      </c>
      <c r="C7" s="6">
        <f t="shared" ref="C7:C17" si="3">IF(B$2=0,0,B7/B$2)</f>
        <v>0</v>
      </c>
      <c r="E7" s="46" t="s">
        <v>57</v>
      </c>
      <c r="F7" s="43" t="s">
        <v>21</v>
      </c>
      <c r="G7" s="35">
        <v>0</v>
      </c>
      <c r="H7" s="108">
        <f t="shared" si="0"/>
        <v>0</v>
      </c>
      <c r="I7" s="70"/>
      <c r="N7" s="90" t="s">
        <v>106</v>
      </c>
      <c r="O7" s="97">
        <f t="shared" si="1"/>
        <v>0</v>
      </c>
      <c r="P7" s="94">
        <v>0</v>
      </c>
      <c r="Q7" s="78">
        <v>0</v>
      </c>
    </row>
    <row r="8" spans="1:17">
      <c r="A8" s="19" t="s">
        <v>3</v>
      </c>
      <c r="B8" s="13">
        <v>0</v>
      </c>
      <c r="C8" s="30">
        <f>IF(B$2=0,0,B8/B$2)</f>
        <v>0</v>
      </c>
      <c r="E8" s="46" t="s">
        <v>58</v>
      </c>
      <c r="F8" s="43" t="s">
        <v>22</v>
      </c>
      <c r="G8" s="35">
        <v>0</v>
      </c>
      <c r="H8" s="108">
        <f t="shared" si="0"/>
        <v>0</v>
      </c>
      <c r="I8" s="70"/>
      <c r="N8" s="90" t="s">
        <v>107</v>
      </c>
      <c r="O8" s="97">
        <f t="shared" si="1"/>
        <v>0</v>
      </c>
      <c r="P8" s="94">
        <v>0</v>
      </c>
      <c r="Q8" s="78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46" t="s">
        <v>59</v>
      </c>
      <c r="F9" s="43" t="s">
        <v>23</v>
      </c>
      <c r="G9" s="35">
        <v>0</v>
      </c>
      <c r="H9" s="108">
        <f t="shared" si="0"/>
        <v>0</v>
      </c>
      <c r="I9" s="70"/>
      <c r="N9" s="91" t="s">
        <v>156</v>
      </c>
      <c r="O9" s="98">
        <f t="shared" si="1"/>
        <v>0</v>
      </c>
      <c r="P9" s="95">
        <v>0</v>
      </c>
      <c r="Q9" s="79">
        <v>0</v>
      </c>
    </row>
    <row r="10" spans="1:17">
      <c r="A10" s="39" t="s">
        <v>150</v>
      </c>
      <c r="B10" s="36">
        <v>0</v>
      </c>
      <c r="C10" s="31">
        <f>IF(B$2=0,0,B10/B$2)</f>
        <v>0</v>
      </c>
      <c r="E10" s="46" t="s">
        <v>60</v>
      </c>
      <c r="F10" s="43" t="s">
        <v>24</v>
      </c>
      <c r="G10" s="35">
        <v>0</v>
      </c>
      <c r="H10" s="108">
        <f t="shared" si="0"/>
        <v>0</v>
      </c>
      <c r="I10" s="70"/>
      <c r="N10" s="33"/>
      <c r="O10" s="102"/>
      <c r="P10" s="86"/>
      <c r="Q10" s="84"/>
    </row>
    <row r="11" spans="1:17">
      <c r="A11" s="39" t="s">
        <v>151</v>
      </c>
      <c r="B11" s="36">
        <f>B7+B8</f>
        <v>0</v>
      </c>
      <c r="C11" s="31">
        <f>IF(B$2=0,0,B11/B$2)</f>
        <v>0</v>
      </c>
      <c r="E11" s="46" t="s">
        <v>61</v>
      </c>
      <c r="F11" s="43" t="s">
        <v>25</v>
      </c>
      <c r="G11" s="35">
        <v>0</v>
      </c>
      <c r="H11" s="108">
        <f t="shared" si="0"/>
        <v>0</v>
      </c>
      <c r="I11" s="70"/>
      <c r="N11" s="88" t="s">
        <v>158</v>
      </c>
      <c r="O11" s="28" t="s">
        <v>96</v>
      </c>
      <c r="P11" s="92" t="s">
        <v>92</v>
      </c>
      <c r="Q11" s="80" t="s">
        <v>120</v>
      </c>
    </row>
    <row r="12" spans="1:17">
      <c r="A12" s="39" t="s">
        <v>174</v>
      </c>
      <c r="B12" s="124">
        <f>IF(B7=0,0,C12/B7)</f>
        <v>0</v>
      </c>
      <c r="C12" s="125">
        <v>0</v>
      </c>
      <c r="E12" s="46" t="s">
        <v>62</v>
      </c>
      <c r="F12" s="43" t="s">
        <v>26</v>
      </c>
      <c r="G12" s="35">
        <v>0</v>
      </c>
      <c r="H12" s="108">
        <f t="shared" si="0"/>
        <v>0</v>
      </c>
      <c r="I12" s="70"/>
      <c r="N12" s="89" t="s">
        <v>124</v>
      </c>
      <c r="O12" s="99">
        <f>IF(P12=0,0,Q12/P12)</f>
        <v>0</v>
      </c>
      <c r="P12" s="93">
        <v>0</v>
      </c>
      <c r="Q12" s="81">
        <v>0</v>
      </c>
    </row>
    <row r="13" spans="1:17">
      <c r="A13" s="39" t="s">
        <v>175</v>
      </c>
      <c r="B13" s="124">
        <f t="shared" ref="B13:B14" si="4">IF(B8=0,0,C13/B8)</f>
        <v>0</v>
      </c>
      <c r="C13" s="125">
        <v>0</v>
      </c>
      <c r="E13" s="46" t="s">
        <v>63</v>
      </c>
      <c r="F13" s="43" t="s">
        <v>27</v>
      </c>
      <c r="G13" s="35">
        <v>0</v>
      </c>
      <c r="H13" s="108">
        <f t="shared" si="0"/>
        <v>0</v>
      </c>
      <c r="I13" s="70"/>
      <c r="N13" s="90" t="s">
        <v>125</v>
      </c>
      <c r="O13" s="100">
        <f>IF(P13=0,0,Q13/P13)</f>
        <v>0</v>
      </c>
      <c r="P13" s="94">
        <v>0</v>
      </c>
      <c r="Q13" s="82">
        <v>0</v>
      </c>
    </row>
    <row r="14" spans="1:17">
      <c r="A14" s="39" t="s">
        <v>176</v>
      </c>
      <c r="B14" s="124">
        <f t="shared" si="4"/>
        <v>0</v>
      </c>
      <c r="C14" s="125">
        <v>0</v>
      </c>
      <c r="E14" s="46" t="s">
        <v>64</v>
      </c>
      <c r="F14" s="43" t="s">
        <v>28</v>
      </c>
      <c r="G14" s="35">
        <v>0</v>
      </c>
      <c r="H14" s="108">
        <f t="shared" si="0"/>
        <v>0</v>
      </c>
      <c r="I14" s="70"/>
      <c r="N14" s="90" t="s">
        <v>126</v>
      </c>
      <c r="O14" s="100">
        <f>IF(P14=0,0,Q14/P14)</f>
        <v>0</v>
      </c>
      <c r="P14" s="94">
        <v>0</v>
      </c>
      <c r="Q14" s="82">
        <v>0</v>
      </c>
    </row>
    <row r="15" spans="1:17">
      <c r="A15" s="39" t="s">
        <v>177</v>
      </c>
      <c r="B15" s="124">
        <f>IF(B10=0,0,C15/B10)</f>
        <v>0</v>
      </c>
      <c r="C15" s="125">
        <v>0</v>
      </c>
      <c r="E15" s="46" t="s">
        <v>65</v>
      </c>
      <c r="F15" s="43" t="s">
        <v>29</v>
      </c>
      <c r="G15" s="35">
        <v>0</v>
      </c>
      <c r="H15" s="108">
        <f t="shared" si="0"/>
        <v>0</v>
      </c>
      <c r="I15" s="70"/>
      <c r="N15" s="91" t="s">
        <v>157</v>
      </c>
      <c r="O15" s="101">
        <f>IF(P15=0,0,Q15/P15)</f>
        <v>0</v>
      </c>
      <c r="P15" s="95">
        <v>0</v>
      </c>
      <c r="Q15" s="83">
        <v>0</v>
      </c>
    </row>
    <row r="16" spans="1:17">
      <c r="A16" s="39" t="s">
        <v>173</v>
      </c>
      <c r="B16" s="138">
        <f>AVERAGE(B12:B15)</f>
        <v>0</v>
      </c>
      <c r="C16" s="139"/>
      <c r="E16" s="46" t="s">
        <v>66</v>
      </c>
      <c r="F16" s="43" t="s">
        <v>30</v>
      </c>
      <c r="G16" s="35">
        <v>0</v>
      </c>
      <c r="H16" s="108">
        <f t="shared" si="0"/>
        <v>0</v>
      </c>
      <c r="I16" s="70"/>
      <c r="N16" s="27"/>
      <c r="O16" s="85"/>
      <c r="P16" s="87"/>
      <c r="Q16" s="85"/>
    </row>
    <row r="17" spans="1:17">
      <c r="A17" s="40" t="s">
        <v>17</v>
      </c>
      <c r="B17" s="37">
        <v>0</v>
      </c>
      <c r="C17" s="32">
        <f t="shared" si="3"/>
        <v>0</v>
      </c>
      <c r="E17" s="46" t="s">
        <v>67</v>
      </c>
      <c r="F17" s="43" t="s">
        <v>31</v>
      </c>
      <c r="G17" s="35">
        <v>0</v>
      </c>
      <c r="H17" s="108">
        <f t="shared" si="0"/>
        <v>0</v>
      </c>
      <c r="I17" s="70"/>
      <c r="N17" s="88" t="s">
        <v>117</v>
      </c>
      <c r="O17" s="28" t="s">
        <v>118</v>
      </c>
      <c r="P17" s="92" t="s">
        <v>119</v>
      </c>
      <c r="Q17" s="80" t="s">
        <v>120</v>
      </c>
    </row>
    <row r="18" spans="1:17">
      <c r="A18" s="22" t="s">
        <v>97</v>
      </c>
      <c r="B18" s="15">
        <v>0</v>
      </c>
      <c r="C18" s="11">
        <f>IF(B$3=0,0,B18/B$3)</f>
        <v>0</v>
      </c>
      <c r="E18" s="46" t="s">
        <v>164</v>
      </c>
      <c r="F18" s="43" t="s">
        <v>167</v>
      </c>
      <c r="G18" s="35">
        <v>0</v>
      </c>
      <c r="H18" s="108">
        <f t="shared" si="0"/>
        <v>0</v>
      </c>
      <c r="I18" s="70"/>
      <c r="N18" s="89"/>
      <c r="O18" s="99"/>
      <c r="P18" s="93"/>
      <c r="Q18" s="81"/>
    </row>
    <row r="19" spans="1:17">
      <c r="A19" s="19" t="s">
        <v>94</v>
      </c>
      <c r="B19" s="13">
        <v>0</v>
      </c>
      <c r="C19" s="6">
        <f>IF(B$3=0,0,B19/B$3)</f>
        <v>0</v>
      </c>
      <c r="E19" s="46" t="s">
        <v>68</v>
      </c>
      <c r="F19" s="43" t="s">
        <v>32</v>
      </c>
      <c r="G19" s="35">
        <v>0</v>
      </c>
      <c r="H19" s="108">
        <f t="shared" si="0"/>
        <v>0</v>
      </c>
      <c r="I19" s="70"/>
    </row>
    <row r="20" spans="1:17">
      <c r="A20" s="18" t="s">
        <v>99</v>
      </c>
      <c r="B20" s="12">
        <f>B26</f>
        <v>0</v>
      </c>
      <c r="C20" s="4">
        <f>IF(B$18=0,0,B20/B$18)</f>
        <v>0</v>
      </c>
      <c r="E20" s="46" t="s">
        <v>69</v>
      </c>
      <c r="F20" s="43" t="s">
        <v>33</v>
      </c>
      <c r="G20" s="35">
        <v>0</v>
      </c>
      <c r="H20" s="108">
        <f t="shared" si="0"/>
        <v>0</v>
      </c>
      <c r="I20" s="70"/>
    </row>
    <row r="21" spans="1:17">
      <c r="A21" s="18" t="s">
        <v>100</v>
      </c>
      <c r="B21" s="12">
        <f>B27</f>
        <v>0</v>
      </c>
      <c r="C21" s="4">
        <f>IF(B$19=0,0,B21/B$19)</f>
        <v>0</v>
      </c>
      <c r="E21" s="46" t="s">
        <v>70</v>
      </c>
      <c r="F21" s="43" t="s">
        <v>34</v>
      </c>
      <c r="G21" s="35">
        <v>0</v>
      </c>
      <c r="H21" s="108">
        <f t="shared" si="0"/>
        <v>0</v>
      </c>
      <c r="I21" s="70"/>
    </row>
    <row r="22" spans="1:17">
      <c r="A22" s="18" t="s">
        <v>10</v>
      </c>
      <c r="B22" s="12">
        <f>B25+B24</f>
        <v>0</v>
      </c>
      <c r="C22" s="4">
        <f>IF(B$3=0,0,B22/B$3)</f>
        <v>0</v>
      </c>
      <c r="E22" s="46" t="s">
        <v>71</v>
      </c>
      <c r="F22" s="43" t="s">
        <v>35</v>
      </c>
      <c r="G22" s="35">
        <v>0</v>
      </c>
      <c r="H22" s="108">
        <f t="shared" si="0"/>
        <v>0</v>
      </c>
      <c r="I22" s="70"/>
    </row>
    <row r="23" spans="1:17">
      <c r="A23" s="38" t="s">
        <v>13</v>
      </c>
      <c r="B23" s="35">
        <v>0</v>
      </c>
      <c r="C23" s="30">
        <f>IF(B$3=0,0,B23/B$3)</f>
        <v>0</v>
      </c>
      <c r="E23" s="46" t="s">
        <v>72</v>
      </c>
      <c r="F23" s="43" t="s">
        <v>36</v>
      </c>
      <c r="G23" s="35">
        <v>0</v>
      </c>
      <c r="H23" s="108">
        <f t="shared" si="0"/>
        <v>0</v>
      </c>
      <c r="I23" s="70"/>
    </row>
    <row r="24" spans="1:17">
      <c r="A24" s="19" t="s">
        <v>12</v>
      </c>
      <c r="B24" s="13">
        <v>0</v>
      </c>
      <c r="C24" s="6">
        <f>IF(B$22=0,0,B24/B$22)</f>
        <v>0</v>
      </c>
      <c r="E24" s="46" t="s">
        <v>73</v>
      </c>
      <c r="F24" s="43" t="s">
        <v>37</v>
      </c>
      <c r="G24" s="35">
        <v>0</v>
      </c>
      <c r="H24" s="108">
        <f t="shared" si="0"/>
        <v>0</v>
      </c>
      <c r="I24" s="70"/>
    </row>
    <row r="25" spans="1:17">
      <c r="A25" s="19" t="s">
        <v>11</v>
      </c>
      <c r="B25" s="13">
        <v>0</v>
      </c>
      <c r="C25" s="6">
        <f>IF(B$22=0,0,B25/B$22)</f>
        <v>0</v>
      </c>
      <c r="E25" s="46" t="s">
        <v>74</v>
      </c>
      <c r="F25" s="43" t="s">
        <v>38</v>
      </c>
      <c r="G25" s="35">
        <v>0</v>
      </c>
      <c r="H25" s="108">
        <f t="shared" si="0"/>
        <v>0</v>
      </c>
      <c r="I25" s="70"/>
    </row>
    <row r="26" spans="1:17">
      <c r="A26" s="38" t="s">
        <v>149</v>
      </c>
      <c r="B26" s="35">
        <v>0</v>
      </c>
      <c r="C26" s="30">
        <f>IF(B$22=0,0,B26/B$22)</f>
        <v>0</v>
      </c>
      <c r="E26" s="46" t="s">
        <v>75</v>
      </c>
      <c r="F26" s="43" t="s">
        <v>39</v>
      </c>
      <c r="G26" s="35">
        <v>0</v>
      </c>
      <c r="H26" s="108">
        <f t="shared" si="0"/>
        <v>0</v>
      </c>
      <c r="I26" s="70"/>
    </row>
    <row r="27" spans="1:17">
      <c r="A27" s="38" t="s">
        <v>147</v>
      </c>
      <c r="B27" s="35">
        <v>0</v>
      </c>
      <c r="C27" s="30">
        <f>IF(B$22=0,0,B27/B$22)</f>
        <v>0</v>
      </c>
      <c r="E27" s="46" t="s">
        <v>76</v>
      </c>
      <c r="F27" s="43" t="s">
        <v>40</v>
      </c>
      <c r="G27" s="35">
        <v>0</v>
      </c>
      <c r="H27" s="108">
        <f t="shared" si="0"/>
        <v>0</v>
      </c>
      <c r="I27" s="70"/>
    </row>
    <row r="28" spans="1:17">
      <c r="A28" s="19" t="s">
        <v>148</v>
      </c>
      <c r="B28" s="35">
        <v>0</v>
      </c>
      <c r="C28" s="30">
        <f>IF(B$22=0,0,B28/B$22)</f>
        <v>0</v>
      </c>
      <c r="E28" s="46" t="s">
        <v>77</v>
      </c>
      <c r="F28" s="43" t="s">
        <v>41</v>
      </c>
      <c r="G28" s="35">
        <v>0</v>
      </c>
      <c r="H28" s="108">
        <f t="shared" si="0"/>
        <v>0</v>
      </c>
      <c r="I28" s="70"/>
    </row>
    <row r="29" spans="1:17">
      <c r="A29" s="19" t="s">
        <v>5</v>
      </c>
      <c r="B29" s="16">
        <f>IF(B$22=0,0,C29/B$22)</f>
        <v>0</v>
      </c>
      <c r="C29" s="8">
        <v>0</v>
      </c>
      <c r="E29" s="46" t="s">
        <v>78</v>
      </c>
      <c r="F29" s="43" t="s">
        <v>42</v>
      </c>
      <c r="G29" s="35">
        <v>0</v>
      </c>
      <c r="H29" s="108">
        <f t="shared" si="0"/>
        <v>0</v>
      </c>
      <c r="I29" s="70"/>
    </row>
    <row r="30" spans="1:17">
      <c r="A30" s="39" t="s">
        <v>131</v>
      </c>
      <c r="B30" s="111">
        <f>IF($B$22-B$21=0,0,C30/($B$22-B$21))</f>
        <v>0</v>
      </c>
      <c r="C30" s="112">
        <v>0</v>
      </c>
      <c r="E30" s="46" t="s">
        <v>79</v>
      </c>
      <c r="F30" s="43" t="s">
        <v>43</v>
      </c>
      <c r="G30" s="35">
        <v>0</v>
      </c>
      <c r="H30" s="108">
        <f t="shared" si="0"/>
        <v>0</v>
      </c>
      <c r="I30" s="70"/>
    </row>
    <row r="31" spans="1:17">
      <c r="A31" s="39" t="s">
        <v>132</v>
      </c>
      <c r="B31" s="111">
        <f>IF(B$21=0,0,C31/B$21)</f>
        <v>0</v>
      </c>
      <c r="C31" s="112">
        <v>0</v>
      </c>
      <c r="E31" s="46" t="s">
        <v>80</v>
      </c>
      <c r="F31" s="43" t="s">
        <v>44</v>
      </c>
      <c r="G31" s="35">
        <v>0</v>
      </c>
      <c r="H31" s="108">
        <f t="shared" si="0"/>
        <v>0</v>
      </c>
      <c r="I31" s="70"/>
    </row>
    <row r="32" spans="1:17">
      <c r="A32" s="39" t="s">
        <v>130</v>
      </c>
      <c r="B32" s="111">
        <f>IF(B$23=0,0,C32/B$23)</f>
        <v>0</v>
      </c>
      <c r="C32" s="112">
        <v>0</v>
      </c>
      <c r="E32" s="46" t="s">
        <v>81</v>
      </c>
      <c r="F32" s="43" t="s">
        <v>45</v>
      </c>
      <c r="G32" s="35">
        <v>0</v>
      </c>
      <c r="H32" s="108">
        <f t="shared" si="0"/>
        <v>0</v>
      </c>
      <c r="I32" s="70"/>
    </row>
    <row r="33" spans="1:9">
      <c r="A33" s="38" t="s">
        <v>128</v>
      </c>
      <c r="B33" s="35">
        <v>0</v>
      </c>
      <c r="C33" s="110">
        <v>0</v>
      </c>
      <c r="E33" s="46" t="s">
        <v>82</v>
      </c>
      <c r="F33" s="43" t="s">
        <v>46</v>
      </c>
      <c r="G33" s="35">
        <v>0</v>
      </c>
      <c r="H33" s="108">
        <f t="shared" si="0"/>
        <v>0</v>
      </c>
      <c r="I33" s="70"/>
    </row>
    <row r="34" spans="1:9">
      <c r="A34" s="38" t="s">
        <v>129</v>
      </c>
      <c r="B34" s="35">
        <v>0</v>
      </c>
      <c r="C34" s="110">
        <v>0</v>
      </c>
      <c r="E34" s="46" t="s">
        <v>83</v>
      </c>
      <c r="F34" s="43" t="s">
        <v>47</v>
      </c>
      <c r="G34" s="35">
        <v>0</v>
      </c>
      <c r="H34" s="108">
        <f t="shared" si="0"/>
        <v>0</v>
      </c>
      <c r="I34" s="70"/>
    </row>
    <row r="35" spans="1:9">
      <c r="A35" s="66" t="s">
        <v>110</v>
      </c>
      <c r="B35" s="140">
        <v>0</v>
      </c>
      <c r="C35" s="141"/>
      <c r="E35" s="46" t="s">
        <v>84</v>
      </c>
      <c r="F35" s="43" t="s">
        <v>48</v>
      </c>
      <c r="G35" s="35">
        <v>0</v>
      </c>
      <c r="H35" s="108">
        <f t="shared" si="0"/>
        <v>0</v>
      </c>
      <c r="I35" s="70"/>
    </row>
    <row r="36" spans="1:9">
      <c r="A36" s="41" t="s">
        <v>146</v>
      </c>
      <c r="B36" s="142">
        <v>-1000000</v>
      </c>
      <c r="C36" s="143"/>
      <c r="E36" s="46" t="s">
        <v>85</v>
      </c>
      <c r="F36" s="43" t="s">
        <v>49</v>
      </c>
      <c r="G36" s="35">
        <v>0</v>
      </c>
      <c r="H36" s="108">
        <f t="shared" si="0"/>
        <v>0</v>
      </c>
      <c r="I36" s="70"/>
    </row>
    <row r="37" spans="1:9">
      <c r="A37" s="21" t="s">
        <v>111</v>
      </c>
      <c r="B37" s="26">
        <v>0</v>
      </c>
      <c r="C37" s="9">
        <f>IF(B$3=0,0,B37/B$3)</f>
        <v>0</v>
      </c>
      <c r="E37" s="46" t="s">
        <v>86</v>
      </c>
      <c r="F37" s="43" t="s">
        <v>50</v>
      </c>
      <c r="G37" s="35">
        <v>0</v>
      </c>
      <c r="H37" s="108">
        <f t="shared" si="0"/>
        <v>0</v>
      </c>
      <c r="I37" s="70"/>
    </row>
    <row r="38" spans="1:9">
      <c r="E38" s="46" t="s">
        <v>87</v>
      </c>
      <c r="F38" s="43" t="s">
        <v>51</v>
      </c>
      <c r="G38" s="35">
        <v>0</v>
      </c>
      <c r="H38" s="108">
        <f t="shared" si="0"/>
        <v>0</v>
      </c>
      <c r="I38" s="70"/>
    </row>
    <row r="39" spans="1:9">
      <c r="A39" s="119" t="s">
        <v>159</v>
      </c>
      <c r="B39" s="120" t="s">
        <v>160</v>
      </c>
      <c r="C39" s="121" t="s">
        <v>161</v>
      </c>
      <c r="E39" s="46" t="s">
        <v>88</v>
      </c>
      <c r="F39" s="43" t="s">
        <v>52</v>
      </c>
      <c r="G39" s="35">
        <v>0</v>
      </c>
      <c r="H39" s="108">
        <f t="shared" si="0"/>
        <v>0</v>
      </c>
      <c r="I39" s="70"/>
    </row>
    <row r="40" spans="1:9">
      <c r="A40" s="66" t="s">
        <v>137</v>
      </c>
      <c r="B40" s="113">
        <v>0</v>
      </c>
      <c r="C40" s="116">
        <f t="shared" ref="C40:C52" si="5">IF(B$22=0,0,B40/B$22)</f>
        <v>0</v>
      </c>
      <c r="E40" s="46" t="s">
        <v>89</v>
      </c>
      <c r="F40" s="43" t="s">
        <v>53</v>
      </c>
      <c r="G40" s="35">
        <v>0</v>
      </c>
      <c r="H40" s="108">
        <f t="shared" si="0"/>
        <v>0</v>
      </c>
      <c r="I40" s="70"/>
    </row>
    <row r="41" spans="1:9">
      <c r="A41" s="38" t="s">
        <v>133</v>
      </c>
      <c r="B41" s="35">
        <v>0</v>
      </c>
      <c r="C41" s="30">
        <f t="shared" si="5"/>
        <v>0</v>
      </c>
      <c r="E41" s="46" t="s">
        <v>90</v>
      </c>
      <c r="F41" s="43" t="s">
        <v>169</v>
      </c>
      <c r="G41" s="35">
        <v>0</v>
      </c>
      <c r="H41" s="108">
        <f t="shared" si="0"/>
        <v>0</v>
      </c>
      <c r="I41" s="70"/>
    </row>
    <row r="42" spans="1:9">
      <c r="A42" s="38" t="s">
        <v>134</v>
      </c>
      <c r="B42" s="114">
        <v>0</v>
      </c>
      <c r="C42" s="30">
        <f t="shared" si="5"/>
        <v>0</v>
      </c>
      <c r="E42" s="47" t="s">
        <v>165</v>
      </c>
      <c r="F42" s="44" t="s">
        <v>168</v>
      </c>
      <c r="G42" s="37">
        <v>0</v>
      </c>
      <c r="H42" s="109">
        <f t="shared" si="0"/>
        <v>0</v>
      </c>
      <c r="I42" s="71"/>
    </row>
    <row r="43" spans="1:9">
      <c r="A43" s="38" t="s">
        <v>135</v>
      </c>
      <c r="B43" s="114">
        <v>0</v>
      </c>
      <c r="C43" s="30">
        <f t="shared" si="5"/>
        <v>0</v>
      </c>
    </row>
    <row r="44" spans="1:9">
      <c r="A44" s="38" t="s">
        <v>136</v>
      </c>
      <c r="B44" s="114">
        <v>0</v>
      </c>
      <c r="C44" s="30">
        <f t="shared" si="5"/>
        <v>0</v>
      </c>
    </row>
    <row r="45" spans="1:9">
      <c r="A45" s="38" t="s">
        <v>138</v>
      </c>
      <c r="B45" s="114">
        <v>0</v>
      </c>
      <c r="C45" s="30">
        <f t="shared" si="5"/>
        <v>0</v>
      </c>
    </row>
    <row r="46" spans="1:9">
      <c r="A46" s="38" t="s">
        <v>139</v>
      </c>
      <c r="B46" s="114">
        <v>0</v>
      </c>
      <c r="C46" s="30">
        <f t="shared" si="5"/>
        <v>0</v>
      </c>
    </row>
    <row r="47" spans="1:9">
      <c r="A47" s="38" t="s">
        <v>140</v>
      </c>
      <c r="B47" s="114">
        <v>0</v>
      </c>
      <c r="C47" s="30">
        <f t="shared" si="5"/>
        <v>0</v>
      </c>
    </row>
    <row r="48" spans="1:9">
      <c r="A48" s="38" t="s">
        <v>141</v>
      </c>
      <c r="B48" s="114">
        <v>0</v>
      </c>
      <c r="C48" s="30">
        <f t="shared" si="5"/>
        <v>0</v>
      </c>
    </row>
    <row r="49" spans="1:3">
      <c r="A49" s="38" t="s">
        <v>142</v>
      </c>
      <c r="B49" s="114">
        <v>0</v>
      </c>
      <c r="C49" s="30">
        <f t="shared" si="5"/>
        <v>0</v>
      </c>
    </row>
    <row r="50" spans="1:3">
      <c r="A50" s="38" t="s">
        <v>143</v>
      </c>
      <c r="B50" s="114">
        <v>0</v>
      </c>
      <c r="C50" s="30">
        <f t="shared" si="5"/>
        <v>0</v>
      </c>
    </row>
    <row r="51" spans="1:3">
      <c r="A51" s="38" t="s">
        <v>144</v>
      </c>
      <c r="B51" s="114">
        <v>0</v>
      </c>
      <c r="C51" s="30">
        <f t="shared" si="5"/>
        <v>0</v>
      </c>
    </row>
    <row r="52" spans="1:3">
      <c r="A52" s="40" t="s">
        <v>145</v>
      </c>
      <c r="B52" s="115">
        <v>0</v>
      </c>
      <c r="C52" s="32">
        <f t="shared" si="5"/>
        <v>0</v>
      </c>
    </row>
  </sheetData>
  <mergeCells count="9">
    <mergeCell ref="B36:C36"/>
    <mergeCell ref="B35:C35"/>
    <mergeCell ref="B6:C6"/>
    <mergeCell ref="B1:C1"/>
    <mergeCell ref="B2:C2"/>
    <mergeCell ref="B3:C3"/>
    <mergeCell ref="B4:C4"/>
    <mergeCell ref="B5:C5"/>
    <mergeCell ref="B16:C1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9</vt:i4>
      </vt:variant>
      <vt:variant>
        <vt:lpstr>名前付き一覧</vt:lpstr>
      </vt:variant>
      <vt:variant>
        <vt:i4>396</vt:i4>
      </vt:variant>
    </vt:vector>
  </HeadingPairs>
  <TitlesOfParts>
    <vt:vector size="405" baseType="lpstr">
      <vt:lpstr>Cache</vt:lpstr>
      <vt:lpstr>Players</vt:lpstr>
      <vt:lpstr>ランキング</vt:lpstr>
      <vt:lpstr>全体</vt:lpstr>
      <vt:lpstr>谷茂岡</vt:lpstr>
      <vt:lpstr>澤川</vt:lpstr>
      <vt:lpstr>福澤</vt:lpstr>
      <vt:lpstr>池田</vt:lpstr>
      <vt:lpstr>Template</vt:lpstr>
      <vt:lpstr>全体!アガリ数</vt:lpstr>
      <vt:lpstr>谷茂岡!アガリ数</vt:lpstr>
      <vt:lpstr>池田!アガリ数</vt:lpstr>
      <vt:lpstr>福澤!アガリ数</vt:lpstr>
      <vt:lpstr>澤川!アガリ数</vt:lpstr>
      <vt:lpstr>アガリ数</vt:lpstr>
      <vt:lpstr>全体!アガリ率</vt:lpstr>
      <vt:lpstr>谷茂岡!アガリ率</vt:lpstr>
      <vt:lpstr>池田!アガリ率</vt:lpstr>
      <vt:lpstr>福澤!アガリ率</vt:lpstr>
      <vt:lpstr>澤川!アガリ率</vt:lpstr>
      <vt:lpstr>アガリ率</vt:lpstr>
      <vt:lpstr>全体!ダマアガリ数</vt:lpstr>
      <vt:lpstr>谷茂岡!ダマアガリ数</vt:lpstr>
      <vt:lpstr>池田!ダマアガリ数</vt:lpstr>
      <vt:lpstr>福澤!ダマアガリ数</vt:lpstr>
      <vt:lpstr>澤川!ダマアガリ数</vt:lpstr>
      <vt:lpstr>ダマアガリ数</vt:lpstr>
      <vt:lpstr>全体!ダマアガリ率</vt:lpstr>
      <vt:lpstr>谷茂岡!ダマアガリ率</vt:lpstr>
      <vt:lpstr>池田!ダマアガリ率</vt:lpstr>
      <vt:lpstr>福澤!ダマアガリ率</vt:lpstr>
      <vt:lpstr>澤川!ダマアガリ率</vt:lpstr>
      <vt:lpstr>ダマアガリ率</vt:lpstr>
      <vt:lpstr>全体!チョンボ数</vt:lpstr>
      <vt:lpstr>谷茂岡!チョンボ数</vt:lpstr>
      <vt:lpstr>池田!チョンボ数</vt:lpstr>
      <vt:lpstr>福澤!チョンボ数</vt:lpstr>
      <vt:lpstr>澤川!チョンボ数</vt:lpstr>
      <vt:lpstr>チョンボ数</vt:lpstr>
      <vt:lpstr>全体!チョンボ率</vt:lpstr>
      <vt:lpstr>谷茂岡!チョンボ率</vt:lpstr>
      <vt:lpstr>池田!チョンボ率</vt:lpstr>
      <vt:lpstr>福澤!チョンボ率</vt:lpstr>
      <vt:lpstr>澤川!チョンボ率</vt:lpstr>
      <vt:lpstr>チョンボ率</vt:lpstr>
      <vt:lpstr>全体!ツモ数</vt:lpstr>
      <vt:lpstr>谷茂岡!ツモ数</vt:lpstr>
      <vt:lpstr>池田!ツモ数</vt:lpstr>
      <vt:lpstr>福澤!ツモ数</vt:lpstr>
      <vt:lpstr>澤川!ツモ数</vt:lpstr>
      <vt:lpstr>ツモ数</vt:lpstr>
      <vt:lpstr>全体!ツモ率</vt:lpstr>
      <vt:lpstr>谷茂岡!ツモ率</vt:lpstr>
      <vt:lpstr>池田!ツモ率</vt:lpstr>
      <vt:lpstr>福澤!ツモ率</vt:lpstr>
      <vt:lpstr>澤川!ツモ率</vt:lpstr>
      <vt:lpstr>ツモ率</vt:lpstr>
      <vt:lpstr>全体!トップ数</vt:lpstr>
      <vt:lpstr>谷茂岡!トップ数</vt:lpstr>
      <vt:lpstr>池田!トップ数</vt:lpstr>
      <vt:lpstr>福澤!トップ数</vt:lpstr>
      <vt:lpstr>澤川!トップ数</vt:lpstr>
      <vt:lpstr>トップ数</vt:lpstr>
      <vt:lpstr>全体!トップ率</vt:lpstr>
      <vt:lpstr>谷茂岡!トップ率</vt:lpstr>
      <vt:lpstr>池田!トップ率</vt:lpstr>
      <vt:lpstr>福澤!トップ率</vt:lpstr>
      <vt:lpstr>澤川!トップ率</vt:lpstr>
      <vt:lpstr>トップ率</vt:lpstr>
      <vt:lpstr>全体!バランス</vt:lpstr>
      <vt:lpstr>谷茂岡!バランス</vt:lpstr>
      <vt:lpstr>池田!バランス</vt:lpstr>
      <vt:lpstr>福澤!バランス</vt:lpstr>
      <vt:lpstr>澤川!バランス</vt:lpstr>
      <vt:lpstr>バランス</vt:lpstr>
      <vt:lpstr>全体!ふっとび数</vt:lpstr>
      <vt:lpstr>谷茂岡!ふっとび数</vt:lpstr>
      <vt:lpstr>池田!ふっとび数</vt:lpstr>
      <vt:lpstr>福澤!ふっとび数</vt:lpstr>
      <vt:lpstr>澤川!ふっとび数</vt:lpstr>
      <vt:lpstr>ふっとび数</vt:lpstr>
      <vt:lpstr>全体!ふっとび率</vt:lpstr>
      <vt:lpstr>谷茂岡!ふっとび率</vt:lpstr>
      <vt:lpstr>池田!ふっとび率</vt:lpstr>
      <vt:lpstr>福澤!ふっとび率</vt:lpstr>
      <vt:lpstr>澤川!ふっとび率</vt:lpstr>
      <vt:lpstr>ふっとび率</vt:lpstr>
      <vt:lpstr>全体!ラス数</vt:lpstr>
      <vt:lpstr>谷茂岡!ラス数</vt:lpstr>
      <vt:lpstr>池田!ラス数</vt:lpstr>
      <vt:lpstr>福澤!ラス数</vt:lpstr>
      <vt:lpstr>澤川!ラス数</vt:lpstr>
      <vt:lpstr>ラス数</vt:lpstr>
      <vt:lpstr>全体!ラス率</vt:lpstr>
      <vt:lpstr>谷茂岡!ラス率</vt:lpstr>
      <vt:lpstr>池田!ラス率</vt:lpstr>
      <vt:lpstr>福澤!ラス率</vt:lpstr>
      <vt:lpstr>澤川!ラス率</vt:lpstr>
      <vt:lpstr>ラス率</vt:lpstr>
      <vt:lpstr>全体!リーチアガリ数</vt:lpstr>
      <vt:lpstr>谷茂岡!リーチアガリ数</vt:lpstr>
      <vt:lpstr>池田!リーチアガリ数</vt:lpstr>
      <vt:lpstr>福澤!リーチアガリ数</vt:lpstr>
      <vt:lpstr>澤川!リーチアガリ数</vt:lpstr>
      <vt:lpstr>リーチアガリ数</vt:lpstr>
      <vt:lpstr>全体!リーチアガリ率</vt:lpstr>
      <vt:lpstr>谷茂岡!リーチアガリ率</vt:lpstr>
      <vt:lpstr>池田!リーチアガリ率</vt:lpstr>
      <vt:lpstr>福澤!リーチアガリ率</vt:lpstr>
      <vt:lpstr>澤川!リーチアガリ率</vt:lpstr>
      <vt:lpstr>リーチアガリ率</vt:lpstr>
      <vt:lpstr>全体!リーチ数</vt:lpstr>
      <vt:lpstr>谷茂岡!リーチ数</vt:lpstr>
      <vt:lpstr>池田!リーチ数</vt:lpstr>
      <vt:lpstr>福澤!リーチ数</vt:lpstr>
      <vt:lpstr>澤川!リーチ数</vt:lpstr>
      <vt:lpstr>リーチ数</vt:lpstr>
      <vt:lpstr>全体!リーチ成功数</vt:lpstr>
      <vt:lpstr>谷茂岡!リーチ成功数</vt:lpstr>
      <vt:lpstr>池田!リーチ成功数</vt:lpstr>
      <vt:lpstr>福澤!リーチ成功数</vt:lpstr>
      <vt:lpstr>澤川!リーチ成功数</vt:lpstr>
      <vt:lpstr>リーチ成功数</vt:lpstr>
      <vt:lpstr>全体!リーチ成功率</vt:lpstr>
      <vt:lpstr>谷茂岡!リーチ成功率</vt:lpstr>
      <vt:lpstr>池田!リーチ成功率</vt:lpstr>
      <vt:lpstr>福澤!リーチ成功率</vt:lpstr>
      <vt:lpstr>澤川!リーチ成功率</vt:lpstr>
      <vt:lpstr>リーチ成功率</vt:lpstr>
      <vt:lpstr>全体!リーチ率</vt:lpstr>
      <vt:lpstr>谷茂岡!リーチ率</vt:lpstr>
      <vt:lpstr>池田!リーチ率</vt:lpstr>
      <vt:lpstr>福澤!リーチ率</vt:lpstr>
      <vt:lpstr>澤川!リーチ率</vt:lpstr>
      <vt:lpstr>リーチ率</vt:lpstr>
      <vt:lpstr>全体!ロン数</vt:lpstr>
      <vt:lpstr>谷茂岡!ロン数</vt:lpstr>
      <vt:lpstr>池田!ロン数</vt:lpstr>
      <vt:lpstr>福澤!ロン数</vt:lpstr>
      <vt:lpstr>澤川!ロン数</vt:lpstr>
      <vt:lpstr>ロン数</vt:lpstr>
      <vt:lpstr>全体!ロン率</vt:lpstr>
      <vt:lpstr>谷茂岡!ロン率</vt:lpstr>
      <vt:lpstr>池田!ロン率</vt:lpstr>
      <vt:lpstr>福澤!ロン率</vt:lpstr>
      <vt:lpstr>澤川!ロン率</vt:lpstr>
      <vt:lpstr>ロン率</vt:lpstr>
      <vt:lpstr>全体!一位スコア</vt:lpstr>
      <vt:lpstr>谷茂岡!一位スコア</vt:lpstr>
      <vt:lpstr>池田!一位スコア</vt:lpstr>
      <vt:lpstr>福澤!一位スコア</vt:lpstr>
      <vt:lpstr>澤川!一位スコア</vt:lpstr>
      <vt:lpstr>一位スコア</vt:lpstr>
      <vt:lpstr>全体!一位通算スコア</vt:lpstr>
      <vt:lpstr>谷茂岡!一位通算スコア</vt:lpstr>
      <vt:lpstr>池田!一位通算スコア</vt:lpstr>
      <vt:lpstr>福澤!一位通算スコア</vt:lpstr>
      <vt:lpstr>澤川!一位通算スコア</vt:lpstr>
      <vt:lpstr>一位通算スコア</vt:lpstr>
      <vt:lpstr>全体!現行連続アガリ</vt:lpstr>
      <vt:lpstr>谷茂岡!現行連続アガリ</vt:lpstr>
      <vt:lpstr>池田!現行連続アガリ</vt:lpstr>
      <vt:lpstr>福澤!現行連続アガリ</vt:lpstr>
      <vt:lpstr>澤川!現行連続アガリ</vt:lpstr>
      <vt:lpstr>現行連続アガリ</vt:lpstr>
      <vt:lpstr>全体!現行連続無放銃</vt:lpstr>
      <vt:lpstr>谷茂岡!現行連続無放銃</vt:lpstr>
      <vt:lpstr>池田!現行連続無放銃</vt:lpstr>
      <vt:lpstr>福澤!現行連続無放銃</vt:lpstr>
      <vt:lpstr>澤川!現行連続無放銃</vt:lpstr>
      <vt:lpstr>現行連続無放銃</vt:lpstr>
      <vt:lpstr>全体!最高点</vt:lpstr>
      <vt:lpstr>谷茂岡!最高点</vt:lpstr>
      <vt:lpstr>池田!最高点</vt:lpstr>
      <vt:lpstr>福澤!最高点</vt:lpstr>
      <vt:lpstr>澤川!最高点</vt:lpstr>
      <vt:lpstr>最高点</vt:lpstr>
      <vt:lpstr>全体!最大ドラ数</vt:lpstr>
      <vt:lpstr>谷茂岡!最大ドラ数</vt:lpstr>
      <vt:lpstr>池田!最大ドラ数</vt:lpstr>
      <vt:lpstr>福澤!最大ドラ数</vt:lpstr>
      <vt:lpstr>澤川!最大ドラ数</vt:lpstr>
      <vt:lpstr>最大ドラ数</vt:lpstr>
      <vt:lpstr>全体!最大点数</vt:lpstr>
      <vt:lpstr>谷茂岡!最大点数</vt:lpstr>
      <vt:lpstr>池田!最大点数</vt:lpstr>
      <vt:lpstr>福澤!最大点数</vt:lpstr>
      <vt:lpstr>澤川!最大点数</vt:lpstr>
      <vt:lpstr>最大点数</vt:lpstr>
      <vt:lpstr>全体!三位スコア</vt:lpstr>
      <vt:lpstr>谷茂岡!三位スコア</vt:lpstr>
      <vt:lpstr>池田!三位スコア</vt:lpstr>
      <vt:lpstr>福澤!三位スコア</vt:lpstr>
      <vt:lpstr>澤川!三位スコア</vt:lpstr>
      <vt:lpstr>三位スコア</vt:lpstr>
      <vt:lpstr>全体!三位数</vt:lpstr>
      <vt:lpstr>谷茂岡!三位数</vt:lpstr>
      <vt:lpstr>池田!三位数</vt:lpstr>
      <vt:lpstr>福澤!三位数</vt:lpstr>
      <vt:lpstr>澤川!三位数</vt:lpstr>
      <vt:lpstr>三位数</vt:lpstr>
      <vt:lpstr>全体!三位通算スコア</vt:lpstr>
      <vt:lpstr>谷茂岡!三位通算スコア</vt:lpstr>
      <vt:lpstr>池田!三位通算スコア</vt:lpstr>
      <vt:lpstr>福澤!三位通算スコア</vt:lpstr>
      <vt:lpstr>澤川!三位通算スコア</vt:lpstr>
      <vt:lpstr>三位通算スコア</vt:lpstr>
      <vt:lpstr>全体!三位率</vt:lpstr>
      <vt:lpstr>谷茂岡!三位率</vt:lpstr>
      <vt:lpstr>池田!三位率</vt:lpstr>
      <vt:lpstr>福澤!三位率</vt:lpstr>
      <vt:lpstr>澤川!三位率</vt:lpstr>
      <vt:lpstr>三位率</vt:lpstr>
      <vt:lpstr>全体!四位スコア</vt:lpstr>
      <vt:lpstr>谷茂岡!四位スコア</vt:lpstr>
      <vt:lpstr>池田!四位スコア</vt:lpstr>
      <vt:lpstr>福澤!四位スコア</vt:lpstr>
      <vt:lpstr>澤川!四位スコア</vt:lpstr>
      <vt:lpstr>四位スコア</vt:lpstr>
      <vt:lpstr>全体!四位通算スコア</vt:lpstr>
      <vt:lpstr>谷茂岡!四位通算スコア</vt:lpstr>
      <vt:lpstr>池田!四位通算スコア</vt:lpstr>
      <vt:lpstr>福澤!四位通算スコア</vt:lpstr>
      <vt:lpstr>澤川!四位通算スコア</vt:lpstr>
      <vt:lpstr>四位通算スコア</vt:lpstr>
      <vt:lpstr>全体!総局数</vt:lpstr>
      <vt:lpstr>谷茂岡!総局数</vt:lpstr>
      <vt:lpstr>池田!総局数</vt:lpstr>
      <vt:lpstr>福澤!総局数</vt:lpstr>
      <vt:lpstr>澤川!総局数</vt:lpstr>
      <vt:lpstr>総局数</vt:lpstr>
      <vt:lpstr>全体!対戦数</vt:lpstr>
      <vt:lpstr>谷茂岡!対戦数</vt:lpstr>
      <vt:lpstr>池田!対戦数</vt:lpstr>
      <vt:lpstr>福澤!対戦数</vt:lpstr>
      <vt:lpstr>澤川!対戦数</vt:lpstr>
      <vt:lpstr>対戦数</vt:lpstr>
      <vt:lpstr>全体!通算アガリ点</vt:lpstr>
      <vt:lpstr>谷茂岡!通算アガリ点</vt:lpstr>
      <vt:lpstr>池田!通算アガリ点</vt:lpstr>
      <vt:lpstr>福澤!通算アガリ点</vt:lpstr>
      <vt:lpstr>澤川!通算アガリ点</vt:lpstr>
      <vt:lpstr>通算アガリ点</vt:lpstr>
      <vt:lpstr>全体!通算スコア</vt:lpstr>
      <vt:lpstr>谷茂岡!通算スコア</vt:lpstr>
      <vt:lpstr>池田!通算スコア</vt:lpstr>
      <vt:lpstr>福澤!通算スコア</vt:lpstr>
      <vt:lpstr>澤川!通算スコア</vt:lpstr>
      <vt:lpstr>通算スコア</vt:lpstr>
      <vt:lpstr>全体!通算副露アガリ点</vt:lpstr>
      <vt:lpstr>谷茂岡!通算副露アガリ点</vt:lpstr>
      <vt:lpstr>池田!通算副露アガリ点</vt:lpstr>
      <vt:lpstr>福澤!通算副露アガリ点</vt:lpstr>
      <vt:lpstr>澤川!通算副露アガリ点</vt:lpstr>
      <vt:lpstr>通算副露アガリ点</vt:lpstr>
      <vt:lpstr>全体!通算放銃点</vt:lpstr>
      <vt:lpstr>谷茂岡!通算放銃点</vt:lpstr>
      <vt:lpstr>池田!通算放銃点</vt:lpstr>
      <vt:lpstr>福澤!通算放銃点</vt:lpstr>
      <vt:lpstr>澤川!通算放銃点</vt:lpstr>
      <vt:lpstr>通算放銃点</vt:lpstr>
      <vt:lpstr>全体!通算門前アガリ点</vt:lpstr>
      <vt:lpstr>谷茂岡!通算門前アガリ点</vt:lpstr>
      <vt:lpstr>池田!通算門前アガリ点</vt:lpstr>
      <vt:lpstr>福澤!通算門前アガリ点</vt:lpstr>
      <vt:lpstr>澤川!通算門前アガリ点</vt:lpstr>
      <vt:lpstr>通算門前アガリ点</vt:lpstr>
      <vt:lpstr>全体!二位スコア</vt:lpstr>
      <vt:lpstr>谷茂岡!二位スコア</vt:lpstr>
      <vt:lpstr>池田!二位スコア</vt:lpstr>
      <vt:lpstr>福澤!二位スコア</vt:lpstr>
      <vt:lpstr>澤川!二位スコア</vt:lpstr>
      <vt:lpstr>二位スコア</vt:lpstr>
      <vt:lpstr>全体!二位数</vt:lpstr>
      <vt:lpstr>谷茂岡!二位数</vt:lpstr>
      <vt:lpstr>池田!二位数</vt:lpstr>
      <vt:lpstr>福澤!二位数</vt:lpstr>
      <vt:lpstr>澤川!二位数</vt:lpstr>
      <vt:lpstr>二位数</vt:lpstr>
      <vt:lpstr>全体!二位通算スコア</vt:lpstr>
      <vt:lpstr>谷茂岡!二位通算スコア</vt:lpstr>
      <vt:lpstr>池田!二位通算スコア</vt:lpstr>
      <vt:lpstr>福澤!二位通算スコア</vt:lpstr>
      <vt:lpstr>澤川!二位通算スコア</vt:lpstr>
      <vt:lpstr>二位通算スコア</vt:lpstr>
      <vt:lpstr>全体!二位率</vt:lpstr>
      <vt:lpstr>谷茂岡!二位率</vt:lpstr>
      <vt:lpstr>池田!二位率</vt:lpstr>
      <vt:lpstr>福澤!二位率</vt:lpstr>
      <vt:lpstr>澤川!二位率</vt:lpstr>
      <vt:lpstr>二位率</vt:lpstr>
      <vt:lpstr>全体!副露アガリ数</vt:lpstr>
      <vt:lpstr>谷茂岡!副露アガリ数</vt:lpstr>
      <vt:lpstr>池田!副露アガリ数</vt:lpstr>
      <vt:lpstr>福澤!副露アガリ数</vt:lpstr>
      <vt:lpstr>澤川!副露アガリ数</vt:lpstr>
      <vt:lpstr>副露アガリ数</vt:lpstr>
      <vt:lpstr>全体!副露アガリ点</vt:lpstr>
      <vt:lpstr>谷茂岡!副露アガリ点</vt:lpstr>
      <vt:lpstr>池田!副露アガリ点</vt:lpstr>
      <vt:lpstr>福澤!副露アガリ点</vt:lpstr>
      <vt:lpstr>澤川!副露アガリ点</vt:lpstr>
      <vt:lpstr>副露アガリ点</vt:lpstr>
      <vt:lpstr>全体!副露アガリ率</vt:lpstr>
      <vt:lpstr>谷茂岡!副露アガリ率</vt:lpstr>
      <vt:lpstr>池田!副露アガリ率</vt:lpstr>
      <vt:lpstr>福澤!副露アガリ率</vt:lpstr>
      <vt:lpstr>澤川!副露アガリ率</vt:lpstr>
      <vt:lpstr>副露アガリ率</vt:lpstr>
      <vt:lpstr>全体!副露数</vt:lpstr>
      <vt:lpstr>谷茂岡!副露数</vt:lpstr>
      <vt:lpstr>池田!副露数</vt:lpstr>
      <vt:lpstr>福澤!副露数</vt:lpstr>
      <vt:lpstr>澤川!副露数</vt:lpstr>
      <vt:lpstr>副露数</vt:lpstr>
      <vt:lpstr>全体!副露成功数</vt:lpstr>
      <vt:lpstr>谷茂岡!副露成功数</vt:lpstr>
      <vt:lpstr>池田!副露成功数</vt:lpstr>
      <vt:lpstr>福澤!副露成功数</vt:lpstr>
      <vt:lpstr>澤川!副露成功数</vt:lpstr>
      <vt:lpstr>副露成功数</vt:lpstr>
      <vt:lpstr>全体!副露成功率</vt:lpstr>
      <vt:lpstr>谷茂岡!副露成功率</vt:lpstr>
      <vt:lpstr>池田!副露成功率</vt:lpstr>
      <vt:lpstr>福澤!副露成功率</vt:lpstr>
      <vt:lpstr>澤川!副露成功率</vt:lpstr>
      <vt:lpstr>副露成功率</vt:lpstr>
      <vt:lpstr>全体!副露率</vt:lpstr>
      <vt:lpstr>谷茂岡!副露率</vt:lpstr>
      <vt:lpstr>池田!副露率</vt:lpstr>
      <vt:lpstr>福澤!副露率</vt:lpstr>
      <vt:lpstr>澤川!副露率</vt:lpstr>
      <vt:lpstr>副露率</vt:lpstr>
      <vt:lpstr>全体!平均アガリ点</vt:lpstr>
      <vt:lpstr>谷茂岡!平均アガリ点</vt:lpstr>
      <vt:lpstr>池田!平均アガリ点</vt:lpstr>
      <vt:lpstr>福澤!平均アガリ点</vt:lpstr>
      <vt:lpstr>澤川!平均アガリ点</vt:lpstr>
      <vt:lpstr>平均アガリ点</vt:lpstr>
      <vt:lpstr>全体!平均スコア</vt:lpstr>
      <vt:lpstr>谷茂岡!平均スコア</vt:lpstr>
      <vt:lpstr>池田!平均スコア</vt:lpstr>
      <vt:lpstr>福澤!平均スコア</vt:lpstr>
      <vt:lpstr>澤川!平均スコア</vt:lpstr>
      <vt:lpstr>平均スコア</vt:lpstr>
      <vt:lpstr>全体!平均順位</vt:lpstr>
      <vt:lpstr>谷茂岡!平均順位</vt:lpstr>
      <vt:lpstr>池田!平均順位</vt:lpstr>
      <vt:lpstr>福澤!平均順位</vt:lpstr>
      <vt:lpstr>澤川!平均順位</vt:lpstr>
      <vt:lpstr>平均順位</vt:lpstr>
      <vt:lpstr>全体!平均放銃点</vt:lpstr>
      <vt:lpstr>谷茂岡!平均放銃点</vt:lpstr>
      <vt:lpstr>池田!平均放銃点</vt:lpstr>
      <vt:lpstr>福澤!平均放銃点</vt:lpstr>
      <vt:lpstr>澤川!平均放銃点</vt:lpstr>
      <vt:lpstr>平均放銃点</vt:lpstr>
      <vt:lpstr>全体!放銃数</vt:lpstr>
      <vt:lpstr>谷茂岡!放銃数</vt:lpstr>
      <vt:lpstr>池田!放銃数</vt:lpstr>
      <vt:lpstr>福澤!放銃数</vt:lpstr>
      <vt:lpstr>澤川!放銃数</vt:lpstr>
      <vt:lpstr>放銃数</vt:lpstr>
      <vt:lpstr>全体!放銃率</vt:lpstr>
      <vt:lpstr>谷茂岡!放銃率</vt:lpstr>
      <vt:lpstr>池田!放銃率</vt:lpstr>
      <vt:lpstr>福澤!放銃率</vt:lpstr>
      <vt:lpstr>澤川!放銃率</vt:lpstr>
      <vt:lpstr>放銃率</vt:lpstr>
      <vt:lpstr>全体!名前</vt:lpstr>
      <vt:lpstr>谷茂岡!名前</vt:lpstr>
      <vt:lpstr>池田!名前</vt:lpstr>
      <vt:lpstr>福澤!名前</vt:lpstr>
      <vt:lpstr>澤川!名前</vt:lpstr>
      <vt:lpstr>名前</vt:lpstr>
      <vt:lpstr>全体!門前アガリ点</vt:lpstr>
      <vt:lpstr>谷茂岡!門前アガリ点</vt:lpstr>
      <vt:lpstr>池田!門前アガリ点</vt:lpstr>
      <vt:lpstr>福澤!門前アガリ点</vt:lpstr>
      <vt:lpstr>澤川!門前アガリ点</vt:lpstr>
      <vt:lpstr>門前アガリ点</vt:lpstr>
      <vt:lpstr>全体!連続アガリ</vt:lpstr>
      <vt:lpstr>谷茂岡!連続アガリ</vt:lpstr>
      <vt:lpstr>池田!連続アガリ</vt:lpstr>
      <vt:lpstr>福澤!連続アガリ</vt:lpstr>
      <vt:lpstr>澤川!連続アガリ</vt:lpstr>
      <vt:lpstr>連続アガリ</vt:lpstr>
      <vt:lpstr>全体!連続無放銃</vt:lpstr>
      <vt:lpstr>谷茂岡!連続無放銃</vt:lpstr>
      <vt:lpstr>池田!連続無放銃</vt:lpstr>
      <vt:lpstr>福澤!連続無放銃</vt:lpstr>
      <vt:lpstr>澤川!連続無放銃</vt:lpstr>
      <vt:lpstr>連続無放銃</vt:lpstr>
      <vt:lpstr>全体!連対数</vt:lpstr>
      <vt:lpstr>谷茂岡!連対数</vt:lpstr>
      <vt:lpstr>池田!連対数</vt:lpstr>
      <vt:lpstr>福澤!連対数</vt:lpstr>
      <vt:lpstr>澤川!連対数</vt:lpstr>
      <vt:lpstr>連対数</vt:lpstr>
      <vt:lpstr>全体!連対率</vt:lpstr>
      <vt:lpstr>谷茂岡!連対率</vt:lpstr>
      <vt:lpstr>池田!連対率</vt:lpstr>
      <vt:lpstr>福澤!連対率</vt:lpstr>
      <vt:lpstr>澤川!連対率</vt:lpstr>
      <vt:lpstr>連対率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福澤　大地</cp:lastModifiedBy>
  <dcterms:created xsi:type="dcterms:W3CDTF">2018-11-18T09:24:12Z</dcterms:created>
  <dcterms:modified xsi:type="dcterms:W3CDTF">2023-08-19T09:20:05Z</dcterms:modified>
</cp:coreProperties>
</file>