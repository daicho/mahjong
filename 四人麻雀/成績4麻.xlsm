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四人麻雀\"/>
    </mc:Choice>
  </mc:AlternateContent>
  <xr:revisionPtr revIDLastSave="0" documentId="13_ncr:1_{13B3E9E3-D42E-44EB-8079-07D3319B7DE0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Template" sheetId="2228" state="hidden" r:id="rId4"/>
  </sheets>
  <definedNames>
    <definedName name="アガリ数">Template!$B$17</definedName>
    <definedName name="アガリ率">Template!$C$17</definedName>
    <definedName name="ダマアガリ数">Template!$B$23</definedName>
    <definedName name="ダマアガリ点">Template!#REF!</definedName>
    <definedName name="ダマアガリ率">Template!$C$23</definedName>
    <definedName name="チョンボ数">Template!$B$32</definedName>
    <definedName name="チョンボ率">Template!$C$32</definedName>
    <definedName name="ツモ数">Template!$B$19</definedName>
    <definedName name="ツモ率">Template!$C$19</definedName>
    <definedName name="トップ数">Template!$B$7</definedName>
    <definedName name="トップ率">Template!$C$7</definedName>
    <definedName name="ふっとばし数">Template!#REF!</definedName>
    <definedName name="ふっとばし率">Template!#REF!</definedName>
    <definedName name="ふっとび数">Template!$B$12</definedName>
    <definedName name="ふっとび率">Template!$C$12</definedName>
    <definedName name="ラス数">Template!$B$10</definedName>
    <definedName name="ラス率">Template!$C$10</definedName>
    <definedName name="リーチアガリ数">Template!$B$21</definedName>
    <definedName name="リーチアガリ率">Template!$C$21</definedName>
    <definedName name="リーチ数">Template!$B$13</definedName>
    <definedName name="リーチ成功数">Template!$B$15</definedName>
    <definedName name="リーチ成功率">Template!$C$15</definedName>
    <definedName name="リーチ率">Template!$C$13</definedName>
    <definedName name="ロン数">Template!$B$20</definedName>
    <definedName name="ロン率">Template!$C$20</definedName>
    <definedName name="逆転数">Template!#REF!</definedName>
    <definedName name="逆転率">Template!#REF!</definedName>
    <definedName name="現行連続アガリ">Template!$C$28</definedName>
    <definedName name="現行連続無放銃">Template!$C$29</definedName>
    <definedName name="最高点">Template!$B$31</definedName>
    <definedName name="最大ドラ数">Template!$B$30</definedName>
    <definedName name="最大点数">Template!$B$31</definedName>
    <definedName name="三位数">Template!$B$9</definedName>
    <definedName name="三位率">Template!$C$9</definedName>
    <definedName name="総局数">Template!$B$3</definedName>
    <definedName name="対戦数">Template!$B$2</definedName>
    <definedName name="通算アガリ点">Template!$C$24</definedName>
    <definedName name="通算スコア">Template!$B$4</definedName>
    <definedName name="通算副露アガリ点">Template!$C$26</definedName>
    <definedName name="通算放銃点">Template!$C$27</definedName>
    <definedName name="通算門前アガリ点">Template!$C$25</definedName>
    <definedName name="二位数">Template!$B$8</definedName>
    <definedName name="二位率">Template!$C$8</definedName>
    <definedName name="副露アガリ数">Template!$B$22</definedName>
    <definedName name="副露アガリ点">Template!$B$26</definedName>
    <definedName name="副露アガリ率">Template!$C$22</definedName>
    <definedName name="副露数">Template!$B$14</definedName>
    <definedName name="副露成功数">Template!$B$16</definedName>
    <definedName name="副露成功率">Template!$C$16</definedName>
    <definedName name="副露率">Template!$C$14</definedName>
    <definedName name="平均アガリ点">Template!$B$24</definedName>
    <definedName name="平均スコア">Template!$B$5</definedName>
    <definedName name="平均順位">Template!$B$6</definedName>
    <definedName name="平均放銃点">Template!$B$27</definedName>
    <definedName name="放銃数">Template!$B$18</definedName>
    <definedName name="放銃率">Template!$C$18</definedName>
    <definedName name="名前">Template!$B$1</definedName>
    <definedName name="門前アガリ点">Template!$B$25</definedName>
    <definedName name="連続アガリ">Template!$B$28</definedName>
    <definedName name="連続無放銃">Template!$B$29</definedName>
    <definedName name="連対数">Template!$B$11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<sst xmlns="http://schemas.openxmlformats.org/spreadsheetml/2006/main" count="194" uniqueCount="171">
  <si>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</si>
  <si>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</si>
  <si>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</si>
  <si>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</si>
  <si>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</si>
  <si>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</si>
  <si>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</si>
  <si>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</si>
  <si>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</si>
  <si>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</si>
  <si>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</si>
  <si>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</si>
  <si>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</si>
  <si>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</si>
  <si>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</si>
  <si>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</si>
  <si>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</si>
  <si>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</si>
  <si>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</si>
  <si>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</si>
  <si>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</si>
  <si>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</si>
  <si>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</si>
  <si>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</si>
  <si>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</si>
  <si>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</si>
  <si>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</si>
  <si>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</si>
  <si>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</si>
  <si>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</si>
  <si>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</si>
  <si>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</si>
  <si>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</si>
  <si>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</si>
  <si>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</si>
  <si>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</si>
  <si>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</si>
  <si>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</si>
  <si>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</si>
  <si>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</si>
  <si>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</si>
  <si>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</si>
  <si>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</si>
  <si>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</si>
  <si>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</si>
  <si>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</si>
  <si>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</si>
  <si>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</si>
  <si>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</si>
  <si>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</si>
  <si>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</si>
  <si>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</si>
  <si>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</si>
  <si>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</si>
  <si>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</si>
  <si>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</si>
  <si>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</si>
  <si>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</si>
  <si>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</si>
  <si>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</si>
  <si>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</si>
  <si>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</si>
  <si>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</si>
  <si>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</si>
  <si>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</si>
  <si>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</si>
  <si>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</si>
  <si>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</si>
  <si>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</si>
  <si>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</si>
  <si>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</si>
  <si>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</si>
  <si>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</si>
  <si>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</si>
  <si>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</si>
  <si>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</si>
  <si>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</si>
  <si>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</si>
  <si>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</si>
  <si>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</si>
  <si>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</si>
  <si>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</si>
  <si>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</si>
  <si>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</si>
  <si>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</si>
  <si>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</si>
  <si>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</si>
  <si>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</si>
  <si>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</si>
  <si>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</si>
  <si>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</si>
  <si>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</si>
  <si>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</si>
  <si>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</si>
  <si>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</si>
  <si>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</si>
  <si>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</si>
  <si>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</si>
  <si>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</si>
  <si>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</si>
  <si>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</si>
  <si>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</si>
  <si>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</si>
  <si>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</si>
  <si>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</si>
  <si>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</si>
  <si>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</si>
  <si>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</si>
  <si>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</si>
  <si>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</si>
  <si>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</si>
  <si>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</si>
  <si>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</si>
  <si>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</si>
  <si>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</si>
  <si>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</si>
  <si>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</si>
  <si>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</si>
  <si>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</si>
  <si>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</si>
  <si>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</si>
  <si>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</si>
  <si>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</si>
  <si>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</si>
  <si>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</si>
  <si>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</si>
  <si>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</si>
  <si>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</si>
  <si>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</si>
  <si>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</si>
  <si>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</si>
  <si>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</si>
  <si>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</si>
  <si>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</si>
  <si>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</si>
  <si>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</si>
  <si>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</si>
  <si>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</si>
  <si>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</si>
  <si>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</si>
  <si>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</si>
  <si>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</si>
  <si>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</si>
  <si>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</si>
  <si>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</si>
  <si>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</si>
  <si>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</si>
  <si>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</si>
  <si>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</si>
  <si>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</si>
  <si>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</si>
  <si>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</si>
  <si>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</si>
  <si>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</si>
  <si>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</si>
  <si>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</si>
  <si>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</si>
  <si>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</si>
  <si>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</si>
  <si>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</si>
  <si>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</si>
  <si>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</si>
  <si>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</si>
  <si>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</si>
  <si>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</si>
  <si>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</si>
  <si>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</si>
  <si>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</si>
  <si>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</si>
  <si>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地和</t>
    <phoneticPr fontId="2"/>
  </si>
  <si>
    <t>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</si>
</sst>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B1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2">
      <c r="A1" s="23">
        <v>32874</v>
      </c>
      <c r="B1" s="23">
        <v>2958465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"/>
  <sheetViews>
    <sheetView workbookViewId="0"/>
  </sheetViews>
  <sheetFormatPr defaultRowHeight="18"/>
  <cols>
    <col min="1" max="1" width="11" customWidth="1"/>
    <col min="2" max="2" width="9" customWidth="1"/>
  </cols>
  <sheetData/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"/>
  <sheetViews>
    <sheetView showGridLines="0" tabSelected="1" zoomScale="130" zoomScaleNormal="130" workbookViewId="0"/>
  </sheetViews>
  <sheetFormatPr defaultColWidth="9" defaultRowHeight="18"/>
  <cols>
    <col min="1" max="1" width="6" style="58" customWidth="1"/>
    <col min="2" max="2" width="10.69921875" style="59" customWidth="1"/>
    <col min="3" max="3" width="10.69921875" style="123" customWidth="1"/>
    <col min="4" max="4" width="10.69921875" style="59" customWidth="1"/>
    <col min="5" max="5" width="10.69921875" style="60" customWidth="1"/>
    <col min="6" max="6" width="10.69921875" style="61" customWidth="1"/>
    <col min="7" max="7" width="10.69921875" style="73" customWidth="1"/>
    <col min="8" max="8" width="10.69921875" style="61" customWidth="1"/>
    <col min="9" max="9" width="10.69921875" style="62" customWidth="1"/>
    <col min="10" max="10" width="10.69921875" style="61" customWidth="1"/>
    <col min="11" max="11" width="10.69921875" style="63" customWidth="1"/>
    <col min="12" max="12" width="10.69921875" style="61" customWidth="1"/>
    <col min="13" max="13" width="10.69921875" style="63" customWidth="1"/>
    <col min="14" max="14" width="10.69921875" style="61" customWidth="1"/>
    <col min="15" max="15" width="10.69921875" style="63" customWidth="1"/>
    <col min="16" max="16" width="10.69921875" style="61" customWidth="1"/>
    <col min="17" max="17" width="10.69921875" style="64" customWidth="1"/>
    <col min="18" max="18" width="10.69921875" style="61" customWidth="1"/>
    <col min="19" max="19" width="10.69921875" style="64" customWidth="1"/>
    <col min="20" max="20" width="10.69921875" style="61" customWidth="1"/>
    <col min="21" max="21" width="10.69921875" style="65" customWidth="1"/>
    <col min="22" max="22" width="10.69921875" style="61" customWidth="1"/>
    <col min="23" max="23" width="10.69921875" style="65" customWidth="1"/>
    <col min="24" max="24" width="10.69921875" style="61" customWidth="1"/>
    <col min="25" max="25" width="10.69921875" style="64" customWidth="1"/>
    <col min="26" max="26" width="10.69921875" style="61" customWidth="1"/>
    <col min="27" max="27" width="10.69921875" style="64" customWidth="1"/>
    <col min="28" max="28" width="10.69921875" style="61" customWidth="1"/>
    <col min="29" max="29" width="10.69921875" style="64" customWidth="1"/>
    <col min="30" max="30" width="10.69921875" style="61" customWidth="1"/>
    <col min="31" max="31" width="10.69921875" style="64" customWidth="1"/>
    <col min="32" max="32" width="10.69921875" style="61" customWidth="1"/>
    <col min="33" max="33" width="10.69921875" style="64" customWidth="1"/>
    <col min="34" max="34" width="10.69921875" style="61" customWidth="1"/>
    <col min="35" max="35" width="10.69921875" style="68" customWidth="1"/>
    <col min="36" max="16384" width="9" style="49"/>
  </cols>
  <sheetData>
    <row r="1" spans="1:35">
      <c r="A1" s="48"/>
      <c r="B1" s="124" t="s">
        <v>9</v>
      </c>
      <c r="C1" s="125"/>
      <c r="D1" s="124" t="s">
        <v>6</v>
      </c>
      <c r="E1" s="125"/>
      <c r="F1" s="124" t="s">
        <v>7</v>
      </c>
      <c r="G1" s="125"/>
      <c r="H1" s="124" t="s">
        <v>15</v>
      </c>
      <c r="I1" s="125"/>
      <c r="J1" s="124" t="s">
        <v>14</v>
      </c>
      <c r="K1" s="125"/>
      <c r="L1" s="124" t="s">
        <v>123</v>
      </c>
      <c r="M1" s="125"/>
      <c r="N1" s="124" t="s">
        <v>152</v>
      </c>
      <c r="O1" s="125"/>
      <c r="P1" s="124" t="s">
        <v>113</v>
      </c>
      <c r="Q1" s="125"/>
      <c r="R1" s="124" t="s">
        <v>114</v>
      </c>
      <c r="S1" s="125"/>
      <c r="T1" s="124" t="s">
        <v>5</v>
      </c>
      <c r="U1" s="125"/>
      <c r="V1" s="124" t="s">
        <v>16</v>
      </c>
      <c r="W1" s="125"/>
      <c r="X1" s="124" t="s">
        <v>98</v>
      </c>
      <c r="Y1" s="125"/>
      <c r="Z1" s="124" t="s">
        <v>95</v>
      </c>
      <c r="AA1" s="125"/>
      <c r="AB1" s="124" t="s">
        <v>101</v>
      </c>
      <c r="AC1" s="125"/>
      <c r="AD1" s="124" t="s">
        <v>115</v>
      </c>
      <c r="AE1" s="125"/>
      <c r="AF1" s="124" t="s">
        <v>112</v>
      </c>
      <c r="AG1" s="125"/>
      <c r="AH1" s="124" t="s">
        <v>146</v>
      </c>
      <c r="AI1" s="125"/>
    </row>
    <row r="2" spans="1:35">
      <c r="A2" s="48" t="s">
        <v>122</v>
      </c>
      <c r="B2" s="128" t="s">
        <v>170</v>
      </c>
      <c r="C2" s="129"/>
      <c r="D2" s="126"/>
      <c r="E2" s="127"/>
      <c r="F2" s="126"/>
      <c r="G2" s="127"/>
      <c r="H2" s="128" t="s">
        <v>170</v>
      </c>
      <c r="I2" s="129"/>
      <c r="J2" s="128" t="s">
        <v>170</v>
      </c>
      <c r="K2" s="129"/>
      <c r="L2" s="128" t="s">
        <v>170</v>
      </c>
      <c r="M2" s="129"/>
      <c r="N2" s="128" t="s">
        <v>170</v>
      </c>
      <c r="O2" s="129"/>
      <c r="P2" s="128" t="s">
        <v>170</v>
      </c>
      <c r="Q2" s="129"/>
      <c r="R2" s="128" t="s">
        <v>170</v>
      </c>
      <c r="S2" s="129"/>
      <c r="T2" s="128" t="s">
        <v>170</v>
      </c>
      <c r="U2" s="129"/>
      <c r="V2" s="128" t="s">
        <v>170</v>
      </c>
      <c r="W2" s="129"/>
      <c r="X2" s="128" t="s">
        <v>170</v>
      </c>
      <c r="Y2" s="129"/>
      <c r="Z2" s="128" t="s">
        <v>170</v>
      </c>
      <c r="AA2" s="129"/>
      <c r="AB2" s="128" t="s">
        <v>170</v>
      </c>
      <c r="AC2" s="129"/>
      <c r="AD2" s="128" t="s">
        <v>170</v>
      </c>
      <c r="AE2" s="129"/>
      <c r="AF2" s="128" t="s">
        <v>170</v>
      </c>
      <c r="AG2" s="129"/>
      <c r="AH2" s="128" t="s">
        <v>170</v>
      </c>
      <c r="AI2" s="129"/>
    </row>
    <row r="3" spans="1:35">
      <c r="A3" s="50"/>
      <c r="B3" s="51"/>
      <c r="C3" s="122"/>
      <c r="D3" s="51"/>
      <c r="E3" s="52"/>
      <c r="F3" s="53"/>
      <c r="G3" s="72"/>
      <c r="H3" s="53"/>
      <c r="I3" s="54"/>
      <c r="J3" s="53"/>
      <c r="K3" s="55"/>
      <c r="L3" s="53"/>
      <c r="M3" s="55"/>
      <c r="N3" s="53"/>
      <c r="O3" s="55"/>
      <c r="P3" s="53"/>
      <c r="Q3" s="56"/>
      <c r="R3" s="53"/>
      <c r="S3" s="56"/>
      <c r="T3" s="53"/>
      <c r="U3" s="57"/>
      <c r="V3" s="53"/>
      <c r="W3" s="57"/>
      <c r="X3" s="53"/>
      <c r="Y3" s="56"/>
      <c r="Z3" s="53"/>
      <c r="AA3" s="56"/>
      <c r="AB3" s="53"/>
      <c r="AC3" s="56"/>
      <c r="AD3" s="53"/>
      <c r="AE3" s="56"/>
      <c r="AF3" s="53"/>
      <c r="AG3" s="56"/>
      <c r="AH3" s="53"/>
      <c r="AI3" s="67"/>
    </row>
  </sheetData>
  <sortState xmlns:xlrd2="http://schemas.microsoft.com/office/spreadsheetml/2017/richdata2" ref="AH3:AI23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0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75" customWidth="1"/>
    <col min="13" max="13" width="3.59765625" style="1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1"/>
  </cols>
  <sheetData>
    <row r="1" spans="1:17">
      <c r="A1" s="17" t="s">
        <v>0</v>
      </c>
      <c r="B1" s="134"/>
      <c r="C1" s="135"/>
      <c r="E1" s="104" t="s">
        <v>127</v>
      </c>
      <c r="F1" s="118" t="s">
        <v>91</v>
      </c>
      <c r="G1" s="117" t="s">
        <v>92</v>
      </c>
      <c r="H1" s="105" t="s">
        <v>93</v>
      </c>
      <c r="I1" s="118" t="s">
        <v>116</v>
      </c>
      <c r="K1" s="2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121</v>
      </c>
    </row>
    <row r="2" spans="1:17">
      <c r="A2" s="18" t="s">
        <v>9</v>
      </c>
      <c r="B2" s="136">
        <v>0</v>
      </c>
      <c r="C2" s="137"/>
      <c r="E2" s="45" t="s">
        <v>162</v>
      </c>
      <c r="F2" s="42" t="s">
        <v>154</v>
      </c>
      <c r="G2" s="34">
        <v>0</v>
      </c>
      <c r="H2" s="107">
        <f t="shared" ref="H2:H42" si="0">IF(B$17=0,0,G2/B$17)</f>
        <v>0</v>
      </c>
      <c r="I2" s="69"/>
      <c r="K2" s="3">
        <v>0</v>
      </c>
      <c r="L2" s="74">
        <v>0</v>
      </c>
      <c r="N2" s="89" t="s">
        <v>102</v>
      </c>
      <c r="O2" s="96">
        <f t="shared" ref="O2:O9" si="1">IF(P2=0,0,Q2/P2)</f>
        <v>0</v>
      </c>
      <c r="P2" s="93">
        <v>0</v>
      </c>
      <c r="Q2" s="77">
        <v>0</v>
      </c>
    </row>
    <row r="3" spans="1:17">
      <c r="A3" s="19" t="s">
        <v>8</v>
      </c>
      <c r="B3" s="138">
        <v>0</v>
      </c>
      <c r="C3" s="139"/>
      <c r="E3" s="46" t="s">
        <v>163</v>
      </c>
      <c r="F3" s="43" t="s">
        <v>19</v>
      </c>
      <c r="G3" s="35">
        <v>0</v>
      </c>
      <c r="H3" s="108">
        <f t="shared" si="0"/>
        <v>0</v>
      </c>
      <c r="I3" s="70"/>
      <c r="N3" s="90" t="s">
        <v>103</v>
      </c>
      <c r="O3" s="97">
        <f t="shared" si="1"/>
        <v>0</v>
      </c>
      <c r="P3" s="94">
        <v>0</v>
      </c>
      <c r="Q3" s="78">
        <v>0</v>
      </c>
    </row>
    <row r="4" spans="1:17">
      <c r="A4" s="19" t="s">
        <v>6</v>
      </c>
      <c r="B4" s="140">
        <v>0</v>
      </c>
      <c r="C4" s="141"/>
      <c r="E4" s="46" t="s">
        <v>54</v>
      </c>
      <c r="F4" s="43" t="s">
        <v>20</v>
      </c>
      <c r="G4" s="35">
        <v>0</v>
      </c>
      <c r="H4" s="108">
        <f t="shared" si="0"/>
        <v>0</v>
      </c>
      <c r="I4" s="70"/>
      <c r="N4" s="90" t="s">
        <v>104</v>
      </c>
      <c r="O4" s="97">
        <f t="shared" si="1"/>
        <v>0</v>
      </c>
      <c r="P4" s="94">
        <v>0</v>
      </c>
      <c r="Q4" s="78">
        <v>0</v>
      </c>
    </row>
    <row r="5" spans="1:17">
      <c r="A5" s="19" t="s">
        <v>7</v>
      </c>
      <c r="B5" s="142">
        <f>IF(B$2=0,0,B$4/B$2)</f>
        <v>0</v>
      </c>
      <c r="C5" s="143"/>
      <c r="E5" s="46" t="s">
        <v>55</v>
      </c>
      <c r="F5" s="43" t="s">
        <v>153</v>
      </c>
      <c r="G5" s="35">
        <v>0</v>
      </c>
      <c r="H5" s="108">
        <f t="shared" si="0"/>
        <v>0</v>
      </c>
      <c r="I5" s="70"/>
      <c r="N5" s="90" t="s">
        <v>155</v>
      </c>
      <c r="O5" s="97">
        <f>IF(P5=0,0,Q5/P5)</f>
        <v>0</v>
      </c>
      <c r="P5" s="94">
        <v>0</v>
      </c>
      <c r="Q5" s="78">
        <v>0</v>
      </c>
    </row>
    <row r="6" spans="1:17">
      <c r="A6" s="19" t="s">
        <v>1</v>
      </c>
      <c r="B6" s="144">
        <f>IF(B$2=0,0,(B$7*1+B$8*2+B$9*3+B$10*4)/B$2)</f>
        <v>0</v>
      </c>
      <c r="C6" s="145"/>
      <c r="E6" s="46" t="s">
        <v>56</v>
      </c>
      <c r="F6" s="43" t="s">
        <v>166</v>
      </c>
      <c r="G6" s="35">
        <v>0</v>
      </c>
      <c r="H6" s="108">
        <f t="shared" si="0"/>
        <v>0</v>
      </c>
      <c r="I6" s="70"/>
      <c r="N6" s="90" t="s">
        <v>105</v>
      </c>
      <c r="O6" s="97">
        <f t="shared" ref="O6" si="2">IF(P6=0,0,Q6/P6)</f>
        <v>0</v>
      </c>
      <c r="P6" s="94">
        <v>0</v>
      </c>
      <c r="Q6" s="7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46" t="s">
        <v>57</v>
      </c>
      <c r="F7" s="43" t="s">
        <v>21</v>
      </c>
      <c r="G7" s="35">
        <v>0</v>
      </c>
      <c r="H7" s="108">
        <f t="shared" si="0"/>
        <v>0</v>
      </c>
      <c r="I7" s="70"/>
      <c r="N7" s="90" t="s">
        <v>106</v>
      </c>
      <c r="O7" s="97">
        <f t="shared" si="1"/>
        <v>0</v>
      </c>
      <c r="P7" s="94">
        <v>0</v>
      </c>
      <c r="Q7" s="78">
        <v>0</v>
      </c>
    </row>
    <row r="8" spans="1:17">
      <c r="A8" s="19" t="s">
        <v>3</v>
      </c>
      <c r="B8" s="13">
        <v>0</v>
      </c>
      <c r="C8" s="30">
        <f>IF(B$2=0,0,B8/B$2)</f>
        <v>0</v>
      </c>
      <c r="E8" s="46" t="s">
        <v>58</v>
      </c>
      <c r="F8" s="43" t="s">
        <v>22</v>
      </c>
      <c r="G8" s="35">
        <v>0</v>
      </c>
      <c r="H8" s="108">
        <f t="shared" si="0"/>
        <v>0</v>
      </c>
      <c r="I8" s="70"/>
      <c r="N8" s="90" t="s">
        <v>107</v>
      </c>
      <c r="O8" s="97">
        <f t="shared" si="1"/>
        <v>0</v>
      </c>
      <c r="P8" s="94">
        <v>0</v>
      </c>
      <c r="Q8" s="7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46" t="s">
        <v>59</v>
      </c>
      <c r="F9" s="43" t="s">
        <v>23</v>
      </c>
      <c r="G9" s="35">
        <v>0</v>
      </c>
      <c r="H9" s="108">
        <f t="shared" si="0"/>
        <v>0</v>
      </c>
      <c r="I9" s="70"/>
      <c r="N9" s="91" t="s">
        <v>156</v>
      </c>
      <c r="O9" s="98">
        <f t="shared" si="1"/>
        <v>0</v>
      </c>
      <c r="P9" s="95">
        <v>0</v>
      </c>
      <c r="Q9" s="79">
        <v>0</v>
      </c>
    </row>
    <row r="10" spans="1:17">
      <c r="A10" s="39" t="s">
        <v>150</v>
      </c>
      <c r="B10" s="36">
        <v>0</v>
      </c>
      <c r="C10" s="31">
        <f>IF(B$2=0,0,B10/B$2)</f>
        <v>0</v>
      </c>
      <c r="E10" s="46" t="s">
        <v>60</v>
      </c>
      <c r="F10" s="43" t="s">
        <v>24</v>
      </c>
      <c r="G10" s="35">
        <v>0</v>
      </c>
      <c r="H10" s="108">
        <f t="shared" si="0"/>
        <v>0</v>
      </c>
      <c r="I10" s="70"/>
      <c r="N10" s="33"/>
      <c r="O10" s="102"/>
      <c r="P10" s="86"/>
      <c r="Q10" s="84"/>
    </row>
    <row r="11" spans="1:17">
      <c r="A11" s="39" t="s">
        <v>151</v>
      </c>
      <c r="B11" s="36">
        <f>B7+B8</f>
        <v>0</v>
      </c>
      <c r="C11" s="31">
        <f>IF(B$2=0,0,B11/B$2)</f>
        <v>0</v>
      </c>
      <c r="E11" s="46" t="s">
        <v>61</v>
      </c>
      <c r="F11" s="43" t="s">
        <v>25</v>
      </c>
      <c r="G11" s="35">
        <v>0</v>
      </c>
      <c r="H11" s="108">
        <f t="shared" si="0"/>
        <v>0</v>
      </c>
      <c r="I11" s="70"/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40" t="s">
        <v>17</v>
      </c>
      <c r="B12" s="37">
        <v>0</v>
      </c>
      <c r="C12" s="32">
        <f t="shared" si="3"/>
        <v>0</v>
      </c>
      <c r="E12" s="46" t="s">
        <v>62</v>
      </c>
      <c r="F12" s="43" t="s">
        <v>26</v>
      </c>
      <c r="G12" s="35">
        <v>0</v>
      </c>
      <c r="H12" s="108">
        <f t="shared" si="0"/>
        <v>0</v>
      </c>
      <c r="I12" s="70"/>
      <c r="N12" s="89" t="s">
        <v>124</v>
      </c>
      <c r="O12" s="99">
        <f>IF(P12=0,0,Q12/P12)</f>
        <v>0</v>
      </c>
      <c r="P12" s="93">
        <v>0</v>
      </c>
      <c r="Q12" s="8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46" t="s">
        <v>63</v>
      </c>
      <c r="F13" s="43" t="s">
        <v>27</v>
      </c>
      <c r="G13" s="35">
        <v>0</v>
      </c>
      <c r="H13" s="108">
        <f t="shared" si="0"/>
        <v>0</v>
      </c>
      <c r="I13" s="70"/>
      <c r="N13" s="90" t="s">
        <v>125</v>
      </c>
      <c r="O13" s="100">
        <f>IF(P13=0,0,Q13/P13)</f>
        <v>0</v>
      </c>
      <c r="P13" s="94">
        <v>0</v>
      </c>
      <c r="Q13" s="8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46" t="s">
        <v>64</v>
      </c>
      <c r="F14" s="43" t="s">
        <v>28</v>
      </c>
      <c r="G14" s="35">
        <v>0</v>
      </c>
      <c r="H14" s="108">
        <f t="shared" si="0"/>
        <v>0</v>
      </c>
      <c r="I14" s="70"/>
      <c r="N14" s="90" t="s">
        <v>126</v>
      </c>
      <c r="O14" s="100">
        <f>IF(P14=0,0,Q14/P14)</f>
        <v>0</v>
      </c>
      <c r="P14" s="94">
        <v>0</v>
      </c>
      <c r="Q14" s="8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46" t="s">
        <v>65</v>
      </c>
      <c r="F15" s="43" t="s">
        <v>29</v>
      </c>
      <c r="G15" s="35">
        <v>0</v>
      </c>
      <c r="H15" s="108">
        <f t="shared" si="0"/>
        <v>0</v>
      </c>
      <c r="I15" s="70"/>
      <c r="N15" s="91" t="s">
        <v>157</v>
      </c>
      <c r="O15" s="101">
        <f>IF(P15=0,0,Q15/P15)</f>
        <v>0</v>
      </c>
      <c r="P15" s="95">
        <v>0</v>
      </c>
      <c r="Q15" s="8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46" t="s">
        <v>66</v>
      </c>
      <c r="F16" s="43" t="s">
        <v>30</v>
      </c>
      <c r="G16" s="35">
        <v>0</v>
      </c>
      <c r="H16" s="108">
        <f t="shared" si="0"/>
        <v>0</v>
      </c>
      <c r="I16" s="70"/>
      <c r="N16" s="27"/>
      <c r="O16" s="85"/>
      <c r="P16" s="87"/>
      <c r="Q16" s="8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46" t="s">
        <v>67</v>
      </c>
      <c r="F17" s="43" t="s">
        <v>31</v>
      </c>
      <c r="G17" s="35">
        <v>0</v>
      </c>
      <c r="H17" s="108">
        <f t="shared" si="0"/>
        <v>0</v>
      </c>
      <c r="I17" s="70"/>
      <c r="N17" s="88" t="s">
        <v>117</v>
      </c>
      <c r="O17" s="28" t="s">
        <v>118</v>
      </c>
      <c r="P17" s="92" t="s">
        <v>119</v>
      </c>
      <c r="Q17" s="80" t="s">
        <v>120</v>
      </c>
    </row>
    <row r="18" spans="1:17">
      <c r="A18" s="38" t="s">
        <v>13</v>
      </c>
      <c r="B18" s="35">
        <v>0</v>
      </c>
      <c r="C18" s="30">
        <f>IF(B$3=0,0,B18/B$3)</f>
        <v>0</v>
      </c>
      <c r="E18" s="46" t="s">
        <v>164</v>
      </c>
      <c r="F18" s="43" t="s">
        <v>167</v>
      </c>
      <c r="G18" s="35">
        <v>0</v>
      </c>
      <c r="H18" s="108">
        <f t="shared" si="0"/>
        <v>0</v>
      </c>
      <c r="I18" s="70"/>
      <c r="N18" s="89"/>
      <c r="O18" s="99"/>
      <c r="P18" s="93"/>
      <c r="Q18" s="81"/>
    </row>
    <row r="19" spans="1:17">
      <c r="A19" s="19" t="s">
        <v>12</v>
      </c>
      <c r="B19" s="13">
        <v>0</v>
      </c>
      <c r="C19" s="6">
        <f>IF(B$17=0,0,B19/B$17)</f>
        <v>0</v>
      </c>
      <c r="E19" s="46" t="s">
        <v>68</v>
      </c>
      <c r="F19" s="43" t="s">
        <v>32</v>
      </c>
      <c r="G19" s="35">
        <v>0</v>
      </c>
      <c r="H19" s="108">
        <f t="shared" si="0"/>
        <v>0</v>
      </c>
      <c r="I19" s="70"/>
    </row>
    <row r="20" spans="1:17">
      <c r="A20" s="19" t="s">
        <v>11</v>
      </c>
      <c r="B20" s="13">
        <v>0</v>
      </c>
      <c r="C20" s="6">
        <f>IF(B$17=0,0,B20/B$17)</f>
        <v>0</v>
      </c>
      <c r="E20" s="46" t="s">
        <v>69</v>
      </c>
      <c r="F20" s="43" t="s">
        <v>33</v>
      </c>
      <c r="G20" s="35">
        <v>0</v>
      </c>
      <c r="H20" s="108">
        <f t="shared" si="0"/>
        <v>0</v>
      </c>
      <c r="I20" s="70"/>
    </row>
    <row r="21" spans="1:17">
      <c r="A21" s="38" t="s">
        <v>149</v>
      </c>
      <c r="B21" s="35">
        <v>0</v>
      </c>
      <c r="C21" s="30">
        <f>IF(B$17=0,0,B21/B$17)</f>
        <v>0</v>
      </c>
      <c r="E21" s="46" t="s">
        <v>70</v>
      </c>
      <c r="F21" s="43" t="s">
        <v>34</v>
      </c>
      <c r="G21" s="35">
        <v>0</v>
      </c>
      <c r="H21" s="108">
        <f t="shared" si="0"/>
        <v>0</v>
      </c>
      <c r="I21" s="70"/>
    </row>
    <row r="22" spans="1:17">
      <c r="A22" s="38" t="s">
        <v>147</v>
      </c>
      <c r="B22" s="35">
        <v>0</v>
      </c>
      <c r="C22" s="30">
        <f>IF(B$17=0,0,B22/B$17)</f>
        <v>0</v>
      </c>
      <c r="E22" s="46" t="s">
        <v>71</v>
      </c>
      <c r="F22" s="43" t="s">
        <v>35</v>
      </c>
      <c r="G22" s="35">
        <v>0</v>
      </c>
      <c r="H22" s="108">
        <f t="shared" si="0"/>
        <v>0</v>
      </c>
      <c r="I22" s="70"/>
    </row>
    <row r="23" spans="1:17">
      <c r="A23" s="19" t="s">
        <v>148</v>
      </c>
      <c r="B23" s="35">
        <v>0</v>
      </c>
      <c r="C23" s="30">
        <f>IF(B$17=0,0,B23/B$17)</f>
        <v>0</v>
      </c>
      <c r="E23" s="46" t="s">
        <v>72</v>
      </c>
      <c r="F23" s="43" t="s">
        <v>36</v>
      </c>
      <c r="G23" s="35">
        <v>0</v>
      </c>
      <c r="H23" s="108">
        <f t="shared" si="0"/>
        <v>0</v>
      </c>
      <c r="I23" s="70"/>
    </row>
    <row r="24" spans="1:17">
      <c r="A24" s="19" t="s">
        <v>5</v>
      </c>
      <c r="B24" s="16">
        <f>IF(B$17=0,0,C24/B$17)</f>
        <v>0</v>
      </c>
      <c r="C24" s="8">
        <v>0</v>
      </c>
      <c r="E24" s="46" t="s">
        <v>73</v>
      </c>
      <c r="F24" s="43" t="s">
        <v>37</v>
      </c>
      <c r="G24" s="35">
        <v>0</v>
      </c>
      <c r="H24" s="108">
        <f t="shared" si="0"/>
        <v>0</v>
      </c>
      <c r="I24" s="70"/>
    </row>
    <row r="25" spans="1:17">
      <c r="A25" s="39" t="s">
        <v>131</v>
      </c>
      <c r="B25" s="111">
        <f>IF($B$17-B$16=0,0,C25/($B$17-B$16))</f>
        <v>0</v>
      </c>
      <c r="C25" s="112">
        <v>0</v>
      </c>
      <c r="E25" s="46" t="s">
        <v>74</v>
      </c>
      <c r="F25" s="43" t="s">
        <v>38</v>
      </c>
      <c r="G25" s="35">
        <v>0</v>
      </c>
      <c r="H25" s="108">
        <f t="shared" si="0"/>
        <v>0</v>
      </c>
      <c r="I25" s="70"/>
    </row>
    <row r="26" spans="1:17">
      <c r="A26" s="39" t="s">
        <v>132</v>
      </c>
      <c r="B26" s="111">
        <f>IF(B$16=0,0,C26/B$16)</f>
        <v>0</v>
      </c>
      <c r="C26" s="112">
        <v>0</v>
      </c>
      <c r="E26" s="46" t="s">
        <v>75</v>
      </c>
      <c r="F26" s="43" t="s">
        <v>39</v>
      </c>
      <c r="G26" s="35">
        <v>0</v>
      </c>
      <c r="H26" s="108">
        <f t="shared" si="0"/>
        <v>0</v>
      </c>
      <c r="I26" s="70"/>
    </row>
    <row r="27" spans="1:17">
      <c r="A27" s="39" t="s">
        <v>130</v>
      </c>
      <c r="B27" s="111">
        <f>IF(B$18=0,0,C27/B$18)</f>
        <v>0</v>
      </c>
      <c r="C27" s="112">
        <v>0</v>
      </c>
      <c r="E27" s="46" t="s">
        <v>76</v>
      </c>
      <c r="F27" s="43" t="s">
        <v>40</v>
      </c>
      <c r="G27" s="35">
        <v>0</v>
      </c>
      <c r="H27" s="108">
        <f t="shared" si="0"/>
        <v>0</v>
      </c>
      <c r="I27" s="70"/>
    </row>
    <row r="28" spans="1:17">
      <c r="A28" s="38" t="s">
        <v>128</v>
      </c>
      <c r="B28" s="35">
        <v>0</v>
      </c>
      <c r="C28" s="110">
        <v>0</v>
      </c>
      <c r="E28" s="46" t="s">
        <v>77</v>
      </c>
      <c r="F28" s="43" t="s">
        <v>41</v>
      </c>
      <c r="G28" s="35">
        <v>0</v>
      </c>
      <c r="H28" s="108">
        <f t="shared" si="0"/>
        <v>0</v>
      </c>
      <c r="I28" s="70"/>
    </row>
    <row r="29" spans="1:17">
      <c r="A29" s="38" t="s">
        <v>129</v>
      </c>
      <c r="B29" s="35">
        <v>0</v>
      </c>
      <c r="C29" s="110">
        <v>0</v>
      </c>
      <c r="E29" s="46" t="s">
        <v>78</v>
      </c>
      <c r="F29" s="43" t="s">
        <v>42</v>
      </c>
      <c r="G29" s="35">
        <v>0</v>
      </c>
      <c r="H29" s="108">
        <f t="shared" si="0"/>
        <v>0</v>
      </c>
      <c r="I29" s="70"/>
    </row>
    <row r="30" spans="1:17">
      <c r="A30" s="66" t="s">
        <v>110</v>
      </c>
      <c r="B30" s="130">
        <v>0</v>
      </c>
      <c r="C30" s="131"/>
      <c r="E30" s="46" t="s">
        <v>79</v>
      </c>
      <c r="F30" s="43" t="s">
        <v>43</v>
      </c>
      <c r="G30" s="35">
        <v>0</v>
      </c>
      <c r="H30" s="108">
        <f t="shared" si="0"/>
        <v>0</v>
      </c>
      <c r="I30" s="70"/>
    </row>
    <row r="31" spans="1:17">
      <c r="A31" s="41" t="s">
        <v>146</v>
      </c>
      <c r="B31" s="132">
        <v>-1000000</v>
      </c>
      <c r="C31" s="133"/>
      <c r="E31" s="46" t="s">
        <v>80</v>
      </c>
      <c r="F31" s="43" t="s">
        <v>44</v>
      </c>
      <c r="G31" s="35">
        <v>0</v>
      </c>
      <c r="H31" s="108">
        <f t="shared" si="0"/>
        <v>0</v>
      </c>
      <c r="I31" s="70"/>
    </row>
    <row r="32" spans="1:17">
      <c r="A32" s="21" t="s">
        <v>111</v>
      </c>
      <c r="B32" s="26">
        <v>0</v>
      </c>
      <c r="C32" s="9">
        <f>IF(B$3=0,0,B32/B$3)</f>
        <v>0</v>
      </c>
      <c r="E32" s="46" t="s">
        <v>81</v>
      </c>
      <c r="F32" s="43" t="s">
        <v>45</v>
      </c>
      <c r="G32" s="35">
        <v>0</v>
      </c>
      <c r="H32" s="108">
        <f t="shared" si="0"/>
        <v>0</v>
      </c>
      <c r="I32" s="70"/>
    </row>
    <row r="33" spans="1:9">
      <c r="E33" s="46" t="s">
        <v>82</v>
      </c>
      <c r="F33" s="43" t="s">
        <v>46</v>
      </c>
      <c r="G33" s="35">
        <v>0</v>
      </c>
      <c r="H33" s="108">
        <f t="shared" si="0"/>
        <v>0</v>
      </c>
      <c r="I33" s="70"/>
    </row>
    <row r="34" spans="1:9">
      <c r="A34" s="119" t="s">
        <v>159</v>
      </c>
      <c r="B34" s="120" t="s">
        <v>160</v>
      </c>
      <c r="C34" s="121" t="s">
        <v>161</v>
      </c>
      <c r="E34" s="46" t="s">
        <v>83</v>
      </c>
      <c r="F34" s="43" t="s">
        <v>47</v>
      </c>
      <c r="G34" s="35">
        <v>0</v>
      </c>
      <c r="H34" s="108">
        <f t="shared" si="0"/>
        <v>0</v>
      </c>
      <c r="I34" s="70"/>
    </row>
    <row r="35" spans="1:9">
      <c r="A35" s="66" t="s">
        <v>137</v>
      </c>
      <c r="B35" s="113">
        <v>0</v>
      </c>
      <c r="C35" s="116">
        <f t="shared" ref="C35:C47" si="4">IF(B$17=0,0,B35/B$17)</f>
        <v>0</v>
      </c>
      <c r="E35" s="46" t="s">
        <v>84</v>
      </c>
      <c r="F35" s="43" t="s">
        <v>48</v>
      </c>
      <c r="G35" s="35">
        <v>0</v>
      </c>
      <c r="H35" s="108">
        <f t="shared" si="0"/>
        <v>0</v>
      </c>
      <c r="I35" s="70"/>
    </row>
    <row r="36" spans="1:9">
      <c r="A36" s="38" t="s">
        <v>133</v>
      </c>
      <c r="B36" s="35">
        <v>0</v>
      </c>
      <c r="C36" s="30">
        <f t="shared" si="4"/>
        <v>0</v>
      </c>
      <c r="E36" s="46" t="s">
        <v>85</v>
      </c>
      <c r="F36" s="43" t="s">
        <v>49</v>
      </c>
      <c r="G36" s="35">
        <v>0</v>
      </c>
      <c r="H36" s="108">
        <f t="shared" si="0"/>
        <v>0</v>
      </c>
      <c r="I36" s="70"/>
    </row>
    <row r="37" spans="1:9">
      <c r="A37" s="38" t="s">
        <v>134</v>
      </c>
      <c r="B37" s="114">
        <v>0</v>
      </c>
      <c r="C37" s="30">
        <f t="shared" si="4"/>
        <v>0</v>
      </c>
      <c r="E37" s="46" t="s">
        <v>86</v>
      </c>
      <c r="F37" s="43" t="s">
        <v>50</v>
      </c>
      <c r="G37" s="35">
        <v>0</v>
      </c>
      <c r="H37" s="108">
        <f t="shared" si="0"/>
        <v>0</v>
      </c>
      <c r="I37" s="70"/>
    </row>
    <row r="38" spans="1:9">
      <c r="A38" s="38" t="s">
        <v>135</v>
      </c>
      <c r="B38" s="114">
        <v>0</v>
      </c>
      <c r="C38" s="30">
        <f t="shared" si="4"/>
        <v>0</v>
      </c>
      <c r="E38" s="46" t="s">
        <v>87</v>
      </c>
      <c r="F38" s="43" t="s">
        <v>51</v>
      </c>
      <c r="G38" s="35">
        <v>0</v>
      </c>
      <c r="H38" s="108">
        <f t="shared" si="0"/>
        <v>0</v>
      </c>
      <c r="I38" s="70"/>
    </row>
    <row r="39" spans="1:9">
      <c r="A39" s="38" t="s">
        <v>136</v>
      </c>
      <c r="B39" s="114">
        <v>0</v>
      </c>
      <c r="C39" s="30">
        <f t="shared" si="4"/>
        <v>0</v>
      </c>
      <c r="E39" s="46" t="s">
        <v>88</v>
      </c>
      <c r="F39" s="43" t="s">
        <v>52</v>
      </c>
      <c r="G39" s="35">
        <v>0</v>
      </c>
      <c r="H39" s="108">
        <f t="shared" si="0"/>
        <v>0</v>
      </c>
      <c r="I39" s="70"/>
    </row>
    <row r="40" spans="1:9">
      <c r="A40" s="38" t="s">
        <v>138</v>
      </c>
      <c r="B40" s="114">
        <v>0</v>
      </c>
      <c r="C40" s="30">
        <f t="shared" si="4"/>
        <v>0</v>
      </c>
      <c r="E40" s="46" t="s">
        <v>89</v>
      </c>
      <c r="F40" s="43" t="s">
        <v>53</v>
      </c>
      <c r="G40" s="35">
        <v>0</v>
      </c>
      <c r="H40" s="108">
        <f t="shared" si="0"/>
        <v>0</v>
      </c>
      <c r="I40" s="70"/>
    </row>
    <row r="41" spans="1:9">
      <c r="A41" s="38" t="s">
        <v>139</v>
      </c>
      <c r="B41" s="114">
        <v>0</v>
      </c>
      <c r="C41" s="30">
        <f t="shared" si="4"/>
        <v>0</v>
      </c>
      <c r="E41" s="46" t="s">
        <v>90</v>
      </c>
      <c r="F41" s="43" t="s">
        <v>169</v>
      </c>
      <c r="G41" s="35">
        <v>0</v>
      </c>
      <c r="H41" s="108">
        <f t="shared" si="0"/>
        <v>0</v>
      </c>
      <c r="I41" s="70"/>
    </row>
    <row r="42" spans="1:9">
      <c r="A42" s="38" t="s">
        <v>140</v>
      </c>
      <c r="B42" s="114">
        <v>0</v>
      </c>
      <c r="C42" s="30">
        <f t="shared" si="4"/>
        <v>0</v>
      </c>
      <c r="E42" s="47" t="s">
        <v>165</v>
      </c>
      <c r="F42" s="44" t="s">
        <v>168</v>
      </c>
      <c r="G42" s="37">
        <v>0</v>
      </c>
      <c r="H42" s="109">
        <f t="shared" si="0"/>
        <v>0</v>
      </c>
      <c r="I42" s="71"/>
    </row>
    <row r="43" spans="1:9">
      <c r="A43" s="38" t="s">
        <v>141</v>
      </c>
      <c r="B43" s="114">
        <v>0</v>
      </c>
      <c r="C43" s="30">
        <f t="shared" si="4"/>
        <v>0</v>
      </c>
    </row>
    <row r="44" spans="1:9">
      <c r="A44" s="38" t="s">
        <v>142</v>
      </c>
      <c r="B44" s="114">
        <v>0</v>
      </c>
      <c r="C44" s="30">
        <f t="shared" si="4"/>
        <v>0</v>
      </c>
    </row>
    <row r="45" spans="1:9">
      <c r="A45" s="38" t="s">
        <v>143</v>
      </c>
      <c r="B45" s="114">
        <v>0</v>
      </c>
      <c r="C45" s="30">
        <f t="shared" si="4"/>
        <v>0</v>
      </c>
    </row>
    <row r="46" spans="1:9">
      <c r="A46" s="38" t="s">
        <v>144</v>
      </c>
      <c r="B46" s="114">
        <v>0</v>
      </c>
      <c r="C46" s="30">
        <f t="shared" si="4"/>
        <v>0</v>
      </c>
    </row>
    <row r="47" spans="1:9">
      <c r="A47" s="40" t="s">
        <v>145</v>
      </c>
      <c r="B47" s="115">
        <v>0</v>
      </c>
      <c r="C47" s="32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57</vt:i4>
      </vt:variant>
    </vt:vector>
  </HeadingPairs>
  <TitlesOfParts>
    <vt:vector size="61" baseType="lpstr">
      <vt:lpstr>Cache</vt:lpstr>
      <vt:lpstr>Players</vt:lpstr>
      <vt:lpstr>ランキング</vt:lpstr>
      <vt:lpstr>Template</vt:lpstr>
      <vt:lpstr>アガリ数</vt:lpstr>
      <vt:lpstr>アガリ率</vt:lpstr>
      <vt:lpstr>ダマアガリ数</vt:lpstr>
      <vt:lpstr>ダマアガリ率</vt:lpstr>
      <vt:lpstr>チョンボ数</vt:lpstr>
      <vt:lpstr>チョンボ率</vt:lpstr>
      <vt:lpstr>ツモ数</vt:lpstr>
      <vt:lpstr>ツモ率</vt:lpstr>
      <vt:lpstr>トップ数</vt:lpstr>
      <vt:lpstr>トップ率</vt:lpstr>
      <vt:lpstr>ふっとび数</vt:lpstr>
      <vt:lpstr>ふっとび率</vt:lpstr>
      <vt:lpstr>ラス数</vt:lpstr>
      <vt:lpstr>ラス率</vt:lpstr>
      <vt:lpstr>リーチアガリ数</vt:lpstr>
      <vt:lpstr>リーチアガリ率</vt:lpstr>
      <vt:lpstr>リーチ数</vt:lpstr>
      <vt:lpstr>リーチ成功数</vt:lpstr>
      <vt:lpstr>リーチ成功率</vt:lpstr>
      <vt:lpstr>リーチ率</vt:lpstr>
      <vt:lpstr>ロン数</vt:lpstr>
      <vt:lpstr>ロン率</vt:lpstr>
      <vt:lpstr>現行連続アガリ</vt:lpstr>
      <vt:lpstr>現行連続無放銃</vt:lpstr>
      <vt:lpstr>最高点</vt:lpstr>
      <vt:lpstr>最大ドラ数</vt:lpstr>
      <vt:lpstr>最大点数</vt:lpstr>
      <vt:lpstr>三位数</vt:lpstr>
      <vt:lpstr>三位率</vt:lpstr>
      <vt:lpstr>総局数</vt:lpstr>
      <vt:lpstr>対戦数</vt:lpstr>
      <vt:lpstr>通算アガリ点</vt:lpstr>
      <vt:lpstr>通算スコア</vt:lpstr>
      <vt:lpstr>通算副露アガリ点</vt:lpstr>
      <vt:lpstr>通算放銃点</vt:lpstr>
      <vt:lpstr>通算門前アガリ点</vt:lpstr>
      <vt:lpstr>二位数</vt:lpstr>
      <vt:lpstr>二位率</vt:lpstr>
      <vt:lpstr>副露アガリ数</vt:lpstr>
      <vt:lpstr>副露アガリ点</vt:lpstr>
      <vt:lpstr>副露アガリ率</vt:lpstr>
      <vt:lpstr>副露数</vt:lpstr>
      <vt:lpstr>副露成功数</vt:lpstr>
      <vt:lpstr>副露成功率</vt:lpstr>
      <vt:lpstr>副露率</vt:lpstr>
      <vt:lpstr>平均アガリ点</vt:lpstr>
      <vt:lpstr>平均スコア</vt:lpstr>
      <vt:lpstr>平均順位</vt:lpstr>
      <vt:lpstr>平均放銃点</vt:lpstr>
      <vt:lpstr>放銃数</vt:lpstr>
      <vt:lpstr>放銃率</vt:lpstr>
      <vt:lpstr>名前</vt:lpstr>
      <vt:lpstr>門前アガリ点</vt:lpstr>
      <vt:lpstr>連続アガリ</vt:lpstr>
      <vt:lpstr>連続無放銃</vt:lpstr>
      <vt:lpstr>連対数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2020-03-23T23:31:42Z</dcterms:modified>
</cp:coreProperties>
</file>