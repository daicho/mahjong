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1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松喜屋\"/>
    </mc:Choice>
  </mc:AlternateContent>
  <xr:revisionPtr revIDLastSave="0" documentId="13_ncr:1_{77F8328B-9D14-4C0C-94D8-921A73403625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62" r:id="rId6"/>
    <sheet name="パパ" sheetId="6164" r:id="rId7"/>
    <sheet name="だいち" sheetId="6166" r:id="rId8"/>
    <sheet name="あやめ" sheetId="6168" r:id="rId9"/>
    <sheet name="あやめ2" sheetId="6169" state="hidden" r:id="rId10"/>
    <sheet name="だいち2" sheetId="6167" state="hidden" r:id="rId11"/>
    <sheet name="パパ2" sheetId="6165" state="hidden" r:id="rId12"/>
    <sheet name="全体2" sheetId="6163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リーチ率" sheetId="3524" state="hidden" r:id="rId24"/>
    <sheet name="副露率" sheetId="3525" state="hidden" r:id="rId25"/>
    <sheet name="リーチ成功率" sheetId="4841" state="hidden" r:id="rId26"/>
    <sheet name="副露成功率" sheetId="3527" state="hidden" r:id="rId27"/>
    <sheet name="ツモ率" sheetId="3528" state="hidden" r:id="rId28"/>
  </sheets>
  <definedNames>
    <definedName name="アガリ数" localSheetId="3">Template1!$B$19</definedName>
    <definedName name="アガリ数" localSheetId="8">あやめ!$B$19</definedName>
    <definedName name="アガリ数" localSheetId="7">だいち!$B$19</definedName>
    <definedName name="アガリ数" localSheetId="6">パパ!$B$19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あやめ!$C$19</definedName>
    <definedName name="アガリ率" localSheetId="7">だいち!$C$19</definedName>
    <definedName name="アガリ率" localSheetId="6">パパ!$C$19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あやめ!$B$25</definedName>
    <definedName name="ダマアガリ数" localSheetId="7">だいち!$B$25</definedName>
    <definedName name="ダマアガリ数" localSheetId="6">パパ!$B$25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あやめ!$C$25</definedName>
    <definedName name="ダマアガリ率" localSheetId="7">だいち!$C$25</definedName>
    <definedName name="ダマアガリ率" localSheetId="6">パパ!$C$25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あやめ!$B$34</definedName>
    <definedName name="チョンボ数" localSheetId="7">だいち!$B$34</definedName>
    <definedName name="チョンボ数" localSheetId="6">パパ!$B$34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あやめ!$C$34</definedName>
    <definedName name="チョンボ率" localSheetId="7">だいち!$C$34</definedName>
    <definedName name="チョンボ率" localSheetId="6">パパ!$C$34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あやめ!$B$21</definedName>
    <definedName name="ツモ数" localSheetId="7">だいち!$B$21</definedName>
    <definedName name="ツモ数" localSheetId="6">パパ!$B$21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あやめ!$C$21</definedName>
    <definedName name="ツモ率" localSheetId="7">だいち!$C$21</definedName>
    <definedName name="ツモ率" localSheetId="6">パパ!$C$21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あやめ!$B$7</definedName>
    <definedName name="トップ数" localSheetId="7">だいち!$B$7</definedName>
    <definedName name="トップ数" localSheetId="6">パパ!$B$7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あやめ!$C$7</definedName>
    <definedName name="トップ率" localSheetId="7">だいち!$C$7</definedName>
    <definedName name="トップ率" localSheetId="6">パパ!$C$7</definedName>
    <definedName name="トップ率" localSheetId="5">全体!$C$7</definedName>
    <definedName name="トップ率">#REF!</definedName>
    <definedName name="バランス" localSheetId="8">あやめ!$B$13</definedName>
    <definedName name="バランス" localSheetId="7">だいち!$B$13</definedName>
    <definedName name="バランス" localSheetId="6">パパ!$B$13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あやめ!$B$14</definedName>
    <definedName name="ふっとび数" localSheetId="7">だいち!$B$14</definedName>
    <definedName name="ふっとび数" localSheetId="6">パパ!$B$14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あやめ!$C$14</definedName>
    <definedName name="ふっとび率" localSheetId="7">だいち!$C$14</definedName>
    <definedName name="ふっとび率" localSheetId="6">パパ!$C$14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あやめ!$B$9</definedName>
    <definedName name="ラス数" localSheetId="7">だいち!$B$9</definedName>
    <definedName name="ラス数" localSheetId="6">パパ!$B$9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あやめ!$C$9</definedName>
    <definedName name="ラス率" localSheetId="7">だいち!$C$9</definedName>
    <definedName name="ラス率" localSheetId="6">パパ!$C$9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あやめ!$B$23</definedName>
    <definedName name="リーチアガリ数" localSheetId="7">だいち!$B$23</definedName>
    <definedName name="リーチアガリ数" localSheetId="6">パパ!$B$23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あやめ!$C$23</definedName>
    <definedName name="リーチアガリ率" localSheetId="7">だいち!$C$23</definedName>
    <definedName name="リーチアガリ率" localSheetId="6">パパ!$C$23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あやめ!$B$15</definedName>
    <definedName name="リーチ数" localSheetId="7">だいち!$B$15</definedName>
    <definedName name="リーチ数" localSheetId="6">パパ!$B$15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あやめ!$B$17</definedName>
    <definedName name="リーチ成功数" localSheetId="7">だいち!$B$17</definedName>
    <definedName name="リーチ成功数" localSheetId="6">パパ!$B$17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あやめ!$C$17</definedName>
    <definedName name="リーチ成功率" localSheetId="7">だいち!$C$17</definedName>
    <definedName name="リーチ成功率" localSheetId="6">パパ!$C$17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あやめ!$C$15</definedName>
    <definedName name="リーチ率" localSheetId="7">だいち!$C$15</definedName>
    <definedName name="リーチ率" localSheetId="6">パパ!$C$15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あやめ!$B$22</definedName>
    <definedName name="ロン数" localSheetId="7">だいち!$B$22</definedName>
    <definedName name="ロン数" localSheetId="6">パパ!$B$22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あやめ!$C$22</definedName>
    <definedName name="ロン率" localSheetId="7">だいち!$C$22</definedName>
    <definedName name="ロン率" localSheetId="6">パパ!$C$22</definedName>
    <definedName name="ロン率" localSheetId="5">全体!$C$22</definedName>
    <definedName name="ロン率">#REF!</definedName>
    <definedName name="一位スコア" localSheetId="8">あやめ!$B$10</definedName>
    <definedName name="一位スコア" localSheetId="7">だいち!$B$10</definedName>
    <definedName name="一位スコア" localSheetId="6">パパ!$B$10</definedName>
    <definedName name="一位スコア" localSheetId="5">全体!$B$10</definedName>
    <definedName name="一位スコア">Template1!$B$10</definedName>
    <definedName name="一位通算スコア" localSheetId="8">あやめ!$C$10</definedName>
    <definedName name="一位通算スコア" localSheetId="7">だいち!$C$10</definedName>
    <definedName name="一位通算スコア" localSheetId="6">パパ!$C$10</definedName>
    <definedName name="一位通算スコア" localSheetId="5">全体!$C$10</definedName>
    <definedName name="一位通算スコア">Template1!$C$10</definedName>
    <definedName name="一翻数" localSheetId="8">あやめ!$B$36</definedName>
    <definedName name="一翻数" localSheetId="7">だいち!$B$36</definedName>
    <definedName name="一翻数" localSheetId="6">パパ!$B$36</definedName>
    <definedName name="一翻数" localSheetId="5">全体!$B$36</definedName>
    <definedName name="一翻数">Template1!$B$36</definedName>
    <definedName name="一翻率" localSheetId="8">あやめ!$C$36</definedName>
    <definedName name="一翻率" localSheetId="7">だいち!$C$36</definedName>
    <definedName name="一翻率" localSheetId="6">パパ!$C$36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あやめ!$C$30</definedName>
    <definedName name="現行連続アガリ" localSheetId="7">だいち!$C$30</definedName>
    <definedName name="現行連続アガリ" localSheetId="6">パパ!$C$30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あやめ!$C$31</definedName>
    <definedName name="現行連続無放銃" localSheetId="7">だいち!$C$31</definedName>
    <definedName name="現行連続無放銃" localSheetId="6">パパ!$C$31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あやめ!$B$33</definedName>
    <definedName name="最高点" localSheetId="7">だいち!$B$33</definedName>
    <definedName name="最高点" localSheetId="6">パパ!$B$33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あやめ!$B$32</definedName>
    <definedName name="最大ドラ数" localSheetId="7">だいち!$B$32</definedName>
    <definedName name="最大ドラ数" localSheetId="6">パパ!$B$32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あやめ!$B$33</definedName>
    <definedName name="最大点数" localSheetId="7">だいち!$B$33</definedName>
    <definedName name="最大点数" localSheetId="6">パパ!$B$33</definedName>
    <definedName name="最大点数" localSheetId="5">全体!$B$33</definedName>
    <definedName name="最大点数">#REF!</definedName>
    <definedName name="三位スコア" localSheetId="8">あやめ!$B$12</definedName>
    <definedName name="三位スコア" localSheetId="7">だいち!$B$12</definedName>
    <definedName name="三位スコア" localSheetId="6">パパ!$B$12</definedName>
    <definedName name="三位スコア" localSheetId="5">全体!$B$12</definedName>
    <definedName name="三位スコア">Template1!$B$12</definedName>
    <definedName name="三位通算スコア" localSheetId="8">あやめ!$C$12</definedName>
    <definedName name="三位通算スコア" localSheetId="7">だいち!$C$12</definedName>
    <definedName name="三位通算スコア" localSheetId="6">パパ!$C$12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あやめ!$B$3</definedName>
    <definedName name="総局数" localSheetId="7">だいち!$B$3</definedName>
    <definedName name="総局数" localSheetId="6">パパ!$B$3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あやめ!$B$2</definedName>
    <definedName name="対戦数" localSheetId="7">だいち!$B$2</definedName>
    <definedName name="対戦数" localSheetId="6">パパ!$B$2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あやめ!$C$26</definedName>
    <definedName name="通算アガリ点" localSheetId="7">だいち!$C$26</definedName>
    <definedName name="通算アガリ点" localSheetId="6">パパ!$C$26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あやめ!$B$4</definedName>
    <definedName name="通算スコア" localSheetId="7">だいち!$B$4</definedName>
    <definedName name="通算スコア" localSheetId="6">パパ!$B$4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あやめ!$C$28</definedName>
    <definedName name="通算副露アガリ点" localSheetId="7">だいち!$C$28</definedName>
    <definedName name="通算副露アガリ点" localSheetId="6">パパ!$C$28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あやめ!$C$29</definedName>
    <definedName name="通算放銃点" localSheetId="7">だいち!$C$29</definedName>
    <definedName name="通算放銃点" localSheetId="6">パパ!$C$29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あやめ!$C$27</definedName>
    <definedName name="通算門前アガリ点" localSheetId="7">だいち!$C$27</definedName>
    <definedName name="通算門前アガリ点" localSheetId="6">パパ!$C$27</definedName>
    <definedName name="通算門前アガリ点" localSheetId="5">全体!$C$27</definedName>
    <definedName name="通算門前アガリ点">#REF!</definedName>
    <definedName name="二位スコア" localSheetId="8">あやめ!$B$11</definedName>
    <definedName name="二位スコア" localSheetId="7">だいち!$B$11</definedName>
    <definedName name="二位スコア" localSheetId="6">パパ!$B$11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あやめ!$B$8</definedName>
    <definedName name="二位数" localSheetId="7">だいち!$B$8</definedName>
    <definedName name="二位数" localSheetId="6">パパ!$B$8</definedName>
    <definedName name="二位数" localSheetId="5">全体!$B$8</definedName>
    <definedName name="二位数">#REF!</definedName>
    <definedName name="二位通算スコア" localSheetId="8">あやめ!$C$11</definedName>
    <definedName name="二位通算スコア" localSheetId="7">だいち!$C$11</definedName>
    <definedName name="二位通算スコア" localSheetId="6">パパ!$C$11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あやめ!$C$8</definedName>
    <definedName name="二位率" localSheetId="7">だいち!$C$8</definedName>
    <definedName name="二位率" localSheetId="6">パパ!$C$8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あやめ!$B$24</definedName>
    <definedName name="副露アガリ数" localSheetId="7">だいち!$B$24</definedName>
    <definedName name="副露アガリ数" localSheetId="6">パパ!$B$24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あやめ!$B$28</definedName>
    <definedName name="副露アガリ点" localSheetId="7">だいち!$B$28</definedName>
    <definedName name="副露アガリ点" localSheetId="6">パパ!$B$28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あやめ!$C$24</definedName>
    <definedName name="副露アガリ率" localSheetId="7">だいち!$C$24</definedName>
    <definedName name="副露アガリ率" localSheetId="6">パパ!$C$24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あやめ!$B$16</definedName>
    <definedName name="副露数" localSheetId="7">だいち!$B$16</definedName>
    <definedName name="副露数" localSheetId="6">パパ!$B$16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あやめ!$B$18</definedName>
    <definedName name="副露成功数" localSheetId="7">だいち!$B$18</definedName>
    <definedName name="副露成功数" localSheetId="6">パパ!$B$18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あやめ!$C$18</definedName>
    <definedName name="副露成功率" localSheetId="7">だいち!$C$18</definedName>
    <definedName name="副露成功率" localSheetId="6">パパ!$C$18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あやめ!$C$16</definedName>
    <definedName name="副露率" localSheetId="7">だいち!$C$16</definedName>
    <definedName name="副露率" localSheetId="6">パパ!$C$16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あやめ!$B$26</definedName>
    <definedName name="平均アガリ点" localSheetId="7">だいち!$B$26</definedName>
    <definedName name="平均アガリ点" localSheetId="6">パパ!$B$26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あやめ!$B$5</definedName>
    <definedName name="平均スコア" localSheetId="7">だいち!$B$5</definedName>
    <definedName name="平均スコア" localSheetId="6">パパ!$B$5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あやめ!$B$6</definedName>
    <definedName name="平均順位" localSheetId="7">だいち!$B$6</definedName>
    <definedName name="平均順位" localSheetId="6">パパ!$B$6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あやめ!$B$29</definedName>
    <definedName name="平均放銃点" localSheetId="7">だいち!$B$29</definedName>
    <definedName name="平均放銃点" localSheetId="6">パパ!$B$29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あやめ!$B$20</definedName>
    <definedName name="放銃数" localSheetId="7">だいち!$B$20</definedName>
    <definedName name="放銃数" localSheetId="6">パパ!$B$20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あやめ!$C$20</definedName>
    <definedName name="放銃率" localSheetId="7">だいち!$C$20</definedName>
    <definedName name="放銃率" localSheetId="6">パパ!$C$20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あやめ!$B$1</definedName>
    <definedName name="名前" localSheetId="7">だいち!$B$1</definedName>
    <definedName name="名前" localSheetId="6">パパ!$B$1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あやめ!$B$27</definedName>
    <definedName name="門前アガリ点" localSheetId="7">だいち!$B$27</definedName>
    <definedName name="門前アガリ点" localSheetId="6">パパ!$B$27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あやめ!$B$30</definedName>
    <definedName name="連続アガリ" localSheetId="7">だいち!$B$30</definedName>
    <definedName name="連続アガリ" localSheetId="6">パパ!$B$30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あやめ!$B$31</definedName>
    <definedName name="連続無放銃" localSheetId="7">だいち!$B$31</definedName>
    <definedName name="連続無放銃" localSheetId="6">パパ!$B$31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168" l="1"/>
  <c r="O16" i="6168"/>
  <c r="C44" i="6168"/>
  <c r="H38" i="6168"/>
  <c r="C34" i="6168"/>
  <c r="H12" i="6168"/>
  <c r="B29" i="6168"/>
  <c r="C20" i="6168"/>
  <c r="B19" i="6168"/>
  <c r="H50" i="6168" s="1"/>
  <c r="B18" i="6168"/>
  <c r="B28" i="6168" s="1"/>
  <c r="B17" i="6168"/>
  <c r="C17" i="6168" s="1"/>
  <c r="C16" i="6168"/>
  <c r="C15" i="6168"/>
  <c r="C14" i="6168"/>
  <c r="O12" i="6168"/>
  <c r="B12" i="6168"/>
  <c r="O11" i="6168"/>
  <c r="B11" i="6168"/>
  <c r="O10" i="6168"/>
  <c r="B10" i="6168"/>
  <c r="C9" i="6168"/>
  <c r="C8" i="6168"/>
  <c r="O7" i="6168"/>
  <c r="C7" i="6168"/>
  <c r="O6" i="6168"/>
  <c r="B6" i="6168"/>
  <c r="O5" i="6168"/>
  <c r="B5" i="6168"/>
  <c r="O4" i="6168"/>
  <c r="O3" i="6168"/>
  <c r="O2" i="6168"/>
  <c r="O16" i="6166"/>
  <c r="O15" i="6166"/>
  <c r="C34" i="6166"/>
  <c r="B29" i="6166"/>
  <c r="C20" i="6166"/>
  <c r="B19" i="6166"/>
  <c r="H50" i="6166" s="1"/>
  <c r="B18" i="6166"/>
  <c r="B28" i="6166" s="1"/>
  <c r="B17" i="6166"/>
  <c r="C17" i="6166" s="1"/>
  <c r="C16" i="6166"/>
  <c r="C15" i="6166"/>
  <c r="C14" i="6166"/>
  <c r="O12" i="6166"/>
  <c r="B12" i="6166"/>
  <c r="O11" i="6166"/>
  <c r="B11" i="6166"/>
  <c r="O10" i="6166"/>
  <c r="B10" i="6166"/>
  <c r="C9" i="6166"/>
  <c r="C8" i="6166"/>
  <c r="O7" i="6166"/>
  <c r="C7" i="6166"/>
  <c r="O6" i="6166"/>
  <c r="B6" i="6166"/>
  <c r="O5" i="6166"/>
  <c r="B5" i="6166"/>
  <c r="O4" i="6166"/>
  <c r="O3" i="6166"/>
  <c r="O2" i="6166"/>
  <c r="O17" i="6162"/>
  <c r="O15" i="6164"/>
  <c r="O16" i="6164"/>
  <c r="C34" i="6164"/>
  <c r="B29" i="6164"/>
  <c r="C20" i="6164"/>
  <c r="B19" i="6164"/>
  <c r="H50" i="6164" s="1"/>
  <c r="B18" i="6164"/>
  <c r="B28" i="6164" s="1"/>
  <c r="B17" i="6164"/>
  <c r="C17" i="6164" s="1"/>
  <c r="C16" i="6164"/>
  <c r="C15" i="6164"/>
  <c r="C14" i="6164"/>
  <c r="O12" i="6164"/>
  <c r="B12" i="6164"/>
  <c r="O11" i="6164"/>
  <c r="B11" i="6164"/>
  <c r="O10" i="6164"/>
  <c r="B10" i="6164"/>
  <c r="C9" i="6164"/>
  <c r="C8" i="6164"/>
  <c r="O7" i="6164"/>
  <c r="C7" i="6164"/>
  <c r="O6" i="6164"/>
  <c r="B6" i="6164"/>
  <c r="O5" i="6164"/>
  <c r="B5" i="6164"/>
  <c r="O4" i="6164"/>
  <c r="O3" i="6164"/>
  <c r="O2" i="6164"/>
  <c r="O15" i="6162"/>
  <c r="O16" i="6162"/>
  <c r="C34" i="6162"/>
  <c r="B29" i="6162"/>
  <c r="C20" i="6162"/>
  <c r="B19" i="6162"/>
  <c r="H3" i="6162" s="1"/>
  <c r="B18" i="6162"/>
  <c r="B28" i="6162" s="1"/>
  <c r="B17" i="6162"/>
  <c r="C17" i="6162" s="1"/>
  <c r="C16" i="6162"/>
  <c r="C15" i="6162"/>
  <c r="C14" i="6162"/>
  <c r="O12" i="6162"/>
  <c r="B12" i="6162"/>
  <c r="O11" i="6162"/>
  <c r="B11" i="6162"/>
  <c r="O10" i="6162"/>
  <c r="B10" i="6162"/>
  <c r="C9" i="6162"/>
  <c r="C8" i="6162"/>
  <c r="O7" i="6162"/>
  <c r="C7" i="6162"/>
  <c r="O6" i="6162"/>
  <c r="B6" i="6162"/>
  <c r="O5" i="6162"/>
  <c r="B5" i="6162"/>
  <c r="O4" i="6162"/>
  <c r="O3" i="6162"/>
  <c r="O2" i="6162"/>
  <c r="C18" i="6166" l="1"/>
  <c r="B13" i="6168"/>
  <c r="B13" i="6166"/>
  <c r="C18" i="6164"/>
  <c r="H16" i="6168"/>
  <c r="H2" i="6168"/>
  <c r="H9" i="6168"/>
  <c r="C38" i="6168"/>
  <c r="C46" i="6168"/>
  <c r="H19" i="6168"/>
  <c r="C19" i="6168"/>
  <c r="H15" i="6168"/>
  <c r="H33" i="6168"/>
  <c r="H39" i="6168"/>
  <c r="H47" i="6168"/>
  <c r="H31" i="6168"/>
  <c r="H25" i="6168"/>
  <c r="C25" i="6168"/>
  <c r="H34" i="6168"/>
  <c r="H41" i="6168"/>
  <c r="H48" i="6168"/>
  <c r="H22" i="6168"/>
  <c r="H18" i="6168"/>
  <c r="H42" i="6168"/>
  <c r="C48" i="6168"/>
  <c r="C24" i="6168"/>
  <c r="H28" i="6168"/>
  <c r="H20" i="6168"/>
  <c r="H26" i="6168"/>
  <c r="H36" i="6168"/>
  <c r="H43" i="6168"/>
  <c r="H8" i="6168"/>
  <c r="H17" i="6168"/>
  <c r="B26" i="6168"/>
  <c r="C42" i="6168"/>
  <c r="H49" i="6168"/>
  <c r="H7" i="6168"/>
  <c r="H6" i="6168"/>
  <c r="C21" i="6168"/>
  <c r="H30" i="6168"/>
  <c r="C36" i="6168"/>
  <c r="H5" i="6168"/>
  <c r="H21" i="6168"/>
  <c r="H13" i="6168"/>
  <c r="H14" i="6168"/>
  <c r="H37" i="6168"/>
  <c r="H44" i="6168"/>
  <c r="C40" i="6164"/>
  <c r="H51" i="6164"/>
  <c r="H25" i="6164"/>
  <c r="C24" i="6164"/>
  <c r="H40" i="6164"/>
  <c r="H49" i="6164"/>
  <c r="H10" i="6164"/>
  <c r="H33" i="6164"/>
  <c r="C22" i="6164"/>
  <c r="H5" i="6164"/>
  <c r="H18" i="6164"/>
  <c r="H2" i="6164"/>
  <c r="H41" i="6164"/>
  <c r="H34" i="6164"/>
  <c r="H30" i="6164"/>
  <c r="H44" i="6164"/>
  <c r="H52" i="6164"/>
  <c r="C44" i="6164"/>
  <c r="H26" i="6164"/>
  <c r="C36" i="6164"/>
  <c r="H3" i="6164"/>
  <c r="H4" i="6164"/>
  <c r="H23" i="6164"/>
  <c r="B27" i="6164"/>
  <c r="H45" i="6164"/>
  <c r="H6" i="6164"/>
  <c r="H13" i="6164"/>
  <c r="C21" i="6164"/>
  <c r="H8" i="6164"/>
  <c r="C38" i="6164"/>
  <c r="H46" i="6164"/>
  <c r="C25" i="6164"/>
  <c r="C19" i="6164"/>
  <c r="H11" i="6164"/>
  <c r="H15" i="6164"/>
  <c r="B26" i="6164"/>
  <c r="H36" i="6164"/>
  <c r="H17" i="6164"/>
  <c r="H9" i="6164"/>
  <c r="H24" i="6164"/>
  <c r="H14" i="6164"/>
  <c r="H39" i="6164"/>
  <c r="C46" i="6164"/>
  <c r="H42" i="6164"/>
  <c r="H47" i="6164"/>
  <c r="H7" i="6164"/>
  <c r="H19" i="6164"/>
  <c r="H28" i="6164"/>
  <c r="C23" i="6164"/>
  <c r="H37" i="6164"/>
  <c r="C42" i="6164"/>
  <c r="H48" i="6164"/>
  <c r="H21" i="6164"/>
  <c r="H16" i="6164"/>
  <c r="H38" i="6164"/>
  <c r="H43" i="6164"/>
  <c r="C48" i="6164"/>
  <c r="C18" i="6168"/>
  <c r="H51" i="6168"/>
  <c r="H4" i="6168"/>
  <c r="H11" i="6168"/>
  <c r="H23" i="6168"/>
  <c r="H24" i="6168"/>
  <c r="C22" i="6168"/>
  <c r="B27" i="6168"/>
  <c r="H40" i="6168"/>
  <c r="H45" i="6168"/>
  <c r="H3" i="6168"/>
  <c r="C23" i="6168"/>
  <c r="H10" i="6168"/>
  <c r="H35" i="6168"/>
  <c r="C40" i="6168"/>
  <c r="H46" i="6168"/>
  <c r="H52" i="6168"/>
  <c r="C39" i="6168"/>
  <c r="C43" i="6168"/>
  <c r="C47" i="6168"/>
  <c r="H27" i="6168"/>
  <c r="H29" i="6168"/>
  <c r="H32" i="6168"/>
  <c r="C37" i="6168"/>
  <c r="C41" i="6168"/>
  <c r="C45" i="6168"/>
  <c r="B13" i="6162"/>
  <c r="C18" i="6162"/>
  <c r="H28" i="6166"/>
  <c r="H37" i="6166"/>
  <c r="H44" i="6166"/>
  <c r="H22" i="6166"/>
  <c r="H10" i="6166"/>
  <c r="H19" i="6166"/>
  <c r="H12" i="6166"/>
  <c r="H31" i="6166"/>
  <c r="C38" i="6166"/>
  <c r="C46" i="6166"/>
  <c r="H13" i="6166"/>
  <c r="C24" i="6166"/>
  <c r="H2" i="6166"/>
  <c r="H5" i="6166"/>
  <c r="H18" i="6166"/>
  <c r="C25" i="6166"/>
  <c r="H33" i="6166"/>
  <c r="H39" i="6166"/>
  <c r="H47" i="6166"/>
  <c r="C19" i="6166"/>
  <c r="H26" i="6166"/>
  <c r="H48" i="6166"/>
  <c r="H38" i="6166"/>
  <c r="H8" i="6166"/>
  <c r="H15" i="6166"/>
  <c r="H29" i="6166"/>
  <c r="H34" i="6166"/>
  <c r="H23" i="6166"/>
  <c r="B26" i="6166"/>
  <c r="H42" i="6166"/>
  <c r="C48" i="6166"/>
  <c r="H21" i="6166"/>
  <c r="H16" i="6166"/>
  <c r="C21" i="6166"/>
  <c r="H7" i="6166"/>
  <c r="H17" i="6166"/>
  <c r="H14" i="6166"/>
  <c r="B27" i="6166"/>
  <c r="H36" i="6166"/>
  <c r="C42" i="6166"/>
  <c r="H49" i="6166"/>
  <c r="H6" i="6166"/>
  <c r="C44" i="6166"/>
  <c r="H41" i="6166"/>
  <c r="H4" i="6166"/>
  <c r="H9" i="6166"/>
  <c r="H24" i="6166"/>
  <c r="H25" i="6166"/>
  <c r="C22" i="6166"/>
  <c r="H20" i="6166"/>
  <c r="C36" i="6166"/>
  <c r="H43" i="6166"/>
  <c r="H51" i="6166"/>
  <c r="H40" i="6166"/>
  <c r="H45" i="6166"/>
  <c r="H3" i="6166"/>
  <c r="C23" i="6166"/>
  <c r="H11" i="6166"/>
  <c r="H35" i="6166"/>
  <c r="C40" i="6166"/>
  <c r="H46" i="6166"/>
  <c r="H52" i="6166"/>
  <c r="C39" i="6166"/>
  <c r="C43" i="6166"/>
  <c r="C47" i="6166"/>
  <c r="H27" i="6166"/>
  <c r="H30" i="6166"/>
  <c r="H32" i="6166"/>
  <c r="C37" i="6166"/>
  <c r="C41" i="6166"/>
  <c r="C45" i="6166"/>
  <c r="H28" i="6162"/>
  <c r="H23" i="6162"/>
  <c r="H6" i="6162"/>
  <c r="H10" i="6162"/>
  <c r="H5" i="6162"/>
  <c r="H22" i="6162"/>
  <c r="H27" i="6162"/>
  <c r="H9" i="6162"/>
  <c r="H2" i="6162"/>
  <c r="H37" i="6162"/>
  <c r="C22" i="6162"/>
  <c r="H41" i="6162"/>
  <c r="H49" i="6162"/>
  <c r="C19" i="6162"/>
  <c r="H45" i="6162"/>
  <c r="H25" i="6162"/>
  <c r="B26" i="6162"/>
  <c r="H13" i="6162"/>
  <c r="B13" i="6164"/>
  <c r="H27" i="6164"/>
  <c r="H29" i="6164"/>
  <c r="H12" i="6164"/>
  <c r="H22" i="6164"/>
  <c r="H35" i="6164"/>
  <c r="C39" i="6164"/>
  <c r="C43" i="6164"/>
  <c r="C47" i="6164"/>
  <c r="H20" i="6164"/>
  <c r="H31" i="6164"/>
  <c r="H32" i="6164"/>
  <c r="C37" i="6164"/>
  <c r="C41" i="6164"/>
  <c r="C45" i="6164"/>
  <c r="C24" i="6162"/>
  <c r="H39" i="6162"/>
  <c r="H43" i="6162"/>
  <c r="H47" i="6162"/>
  <c r="H52" i="6162"/>
  <c r="H16" i="6162"/>
  <c r="H29" i="6162"/>
  <c r="H12" i="6162"/>
  <c r="H21" i="6162"/>
  <c r="H35" i="6162"/>
  <c r="C39" i="6162"/>
  <c r="C43" i="6162"/>
  <c r="C47" i="6162"/>
  <c r="H7" i="6162"/>
  <c r="H20" i="6162"/>
  <c r="H26" i="6162"/>
  <c r="C21" i="6162"/>
  <c r="C25" i="6162"/>
  <c r="H36" i="6162"/>
  <c r="H40" i="6162"/>
  <c r="H44" i="6162"/>
  <c r="H48" i="6162"/>
  <c r="H4" i="6162"/>
  <c r="H11" i="6162"/>
  <c r="H14" i="6162"/>
  <c r="H30" i="6162"/>
  <c r="H15" i="6162"/>
  <c r="C36" i="6162"/>
  <c r="C40" i="6162"/>
  <c r="C44" i="6162"/>
  <c r="C48" i="6162"/>
  <c r="H24" i="6162"/>
  <c r="H31" i="6162"/>
  <c r="H32" i="6162"/>
  <c r="C37" i="6162"/>
  <c r="C41" i="6162"/>
  <c r="C45" i="6162"/>
  <c r="H50" i="6162"/>
  <c r="H18" i="6162"/>
  <c r="C23" i="6162"/>
  <c r="B27" i="6162"/>
  <c r="H33" i="6162"/>
  <c r="H38" i="6162"/>
  <c r="H42" i="6162"/>
  <c r="H46" i="6162"/>
  <c r="H51" i="6162"/>
  <c r="H17" i="6162"/>
  <c r="H19" i="6162"/>
  <c r="H8" i="6162"/>
  <c r="H34" i="6162"/>
  <c r="C38" i="6162"/>
  <c r="C42" i="6162"/>
  <c r="C46" i="616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<sst xmlns="http://schemas.openxmlformats.org/spreadsheetml/2006/main" count="1193" uniqueCount="207">
  <si>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</si>
  <si>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</si>
  <si>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</si>
  <si>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</si>
  <si>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</si>
  <si>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</si>
  <si>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</si>
  <si>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</si>
  <si>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</si>
  <si>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</si>
  <si>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</si>
  <si>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</si>
  <si>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</si>
  <si>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</si>
  <si>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</si>
  <si>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</si>
  <si>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</si>
  <si>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</si>
  <si>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</si>
  <si>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</si>
  <si>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</si>
  <si>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</si>
  <si>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</si>
  <si>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</si>
  <si>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</si>
  <si>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</si>
  <si>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</si>
  <si>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</si>
  <si>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</si>
  <si>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</si>
  <si>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</si>
  <si>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</si>
  <si>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</si>
  <si>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</si>
  <si>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</si>
  <si>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</si>
  <si>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</si>
  <si>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</si>
  <si>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</si>
  <si>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</si>
  <si>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</si>
  <si>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</si>
  <si>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</si>
  <si>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</si>
  <si>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</si>
  <si>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</si>
  <si>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</si>
  <si>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</si>
  <si>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</si>
  <si>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</si>
  <si>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</si>
  <si>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</si>
  <si>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</si>
  <si>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</si>
  <si>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</si>
  <si>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</si>
  <si>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</si>
  <si>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</si>
  <si>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</si>
  <si>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</si>
  <si>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</si>
  <si>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</si>
  <si>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</si>
  <si>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</si>
  <si>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</si>
  <si>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</si>
  <si>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</si>
  <si>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</si>
  <si>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</si>
  <si>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</si>
  <si>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</si>
  <si>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</si>
  <si>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</si>
  <si>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</si>
  <si>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</si>
  <si>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</si>
  <si>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</si>
  <si>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</si>
  <si>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</si>
  <si>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</si>
  <si>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</si>
  <si>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</si>
  <si>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</si>
  <si>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</si>
  <si>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</si>
  <si>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</si>
  <si>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</si>
  <si>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</si>
  <si>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</si>
  <si>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</si>
  <si>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</si>
  <si>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</si>
  <si>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</si>
  <si>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</si>
  <si>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</si>
  <si>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</si>
  <si>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</si>
  <si>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</si>
  <si>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</si>
  <si>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</si>
  <si>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</si>
  <si>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</si>
  <si>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</si>
  <si>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</si>
  <si>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</si>
  <si>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</si>
  <si>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</si>
  <si>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</si>
  <si>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</si>
  <si>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</si>
  <si>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</si>
  <si>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</si>
  <si>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</si>
  <si>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</si>
  <si>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</si>
  <si>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</si>
  <si>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</si>
  <si>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</si>
  <si>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</si>
  <si>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</si>
  <si>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</si>
  <si>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</si>
  <si>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</si>
  <si>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</si>
  <si>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</si>
  <si>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</si>
  <si>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</si>
  <si>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</si>
  <si>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</si>
  <si>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</si>
  <si>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</si>
  <si>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</si>
  <si>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</si>
  <si>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</si>
  <si>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</si>
  <si>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</si>
  <si>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</si>
  <si>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</si>
  <si>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</si>
  <si>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</si>
  <si>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</si>
  <si>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</si>
  <si>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</si>
  <si>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</si>
  <si>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</si>
  <si>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</si>
  <si>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</si>
  <si>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</si>
  <si>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</si>
  <si>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</si>
  <si>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</si>
  <si>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</si>
  <si>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</si>
  <si>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</si>
  <si>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</si>
  <si>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</si>
  <si>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</si>
  <si>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</si>
  <si>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</si>
  <si>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</si>
  <si>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</si>
  <si>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</si>
  <si>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</si>
  <si>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</si>
  <si>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</si>
  <si>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</si>
  <si>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</si>
  <si>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</si>
  <si>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</si>
  <si>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</si>
  <si>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</si>
  <si>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</si>
  <si>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</si>
  <si>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</si>
  <si>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</si>
  <si>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</si>
  <si>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</si>
  <si>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</si>
  <si>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</si>
  <si>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</si>
  <si>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</si>
  <si>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</si>
  <si>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</si>
  <si>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</si>
  <si>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</si>
  <si>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</si>
  <si>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</si>
  <si>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</si>
  <si>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</si>
  <si>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Sheet3</t>
  </si>
  <si>
    <t>Sheet4</t>
  </si>
  <si>
    <t xml:space="preserve"> </t>
    <phoneticPr fontId="1"/>
  </si>
  <si>
    <t>2020-05-18.xlsm</t>
  </si>
  <si>
    <t>あやめ</t>
  </si>
  <si>
    <t>パパ</t>
  </si>
  <si>
    <t>―</t>
  </si>
  <si>
    <t>2020-05-19.xlsm</t>
  </si>
  <si>
    <t>2020-05-20.xlsm</t>
  </si>
  <si>
    <t>2020-05-21.xlsm</t>
  </si>
  <si>
    <t>2020-05-23.xlsm</t>
  </si>
  <si>
    <t>2020-05-24.xlsm</t>
  </si>
  <si>
    <t>2020-05-25.xlsm</t>
  </si>
  <si>
    <t>2020-05-26.xlsm</t>
  </si>
  <si>
    <t>Sheet5</t>
  </si>
  <si>
    <t>2020-05-27.xlsm</t>
  </si>
  <si>
    <t>2020-05-29.xlsm</t>
  </si>
  <si>
    <t>2020-05-30.xlsm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</si>
</sst>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全体!$L$2:$L$119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-38.9</c:v>
                </c:pt>
                <c:pt idx="2">
                  <c:v>-5</c:v>
                </c:pt>
                <c:pt idx="3">
                  <c:v>0</c:v>
                </c:pt>
                <c:pt idx="4">
                  <c:v>27.9</c:v>
                </c:pt>
                <c:pt idx="5">
                  <c:v>-16.899999999999999</c:v>
                </c:pt>
                <c:pt idx="6">
                  <c:v>0</c:v>
                </c:pt>
                <c:pt idx="7">
                  <c:v>16.600000000000001</c:v>
                </c:pt>
                <c:pt idx="8">
                  <c:v>18.700000000000003</c:v>
                </c:pt>
                <c:pt idx="9">
                  <c:v>3.5527136788005009E-15</c:v>
                </c:pt>
                <c:pt idx="10">
                  <c:v>5.5000000000000036</c:v>
                </c:pt>
                <c:pt idx="11">
                  <c:v>27.600000000000005</c:v>
                </c:pt>
                <c:pt idx="12">
                  <c:v>3.5527136788005009E-15</c:v>
                </c:pt>
                <c:pt idx="13">
                  <c:v>-40.399999999999991</c:v>
                </c:pt>
                <c:pt idx="14">
                  <c:v>-37.599999999999994</c:v>
                </c:pt>
                <c:pt idx="15">
                  <c:v>7.1054273576010019E-15</c:v>
                </c:pt>
                <c:pt idx="16">
                  <c:v>25.000000000000007</c:v>
                </c:pt>
                <c:pt idx="17">
                  <c:v>39.000000000000007</c:v>
                </c:pt>
                <c:pt idx="18">
                  <c:v>7.1054273576010019E-15</c:v>
                </c:pt>
                <c:pt idx="19">
                  <c:v>-18.299999999999994</c:v>
                </c:pt>
                <c:pt idx="20">
                  <c:v>-2.2999999999999936</c:v>
                </c:pt>
                <c:pt idx="21">
                  <c:v>6.2172489379008766E-15</c:v>
                </c:pt>
                <c:pt idx="22">
                  <c:v>43.400000000000006</c:v>
                </c:pt>
                <c:pt idx="23">
                  <c:v>35.900000000000006</c:v>
                </c:pt>
                <c:pt idx="24">
                  <c:v>7.1054273576010019E-15</c:v>
                </c:pt>
                <c:pt idx="25">
                  <c:v>-20.999999999999993</c:v>
                </c:pt>
                <c:pt idx="26">
                  <c:v>-21.899999999999991</c:v>
                </c:pt>
                <c:pt idx="27">
                  <c:v>7.1054273576010019E-15</c:v>
                </c:pt>
                <c:pt idx="28">
                  <c:v>-19.599999999999994</c:v>
                </c:pt>
                <c:pt idx="29">
                  <c:v>-18.899999999999995</c:v>
                </c:pt>
                <c:pt idx="30">
                  <c:v>3.5527136788005009E-15</c:v>
                </c:pt>
                <c:pt idx="31">
                  <c:v>42.900000000000006</c:v>
                </c:pt>
                <c:pt idx="32">
                  <c:v>-1.4999999999999929</c:v>
                </c:pt>
                <c:pt idx="33">
                  <c:v>7.1054273576010019E-15</c:v>
                </c:pt>
                <c:pt idx="34">
                  <c:v>12.100000000000007</c:v>
                </c:pt>
                <c:pt idx="35">
                  <c:v>12.500000000000007</c:v>
                </c:pt>
                <c:pt idx="36">
                  <c:v>7.1054273576010019E-15</c:v>
                </c:pt>
                <c:pt idx="37">
                  <c:v>25.400000000000006</c:v>
                </c:pt>
                <c:pt idx="38">
                  <c:v>32.800000000000004</c:v>
                </c:pt>
                <c:pt idx="39">
                  <c:v>7.1054273576010019E-15</c:v>
                </c:pt>
                <c:pt idx="40">
                  <c:v>35.000000000000007</c:v>
                </c:pt>
                <c:pt idx="41">
                  <c:v>3.8000000000000078</c:v>
                </c:pt>
                <c:pt idx="42">
                  <c:v>7.9936057773011271E-15</c:v>
                </c:pt>
                <c:pt idx="43">
                  <c:v>19.200000000000006</c:v>
                </c:pt>
                <c:pt idx="44">
                  <c:v>-2.899999999999995</c:v>
                </c:pt>
                <c:pt idx="45">
                  <c:v>4.8849813083506888E-15</c:v>
                </c:pt>
                <c:pt idx="46">
                  <c:v>27.900000000000002</c:v>
                </c:pt>
                <c:pt idx="47">
                  <c:v>42.7</c:v>
                </c:pt>
                <c:pt idx="48">
                  <c:v>0</c:v>
                </c:pt>
                <c:pt idx="49">
                  <c:v>-22.4</c:v>
                </c:pt>
                <c:pt idx="50">
                  <c:v>-17.399999999999999</c:v>
                </c:pt>
                <c:pt idx="51">
                  <c:v>0</c:v>
                </c:pt>
                <c:pt idx="52">
                  <c:v>2.5</c:v>
                </c:pt>
                <c:pt idx="53">
                  <c:v>33.4</c:v>
                </c:pt>
                <c:pt idx="54">
                  <c:v>0</c:v>
                </c:pt>
                <c:pt idx="55">
                  <c:v>-34</c:v>
                </c:pt>
                <c:pt idx="56">
                  <c:v>-32.9</c:v>
                </c:pt>
                <c:pt idx="57">
                  <c:v>0</c:v>
                </c:pt>
                <c:pt idx="58">
                  <c:v>2.5</c:v>
                </c:pt>
                <c:pt idx="59">
                  <c:v>16.899999999999999</c:v>
                </c:pt>
                <c:pt idx="60">
                  <c:v>0</c:v>
                </c:pt>
                <c:pt idx="61">
                  <c:v>-18.600000000000001</c:v>
                </c:pt>
                <c:pt idx="62">
                  <c:v>-18</c:v>
                </c:pt>
                <c:pt idx="63">
                  <c:v>0</c:v>
                </c:pt>
                <c:pt idx="64">
                  <c:v>-9.1999999999999993</c:v>
                </c:pt>
                <c:pt idx="65">
                  <c:v>42.099999999999994</c:v>
                </c:pt>
                <c:pt idx="66">
                  <c:v>-7.1054273576010019E-15</c:v>
                </c:pt>
                <c:pt idx="67">
                  <c:v>30.499999999999993</c:v>
                </c:pt>
                <c:pt idx="68">
                  <c:v>8.7999999999999936</c:v>
                </c:pt>
                <c:pt idx="69">
                  <c:v>-7.1054273576010019E-15</c:v>
                </c:pt>
                <c:pt idx="70">
                  <c:v>15.899999999999993</c:v>
                </c:pt>
                <c:pt idx="71">
                  <c:v>-0.80000000000000604</c:v>
                </c:pt>
                <c:pt idx="72">
                  <c:v>-5.9952043329758453E-15</c:v>
                </c:pt>
                <c:pt idx="73">
                  <c:v>35.999999999999993</c:v>
                </c:pt>
                <c:pt idx="74">
                  <c:v>33.499999999999993</c:v>
                </c:pt>
                <c:pt idx="75">
                  <c:v>-7.1054273576010019E-15</c:v>
                </c:pt>
                <c:pt idx="76">
                  <c:v>1.9999999999999929</c:v>
                </c:pt>
                <c:pt idx="77">
                  <c:v>-36.20000000000001</c:v>
                </c:pt>
                <c:pt idx="78">
                  <c:v>-7.1054273576010019E-15</c:v>
                </c:pt>
                <c:pt idx="79">
                  <c:v>-35.500000000000007</c:v>
                </c:pt>
                <c:pt idx="80">
                  <c:v>-27.500000000000007</c:v>
                </c:pt>
                <c:pt idx="81">
                  <c:v>-7.1054273576010019E-15</c:v>
                </c:pt>
                <c:pt idx="82">
                  <c:v>31.599999999999994</c:v>
                </c:pt>
                <c:pt idx="83">
                  <c:v>26.299999999999994</c:v>
                </c:pt>
                <c:pt idx="84">
                  <c:v>-7.1054273576010019E-15</c:v>
                </c:pt>
                <c:pt idx="85">
                  <c:v>14.499999999999993</c:v>
                </c:pt>
                <c:pt idx="86">
                  <c:v>40.499999999999993</c:v>
                </c:pt>
                <c:pt idx="87">
                  <c:v>-7.1054273576010019E-15</c:v>
                </c:pt>
                <c:pt idx="88">
                  <c:v>-12.400000000000007</c:v>
                </c:pt>
                <c:pt idx="89">
                  <c:v>-11.400000000000007</c:v>
                </c:pt>
                <c:pt idx="90">
                  <c:v>-7.1054273576010019E-15</c:v>
                </c:pt>
                <c:pt idx="91">
                  <c:v>-34.800000000000004</c:v>
                </c:pt>
                <c:pt idx="92">
                  <c:v>-25.400000000000006</c:v>
                </c:pt>
                <c:pt idx="93">
                  <c:v>-7.1054273576010019E-15</c:v>
                </c:pt>
                <c:pt idx="94">
                  <c:v>33.999999999999993</c:v>
                </c:pt>
                <c:pt idx="95">
                  <c:v>38.999999999999993</c:v>
                </c:pt>
                <c:pt idx="96">
                  <c:v>-7.1054273576010019E-15</c:v>
                </c:pt>
                <c:pt idx="97">
                  <c:v>-4.1000000000000068</c:v>
                </c:pt>
                <c:pt idx="98">
                  <c:v>25.699999999999996</c:v>
                </c:pt>
                <c:pt idx="99">
                  <c:v>-3.5527136788005009E-15</c:v>
                </c:pt>
                <c:pt idx="100">
                  <c:v>-4.0000000000000036</c:v>
                </c:pt>
                <c:pt idx="101">
                  <c:v>-19.000000000000004</c:v>
                </c:pt>
                <c:pt idx="102">
                  <c:v>-3.5527136788005009E-15</c:v>
                </c:pt>
                <c:pt idx="103">
                  <c:v>20.399999999999995</c:v>
                </c:pt>
                <c:pt idx="104">
                  <c:v>18.099999999999994</c:v>
                </c:pt>
                <c:pt idx="105">
                  <c:v>-7.1054273576010019E-15</c:v>
                </c:pt>
                <c:pt idx="106">
                  <c:v>-5.0000000000000071</c:v>
                </c:pt>
                <c:pt idx="107">
                  <c:v>26.999999999999993</c:v>
                </c:pt>
                <c:pt idx="108">
                  <c:v>-7.1054273576010019E-15</c:v>
                </c:pt>
                <c:pt idx="109">
                  <c:v>29.999999999999993</c:v>
                </c:pt>
                <c:pt idx="110">
                  <c:v>36.999999999999993</c:v>
                </c:pt>
                <c:pt idx="111">
                  <c:v>-7.1054273576010019E-15</c:v>
                </c:pt>
                <c:pt idx="112">
                  <c:v>17.999999999999993</c:v>
                </c:pt>
                <c:pt idx="113">
                  <c:v>-1.0000000000000071</c:v>
                </c:pt>
                <c:pt idx="114">
                  <c:v>-7.1054273576010019E-15</c:v>
                </c:pt>
                <c:pt idx="115">
                  <c:v>19.499999999999993</c:v>
                </c:pt>
                <c:pt idx="116">
                  <c:v>17.099999999999994</c:v>
                </c:pt>
                <c:pt idx="117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7-439C-B3F5-0EFF07365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-17.543859649122808</c:v>
                </c:pt>
                <c:pt idx="1">
                  <c:v>0</c:v>
                </c:pt>
                <c:pt idx="2">
                  <c:v>0</c:v>
                </c:pt>
                <c:pt idx="3">
                  <c:v>9.8039215686274517</c:v>
                </c:pt>
                <c:pt idx="4">
                  <c:v>-10.75268817204301</c:v>
                </c:pt>
                <c:pt idx="5">
                  <c:v>25.641025641025642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E7-4909-BC9D-5715E8E87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10</c:v>
                </c:pt>
                <c:pt idx="1">
                  <c:v>37</c:v>
                </c:pt>
                <c:pt idx="2">
                  <c:v>50</c:v>
                </c:pt>
                <c:pt idx="3">
                  <c:v>53</c:v>
                </c:pt>
                <c:pt idx="4">
                  <c:v>37</c:v>
                </c:pt>
                <c:pt idx="5">
                  <c:v>41</c:v>
                </c:pt>
                <c:pt idx="6">
                  <c:v>26</c:v>
                </c:pt>
                <c:pt idx="7">
                  <c:v>18</c:v>
                </c:pt>
                <c:pt idx="8">
                  <c:v>6</c:v>
                </c:pt>
                <c:pt idx="9">
                  <c:v>6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C2-49E3-AB2E-2B41B3EE4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パパ!$L$1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パパ!$K$2:$K$41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パパ!$L$2:$L$41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-38.9</c:v>
                </c:pt>
                <c:pt idx="2">
                  <c:v>-11</c:v>
                </c:pt>
                <c:pt idx="3">
                  <c:v>5.6000000000000014</c:v>
                </c:pt>
                <c:pt idx="4">
                  <c:v>11.100000000000001</c:v>
                </c:pt>
                <c:pt idx="5">
                  <c:v>-29.299999999999997</c:v>
                </c:pt>
                <c:pt idx="6">
                  <c:v>-4.2999999999999972</c:v>
                </c:pt>
                <c:pt idx="7">
                  <c:v>-22.599999999999998</c:v>
                </c:pt>
                <c:pt idx="8">
                  <c:v>20.8</c:v>
                </c:pt>
                <c:pt idx="9">
                  <c:v>-0.19999999999999929</c:v>
                </c:pt>
                <c:pt idx="10">
                  <c:v>-19.8</c:v>
                </c:pt>
                <c:pt idx="11">
                  <c:v>23.099999999999998</c:v>
                </c:pt>
                <c:pt idx="12">
                  <c:v>35.199999999999996</c:v>
                </c:pt>
                <c:pt idx="13">
                  <c:v>60.599999999999994</c:v>
                </c:pt>
                <c:pt idx="14">
                  <c:v>95.6</c:v>
                </c:pt>
                <c:pt idx="15">
                  <c:v>114.8</c:v>
                </c:pt>
                <c:pt idx="16">
                  <c:v>142.69999999999999</c:v>
                </c:pt>
                <c:pt idx="17">
                  <c:v>120.29999999999998</c:v>
                </c:pt>
                <c:pt idx="18">
                  <c:v>122.79999999999998</c:v>
                </c:pt>
                <c:pt idx="19">
                  <c:v>88.799999999999983</c:v>
                </c:pt>
                <c:pt idx="20">
                  <c:v>91.299999999999983</c:v>
                </c:pt>
                <c:pt idx="21">
                  <c:v>72.699999999999989</c:v>
                </c:pt>
                <c:pt idx="22">
                  <c:v>63.499999999999986</c:v>
                </c:pt>
                <c:pt idx="23">
                  <c:v>93.999999999999986</c:v>
                </c:pt>
                <c:pt idx="24">
                  <c:v>109.89999999999999</c:v>
                </c:pt>
                <c:pt idx="25">
                  <c:v>145.89999999999998</c:v>
                </c:pt>
                <c:pt idx="26">
                  <c:v>147.89999999999998</c:v>
                </c:pt>
                <c:pt idx="27">
                  <c:v>112.39999999999998</c:v>
                </c:pt>
                <c:pt idx="28">
                  <c:v>143.99999999999997</c:v>
                </c:pt>
                <c:pt idx="29">
                  <c:v>158.49999999999997</c:v>
                </c:pt>
                <c:pt idx="30">
                  <c:v>146.09999999999997</c:v>
                </c:pt>
                <c:pt idx="31">
                  <c:v>111.29999999999997</c:v>
                </c:pt>
                <c:pt idx="32">
                  <c:v>145.29999999999995</c:v>
                </c:pt>
                <c:pt idx="33">
                  <c:v>141.19999999999996</c:v>
                </c:pt>
                <c:pt idx="34">
                  <c:v>137.19999999999996</c:v>
                </c:pt>
                <c:pt idx="35">
                  <c:v>157.59999999999997</c:v>
                </c:pt>
                <c:pt idx="36">
                  <c:v>152.59999999999997</c:v>
                </c:pt>
                <c:pt idx="37">
                  <c:v>182.59999999999997</c:v>
                </c:pt>
                <c:pt idx="38">
                  <c:v>200.59999999999997</c:v>
                </c:pt>
                <c:pt idx="39">
                  <c:v>220.09999999999997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64-44BF-8716-FB9F60C2A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パパ!$O$1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パパ!$N$2:$N$7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パパ!$O$2:$O$7</c:f>
              <c:numCache>
                <c:formatCode>\+0;\-0;\±0</c:formatCode>
                <c:ptCount val="6"/>
                <c:pt idx="0">
                  <c:v>610.52631578947364</c:v>
                </c:pt>
                <c:pt idx="1">
                  <c:v>-115.78947368421052</c:v>
                </c:pt>
                <c:pt idx="2">
                  <c:v>77.777777777777771</c:v>
                </c:pt>
                <c:pt idx="3">
                  <c:v>-94.117647058823536</c:v>
                </c:pt>
                <c:pt idx="4">
                  <c:v>583.87096774193549</c:v>
                </c:pt>
                <c:pt idx="5">
                  <c:v>623.07692307692309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67-4420-B05D-BBB2E0E96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パパ!$A$36:$A$48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パパ!$B$36:$B$48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12</c:v>
                </c:pt>
                <c:pt idx="3">
                  <c:v>15</c:v>
                </c:pt>
                <c:pt idx="4">
                  <c:v>19</c:v>
                </c:pt>
                <c:pt idx="5">
                  <c:v>14</c:v>
                </c:pt>
                <c:pt idx="6">
                  <c:v>12</c:v>
                </c:pt>
                <c:pt idx="7">
                  <c:v>9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D-4769-A940-F9B5DCEC5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だいち!$L$2:$L$41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33.9</c:v>
                </c:pt>
                <c:pt idx="2">
                  <c:v>-10.899999999999999</c:v>
                </c:pt>
                <c:pt idx="3">
                  <c:v>-8.7999999999999989</c:v>
                </c:pt>
                <c:pt idx="4">
                  <c:v>13.300000000000002</c:v>
                </c:pt>
                <c:pt idx="5">
                  <c:v>16.100000000000001</c:v>
                </c:pt>
                <c:pt idx="6">
                  <c:v>30.1</c:v>
                </c:pt>
                <c:pt idx="7">
                  <c:v>46.1</c:v>
                </c:pt>
                <c:pt idx="8">
                  <c:v>38.6</c:v>
                </c:pt>
                <c:pt idx="9">
                  <c:v>37.700000000000003</c:v>
                </c:pt>
                <c:pt idx="10">
                  <c:v>38.400000000000006</c:v>
                </c:pt>
                <c:pt idx="11">
                  <c:v>-5.9999999999999929</c:v>
                </c:pt>
                <c:pt idx="12">
                  <c:v>-5.5999999999999925</c:v>
                </c:pt>
                <c:pt idx="13">
                  <c:v>1.8000000000000078</c:v>
                </c:pt>
                <c:pt idx="14">
                  <c:v>-29.399999999999991</c:v>
                </c:pt>
                <c:pt idx="15">
                  <c:v>-51.499999999999993</c:v>
                </c:pt>
                <c:pt idx="16">
                  <c:v>-36.699999999999989</c:v>
                </c:pt>
                <c:pt idx="17">
                  <c:v>-31.699999999999989</c:v>
                </c:pt>
                <c:pt idx="18">
                  <c:v>-0.79999999999999005</c:v>
                </c:pt>
                <c:pt idx="19">
                  <c:v>0.30000000000001004</c:v>
                </c:pt>
                <c:pt idx="20">
                  <c:v>14.70000000000001</c:v>
                </c:pt>
                <c:pt idx="21">
                  <c:v>15.30000000000001</c:v>
                </c:pt>
                <c:pt idx="22">
                  <c:v>66.600000000000009</c:v>
                </c:pt>
                <c:pt idx="23">
                  <c:v>44.900000000000006</c:v>
                </c:pt>
                <c:pt idx="24">
                  <c:v>28.200000000000006</c:v>
                </c:pt>
                <c:pt idx="25">
                  <c:v>25.700000000000006</c:v>
                </c:pt>
                <c:pt idx="26">
                  <c:v>-12.499999999999996</c:v>
                </c:pt>
                <c:pt idx="27">
                  <c:v>-4.4999999999999964</c:v>
                </c:pt>
                <c:pt idx="28">
                  <c:v>-9.7999999999999972</c:v>
                </c:pt>
                <c:pt idx="29">
                  <c:v>16.200000000000003</c:v>
                </c:pt>
                <c:pt idx="30">
                  <c:v>17.200000000000003</c:v>
                </c:pt>
                <c:pt idx="31">
                  <c:v>26.6</c:v>
                </c:pt>
                <c:pt idx="32">
                  <c:v>31.6</c:v>
                </c:pt>
                <c:pt idx="33">
                  <c:v>61.400000000000006</c:v>
                </c:pt>
                <c:pt idx="34">
                  <c:v>46.400000000000006</c:v>
                </c:pt>
                <c:pt idx="35">
                  <c:v>44.100000000000009</c:v>
                </c:pt>
                <c:pt idx="36">
                  <c:v>76.100000000000009</c:v>
                </c:pt>
                <c:pt idx="37">
                  <c:v>83.100000000000009</c:v>
                </c:pt>
                <c:pt idx="38">
                  <c:v>64.100000000000009</c:v>
                </c:pt>
                <c:pt idx="39">
                  <c:v>61.70000000000001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8C-45BA-A209-0AFC77A67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1684.2105263157894</c:v>
                </c:pt>
                <c:pt idx="1">
                  <c:v>1792.1052631578948</c:v>
                </c:pt>
                <c:pt idx="2">
                  <c:v>-1291.6666666666667</c:v>
                </c:pt>
                <c:pt idx="3">
                  <c:v>1658.8235294117646</c:v>
                </c:pt>
                <c:pt idx="4">
                  <c:v>522.58064516129036</c:v>
                </c:pt>
                <c:pt idx="5">
                  <c:v>-2157.6923076923076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CE-43F2-9E2D-7C33A3198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3</c:v>
                </c:pt>
                <c:pt idx="1">
                  <c:v>15</c:v>
                </c:pt>
                <c:pt idx="2">
                  <c:v>20</c:v>
                </c:pt>
                <c:pt idx="3">
                  <c:v>19</c:v>
                </c:pt>
                <c:pt idx="4">
                  <c:v>9</c:v>
                </c:pt>
                <c:pt idx="5">
                  <c:v>18</c:v>
                </c:pt>
                <c:pt idx="6">
                  <c:v>4</c:v>
                </c:pt>
                <c:pt idx="7">
                  <c:v>5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1C-456F-BC7E-5C23F7DA3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あやめ!$L$1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5</c:v>
                </c:pt>
                <c:pt idx="2">
                  <c:v>21.9</c:v>
                </c:pt>
                <c:pt idx="3">
                  <c:v>3.1999999999999993</c:v>
                </c:pt>
                <c:pt idx="4">
                  <c:v>-24.400000000000002</c:v>
                </c:pt>
                <c:pt idx="5">
                  <c:v>13.2</c:v>
                </c:pt>
                <c:pt idx="6">
                  <c:v>-25.8</c:v>
                </c:pt>
                <c:pt idx="7">
                  <c:v>-23.5</c:v>
                </c:pt>
                <c:pt idx="8">
                  <c:v>-59.4</c:v>
                </c:pt>
                <c:pt idx="9">
                  <c:v>-37.5</c:v>
                </c:pt>
                <c:pt idx="10">
                  <c:v>-18.600000000000001</c:v>
                </c:pt>
                <c:pt idx="11">
                  <c:v>-17.100000000000001</c:v>
                </c:pt>
                <c:pt idx="12">
                  <c:v>-29.6</c:v>
                </c:pt>
                <c:pt idx="13">
                  <c:v>-62.4</c:v>
                </c:pt>
                <c:pt idx="14">
                  <c:v>-66.2</c:v>
                </c:pt>
                <c:pt idx="15">
                  <c:v>-63.300000000000004</c:v>
                </c:pt>
                <c:pt idx="16">
                  <c:v>-106</c:v>
                </c:pt>
                <c:pt idx="17">
                  <c:v>-88.6</c:v>
                </c:pt>
                <c:pt idx="18">
                  <c:v>-122</c:v>
                </c:pt>
                <c:pt idx="19">
                  <c:v>-89.1</c:v>
                </c:pt>
                <c:pt idx="20">
                  <c:v>-106</c:v>
                </c:pt>
                <c:pt idx="21">
                  <c:v>-88</c:v>
                </c:pt>
                <c:pt idx="22">
                  <c:v>-130.1</c:v>
                </c:pt>
                <c:pt idx="23">
                  <c:v>-138.9</c:v>
                </c:pt>
                <c:pt idx="24">
                  <c:v>-138.1</c:v>
                </c:pt>
                <c:pt idx="25">
                  <c:v>-171.6</c:v>
                </c:pt>
                <c:pt idx="26">
                  <c:v>-135.39999999999998</c:v>
                </c:pt>
                <c:pt idx="27">
                  <c:v>-107.89999999999998</c:v>
                </c:pt>
                <c:pt idx="28">
                  <c:v>-134.19999999999999</c:v>
                </c:pt>
                <c:pt idx="29">
                  <c:v>-174.7</c:v>
                </c:pt>
                <c:pt idx="30">
                  <c:v>-163.29999999999998</c:v>
                </c:pt>
                <c:pt idx="31">
                  <c:v>-137.89999999999998</c:v>
                </c:pt>
                <c:pt idx="32">
                  <c:v>-176.89999999999998</c:v>
                </c:pt>
                <c:pt idx="33">
                  <c:v>-202.59999999999997</c:v>
                </c:pt>
                <c:pt idx="34">
                  <c:v>-183.59999999999997</c:v>
                </c:pt>
                <c:pt idx="35">
                  <c:v>-201.69999999999996</c:v>
                </c:pt>
                <c:pt idx="36">
                  <c:v>-228.69999999999996</c:v>
                </c:pt>
                <c:pt idx="37">
                  <c:v>-265.69999999999993</c:v>
                </c:pt>
                <c:pt idx="38">
                  <c:v>-264.69999999999993</c:v>
                </c:pt>
                <c:pt idx="39">
                  <c:v>-281.79999999999995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9A-48B2-8892-908F0959A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あやめ!$O$1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あやめ!$N$2:$N$7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あやめ!$O$2:$O$7</c:f>
              <c:numCache>
                <c:formatCode>\+0;\-0;\±0</c:formatCode>
                <c:ptCount val="6"/>
                <c:pt idx="0">
                  <c:v>-2347.3684210526317</c:v>
                </c:pt>
                <c:pt idx="1">
                  <c:v>-1676.3157894736842</c:v>
                </c:pt>
                <c:pt idx="2">
                  <c:v>1213.8888888888889</c:v>
                </c:pt>
                <c:pt idx="3">
                  <c:v>-1535.2941176470588</c:v>
                </c:pt>
                <c:pt idx="4">
                  <c:v>-1138.7096774193549</c:v>
                </c:pt>
                <c:pt idx="5">
                  <c:v>1611.5384615384614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BF-49BF-AB7C-35249D9A2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あやめ!$A$36:$A$48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あやめ!$B$36:$B$48</c:f>
              <c:numCache>
                <c:formatCode>0\ "回"</c:formatCode>
                <c:ptCount val="13"/>
                <c:pt idx="0">
                  <c:v>5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9</c:v>
                </c:pt>
                <c:pt idx="5">
                  <c:v>9</c:v>
                </c:pt>
                <c:pt idx="6">
                  <c:v>10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0A-4B58-8B33-FBA2B3534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あやめ2!$B$1:$B$2</c:f>
              <c:strCache>
                <c:ptCount val="2"/>
                <c:pt idx="0">
                  <c:v>あやめ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あやめ2!$B$3:$B$42</c:f>
              <c:numCache>
                <c:formatCode>\+0.0;\-0.0;\±0</c:formatCode>
                <c:ptCount val="40"/>
                <c:pt idx="0">
                  <c:v>0</c:v>
                </c:pt>
                <c:pt idx="1">
                  <c:v>5</c:v>
                </c:pt>
                <c:pt idx="2">
                  <c:v>21.9</c:v>
                </c:pt>
                <c:pt idx="3">
                  <c:v>3.1999999999999993</c:v>
                </c:pt>
                <c:pt idx="4">
                  <c:v>-24.400000000000002</c:v>
                </c:pt>
                <c:pt idx="5">
                  <c:v>13.2</c:v>
                </c:pt>
                <c:pt idx="6">
                  <c:v>-25.8</c:v>
                </c:pt>
                <c:pt idx="7">
                  <c:v>-23.5</c:v>
                </c:pt>
                <c:pt idx="8">
                  <c:v>-59.4</c:v>
                </c:pt>
                <c:pt idx="9">
                  <c:v>-37.5</c:v>
                </c:pt>
                <c:pt idx="10">
                  <c:v>-18.600000000000001</c:v>
                </c:pt>
                <c:pt idx="11">
                  <c:v>-17.100000000000001</c:v>
                </c:pt>
                <c:pt idx="12">
                  <c:v>-29.6</c:v>
                </c:pt>
                <c:pt idx="13">
                  <c:v>-62.4</c:v>
                </c:pt>
                <c:pt idx="14">
                  <c:v>-66.2</c:v>
                </c:pt>
                <c:pt idx="15">
                  <c:v>-63.300000000000004</c:v>
                </c:pt>
                <c:pt idx="16">
                  <c:v>-106</c:v>
                </c:pt>
                <c:pt idx="17">
                  <c:v>-88.6</c:v>
                </c:pt>
                <c:pt idx="18">
                  <c:v>-122</c:v>
                </c:pt>
                <c:pt idx="19">
                  <c:v>-89.1</c:v>
                </c:pt>
                <c:pt idx="20">
                  <c:v>-106</c:v>
                </c:pt>
                <c:pt idx="21">
                  <c:v>-88</c:v>
                </c:pt>
                <c:pt idx="22">
                  <c:v>-130.1</c:v>
                </c:pt>
                <c:pt idx="23">
                  <c:v>-138.9</c:v>
                </c:pt>
                <c:pt idx="24">
                  <c:v>-138.1</c:v>
                </c:pt>
                <c:pt idx="25">
                  <c:v>-171.6</c:v>
                </c:pt>
                <c:pt idx="26">
                  <c:v>-135.39999999999998</c:v>
                </c:pt>
                <c:pt idx="27">
                  <c:v>-107.89999999999998</c:v>
                </c:pt>
                <c:pt idx="28">
                  <c:v>-134.19999999999999</c:v>
                </c:pt>
                <c:pt idx="29">
                  <c:v>-174.7</c:v>
                </c:pt>
                <c:pt idx="30">
                  <c:v>-163.29999999999998</c:v>
                </c:pt>
                <c:pt idx="31">
                  <c:v>-137.89999999999998</c:v>
                </c:pt>
                <c:pt idx="32">
                  <c:v>-176.89999999999998</c:v>
                </c:pt>
                <c:pt idx="33">
                  <c:v>-202.59999999999997</c:v>
                </c:pt>
                <c:pt idx="34">
                  <c:v>-183.59999999999997</c:v>
                </c:pt>
                <c:pt idx="35">
                  <c:v>-201.69999999999996</c:v>
                </c:pt>
                <c:pt idx="36">
                  <c:v>-228.69999999999996</c:v>
                </c:pt>
                <c:pt idx="37">
                  <c:v>-265.69999999999993</c:v>
                </c:pt>
                <c:pt idx="38">
                  <c:v>-264.69999999999993</c:v>
                </c:pt>
                <c:pt idx="39">
                  <c:v>-281.79999999999995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あやめ2!$C$1:$C$2</c:f>
              <c:strCache>
                <c:ptCount val="2"/>
                <c:pt idx="0">
                  <c:v>あやめ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あやめ2!$C$3:$C$42</c:f>
              <c:numCache>
                <c:formatCode>\+0.0;\-0.0;\±0</c:formatCode>
                <c:ptCount val="40"/>
                <c:pt idx="1">
                  <c:v>5</c:v>
                </c:pt>
                <c:pt idx="2">
                  <c:v>10.95</c:v>
                </c:pt>
                <c:pt idx="3">
                  <c:v>1.0666666666666664</c:v>
                </c:pt>
                <c:pt idx="4">
                  <c:v>-6.1000000000000005</c:v>
                </c:pt>
                <c:pt idx="5">
                  <c:v>2.6399999999999997</c:v>
                </c:pt>
                <c:pt idx="6">
                  <c:v>-4.3</c:v>
                </c:pt>
                <c:pt idx="7">
                  <c:v>-3.3571428571428572</c:v>
                </c:pt>
                <c:pt idx="8">
                  <c:v>-7.4249999999999998</c:v>
                </c:pt>
                <c:pt idx="9">
                  <c:v>-4.166666666666667</c:v>
                </c:pt>
                <c:pt idx="10">
                  <c:v>-1.86</c:v>
                </c:pt>
                <c:pt idx="11">
                  <c:v>-1.5545454545454547</c:v>
                </c:pt>
                <c:pt idx="12">
                  <c:v>-2.4666666666666668</c:v>
                </c:pt>
                <c:pt idx="13">
                  <c:v>-4.8</c:v>
                </c:pt>
                <c:pt idx="14">
                  <c:v>-4.7285714285714286</c:v>
                </c:pt>
                <c:pt idx="15">
                  <c:v>-4.2200000000000006</c:v>
                </c:pt>
                <c:pt idx="16">
                  <c:v>-6.625</c:v>
                </c:pt>
                <c:pt idx="17">
                  <c:v>-5.2117647058823522</c:v>
                </c:pt>
                <c:pt idx="18">
                  <c:v>-6.7777777777777777</c:v>
                </c:pt>
                <c:pt idx="19">
                  <c:v>-4.689473684210526</c:v>
                </c:pt>
                <c:pt idx="20">
                  <c:v>-5.3</c:v>
                </c:pt>
                <c:pt idx="21">
                  <c:v>-4.1904761904761907</c:v>
                </c:pt>
                <c:pt idx="22">
                  <c:v>-5.9136363636363631</c:v>
                </c:pt>
                <c:pt idx="23">
                  <c:v>-6.0391304347826091</c:v>
                </c:pt>
                <c:pt idx="24">
                  <c:v>-5.7541666666666664</c:v>
                </c:pt>
                <c:pt idx="25">
                  <c:v>-6.8639999999999999</c:v>
                </c:pt>
                <c:pt idx="26">
                  <c:v>-5.207692307692307</c:v>
                </c:pt>
                <c:pt idx="27">
                  <c:v>-3.9962962962962956</c:v>
                </c:pt>
                <c:pt idx="28">
                  <c:v>-4.7928571428571427</c:v>
                </c:pt>
                <c:pt idx="29">
                  <c:v>-6.024137931034482</c:v>
                </c:pt>
                <c:pt idx="30">
                  <c:v>-5.4433333333333325</c:v>
                </c:pt>
                <c:pt idx="31">
                  <c:v>-4.4483870967741925</c:v>
                </c:pt>
                <c:pt idx="32">
                  <c:v>-5.5281249999999993</c:v>
                </c:pt>
                <c:pt idx="33">
                  <c:v>-6.1393939393939387</c:v>
                </c:pt>
                <c:pt idx="34">
                  <c:v>-5.3999999999999986</c:v>
                </c:pt>
                <c:pt idx="35">
                  <c:v>-5.7628571428571416</c:v>
                </c:pt>
                <c:pt idx="36">
                  <c:v>-6.352777777777777</c:v>
                </c:pt>
                <c:pt idx="37">
                  <c:v>-7.1810810810810795</c:v>
                </c:pt>
                <c:pt idx="38">
                  <c:v>-6.9657894736842083</c:v>
                </c:pt>
                <c:pt idx="39">
                  <c:v>-7.2256410256410248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073014835556412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あやめ2!$D$1:$D$2</c:f>
              <c:strCache>
                <c:ptCount val="2"/>
                <c:pt idx="0">
                  <c:v>あやめ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あやめ2!$D$3:$D$42</c:f>
              <c:numCache>
                <c:formatCode>0.00\ "位"</c:formatCode>
                <c:ptCount val="40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2.375</c:v>
                </c:pt>
                <c:pt idx="9">
                  <c:v>2.2222222222222223</c:v>
                </c:pt>
                <c:pt idx="10">
                  <c:v>2.1</c:v>
                </c:pt>
                <c:pt idx="11">
                  <c:v>2.0909090909090908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2.2142857142857144</c:v>
                </c:pt>
                <c:pt idx="15">
                  <c:v>2.2000000000000002</c:v>
                </c:pt>
                <c:pt idx="16">
                  <c:v>2.25</c:v>
                </c:pt>
                <c:pt idx="17">
                  <c:v>2.1764705882352939</c:v>
                </c:pt>
                <c:pt idx="18">
                  <c:v>2.2222222222222223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2.1428571428571428</c:v>
                </c:pt>
                <c:pt idx="22">
                  <c:v>2.1818181818181817</c:v>
                </c:pt>
                <c:pt idx="23">
                  <c:v>2.1739130434782608</c:v>
                </c:pt>
                <c:pt idx="24">
                  <c:v>2.1666666666666665</c:v>
                </c:pt>
                <c:pt idx="25">
                  <c:v>2.2000000000000002</c:v>
                </c:pt>
                <c:pt idx="26">
                  <c:v>2.1538461538461537</c:v>
                </c:pt>
                <c:pt idx="27">
                  <c:v>2.1111111111111112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2.1333333333333333</c:v>
                </c:pt>
                <c:pt idx="31">
                  <c:v>2.096774193548387</c:v>
                </c:pt>
                <c:pt idx="32">
                  <c:v>2.125</c:v>
                </c:pt>
                <c:pt idx="33">
                  <c:v>2.1515151515151514</c:v>
                </c:pt>
                <c:pt idx="34">
                  <c:v>2.1176470588235294</c:v>
                </c:pt>
                <c:pt idx="35">
                  <c:v>2.1428571428571428</c:v>
                </c:pt>
                <c:pt idx="36">
                  <c:v>2.1666666666666665</c:v>
                </c:pt>
                <c:pt idx="37">
                  <c:v>2.189189189189189</c:v>
                </c:pt>
                <c:pt idx="38">
                  <c:v>2.1842105263157894</c:v>
                </c:pt>
                <c:pt idx="39">
                  <c:v>2.2051282051282053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あやめ2!$E$1:$E$2</c:f>
              <c:strCache>
                <c:ptCount val="2"/>
                <c:pt idx="0">
                  <c:v>あやめ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あやめ2!$E$3:$E$42</c:f>
              <c:numCache>
                <c:formatCode>0.0%</c:formatCode>
                <c:ptCount val="4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0.24</c:v>
                </c:pt>
                <c:pt idx="26">
                  <c:v>0.26923076923076922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0.27586206896551724</c:v>
                </c:pt>
                <c:pt idx="30">
                  <c:v>0.3</c:v>
                </c:pt>
                <c:pt idx="31">
                  <c:v>0.32258064516129031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0.3235294117647059</c:v>
                </c:pt>
                <c:pt idx="35">
                  <c:v>0.31428571428571428</c:v>
                </c:pt>
                <c:pt idx="36">
                  <c:v>0.30555555555555558</c:v>
                </c:pt>
                <c:pt idx="37">
                  <c:v>0.29729729729729731</c:v>
                </c:pt>
                <c:pt idx="38">
                  <c:v>0.28947368421052633</c:v>
                </c:pt>
                <c:pt idx="39">
                  <c:v>0.28205128205128205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あやめ2!$F$1:$F$2</c:f>
              <c:strCache>
                <c:ptCount val="2"/>
                <c:pt idx="0">
                  <c:v>あやめ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あやめ2!$F$3:$F$42</c:f>
              <c:numCache>
                <c:formatCode>0.0%</c:formatCode>
                <c:ptCount val="40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0.44444444444444442</c:v>
                </c:pt>
                <c:pt idx="19">
                  <c:v>0.42105263157894735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0.42857142857142855</c:v>
                </c:pt>
                <c:pt idx="29">
                  <c:v>0.44827586206896552</c:v>
                </c:pt>
                <c:pt idx="30">
                  <c:v>0.43333333333333335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0.45714285714285713</c:v>
                </c:pt>
                <c:pt idx="36">
                  <c:v>0.47222222222222221</c:v>
                </c:pt>
                <c:pt idx="37">
                  <c:v>0.48648648648648651</c:v>
                </c:pt>
                <c:pt idx="38">
                  <c:v>0.47368421052631576</c:v>
                </c:pt>
                <c:pt idx="39">
                  <c:v>0.48717948717948717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あやめ2!$G$1:$G$2</c:f>
              <c:strCache>
                <c:ptCount val="2"/>
                <c:pt idx="0">
                  <c:v>あやめ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あやめ2!$G$3:$G$42</c:f>
              <c:numCache>
                <c:formatCode>0.0%</c:formatCode>
                <c:ptCount val="40"/>
                <c:pt idx="1">
                  <c:v>0.2</c:v>
                </c:pt>
                <c:pt idx="2">
                  <c:v>0.44444444444444442</c:v>
                </c:pt>
                <c:pt idx="3">
                  <c:v>0.4</c:v>
                </c:pt>
                <c:pt idx="4">
                  <c:v>0.35483870967741937</c:v>
                </c:pt>
                <c:pt idx="5">
                  <c:v>0.36363636363636365</c:v>
                </c:pt>
                <c:pt idx="6">
                  <c:v>0.35294117647058826</c:v>
                </c:pt>
                <c:pt idx="7">
                  <c:v>0.35087719298245612</c:v>
                </c:pt>
                <c:pt idx="8">
                  <c:v>0.328125</c:v>
                </c:pt>
                <c:pt idx="9">
                  <c:v>0.34285714285714286</c:v>
                </c:pt>
                <c:pt idx="10">
                  <c:v>0.35802469135802467</c:v>
                </c:pt>
                <c:pt idx="11">
                  <c:v>0.34090909090909088</c:v>
                </c:pt>
                <c:pt idx="12">
                  <c:v>0.34693877551020408</c:v>
                </c:pt>
                <c:pt idx="13">
                  <c:v>0.34285714285714286</c:v>
                </c:pt>
                <c:pt idx="14">
                  <c:v>0.32743362831858408</c:v>
                </c:pt>
                <c:pt idx="15">
                  <c:v>0.33057851239669422</c:v>
                </c:pt>
                <c:pt idx="16">
                  <c:v>0.31746031746031744</c:v>
                </c:pt>
                <c:pt idx="17">
                  <c:v>0.31851851851851853</c:v>
                </c:pt>
                <c:pt idx="18">
                  <c:v>0.30769230769230771</c:v>
                </c:pt>
                <c:pt idx="19">
                  <c:v>0.31543624161073824</c:v>
                </c:pt>
                <c:pt idx="20">
                  <c:v>0.310126582278481</c:v>
                </c:pt>
                <c:pt idx="21">
                  <c:v>0.30722891566265059</c:v>
                </c:pt>
                <c:pt idx="22">
                  <c:v>0.29310344827586204</c:v>
                </c:pt>
                <c:pt idx="23">
                  <c:v>0.29032258064516131</c:v>
                </c:pt>
                <c:pt idx="24">
                  <c:v>0.29949238578680204</c:v>
                </c:pt>
                <c:pt idx="25">
                  <c:v>0.29411764705882354</c:v>
                </c:pt>
                <c:pt idx="26">
                  <c:v>0.30288461538461536</c:v>
                </c:pt>
                <c:pt idx="27">
                  <c:v>0.31018518518518517</c:v>
                </c:pt>
                <c:pt idx="28">
                  <c:v>0.30088495575221241</c:v>
                </c:pt>
                <c:pt idx="29">
                  <c:v>0.30042918454935624</c:v>
                </c:pt>
                <c:pt idx="30">
                  <c:v>0.30290456431535268</c:v>
                </c:pt>
                <c:pt idx="31">
                  <c:v>0.31075697211155379</c:v>
                </c:pt>
                <c:pt idx="32">
                  <c:v>0.30708661417322836</c:v>
                </c:pt>
                <c:pt idx="33">
                  <c:v>0.30681818181818182</c:v>
                </c:pt>
                <c:pt idx="34">
                  <c:v>0.30909090909090908</c:v>
                </c:pt>
                <c:pt idx="35">
                  <c:v>0.30877192982456142</c:v>
                </c:pt>
                <c:pt idx="36">
                  <c:v>0.3087248322147651</c:v>
                </c:pt>
                <c:pt idx="37">
                  <c:v>0.30263157894736842</c:v>
                </c:pt>
                <c:pt idx="38">
                  <c:v>0.3032258064516129</c:v>
                </c:pt>
                <c:pt idx="39">
                  <c:v>0.30312499999999998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あやめ2!$H$1:$H$2</c:f>
              <c:strCache>
                <c:ptCount val="2"/>
                <c:pt idx="0">
                  <c:v>あやめ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あやめ2!$H$3:$H$42</c:f>
              <c:numCache>
                <c:formatCode>0.0%</c:formatCode>
                <c:ptCount val="40"/>
                <c:pt idx="1">
                  <c:v>0</c:v>
                </c:pt>
                <c:pt idx="2">
                  <c:v>0.16666666666666666</c:v>
                </c:pt>
                <c:pt idx="3">
                  <c:v>0.12</c:v>
                </c:pt>
                <c:pt idx="4">
                  <c:v>0.19354838709677419</c:v>
                </c:pt>
                <c:pt idx="5">
                  <c:v>0.18181818181818182</c:v>
                </c:pt>
                <c:pt idx="6">
                  <c:v>0.19607843137254902</c:v>
                </c:pt>
                <c:pt idx="7">
                  <c:v>0.21052631578947367</c:v>
                </c:pt>
                <c:pt idx="8">
                  <c:v>0.21875</c:v>
                </c:pt>
                <c:pt idx="9">
                  <c:v>0.21428571428571427</c:v>
                </c:pt>
                <c:pt idx="10">
                  <c:v>0.20987654320987653</c:v>
                </c:pt>
                <c:pt idx="11">
                  <c:v>0.19318181818181818</c:v>
                </c:pt>
                <c:pt idx="12">
                  <c:v>0.18367346938775511</c:v>
                </c:pt>
                <c:pt idx="13">
                  <c:v>0.19047619047619047</c:v>
                </c:pt>
                <c:pt idx="14">
                  <c:v>0.17699115044247787</c:v>
                </c:pt>
                <c:pt idx="15">
                  <c:v>0.19008264462809918</c:v>
                </c:pt>
                <c:pt idx="16">
                  <c:v>0.20634920634920634</c:v>
                </c:pt>
                <c:pt idx="17">
                  <c:v>0.2074074074074074</c:v>
                </c:pt>
                <c:pt idx="18">
                  <c:v>0.21678321678321677</c:v>
                </c:pt>
                <c:pt idx="19">
                  <c:v>0.20805369127516779</c:v>
                </c:pt>
                <c:pt idx="20">
                  <c:v>0.20886075949367089</c:v>
                </c:pt>
                <c:pt idx="21">
                  <c:v>0.20481927710843373</c:v>
                </c:pt>
                <c:pt idx="22">
                  <c:v>0.20689655172413793</c:v>
                </c:pt>
                <c:pt idx="23">
                  <c:v>0.19892473118279569</c:v>
                </c:pt>
                <c:pt idx="24">
                  <c:v>0.19289340101522842</c:v>
                </c:pt>
                <c:pt idx="25">
                  <c:v>0.19607843137254902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0.19026548672566371</c:v>
                </c:pt>
                <c:pt idx="29">
                  <c:v>0.20171673819742489</c:v>
                </c:pt>
                <c:pt idx="30">
                  <c:v>0.2074688796680498</c:v>
                </c:pt>
                <c:pt idx="31">
                  <c:v>0.20318725099601595</c:v>
                </c:pt>
                <c:pt idx="32">
                  <c:v>0.20866141732283464</c:v>
                </c:pt>
                <c:pt idx="33">
                  <c:v>0.21212121212121213</c:v>
                </c:pt>
                <c:pt idx="34">
                  <c:v>0.20727272727272728</c:v>
                </c:pt>
                <c:pt idx="35">
                  <c:v>0.20701754385964913</c:v>
                </c:pt>
                <c:pt idx="36">
                  <c:v>0.20805369127516779</c:v>
                </c:pt>
                <c:pt idx="37">
                  <c:v>0.21052631578947367</c:v>
                </c:pt>
                <c:pt idx="38">
                  <c:v>0.20967741935483872</c:v>
                </c:pt>
                <c:pt idx="39">
                  <c:v>0.20624999999999999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041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あやめ2!$I$1:$I$2</c:f>
              <c:strCache>
                <c:ptCount val="2"/>
                <c:pt idx="0">
                  <c:v>あやめ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あやめ2!$I$3:$I$42</c:f>
              <c:numCache>
                <c:formatCode>0</c:formatCode>
                <c:ptCount val="40"/>
                <c:pt idx="1">
                  <c:v>8000</c:v>
                </c:pt>
                <c:pt idx="2">
                  <c:v>5350</c:v>
                </c:pt>
                <c:pt idx="3">
                  <c:v>5270</c:v>
                </c:pt>
                <c:pt idx="4">
                  <c:v>4863.636363636364</c:v>
                </c:pt>
                <c:pt idx="5">
                  <c:v>5662.5</c:v>
                </c:pt>
                <c:pt idx="6">
                  <c:v>5533.333333333333</c:v>
                </c:pt>
                <c:pt idx="7">
                  <c:v>5880</c:v>
                </c:pt>
                <c:pt idx="8">
                  <c:v>6457.1428571428569</c:v>
                </c:pt>
                <c:pt idx="9">
                  <c:v>6395.833333333333</c:v>
                </c:pt>
                <c:pt idx="10">
                  <c:v>6486.2068965517237</c:v>
                </c:pt>
                <c:pt idx="11">
                  <c:v>6670</c:v>
                </c:pt>
                <c:pt idx="12">
                  <c:v>6517.6470588235297</c:v>
                </c:pt>
                <c:pt idx="13">
                  <c:v>6466.666666666667</c:v>
                </c:pt>
                <c:pt idx="14">
                  <c:v>6616.2162162162158</c:v>
                </c:pt>
                <c:pt idx="15">
                  <c:v>6602.5</c:v>
                </c:pt>
                <c:pt idx="16">
                  <c:v>6602.5</c:v>
                </c:pt>
                <c:pt idx="17">
                  <c:v>6813.9534883720926</c:v>
                </c:pt>
                <c:pt idx="18">
                  <c:v>6695.454545454545</c:v>
                </c:pt>
                <c:pt idx="19">
                  <c:v>6648.9361702127662</c:v>
                </c:pt>
                <c:pt idx="20">
                  <c:v>6724.4897959183672</c:v>
                </c:pt>
                <c:pt idx="21">
                  <c:v>6813.7254901960787</c:v>
                </c:pt>
                <c:pt idx="22">
                  <c:v>6813.7254901960787</c:v>
                </c:pt>
                <c:pt idx="23">
                  <c:v>6618.5185185185182</c:v>
                </c:pt>
                <c:pt idx="24">
                  <c:v>6494.9152542372885</c:v>
                </c:pt>
                <c:pt idx="25">
                  <c:v>6411.666666666667</c:v>
                </c:pt>
                <c:pt idx="26">
                  <c:v>6506.3492063492067</c:v>
                </c:pt>
                <c:pt idx="27">
                  <c:v>6565.6716417910447</c:v>
                </c:pt>
                <c:pt idx="28">
                  <c:v>6498.5294117647063</c:v>
                </c:pt>
                <c:pt idx="29">
                  <c:v>6655.7142857142853</c:v>
                </c:pt>
                <c:pt idx="30">
                  <c:v>6669.8630136986303</c:v>
                </c:pt>
                <c:pt idx="31">
                  <c:v>6511.5384615384619</c:v>
                </c:pt>
                <c:pt idx="32">
                  <c:v>6511.5384615384619</c:v>
                </c:pt>
                <c:pt idx="33">
                  <c:v>6528.3950617283954</c:v>
                </c:pt>
                <c:pt idx="34">
                  <c:v>6532.9411764705883</c:v>
                </c:pt>
                <c:pt idx="35">
                  <c:v>6453.409090909091</c:v>
                </c:pt>
                <c:pt idx="36">
                  <c:v>6401.086956521739</c:v>
                </c:pt>
                <c:pt idx="37">
                  <c:v>6401.086956521739</c:v>
                </c:pt>
                <c:pt idx="38">
                  <c:v>6392.5531914893618</c:v>
                </c:pt>
                <c:pt idx="39">
                  <c:v>6410.3092783505153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085.41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あやめ2!$J$1:$J$2</c:f>
              <c:strCache>
                <c:ptCount val="2"/>
                <c:pt idx="0">
                  <c:v>あやめ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あやめ2!$J$3:$J$42</c:f>
              <c:numCache>
                <c:formatCode>0</c:formatCode>
                <c:ptCount val="40"/>
                <c:pt idx="1">
                  <c:v>0</c:v>
                </c:pt>
                <c:pt idx="2">
                  <c:v>-7633.333333333333</c:v>
                </c:pt>
                <c:pt idx="3">
                  <c:v>-7633.333333333333</c:v>
                </c:pt>
                <c:pt idx="4">
                  <c:v>-6550</c:v>
                </c:pt>
                <c:pt idx="5">
                  <c:v>-5412.5</c:v>
                </c:pt>
                <c:pt idx="6">
                  <c:v>-7530</c:v>
                </c:pt>
                <c:pt idx="7">
                  <c:v>-7600</c:v>
                </c:pt>
                <c:pt idx="8">
                  <c:v>-8507.1428571428569</c:v>
                </c:pt>
                <c:pt idx="9">
                  <c:v>-8340</c:v>
                </c:pt>
                <c:pt idx="10">
                  <c:v>-8164.7058823529414</c:v>
                </c:pt>
                <c:pt idx="11">
                  <c:v>-8164.7058823529414</c:v>
                </c:pt>
                <c:pt idx="12">
                  <c:v>-8044.4444444444443</c:v>
                </c:pt>
                <c:pt idx="13">
                  <c:v>-8740</c:v>
                </c:pt>
                <c:pt idx="14">
                  <c:v>-8740</c:v>
                </c:pt>
                <c:pt idx="15">
                  <c:v>-8243.4782608695659</c:v>
                </c:pt>
                <c:pt idx="16">
                  <c:v>-8396.1538461538457</c:v>
                </c:pt>
                <c:pt idx="17">
                  <c:v>-8082.1428571428569</c:v>
                </c:pt>
                <c:pt idx="18">
                  <c:v>-8041.9354838709678</c:v>
                </c:pt>
                <c:pt idx="19">
                  <c:v>-8041.9354838709678</c:v>
                </c:pt>
                <c:pt idx="20">
                  <c:v>-7990.909090909091</c:v>
                </c:pt>
                <c:pt idx="21">
                  <c:v>-7991.1764705882351</c:v>
                </c:pt>
                <c:pt idx="22">
                  <c:v>-7852.7777777777774</c:v>
                </c:pt>
                <c:pt idx="23">
                  <c:v>-7781.0810810810808</c:v>
                </c:pt>
                <c:pt idx="24">
                  <c:v>-7813.1578947368425</c:v>
                </c:pt>
                <c:pt idx="25">
                  <c:v>-7622.5</c:v>
                </c:pt>
                <c:pt idx="26">
                  <c:v>-7622.5</c:v>
                </c:pt>
                <c:pt idx="27">
                  <c:v>-7622.5</c:v>
                </c:pt>
                <c:pt idx="28">
                  <c:v>-7353.4883720930229</c:v>
                </c:pt>
                <c:pt idx="29">
                  <c:v>-7536.1702127659573</c:v>
                </c:pt>
                <c:pt idx="30">
                  <c:v>-7450</c:v>
                </c:pt>
                <c:pt idx="31">
                  <c:v>-7343.1372549019607</c:v>
                </c:pt>
                <c:pt idx="32">
                  <c:v>-7443.3962264150941</c:v>
                </c:pt>
                <c:pt idx="33">
                  <c:v>-7508.9285714285716</c:v>
                </c:pt>
                <c:pt idx="34">
                  <c:v>-7482.4561403508769</c:v>
                </c:pt>
                <c:pt idx="35">
                  <c:v>-7452.5423728813557</c:v>
                </c:pt>
                <c:pt idx="36">
                  <c:v>-7462.9032258064517</c:v>
                </c:pt>
                <c:pt idx="37">
                  <c:v>-7401.5625</c:v>
                </c:pt>
                <c:pt idx="38">
                  <c:v>-7303.0769230769229</c:v>
                </c:pt>
                <c:pt idx="39">
                  <c:v>-7313.636363636364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704.82758620689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あやめ2!$K$1:$K$2</c:f>
              <c:strCache>
                <c:ptCount val="2"/>
                <c:pt idx="0">
                  <c:v>あやめ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あやめ2!$K$3:$K$42</c:f>
              <c:numCache>
                <c:formatCode>0.0%</c:formatCode>
                <c:ptCount val="4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あやめ2!$L$1:$L$2</c:f>
              <c:strCache>
                <c:ptCount val="2"/>
                <c:pt idx="0">
                  <c:v>あやめ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あやめ2!$L$3:$L$42</c:f>
              <c:numCache>
                <c:formatCode>0.0%</c:formatCode>
                <c:ptCount val="40"/>
                <c:pt idx="1">
                  <c:v>0.4</c:v>
                </c:pt>
                <c:pt idx="2">
                  <c:v>0.33333333333333331</c:v>
                </c:pt>
                <c:pt idx="3">
                  <c:v>0.44</c:v>
                </c:pt>
                <c:pt idx="4">
                  <c:v>0.38709677419354838</c:v>
                </c:pt>
                <c:pt idx="5">
                  <c:v>0.43181818181818182</c:v>
                </c:pt>
                <c:pt idx="6">
                  <c:v>0.41176470588235292</c:v>
                </c:pt>
                <c:pt idx="7">
                  <c:v>0.40350877192982454</c:v>
                </c:pt>
                <c:pt idx="8">
                  <c:v>0.375</c:v>
                </c:pt>
                <c:pt idx="9">
                  <c:v>0.37142857142857144</c:v>
                </c:pt>
                <c:pt idx="10">
                  <c:v>0.37037037037037035</c:v>
                </c:pt>
                <c:pt idx="11">
                  <c:v>0.35227272727272729</c:v>
                </c:pt>
                <c:pt idx="12">
                  <c:v>0.36734693877551022</c:v>
                </c:pt>
                <c:pt idx="13">
                  <c:v>0.38095238095238093</c:v>
                </c:pt>
                <c:pt idx="14">
                  <c:v>0.35398230088495575</c:v>
                </c:pt>
                <c:pt idx="15">
                  <c:v>0.33884297520661155</c:v>
                </c:pt>
                <c:pt idx="16">
                  <c:v>0.32539682539682541</c:v>
                </c:pt>
                <c:pt idx="17">
                  <c:v>0.32592592592592595</c:v>
                </c:pt>
                <c:pt idx="18">
                  <c:v>0.32167832167832167</c:v>
                </c:pt>
                <c:pt idx="19">
                  <c:v>0.32214765100671139</c:v>
                </c:pt>
                <c:pt idx="20">
                  <c:v>0.32278481012658228</c:v>
                </c:pt>
                <c:pt idx="21">
                  <c:v>0.31927710843373491</c:v>
                </c:pt>
                <c:pt idx="22">
                  <c:v>0.31609195402298851</c:v>
                </c:pt>
                <c:pt idx="23">
                  <c:v>0.31182795698924731</c:v>
                </c:pt>
                <c:pt idx="24">
                  <c:v>0.32487309644670048</c:v>
                </c:pt>
                <c:pt idx="25">
                  <c:v>0.3235294117647059</c:v>
                </c:pt>
                <c:pt idx="26">
                  <c:v>0.32211538461538464</c:v>
                </c:pt>
                <c:pt idx="27">
                  <c:v>0.32870370370370372</c:v>
                </c:pt>
                <c:pt idx="28">
                  <c:v>0.33185840707964603</c:v>
                </c:pt>
                <c:pt idx="29">
                  <c:v>0.3261802575107296</c:v>
                </c:pt>
                <c:pt idx="30">
                  <c:v>0.32780082987551867</c:v>
                </c:pt>
                <c:pt idx="31">
                  <c:v>0.34262948207171312</c:v>
                </c:pt>
                <c:pt idx="32">
                  <c:v>0.34645669291338582</c:v>
                </c:pt>
                <c:pt idx="33">
                  <c:v>0.34848484848484851</c:v>
                </c:pt>
                <c:pt idx="34">
                  <c:v>0.34545454545454546</c:v>
                </c:pt>
                <c:pt idx="35">
                  <c:v>0.3473684210526316</c:v>
                </c:pt>
                <c:pt idx="36">
                  <c:v>0.34228187919463088</c:v>
                </c:pt>
                <c:pt idx="37">
                  <c:v>0.33881578947368424</c:v>
                </c:pt>
                <c:pt idx="38">
                  <c:v>0.34193548387096773</c:v>
                </c:pt>
                <c:pt idx="39">
                  <c:v>0.34062500000000001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5416666666666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あやめ2!$M$1:$M$2</c:f>
              <c:strCache>
                <c:ptCount val="2"/>
                <c:pt idx="0">
                  <c:v>あやめ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あやめ2!$M$3:$M$42</c:f>
              <c:numCache>
                <c:formatCode>0.0%</c:formatCode>
                <c:ptCount val="40"/>
                <c:pt idx="1">
                  <c:v>0.4</c:v>
                </c:pt>
                <c:pt idx="2">
                  <c:v>0.3888888888888889</c:v>
                </c:pt>
                <c:pt idx="3">
                  <c:v>0.28000000000000003</c:v>
                </c:pt>
                <c:pt idx="4">
                  <c:v>0.29032258064516131</c:v>
                </c:pt>
                <c:pt idx="5">
                  <c:v>0.25</c:v>
                </c:pt>
                <c:pt idx="6">
                  <c:v>0.27450980392156865</c:v>
                </c:pt>
                <c:pt idx="7">
                  <c:v>0.2807017543859649</c:v>
                </c:pt>
                <c:pt idx="8">
                  <c:v>0.265625</c:v>
                </c:pt>
                <c:pt idx="9">
                  <c:v>0.2857142857142857</c:v>
                </c:pt>
                <c:pt idx="10">
                  <c:v>0.2839506172839506</c:v>
                </c:pt>
                <c:pt idx="11">
                  <c:v>0.27272727272727271</c:v>
                </c:pt>
                <c:pt idx="12">
                  <c:v>0.25510204081632654</c:v>
                </c:pt>
                <c:pt idx="13">
                  <c:v>0.23809523809523808</c:v>
                </c:pt>
                <c:pt idx="14">
                  <c:v>0.24778761061946902</c:v>
                </c:pt>
                <c:pt idx="15">
                  <c:v>0.24793388429752067</c:v>
                </c:pt>
                <c:pt idx="16">
                  <c:v>0.25396825396825395</c:v>
                </c:pt>
                <c:pt idx="17">
                  <c:v>0.25925925925925924</c:v>
                </c:pt>
                <c:pt idx="18">
                  <c:v>0.25874125874125875</c:v>
                </c:pt>
                <c:pt idx="19">
                  <c:v>0.25503355704697989</c:v>
                </c:pt>
                <c:pt idx="20">
                  <c:v>0.25316455696202533</c:v>
                </c:pt>
                <c:pt idx="21">
                  <c:v>0.25301204819277107</c:v>
                </c:pt>
                <c:pt idx="22">
                  <c:v>0.2471264367816092</c:v>
                </c:pt>
                <c:pt idx="23">
                  <c:v>0.25268817204301075</c:v>
                </c:pt>
                <c:pt idx="24">
                  <c:v>0.24873096446700507</c:v>
                </c:pt>
                <c:pt idx="25">
                  <c:v>0.24509803921568626</c:v>
                </c:pt>
                <c:pt idx="26">
                  <c:v>0.25480769230769229</c:v>
                </c:pt>
                <c:pt idx="27">
                  <c:v>0.24537037037037038</c:v>
                </c:pt>
                <c:pt idx="28">
                  <c:v>0.23893805309734514</c:v>
                </c:pt>
                <c:pt idx="29">
                  <c:v>0.23175965665236051</c:v>
                </c:pt>
                <c:pt idx="30">
                  <c:v>0.22821576763485477</c:v>
                </c:pt>
                <c:pt idx="31">
                  <c:v>0.22310756972111553</c:v>
                </c:pt>
                <c:pt idx="32">
                  <c:v>0.22047244094488189</c:v>
                </c:pt>
                <c:pt idx="33">
                  <c:v>0.22727272727272727</c:v>
                </c:pt>
                <c:pt idx="34">
                  <c:v>0.23636363636363636</c:v>
                </c:pt>
                <c:pt idx="35">
                  <c:v>0.22807017543859648</c:v>
                </c:pt>
                <c:pt idx="36">
                  <c:v>0.23154362416107382</c:v>
                </c:pt>
                <c:pt idx="37">
                  <c:v>0.23355263157894737</c:v>
                </c:pt>
                <c:pt idx="38">
                  <c:v>0.23225806451612904</c:v>
                </c:pt>
                <c:pt idx="39">
                  <c:v>0.234375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82291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あやめ2!$N$1:$N$2</c:f>
              <c:strCache>
                <c:ptCount val="2"/>
                <c:pt idx="0">
                  <c:v>あやめ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あやめ2!$N$3:$N$42</c:f>
              <c:numCache>
                <c:formatCode>0.0%</c:formatCode>
                <c:ptCount val="40"/>
                <c:pt idx="1">
                  <c:v>0</c:v>
                </c:pt>
                <c:pt idx="2">
                  <c:v>0.5</c:v>
                </c:pt>
                <c:pt idx="3">
                  <c:v>0.45454545454545453</c:v>
                </c:pt>
                <c:pt idx="4">
                  <c:v>0.41666666666666669</c:v>
                </c:pt>
                <c:pt idx="5">
                  <c:v>0.52631578947368418</c:v>
                </c:pt>
                <c:pt idx="6">
                  <c:v>0.47619047619047616</c:v>
                </c:pt>
                <c:pt idx="7">
                  <c:v>0.52173913043478259</c:v>
                </c:pt>
                <c:pt idx="8">
                  <c:v>0.54166666666666663</c:v>
                </c:pt>
                <c:pt idx="9">
                  <c:v>0.53846153846153844</c:v>
                </c:pt>
                <c:pt idx="10">
                  <c:v>0.56666666666666665</c:v>
                </c:pt>
                <c:pt idx="11">
                  <c:v>0.58064516129032262</c:v>
                </c:pt>
                <c:pt idx="12">
                  <c:v>0.58333333333333337</c:v>
                </c:pt>
                <c:pt idx="13">
                  <c:v>0.57499999999999996</c:v>
                </c:pt>
                <c:pt idx="14">
                  <c:v>0.57499999999999996</c:v>
                </c:pt>
                <c:pt idx="15">
                  <c:v>0.56097560975609762</c:v>
                </c:pt>
                <c:pt idx="16">
                  <c:v>0.56097560975609762</c:v>
                </c:pt>
                <c:pt idx="17">
                  <c:v>0.59090909090909094</c:v>
                </c:pt>
                <c:pt idx="18">
                  <c:v>0.56521739130434778</c:v>
                </c:pt>
                <c:pt idx="19">
                  <c:v>0.58333333333333337</c:v>
                </c:pt>
                <c:pt idx="20">
                  <c:v>0.56862745098039214</c:v>
                </c:pt>
                <c:pt idx="21">
                  <c:v>0.56603773584905659</c:v>
                </c:pt>
                <c:pt idx="22">
                  <c:v>0.54545454545454541</c:v>
                </c:pt>
                <c:pt idx="23">
                  <c:v>0.53448275862068961</c:v>
                </c:pt>
                <c:pt idx="24">
                  <c:v>0.546875</c:v>
                </c:pt>
                <c:pt idx="25">
                  <c:v>0.53030303030303028</c:v>
                </c:pt>
                <c:pt idx="26">
                  <c:v>0.53731343283582089</c:v>
                </c:pt>
                <c:pt idx="27">
                  <c:v>0.56338028169014087</c:v>
                </c:pt>
                <c:pt idx="28">
                  <c:v>0.54666666666666663</c:v>
                </c:pt>
                <c:pt idx="29">
                  <c:v>0.55263157894736847</c:v>
                </c:pt>
                <c:pt idx="30">
                  <c:v>0.569620253164557</c:v>
                </c:pt>
                <c:pt idx="31">
                  <c:v>0.56976744186046513</c:v>
                </c:pt>
                <c:pt idx="32">
                  <c:v>0.55681818181818177</c:v>
                </c:pt>
                <c:pt idx="33">
                  <c:v>0.55434782608695654</c:v>
                </c:pt>
                <c:pt idx="34">
                  <c:v>0.55789473684210522</c:v>
                </c:pt>
                <c:pt idx="35">
                  <c:v>0.55555555555555558</c:v>
                </c:pt>
                <c:pt idx="36">
                  <c:v>0.55882352941176472</c:v>
                </c:pt>
                <c:pt idx="37">
                  <c:v>0.55339805825242716</c:v>
                </c:pt>
                <c:pt idx="38">
                  <c:v>0.55660377358490565</c:v>
                </c:pt>
                <c:pt idx="39">
                  <c:v>0.55045871559633031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0291970802919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あやめ2!$O$1:$O$2</c:f>
              <c:strCache>
                <c:ptCount val="2"/>
                <c:pt idx="0">
                  <c:v>あやめ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あやめ2!$O$3:$O$42</c:f>
              <c:numCache>
                <c:formatCode>0.0%</c:formatCode>
                <c:ptCount val="40"/>
                <c:pt idx="1">
                  <c:v>0.5</c:v>
                </c:pt>
                <c:pt idx="2">
                  <c:v>0.5714285714285714</c:v>
                </c:pt>
                <c:pt idx="3">
                  <c:v>0.5714285714285714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0.5</c:v>
                </c:pt>
                <c:pt idx="7">
                  <c:v>0.4375</c:v>
                </c:pt>
                <c:pt idx="8">
                  <c:v>0.41176470588235292</c:v>
                </c:pt>
                <c:pt idx="9">
                  <c:v>0.45</c:v>
                </c:pt>
                <c:pt idx="10">
                  <c:v>0.47826086956521741</c:v>
                </c:pt>
                <c:pt idx="11">
                  <c:v>0.45833333333333331</c:v>
                </c:pt>
                <c:pt idx="12">
                  <c:v>0.48</c:v>
                </c:pt>
                <c:pt idx="13">
                  <c:v>0.48</c:v>
                </c:pt>
                <c:pt idx="14">
                  <c:v>0.4642857142857143</c:v>
                </c:pt>
                <c:pt idx="15">
                  <c:v>0.5</c:v>
                </c:pt>
                <c:pt idx="16">
                  <c:v>0.46875</c:v>
                </c:pt>
                <c:pt idx="17">
                  <c:v>0.42857142857142855</c:v>
                </c:pt>
                <c:pt idx="18">
                  <c:v>0.40540540540540543</c:v>
                </c:pt>
                <c:pt idx="19">
                  <c:v>0.42105263157894735</c:v>
                </c:pt>
                <c:pt idx="20">
                  <c:v>0.42499999999999999</c:v>
                </c:pt>
                <c:pt idx="21">
                  <c:v>0.42857142857142855</c:v>
                </c:pt>
                <c:pt idx="22">
                  <c:v>0.41860465116279072</c:v>
                </c:pt>
                <c:pt idx="23">
                  <c:v>0.40425531914893614</c:v>
                </c:pt>
                <c:pt idx="24">
                  <c:v>0.40816326530612246</c:v>
                </c:pt>
                <c:pt idx="25">
                  <c:v>0.42</c:v>
                </c:pt>
                <c:pt idx="26">
                  <c:v>0.43396226415094341</c:v>
                </c:pt>
                <c:pt idx="27">
                  <c:v>0.43396226415094341</c:v>
                </c:pt>
                <c:pt idx="28">
                  <c:v>0.42592592592592593</c:v>
                </c:pt>
                <c:pt idx="29">
                  <c:v>0.42592592592592593</c:v>
                </c:pt>
                <c:pt idx="30">
                  <c:v>0.41818181818181815</c:v>
                </c:pt>
                <c:pt idx="31">
                  <c:v>0.42857142857142855</c:v>
                </c:pt>
                <c:pt idx="32">
                  <c:v>0.42857142857142855</c:v>
                </c:pt>
                <c:pt idx="33">
                  <c:v>0.41666666666666669</c:v>
                </c:pt>
                <c:pt idx="34">
                  <c:v>0.41538461538461541</c:v>
                </c:pt>
                <c:pt idx="35">
                  <c:v>0.41538461538461541</c:v>
                </c:pt>
                <c:pt idx="36">
                  <c:v>0.42028985507246375</c:v>
                </c:pt>
                <c:pt idx="37">
                  <c:v>0.40845070422535212</c:v>
                </c:pt>
                <c:pt idx="38">
                  <c:v>0.40277777777777779</c:v>
                </c:pt>
                <c:pt idx="39">
                  <c:v>0.41333333333333333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1428571428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あやめ2!$P$1:$P$2</c:f>
              <c:strCache>
                <c:ptCount val="2"/>
                <c:pt idx="0">
                  <c:v>あやめ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あやめ2!$A$3:$A$42</c:f>
              <c:numCache>
                <c:formatCode>0\ "回"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あやめ2!$P$3:$P$42</c:f>
              <c:numCache>
                <c:formatCode>0.0%</c:formatCode>
                <c:ptCount val="40"/>
                <c:pt idx="1">
                  <c:v>0</c:v>
                </c:pt>
                <c:pt idx="2">
                  <c:v>0.5</c:v>
                </c:pt>
                <c:pt idx="3">
                  <c:v>0.6</c:v>
                </c:pt>
                <c:pt idx="4">
                  <c:v>0.63636363636363635</c:v>
                </c:pt>
                <c:pt idx="5">
                  <c:v>0.5</c:v>
                </c:pt>
                <c:pt idx="6">
                  <c:v>0.5</c:v>
                </c:pt>
                <c:pt idx="7">
                  <c:v>0.55000000000000004</c:v>
                </c:pt>
                <c:pt idx="8">
                  <c:v>0.5714285714285714</c:v>
                </c:pt>
                <c:pt idx="9">
                  <c:v>0.58333333333333337</c:v>
                </c:pt>
                <c:pt idx="10">
                  <c:v>0.51724137931034486</c:v>
                </c:pt>
                <c:pt idx="11">
                  <c:v>0.53333333333333333</c:v>
                </c:pt>
                <c:pt idx="12">
                  <c:v>0.55882352941176472</c:v>
                </c:pt>
                <c:pt idx="13">
                  <c:v>0.58333333333333337</c:v>
                </c:pt>
                <c:pt idx="14">
                  <c:v>0.59459459459459463</c:v>
                </c:pt>
                <c:pt idx="15">
                  <c:v>0.57499999999999996</c:v>
                </c:pt>
                <c:pt idx="16">
                  <c:v>0.57499999999999996</c:v>
                </c:pt>
                <c:pt idx="17">
                  <c:v>0.58139534883720934</c:v>
                </c:pt>
                <c:pt idx="18">
                  <c:v>0.56818181818181823</c:v>
                </c:pt>
                <c:pt idx="19">
                  <c:v>0.55319148936170215</c:v>
                </c:pt>
                <c:pt idx="20">
                  <c:v>0.55102040816326525</c:v>
                </c:pt>
                <c:pt idx="21">
                  <c:v>0.5490196078431373</c:v>
                </c:pt>
                <c:pt idx="22">
                  <c:v>0.5490196078431373</c:v>
                </c:pt>
                <c:pt idx="23">
                  <c:v>0.55555555555555558</c:v>
                </c:pt>
                <c:pt idx="24">
                  <c:v>0.57627118644067798</c:v>
                </c:pt>
                <c:pt idx="25">
                  <c:v>0.56666666666666665</c:v>
                </c:pt>
                <c:pt idx="26">
                  <c:v>0.55555555555555558</c:v>
                </c:pt>
                <c:pt idx="27">
                  <c:v>0.55223880597014929</c:v>
                </c:pt>
                <c:pt idx="28">
                  <c:v>0.54411764705882348</c:v>
                </c:pt>
                <c:pt idx="29">
                  <c:v>0.54285714285714282</c:v>
                </c:pt>
                <c:pt idx="30">
                  <c:v>0.56164383561643838</c:v>
                </c:pt>
                <c:pt idx="31">
                  <c:v>0.57692307692307687</c:v>
                </c:pt>
                <c:pt idx="32">
                  <c:v>0.57692307692307687</c:v>
                </c:pt>
                <c:pt idx="33">
                  <c:v>0.58024691358024694</c:v>
                </c:pt>
                <c:pt idx="34">
                  <c:v>0.57647058823529407</c:v>
                </c:pt>
                <c:pt idx="35">
                  <c:v>0.56818181818181823</c:v>
                </c:pt>
                <c:pt idx="36">
                  <c:v>0.56521739130434778</c:v>
                </c:pt>
                <c:pt idx="37">
                  <c:v>0.56521739130434778</c:v>
                </c:pt>
                <c:pt idx="38">
                  <c:v>0.55319148936170215</c:v>
                </c:pt>
                <c:pt idx="39">
                  <c:v>0.53608247422680411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96527777777777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12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7" x14ac:dyDescent="0.45">
      <c r="A1" s="1">
        <v>32874</v>
      </c>
      <c r="B1" s="1">
        <v>2958465</v>
      </c>
    </row>
    <row r="2" spans="1:7" x14ac:dyDescent="0.45">
      <c r="A2" s="2" t="s">
        <v>192</v>
      </c>
      <c r="B2" s="3">
        <v>43981.735972222225</v>
      </c>
      <c r="C2" s="2" t="s">
        <v>127</v>
      </c>
      <c r="D2" s="2" t="s">
        <v>188</v>
      </c>
      <c r="E2" s="2" t="s">
        <v>189</v>
      </c>
      <c r="F2" s="2" t="s">
        <v>190</v>
      </c>
    </row>
    <row r="3" spans="1:7" x14ac:dyDescent="0.45">
      <c r="A3" s="2" t="s">
        <v>196</v>
      </c>
      <c r="B3" s="3">
        <v>43981.73201388889</v>
      </c>
      <c r="C3" s="2" t="s">
        <v>127</v>
      </c>
      <c r="D3" s="2" t="s">
        <v>188</v>
      </c>
      <c r="E3" s="2" t="s">
        <v>189</v>
      </c>
    </row>
    <row r="4" spans="1:7" x14ac:dyDescent="0.45">
      <c r="A4" s="2" t="s">
        <v>197</v>
      </c>
      <c r="B4" s="3">
        <v>43981.737407407411</v>
      </c>
      <c r="C4" s="2" t="s">
        <v>127</v>
      </c>
      <c r="D4" s="2" t="s">
        <v>188</v>
      </c>
      <c r="E4" s="2" t="s">
        <v>189</v>
      </c>
      <c r="F4" s="2" t="s">
        <v>190</v>
      </c>
    </row>
    <row r="5" spans="1:7" x14ac:dyDescent="0.45">
      <c r="A5" s="2" t="s">
        <v>198</v>
      </c>
      <c r="B5" s="3">
        <v>43981.741736111115</v>
      </c>
      <c r="C5" s="2" t="s">
        <v>127</v>
      </c>
      <c r="D5" s="2" t="s">
        <v>188</v>
      </c>
      <c r="E5" s="2" t="s">
        <v>189</v>
      </c>
    </row>
    <row r="6" spans="1:7" x14ac:dyDescent="0.45">
      <c r="A6" s="2" t="s">
        <v>199</v>
      </c>
      <c r="B6" s="3">
        <v>43981.739016203705</v>
      </c>
      <c r="C6" s="2" t="s">
        <v>127</v>
      </c>
      <c r="D6" s="2" t="s">
        <v>188</v>
      </c>
    </row>
    <row r="7" spans="1:7" x14ac:dyDescent="0.45">
      <c r="A7" s="2" t="s">
        <v>200</v>
      </c>
      <c r="B7" s="3">
        <v>43981.739837962959</v>
      </c>
      <c r="C7" s="2" t="s">
        <v>127</v>
      </c>
      <c r="D7" s="2" t="s">
        <v>188</v>
      </c>
      <c r="E7" s="2" t="s">
        <v>189</v>
      </c>
      <c r="F7" s="2" t="s">
        <v>190</v>
      </c>
    </row>
    <row r="8" spans="1:7" x14ac:dyDescent="0.45">
      <c r="A8" s="2" t="s">
        <v>201</v>
      </c>
      <c r="B8" s="3">
        <v>43981.740949074076</v>
      </c>
      <c r="C8" s="2" t="s">
        <v>127</v>
      </c>
      <c r="D8" s="2" t="s">
        <v>188</v>
      </c>
      <c r="E8" s="2" t="s">
        <v>189</v>
      </c>
      <c r="F8" s="2" t="s">
        <v>190</v>
      </c>
    </row>
    <row r="9" spans="1:7" x14ac:dyDescent="0.45">
      <c r="A9" s="2" t="s">
        <v>202</v>
      </c>
      <c r="B9" s="3">
        <v>43981.733969907407</v>
      </c>
      <c r="C9" s="2" t="s">
        <v>127</v>
      </c>
      <c r="D9" s="2" t="s">
        <v>188</v>
      </c>
      <c r="E9" s="2" t="s">
        <v>189</v>
      </c>
      <c r="F9" s="2" t="s">
        <v>190</v>
      </c>
      <c r="G9" s="2" t="s">
        <v>203</v>
      </c>
    </row>
    <row r="10" spans="1:7" x14ac:dyDescent="0.45">
      <c r="A10" s="2" t="s">
        <v>204</v>
      </c>
      <c r="B10" s="3">
        <v>43981.738703703704</v>
      </c>
      <c r="C10" s="2" t="s">
        <v>127</v>
      </c>
      <c r="D10" s="2" t="s">
        <v>188</v>
      </c>
      <c r="E10" s="2" t="s">
        <v>189</v>
      </c>
      <c r="F10" s="2" t="s">
        <v>190</v>
      </c>
      <c r="G10" s="2" t="s">
        <v>203</v>
      </c>
    </row>
    <row r="11" spans="1:7" x14ac:dyDescent="0.45">
      <c r="A11" s="2" t="s">
        <v>205</v>
      </c>
      <c r="B11" s="3">
        <v>43981.735196759262</v>
      </c>
      <c r="C11" s="2" t="s">
        <v>127</v>
      </c>
      <c r="D11" s="2" t="s">
        <v>188</v>
      </c>
      <c r="E11" s="2" t="s">
        <v>189</v>
      </c>
    </row>
    <row r="12" spans="1:7" x14ac:dyDescent="0.45">
      <c r="A12" s="2" t="s">
        <v>206</v>
      </c>
      <c r="B12" s="3">
        <v>43981.870185185187</v>
      </c>
      <c r="C12" s="2" t="s">
        <v>127</v>
      </c>
      <c r="D12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117</v>
      </c>
    </row>
    <row r="2" spans="1:2" x14ac:dyDescent="0.45">
      <c r="A2" t="s">
        <v>194</v>
      </c>
      <c r="B2">
        <v>39</v>
      </c>
    </row>
    <row r="3" spans="1:2" x14ac:dyDescent="0.45">
      <c r="A3" t="s">
        <v>126</v>
      </c>
      <c r="B3">
        <v>39</v>
      </c>
    </row>
    <row r="4" spans="1:2" x14ac:dyDescent="0.45">
      <c r="A4" t="s">
        <v>193</v>
      </c>
      <c r="B4">
        <v>39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184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185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186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187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183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181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182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165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166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164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180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171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167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168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169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170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172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173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174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175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176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177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178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179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6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191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187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8" t="s">
        <v>149</v>
      </c>
      <c r="B2" s="139" t="s">
        <v>195</v>
      </c>
      <c r="C2" s="140"/>
      <c r="D2" s="145"/>
      <c r="E2" s="146"/>
      <c r="F2" s="145"/>
      <c r="G2" s="146"/>
      <c r="H2" s="139">
        <v>0.75954938572238606</v>
      </c>
      <c r="I2" s="140"/>
      <c r="J2" s="139">
        <v>0.97807406468035152</v>
      </c>
      <c r="K2" s="140"/>
      <c r="L2" s="139">
        <v>0.60301805794419672</v>
      </c>
      <c r="M2" s="140"/>
      <c r="N2" s="139">
        <v>0.87569093573941081</v>
      </c>
      <c r="O2" s="140"/>
      <c r="P2" s="139">
        <v>-0.97807406468035152</v>
      </c>
      <c r="Q2" s="140"/>
      <c r="R2" s="139">
        <v>0.68155527498045054</v>
      </c>
      <c r="S2" s="140"/>
      <c r="T2" s="139">
        <v>0.76659115877253592</v>
      </c>
      <c r="U2" s="140"/>
      <c r="V2" s="139">
        <v>0.96657671229044684</v>
      </c>
      <c r="W2" s="140"/>
      <c r="X2" s="139">
        <v>0.95116566200072306</v>
      </c>
      <c r="Y2" s="140"/>
      <c r="Z2" s="139">
        <v>-0.36831141002661605</v>
      </c>
      <c r="AA2" s="140"/>
      <c r="AB2" s="139">
        <v>-0.86844741267351067</v>
      </c>
      <c r="AC2" s="140"/>
      <c r="AD2" s="139">
        <v>0.17241836587521303</v>
      </c>
      <c r="AE2" s="140"/>
      <c r="AF2" s="139">
        <v>-0.12874753150301357</v>
      </c>
      <c r="AG2" s="140"/>
      <c r="AH2" s="139">
        <v>-0.86038061350354955</v>
      </c>
      <c r="AI2" s="140"/>
      <c r="AJ2" s="139">
        <v>0.60129648194102514</v>
      </c>
      <c r="AK2" s="140"/>
    </row>
    <row r="3" spans="1:37" x14ac:dyDescent="0.45">
      <c r="A3" s="40">
        <v>1</v>
      </c>
      <c r="B3" s="43" t="s">
        <v>194</v>
      </c>
      <c r="C3" s="117">
        <v>39</v>
      </c>
      <c r="D3" s="41" t="s">
        <v>194</v>
      </c>
      <c r="E3" s="42">
        <v>220.09999999999997</v>
      </c>
      <c r="F3" s="43" t="s">
        <v>194</v>
      </c>
      <c r="G3" s="62">
        <v>5.6435897435897431</v>
      </c>
      <c r="H3" s="43" t="s">
        <v>126</v>
      </c>
      <c r="I3" s="62">
        <v>1.0492063492063519</v>
      </c>
      <c r="J3" s="43" t="s">
        <v>194</v>
      </c>
      <c r="K3" s="44">
        <v>1.7948717948717949</v>
      </c>
      <c r="L3" s="43" t="s">
        <v>194</v>
      </c>
      <c r="M3" s="45">
        <v>0.48717948717948717</v>
      </c>
      <c r="N3" s="43" t="s">
        <v>126</v>
      </c>
      <c r="O3" s="45">
        <v>0.23076923076923078</v>
      </c>
      <c r="P3" s="43" t="s">
        <v>193</v>
      </c>
      <c r="Q3" s="46">
        <v>0.30312499999999998</v>
      </c>
      <c r="R3" s="43" t="s">
        <v>126</v>
      </c>
      <c r="S3" s="46">
        <v>9.6875000000000003E-2</v>
      </c>
      <c r="T3" s="43" t="s">
        <v>194</v>
      </c>
      <c r="U3" s="47">
        <v>8375.78947368421</v>
      </c>
      <c r="V3" s="43" t="s">
        <v>194</v>
      </c>
      <c r="W3" s="47">
        <v>-6168.75</v>
      </c>
      <c r="X3" s="43" t="s">
        <v>194</v>
      </c>
      <c r="Y3" s="45">
        <v>7.6923076923076927E-2</v>
      </c>
      <c r="Z3" s="43" t="s">
        <v>193</v>
      </c>
      <c r="AA3" s="46">
        <v>0.34062500000000001</v>
      </c>
      <c r="AB3" s="43" t="s">
        <v>193</v>
      </c>
      <c r="AC3" s="46">
        <v>0.234375</v>
      </c>
      <c r="AD3" s="43" t="s">
        <v>126</v>
      </c>
      <c r="AE3" s="46">
        <v>0.6875</v>
      </c>
      <c r="AF3" s="43" t="s">
        <v>126</v>
      </c>
      <c r="AG3" s="46">
        <v>0.44680851063829785</v>
      </c>
      <c r="AH3" s="43" t="s">
        <v>193</v>
      </c>
      <c r="AI3" s="46">
        <v>0.53608247422680411</v>
      </c>
      <c r="AJ3" s="43" t="s">
        <v>126</v>
      </c>
      <c r="AK3" s="57">
        <v>66300</v>
      </c>
    </row>
    <row r="4" spans="1:37" x14ac:dyDescent="0.45">
      <c r="A4" s="48">
        <v>2</v>
      </c>
      <c r="B4" s="51" t="s">
        <v>126</v>
      </c>
      <c r="C4" s="118">
        <v>39</v>
      </c>
      <c r="D4" s="49" t="s">
        <v>126</v>
      </c>
      <c r="E4" s="50">
        <v>61.70000000000001</v>
      </c>
      <c r="F4" s="51" t="s">
        <v>126</v>
      </c>
      <c r="G4" s="63">
        <v>1.5820512820512822</v>
      </c>
      <c r="H4" s="51" t="s">
        <v>194</v>
      </c>
      <c r="I4" s="63">
        <v>0.17758284600389848</v>
      </c>
      <c r="J4" s="51" t="s">
        <v>126</v>
      </c>
      <c r="K4" s="52">
        <v>2</v>
      </c>
      <c r="L4" s="51" t="s">
        <v>139</v>
      </c>
      <c r="M4" s="53">
        <v>0.33333333333333331</v>
      </c>
      <c r="N4" s="51" t="s">
        <v>194</v>
      </c>
      <c r="O4" s="53">
        <v>0.28205128205128205</v>
      </c>
      <c r="P4" s="51" t="s">
        <v>126</v>
      </c>
      <c r="Q4" s="54">
        <v>0.3</v>
      </c>
      <c r="R4" s="51" t="s">
        <v>194</v>
      </c>
      <c r="S4" s="54">
        <v>0.15</v>
      </c>
      <c r="T4" s="51" t="s">
        <v>139</v>
      </c>
      <c r="U4" s="55">
        <v>7085.416666666667</v>
      </c>
      <c r="V4" s="51" t="s">
        <v>126</v>
      </c>
      <c r="W4" s="55">
        <v>-6238.7096774193551</v>
      </c>
      <c r="X4" s="51" t="s">
        <v>126</v>
      </c>
      <c r="Y4" s="53">
        <v>7.6923076923076927E-2</v>
      </c>
      <c r="Z4" s="51" t="s">
        <v>194</v>
      </c>
      <c r="AA4" s="54">
        <v>0.31562499999999999</v>
      </c>
      <c r="AB4" s="51" t="s">
        <v>139</v>
      </c>
      <c r="AC4" s="54">
        <v>0.18229166666666666</v>
      </c>
      <c r="AD4" s="51" t="s">
        <v>139</v>
      </c>
      <c r="AE4" s="54">
        <v>0.58029197080291972</v>
      </c>
      <c r="AF4" s="51" t="s">
        <v>139</v>
      </c>
      <c r="AG4" s="54">
        <v>0.41714285714285715</v>
      </c>
      <c r="AH4" s="51" t="s">
        <v>139</v>
      </c>
      <c r="AI4" s="54">
        <v>0.49652777777777779</v>
      </c>
      <c r="AJ4" s="51" t="s">
        <v>139</v>
      </c>
      <c r="AK4" s="58">
        <v>66300</v>
      </c>
    </row>
    <row r="5" spans="1:37" x14ac:dyDescent="0.45">
      <c r="A5" s="48">
        <v>3</v>
      </c>
      <c r="B5" s="51" t="s">
        <v>193</v>
      </c>
      <c r="C5" s="118">
        <v>39</v>
      </c>
      <c r="D5" s="49" t="s">
        <v>139</v>
      </c>
      <c r="E5" s="50">
        <v>-7.1054273576010019E-15</v>
      </c>
      <c r="F5" s="51" t="s">
        <v>139</v>
      </c>
      <c r="G5" s="63">
        <v>-6.0730148355564125E-17</v>
      </c>
      <c r="H5" s="51" t="s">
        <v>139</v>
      </c>
      <c r="I5" s="63">
        <v>0</v>
      </c>
      <c r="J5" s="51" t="s">
        <v>139</v>
      </c>
      <c r="K5" s="52">
        <v>2</v>
      </c>
      <c r="L5" s="51" t="s">
        <v>193</v>
      </c>
      <c r="M5" s="53">
        <v>0.28205128205128205</v>
      </c>
      <c r="N5" s="51" t="s">
        <v>139</v>
      </c>
      <c r="O5" s="53">
        <v>0.33333333333333331</v>
      </c>
      <c r="P5" s="51" t="s">
        <v>139</v>
      </c>
      <c r="Q5" s="54">
        <v>0.3</v>
      </c>
      <c r="R5" s="51" t="s">
        <v>139</v>
      </c>
      <c r="S5" s="54">
        <v>0.15104166666666666</v>
      </c>
      <c r="T5" s="51" t="s">
        <v>126</v>
      </c>
      <c r="U5" s="55">
        <v>6490.625</v>
      </c>
      <c r="V5" s="51" t="s">
        <v>139</v>
      </c>
      <c r="W5" s="55">
        <v>-6704.8275862068967</v>
      </c>
      <c r="X5" s="51" t="s">
        <v>139</v>
      </c>
      <c r="Y5" s="53">
        <v>0.1111111111111111</v>
      </c>
      <c r="Z5" s="51" t="s">
        <v>139</v>
      </c>
      <c r="AA5" s="54">
        <v>0.28541666666666665</v>
      </c>
      <c r="AB5" s="51" t="s">
        <v>194</v>
      </c>
      <c r="AC5" s="54">
        <v>0.16562499999999999</v>
      </c>
      <c r="AD5" s="51" t="s">
        <v>193</v>
      </c>
      <c r="AE5" s="54">
        <v>0.55045871559633031</v>
      </c>
      <c r="AF5" s="51" t="s">
        <v>193</v>
      </c>
      <c r="AG5" s="54">
        <v>0.41333333333333333</v>
      </c>
      <c r="AH5" s="51" t="s">
        <v>194</v>
      </c>
      <c r="AI5" s="54">
        <v>0.48421052631578948</v>
      </c>
      <c r="AJ5" s="51" t="s">
        <v>194</v>
      </c>
      <c r="AK5" s="58">
        <v>58400</v>
      </c>
    </row>
    <row r="6" spans="1:37" x14ac:dyDescent="0.45">
      <c r="A6" s="48">
        <v>4</v>
      </c>
      <c r="B6" s="51" t="s">
        <v>139</v>
      </c>
      <c r="C6" s="118">
        <v>39</v>
      </c>
      <c r="D6" s="49" t="s">
        <v>193</v>
      </c>
      <c r="E6" s="50">
        <v>-281.79999999999995</v>
      </c>
      <c r="F6" s="51" t="s">
        <v>193</v>
      </c>
      <c r="G6" s="63">
        <v>-7.2256410256410248</v>
      </c>
      <c r="H6" s="51" t="s">
        <v>193</v>
      </c>
      <c r="I6" s="63">
        <v>-1.200389863547759</v>
      </c>
      <c r="J6" s="51" t="s">
        <v>193</v>
      </c>
      <c r="K6" s="52">
        <v>2.2051282051282053</v>
      </c>
      <c r="L6" s="51" t="s">
        <v>126</v>
      </c>
      <c r="M6" s="53">
        <v>0.23076923076923078</v>
      </c>
      <c r="N6" s="51" t="s">
        <v>193</v>
      </c>
      <c r="O6" s="53">
        <v>0.48717948717948717</v>
      </c>
      <c r="P6" s="51" t="s">
        <v>194</v>
      </c>
      <c r="Q6" s="54">
        <v>0.296875</v>
      </c>
      <c r="R6" s="51" t="s">
        <v>193</v>
      </c>
      <c r="S6" s="54">
        <v>0.20624999999999999</v>
      </c>
      <c r="T6" s="51" t="s">
        <v>193</v>
      </c>
      <c r="U6" s="55">
        <v>6410.3092783505153</v>
      </c>
      <c r="V6" s="51" t="s">
        <v>193</v>
      </c>
      <c r="W6" s="55">
        <v>-7313.636363636364</v>
      </c>
      <c r="X6" s="51" t="s">
        <v>193</v>
      </c>
      <c r="Y6" s="53">
        <v>0.17948717948717949</v>
      </c>
      <c r="Z6" s="51" t="s">
        <v>126</v>
      </c>
      <c r="AA6" s="54">
        <v>0.2</v>
      </c>
      <c r="AB6" s="51" t="s">
        <v>126</v>
      </c>
      <c r="AC6" s="54">
        <v>0.14687500000000001</v>
      </c>
      <c r="AD6" s="51" t="s">
        <v>194</v>
      </c>
      <c r="AE6" s="54">
        <v>0.54455445544554459</v>
      </c>
      <c r="AF6" s="51" t="s">
        <v>194</v>
      </c>
      <c r="AG6" s="54">
        <v>0.39622641509433965</v>
      </c>
      <c r="AH6" s="51" t="s">
        <v>126</v>
      </c>
      <c r="AI6" s="54">
        <v>0.46875</v>
      </c>
      <c r="AJ6" s="51" t="s">
        <v>193</v>
      </c>
      <c r="AK6" s="58">
        <v>52600</v>
      </c>
    </row>
  </sheetData>
  <sortState xmlns:xlrd2="http://schemas.microsoft.com/office/spreadsheetml/2017/richdata2" ref="AJ3:AK25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E295F-DB2B-496A-A6B2-BACFB6185F12}">
  <sheetPr codeName="Sheet4"/>
  <dimension ref="A1:Q119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117</v>
      </c>
      <c r="C2" s="132"/>
      <c r="E2" s="28" t="s">
        <v>66</v>
      </c>
      <c r="F2" s="25" t="s">
        <v>22</v>
      </c>
      <c r="G2" s="13">
        <v>249</v>
      </c>
      <c r="H2" s="91">
        <f>IF(B$19=0,0,G2/B$19)</f>
        <v>0.86458333333333337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-17.543859649122808</v>
      </c>
      <c r="P2" s="80">
        <v>114</v>
      </c>
      <c r="Q2" s="67">
        <v>-2000</v>
      </c>
    </row>
    <row r="3" spans="1:17" x14ac:dyDescent="0.45">
      <c r="A3" s="21" t="s">
        <v>8</v>
      </c>
      <c r="B3" s="133">
        <v>960</v>
      </c>
      <c r="C3" s="134"/>
      <c r="E3" s="29" t="s">
        <v>160</v>
      </c>
      <c r="F3" s="26" t="s">
        <v>161</v>
      </c>
      <c r="G3" s="14">
        <v>218</v>
      </c>
      <c r="H3" s="92">
        <f>IF(B$19=0,0,G3/B$19)</f>
        <v>0.75694444444444442</v>
      </c>
      <c r="I3" s="60">
        <v>3</v>
      </c>
      <c r="K3" s="7">
        <v>1</v>
      </c>
      <c r="L3" s="65">
        <v>-38.9</v>
      </c>
      <c r="N3" s="78" t="s">
        <v>129</v>
      </c>
      <c r="O3" s="84">
        <f t="shared" si="0"/>
        <v>0</v>
      </c>
      <c r="P3" s="81">
        <v>114</v>
      </c>
      <c r="Q3" s="68">
        <v>0</v>
      </c>
    </row>
    <row r="4" spans="1:17" x14ac:dyDescent="0.45">
      <c r="A4" s="21" t="s">
        <v>6</v>
      </c>
      <c r="B4" s="135">
        <v>-7.1054273576010019E-15</v>
      </c>
      <c r="C4" s="136"/>
      <c r="E4" s="29" t="s">
        <v>64</v>
      </c>
      <c r="F4" s="26" t="s">
        <v>20</v>
      </c>
      <c r="G4" s="14">
        <v>159</v>
      </c>
      <c r="H4" s="92">
        <f>IF(B$19=0,0,G4/B$19)</f>
        <v>0.55208333333333337</v>
      </c>
      <c r="I4" s="60">
        <v>3</v>
      </c>
      <c r="K4" s="7">
        <v>2</v>
      </c>
      <c r="L4" s="65">
        <v>-5</v>
      </c>
      <c r="N4" s="78" t="s">
        <v>130</v>
      </c>
      <c r="O4" s="84">
        <f t="shared" si="0"/>
        <v>0</v>
      </c>
      <c r="P4" s="81">
        <v>108</v>
      </c>
      <c r="Q4" s="68">
        <v>0</v>
      </c>
    </row>
    <row r="5" spans="1:17" x14ac:dyDescent="0.45">
      <c r="A5" s="21" t="s">
        <v>7</v>
      </c>
      <c r="B5" s="123">
        <f>IF(B$2=0,0,B$4/B$2)</f>
        <v>-6.0730148355564125E-17</v>
      </c>
      <c r="C5" s="124"/>
      <c r="E5" s="29" t="s">
        <v>72</v>
      </c>
      <c r="F5" s="26" t="s">
        <v>27</v>
      </c>
      <c r="G5" s="14">
        <v>141</v>
      </c>
      <c r="H5" s="92">
        <f>IF(B$19=0,0,G5/B$19)</f>
        <v>0.48958333333333331</v>
      </c>
      <c r="I5" s="60">
        <v>3</v>
      </c>
      <c r="K5" s="7">
        <v>3</v>
      </c>
      <c r="L5" s="65">
        <v>0</v>
      </c>
      <c r="N5" s="78" t="s">
        <v>131</v>
      </c>
      <c r="O5" s="84">
        <f t="shared" si="0"/>
        <v>9.8039215686274517</v>
      </c>
      <c r="P5" s="81">
        <v>102</v>
      </c>
      <c r="Q5" s="68">
        <v>1000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110</v>
      </c>
      <c r="H6" s="92">
        <f>IF(B$19=0,0,G6/B$19)</f>
        <v>0.38194444444444442</v>
      </c>
      <c r="I6" s="60">
        <v>3</v>
      </c>
      <c r="K6" s="7">
        <v>4</v>
      </c>
      <c r="L6" s="65">
        <v>27.9</v>
      </c>
      <c r="N6" s="78" t="s">
        <v>132</v>
      </c>
      <c r="O6" s="84">
        <f t="shared" si="0"/>
        <v>-10.75268817204301</v>
      </c>
      <c r="P6" s="81">
        <v>93</v>
      </c>
      <c r="Q6" s="68">
        <v>-1000</v>
      </c>
    </row>
    <row r="7" spans="1:17" x14ac:dyDescent="0.45">
      <c r="A7" s="21" t="s">
        <v>2</v>
      </c>
      <c r="B7" s="14">
        <v>39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74</v>
      </c>
      <c r="H7" s="92">
        <f>IF(B$19=0,0,G7/B$19)</f>
        <v>0.25694444444444442</v>
      </c>
      <c r="I7" s="60">
        <v>3</v>
      </c>
      <c r="K7" s="7">
        <v>5</v>
      </c>
      <c r="L7" s="65">
        <v>-16.899999999999999</v>
      </c>
      <c r="N7" s="79" t="s">
        <v>133</v>
      </c>
      <c r="O7" s="85">
        <f t="shared" si="0"/>
        <v>25.641025641025642</v>
      </c>
      <c r="P7" s="82">
        <v>78</v>
      </c>
      <c r="Q7" s="69">
        <v>2000</v>
      </c>
    </row>
    <row r="8" spans="1:17" x14ac:dyDescent="0.45">
      <c r="A8" s="21" t="s">
        <v>3</v>
      </c>
      <c r="B8" s="14">
        <v>39</v>
      </c>
      <c r="C8" s="8">
        <f t="shared" si="1"/>
        <v>0.33333333333333331</v>
      </c>
      <c r="E8" s="29" t="s">
        <v>89</v>
      </c>
      <c r="F8" s="26" t="s">
        <v>44</v>
      </c>
      <c r="G8" s="14">
        <v>48</v>
      </c>
      <c r="H8" s="92">
        <f>IF(B$19=0,0,G8/B$19)</f>
        <v>0.16666666666666666</v>
      </c>
      <c r="I8" s="60">
        <v>2</v>
      </c>
      <c r="K8" s="7">
        <v>6</v>
      </c>
      <c r="L8" s="65">
        <v>0</v>
      </c>
      <c r="N8" s="111"/>
      <c r="O8" s="89"/>
      <c r="P8" s="112"/>
      <c r="Q8" s="74"/>
    </row>
    <row r="9" spans="1:17" x14ac:dyDescent="0.45">
      <c r="A9" s="22" t="s">
        <v>4</v>
      </c>
      <c r="B9" s="15">
        <v>39</v>
      </c>
      <c r="C9" s="9">
        <f t="shared" si="1"/>
        <v>0.33333333333333331</v>
      </c>
      <c r="E9" s="29" t="s">
        <v>69</v>
      </c>
      <c r="F9" s="26" t="s">
        <v>24</v>
      </c>
      <c r="G9" s="14">
        <v>44</v>
      </c>
      <c r="H9" s="92">
        <f>IF(B$19=0,0,G9/B$19)</f>
        <v>0.15277777777777779</v>
      </c>
      <c r="I9" s="60">
        <v>2</v>
      </c>
      <c r="K9" s="7">
        <v>7</v>
      </c>
      <c r="L9" s="65">
        <v>16.600000000000001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184</v>
      </c>
      <c r="B10" s="113">
        <f>IF(B7=0,0,C10/B7)</f>
        <v>26.5102564102564</v>
      </c>
      <c r="C10" s="114">
        <v>1033.8999999999996</v>
      </c>
      <c r="E10" s="29" t="s">
        <v>65</v>
      </c>
      <c r="F10" s="26" t="s">
        <v>21</v>
      </c>
      <c r="G10" s="14">
        <v>41</v>
      </c>
      <c r="H10" s="92">
        <f>IF(B$19=0,0,G10/B$19)</f>
        <v>0.1423611111111111</v>
      </c>
      <c r="I10" s="60">
        <v>2</v>
      </c>
      <c r="K10" s="7">
        <v>8</v>
      </c>
      <c r="L10" s="65">
        <v>18.700000000000003</v>
      </c>
      <c r="N10" s="77" t="s">
        <v>152</v>
      </c>
      <c r="O10" s="86">
        <f>IF(P10=0,0,Q10/P10)</f>
        <v>-2.9948717948717936</v>
      </c>
      <c r="P10" s="80">
        <v>39</v>
      </c>
      <c r="Q10" s="71">
        <v>-116.79999999999995</v>
      </c>
    </row>
    <row r="11" spans="1:17" x14ac:dyDescent="0.45">
      <c r="A11" s="22" t="s">
        <v>185</v>
      </c>
      <c r="B11" s="113">
        <f>IF(B8=0,0,C11/B8)</f>
        <v>2.0743589743589741</v>
      </c>
      <c r="C11" s="114">
        <v>80.899999999999991</v>
      </c>
      <c r="E11" s="29" t="s">
        <v>70</v>
      </c>
      <c r="F11" s="26" t="s">
        <v>25</v>
      </c>
      <c r="G11" s="14">
        <v>28</v>
      </c>
      <c r="H11" s="92">
        <f>IF(B$19=0,0,G11/B$19)</f>
        <v>9.7222222222222224E-2</v>
      </c>
      <c r="I11" s="60">
        <v>2</v>
      </c>
      <c r="K11" s="7">
        <v>9</v>
      </c>
      <c r="L11" s="65">
        <v>3.5527136788005009E-15</v>
      </c>
      <c r="N11" s="78" t="s">
        <v>153</v>
      </c>
      <c r="O11" s="87">
        <f>IF(P11=0,0,Q11/P11)</f>
        <v>5.4897435897435898</v>
      </c>
      <c r="P11" s="81">
        <v>39</v>
      </c>
      <c r="Q11" s="72">
        <v>214.1</v>
      </c>
    </row>
    <row r="12" spans="1:17" x14ac:dyDescent="0.45">
      <c r="A12" s="22" t="s">
        <v>186</v>
      </c>
      <c r="B12" s="113">
        <f>IF(B9=0,0,C12/B9)</f>
        <v>-28.58461538461539</v>
      </c>
      <c r="C12" s="114">
        <v>-1114.8000000000002</v>
      </c>
      <c r="E12" s="29" t="s">
        <v>86</v>
      </c>
      <c r="F12" s="26" t="s">
        <v>41</v>
      </c>
      <c r="G12" s="14">
        <v>17</v>
      </c>
      <c r="H12" s="92">
        <f>IF(B$19=0,0,G12/B$19)</f>
        <v>5.9027777777777776E-2</v>
      </c>
      <c r="I12" s="60">
        <v>3</v>
      </c>
      <c r="K12" s="7">
        <v>10</v>
      </c>
      <c r="L12" s="65">
        <v>5.5000000000000036</v>
      </c>
      <c r="N12" s="79" t="s">
        <v>154</v>
      </c>
      <c r="O12" s="88">
        <f>IF(P12=0,0,Q12/P12)</f>
        <v>-2.4948717948717953</v>
      </c>
      <c r="P12" s="82">
        <v>39</v>
      </c>
      <c r="Q12" s="73">
        <v>-97.300000000000011</v>
      </c>
    </row>
    <row r="13" spans="1:17" x14ac:dyDescent="0.45">
      <c r="A13" s="22" t="s">
        <v>187</v>
      </c>
      <c r="B13" s="123">
        <f>AVERAGE(B10:B12)</f>
        <v>0</v>
      </c>
      <c r="C13" s="124"/>
      <c r="E13" s="29" t="s">
        <v>71</v>
      </c>
      <c r="F13" s="26" t="s">
        <v>26</v>
      </c>
      <c r="G13" s="14">
        <v>12</v>
      </c>
      <c r="H13" s="92">
        <f>IF(B$19=0,0,G13/B$19)</f>
        <v>4.1666666666666664E-2</v>
      </c>
      <c r="I13" s="60">
        <v>3</v>
      </c>
      <c r="K13" s="7">
        <v>11</v>
      </c>
      <c r="L13" s="65">
        <v>27.600000000000005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13</v>
      </c>
      <c r="C14" s="11">
        <f t="shared" si="1"/>
        <v>0.1111111111111111</v>
      </c>
      <c r="E14" s="29" t="s">
        <v>83</v>
      </c>
      <c r="F14" s="26" t="s">
        <v>38</v>
      </c>
      <c r="G14" s="14">
        <v>12</v>
      </c>
      <c r="H14" s="92">
        <f>IF(B$19=0,0,G14/B$19)</f>
        <v>4.1666666666666664E-2</v>
      </c>
      <c r="I14" s="60">
        <v>2</v>
      </c>
      <c r="K14" s="7">
        <v>12</v>
      </c>
      <c r="L14" s="65">
        <v>3.5527136788005009E-15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274</v>
      </c>
      <c r="C15" s="12">
        <f>IF(B$3=0,0,B15/B$3)</f>
        <v>0.28541666666666665</v>
      </c>
      <c r="E15" s="29" t="s">
        <v>91</v>
      </c>
      <c r="F15" s="26" t="s">
        <v>46</v>
      </c>
      <c r="G15" s="14">
        <v>8</v>
      </c>
      <c r="H15" s="92">
        <f>IF(B$19=0,0,G15/B$19)</f>
        <v>2.7777777777777776E-2</v>
      </c>
      <c r="I15" s="60">
        <v>3</v>
      </c>
      <c r="K15" s="7">
        <v>13</v>
      </c>
      <c r="L15" s="65">
        <v>-40.399999999999991</v>
      </c>
      <c r="N15" s="77" t="s">
        <v>193</v>
      </c>
      <c r="O15" s="86">
        <f>IF(P15=0,0,Q15/P15)</f>
        <v>10.838461538461544</v>
      </c>
      <c r="P15" s="80">
        <v>78</v>
      </c>
      <c r="Q15" s="71">
        <v>845.40000000000043</v>
      </c>
    </row>
    <row r="16" spans="1:17" x14ac:dyDescent="0.45">
      <c r="A16" s="21" t="s">
        <v>118</v>
      </c>
      <c r="B16" s="14">
        <v>175</v>
      </c>
      <c r="C16" s="8">
        <f>IF(B$3=0,0,B16/B$3)</f>
        <v>0.18229166666666666</v>
      </c>
      <c r="E16" s="29" t="s">
        <v>79</v>
      </c>
      <c r="F16" s="26" t="s">
        <v>34</v>
      </c>
      <c r="G16" s="14">
        <v>5</v>
      </c>
      <c r="H16" s="92">
        <f>IF(B$19=0,0,G16/B$19)</f>
        <v>1.7361111111111112E-2</v>
      </c>
      <c r="I16" s="60">
        <v>3</v>
      </c>
      <c r="K16" s="7">
        <v>14</v>
      </c>
      <c r="L16" s="65">
        <v>-37.599999999999994</v>
      </c>
      <c r="N16" s="78" t="s">
        <v>126</v>
      </c>
      <c r="O16" s="87">
        <f>IF(P16=0,0,Q16/P16)</f>
        <v>-2.3730769230769226</v>
      </c>
      <c r="P16" s="81">
        <v>78</v>
      </c>
      <c r="Q16" s="72">
        <v>-185.09999999999997</v>
      </c>
    </row>
    <row r="17" spans="1:17" x14ac:dyDescent="0.45">
      <c r="A17" s="20" t="s">
        <v>123</v>
      </c>
      <c r="B17" s="13">
        <f>B23</f>
        <v>159</v>
      </c>
      <c r="C17" s="6">
        <f>IF(B$15=0,0,B17/B$15)</f>
        <v>0.58029197080291972</v>
      </c>
      <c r="E17" s="29" t="s">
        <v>81</v>
      </c>
      <c r="F17" s="26" t="s">
        <v>36</v>
      </c>
      <c r="G17" s="14">
        <v>5</v>
      </c>
      <c r="H17" s="92">
        <f>IF(B$19=0,0,G17/B$19)</f>
        <v>1.7361111111111112E-2</v>
      </c>
      <c r="I17" s="60">
        <v>3</v>
      </c>
      <c r="K17" s="7">
        <v>15</v>
      </c>
      <c r="L17" s="65">
        <v>7.1054273576010019E-15</v>
      </c>
      <c r="N17" s="78" t="s">
        <v>194</v>
      </c>
      <c r="O17" s="87">
        <f>IF(P17=0,0,Q17/P17)</f>
        <v>-8.4653846153846146</v>
      </c>
      <c r="P17" s="81">
        <v>78</v>
      </c>
      <c r="Q17" s="72">
        <v>-660.3</v>
      </c>
    </row>
    <row r="18" spans="1:17" x14ac:dyDescent="0.45">
      <c r="A18" s="20" t="s">
        <v>124</v>
      </c>
      <c r="B18" s="13">
        <f>B24</f>
        <v>73</v>
      </c>
      <c r="C18" s="6">
        <f>IF(B$16=0,0,B18/B$16)</f>
        <v>0.41714285714285715</v>
      </c>
      <c r="E18" s="29" t="s">
        <v>78</v>
      </c>
      <c r="F18" s="26" t="s">
        <v>33</v>
      </c>
      <c r="G18" s="14">
        <v>4</v>
      </c>
      <c r="H18" s="92">
        <f>IF(B$19=0,0,G18/B$19)</f>
        <v>1.3888888888888888E-2</v>
      </c>
      <c r="I18" s="60">
        <v>2</v>
      </c>
      <c r="K18" s="7">
        <v>16</v>
      </c>
      <c r="L18" s="65">
        <v>25.000000000000007</v>
      </c>
    </row>
    <row r="19" spans="1:17" x14ac:dyDescent="0.45">
      <c r="A19" s="20" t="s">
        <v>10</v>
      </c>
      <c r="B19" s="13">
        <f>B22+B21</f>
        <v>288</v>
      </c>
      <c r="C19" s="6">
        <f>IF(B$3=0,0,B19/B$3)</f>
        <v>0.3</v>
      </c>
      <c r="E19" s="29" t="s">
        <v>85</v>
      </c>
      <c r="F19" s="26" t="s">
        <v>40</v>
      </c>
      <c r="G19" s="14">
        <v>3</v>
      </c>
      <c r="H19" s="92">
        <f>IF(B$19=0,0,G19/B$19)</f>
        <v>1.0416666666666666E-2</v>
      </c>
      <c r="I19" s="60">
        <v>3</v>
      </c>
      <c r="K19" s="7">
        <v>17</v>
      </c>
      <c r="L19" s="65">
        <v>39.000000000000007</v>
      </c>
    </row>
    <row r="20" spans="1:17" x14ac:dyDescent="0.45">
      <c r="A20" s="21" t="s">
        <v>13</v>
      </c>
      <c r="B20" s="14">
        <v>145</v>
      </c>
      <c r="C20" s="8">
        <f>IF(B$3=0,0,B20/B$3)</f>
        <v>0.15104166666666666</v>
      </c>
      <c r="E20" s="29" t="s">
        <v>73</v>
      </c>
      <c r="F20" s="26" t="s">
        <v>28</v>
      </c>
      <c r="G20" s="14">
        <v>2</v>
      </c>
      <c r="H20" s="92">
        <f>IF(B$19=0,0,G20/B$19)</f>
        <v>6.9444444444444441E-3</v>
      </c>
      <c r="I20" s="60">
        <v>3</v>
      </c>
      <c r="K20" s="7">
        <v>18</v>
      </c>
      <c r="L20" s="65">
        <v>7.1054273576010019E-15</v>
      </c>
    </row>
    <row r="21" spans="1:17" x14ac:dyDescent="0.45">
      <c r="A21" s="21" t="s">
        <v>12</v>
      </c>
      <c r="B21" s="14">
        <v>143</v>
      </c>
      <c r="C21" s="8">
        <f>IF(B$19=0,0,B21/B$19)</f>
        <v>0.49652777777777779</v>
      </c>
      <c r="E21" s="29" t="s">
        <v>90</v>
      </c>
      <c r="F21" s="26" t="s">
        <v>45</v>
      </c>
      <c r="G21" s="14">
        <v>2</v>
      </c>
      <c r="H21" s="92">
        <f>IF(B$19=0,0,G21/B$19)</f>
        <v>6.9444444444444441E-3</v>
      </c>
      <c r="I21" s="60">
        <v>3</v>
      </c>
      <c r="K21" s="7">
        <v>19</v>
      </c>
      <c r="L21" s="65">
        <v>-18.299999999999994</v>
      </c>
    </row>
    <row r="22" spans="1:17" x14ac:dyDescent="0.45">
      <c r="A22" s="21" t="s">
        <v>11</v>
      </c>
      <c r="B22" s="14">
        <v>145</v>
      </c>
      <c r="C22" s="8">
        <f>IF(B$19=0,0,B22/B$19)</f>
        <v>0.50347222222222221</v>
      </c>
      <c r="E22" s="29" t="s">
        <v>92</v>
      </c>
      <c r="F22" s="26" t="s">
        <v>47</v>
      </c>
      <c r="G22" s="14">
        <v>2</v>
      </c>
      <c r="H22" s="92">
        <f>IF(B$19=0,0,G22/B$19)</f>
        <v>6.9444444444444441E-3</v>
      </c>
      <c r="I22" s="60">
        <v>2</v>
      </c>
      <c r="K22" s="7">
        <v>20</v>
      </c>
      <c r="L22" s="65">
        <v>-2.2999999999999936</v>
      </c>
    </row>
    <row r="23" spans="1:17" x14ac:dyDescent="0.45">
      <c r="A23" s="21" t="s">
        <v>183</v>
      </c>
      <c r="B23" s="14">
        <v>159</v>
      </c>
      <c r="C23" s="8">
        <f>IF(B$19=0,0,B23/B$19)</f>
        <v>0.55208333333333337</v>
      </c>
      <c r="E23" s="29" t="s">
        <v>75</v>
      </c>
      <c r="F23" s="26" t="s">
        <v>30</v>
      </c>
      <c r="G23" s="14">
        <v>1</v>
      </c>
      <c r="H23" s="92">
        <f>IF(B$19=0,0,G23/B$19)</f>
        <v>3.472222222222222E-3</v>
      </c>
      <c r="I23" s="60">
        <v>2</v>
      </c>
      <c r="K23" s="7">
        <v>21</v>
      </c>
      <c r="L23" s="65">
        <v>6.2172489379008766E-15</v>
      </c>
    </row>
    <row r="24" spans="1:17" x14ac:dyDescent="0.45">
      <c r="A24" s="21" t="s">
        <v>181</v>
      </c>
      <c r="B24" s="14">
        <v>73</v>
      </c>
      <c r="C24" s="8">
        <f>IF(B$19=0,0,B24/B$19)</f>
        <v>0.25347222222222221</v>
      </c>
      <c r="E24" s="29" t="s">
        <v>84</v>
      </c>
      <c r="F24" s="26" t="s">
        <v>39</v>
      </c>
      <c r="G24" s="14">
        <v>1</v>
      </c>
      <c r="H24" s="92">
        <f>IF(B$19=0,0,G24/B$19)</f>
        <v>3.472222222222222E-3</v>
      </c>
      <c r="I24" s="60">
        <v>2</v>
      </c>
      <c r="K24" s="7">
        <v>22</v>
      </c>
      <c r="L24" s="65">
        <v>43.400000000000006</v>
      </c>
    </row>
    <row r="25" spans="1:17" x14ac:dyDescent="0.45">
      <c r="A25" s="21" t="s">
        <v>182</v>
      </c>
      <c r="B25" s="14">
        <v>56</v>
      </c>
      <c r="C25" s="8">
        <f>IF(B$19=0,0,B25/B$19)</f>
        <v>0.19444444444444445</v>
      </c>
      <c r="E25" s="29" t="s">
        <v>74</v>
      </c>
      <c r="F25" s="26" t="s">
        <v>29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35.900000000000006</v>
      </c>
    </row>
    <row r="26" spans="1:17" x14ac:dyDescent="0.45">
      <c r="A26" s="21" t="s">
        <v>5</v>
      </c>
      <c r="B26" s="18">
        <f>IF(B$19=0,0,C26/B$19)</f>
        <v>7085.416666666667</v>
      </c>
      <c r="C26" s="10">
        <v>2040600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7.1054273576010019E-15</v>
      </c>
    </row>
    <row r="27" spans="1:17" x14ac:dyDescent="0.45">
      <c r="A27" s="22" t="s">
        <v>165</v>
      </c>
      <c r="B27" s="99">
        <f>IF($B$19-B$18=0,0,C27/($B$19-B$18))</f>
        <v>7329.3023255813951</v>
      </c>
      <c r="C27" s="100">
        <v>1575800</v>
      </c>
      <c r="E27" s="29" t="s">
        <v>77</v>
      </c>
      <c r="F27" s="26" t="s">
        <v>32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-20.999999999999993</v>
      </c>
    </row>
    <row r="28" spans="1:17" x14ac:dyDescent="0.45">
      <c r="A28" s="22" t="s">
        <v>166</v>
      </c>
      <c r="B28" s="99">
        <f>IF(B$18=0,0,C28/B$18)</f>
        <v>6367.1232876712329</v>
      </c>
      <c r="C28" s="100">
        <v>464800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-21.899999999999991</v>
      </c>
    </row>
    <row r="29" spans="1:17" x14ac:dyDescent="0.45">
      <c r="A29" s="22" t="s">
        <v>164</v>
      </c>
      <c r="B29" s="99">
        <f>IF(B$20=0,0,C29/B$20)</f>
        <v>-6704.8275862068967</v>
      </c>
      <c r="C29" s="100">
        <v>-972200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7.1054273576010019E-15</v>
      </c>
    </row>
    <row r="30" spans="1:17" x14ac:dyDescent="0.45">
      <c r="A30" s="21" t="s">
        <v>158</v>
      </c>
      <c r="B30" s="14">
        <v>5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-19.599999999999994</v>
      </c>
    </row>
    <row r="31" spans="1:17" x14ac:dyDescent="0.45">
      <c r="A31" s="21" t="s">
        <v>159</v>
      </c>
      <c r="B31" s="14">
        <v>35</v>
      </c>
      <c r="C31" s="94">
        <v>2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-18.899999999999995</v>
      </c>
    </row>
    <row r="32" spans="1:17" x14ac:dyDescent="0.45">
      <c r="A32" s="56" t="s">
        <v>136</v>
      </c>
      <c r="B32" s="125">
        <v>7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3.5527136788005009E-15</v>
      </c>
    </row>
    <row r="33" spans="1:12" x14ac:dyDescent="0.45">
      <c r="A33" s="24" t="s">
        <v>180</v>
      </c>
      <c r="B33" s="127">
        <v>66300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42.900000000000006</v>
      </c>
    </row>
    <row r="34" spans="1:12" x14ac:dyDescent="0.45">
      <c r="A34" s="23" t="s">
        <v>137</v>
      </c>
      <c r="B34" s="31">
        <v>1</v>
      </c>
      <c r="C34" s="11">
        <f>IF(B$3=0,0,B34/B$3)</f>
        <v>1.0416666666666667E-3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-1.4999999999999929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7.1054273576010019E-15</v>
      </c>
    </row>
    <row r="36" spans="1:12" x14ac:dyDescent="0.45">
      <c r="A36" s="56" t="s">
        <v>171</v>
      </c>
      <c r="B36" s="121">
        <v>10</v>
      </c>
      <c r="C36" s="102">
        <f t="shared" ref="C36:C48" si="2">IF(B$19=0,0,B36/B$19)</f>
        <v>3.4722222222222224E-2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12.100000000000007</v>
      </c>
    </row>
    <row r="37" spans="1:12" x14ac:dyDescent="0.45">
      <c r="A37" s="21" t="s">
        <v>167</v>
      </c>
      <c r="B37" s="14">
        <v>37</v>
      </c>
      <c r="C37" s="8">
        <f t="shared" si="2"/>
        <v>0.12847222222222221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12.500000000000007</v>
      </c>
    </row>
    <row r="38" spans="1:12" x14ac:dyDescent="0.45">
      <c r="A38" s="21" t="s">
        <v>168</v>
      </c>
      <c r="B38" s="122">
        <v>50</v>
      </c>
      <c r="C38" s="8">
        <f t="shared" si="2"/>
        <v>0.1736111111111111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5">
      <c r="A39" s="21" t="s">
        <v>169</v>
      </c>
      <c r="B39" s="122">
        <v>53</v>
      </c>
      <c r="C39" s="8">
        <f t="shared" si="2"/>
        <v>0.18402777777777779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25.400000000000006</v>
      </c>
    </row>
    <row r="40" spans="1:12" x14ac:dyDescent="0.45">
      <c r="A40" s="21" t="s">
        <v>170</v>
      </c>
      <c r="B40" s="122">
        <v>37</v>
      </c>
      <c r="C40" s="8">
        <f t="shared" si="2"/>
        <v>0.12847222222222221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32.800000000000004</v>
      </c>
    </row>
    <row r="41" spans="1:12" x14ac:dyDescent="0.45">
      <c r="A41" s="21" t="s">
        <v>172</v>
      </c>
      <c r="B41" s="122">
        <v>41</v>
      </c>
      <c r="C41" s="8">
        <f t="shared" si="2"/>
        <v>0.1423611111111111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7.1054273576010019E-15</v>
      </c>
    </row>
    <row r="42" spans="1:12" x14ac:dyDescent="0.45">
      <c r="A42" s="21" t="s">
        <v>173</v>
      </c>
      <c r="B42" s="122">
        <v>26</v>
      </c>
      <c r="C42" s="8">
        <f t="shared" si="2"/>
        <v>9.0277777777777776E-2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35.000000000000007</v>
      </c>
    </row>
    <row r="43" spans="1:12" x14ac:dyDescent="0.45">
      <c r="A43" s="21" t="s">
        <v>174</v>
      </c>
      <c r="B43" s="122">
        <v>18</v>
      </c>
      <c r="C43" s="8">
        <f t="shared" si="2"/>
        <v>6.25E-2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3.8000000000000078</v>
      </c>
    </row>
    <row r="44" spans="1:12" x14ac:dyDescent="0.45">
      <c r="A44" s="21" t="s">
        <v>175</v>
      </c>
      <c r="B44" s="122">
        <v>6</v>
      </c>
      <c r="C44" s="8">
        <f t="shared" si="2"/>
        <v>2.0833333333333332E-2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7.9936057773011271E-15</v>
      </c>
    </row>
    <row r="45" spans="1:12" x14ac:dyDescent="0.45">
      <c r="A45" s="21" t="s">
        <v>176</v>
      </c>
      <c r="B45" s="122">
        <v>6</v>
      </c>
      <c r="C45" s="8">
        <f t="shared" si="2"/>
        <v>2.0833333333333332E-2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19.200000000000006</v>
      </c>
    </row>
    <row r="46" spans="1:12" x14ac:dyDescent="0.45">
      <c r="A46" s="21" t="s">
        <v>177</v>
      </c>
      <c r="B46" s="122">
        <v>2</v>
      </c>
      <c r="C46" s="8">
        <f t="shared" si="2"/>
        <v>6.9444444444444441E-3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-2.899999999999995</v>
      </c>
    </row>
    <row r="47" spans="1:12" x14ac:dyDescent="0.45">
      <c r="A47" s="21" t="s">
        <v>178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4.8849813083506888E-15</v>
      </c>
    </row>
    <row r="48" spans="1:12" x14ac:dyDescent="0.45">
      <c r="A48" s="23" t="s">
        <v>179</v>
      </c>
      <c r="B48" s="101">
        <v>2</v>
      </c>
      <c r="C48" s="11">
        <f t="shared" si="2"/>
        <v>6.9444444444444441E-3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27.900000000000002</v>
      </c>
    </row>
    <row r="49" spans="5:12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42.7</v>
      </c>
    </row>
    <row r="50" spans="5:12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0</v>
      </c>
    </row>
    <row r="51" spans="5:12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-22.4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-17.399999999999999</v>
      </c>
    </row>
    <row r="53" spans="5:12" x14ac:dyDescent="0.45">
      <c r="K53" s="7">
        <v>51</v>
      </c>
      <c r="L53" s="65">
        <v>0</v>
      </c>
    </row>
    <row r="54" spans="5:12" x14ac:dyDescent="0.45">
      <c r="K54" s="7">
        <v>52</v>
      </c>
      <c r="L54" s="65">
        <v>2.5</v>
      </c>
    </row>
    <row r="55" spans="5:12" x14ac:dyDescent="0.45">
      <c r="K55" s="7">
        <v>53</v>
      </c>
      <c r="L55" s="65">
        <v>33.4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-34</v>
      </c>
    </row>
    <row r="58" spans="5:12" x14ac:dyDescent="0.45">
      <c r="K58" s="7">
        <v>56</v>
      </c>
      <c r="L58" s="65">
        <v>-32.9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2.5</v>
      </c>
    </row>
    <row r="61" spans="5:12" x14ac:dyDescent="0.45">
      <c r="K61" s="7">
        <v>59</v>
      </c>
      <c r="L61" s="65">
        <v>16.899999999999999</v>
      </c>
    </row>
    <row r="62" spans="5:12" x14ac:dyDescent="0.45">
      <c r="K62" s="7">
        <v>60</v>
      </c>
      <c r="L62" s="65">
        <v>0</v>
      </c>
    </row>
    <row r="63" spans="5:12" x14ac:dyDescent="0.45">
      <c r="K63" s="7">
        <v>61</v>
      </c>
      <c r="L63" s="65">
        <v>-18.600000000000001</v>
      </c>
    </row>
    <row r="64" spans="5:12" x14ac:dyDescent="0.45">
      <c r="K64" s="7">
        <v>62</v>
      </c>
      <c r="L64" s="65">
        <v>-18</v>
      </c>
    </row>
    <row r="65" spans="11:12" x14ac:dyDescent="0.45">
      <c r="K65" s="7">
        <v>63</v>
      </c>
      <c r="L65" s="65">
        <v>0</v>
      </c>
    </row>
    <row r="66" spans="11:12" x14ac:dyDescent="0.45">
      <c r="K66" s="7">
        <v>64</v>
      </c>
      <c r="L66" s="65">
        <v>-9.1999999999999993</v>
      </c>
    </row>
    <row r="67" spans="11:12" x14ac:dyDescent="0.45">
      <c r="K67" s="7">
        <v>65</v>
      </c>
      <c r="L67" s="65">
        <v>42.099999999999994</v>
      </c>
    </row>
    <row r="68" spans="11:12" x14ac:dyDescent="0.45">
      <c r="K68" s="7">
        <v>66</v>
      </c>
      <c r="L68" s="65">
        <v>-7.1054273576010019E-15</v>
      </c>
    </row>
    <row r="69" spans="11:12" x14ac:dyDescent="0.45">
      <c r="K69" s="7">
        <v>67</v>
      </c>
      <c r="L69" s="65">
        <v>30.499999999999993</v>
      </c>
    </row>
    <row r="70" spans="11:12" x14ac:dyDescent="0.45">
      <c r="K70" s="7">
        <v>68</v>
      </c>
      <c r="L70" s="65">
        <v>8.7999999999999936</v>
      </c>
    </row>
    <row r="71" spans="11:12" x14ac:dyDescent="0.45">
      <c r="K71" s="7">
        <v>69</v>
      </c>
      <c r="L71" s="65">
        <v>-7.1054273576010019E-15</v>
      </c>
    </row>
    <row r="72" spans="11:12" x14ac:dyDescent="0.45">
      <c r="K72" s="7">
        <v>70</v>
      </c>
      <c r="L72" s="65">
        <v>15.899999999999993</v>
      </c>
    </row>
    <row r="73" spans="11:12" x14ac:dyDescent="0.45">
      <c r="K73" s="7">
        <v>71</v>
      </c>
      <c r="L73" s="65">
        <v>-0.80000000000000604</v>
      </c>
    </row>
    <row r="74" spans="11:12" x14ac:dyDescent="0.45">
      <c r="K74" s="7">
        <v>72</v>
      </c>
      <c r="L74" s="65">
        <v>-5.9952043329758453E-15</v>
      </c>
    </row>
    <row r="75" spans="11:12" x14ac:dyDescent="0.45">
      <c r="K75" s="7">
        <v>73</v>
      </c>
      <c r="L75" s="65">
        <v>35.999999999999993</v>
      </c>
    </row>
    <row r="76" spans="11:12" x14ac:dyDescent="0.45">
      <c r="K76" s="7">
        <v>74</v>
      </c>
      <c r="L76" s="65">
        <v>33.499999999999993</v>
      </c>
    </row>
    <row r="77" spans="11:12" x14ac:dyDescent="0.45">
      <c r="K77" s="7">
        <v>75</v>
      </c>
      <c r="L77" s="65">
        <v>-7.1054273576010019E-15</v>
      </c>
    </row>
    <row r="78" spans="11:12" x14ac:dyDescent="0.45">
      <c r="K78" s="7">
        <v>76</v>
      </c>
      <c r="L78" s="65">
        <v>1.9999999999999929</v>
      </c>
    </row>
    <row r="79" spans="11:12" x14ac:dyDescent="0.45">
      <c r="K79" s="7">
        <v>77</v>
      </c>
      <c r="L79" s="65">
        <v>-36.20000000000001</v>
      </c>
    </row>
    <row r="80" spans="11:12" x14ac:dyDescent="0.45">
      <c r="K80" s="7">
        <v>78</v>
      </c>
      <c r="L80" s="65">
        <v>-7.1054273576010019E-15</v>
      </c>
    </row>
    <row r="81" spans="11:12" x14ac:dyDescent="0.45">
      <c r="K81" s="7">
        <v>79</v>
      </c>
      <c r="L81" s="65">
        <v>-35.500000000000007</v>
      </c>
    </row>
    <row r="82" spans="11:12" x14ac:dyDescent="0.45">
      <c r="K82" s="7">
        <v>80</v>
      </c>
      <c r="L82" s="65">
        <v>-27.500000000000007</v>
      </c>
    </row>
    <row r="83" spans="11:12" x14ac:dyDescent="0.45">
      <c r="K83" s="7">
        <v>81</v>
      </c>
      <c r="L83" s="65">
        <v>-7.1054273576010019E-15</v>
      </c>
    </row>
    <row r="84" spans="11:12" x14ac:dyDescent="0.45">
      <c r="K84" s="7">
        <v>82</v>
      </c>
      <c r="L84" s="65">
        <v>31.599999999999994</v>
      </c>
    </row>
    <row r="85" spans="11:12" x14ac:dyDescent="0.45">
      <c r="K85" s="7">
        <v>83</v>
      </c>
      <c r="L85" s="65">
        <v>26.299999999999994</v>
      </c>
    </row>
    <row r="86" spans="11:12" x14ac:dyDescent="0.45">
      <c r="K86" s="7">
        <v>84</v>
      </c>
      <c r="L86" s="65">
        <v>-7.1054273576010019E-15</v>
      </c>
    </row>
    <row r="87" spans="11:12" x14ac:dyDescent="0.45">
      <c r="K87" s="7">
        <v>85</v>
      </c>
      <c r="L87" s="65">
        <v>14.499999999999993</v>
      </c>
    </row>
    <row r="88" spans="11:12" x14ac:dyDescent="0.45">
      <c r="K88" s="7">
        <v>86</v>
      </c>
      <c r="L88" s="65">
        <v>40.499999999999993</v>
      </c>
    </row>
    <row r="89" spans="11:12" x14ac:dyDescent="0.45">
      <c r="K89" s="7">
        <v>87</v>
      </c>
      <c r="L89" s="65">
        <v>-7.1054273576010019E-15</v>
      </c>
    </row>
    <row r="90" spans="11:12" x14ac:dyDescent="0.45">
      <c r="K90" s="7">
        <v>88</v>
      </c>
      <c r="L90" s="65">
        <v>-12.400000000000007</v>
      </c>
    </row>
    <row r="91" spans="11:12" x14ac:dyDescent="0.45">
      <c r="K91" s="7">
        <v>89</v>
      </c>
      <c r="L91" s="65">
        <v>-11.400000000000007</v>
      </c>
    </row>
    <row r="92" spans="11:12" x14ac:dyDescent="0.45">
      <c r="K92" s="7">
        <v>90</v>
      </c>
      <c r="L92" s="65">
        <v>-7.1054273576010019E-15</v>
      </c>
    </row>
    <row r="93" spans="11:12" x14ac:dyDescent="0.45">
      <c r="K93" s="7">
        <v>91</v>
      </c>
      <c r="L93" s="65">
        <v>-34.800000000000004</v>
      </c>
    </row>
    <row r="94" spans="11:12" x14ac:dyDescent="0.45">
      <c r="K94" s="7">
        <v>92</v>
      </c>
      <c r="L94" s="65">
        <v>-25.400000000000006</v>
      </c>
    </row>
    <row r="95" spans="11:12" x14ac:dyDescent="0.45">
      <c r="K95" s="7">
        <v>93</v>
      </c>
      <c r="L95" s="65">
        <v>-7.1054273576010019E-15</v>
      </c>
    </row>
    <row r="96" spans="11:12" x14ac:dyDescent="0.45">
      <c r="K96" s="7">
        <v>94</v>
      </c>
      <c r="L96" s="65">
        <v>33.999999999999993</v>
      </c>
    </row>
    <row r="97" spans="11:12" x14ac:dyDescent="0.45">
      <c r="K97" s="7">
        <v>95</v>
      </c>
      <c r="L97" s="65">
        <v>38.999999999999993</v>
      </c>
    </row>
    <row r="98" spans="11:12" x14ac:dyDescent="0.45">
      <c r="K98" s="7">
        <v>96</v>
      </c>
      <c r="L98" s="65">
        <v>-7.1054273576010019E-15</v>
      </c>
    </row>
    <row r="99" spans="11:12" x14ac:dyDescent="0.45">
      <c r="K99" s="7">
        <v>97</v>
      </c>
      <c r="L99" s="65">
        <v>-4.1000000000000068</v>
      </c>
    </row>
    <row r="100" spans="11:12" x14ac:dyDescent="0.45">
      <c r="K100" s="7">
        <v>98</v>
      </c>
      <c r="L100" s="65">
        <v>25.699999999999996</v>
      </c>
    </row>
    <row r="101" spans="11:12" x14ac:dyDescent="0.45">
      <c r="K101" s="7">
        <v>99</v>
      </c>
      <c r="L101" s="65">
        <v>-3.5527136788005009E-15</v>
      </c>
    </row>
    <row r="102" spans="11:12" x14ac:dyDescent="0.45">
      <c r="K102" s="7">
        <v>100</v>
      </c>
      <c r="L102" s="65">
        <v>-4.0000000000000036</v>
      </c>
    </row>
    <row r="103" spans="11:12" x14ac:dyDescent="0.45">
      <c r="K103" s="7">
        <v>101</v>
      </c>
      <c r="L103" s="65">
        <v>-19.000000000000004</v>
      </c>
    </row>
    <row r="104" spans="11:12" x14ac:dyDescent="0.45">
      <c r="K104" s="7">
        <v>102</v>
      </c>
      <c r="L104" s="65">
        <v>-3.5527136788005009E-15</v>
      </c>
    </row>
    <row r="105" spans="11:12" x14ac:dyDescent="0.45">
      <c r="K105" s="7">
        <v>103</v>
      </c>
      <c r="L105" s="65">
        <v>20.399999999999995</v>
      </c>
    </row>
    <row r="106" spans="11:12" x14ac:dyDescent="0.45">
      <c r="K106" s="7">
        <v>104</v>
      </c>
      <c r="L106" s="65">
        <v>18.099999999999994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-5.0000000000000071</v>
      </c>
    </row>
    <row r="109" spans="11:12" x14ac:dyDescent="0.45">
      <c r="K109" s="7">
        <v>107</v>
      </c>
      <c r="L109" s="65">
        <v>26.999999999999993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29.999999999999993</v>
      </c>
    </row>
    <row r="112" spans="11:12" x14ac:dyDescent="0.45">
      <c r="K112" s="7">
        <v>110</v>
      </c>
      <c r="L112" s="65">
        <v>36.999999999999993</v>
      </c>
    </row>
    <row r="113" spans="11:12" x14ac:dyDescent="0.45">
      <c r="K113" s="7">
        <v>111</v>
      </c>
      <c r="L113" s="65">
        <v>-7.1054273576010019E-15</v>
      </c>
    </row>
    <row r="114" spans="11:12" x14ac:dyDescent="0.45">
      <c r="K114" s="7">
        <v>112</v>
      </c>
      <c r="L114" s="65">
        <v>17.999999999999993</v>
      </c>
    </row>
    <row r="115" spans="11:12" x14ac:dyDescent="0.45">
      <c r="K115" s="7">
        <v>113</v>
      </c>
      <c r="L115" s="65">
        <v>-1.0000000000000071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19.499999999999993</v>
      </c>
    </row>
    <row r="118" spans="11:12" x14ac:dyDescent="0.45">
      <c r="K118" s="7">
        <v>116</v>
      </c>
      <c r="L118" s="65">
        <v>17.099999999999994</v>
      </c>
    </row>
    <row r="119" spans="11:12" x14ac:dyDescent="0.45">
      <c r="K119" s="7">
        <v>117</v>
      </c>
      <c r="L119" s="65">
        <v>-7.1054273576010019E-15</v>
      </c>
    </row>
  </sheetData>
  <sortState xmlns:xlrd2="http://schemas.microsoft.com/office/spreadsheetml/2017/richdata2" ref="N15:Q17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1ACCE-6B2B-429D-BF90-DBFEC4FFD359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39</v>
      </c>
      <c r="C2" s="132"/>
      <c r="E2" s="28" t="s">
        <v>66</v>
      </c>
      <c r="F2" s="25" t="s">
        <v>22</v>
      </c>
      <c r="G2" s="13">
        <v>85</v>
      </c>
      <c r="H2" s="91">
        <f>IF(B$19=0,0,G2/B$19)</f>
        <v>0.89473684210526316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610.52631578947364</v>
      </c>
      <c r="P2" s="80">
        <v>38</v>
      </c>
      <c r="Q2" s="67">
        <v>23200</v>
      </c>
    </row>
    <row r="3" spans="1:17" x14ac:dyDescent="0.45">
      <c r="A3" s="21" t="s">
        <v>8</v>
      </c>
      <c r="B3" s="133">
        <v>320</v>
      </c>
      <c r="C3" s="134"/>
      <c r="E3" s="29" t="s">
        <v>160</v>
      </c>
      <c r="F3" s="26" t="s">
        <v>161</v>
      </c>
      <c r="G3" s="14">
        <v>73</v>
      </c>
      <c r="H3" s="92">
        <f>IF(B$19=0,0,G3/B$19)</f>
        <v>0.76842105263157889</v>
      </c>
      <c r="I3" s="60">
        <v>2</v>
      </c>
      <c r="K3" s="7">
        <v>1</v>
      </c>
      <c r="L3" s="65">
        <v>-38.9</v>
      </c>
      <c r="N3" s="78" t="s">
        <v>129</v>
      </c>
      <c r="O3" s="84">
        <f t="shared" si="0"/>
        <v>-115.78947368421052</v>
      </c>
      <c r="P3" s="81">
        <v>38</v>
      </c>
      <c r="Q3" s="68">
        <v>-4400</v>
      </c>
    </row>
    <row r="4" spans="1:17" x14ac:dyDescent="0.45">
      <c r="A4" s="21" t="s">
        <v>6</v>
      </c>
      <c r="B4" s="135">
        <v>220.09999999999997</v>
      </c>
      <c r="C4" s="136"/>
      <c r="E4" s="29" t="s">
        <v>64</v>
      </c>
      <c r="F4" s="26" t="s">
        <v>20</v>
      </c>
      <c r="G4" s="14">
        <v>55</v>
      </c>
      <c r="H4" s="92">
        <f>IF(B$19=0,0,G4/B$19)</f>
        <v>0.57894736842105265</v>
      </c>
      <c r="I4" s="60">
        <v>2</v>
      </c>
      <c r="K4" s="7">
        <v>2</v>
      </c>
      <c r="L4" s="65">
        <v>-11</v>
      </c>
      <c r="N4" s="78" t="s">
        <v>130</v>
      </c>
      <c r="O4" s="84">
        <f t="shared" si="0"/>
        <v>77.777777777777771</v>
      </c>
      <c r="P4" s="81">
        <v>36</v>
      </c>
      <c r="Q4" s="68">
        <v>2800</v>
      </c>
    </row>
    <row r="5" spans="1:17" x14ac:dyDescent="0.45">
      <c r="A5" s="21" t="s">
        <v>7</v>
      </c>
      <c r="B5" s="123">
        <f>IF(B$2=0,0,B$4/B$2)</f>
        <v>5.6435897435897431</v>
      </c>
      <c r="C5" s="124"/>
      <c r="E5" s="29" t="s">
        <v>72</v>
      </c>
      <c r="F5" s="26" t="s">
        <v>27</v>
      </c>
      <c r="G5" s="14">
        <v>52</v>
      </c>
      <c r="H5" s="92">
        <f>IF(B$19=0,0,G5/B$19)</f>
        <v>0.54736842105263162</v>
      </c>
      <c r="I5" s="60">
        <v>1</v>
      </c>
      <c r="K5" s="7">
        <v>3</v>
      </c>
      <c r="L5" s="65">
        <v>5.6000000000000014</v>
      </c>
      <c r="N5" s="78" t="s">
        <v>131</v>
      </c>
      <c r="O5" s="84">
        <f t="shared" si="0"/>
        <v>-94.117647058823536</v>
      </c>
      <c r="P5" s="81">
        <v>34</v>
      </c>
      <c r="Q5" s="68">
        <v>-3200</v>
      </c>
    </row>
    <row r="6" spans="1:17" x14ac:dyDescent="0.45">
      <c r="A6" s="21" t="s">
        <v>1</v>
      </c>
      <c r="B6" s="137">
        <f>IF(B$2=0,0,(B$7*1+B$8*2+B$9*3)/B$2)</f>
        <v>1.7948717948717949</v>
      </c>
      <c r="C6" s="138"/>
      <c r="E6" s="29" t="s">
        <v>68</v>
      </c>
      <c r="F6" s="26" t="s">
        <v>12</v>
      </c>
      <c r="G6" s="14">
        <v>38</v>
      </c>
      <c r="H6" s="92">
        <f>IF(B$19=0,0,G6/B$19)</f>
        <v>0.4</v>
      </c>
      <c r="I6" s="60">
        <v>1</v>
      </c>
      <c r="K6" s="7">
        <v>4</v>
      </c>
      <c r="L6" s="65">
        <v>11.100000000000001</v>
      </c>
      <c r="N6" s="78" t="s">
        <v>132</v>
      </c>
      <c r="O6" s="84">
        <f t="shared" si="0"/>
        <v>583.87096774193549</v>
      </c>
      <c r="P6" s="81">
        <v>31</v>
      </c>
      <c r="Q6" s="68">
        <v>18100</v>
      </c>
    </row>
    <row r="7" spans="1:17" x14ac:dyDescent="0.45">
      <c r="A7" s="21" t="s">
        <v>2</v>
      </c>
      <c r="B7" s="14">
        <v>19</v>
      </c>
      <c r="C7" s="8">
        <f t="shared" ref="C7:C14" si="1">IF(B$2=0,0,B7/B$2)</f>
        <v>0.48717948717948717</v>
      </c>
      <c r="E7" s="29" t="s">
        <v>67</v>
      </c>
      <c r="F7" s="26" t="s">
        <v>23</v>
      </c>
      <c r="G7" s="14">
        <v>30</v>
      </c>
      <c r="H7" s="92">
        <f>IF(B$19=0,0,G7/B$19)</f>
        <v>0.31578947368421051</v>
      </c>
      <c r="I7" s="60">
        <v>1</v>
      </c>
      <c r="K7" s="7">
        <v>5</v>
      </c>
      <c r="L7" s="65">
        <v>-29.299999999999997</v>
      </c>
      <c r="N7" s="79" t="s">
        <v>133</v>
      </c>
      <c r="O7" s="85">
        <f t="shared" si="0"/>
        <v>623.07692307692309</v>
      </c>
      <c r="P7" s="82">
        <v>26</v>
      </c>
      <c r="Q7" s="69">
        <v>16200</v>
      </c>
    </row>
    <row r="8" spans="1:17" x14ac:dyDescent="0.45">
      <c r="A8" s="21" t="s">
        <v>3</v>
      </c>
      <c r="B8" s="14">
        <v>9</v>
      </c>
      <c r="C8" s="8">
        <f t="shared" si="1"/>
        <v>0.23076923076923078</v>
      </c>
      <c r="E8" s="29" t="s">
        <v>89</v>
      </c>
      <c r="F8" s="26" t="s">
        <v>44</v>
      </c>
      <c r="G8" s="14">
        <v>25</v>
      </c>
      <c r="H8" s="92">
        <f>IF(B$19=0,0,G8/B$19)</f>
        <v>0.26315789473684209</v>
      </c>
      <c r="I8" s="60">
        <v>1</v>
      </c>
      <c r="K8" s="7">
        <v>6</v>
      </c>
      <c r="L8" s="65">
        <v>-4.2999999999999972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0.28205128205128205</v>
      </c>
      <c r="E9" s="29" t="s">
        <v>65</v>
      </c>
      <c r="F9" s="26" t="s">
        <v>21</v>
      </c>
      <c r="G9" s="14">
        <v>13</v>
      </c>
      <c r="H9" s="92">
        <f>IF(B$19=0,0,G9/B$19)</f>
        <v>0.1368421052631579</v>
      </c>
      <c r="I9" s="60">
        <v>3</v>
      </c>
      <c r="K9" s="7">
        <v>7</v>
      </c>
      <c r="L9" s="65">
        <v>-22.599999999999998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184</v>
      </c>
      <c r="B10" s="113">
        <f>IF(B7=0,0,C10/B7)</f>
        <v>26.910526315789472</v>
      </c>
      <c r="C10" s="114">
        <v>511.29999999999995</v>
      </c>
      <c r="E10" s="29" t="s">
        <v>69</v>
      </c>
      <c r="F10" s="26" t="s">
        <v>24</v>
      </c>
      <c r="G10" s="14">
        <v>12</v>
      </c>
      <c r="H10" s="92">
        <f>IF(B$19=0,0,G10/B$19)</f>
        <v>0.12631578947368421</v>
      </c>
      <c r="I10" s="60">
        <v>4</v>
      </c>
      <c r="K10" s="7">
        <v>8</v>
      </c>
      <c r="L10" s="65">
        <v>20.8</v>
      </c>
      <c r="N10" s="77" t="s">
        <v>152</v>
      </c>
      <c r="O10" s="86">
        <f>IF(P10=0,0,Q10/P10)</f>
        <v>1.1299999999999999</v>
      </c>
      <c r="P10" s="80">
        <v>10</v>
      </c>
      <c r="Q10" s="71">
        <v>11.299999999999999</v>
      </c>
    </row>
    <row r="11" spans="1:17" x14ac:dyDescent="0.45">
      <c r="A11" s="22" t="s">
        <v>185</v>
      </c>
      <c r="B11" s="113">
        <f>IF(B8=0,0,C11/B8)</f>
        <v>0.52222222222222237</v>
      </c>
      <c r="C11" s="114">
        <v>4.7000000000000011</v>
      </c>
      <c r="E11" s="29" t="s">
        <v>70</v>
      </c>
      <c r="F11" s="26" t="s">
        <v>25</v>
      </c>
      <c r="G11" s="14">
        <v>9</v>
      </c>
      <c r="H11" s="92">
        <f>IF(B$19=0,0,G11/B$19)</f>
        <v>9.4736842105263161E-2</v>
      </c>
      <c r="I11" s="60">
        <v>3</v>
      </c>
      <c r="K11" s="7">
        <v>9</v>
      </c>
      <c r="L11" s="65">
        <v>-0.19999999999999929</v>
      </c>
      <c r="N11" s="78" t="s">
        <v>153</v>
      </c>
      <c r="O11" s="87">
        <f>IF(P11=0,0,Q11/P11)</f>
        <v>13.099999999999998</v>
      </c>
      <c r="P11" s="81">
        <v>14</v>
      </c>
      <c r="Q11" s="72">
        <v>183.39999999999998</v>
      </c>
    </row>
    <row r="12" spans="1:17" x14ac:dyDescent="0.45">
      <c r="A12" s="22" t="s">
        <v>186</v>
      </c>
      <c r="B12" s="113">
        <f>IF(B9=0,0,C12/B9)</f>
        <v>-26.9</v>
      </c>
      <c r="C12" s="114">
        <v>-295.89999999999998</v>
      </c>
      <c r="E12" s="29" t="s">
        <v>86</v>
      </c>
      <c r="F12" s="26" t="s">
        <v>41</v>
      </c>
      <c r="G12" s="14">
        <v>7</v>
      </c>
      <c r="H12" s="92">
        <f>IF(B$19=0,0,G12/B$19)</f>
        <v>7.3684210526315783E-2</v>
      </c>
      <c r="I12" s="60">
        <v>1</v>
      </c>
      <c r="K12" s="7">
        <v>10</v>
      </c>
      <c r="L12" s="65">
        <v>-19.8</v>
      </c>
      <c r="N12" s="79" t="s">
        <v>154</v>
      </c>
      <c r="O12" s="88">
        <f>IF(P12=0,0,Q12/P12)</f>
        <v>1.6933333333333338</v>
      </c>
      <c r="P12" s="82">
        <v>15</v>
      </c>
      <c r="Q12" s="73">
        <v>25.400000000000006</v>
      </c>
    </row>
    <row r="13" spans="1:17" x14ac:dyDescent="0.45">
      <c r="A13" s="22" t="s">
        <v>187</v>
      </c>
      <c r="B13" s="123">
        <f>AVERAGE(B10:B12)</f>
        <v>0.17758284600389848</v>
      </c>
      <c r="C13" s="124"/>
      <c r="E13" s="29" t="s">
        <v>71</v>
      </c>
      <c r="F13" s="26" t="s">
        <v>26</v>
      </c>
      <c r="G13" s="14">
        <v>5</v>
      </c>
      <c r="H13" s="92">
        <f>IF(B$19=0,0,G13/B$19)</f>
        <v>5.2631578947368418E-2</v>
      </c>
      <c r="I13" s="60">
        <v>2</v>
      </c>
      <c r="K13" s="7">
        <v>11</v>
      </c>
      <c r="L13" s="65">
        <v>23.099999999999998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7.6923076923076927E-2</v>
      </c>
      <c r="E14" s="29" t="s">
        <v>83</v>
      </c>
      <c r="F14" s="26" t="s">
        <v>38</v>
      </c>
      <c r="G14" s="14">
        <v>5</v>
      </c>
      <c r="H14" s="92">
        <f>IF(B$19=0,0,G14/B$19)</f>
        <v>5.2631578947368418E-2</v>
      </c>
      <c r="I14" s="60">
        <v>1</v>
      </c>
      <c r="K14" s="7">
        <v>12</v>
      </c>
      <c r="L14" s="65">
        <v>35.199999999999996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101</v>
      </c>
      <c r="C15" s="12">
        <f>IF(B$3=0,0,B15/B$3)</f>
        <v>0.31562499999999999</v>
      </c>
      <c r="E15" s="29" t="s">
        <v>81</v>
      </c>
      <c r="F15" s="26" t="s">
        <v>36</v>
      </c>
      <c r="G15" s="14">
        <v>3</v>
      </c>
      <c r="H15" s="92">
        <f>IF(B$19=0,0,G15/B$19)</f>
        <v>3.1578947368421054E-2</v>
      </c>
      <c r="I15" s="60">
        <v>1</v>
      </c>
      <c r="K15" s="7">
        <v>13</v>
      </c>
      <c r="L15" s="65">
        <v>60.599999999999994</v>
      </c>
      <c r="N15" s="77" t="s">
        <v>193</v>
      </c>
      <c r="O15" s="86">
        <f>IF(P15=0,0,Q15/P15)</f>
        <v>12.86923076923077</v>
      </c>
      <c r="P15" s="80">
        <v>39</v>
      </c>
      <c r="Q15" s="71">
        <v>501.90000000000003</v>
      </c>
    </row>
    <row r="16" spans="1:17" x14ac:dyDescent="0.45">
      <c r="A16" s="21" t="s">
        <v>118</v>
      </c>
      <c r="B16" s="14">
        <v>53</v>
      </c>
      <c r="C16" s="8">
        <f>IF(B$3=0,0,B16/B$3)</f>
        <v>0.16562499999999999</v>
      </c>
      <c r="E16" s="29" t="s">
        <v>91</v>
      </c>
      <c r="F16" s="26" t="s">
        <v>46</v>
      </c>
      <c r="G16" s="14">
        <v>3</v>
      </c>
      <c r="H16" s="92">
        <f>IF(B$19=0,0,G16/B$19)</f>
        <v>3.1578947368421054E-2</v>
      </c>
      <c r="I16" s="60">
        <v>2</v>
      </c>
      <c r="K16" s="7">
        <v>14</v>
      </c>
      <c r="L16" s="65">
        <v>95.6</v>
      </c>
      <c r="N16" s="78" t="s">
        <v>126</v>
      </c>
      <c r="O16" s="87">
        <f>IF(P16=0,0,Q16/P16)</f>
        <v>4.0615384615384613</v>
      </c>
      <c r="P16" s="81">
        <v>39</v>
      </c>
      <c r="Q16" s="72">
        <v>158.4</v>
      </c>
    </row>
    <row r="17" spans="1:12" x14ac:dyDescent="0.45">
      <c r="A17" s="20" t="s">
        <v>123</v>
      </c>
      <c r="B17" s="13">
        <f>B23</f>
        <v>55</v>
      </c>
      <c r="C17" s="6">
        <f>IF(B$15=0,0,B17/B$15)</f>
        <v>0.54455445544554459</v>
      </c>
      <c r="E17" s="29" t="s">
        <v>78</v>
      </c>
      <c r="F17" s="26" t="s">
        <v>33</v>
      </c>
      <c r="G17" s="14">
        <v>2</v>
      </c>
      <c r="H17" s="92">
        <f>IF(B$19=0,0,G17/B$19)</f>
        <v>2.1052631578947368E-2</v>
      </c>
      <c r="I17" s="60">
        <v>1</v>
      </c>
      <c r="K17" s="7">
        <v>15</v>
      </c>
      <c r="L17" s="65">
        <v>114.8</v>
      </c>
    </row>
    <row r="18" spans="1:12" x14ac:dyDescent="0.45">
      <c r="A18" s="20" t="s">
        <v>124</v>
      </c>
      <c r="B18" s="13">
        <f>B24</f>
        <v>21</v>
      </c>
      <c r="C18" s="6">
        <f>IF(B$16=0,0,B18/B$16)</f>
        <v>0.39622641509433965</v>
      </c>
      <c r="E18" s="29" t="s">
        <v>92</v>
      </c>
      <c r="F18" s="26" t="s">
        <v>47</v>
      </c>
      <c r="G18" s="14">
        <v>2</v>
      </c>
      <c r="H18" s="92">
        <f>IF(B$19=0,0,G18/B$19)</f>
        <v>2.1052631578947368E-2</v>
      </c>
      <c r="I18" s="60">
        <v>1</v>
      </c>
      <c r="K18" s="7">
        <v>16</v>
      </c>
      <c r="L18" s="65">
        <v>142.69999999999999</v>
      </c>
    </row>
    <row r="19" spans="1:12" x14ac:dyDescent="0.45">
      <c r="A19" s="20" t="s">
        <v>10</v>
      </c>
      <c r="B19" s="13">
        <f>B22+B21</f>
        <v>95</v>
      </c>
      <c r="C19" s="6">
        <f>IF(B$3=0,0,B19/B$3)</f>
        <v>0.296875</v>
      </c>
      <c r="E19" s="29" t="s">
        <v>73</v>
      </c>
      <c r="F19" s="26" t="s">
        <v>28</v>
      </c>
      <c r="G19" s="14">
        <v>1</v>
      </c>
      <c r="H19" s="92">
        <f>IF(B$19=0,0,G19/B$19)</f>
        <v>1.0526315789473684E-2</v>
      </c>
      <c r="I19" s="60">
        <v>1</v>
      </c>
      <c r="K19" s="7">
        <v>17</v>
      </c>
      <c r="L19" s="65">
        <v>120.29999999999998</v>
      </c>
    </row>
    <row r="20" spans="1:12" x14ac:dyDescent="0.45">
      <c r="A20" s="21" t="s">
        <v>13</v>
      </c>
      <c r="B20" s="14">
        <v>48</v>
      </c>
      <c r="C20" s="8">
        <f>IF(B$3=0,0,B20/B$3)</f>
        <v>0.15</v>
      </c>
      <c r="E20" s="29" t="s">
        <v>84</v>
      </c>
      <c r="F20" s="26" t="s">
        <v>39</v>
      </c>
      <c r="G20" s="14">
        <v>1</v>
      </c>
      <c r="H20" s="92">
        <f>IF(B$19=0,0,G20/B$19)</f>
        <v>1.0526315789473684E-2</v>
      </c>
      <c r="I20" s="60">
        <v>1</v>
      </c>
      <c r="K20" s="7">
        <v>18</v>
      </c>
      <c r="L20" s="65">
        <v>122.79999999999998</v>
      </c>
    </row>
    <row r="21" spans="1:12" x14ac:dyDescent="0.45">
      <c r="A21" s="21" t="s">
        <v>12</v>
      </c>
      <c r="B21" s="14">
        <v>46</v>
      </c>
      <c r="C21" s="8">
        <f>IF(B$19=0,0,B21/B$19)</f>
        <v>0.48421052631578948</v>
      </c>
      <c r="E21" s="29" t="s">
        <v>85</v>
      </c>
      <c r="F21" s="26" t="s">
        <v>40</v>
      </c>
      <c r="G21" s="14">
        <v>1</v>
      </c>
      <c r="H21" s="92">
        <f>IF(B$19=0,0,G21/B$19)</f>
        <v>1.0526315789473684E-2</v>
      </c>
      <c r="I21" s="60">
        <v>2</v>
      </c>
      <c r="K21" s="7">
        <v>19</v>
      </c>
      <c r="L21" s="65">
        <v>88.799999999999983</v>
      </c>
    </row>
    <row r="22" spans="1:12" x14ac:dyDescent="0.45">
      <c r="A22" s="21" t="s">
        <v>11</v>
      </c>
      <c r="B22" s="14">
        <v>49</v>
      </c>
      <c r="C22" s="8">
        <f>IF(B$19=0,0,B22/B$19)</f>
        <v>0.51578947368421058</v>
      </c>
      <c r="E22" s="29" t="s">
        <v>90</v>
      </c>
      <c r="F22" s="26" t="s">
        <v>45</v>
      </c>
      <c r="G22" s="14">
        <v>1</v>
      </c>
      <c r="H22" s="92">
        <f>IF(B$19=0,0,G22/B$19)</f>
        <v>1.0526315789473684E-2</v>
      </c>
      <c r="I22" s="60">
        <v>1</v>
      </c>
      <c r="K22" s="7">
        <v>20</v>
      </c>
      <c r="L22" s="65">
        <v>91.299999999999983</v>
      </c>
    </row>
    <row r="23" spans="1:12" x14ac:dyDescent="0.45">
      <c r="A23" s="21" t="s">
        <v>183</v>
      </c>
      <c r="B23" s="14">
        <v>55</v>
      </c>
      <c r="C23" s="8">
        <f>IF(B$19=0,0,B23/B$19)</f>
        <v>0.57894736842105265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72.699999999999989</v>
      </c>
    </row>
    <row r="24" spans="1:12" x14ac:dyDescent="0.45">
      <c r="A24" s="21" t="s">
        <v>181</v>
      </c>
      <c r="B24" s="14">
        <v>21</v>
      </c>
      <c r="C24" s="8">
        <f>IF(B$19=0,0,B24/B$19)</f>
        <v>0.22105263157894736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63.499999999999986</v>
      </c>
    </row>
    <row r="25" spans="1:12" x14ac:dyDescent="0.45">
      <c r="A25" s="21" t="s">
        <v>182</v>
      </c>
      <c r="B25" s="14">
        <v>19</v>
      </c>
      <c r="C25" s="8">
        <f>IF(B$19=0,0,B25/B$19)</f>
        <v>0.2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93.999999999999986</v>
      </c>
    </row>
    <row r="26" spans="1:12" x14ac:dyDescent="0.45">
      <c r="A26" s="21" t="s">
        <v>5</v>
      </c>
      <c r="B26" s="18">
        <f>IF(B$19=0,0,C26/B$19)</f>
        <v>8375.78947368421</v>
      </c>
      <c r="C26" s="10">
        <v>795700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109.89999999999999</v>
      </c>
    </row>
    <row r="27" spans="1:12" x14ac:dyDescent="0.45">
      <c r="A27" s="22" t="s">
        <v>165</v>
      </c>
      <c r="B27" s="99">
        <f>IF($B$19-B$18=0,0,C27/($B$19-B$18))</f>
        <v>8301.3513513513517</v>
      </c>
      <c r="C27" s="100">
        <v>614300</v>
      </c>
      <c r="E27" s="29" t="s">
        <v>79</v>
      </c>
      <c r="F27" s="26" t="s">
        <v>34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145.89999999999998</v>
      </c>
    </row>
    <row r="28" spans="1:12" x14ac:dyDescent="0.45">
      <c r="A28" s="22" t="s">
        <v>166</v>
      </c>
      <c r="B28" s="99">
        <f>IF(B$18=0,0,C28/B$18)</f>
        <v>8638.0952380952385</v>
      </c>
      <c r="C28" s="100">
        <v>181400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147.89999999999998</v>
      </c>
    </row>
    <row r="29" spans="1:12" x14ac:dyDescent="0.45">
      <c r="A29" s="22" t="s">
        <v>164</v>
      </c>
      <c r="B29" s="99">
        <f>IF(B$20=0,0,C29/B$20)</f>
        <v>-6168.75</v>
      </c>
      <c r="C29" s="100">
        <v>-296100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112.39999999999998</v>
      </c>
    </row>
    <row r="30" spans="1:12" x14ac:dyDescent="0.45">
      <c r="A30" s="21" t="s">
        <v>158</v>
      </c>
      <c r="B30" s="14">
        <v>5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143.99999999999997</v>
      </c>
    </row>
    <row r="31" spans="1:12" x14ac:dyDescent="0.45">
      <c r="A31" s="21" t="s">
        <v>159</v>
      </c>
      <c r="B31" s="14">
        <v>33</v>
      </c>
      <c r="C31" s="94">
        <v>0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158.49999999999997</v>
      </c>
    </row>
    <row r="32" spans="1:12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146.09999999999997</v>
      </c>
    </row>
    <row r="33" spans="1:12" x14ac:dyDescent="0.45">
      <c r="A33" s="24" t="s">
        <v>180</v>
      </c>
      <c r="B33" s="127">
        <v>58400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111.29999999999997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145.29999999999995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141.19999999999996</v>
      </c>
    </row>
    <row r="36" spans="1:12" x14ac:dyDescent="0.45">
      <c r="A36" s="56" t="s">
        <v>171</v>
      </c>
      <c r="B36" s="121">
        <v>2</v>
      </c>
      <c r="C36" s="102">
        <f t="shared" ref="C36:C48" si="2">IF(B$19=0,0,B36/B$19)</f>
        <v>2.1052631578947368E-2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137.19999999999996</v>
      </c>
    </row>
    <row r="37" spans="1:12" x14ac:dyDescent="0.45">
      <c r="A37" s="21" t="s">
        <v>167</v>
      </c>
      <c r="B37" s="14">
        <v>5</v>
      </c>
      <c r="C37" s="8">
        <f t="shared" si="2"/>
        <v>5.2631578947368418E-2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157.59999999999997</v>
      </c>
    </row>
    <row r="38" spans="1:12" x14ac:dyDescent="0.45">
      <c r="A38" s="21" t="s">
        <v>168</v>
      </c>
      <c r="B38" s="122">
        <v>12</v>
      </c>
      <c r="C38" s="8">
        <f t="shared" si="2"/>
        <v>0.12631578947368421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152.59999999999997</v>
      </c>
    </row>
    <row r="39" spans="1:12" x14ac:dyDescent="0.45">
      <c r="A39" s="21" t="s">
        <v>169</v>
      </c>
      <c r="B39" s="122">
        <v>15</v>
      </c>
      <c r="C39" s="8">
        <f t="shared" si="2"/>
        <v>0.15789473684210525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182.59999999999997</v>
      </c>
    </row>
    <row r="40" spans="1:12" x14ac:dyDescent="0.45">
      <c r="A40" s="21" t="s">
        <v>170</v>
      </c>
      <c r="B40" s="122">
        <v>19</v>
      </c>
      <c r="C40" s="8">
        <f t="shared" si="2"/>
        <v>0.2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200.59999999999997</v>
      </c>
    </row>
    <row r="41" spans="1:12" x14ac:dyDescent="0.45">
      <c r="A41" s="21" t="s">
        <v>172</v>
      </c>
      <c r="B41" s="122">
        <v>14</v>
      </c>
      <c r="C41" s="8">
        <f t="shared" si="2"/>
        <v>0.14736842105263157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220.09999999999997</v>
      </c>
    </row>
    <row r="42" spans="1:12" x14ac:dyDescent="0.45">
      <c r="A42" s="21" t="s">
        <v>173</v>
      </c>
      <c r="B42" s="122">
        <v>12</v>
      </c>
      <c r="C42" s="8">
        <f t="shared" si="2"/>
        <v>0.12631578947368421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174</v>
      </c>
      <c r="B43" s="122">
        <v>9</v>
      </c>
      <c r="C43" s="8">
        <f t="shared" si="2"/>
        <v>9.4736842105263161E-2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175</v>
      </c>
      <c r="B44" s="122">
        <v>2</v>
      </c>
      <c r="C44" s="8">
        <f t="shared" si="2"/>
        <v>2.1052631578947368E-2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176</v>
      </c>
      <c r="B45" s="122">
        <v>2</v>
      </c>
      <c r="C45" s="8">
        <f t="shared" si="2"/>
        <v>2.1052631578947368E-2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177</v>
      </c>
      <c r="B46" s="122">
        <v>1</v>
      </c>
      <c r="C46" s="8">
        <f t="shared" si="2"/>
        <v>1.0526315789473684E-2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178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179</v>
      </c>
      <c r="B48" s="101">
        <v>2</v>
      </c>
      <c r="C48" s="11">
        <f t="shared" si="2"/>
        <v>2.1052631578947368E-2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58742-7B22-4B8A-9284-B08A3B65A9F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39</v>
      </c>
      <c r="C2" s="132"/>
      <c r="E2" s="28" t="s">
        <v>66</v>
      </c>
      <c r="F2" s="25" t="s">
        <v>22</v>
      </c>
      <c r="G2" s="13">
        <v>81</v>
      </c>
      <c r="H2" s="91">
        <f>IF(B$19=0,0,G2/B$19)</f>
        <v>0.84375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1684.2105263157894</v>
      </c>
      <c r="P2" s="80">
        <v>38</v>
      </c>
      <c r="Q2" s="67">
        <v>64000</v>
      </c>
    </row>
    <row r="3" spans="1:17" x14ac:dyDescent="0.45">
      <c r="A3" s="21" t="s">
        <v>8</v>
      </c>
      <c r="B3" s="133">
        <v>320</v>
      </c>
      <c r="C3" s="134"/>
      <c r="E3" s="29" t="s">
        <v>160</v>
      </c>
      <c r="F3" s="26" t="s">
        <v>161</v>
      </c>
      <c r="G3" s="14">
        <v>78</v>
      </c>
      <c r="H3" s="92">
        <f>IF(B$19=0,0,G3/B$19)</f>
        <v>0.8125</v>
      </c>
      <c r="I3" s="60">
        <v>1</v>
      </c>
      <c r="K3" s="7">
        <v>1</v>
      </c>
      <c r="L3" s="65">
        <v>33.9</v>
      </c>
      <c r="N3" s="78" t="s">
        <v>129</v>
      </c>
      <c r="O3" s="84">
        <f t="shared" si="0"/>
        <v>1792.1052631578948</v>
      </c>
      <c r="P3" s="81">
        <v>38</v>
      </c>
      <c r="Q3" s="68">
        <v>68100</v>
      </c>
    </row>
    <row r="4" spans="1:17" x14ac:dyDescent="0.45">
      <c r="A4" s="21" t="s">
        <v>6</v>
      </c>
      <c r="B4" s="135">
        <v>61.70000000000001</v>
      </c>
      <c r="C4" s="136"/>
      <c r="E4" s="29" t="s">
        <v>64</v>
      </c>
      <c r="F4" s="26" t="s">
        <v>20</v>
      </c>
      <c r="G4" s="14">
        <v>44</v>
      </c>
      <c r="H4" s="92">
        <f>IF(B$19=0,0,G4/B$19)</f>
        <v>0.45833333333333331</v>
      </c>
      <c r="I4" s="60">
        <v>4</v>
      </c>
      <c r="K4" s="7">
        <v>2</v>
      </c>
      <c r="L4" s="65">
        <v>-10.899999999999999</v>
      </c>
      <c r="N4" s="78" t="s">
        <v>130</v>
      </c>
      <c r="O4" s="84">
        <f t="shared" si="0"/>
        <v>-1291.6666666666667</v>
      </c>
      <c r="P4" s="81">
        <v>36</v>
      </c>
      <c r="Q4" s="68">
        <v>-46500</v>
      </c>
    </row>
    <row r="5" spans="1:17" x14ac:dyDescent="0.45">
      <c r="A5" s="21" t="s">
        <v>7</v>
      </c>
      <c r="B5" s="123">
        <f>IF(B$2=0,0,B$4/B$2)</f>
        <v>1.5820512820512822</v>
      </c>
      <c r="C5" s="124"/>
      <c r="E5" s="29" t="s">
        <v>72</v>
      </c>
      <c r="F5" s="26" t="s">
        <v>27</v>
      </c>
      <c r="G5" s="14">
        <v>41</v>
      </c>
      <c r="H5" s="92">
        <f>IF(B$19=0,0,G5/B$19)</f>
        <v>0.42708333333333331</v>
      </c>
      <c r="I5" s="60">
        <v>4</v>
      </c>
      <c r="K5" s="7">
        <v>3</v>
      </c>
      <c r="L5" s="65">
        <v>-8.7999999999999989</v>
      </c>
      <c r="N5" s="78" t="s">
        <v>131</v>
      </c>
      <c r="O5" s="84">
        <f t="shared" si="0"/>
        <v>1658.8235294117646</v>
      </c>
      <c r="P5" s="81">
        <v>34</v>
      </c>
      <c r="Q5" s="68">
        <v>56400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34</v>
      </c>
      <c r="H6" s="92">
        <f>IF(B$19=0,0,G6/B$19)</f>
        <v>0.35416666666666669</v>
      </c>
      <c r="I6" s="60">
        <v>4</v>
      </c>
      <c r="K6" s="7">
        <v>4</v>
      </c>
      <c r="L6" s="65">
        <v>13.300000000000002</v>
      </c>
      <c r="N6" s="78" t="s">
        <v>132</v>
      </c>
      <c r="O6" s="84">
        <f t="shared" si="0"/>
        <v>522.58064516129036</v>
      </c>
      <c r="P6" s="81">
        <v>31</v>
      </c>
      <c r="Q6" s="68">
        <v>16200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0.23076923076923078</v>
      </c>
      <c r="E7" s="29" t="s">
        <v>67</v>
      </c>
      <c r="F7" s="26" t="s">
        <v>23</v>
      </c>
      <c r="G7" s="14">
        <v>27</v>
      </c>
      <c r="H7" s="92">
        <f>IF(B$19=0,0,G7/B$19)</f>
        <v>0.28125</v>
      </c>
      <c r="I7" s="60">
        <v>2</v>
      </c>
      <c r="K7" s="7">
        <v>5</v>
      </c>
      <c r="L7" s="65">
        <v>16.100000000000001</v>
      </c>
      <c r="N7" s="79" t="s">
        <v>133</v>
      </c>
      <c r="O7" s="85">
        <f t="shared" si="0"/>
        <v>-2157.6923076923076</v>
      </c>
      <c r="P7" s="82">
        <v>26</v>
      </c>
      <c r="Q7" s="69">
        <v>-56100</v>
      </c>
    </row>
    <row r="8" spans="1:17" x14ac:dyDescent="0.45">
      <c r="A8" s="21" t="s">
        <v>3</v>
      </c>
      <c r="B8" s="14">
        <v>21</v>
      </c>
      <c r="C8" s="8">
        <f t="shared" si="1"/>
        <v>0.53846153846153844</v>
      </c>
      <c r="E8" s="29" t="s">
        <v>69</v>
      </c>
      <c r="F8" s="26" t="s">
        <v>24</v>
      </c>
      <c r="G8" s="14">
        <v>18</v>
      </c>
      <c r="H8" s="92">
        <f>IF(B$19=0,0,G8/B$19)</f>
        <v>0.1875</v>
      </c>
      <c r="I8" s="60">
        <v>1</v>
      </c>
      <c r="K8" s="7">
        <v>6</v>
      </c>
      <c r="L8" s="65">
        <v>30.1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0.23076923076923078</v>
      </c>
      <c r="E9" s="29" t="s">
        <v>70</v>
      </c>
      <c r="F9" s="26" t="s">
        <v>25</v>
      </c>
      <c r="G9" s="14">
        <v>13</v>
      </c>
      <c r="H9" s="92">
        <f>IF(B$19=0,0,G9/B$19)</f>
        <v>0.13541666666666666</v>
      </c>
      <c r="I9" s="60">
        <v>1</v>
      </c>
      <c r="K9" s="7">
        <v>7</v>
      </c>
      <c r="L9" s="65">
        <v>46.1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184</v>
      </c>
      <c r="B10" s="113">
        <f>IF(B7=0,0,C10/B7)</f>
        <v>28.488888888888894</v>
      </c>
      <c r="C10" s="114">
        <v>256.40000000000003</v>
      </c>
      <c r="E10" s="29" t="s">
        <v>65</v>
      </c>
      <c r="F10" s="26" t="s">
        <v>21</v>
      </c>
      <c r="G10" s="14">
        <v>11</v>
      </c>
      <c r="H10" s="92">
        <f>IF(B$19=0,0,G10/B$19)</f>
        <v>0.11458333333333333</v>
      </c>
      <c r="I10" s="60">
        <v>4</v>
      </c>
      <c r="K10" s="7">
        <v>8</v>
      </c>
      <c r="L10" s="65">
        <v>38.6</v>
      </c>
      <c r="N10" s="77" t="s">
        <v>152</v>
      </c>
      <c r="O10" s="86">
        <f>IF(P10=0,0,Q10/P10)</f>
        <v>1.3533333333333326</v>
      </c>
      <c r="P10" s="80">
        <v>15</v>
      </c>
      <c r="Q10" s="71">
        <v>20.29999999999999</v>
      </c>
    </row>
    <row r="11" spans="1:17" x14ac:dyDescent="0.45">
      <c r="A11" s="22" t="s">
        <v>185</v>
      </c>
      <c r="B11" s="113">
        <f>IF(B8=0,0,C11/B8)</f>
        <v>2.7809523809523813</v>
      </c>
      <c r="C11" s="114">
        <v>58.400000000000006</v>
      </c>
      <c r="E11" s="29" t="s">
        <v>89</v>
      </c>
      <c r="F11" s="26" t="s">
        <v>44</v>
      </c>
      <c r="G11" s="14">
        <v>9</v>
      </c>
      <c r="H11" s="92">
        <f>IF(B$19=0,0,G11/B$19)</f>
        <v>9.375E-2</v>
      </c>
      <c r="I11" s="60">
        <v>4</v>
      </c>
      <c r="K11" s="7">
        <v>9</v>
      </c>
      <c r="L11" s="65">
        <v>37.700000000000003</v>
      </c>
      <c r="N11" s="78" t="s">
        <v>153</v>
      </c>
      <c r="O11" s="87">
        <f>IF(P11=0,0,Q11/P11)</f>
        <v>7.6399999999999988</v>
      </c>
      <c r="P11" s="81">
        <v>10</v>
      </c>
      <c r="Q11" s="72">
        <v>76.399999999999991</v>
      </c>
    </row>
    <row r="12" spans="1:17" x14ac:dyDescent="0.45">
      <c r="A12" s="22" t="s">
        <v>186</v>
      </c>
      <c r="B12" s="113">
        <f>IF(B9=0,0,C12/B9)</f>
        <v>-28.12222222222222</v>
      </c>
      <c r="C12" s="114">
        <v>-253.09999999999997</v>
      </c>
      <c r="E12" s="29" t="s">
        <v>86</v>
      </c>
      <c r="F12" s="26" t="s">
        <v>41</v>
      </c>
      <c r="G12" s="14">
        <v>7</v>
      </c>
      <c r="H12" s="92">
        <f>IF(B$19=0,0,G12/B$19)</f>
        <v>7.2916666666666671E-2</v>
      </c>
      <c r="I12" s="60">
        <v>2</v>
      </c>
      <c r="K12" s="7">
        <v>10</v>
      </c>
      <c r="L12" s="65">
        <v>38.400000000000006</v>
      </c>
      <c r="N12" s="79" t="s">
        <v>154</v>
      </c>
      <c r="O12" s="88">
        <f>IF(P12=0,0,Q12/P12)</f>
        <v>-2.4999999999999996</v>
      </c>
      <c r="P12" s="82">
        <v>14</v>
      </c>
      <c r="Q12" s="73">
        <v>-34.999999999999993</v>
      </c>
    </row>
    <row r="13" spans="1:17" x14ac:dyDescent="0.45">
      <c r="A13" s="22" t="s">
        <v>187</v>
      </c>
      <c r="B13" s="123">
        <f>AVERAGE(B10:B12)</f>
        <v>1.0492063492063519</v>
      </c>
      <c r="C13" s="124"/>
      <c r="E13" s="29" t="s">
        <v>71</v>
      </c>
      <c r="F13" s="26" t="s">
        <v>26</v>
      </c>
      <c r="G13" s="14">
        <v>6</v>
      </c>
      <c r="H13" s="92">
        <f>IF(B$19=0,0,G13/B$19)</f>
        <v>6.25E-2</v>
      </c>
      <c r="I13" s="60">
        <v>1</v>
      </c>
      <c r="K13" s="7">
        <v>11</v>
      </c>
      <c r="L13" s="65">
        <v>-5.9999999999999929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7.6923076923076927E-2</v>
      </c>
      <c r="E14" s="29" t="s">
        <v>83</v>
      </c>
      <c r="F14" s="26" t="s">
        <v>38</v>
      </c>
      <c r="G14" s="14">
        <v>4</v>
      </c>
      <c r="H14" s="92">
        <f>IF(B$19=0,0,G14/B$19)</f>
        <v>4.1666666666666664E-2</v>
      </c>
      <c r="I14" s="60">
        <v>2</v>
      </c>
      <c r="K14" s="7">
        <v>12</v>
      </c>
      <c r="L14" s="65">
        <v>-5.5999999999999925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64</v>
      </c>
      <c r="C15" s="12">
        <f>IF(B$3=0,0,B15/B$3)</f>
        <v>0.2</v>
      </c>
      <c r="E15" s="29" t="s">
        <v>79</v>
      </c>
      <c r="F15" s="26" t="s">
        <v>34</v>
      </c>
      <c r="G15" s="14">
        <v>2</v>
      </c>
      <c r="H15" s="92">
        <f>IF(B$19=0,0,G15/B$19)</f>
        <v>2.0833333333333332E-2</v>
      </c>
      <c r="I15" s="60">
        <v>2</v>
      </c>
      <c r="K15" s="7">
        <v>13</v>
      </c>
      <c r="L15" s="65">
        <v>1.8000000000000078</v>
      </c>
      <c r="N15" s="77" t="s">
        <v>193</v>
      </c>
      <c r="O15" s="86">
        <f>IF(P15=0,0,Q15/P15)</f>
        <v>8.8076923076923084</v>
      </c>
      <c r="P15" s="80">
        <v>39</v>
      </c>
      <c r="Q15" s="71">
        <v>343.5</v>
      </c>
    </row>
    <row r="16" spans="1:17" x14ac:dyDescent="0.45">
      <c r="A16" s="21" t="s">
        <v>118</v>
      </c>
      <c r="B16" s="14">
        <v>47</v>
      </c>
      <c r="C16" s="8">
        <f>IF(B$3=0,0,B16/B$3)</f>
        <v>0.14687500000000001</v>
      </c>
      <c r="E16" s="29" t="s">
        <v>81</v>
      </c>
      <c r="F16" s="26" t="s">
        <v>36</v>
      </c>
      <c r="G16" s="14">
        <v>2</v>
      </c>
      <c r="H16" s="92">
        <f>IF(B$19=0,0,G16/B$19)</f>
        <v>2.0833333333333332E-2</v>
      </c>
      <c r="I16" s="60">
        <v>2</v>
      </c>
      <c r="K16" s="7">
        <v>14</v>
      </c>
      <c r="L16" s="65">
        <v>-29.399999999999991</v>
      </c>
      <c r="N16" s="78" t="s">
        <v>194</v>
      </c>
      <c r="O16" s="87">
        <f>IF(P16=0,0,Q16/P16)</f>
        <v>-4.0615384615384613</v>
      </c>
      <c r="P16" s="81">
        <v>39</v>
      </c>
      <c r="Q16" s="72">
        <v>-158.39999999999998</v>
      </c>
    </row>
    <row r="17" spans="1:12" x14ac:dyDescent="0.45">
      <c r="A17" s="20" t="s">
        <v>123</v>
      </c>
      <c r="B17" s="13">
        <f>B23</f>
        <v>44</v>
      </c>
      <c r="C17" s="6">
        <f>IF(B$15=0,0,B17/B$15)</f>
        <v>0.6875</v>
      </c>
      <c r="E17" s="29" t="s">
        <v>73</v>
      </c>
      <c r="F17" s="26" t="s">
        <v>28</v>
      </c>
      <c r="G17" s="14">
        <v>1</v>
      </c>
      <c r="H17" s="92">
        <f>IF(B$19=0,0,G17/B$19)</f>
        <v>1.0416666666666666E-2</v>
      </c>
      <c r="I17" s="60">
        <v>2</v>
      </c>
      <c r="K17" s="7">
        <v>15</v>
      </c>
      <c r="L17" s="65">
        <v>-51.499999999999993</v>
      </c>
    </row>
    <row r="18" spans="1:12" x14ac:dyDescent="0.45">
      <c r="A18" s="20" t="s">
        <v>124</v>
      </c>
      <c r="B18" s="13">
        <f>B24</f>
        <v>21</v>
      </c>
      <c r="C18" s="6">
        <f>IF(B$16=0,0,B18/B$16)</f>
        <v>0.44680851063829785</v>
      </c>
      <c r="E18" s="29" t="s">
        <v>75</v>
      </c>
      <c r="F18" s="26" t="s">
        <v>30</v>
      </c>
      <c r="G18" s="14">
        <v>1</v>
      </c>
      <c r="H18" s="92">
        <f>IF(B$19=0,0,G18/B$19)</f>
        <v>1.0416666666666666E-2</v>
      </c>
      <c r="I18" s="60">
        <v>1</v>
      </c>
      <c r="K18" s="7">
        <v>16</v>
      </c>
      <c r="L18" s="65">
        <v>-36.699999999999989</v>
      </c>
    </row>
    <row r="19" spans="1:12" x14ac:dyDescent="0.45">
      <c r="A19" s="20" t="s">
        <v>10</v>
      </c>
      <c r="B19" s="13">
        <f>B22+B21</f>
        <v>96</v>
      </c>
      <c r="C19" s="6">
        <f>IF(B$3=0,0,B19/B$3)</f>
        <v>0.3</v>
      </c>
      <c r="E19" s="29" t="s">
        <v>78</v>
      </c>
      <c r="F19" s="26" t="s">
        <v>33</v>
      </c>
      <c r="G19" s="14">
        <v>1</v>
      </c>
      <c r="H19" s="92">
        <f>IF(B$19=0,0,G19/B$19)</f>
        <v>1.0416666666666666E-2</v>
      </c>
      <c r="I19" s="60">
        <v>3</v>
      </c>
      <c r="K19" s="7">
        <v>17</v>
      </c>
      <c r="L19" s="65">
        <v>-31.699999999999989</v>
      </c>
    </row>
    <row r="20" spans="1:12" x14ac:dyDescent="0.45">
      <c r="A20" s="21" t="s">
        <v>13</v>
      </c>
      <c r="B20" s="14">
        <v>31</v>
      </c>
      <c r="C20" s="8">
        <f>IF(B$3=0,0,B20/B$3)</f>
        <v>9.6875000000000003E-2</v>
      </c>
      <c r="E20" s="29" t="s">
        <v>90</v>
      </c>
      <c r="F20" s="26" t="s">
        <v>45</v>
      </c>
      <c r="G20" s="14">
        <v>1</v>
      </c>
      <c r="H20" s="92">
        <f>IF(B$19=0,0,G20/B$19)</f>
        <v>1.0416666666666666E-2</v>
      </c>
      <c r="I20" s="60">
        <v>2</v>
      </c>
      <c r="K20" s="7">
        <v>18</v>
      </c>
      <c r="L20" s="65">
        <v>-0.79999999999999005</v>
      </c>
    </row>
    <row r="21" spans="1:12" x14ac:dyDescent="0.45">
      <c r="A21" s="21" t="s">
        <v>12</v>
      </c>
      <c r="B21" s="14">
        <v>45</v>
      </c>
      <c r="C21" s="8">
        <f>IF(B$19=0,0,B21/B$19)</f>
        <v>0.46875</v>
      </c>
      <c r="E21" s="29" t="s">
        <v>91</v>
      </c>
      <c r="F21" s="26" t="s">
        <v>46</v>
      </c>
      <c r="G21" s="14">
        <v>1</v>
      </c>
      <c r="H21" s="92">
        <f>IF(B$19=0,0,G21/B$19)</f>
        <v>1.0416666666666666E-2</v>
      </c>
      <c r="I21" s="60">
        <v>4</v>
      </c>
      <c r="K21" s="7">
        <v>19</v>
      </c>
      <c r="L21" s="65">
        <v>0.30000000000001004</v>
      </c>
    </row>
    <row r="22" spans="1:12" x14ac:dyDescent="0.45">
      <c r="A22" s="21" t="s">
        <v>11</v>
      </c>
      <c r="B22" s="14">
        <v>51</v>
      </c>
      <c r="C22" s="8">
        <f>IF(B$19=0,0,B22/B$19)</f>
        <v>0.53125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14.70000000000001</v>
      </c>
    </row>
    <row r="23" spans="1:12" x14ac:dyDescent="0.45">
      <c r="A23" s="21" t="s">
        <v>183</v>
      </c>
      <c r="B23" s="14">
        <v>44</v>
      </c>
      <c r="C23" s="8">
        <f>IF(B$19=0,0,B23/B$19)</f>
        <v>0.45833333333333331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15.30000000000001</v>
      </c>
    </row>
    <row r="24" spans="1:12" x14ac:dyDescent="0.45">
      <c r="A24" s="21" t="s">
        <v>181</v>
      </c>
      <c r="B24" s="14">
        <v>21</v>
      </c>
      <c r="C24" s="8">
        <f>IF(B$19=0,0,B24/B$19)</f>
        <v>0.21875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66.600000000000009</v>
      </c>
    </row>
    <row r="25" spans="1:12" x14ac:dyDescent="0.45">
      <c r="A25" s="21" t="s">
        <v>182</v>
      </c>
      <c r="B25" s="14">
        <v>31</v>
      </c>
      <c r="C25" s="8">
        <f>IF(B$19=0,0,B25/B$19)</f>
        <v>0.32291666666666669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44.900000000000006</v>
      </c>
    </row>
    <row r="26" spans="1:12" x14ac:dyDescent="0.45">
      <c r="A26" s="21" t="s">
        <v>5</v>
      </c>
      <c r="B26" s="18">
        <f>IF(B$19=0,0,C26/B$19)</f>
        <v>6490.625</v>
      </c>
      <c r="C26" s="10">
        <v>623100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28.200000000000006</v>
      </c>
    </row>
    <row r="27" spans="1:12" x14ac:dyDescent="0.45">
      <c r="A27" s="22" t="s">
        <v>165</v>
      </c>
      <c r="B27" s="99">
        <f>IF($B$19-B$18=0,0,C27/($B$19-B$18))</f>
        <v>6564</v>
      </c>
      <c r="C27" s="100">
        <v>492300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25.700000000000006</v>
      </c>
    </row>
    <row r="28" spans="1:12" x14ac:dyDescent="0.45">
      <c r="A28" s="22" t="s">
        <v>166</v>
      </c>
      <c r="B28" s="99">
        <f>IF(B$18=0,0,C28/B$18)</f>
        <v>6228.5714285714284</v>
      </c>
      <c r="C28" s="100">
        <v>130800</v>
      </c>
      <c r="E28" s="29" t="s">
        <v>85</v>
      </c>
      <c r="F28" s="26" t="s">
        <v>40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-12.499999999999996</v>
      </c>
    </row>
    <row r="29" spans="1:12" x14ac:dyDescent="0.45">
      <c r="A29" s="22" t="s">
        <v>164</v>
      </c>
      <c r="B29" s="99">
        <f>IF(B$20=0,0,C29/B$20)</f>
        <v>-6238.7096774193551</v>
      </c>
      <c r="C29" s="100">
        <v>-193400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-4.4999999999999964</v>
      </c>
    </row>
    <row r="30" spans="1:12" x14ac:dyDescent="0.45">
      <c r="A30" s="21" t="s">
        <v>158</v>
      </c>
      <c r="B30" s="14">
        <v>3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-9.7999999999999972</v>
      </c>
    </row>
    <row r="31" spans="1:12" x14ac:dyDescent="0.45">
      <c r="A31" s="21" t="s">
        <v>159</v>
      </c>
      <c r="B31" s="14">
        <v>33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16.200000000000003</v>
      </c>
    </row>
    <row r="32" spans="1:12" x14ac:dyDescent="0.45">
      <c r="A32" s="56" t="s">
        <v>136</v>
      </c>
      <c r="B32" s="125">
        <v>7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17.200000000000003</v>
      </c>
    </row>
    <row r="33" spans="1:12" x14ac:dyDescent="0.45">
      <c r="A33" s="24" t="s">
        <v>180</v>
      </c>
      <c r="B33" s="127">
        <v>66300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26.6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31.6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61.400000000000006</v>
      </c>
    </row>
    <row r="36" spans="1:12" x14ac:dyDescent="0.45">
      <c r="A36" s="56" t="s">
        <v>171</v>
      </c>
      <c r="B36" s="121">
        <v>3</v>
      </c>
      <c r="C36" s="102">
        <f t="shared" ref="C36:C48" si="2">IF(B$19=0,0,B36/B$19)</f>
        <v>3.125E-2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46.400000000000006</v>
      </c>
    </row>
    <row r="37" spans="1:12" x14ac:dyDescent="0.45">
      <c r="A37" s="21" t="s">
        <v>167</v>
      </c>
      <c r="B37" s="14">
        <v>15</v>
      </c>
      <c r="C37" s="8">
        <f t="shared" si="2"/>
        <v>0.15625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44.100000000000009</v>
      </c>
    </row>
    <row r="38" spans="1:12" x14ac:dyDescent="0.45">
      <c r="A38" s="21" t="s">
        <v>168</v>
      </c>
      <c r="B38" s="122">
        <v>20</v>
      </c>
      <c r="C38" s="8">
        <f t="shared" si="2"/>
        <v>0.20833333333333334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76.100000000000009</v>
      </c>
    </row>
    <row r="39" spans="1:12" x14ac:dyDescent="0.45">
      <c r="A39" s="21" t="s">
        <v>169</v>
      </c>
      <c r="B39" s="122">
        <v>19</v>
      </c>
      <c r="C39" s="8">
        <f t="shared" si="2"/>
        <v>0.19791666666666666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83.100000000000009</v>
      </c>
    </row>
    <row r="40" spans="1:12" x14ac:dyDescent="0.45">
      <c r="A40" s="21" t="s">
        <v>170</v>
      </c>
      <c r="B40" s="122">
        <v>9</v>
      </c>
      <c r="C40" s="8">
        <f t="shared" si="2"/>
        <v>9.375E-2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64.100000000000009</v>
      </c>
    </row>
    <row r="41" spans="1:12" x14ac:dyDescent="0.45">
      <c r="A41" s="21" t="s">
        <v>172</v>
      </c>
      <c r="B41" s="122">
        <v>18</v>
      </c>
      <c r="C41" s="8">
        <f t="shared" si="2"/>
        <v>0.1875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61.70000000000001</v>
      </c>
    </row>
    <row r="42" spans="1:12" x14ac:dyDescent="0.45">
      <c r="A42" s="21" t="s">
        <v>173</v>
      </c>
      <c r="B42" s="122">
        <v>4</v>
      </c>
      <c r="C42" s="8">
        <f t="shared" si="2"/>
        <v>4.1666666666666664E-2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174</v>
      </c>
      <c r="B43" s="122">
        <v>5</v>
      </c>
      <c r="C43" s="8">
        <f t="shared" si="2"/>
        <v>5.2083333333333336E-2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175</v>
      </c>
      <c r="B44" s="122">
        <v>1</v>
      </c>
      <c r="C44" s="8">
        <f t="shared" si="2"/>
        <v>1.0416666666666666E-2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176</v>
      </c>
      <c r="B45" s="122">
        <v>2</v>
      </c>
      <c r="C45" s="8">
        <f t="shared" si="2"/>
        <v>2.0833333333333332E-2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177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178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179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48-ADDC-4D87-9294-565A6E5FAB04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39</v>
      </c>
      <c r="C2" s="132"/>
      <c r="E2" s="28" t="s">
        <v>66</v>
      </c>
      <c r="F2" s="25" t="s">
        <v>22</v>
      </c>
      <c r="G2" s="13">
        <v>83</v>
      </c>
      <c r="H2" s="91">
        <f>IF(B$19=0,0,G2/B$19)</f>
        <v>0.85567010309278346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-2347.3684210526317</v>
      </c>
      <c r="P2" s="80">
        <v>38</v>
      </c>
      <c r="Q2" s="67">
        <v>-89200</v>
      </c>
    </row>
    <row r="3" spans="1:17" x14ac:dyDescent="0.45">
      <c r="A3" s="21" t="s">
        <v>8</v>
      </c>
      <c r="B3" s="133">
        <v>320</v>
      </c>
      <c r="C3" s="134"/>
      <c r="E3" s="29" t="s">
        <v>160</v>
      </c>
      <c r="F3" s="26" t="s">
        <v>161</v>
      </c>
      <c r="G3" s="14">
        <v>67</v>
      </c>
      <c r="H3" s="92">
        <f>IF(B$19=0,0,G3/B$19)</f>
        <v>0.69072164948453607</v>
      </c>
      <c r="I3" s="60">
        <v>4</v>
      </c>
      <c r="K3" s="7">
        <v>1</v>
      </c>
      <c r="L3" s="65">
        <v>5</v>
      </c>
      <c r="N3" s="78" t="s">
        <v>129</v>
      </c>
      <c r="O3" s="84">
        <f t="shared" si="0"/>
        <v>-1676.3157894736842</v>
      </c>
      <c r="P3" s="81">
        <v>38</v>
      </c>
      <c r="Q3" s="68">
        <v>-63700</v>
      </c>
    </row>
    <row r="4" spans="1:17" x14ac:dyDescent="0.45">
      <c r="A4" s="21" t="s">
        <v>6</v>
      </c>
      <c r="B4" s="135">
        <v>-281.79999999999995</v>
      </c>
      <c r="C4" s="136"/>
      <c r="E4" s="29" t="s">
        <v>64</v>
      </c>
      <c r="F4" s="26" t="s">
        <v>20</v>
      </c>
      <c r="G4" s="14">
        <v>60</v>
      </c>
      <c r="H4" s="92">
        <f>IF(B$19=0,0,G4/B$19)</f>
        <v>0.61855670103092786</v>
      </c>
      <c r="I4" s="60">
        <v>1</v>
      </c>
      <c r="K4" s="7">
        <v>2</v>
      </c>
      <c r="L4" s="65">
        <v>21.9</v>
      </c>
      <c r="N4" s="78" t="s">
        <v>130</v>
      </c>
      <c r="O4" s="84">
        <f t="shared" si="0"/>
        <v>1213.8888888888889</v>
      </c>
      <c r="P4" s="81">
        <v>36</v>
      </c>
      <c r="Q4" s="68">
        <v>43700</v>
      </c>
    </row>
    <row r="5" spans="1:17" x14ac:dyDescent="0.45">
      <c r="A5" s="21" t="s">
        <v>7</v>
      </c>
      <c r="B5" s="123">
        <f>IF(B$2=0,0,B$4/B$2)</f>
        <v>-7.2256410256410248</v>
      </c>
      <c r="C5" s="124"/>
      <c r="E5" s="29" t="s">
        <v>72</v>
      </c>
      <c r="F5" s="26" t="s">
        <v>27</v>
      </c>
      <c r="G5" s="14">
        <v>48</v>
      </c>
      <c r="H5" s="92">
        <f>IF(B$19=0,0,G5/B$19)</f>
        <v>0.49484536082474229</v>
      </c>
      <c r="I5" s="60">
        <v>2</v>
      </c>
      <c r="K5" s="7">
        <v>3</v>
      </c>
      <c r="L5" s="65">
        <v>3.1999999999999993</v>
      </c>
      <c r="N5" s="78" t="s">
        <v>131</v>
      </c>
      <c r="O5" s="84">
        <f t="shared" si="0"/>
        <v>-1535.2941176470588</v>
      </c>
      <c r="P5" s="81">
        <v>34</v>
      </c>
      <c r="Q5" s="68">
        <v>-52200</v>
      </c>
    </row>
    <row r="6" spans="1:17" x14ac:dyDescent="0.45">
      <c r="A6" s="21" t="s">
        <v>1</v>
      </c>
      <c r="B6" s="137">
        <f>IF(B$2=0,0,(B$7*1+B$8*2+B$9*3)/B$2)</f>
        <v>2.2051282051282053</v>
      </c>
      <c r="C6" s="138"/>
      <c r="E6" s="29" t="s">
        <v>68</v>
      </c>
      <c r="F6" s="26" t="s">
        <v>12</v>
      </c>
      <c r="G6" s="14">
        <v>38</v>
      </c>
      <c r="H6" s="92">
        <f>IF(B$19=0,0,G6/B$19)</f>
        <v>0.39175257731958762</v>
      </c>
      <c r="I6" s="60">
        <v>2</v>
      </c>
      <c r="K6" s="7">
        <v>4</v>
      </c>
      <c r="L6" s="65">
        <v>-24.400000000000002</v>
      </c>
      <c r="N6" s="78" t="s">
        <v>132</v>
      </c>
      <c r="O6" s="84">
        <f t="shared" si="0"/>
        <v>-1138.7096774193549</v>
      </c>
      <c r="P6" s="81">
        <v>31</v>
      </c>
      <c r="Q6" s="68">
        <v>-35300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0.28205128205128205</v>
      </c>
      <c r="E7" s="29" t="s">
        <v>65</v>
      </c>
      <c r="F7" s="26" t="s">
        <v>21</v>
      </c>
      <c r="G7" s="14">
        <v>17</v>
      </c>
      <c r="H7" s="92">
        <f>IF(B$19=0,0,G7/B$19)</f>
        <v>0.17525773195876287</v>
      </c>
      <c r="I7" s="60">
        <v>1</v>
      </c>
      <c r="K7" s="7">
        <v>5</v>
      </c>
      <c r="L7" s="65">
        <v>13.2</v>
      </c>
      <c r="N7" s="79" t="s">
        <v>133</v>
      </c>
      <c r="O7" s="85">
        <f t="shared" si="0"/>
        <v>1611.5384615384614</v>
      </c>
      <c r="P7" s="82">
        <v>26</v>
      </c>
      <c r="Q7" s="69">
        <v>41900</v>
      </c>
    </row>
    <row r="8" spans="1:17" x14ac:dyDescent="0.45">
      <c r="A8" s="21" t="s">
        <v>3</v>
      </c>
      <c r="B8" s="14">
        <v>9</v>
      </c>
      <c r="C8" s="8">
        <f t="shared" si="1"/>
        <v>0.23076923076923078</v>
      </c>
      <c r="E8" s="29" t="s">
        <v>67</v>
      </c>
      <c r="F8" s="26" t="s">
        <v>23</v>
      </c>
      <c r="G8" s="14">
        <v>17</v>
      </c>
      <c r="H8" s="92">
        <f>IF(B$19=0,0,G8/B$19)</f>
        <v>0.17525773195876287</v>
      </c>
      <c r="I8" s="60">
        <v>4</v>
      </c>
      <c r="K8" s="7">
        <v>6</v>
      </c>
      <c r="L8" s="65">
        <v>-25.8</v>
      </c>
      <c r="N8" s="111"/>
      <c r="O8" s="89"/>
      <c r="P8" s="112"/>
      <c r="Q8" s="74"/>
    </row>
    <row r="9" spans="1:17" x14ac:dyDescent="0.45">
      <c r="A9" s="22" t="s">
        <v>4</v>
      </c>
      <c r="B9" s="15">
        <v>19</v>
      </c>
      <c r="C9" s="9">
        <f t="shared" si="1"/>
        <v>0.48717948717948717</v>
      </c>
      <c r="E9" s="29" t="s">
        <v>69</v>
      </c>
      <c r="F9" s="26" t="s">
        <v>24</v>
      </c>
      <c r="G9" s="14">
        <v>14</v>
      </c>
      <c r="H9" s="92">
        <f>IF(B$19=0,0,G9/B$19)</f>
        <v>0.14432989690721648</v>
      </c>
      <c r="I9" s="60">
        <v>3</v>
      </c>
      <c r="K9" s="7">
        <v>7</v>
      </c>
      <c r="L9" s="65">
        <v>-23.5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184</v>
      </c>
      <c r="B10" s="113">
        <f>IF(B7=0,0,C10/B7)</f>
        <v>24.200000000000003</v>
      </c>
      <c r="C10" s="114">
        <v>266.20000000000005</v>
      </c>
      <c r="E10" s="29" t="s">
        <v>89</v>
      </c>
      <c r="F10" s="26" t="s">
        <v>44</v>
      </c>
      <c r="G10" s="14">
        <v>14</v>
      </c>
      <c r="H10" s="92">
        <f>IF(B$19=0,0,G10/B$19)</f>
        <v>0.14432989690721648</v>
      </c>
      <c r="I10" s="60">
        <v>3</v>
      </c>
      <c r="K10" s="7">
        <v>8</v>
      </c>
      <c r="L10" s="65">
        <v>-59.4</v>
      </c>
      <c r="N10" s="77" t="s">
        <v>152</v>
      </c>
      <c r="O10" s="86">
        <f>IF(P10=0,0,Q10/P10)</f>
        <v>-10.599999999999998</v>
      </c>
      <c r="P10" s="80">
        <v>14</v>
      </c>
      <c r="Q10" s="71">
        <v>-148.39999999999998</v>
      </c>
    </row>
    <row r="11" spans="1:17" x14ac:dyDescent="0.45">
      <c r="A11" s="22" t="s">
        <v>185</v>
      </c>
      <c r="B11" s="113">
        <f>IF(B8=0,0,C11/B8)</f>
        <v>1.9777777777777774</v>
      </c>
      <c r="C11" s="114">
        <v>17.799999999999997</v>
      </c>
      <c r="E11" s="29" t="s">
        <v>70</v>
      </c>
      <c r="F11" s="26" t="s">
        <v>25</v>
      </c>
      <c r="G11" s="14">
        <v>6</v>
      </c>
      <c r="H11" s="92">
        <f>IF(B$19=0,0,G11/B$19)</f>
        <v>6.1855670103092786E-2</v>
      </c>
      <c r="I11" s="60">
        <v>4</v>
      </c>
      <c r="K11" s="7">
        <v>9</v>
      </c>
      <c r="L11" s="65">
        <v>-37.5</v>
      </c>
      <c r="N11" s="78" t="s">
        <v>153</v>
      </c>
      <c r="O11" s="87">
        <f>IF(P11=0,0,Q11/P11)</f>
        <v>-3.0466666666666669</v>
      </c>
      <c r="P11" s="81">
        <v>15</v>
      </c>
      <c r="Q11" s="72">
        <v>-45.7</v>
      </c>
    </row>
    <row r="12" spans="1:17" x14ac:dyDescent="0.45">
      <c r="A12" s="22" t="s">
        <v>186</v>
      </c>
      <c r="B12" s="113">
        <f>IF(B9=0,0,C12/B9)</f>
        <v>-29.778947368421058</v>
      </c>
      <c r="C12" s="114">
        <v>-565.80000000000007</v>
      </c>
      <c r="E12" s="29" t="s">
        <v>91</v>
      </c>
      <c r="F12" s="26" t="s">
        <v>46</v>
      </c>
      <c r="G12" s="14">
        <v>4</v>
      </c>
      <c r="H12" s="92">
        <f>IF(B$19=0,0,G12/B$19)</f>
        <v>4.1237113402061855E-2</v>
      </c>
      <c r="I12" s="60">
        <v>1</v>
      </c>
      <c r="K12" s="7">
        <v>10</v>
      </c>
      <c r="L12" s="65">
        <v>-18.600000000000001</v>
      </c>
      <c r="N12" s="79" t="s">
        <v>154</v>
      </c>
      <c r="O12" s="88">
        <f>IF(P12=0,0,Q12/P12)</f>
        <v>-8.77</v>
      </c>
      <c r="P12" s="82">
        <v>10</v>
      </c>
      <c r="Q12" s="73">
        <v>-87.7</v>
      </c>
    </row>
    <row r="13" spans="1:17" x14ac:dyDescent="0.45">
      <c r="A13" s="22" t="s">
        <v>187</v>
      </c>
      <c r="B13" s="123">
        <f>AVERAGE(B10:B12)</f>
        <v>-1.200389863547759</v>
      </c>
      <c r="C13" s="124"/>
      <c r="E13" s="29" t="s">
        <v>79</v>
      </c>
      <c r="F13" s="26" t="s">
        <v>34</v>
      </c>
      <c r="G13" s="14">
        <v>3</v>
      </c>
      <c r="H13" s="92">
        <f>IF(B$19=0,0,G13/B$19)</f>
        <v>3.0927835051546393E-2</v>
      </c>
      <c r="I13" s="60">
        <v>1</v>
      </c>
      <c r="K13" s="7">
        <v>11</v>
      </c>
      <c r="L13" s="65">
        <v>-17.100000000000001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7</v>
      </c>
      <c r="C14" s="11">
        <f t="shared" si="1"/>
        <v>0.17948717948717949</v>
      </c>
      <c r="E14" s="29" t="s">
        <v>83</v>
      </c>
      <c r="F14" s="26" t="s">
        <v>38</v>
      </c>
      <c r="G14" s="14">
        <v>3</v>
      </c>
      <c r="H14" s="92">
        <f>IF(B$19=0,0,G14/B$19)</f>
        <v>3.0927835051546393E-2</v>
      </c>
      <c r="I14" s="60">
        <v>4</v>
      </c>
      <c r="K14" s="7">
        <v>12</v>
      </c>
      <c r="L14" s="65">
        <v>-29.6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109</v>
      </c>
      <c r="C15" s="12">
        <f>IF(B$3=0,0,B15/B$3)</f>
        <v>0.34062500000000001</v>
      </c>
      <c r="E15" s="29" t="s">
        <v>86</v>
      </c>
      <c r="F15" s="26" t="s">
        <v>41</v>
      </c>
      <c r="G15" s="14">
        <v>3</v>
      </c>
      <c r="H15" s="92">
        <f>IF(B$19=0,0,G15/B$19)</f>
        <v>3.0927835051546393E-2</v>
      </c>
      <c r="I15" s="60">
        <v>4</v>
      </c>
      <c r="K15" s="7">
        <v>13</v>
      </c>
      <c r="L15" s="65">
        <v>-62.4</v>
      </c>
      <c r="N15" s="77" t="s">
        <v>126</v>
      </c>
      <c r="O15" s="86">
        <f>IF(P15=0,0,Q15/P15)</f>
        <v>-8.8076923076923084</v>
      </c>
      <c r="P15" s="80">
        <v>39</v>
      </c>
      <c r="Q15" s="71">
        <v>-343.5</v>
      </c>
    </row>
    <row r="16" spans="1:17" x14ac:dyDescent="0.45">
      <c r="A16" s="21" t="s">
        <v>118</v>
      </c>
      <c r="B16" s="14">
        <v>75</v>
      </c>
      <c r="C16" s="8">
        <f>IF(B$3=0,0,B16/B$3)</f>
        <v>0.234375</v>
      </c>
      <c r="E16" s="29" t="s">
        <v>85</v>
      </c>
      <c r="F16" s="26" t="s">
        <v>40</v>
      </c>
      <c r="G16" s="14">
        <v>2</v>
      </c>
      <c r="H16" s="92">
        <f>IF(B$19=0,0,G16/B$19)</f>
        <v>2.0618556701030927E-2</v>
      </c>
      <c r="I16" s="60">
        <v>1</v>
      </c>
      <c r="K16" s="7">
        <v>14</v>
      </c>
      <c r="L16" s="65">
        <v>-66.2</v>
      </c>
      <c r="N16" s="78" t="s">
        <v>194</v>
      </c>
      <c r="O16" s="87">
        <f>IF(P16=0,0,Q16/P16)</f>
        <v>-12.869230769230771</v>
      </c>
      <c r="P16" s="81">
        <v>39</v>
      </c>
      <c r="Q16" s="72">
        <v>-501.90000000000009</v>
      </c>
    </row>
    <row r="17" spans="1:12" x14ac:dyDescent="0.45">
      <c r="A17" s="20" t="s">
        <v>123</v>
      </c>
      <c r="B17" s="13">
        <f>B23</f>
        <v>60</v>
      </c>
      <c r="C17" s="6">
        <f>IF(B$15=0,0,B17/B$15)</f>
        <v>0.55045871559633031</v>
      </c>
      <c r="E17" s="29" t="s">
        <v>71</v>
      </c>
      <c r="F17" s="26" t="s">
        <v>26</v>
      </c>
      <c r="G17" s="14">
        <v>1</v>
      </c>
      <c r="H17" s="92">
        <f>IF(B$19=0,0,G17/B$19)</f>
        <v>1.0309278350515464E-2</v>
      </c>
      <c r="I17" s="60">
        <v>4</v>
      </c>
      <c r="K17" s="7">
        <v>15</v>
      </c>
      <c r="L17" s="65">
        <v>-63.300000000000004</v>
      </c>
    </row>
    <row r="18" spans="1:12" x14ac:dyDescent="0.45">
      <c r="A18" s="20" t="s">
        <v>124</v>
      </c>
      <c r="B18" s="13">
        <f>B24</f>
        <v>31</v>
      </c>
      <c r="C18" s="6">
        <f>IF(B$16=0,0,B18/B$16)</f>
        <v>0.41333333333333333</v>
      </c>
      <c r="E18" s="29" t="s">
        <v>78</v>
      </c>
      <c r="F18" s="26" t="s">
        <v>33</v>
      </c>
      <c r="G18" s="14">
        <v>1</v>
      </c>
      <c r="H18" s="92">
        <f>IF(B$19=0,0,G18/B$19)</f>
        <v>1.0309278350515464E-2</v>
      </c>
      <c r="I18" s="60">
        <v>4</v>
      </c>
      <c r="K18" s="7">
        <v>16</v>
      </c>
      <c r="L18" s="65">
        <v>-106</v>
      </c>
    </row>
    <row r="19" spans="1:12" x14ac:dyDescent="0.45">
      <c r="A19" s="20" t="s">
        <v>10</v>
      </c>
      <c r="B19" s="13">
        <f>B22+B21</f>
        <v>97</v>
      </c>
      <c r="C19" s="6">
        <f>IF(B$3=0,0,B19/B$3)</f>
        <v>0.30312499999999998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-88.6</v>
      </c>
    </row>
    <row r="20" spans="1:12" x14ac:dyDescent="0.45">
      <c r="A20" s="21" t="s">
        <v>13</v>
      </c>
      <c r="B20" s="14">
        <v>66</v>
      </c>
      <c r="C20" s="8">
        <f>IF(B$3=0,0,B20/B$3)</f>
        <v>0.20624999999999999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-122</v>
      </c>
    </row>
    <row r="21" spans="1:12" x14ac:dyDescent="0.45">
      <c r="A21" s="21" t="s">
        <v>12</v>
      </c>
      <c r="B21" s="14">
        <v>52</v>
      </c>
      <c r="C21" s="8">
        <f>IF(B$19=0,0,B21/B$19)</f>
        <v>0.53608247422680411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3</v>
      </c>
      <c r="K21" s="7">
        <v>19</v>
      </c>
      <c r="L21" s="65">
        <v>-89.1</v>
      </c>
    </row>
    <row r="22" spans="1:12" x14ac:dyDescent="0.45">
      <c r="A22" s="21" t="s">
        <v>11</v>
      </c>
      <c r="B22" s="14">
        <v>45</v>
      </c>
      <c r="C22" s="8">
        <f>IF(B$19=0,0,B22/B$19)</f>
        <v>0.46391752577319589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-106</v>
      </c>
    </row>
    <row r="23" spans="1:12" x14ac:dyDescent="0.45">
      <c r="A23" s="21" t="s">
        <v>183</v>
      </c>
      <c r="B23" s="14">
        <v>60</v>
      </c>
      <c r="C23" s="8">
        <f>IF(B$19=0,0,B23/B$19)</f>
        <v>0.61855670103092786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-88</v>
      </c>
    </row>
    <row r="24" spans="1:12" x14ac:dyDescent="0.45">
      <c r="A24" s="21" t="s">
        <v>181</v>
      </c>
      <c r="B24" s="14">
        <v>31</v>
      </c>
      <c r="C24" s="8">
        <f>IF(B$19=0,0,B24/B$19)</f>
        <v>0.31958762886597936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-130.1</v>
      </c>
    </row>
    <row r="25" spans="1:12" x14ac:dyDescent="0.45">
      <c r="A25" s="21" t="s">
        <v>182</v>
      </c>
      <c r="B25" s="14">
        <v>6</v>
      </c>
      <c r="C25" s="8">
        <f>IF(B$19=0,0,B25/B$19)</f>
        <v>6.1855670103092786E-2</v>
      </c>
      <c r="E25" s="29" t="s">
        <v>81</v>
      </c>
      <c r="F25" s="26" t="s">
        <v>36</v>
      </c>
      <c r="G25" s="14">
        <v>0</v>
      </c>
      <c r="H25" s="92">
        <f>IF(B$19=0,0,G25/B$19)</f>
        <v>0</v>
      </c>
      <c r="I25" s="60">
        <v>4</v>
      </c>
      <c r="K25" s="7">
        <v>23</v>
      </c>
      <c r="L25" s="65">
        <v>-138.9</v>
      </c>
    </row>
    <row r="26" spans="1:12" x14ac:dyDescent="0.45">
      <c r="A26" s="21" t="s">
        <v>5</v>
      </c>
      <c r="B26" s="18">
        <f>IF(B$19=0,0,C26/B$19)</f>
        <v>6410.3092783505153</v>
      </c>
      <c r="C26" s="10">
        <v>621800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-138.1</v>
      </c>
    </row>
    <row r="27" spans="1:12" x14ac:dyDescent="0.45">
      <c r="A27" s="22" t="s">
        <v>165</v>
      </c>
      <c r="B27" s="99">
        <f>IF($B$19-B$18=0,0,C27/($B$19-B$18))</f>
        <v>7109.090909090909</v>
      </c>
      <c r="C27" s="100">
        <v>469200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-171.6</v>
      </c>
    </row>
    <row r="28" spans="1:12" x14ac:dyDescent="0.45">
      <c r="A28" s="22" t="s">
        <v>166</v>
      </c>
      <c r="B28" s="99">
        <f>IF(B$18=0,0,C28/B$18)</f>
        <v>4922.5806451612907</v>
      </c>
      <c r="C28" s="100">
        <v>152600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-135.39999999999998</v>
      </c>
    </row>
    <row r="29" spans="1:12" x14ac:dyDescent="0.45">
      <c r="A29" s="22" t="s">
        <v>164</v>
      </c>
      <c r="B29" s="99">
        <f>IF(B$20=0,0,C29/B$20)</f>
        <v>-7313.636363636364</v>
      </c>
      <c r="C29" s="100">
        <v>-482700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-107.89999999999998</v>
      </c>
    </row>
    <row r="30" spans="1:12" x14ac:dyDescent="0.45">
      <c r="A30" s="21" t="s">
        <v>158</v>
      </c>
      <c r="B30" s="14">
        <v>5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-134.19999999999999</v>
      </c>
    </row>
    <row r="31" spans="1:12" x14ac:dyDescent="0.45">
      <c r="A31" s="21" t="s">
        <v>159</v>
      </c>
      <c r="B31" s="14">
        <v>17</v>
      </c>
      <c r="C31" s="94">
        <v>2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-174.7</v>
      </c>
    </row>
    <row r="32" spans="1:12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-163.29999999999998</v>
      </c>
    </row>
    <row r="33" spans="1:12" x14ac:dyDescent="0.45">
      <c r="A33" s="24" t="s">
        <v>180</v>
      </c>
      <c r="B33" s="127">
        <v>52600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-137.89999999999998</v>
      </c>
    </row>
    <row r="34" spans="1:12" x14ac:dyDescent="0.45">
      <c r="A34" s="23" t="s">
        <v>137</v>
      </c>
      <c r="B34" s="31">
        <v>1</v>
      </c>
      <c r="C34" s="11">
        <f>IF(B$3=0,0,B34/B$3)</f>
        <v>3.1250000000000002E-3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-176.89999999999998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-202.59999999999997</v>
      </c>
    </row>
    <row r="36" spans="1:12" x14ac:dyDescent="0.45">
      <c r="A36" s="56" t="s">
        <v>171</v>
      </c>
      <c r="B36" s="121">
        <v>5</v>
      </c>
      <c r="C36" s="102">
        <f t="shared" ref="C36:C48" si="2">IF(B$19=0,0,B36/B$19)</f>
        <v>5.1546391752577317E-2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-183.59999999999997</v>
      </c>
    </row>
    <row r="37" spans="1:12" x14ac:dyDescent="0.45">
      <c r="A37" s="21" t="s">
        <v>167</v>
      </c>
      <c r="B37" s="14">
        <v>17</v>
      </c>
      <c r="C37" s="8">
        <f t="shared" si="2"/>
        <v>0.17525773195876287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-201.69999999999996</v>
      </c>
    </row>
    <row r="38" spans="1:12" x14ac:dyDescent="0.45">
      <c r="A38" s="21" t="s">
        <v>168</v>
      </c>
      <c r="B38" s="122">
        <v>18</v>
      </c>
      <c r="C38" s="8">
        <f t="shared" si="2"/>
        <v>0.18556701030927836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-228.69999999999996</v>
      </c>
    </row>
    <row r="39" spans="1:12" x14ac:dyDescent="0.45">
      <c r="A39" s="21" t="s">
        <v>169</v>
      </c>
      <c r="B39" s="122">
        <v>19</v>
      </c>
      <c r="C39" s="8">
        <f t="shared" si="2"/>
        <v>0.19587628865979381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-265.69999999999993</v>
      </c>
    </row>
    <row r="40" spans="1:12" x14ac:dyDescent="0.45">
      <c r="A40" s="21" t="s">
        <v>170</v>
      </c>
      <c r="B40" s="122">
        <v>9</v>
      </c>
      <c r="C40" s="8">
        <f t="shared" si="2"/>
        <v>9.2783505154639179E-2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-264.69999999999993</v>
      </c>
    </row>
    <row r="41" spans="1:12" x14ac:dyDescent="0.45">
      <c r="A41" s="21" t="s">
        <v>172</v>
      </c>
      <c r="B41" s="122">
        <v>9</v>
      </c>
      <c r="C41" s="8">
        <f t="shared" si="2"/>
        <v>9.2783505154639179E-2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-281.79999999999995</v>
      </c>
    </row>
    <row r="42" spans="1:12" x14ac:dyDescent="0.45">
      <c r="A42" s="21" t="s">
        <v>173</v>
      </c>
      <c r="B42" s="122">
        <v>10</v>
      </c>
      <c r="C42" s="8">
        <f t="shared" si="2"/>
        <v>0.10309278350515463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174</v>
      </c>
      <c r="B43" s="122">
        <v>4</v>
      </c>
      <c r="C43" s="8">
        <f t="shared" si="2"/>
        <v>4.1237113402061855E-2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175</v>
      </c>
      <c r="B44" s="122">
        <v>3</v>
      </c>
      <c r="C44" s="8">
        <f t="shared" si="2"/>
        <v>3.0927835051546393E-2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176</v>
      </c>
      <c r="B45" s="122">
        <v>2</v>
      </c>
      <c r="C45" s="8">
        <f t="shared" si="2"/>
        <v>2.0618556701030927E-2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177</v>
      </c>
      <c r="B46" s="122">
        <v>1</v>
      </c>
      <c r="C46" s="8">
        <f t="shared" si="2"/>
        <v>1.0309278350515464E-2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178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179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54273-2C02-4B28-A055-AA6615EC527B}">
  <sheetPr codeName="Sheet12"/>
  <dimension ref="A1:Q4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</v>
      </c>
      <c r="C4" s="32">
        <v>5</v>
      </c>
      <c r="D4" s="37">
        <v>2</v>
      </c>
      <c r="E4" s="33">
        <v>0</v>
      </c>
      <c r="F4" s="33">
        <v>0</v>
      </c>
      <c r="G4" s="33">
        <v>0.2</v>
      </c>
      <c r="H4" s="33">
        <v>0</v>
      </c>
      <c r="I4" s="34">
        <v>8000</v>
      </c>
      <c r="J4" s="34">
        <v>0</v>
      </c>
      <c r="K4" s="33">
        <v>0</v>
      </c>
      <c r="L4" s="33">
        <v>0.4</v>
      </c>
      <c r="M4" s="33">
        <v>0.4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21.9</v>
      </c>
      <c r="C5" s="32">
        <v>10.95</v>
      </c>
      <c r="D5" s="37">
        <v>2</v>
      </c>
      <c r="E5" s="33">
        <v>0</v>
      </c>
      <c r="F5" s="33">
        <v>0</v>
      </c>
      <c r="G5" s="33">
        <v>0.44444444444444442</v>
      </c>
      <c r="H5" s="33">
        <v>0.16666666666666666</v>
      </c>
      <c r="I5" s="34">
        <v>5350</v>
      </c>
      <c r="J5" s="34">
        <v>-7633.333333333333</v>
      </c>
      <c r="K5" s="33">
        <v>0</v>
      </c>
      <c r="L5" s="33">
        <v>0.33333333333333331</v>
      </c>
      <c r="M5" s="33">
        <v>0.3888888888888889</v>
      </c>
      <c r="N5" s="33">
        <v>0.5</v>
      </c>
      <c r="O5" s="33">
        <v>0.5714285714285714</v>
      </c>
      <c r="P5" s="33">
        <v>0.5</v>
      </c>
    </row>
    <row r="6" spans="1:17" x14ac:dyDescent="0.45">
      <c r="A6" s="35">
        <v>3</v>
      </c>
      <c r="B6" s="32">
        <v>3.1999999999999993</v>
      </c>
      <c r="C6" s="32">
        <v>1.0666666666666664</v>
      </c>
      <c r="D6" s="37">
        <v>2.3333333333333335</v>
      </c>
      <c r="E6" s="33">
        <v>0</v>
      </c>
      <c r="F6" s="33">
        <v>0.33333333333333331</v>
      </c>
      <c r="G6" s="33">
        <v>0.4</v>
      </c>
      <c r="H6" s="33">
        <v>0.12</v>
      </c>
      <c r="I6" s="34">
        <v>5270</v>
      </c>
      <c r="J6" s="34">
        <v>-7633.333333333333</v>
      </c>
      <c r="K6" s="33">
        <v>0</v>
      </c>
      <c r="L6" s="33">
        <v>0.44</v>
      </c>
      <c r="M6" s="33">
        <v>0.28000000000000003</v>
      </c>
      <c r="N6" s="33">
        <v>0.45454545454545453</v>
      </c>
      <c r="O6" s="33">
        <v>0.5714285714285714</v>
      </c>
      <c r="P6" s="33">
        <v>0.6</v>
      </c>
    </row>
    <row r="7" spans="1:17" x14ac:dyDescent="0.45">
      <c r="A7" s="35">
        <v>4</v>
      </c>
      <c r="B7" s="32">
        <v>-24.400000000000002</v>
      </c>
      <c r="C7" s="32">
        <v>-6.1000000000000005</v>
      </c>
      <c r="D7" s="37">
        <v>2.5</v>
      </c>
      <c r="E7" s="33">
        <v>0</v>
      </c>
      <c r="F7" s="33">
        <v>0.5</v>
      </c>
      <c r="G7" s="33">
        <v>0.35483870967741937</v>
      </c>
      <c r="H7" s="33">
        <v>0.19354838709677419</v>
      </c>
      <c r="I7" s="34">
        <v>4863.636363636364</v>
      </c>
      <c r="J7" s="34">
        <v>-6550</v>
      </c>
      <c r="K7" s="33">
        <v>0</v>
      </c>
      <c r="L7" s="33">
        <v>0.38709677419354838</v>
      </c>
      <c r="M7" s="33">
        <v>0.29032258064516131</v>
      </c>
      <c r="N7" s="33">
        <v>0.41666666666666669</v>
      </c>
      <c r="O7" s="33">
        <v>0.55555555555555558</v>
      </c>
      <c r="P7" s="33">
        <v>0.63636363636363635</v>
      </c>
    </row>
    <row r="8" spans="1:17" x14ac:dyDescent="0.45">
      <c r="A8" s="35">
        <v>5</v>
      </c>
      <c r="B8" s="32">
        <v>13.2</v>
      </c>
      <c r="C8" s="32">
        <v>2.6399999999999997</v>
      </c>
      <c r="D8" s="37">
        <v>2.2000000000000002</v>
      </c>
      <c r="E8" s="33">
        <v>0.2</v>
      </c>
      <c r="F8" s="33">
        <v>0.4</v>
      </c>
      <c r="G8" s="33">
        <v>0.36363636363636365</v>
      </c>
      <c r="H8" s="33">
        <v>0.18181818181818182</v>
      </c>
      <c r="I8" s="34">
        <v>5662.5</v>
      </c>
      <c r="J8" s="34">
        <v>-5412.5</v>
      </c>
      <c r="K8" s="33">
        <v>0</v>
      </c>
      <c r="L8" s="33">
        <v>0.43181818181818182</v>
      </c>
      <c r="M8" s="33">
        <v>0.25</v>
      </c>
      <c r="N8" s="33">
        <v>0.52631578947368418</v>
      </c>
      <c r="O8" s="33">
        <v>0.45454545454545453</v>
      </c>
      <c r="P8" s="33">
        <v>0.5</v>
      </c>
    </row>
    <row r="9" spans="1:17" x14ac:dyDescent="0.45">
      <c r="A9" s="35">
        <v>6</v>
      </c>
      <c r="B9" s="32">
        <v>-25.8</v>
      </c>
      <c r="C9" s="32">
        <v>-4.3</v>
      </c>
      <c r="D9" s="37">
        <v>2.3333333333333335</v>
      </c>
      <c r="E9" s="33">
        <v>0.16666666666666666</v>
      </c>
      <c r="F9" s="33">
        <v>0.5</v>
      </c>
      <c r="G9" s="33">
        <v>0.35294117647058826</v>
      </c>
      <c r="H9" s="33">
        <v>0.19607843137254902</v>
      </c>
      <c r="I9" s="34">
        <v>5533.333333333333</v>
      </c>
      <c r="J9" s="34">
        <v>-7530</v>
      </c>
      <c r="K9" s="33">
        <v>0.16666666666666666</v>
      </c>
      <c r="L9" s="33">
        <v>0.41176470588235292</v>
      </c>
      <c r="M9" s="33">
        <v>0.27450980392156865</v>
      </c>
      <c r="N9" s="33">
        <v>0.47619047619047616</v>
      </c>
      <c r="O9" s="33">
        <v>0.5</v>
      </c>
      <c r="P9" s="33">
        <v>0.5</v>
      </c>
    </row>
    <row r="10" spans="1:17" x14ac:dyDescent="0.45">
      <c r="A10" s="35">
        <v>7</v>
      </c>
      <c r="B10" s="32">
        <v>-23.5</v>
      </c>
      <c r="C10" s="32">
        <v>-3.3571428571428572</v>
      </c>
      <c r="D10" s="37">
        <v>2.2857142857142856</v>
      </c>
      <c r="E10" s="33">
        <v>0.14285714285714285</v>
      </c>
      <c r="F10" s="33">
        <v>0.42857142857142855</v>
      </c>
      <c r="G10" s="33">
        <v>0.35087719298245612</v>
      </c>
      <c r="H10" s="33">
        <v>0.21052631578947367</v>
      </c>
      <c r="I10" s="34">
        <v>5880</v>
      </c>
      <c r="J10" s="34">
        <v>-7600</v>
      </c>
      <c r="K10" s="33">
        <v>0.14285714285714285</v>
      </c>
      <c r="L10" s="33">
        <v>0.40350877192982454</v>
      </c>
      <c r="M10" s="33">
        <v>0.2807017543859649</v>
      </c>
      <c r="N10" s="33">
        <v>0.52173913043478259</v>
      </c>
      <c r="O10" s="33">
        <v>0.4375</v>
      </c>
      <c r="P10" s="33">
        <v>0.55000000000000004</v>
      </c>
    </row>
    <row r="11" spans="1:17" x14ac:dyDescent="0.45">
      <c r="A11" s="35">
        <v>8</v>
      </c>
      <c r="B11" s="32">
        <v>-59.4</v>
      </c>
      <c r="C11" s="32">
        <v>-7.4249999999999998</v>
      </c>
      <c r="D11" s="37">
        <v>2.375</v>
      </c>
      <c r="E11" s="33">
        <v>0.125</v>
      </c>
      <c r="F11" s="33">
        <v>0.5</v>
      </c>
      <c r="G11" s="33">
        <v>0.328125</v>
      </c>
      <c r="H11" s="33">
        <v>0.21875</v>
      </c>
      <c r="I11" s="34">
        <v>6457.1428571428569</v>
      </c>
      <c r="J11" s="34">
        <v>-8507.1428571428569</v>
      </c>
      <c r="K11" s="33">
        <v>0.25</v>
      </c>
      <c r="L11" s="33">
        <v>0.375</v>
      </c>
      <c r="M11" s="33">
        <v>0.265625</v>
      </c>
      <c r="N11" s="33">
        <v>0.54166666666666663</v>
      </c>
      <c r="O11" s="33">
        <v>0.41176470588235292</v>
      </c>
      <c r="P11" s="33">
        <v>0.5714285714285714</v>
      </c>
    </row>
    <row r="12" spans="1:17" x14ac:dyDescent="0.45">
      <c r="A12" s="35">
        <v>9</v>
      </c>
      <c r="B12" s="32">
        <v>-37.5</v>
      </c>
      <c r="C12" s="32">
        <v>-4.166666666666667</v>
      </c>
      <c r="D12" s="37">
        <v>2.2222222222222223</v>
      </c>
      <c r="E12" s="33">
        <v>0.22222222222222221</v>
      </c>
      <c r="F12" s="33">
        <v>0.44444444444444442</v>
      </c>
      <c r="G12" s="33">
        <v>0.34285714285714286</v>
      </c>
      <c r="H12" s="33">
        <v>0.21428571428571427</v>
      </c>
      <c r="I12" s="34">
        <v>6395.833333333333</v>
      </c>
      <c r="J12" s="34">
        <v>-8340</v>
      </c>
      <c r="K12" s="33">
        <v>0.22222222222222221</v>
      </c>
      <c r="L12" s="33">
        <v>0.37142857142857144</v>
      </c>
      <c r="M12" s="33">
        <v>0.2857142857142857</v>
      </c>
      <c r="N12" s="33">
        <v>0.53846153846153844</v>
      </c>
      <c r="O12" s="33">
        <v>0.45</v>
      </c>
      <c r="P12" s="33">
        <v>0.58333333333333337</v>
      </c>
    </row>
    <row r="13" spans="1:17" x14ac:dyDescent="0.45">
      <c r="A13" s="35">
        <v>10</v>
      </c>
      <c r="B13" s="32">
        <v>-18.600000000000001</v>
      </c>
      <c r="C13" s="32">
        <v>-1.86</v>
      </c>
      <c r="D13" s="37">
        <v>2.1</v>
      </c>
      <c r="E13" s="33">
        <v>0.3</v>
      </c>
      <c r="F13" s="33">
        <v>0.4</v>
      </c>
      <c r="G13" s="33">
        <v>0.35802469135802467</v>
      </c>
      <c r="H13" s="33">
        <v>0.20987654320987653</v>
      </c>
      <c r="I13" s="34">
        <v>6486.2068965517237</v>
      </c>
      <c r="J13" s="34">
        <v>-8164.7058823529414</v>
      </c>
      <c r="K13" s="33">
        <v>0.2</v>
      </c>
      <c r="L13" s="33">
        <v>0.37037037037037035</v>
      </c>
      <c r="M13" s="33">
        <v>0.2839506172839506</v>
      </c>
      <c r="N13" s="33">
        <v>0.56666666666666665</v>
      </c>
      <c r="O13" s="33">
        <v>0.47826086956521741</v>
      </c>
      <c r="P13" s="33">
        <v>0.51724137931034486</v>
      </c>
    </row>
    <row r="14" spans="1:17" x14ac:dyDescent="0.45">
      <c r="A14" s="35">
        <v>11</v>
      </c>
      <c r="B14" s="32">
        <v>-17.100000000000001</v>
      </c>
      <c r="C14" s="32">
        <v>-1.5545454545454547</v>
      </c>
      <c r="D14" s="37">
        <v>2.0909090909090908</v>
      </c>
      <c r="E14" s="33">
        <v>0.27272727272727271</v>
      </c>
      <c r="F14" s="33">
        <v>0.36363636363636365</v>
      </c>
      <c r="G14" s="33">
        <v>0.34090909090909088</v>
      </c>
      <c r="H14" s="33">
        <v>0.19318181818181818</v>
      </c>
      <c r="I14" s="34">
        <v>6670</v>
      </c>
      <c r="J14" s="34">
        <v>-8164.7058823529414</v>
      </c>
      <c r="K14" s="33">
        <v>0.18181818181818182</v>
      </c>
      <c r="L14" s="33">
        <v>0.35227272727272729</v>
      </c>
      <c r="M14" s="33">
        <v>0.27272727272727271</v>
      </c>
      <c r="N14" s="33">
        <v>0.58064516129032262</v>
      </c>
      <c r="O14" s="33">
        <v>0.45833333333333331</v>
      </c>
      <c r="P14" s="33">
        <v>0.53333333333333333</v>
      </c>
    </row>
    <row r="15" spans="1:17" x14ac:dyDescent="0.45">
      <c r="A15" s="35">
        <v>12</v>
      </c>
      <c r="B15" s="32">
        <v>-29.6</v>
      </c>
      <c r="C15" s="32">
        <v>-2.4666666666666668</v>
      </c>
      <c r="D15" s="37">
        <v>2.1666666666666665</v>
      </c>
      <c r="E15" s="33">
        <v>0.25</v>
      </c>
      <c r="F15" s="33">
        <v>0.41666666666666669</v>
      </c>
      <c r="G15" s="33">
        <v>0.34693877551020408</v>
      </c>
      <c r="H15" s="33">
        <v>0.18367346938775511</v>
      </c>
      <c r="I15" s="34">
        <v>6517.6470588235297</v>
      </c>
      <c r="J15" s="34">
        <v>-8044.4444444444443</v>
      </c>
      <c r="K15" s="33">
        <v>0.16666666666666666</v>
      </c>
      <c r="L15" s="33">
        <v>0.36734693877551022</v>
      </c>
      <c r="M15" s="33">
        <v>0.25510204081632654</v>
      </c>
      <c r="N15" s="33">
        <v>0.58333333333333337</v>
      </c>
      <c r="O15" s="33">
        <v>0.48</v>
      </c>
      <c r="P15" s="33">
        <v>0.55882352941176472</v>
      </c>
    </row>
    <row r="16" spans="1:17" x14ac:dyDescent="0.45">
      <c r="A16" s="35">
        <v>13</v>
      </c>
      <c r="B16" s="32">
        <v>-62.4</v>
      </c>
      <c r="C16" s="32">
        <v>-4.8</v>
      </c>
      <c r="D16" s="37">
        <v>2.2307692307692308</v>
      </c>
      <c r="E16" s="33">
        <v>0.23076923076923078</v>
      </c>
      <c r="F16" s="33">
        <v>0.46153846153846156</v>
      </c>
      <c r="G16" s="33">
        <v>0.34285714285714286</v>
      </c>
      <c r="H16" s="33">
        <v>0.19047619047619047</v>
      </c>
      <c r="I16" s="34">
        <v>6466.666666666667</v>
      </c>
      <c r="J16" s="34">
        <v>-8740</v>
      </c>
      <c r="K16" s="33">
        <v>0.15384615384615385</v>
      </c>
      <c r="L16" s="33">
        <v>0.38095238095238093</v>
      </c>
      <c r="M16" s="33">
        <v>0.23809523809523808</v>
      </c>
      <c r="N16" s="33">
        <v>0.57499999999999996</v>
      </c>
      <c r="O16" s="33">
        <v>0.48</v>
      </c>
      <c r="P16" s="33">
        <v>0.58333333333333337</v>
      </c>
    </row>
    <row r="17" spans="1:16" x14ac:dyDescent="0.45">
      <c r="A17" s="35">
        <v>14</v>
      </c>
      <c r="B17" s="32">
        <v>-66.2</v>
      </c>
      <c r="C17" s="32">
        <v>-4.7285714285714286</v>
      </c>
      <c r="D17" s="37">
        <v>2.2142857142857144</v>
      </c>
      <c r="E17" s="33">
        <v>0.21428571428571427</v>
      </c>
      <c r="F17" s="33">
        <v>0.42857142857142855</v>
      </c>
      <c r="G17" s="33">
        <v>0.32743362831858408</v>
      </c>
      <c r="H17" s="33">
        <v>0.17699115044247787</v>
      </c>
      <c r="I17" s="34">
        <v>6616.2162162162158</v>
      </c>
      <c r="J17" s="34">
        <v>-8740</v>
      </c>
      <c r="K17" s="33">
        <v>0.14285714285714285</v>
      </c>
      <c r="L17" s="33">
        <v>0.35398230088495575</v>
      </c>
      <c r="M17" s="33">
        <v>0.24778761061946902</v>
      </c>
      <c r="N17" s="33">
        <v>0.57499999999999996</v>
      </c>
      <c r="O17" s="33">
        <v>0.4642857142857143</v>
      </c>
      <c r="P17" s="33">
        <v>0.59459459459459463</v>
      </c>
    </row>
    <row r="18" spans="1:16" x14ac:dyDescent="0.45">
      <c r="A18" s="35">
        <v>15</v>
      </c>
      <c r="B18" s="32">
        <v>-63.300000000000004</v>
      </c>
      <c r="C18" s="32">
        <v>-4.2200000000000006</v>
      </c>
      <c r="D18" s="37">
        <v>2.2000000000000002</v>
      </c>
      <c r="E18" s="33">
        <v>0.2</v>
      </c>
      <c r="F18" s="33">
        <v>0.4</v>
      </c>
      <c r="G18" s="33">
        <v>0.33057851239669422</v>
      </c>
      <c r="H18" s="33">
        <v>0.19008264462809918</v>
      </c>
      <c r="I18" s="34">
        <v>6602.5</v>
      </c>
      <c r="J18" s="34">
        <v>-8243.4782608695659</v>
      </c>
      <c r="K18" s="33">
        <v>0.13333333333333333</v>
      </c>
      <c r="L18" s="33">
        <v>0.33884297520661155</v>
      </c>
      <c r="M18" s="33">
        <v>0.24793388429752067</v>
      </c>
      <c r="N18" s="33">
        <v>0.56097560975609762</v>
      </c>
      <c r="O18" s="33">
        <v>0.5</v>
      </c>
      <c r="P18" s="33">
        <v>0.57499999999999996</v>
      </c>
    </row>
    <row r="19" spans="1:16" x14ac:dyDescent="0.45">
      <c r="A19" s="35">
        <v>16</v>
      </c>
      <c r="B19" s="32">
        <v>-106</v>
      </c>
      <c r="C19" s="32">
        <v>-6.625</v>
      </c>
      <c r="D19" s="37">
        <v>2.25</v>
      </c>
      <c r="E19" s="33">
        <v>0.1875</v>
      </c>
      <c r="F19" s="33">
        <v>0.4375</v>
      </c>
      <c r="G19" s="33">
        <v>0.31746031746031744</v>
      </c>
      <c r="H19" s="33">
        <v>0.20634920634920634</v>
      </c>
      <c r="I19" s="34">
        <v>6602.5</v>
      </c>
      <c r="J19" s="34">
        <v>-8396.1538461538457</v>
      </c>
      <c r="K19" s="33">
        <v>0.1875</v>
      </c>
      <c r="L19" s="33">
        <v>0.32539682539682541</v>
      </c>
      <c r="M19" s="33">
        <v>0.25396825396825395</v>
      </c>
      <c r="N19" s="33">
        <v>0.56097560975609762</v>
      </c>
      <c r="O19" s="33">
        <v>0.46875</v>
      </c>
      <c r="P19" s="33">
        <v>0.57499999999999996</v>
      </c>
    </row>
    <row r="20" spans="1:16" x14ac:dyDescent="0.45">
      <c r="A20" s="35">
        <v>17</v>
      </c>
      <c r="B20" s="32">
        <v>-88.6</v>
      </c>
      <c r="C20" s="32">
        <v>-5.2117647058823522</v>
      </c>
      <c r="D20" s="37">
        <v>2.1764705882352939</v>
      </c>
      <c r="E20" s="33">
        <v>0.23529411764705882</v>
      </c>
      <c r="F20" s="33">
        <v>0.41176470588235292</v>
      </c>
      <c r="G20" s="33">
        <v>0.31851851851851853</v>
      </c>
      <c r="H20" s="33">
        <v>0.2074074074074074</v>
      </c>
      <c r="I20" s="34">
        <v>6813.9534883720926</v>
      </c>
      <c r="J20" s="34">
        <v>-8082.1428571428569</v>
      </c>
      <c r="K20" s="33">
        <v>0.17647058823529413</v>
      </c>
      <c r="L20" s="33">
        <v>0.32592592592592595</v>
      </c>
      <c r="M20" s="33">
        <v>0.25925925925925924</v>
      </c>
      <c r="N20" s="33">
        <v>0.59090909090909094</v>
      </c>
      <c r="O20" s="33">
        <v>0.42857142857142855</v>
      </c>
      <c r="P20" s="33">
        <v>0.58139534883720934</v>
      </c>
    </row>
    <row r="21" spans="1:16" x14ac:dyDescent="0.45">
      <c r="A21" s="35">
        <v>18</v>
      </c>
      <c r="B21" s="32">
        <v>-122</v>
      </c>
      <c r="C21" s="32">
        <v>-6.7777777777777777</v>
      </c>
      <c r="D21" s="37">
        <v>2.2222222222222223</v>
      </c>
      <c r="E21" s="33">
        <v>0.22222222222222221</v>
      </c>
      <c r="F21" s="33">
        <v>0.44444444444444442</v>
      </c>
      <c r="G21" s="33">
        <v>0.30769230769230771</v>
      </c>
      <c r="H21" s="33">
        <v>0.21678321678321677</v>
      </c>
      <c r="I21" s="34">
        <v>6695.454545454545</v>
      </c>
      <c r="J21" s="34">
        <v>-8041.9354838709678</v>
      </c>
      <c r="K21" s="33">
        <v>0.16666666666666666</v>
      </c>
      <c r="L21" s="33">
        <v>0.32167832167832167</v>
      </c>
      <c r="M21" s="33">
        <v>0.25874125874125875</v>
      </c>
      <c r="N21" s="33">
        <v>0.56521739130434778</v>
      </c>
      <c r="O21" s="33">
        <v>0.40540540540540543</v>
      </c>
      <c r="P21" s="33">
        <v>0.56818181818181823</v>
      </c>
    </row>
    <row r="22" spans="1:16" x14ac:dyDescent="0.45">
      <c r="A22" s="35">
        <v>19</v>
      </c>
      <c r="B22" s="32">
        <v>-89.1</v>
      </c>
      <c r="C22" s="32">
        <v>-4.689473684210526</v>
      </c>
      <c r="D22" s="37">
        <v>2.1578947368421053</v>
      </c>
      <c r="E22" s="33">
        <v>0.26315789473684209</v>
      </c>
      <c r="F22" s="33">
        <v>0.42105263157894735</v>
      </c>
      <c r="G22" s="33">
        <v>0.31543624161073824</v>
      </c>
      <c r="H22" s="33">
        <v>0.20805369127516779</v>
      </c>
      <c r="I22" s="34">
        <v>6648.9361702127662</v>
      </c>
      <c r="J22" s="34">
        <v>-8041.9354838709678</v>
      </c>
      <c r="K22" s="33">
        <v>0.15789473684210525</v>
      </c>
      <c r="L22" s="33">
        <v>0.32214765100671139</v>
      </c>
      <c r="M22" s="33">
        <v>0.25503355704697989</v>
      </c>
      <c r="N22" s="33">
        <v>0.58333333333333337</v>
      </c>
      <c r="O22" s="33">
        <v>0.42105263157894735</v>
      </c>
      <c r="P22" s="33">
        <v>0.55319148936170215</v>
      </c>
    </row>
    <row r="23" spans="1:16" x14ac:dyDescent="0.45">
      <c r="A23" s="35">
        <v>20</v>
      </c>
      <c r="B23" s="32">
        <v>-106</v>
      </c>
      <c r="C23" s="32">
        <v>-5.3</v>
      </c>
      <c r="D23" s="37">
        <v>2.2000000000000002</v>
      </c>
      <c r="E23" s="33">
        <v>0.25</v>
      </c>
      <c r="F23" s="33">
        <v>0.45</v>
      </c>
      <c r="G23" s="33">
        <v>0.310126582278481</v>
      </c>
      <c r="H23" s="33">
        <v>0.20886075949367089</v>
      </c>
      <c r="I23" s="34">
        <v>6724.4897959183672</v>
      </c>
      <c r="J23" s="34">
        <v>-7990.909090909091</v>
      </c>
      <c r="K23" s="33">
        <v>0.15</v>
      </c>
      <c r="L23" s="33">
        <v>0.32278481012658228</v>
      </c>
      <c r="M23" s="33">
        <v>0.25316455696202533</v>
      </c>
      <c r="N23" s="33">
        <v>0.56862745098039214</v>
      </c>
      <c r="O23" s="33">
        <v>0.42499999999999999</v>
      </c>
      <c r="P23" s="33">
        <v>0.55102040816326525</v>
      </c>
    </row>
    <row r="24" spans="1:16" x14ac:dyDescent="0.45">
      <c r="A24" s="35">
        <v>21</v>
      </c>
      <c r="B24" s="32">
        <v>-88</v>
      </c>
      <c r="C24" s="32">
        <v>-4.1904761904761907</v>
      </c>
      <c r="D24" s="37">
        <v>2.1428571428571428</v>
      </c>
      <c r="E24" s="33">
        <v>0.2857142857142857</v>
      </c>
      <c r="F24" s="33">
        <v>0.42857142857142855</v>
      </c>
      <c r="G24" s="33">
        <v>0.30722891566265059</v>
      </c>
      <c r="H24" s="33">
        <v>0.20481927710843373</v>
      </c>
      <c r="I24" s="34">
        <v>6813.7254901960787</v>
      </c>
      <c r="J24" s="34">
        <v>-7991.1764705882351</v>
      </c>
      <c r="K24" s="33">
        <v>0.14285714285714285</v>
      </c>
      <c r="L24" s="33">
        <v>0.31927710843373491</v>
      </c>
      <c r="M24" s="33">
        <v>0.25301204819277107</v>
      </c>
      <c r="N24" s="33">
        <v>0.56603773584905659</v>
      </c>
      <c r="O24" s="33">
        <v>0.42857142857142855</v>
      </c>
      <c r="P24" s="33">
        <v>0.5490196078431373</v>
      </c>
    </row>
    <row r="25" spans="1:16" x14ac:dyDescent="0.45">
      <c r="A25" s="35">
        <v>22</v>
      </c>
      <c r="B25" s="32">
        <v>-130.1</v>
      </c>
      <c r="C25" s="32">
        <v>-5.9136363636363631</v>
      </c>
      <c r="D25" s="37">
        <v>2.1818181818181817</v>
      </c>
      <c r="E25" s="33">
        <v>0.27272727272727271</v>
      </c>
      <c r="F25" s="33">
        <v>0.45454545454545453</v>
      </c>
      <c r="G25" s="33">
        <v>0.29310344827586204</v>
      </c>
      <c r="H25" s="33">
        <v>0.20689655172413793</v>
      </c>
      <c r="I25" s="34">
        <v>6813.7254901960787</v>
      </c>
      <c r="J25" s="34">
        <v>-7852.7777777777774</v>
      </c>
      <c r="K25" s="33">
        <v>0.18181818181818182</v>
      </c>
      <c r="L25" s="33">
        <v>0.31609195402298851</v>
      </c>
      <c r="M25" s="33">
        <v>0.2471264367816092</v>
      </c>
      <c r="N25" s="33">
        <v>0.54545454545454541</v>
      </c>
      <c r="O25" s="33">
        <v>0.41860465116279072</v>
      </c>
      <c r="P25" s="33">
        <v>0.5490196078431373</v>
      </c>
    </row>
    <row r="26" spans="1:16" x14ac:dyDescent="0.45">
      <c r="A26" s="35">
        <v>23</v>
      </c>
      <c r="B26" s="32">
        <v>-138.9</v>
      </c>
      <c r="C26" s="32">
        <v>-6.0391304347826091</v>
      </c>
      <c r="D26" s="37">
        <v>2.1739130434782608</v>
      </c>
      <c r="E26" s="33">
        <v>0.2608695652173913</v>
      </c>
      <c r="F26" s="33">
        <v>0.43478260869565216</v>
      </c>
      <c r="G26" s="33">
        <v>0.29032258064516131</v>
      </c>
      <c r="H26" s="33">
        <v>0.19892473118279569</v>
      </c>
      <c r="I26" s="34">
        <v>6618.5185185185182</v>
      </c>
      <c r="J26" s="34">
        <v>-7781.0810810810808</v>
      </c>
      <c r="K26" s="33">
        <v>0.17391304347826086</v>
      </c>
      <c r="L26" s="33">
        <v>0.31182795698924731</v>
      </c>
      <c r="M26" s="33">
        <v>0.25268817204301075</v>
      </c>
      <c r="N26" s="33">
        <v>0.53448275862068961</v>
      </c>
      <c r="O26" s="33">
        <v>0.40425531914893614</v>
      </c>
      <c r="P26" s="33">
        <v>0.55555555555555558</v>
      </c>
    </row>
    <row r="27" spans="1:16" x14ac:dyDescent="0.45">
      <c r="A27" s="35">
        <v>24</v>
      </c>
      <c r="B27" s="32">
        <v>-138.1</v>
      </c>
      <c r="C27" s="32">
        <v>-5.7541666666666664</v>
      </c>
      <c r="D27" s="37">
        <v>2.1666666666666665</v>
      </c>
      <c r="E27" s="33">
        <v>0.25</v>
      </c>
      <c r="F27" s="33">
        <v>0.41666666666666669</v>
      </c>
      <c r="G27" s="33">
        <v>0.29949238578680204</v>
      </c>
      <c r="H27" s="33">
        <v>0.19289340101522842</v>
      </c>
      <c r="I27" s="34">
        <v>6494.9152542372885</v>
      </c>
      <c r="J27" s="34">
        <v>-7813.1578947368425</v>
      </c>
      <c r="K27" s="33">
        <v>0.16666666666666666</v>
      </c>
      <c r="L27" s="33">
        <v>0.32487309644670048</v>
      </c>
      <c r="M27" s="33">
        <v>0.24873096446700507</v>
      </c>
      <c r="N27" s="33">
        <v>0.546875</v>
      </c>
      <c r="O27" s="33">
        <v>0.40816326530612246</v>
      </c>
      <c r="P27" s="33">
        <v>0.57627118644067798</v>
      </c>
    </row>
    <row r="28" spans="1:16" x14ac:dyDescent="0.45">
      <c r="A28" s="35">
        <v>25</v>
      </c>
      <c r="B28" s="32">
        <v>-171.6</v>
      </c>
      <c r="C28" s="32">
        <v>-6.8639999999999999</v>
      </c>
      <c r="D28" s="37">
        <v>2.2000000000000002</v>
      </c>
      <c r="E28" s="33">
        <v>0.24</v>
      </c>
      <c r="F28" s="33">
        <v>0.44</v>
      </c>
      <c r="G28" s="33">
        <v>0.29411764705882354</v>
      </c>
      <c r="H28" s="33">
        <v>0.19607843137254902</v>
      </c>
      <c r="I28" s="34">
        <v>6411.666666666667</v>
      </c>
      <c r="J28" s="34">
        <v>-7622.5</v>
      </c>
      <c r="K28" s="33">
        <v>0.16</v>
      </c>
      <c r="L28" s="33">
        <v>0.3235294117647059</v>
      </c>
      <c r="M28" s="33">
        <v>0.24509803921568626</v>
      </c>
      <c r="N28" s="33">
        <v>0.53030303030303028</v>
      </c>
      <c r="O28" s="33">
        <v>0.42</v>
      </c>
      <c r="P28" s="33">
        <v>0.56666666666666665</v>
      </c>
    </row>
    <row r="29" spans="1:16" x14ac:dyDescent="0.45">
      <c r="A29" s="35">
        <v>26</v>
      </c>
      <c r="B29" s="32">
        <v>-135.39999999999998</v>
      </c>
      <c r="C29" s="32">
        <v>-5.207692307692307</v>
      </c>
      <c r="D29" s="37">
        <v>2.1538461538461537</v>
      </c>
      <c r="E29" s="33">
        <v>0.26923076923076922</v>
      </c>
      <c r="F29" s="33">
        <v>0.42307692307692307</v>
      </c>
      <c r="G29" s="33">
        <v>0.30288461538461536</v>
      </c>
      <c r="H29" s="33">
        <v>0.19230769230769232</v>
      </c>
      <c r="I29" s="34">
        <v>6506.3492063492067</v>
      </c>
      <c r="J29" s="34">
        <v>-7622.5</v>
      </c>
      <c r="K29" s="33">
        <v>0.15384615384615385</v>
      </c>
      <c r="L29" s="33">
        <v>0.32211538461538464</v>
      </c>
      <c r="M29" s="33">
        <v>0.25480769230769229</v>
      </c>
      <c r="N29" s="33">
        <v>0.53731343283582089</v>
      </c>
      <c r="O29" s="33">
        <v>0.43396226415094341</v>
      </c>
      <c r="P29" s="33">
        <v>0.55555555555555558</v>
      </c>
    </row>
    <row r="30" spans="1:16" x14ac:dyDescent="0.45">
      <c r="A30" s="35">
        <v>27</v>
      </c>
      <c r="B30" s="32">
        <v>-107.89999999999998</v>
      </c>
      <c r="C30" s="32">
        <v>-3.9962962962962956</v>
      </c>
      <c r="D30" s="37">
        <v>2.1111111111111112</v>
      </c>
      <c r="E30" s="33">
        <v>0.29629629629629628</v>
      </c>
      <c r="F30" s="33">
        <v>0.40740740740740738</v>
      </c>
      <c r="G30" s="33">
        <v>0.31018518518518517</v>
      </c>
      <c r="H30" s="33">
        <v>0.18518518518518517</v>
      </c>
      <c r="I30" s="34">
        <v>6565.6716417910447</v>
      </c>
      <c r="J30" s="34">
        <v>-7622.5</v>
      </c>
      <c r="K30" s="33">
        <v>0.14814814814814814</v>
      </c>
      <c r="L30" s="33">
        <v>0.32870370370370372</v>
      </c>
      <c r="M30" s="33">
        <v>0.24537037037037038</v>
      </c>
      <c r="N30" s="33">
        <v>0.56338028169014087</v>
      </c>
      <c r="O30" s="33">
        <v>0.43396226415094341</v>
      </c>
      <c r="P30" s="33">
        <v>0.55223880597014929</v>
      </c>
    </row>
    <row r="31" spans="1:16" x14ac:dyDescent="0.45">
      <c r="A31" s="35">
        <v>28</v>
      </c>
      <c r="B31" s="32">
        <v>-134.19999999999999</v>
      </c>
      <c r="C31" s="32">
        <v>-4.7928571428571427</v>
      </c>
      <c r="D31" s="37">
        <v>2.1428571428571428</v>
      </c>
      <c r="E31" s="33">
        <v>0.2857142857142857</v>
      </c>
      <c r="F31" s="33">
        <v>0.42857142857142855</v>
      </c>
      <c r="G31" s="33">
        <v>0.30088495575221241</v>
      </c>
      <c r="H31" s="33">
        <v>0.19026548672566371</v>
      </c>
      <c r="I31" s="34">
        <v>6498.5294117647063</v>
      </c>
      <c r="J31" s="34">
        <v>-7353.4883720930229</v>
      </c>
      <c r="K31" s="33">
        <v>0.14285714285714285</v>
      </c>
      <c r="L31" s="33">
        <v>0.33185840707964603</v>
      </c>
      <c r="M31" s="33">
        <v>0.23893805309734514</v>
      </c>
      <c r="N31" s="33">
        <v>0.54666666666666663</v>
      </c>
      <c r="O31" s="33">
        <v>0.42592592592592593</v>
      </c>
      <c r="P31" s="33">
        <v>0.54411764705882348</v>
      </c>
    </row>
    <row r="32" spans="1:16" x14ac:dyDescent="0.45">
      <c r="A32" s="35">
        <v>29</v>
      </c>
      <c r="B32" s="32">
        <v>-174.7</v>
      </c>
      <c r="C32" s="32">
        <v>-6.024137931034482</v>
      </c>
      <c r="D32" s="37">
        <v>2.1724137931034484</v>
      </c>
      <c r="E32" s="33">
        <v>0.27586206896551724</v>
      </c>
      <c r="F32" s="33">
        <v>0.44827586206896552</v>
      </c>
      <c r="G32" s="33">
        <v>0.30042918454935624</v>
      </c>
      <c r="H32" s="33">
        <v>0.20171673819742489</v>
      </c>
      <c r="I32" s="34">
        <v>6655.7142857142853</v>
      </c>
      <c r="J32" s="34">
        <v>-7536.1702127659573</v>
      </c>
      <c r="K32" s="33">
        <v>0.17241379310344829</v>
      </c>
      <c r="L32" s="33">
        <v>0.3261802575107296</v>
      </c>
      <c r="M32" s="33">
        <v>0.23175965665236051</v>
      </c>
      <c r="N32" s="33">
        <v>0.55263157894736847</v>
      </c>
      <c r="O32" s="33">
        <v>0.42592592592592593</v>
      </c>
      <c r="P32" s="33">
        <v>0.54285714285714282</v>
      </c>
    </row>
    <row r="33" spans="1:16" x14ac:dyDescent="0.45">
      <c r="A33" s="35">
        <v>30</v>
      </c>
      <c r="B33" s="32">
        <v>-163.29999999999998</v>
      </c>
      <c r="C33" s="32">
        <v>-5.4433333333333325</v>
      </c>
      <c r="D33" s="37">
        <v>2.1333333333333333</v>
      </c>
      <c r="E33" s="33">
        <v>0.3</v>
      </c>
      <c r="F33" s="33">
        <v>0.43333333333333335</v>
      </c>
      <c r="G33" s="33">
        <v>0.30290456431535268</v>
      </c>
      <c r="H33" s="33">
        <v>0.2074688796680498</v>
      </c>
      <c r="I33" s="34">
        <v>6669.8630136986303</v>
      </c>
      <c r="J33" s="34">
        <v>-7450</v>
      </c>
      <c r="K33" s="33">
        <v>0.16666666666666666</v>
      </c>
      <c r="L33" s="33">
        <v>0.32780082987551867</v>
      </c>
      <c r="M33" s="33">
        <v>0.22821576763485477</v>
      </c>
      <c r="N33" s="33">
        <v>0.569620253164557</v>
      </c>
      <c r="O33" s="33">
        <v>0.41818181818181815</v>
      </c>
      <c r="P33" s="33">
        <v>0.56164383561643838</v>
      </c>
    </row>
    <row r="34" spans="1:16" x14ac:dyDescent="0.45">
      <c r="A34" s="35">
        <v>31</v>
      </c>
      <c r="B34" s="32">
        <v>-137.89999999999998</v>
      </c>
      <c r="C34" s="32">
        <v>-4.4483870967741925</v>
      </c>
      <c r="D34" s="37">
        <v>2.096774193548387</v>
      </c>
      <c r="E34" s="33">
        <v>0.32258064516129031</v>
      </c>
      <c r="F34" s="33">
        <v>0.41935483870967744</v>
      </c>
      <c r="G34" s="33">
        <v>0.31075697211155379</v>
      </c>
      <c r="H34" s="33">
        <v>0.20318725099601595</v>
      </c>
      <c r="I34" s="34">
        <v>6511.5384615384619</v>
      </c>
      <c r="J34" s="34">
        <v>-7343.1372549019607</v>
      </c>
      <c r="K34" s="33">
        <v>0.16129032258064516</v>
      </c>
      <c r="L34" s="33">
        <v>0.34262948207171312</v>
      </c>
      <c r="M34" s="33">
        <v>0.22310756972111553</v>
      </c>
      <c r="N34" s="33">
        <v>0.56976744186046513</v>
      </c>
      <c r="O34" s="33">
        <v>0.42857142857142855</v>
      </c>
      <c r="P34" s="33">
        <v>0.57692307692307687</v>
      </c>
    </row>
    <row r="35" spans="1:16" x14ac:dyDescent="0.45">
      <c r="A35" s="35">
        <v>32</v>
      </c>
      <c r="B35" s="32">
        <v>-176.89999999999998</v>
      </c>
      <c r="C35" s="32">
        <v>-5.5281249999999993</v>
      </c>
      <c r="D35" s="37">
        <v>2.125</v>
      </c>
      <c r="E35" s="33">
        <v>0.3125</v>
      </c>
      <c r="F35" s="33">
        <v>0.4375</v>
      </c>
      <c r="G35" s="33">
        <v>0.30708661417322836</v>
      </c>
      <c r="H35" s="33">
        <v>0.20866141732283464</v>
      </c>
      <c r="I35" s="34">
        <v>6511.5384615384619</v>
      </c>
      <c r="J35" s="34">
        <v>-7443.3962264150941</v>
      </c>
      <c r="K35" s="33">
        <v>0.1875</v>
      </c>
      <c r="L35" s="33">
        <v>0.34645669291338582</v>
      </c>
      <c r="M35" s="33">
        <v>0.22047244094488189</v>
      </c>
      <c r="N35" s="33">
        <v>0.55681818181818177</v>
      </c>
      <c r="O35" s="33">
        <v>0.42857142857142855</v>
      </c>
      <c r="P35" s="33">
        <v>0.57692307692307687</v>
      </c>
    </row>
    <row r="36" spans="1:16" x14ac:dyDescent="0.45">
      <c r="A36" s="35">
        <v>33</v>
      </c>
      <c r="B36" s="32">
        <v>-202.59999999999997</v>
      </c>
      <c r="C36" s="32">
        <v>-6.1393939393939387</v>
      </c>
      <c r="D36" s="37">
        <v>2.1515151515151514</v>
      </c>
      <c r="E36" s="33">
        <v>0.30303030303030304</v>
      </c>
      <c r="F36" s="33">
        <v>0.45454545454545453</v>
      </c>
      <c r="G36" s="33">
        <v>0.30681818181818182</v>
      </c>
      <c r="H36" s="33">
        <v>0.21212121212121213</v>
      </c>
      <c r="I36" s="34">
        <v>6528.3950617283954</v>
      </c>
      <c r="J36" s="34">
        <v>-7508.9285714285716</v>
      </c>
      <c r="K36" s="33">
        <v>0.18181818181818182</v>
      </c>
      <c r="L36" s="33">
        <v>0.34848484848484851</v>
      </c>
      <c r="M36" s="33">
        <v>0.22727272727272727</v>
      </c>
      <c r="N36" s="33">
        <v>0.55434782608695654</v>
      </c>
      <c r="O36" s="33">
        <v>0.41666666666666669</v>
      </c>
      <c r="P36" s="33">
        <v>0.58024691358024694</v>
      </c>
    </row>
    <row r="37" spans="1:16" x14ac:dyDescent="0.45">
      <c r="A37" s="35">
        <v>34</v>
      </c>
      <c r="B37" s="32">
        <v>-183.59999999999997</v>
      </c>
      <c r="C37" s="32">
        <v>-5.3999999999999986</v>
      </c>
      <c r="D37" s="37">
        <v>2.1176470588235294</v>
      </c>
      <c r="E37" s="33">
        <v>0.3235294117647059</v>
      </c>
      <c r="F37" s="33">
        <v>0.44117647058823528</v>
      </c>
      <c r="G37" s="33">
        <v>0.30909090909090908</v>
      </c>
      <c r="H37" s="33">
        <v>0.20727272727272728</v>
      </c>
      <c r="I37" s="34">
        <v>6532.9411764705883</v>
      </c>
      <c r="J37" s="34">
        <v>-7482.4561403508769</v>
      </c>
      <c r="K37" s="33">
        <v>0.17647058823529413</v>
      </c>
      <c r="L37" s="33">
        <v>0.34545454545454546</v>
      </c>
      <c r="M37" s="33">
        <v>0.23636363636363636</v>
      </c>
      <c r="N37" s="33">
        <v>0.55789473684210522</v>
      </c>
      <c r="O37" s="33">
        <v>0.41538461538461541</v>
      </c>
      <c r="P37" s="33">
        <v>0.57647058823529407</v>
      </c>
    </row>
    <row r="38" spans="1:16" x14ac:dyDescent="0.45">
      <c r="A38" s="35">
        <v>35</v>
      </c>
      <c r="B38" s="32">
        <v>-201.69999999999996</v>
      </c>
      <c r="C38" s="32">
        <v>-5.7628571428571416</v>
      </c>
      <c r="D38" s="37">
        <v>2.1428571428571428</v>
      </c>
      <c r="E38" s="33">
        <v>0.31428571428571428</v>
      </c>
      <c r="F38" s="33">
        <v>0.45714285714285713</v>
      </c>
      <c r="G38" s="33">
        <v>0.30877192982456142</v>
      </c>
      <c r="H38" s="33">
        <v>0.20701754385964913</v>
      </c>
      <c r="I38" s="34">
        <v>6453.409090909091</v>
      </c>
      <c r="J38" s="34">
        <v>-7452.5423728813557</v>
      </c>
      <c r="K38" s="33">
        <v>0.17142857142857143</v>
      </c>
      <c r="L38" s="33">
        <v>0.3473684210526316</v>
      </c>
      <c r="M38" s="33">
        <v>0.22807017543859648</v>
      </c>
      <c r="N38" s="33">
        <v>0.55555555555555558</v>
      </c>
      <c r="O38" s="33">
        <v>0.41538461538461541</v>
      </c>
      <c r="P38" s="33">
        <v>0.56818181818181823</v>
      </c>
    </row>
    <row r="39" spans="1:16" x14ac:dyDescent="0.45">
      <c r="A39" s="35">
        <v>36</v>
      </c>
      <c r="B39" s="32">
        <v>-228.69999999999996</v>
      </c>
      <c r="C39" s="32">
        <v>-6.352777777777777</v>
      </c>
      <c r="D39" s="37">
        <v>2.1666666666666665</v>
      </c>
      <c r="E39" s="33">
        <v>0.30555555555555558</v>
      </c>
      <c r="F39" s="33">
        <v>0.47222222222222221</v>
      </c>
      <c r="G39" s="33">
        <v>0.3087248322147651</v>
      </c>
      <c r="H39" s="33">
        <v>0.20805369127516779</v>
      </c>
      <c r="I39" s="34">
        <v>6401.086956521739</v>
      </c>
      <c r="J39" s="34">
        <v>-7462.9032258064517</v>
      </c>
      <c r="K39" s="33">
        <v>0.16666666666666666</v>
      </c>
      <c r="L39" s="33">
        <v>0.34228187919463088</v>
      </c>
      <c r="M39" s="33">
        <v>0.23154362416107382</v>
      </c>
      <c r="N39" s="33">
        <v>0.55882352941176472</v>
      </c>
      <c r="O39" s="33">
        <v>0.42028985507246375</v>
      </c>
      <c r="P39" s="33">
        <v>0.56521739130434778</v>
      </c>
    </row>
    <row r="40" spans="1:16" x14ac:dyDescent="0.45">
      <c r="A40" s="35">
        <v>37</v>
      </c>
      <c r="B40" s="32">
        <v>-265.69999999999993</v>
      </c>
      <c r="C40" s="32">
        <v>-7.1810810810810795</v>
      </c>
      <c r="D40" s="37">
        <v>2.189189189189189</v>
      </c>
      <c r="E40" s="33">
        <v>0.29729729729729731</v>
      </c>
      <c r="F40" s="33">
        <v>0.48648648648648651</v>
      </c>
      <c r="G40" s="33">
        <v>0.30263157894736842</v>
      </c>
      <c r="H40" s="33">
        <v>0.21052631578947367</v>
      </c>
      <c r="I40" s="34">
        <v>6401.086956521739</v>
      </c>
      <c r="J40" s="34">
        <v>-7401.5625</v>
      </c>
      <c r="K40" s="33">
        <v>0.1891891891891892</v>
      </c>
      <c r="L40" s="33">
        <v>0.33881578947368424</v>
      </c>
      <c r="M40" s="33">
        <v>0.23355263157894737</v>
      </c>
      <c r="N40" s="33">
        <v>0.55339805825242716</v>
      </c>
      <c r="O40" s="33">
        <v>0.40845070422535212</v>
      </c>
      <c r="P40" s="33">
        <v>0.56521739130434778</v>
      </c>
    </row>
    <row r="41" spans="1:16" x14ac:dyDescent="0.45">
      <c r="A41" s="35">
        <v>38</v>
      </c>
      <c r="B41" s="32">
        <v>-264.69999999999993</v>
      </c>
      <c r="C41" s="32">
        <v>-6.9657894736842083</v>
      </c>
      <c r="D41" s="37">
        <v>2.1842105263157894</v>
      </c>
      <c r="E41" s="33">
        <v>0.28947368421052633</v>
      </c>
      <c r="F41" s="33">
        <v>0.47368421052631576</v>
      </c>
      <c r="G41" s="33">
        <v>0.3032258064516129</v>
      </c>
      <c r="H41" s="33">
        <v>0.20967741935483872</v>
      </c>
      <c r="I41" s="34">
        <v>6392.5531914893618</v>
      </c>
      <c r="J41" s="34">
        <v>-7303.0769230769229</v>
      </c>
      <c r="K41" s="33">
        <v>0.18421052631578946</v>
      </c>
      <c r="L41" s="33">
        <v>0.34193548387096773</v>
      </c>
      <c r="M41" s="33">
        <v>0.23225806451612904</v>
      </c>
      <c r="N41" s="33">
        <v>0.55660377358490565</v>
      </c>
      <c r="O41" s="33">
        <v>0.40277777777777779</v>
      </c>
      <c r="P41" s="33">
        <v>0.55319148936170215</v>
      </c>
    </row>
    <row r="42" spans="1:16" x14ac:dyDescent="0.45">
      <c r="A42" s="35">
        <v>39</v>
      </c>
      <c r="B42" s="32">
        <v>-281.79999999999995</v>
      </c>
      <c r="C42" s="32">
        <v>-7.2256410256410248</v>
      </c>
      <c r="D42" s="37">
        <v>2.2051282051282053</v>
      </c>
      <c r="E42" s="33">
        <v>0.28205128205128205</v>
      </c>
      <c r="F42" s="33">
        <v>0.48717948717948717</v>
      </c>
      <c r="G42" s="33">
        <v>0.30312499999999998</v>
      </c>
      <c r="H42" s="33">
        <v>0.20624999999999999</v>
      </c>
      <c r="I42" s="34">
        <v>6410.3092783505153</v>
      </c>
      <c r="J42" s="34">
        <v>-7313.636363636364</v>
      </c>
      <c r="K42" s="33">
        <v>0.17948717948717949</v>
      </c>
      <c r="L42" s="33">
        <v>0.34062500000000001</v>
      </c>
      <c r="M42" s="33">
        <v>0.234375</v>
      </c>
      <c r="N42" s="33">
        <v>0.55045871559633031</v>
      </c>
      <c r="O42" s="33">
        <v>0.41333333333333333</v>
      </c>
      <c r="P42" s="33">
        <v>0.53608247422680411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4BD98-3BC7-4059-B109-E8A0176946F4}">
  <sheetPr codeName="Sheet10"/>
  <dimension ref="A1:Q4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33.9</v>
      </c>
      <c r="C4" s="32">
        <v>33.9</v>
      </c>
      <c r="D4" s="37">
        <v>1</v>
      </c>
      <c r="E4" s="33">
        <v>1</v>
      </c>
      <c r="F4" s="33">
        <v>0</v>
      </c>
      <c r="G4" s="33">
        <v>0.6</v>
      </c>
      <c r="H4" s="33">
        <v>0</v>
      </c>
      <c r="I4" s="34">
        <v>6966.666666666667</v>
      </c>
      <c r="J4" s="34">
        <v>0</v>
      </c>
      <c r="K4" s="33">
        <v>0</v>
      </c>
      <c r="L4" s="33">
        <v>0.4</v>
      </c>
      <c r="M4" s="33">
        <v>0</v>
      </c>
      <c r="N4" s="33">
        <v>1</v>
      </c>
      <c r="O4" s="33">
        <v>0</v>
      </c>
      <c r="P4" s="33">
        <v>0.33333333333333331</v>
      </c>
    </row>
    <row r="5" spans="1:17" x14ac:dyDescent="0.45">
      <c r="A5" s="35">
        <v>2</v>
      </c>
      <c r="B5" s="32">
        <v>-10.899999999999999</v>
      </c>
      <c r="C5" s="32">
        <v>-5.4499999999999993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7225</v>
      </c>
      <c r="J5" s="34">
        <v>-8666.6666666666661</v>
      </c>
      <c r="K5" s="33">
        <v>0.5</v>
      </c>
      <c r="L5" s="33">
        <v>0.1111111111111111</v>
      </c>
      <c r="M5" s="33">
        <v>0.1111111111111111</v>
      </c>
      <c r="N5" s="33">
        <v>1</v>
      </c>
      <c r="O5" s="33">
        <v>0.5</v>
      </c>
      <c r="P5" s="33">
        <v>0.25</v>
      </c>
    </row>
    <row r="6" spans="1:17" x14ac:dyDescent="0.45">
      <c r="A6" s="35">
        <v>3</v>
      </c>
      <c r="B6" s="32">
        <v>-8.7999999999999989</v>
      </c>
      <c r="C6" s="32">
        <v>-2.9333333333333331</v>
      </c>
      <c r="D6" s="37">
        <v>2</v>
      </c>
      <c r="E6" s="33">
        <v>0.33333333333333331</v>
      </c>
      <c r="F6" s="33">
        <v>0.33333333333333331</v>
      </c>
      <c r="G6" s="33">
        <v>0.28000000000000003</v>
      </c>
      <c r="H6" s="33">
        <v>0.12</v>
      </c>
      <c r="I6" s="34">
        <v>6185.7142857142853</v>
      </c>
      <c r="J6" s="34">
        <v>-8666.6666666666661</v>
      </c>
      <c r="K6" s="33">
        <v>0.33333333333333331</v>
      </c>
      <c r="L6" s="33">
        <v>0.12</v>
      </c>
      <c r="M6" s="33">
        <v>0.16</v>
      </c>
      <c r="N6" s="33">
        <v>1</v>
      </c>
      <c r="O6" s="33">
        <v>0.75</v>
      </c>
      <c r="P6" s="33">
        <v>0.5714285714285714</v>
      </c>
    </row>
    <row r="7" spans="1:17" x14ac:dyDescent="0.45">
      <c r="A7" s="35">
        <v>4</v>
      </c>
      <c r="B7" s="32">
        <v>13.300000000000002</v>
      </c>
      <c r="C7" s="32">
        <v>3.3250000000000006</v>
      </c>
      <c r="D7" s="37">
        <v>1.75</v>
      </c>
      <c r="E7" s="33">
        <v>0.5</v>
      </c>
      <c r="F7" s="33">
        <v>0.25</v>
      </c>
      <c r="G7" s="33">
        <v>0.32258064516129031</v>
      </c>
      <c r="H7" s="33">
        <v>9.6774193548387094E-2</v>
      </c>
      <c r="I7" s="34">
        <v>5970</v>
      </c>
      <c r="J7" s="34">
        <v>-8666.6666666666661</v>
      </c>
      <c r="K7" s="33">
        <v>0.25</v>
      </c>
      <c r="L7" s="33">
        <v>0.12903225806451613</v>
      </c>
      <c r="M7" s="33">
        <v>0.22580645161290322</v>
      </c>
      <c r="N7" s="33">
        <v>1</v>
      </c>
      <c r="O7" s="33">
        <v>0.7142857142857143</v>
      </c>
      <c r="P7" s="33">
        <v>0.4</v>
      </c>
    </row>
    <row r="8" spans="1:17" x14ac:dyDescent="0.45">
      <c r="A8" s="35">
        <v>5</v>
      </c>
      <c r="B8" s="32">
        <v>16.100000000000001</v>
      </c>
      <c r="C8" s="32">
        <v>3.22</v>
      </c>
      <c r="D8" s="37">
        <v>1.8</v>
      </c>
      <c r="E8" s="33">
        <v>0.4</v>
      </c>
      <c r="F8" s="33">
        <v>0.2</v>
      </c>
      <c r="G8" s="33">
        <v>0.34090909090909088</v>
      </c>
      <c r="H8" s="33">
        <v>0.11363636363636363</v>
      </c>
      <c r="I8" s="34">
        <v>6313.333333333333</v>
      </c>
      <c r="J8" s="34">
        <v>-8640</v>
      </c>
      <c r="K8" s="33">
        <v>0.2</v>
      </c>
      <c r="L8" s="33">
        <v>0.15909090909090909</v>
      </c>
      <c r="M8" s="33">
        <v>0.20454545454545456</v>
      </c>
      <c r="N8" s="33">
        <v>0.8571428571428571</v>
      </c>
      <c r="O8" s="33">
        <v>0.55555555555555558</v>
      </c>
      <c r="P8" s="33">
        <v>0.4</v>
      </c>
    </row>
    <row r="9" spans="1:17" x14ac:dyDescent="0.45">
      <c r="A9" s="35">
        <v>6</v>
      </c>
      <c r="B9" s="32">
        <v>30.1</v>
      </c>
      <c r="C9" s="32">
        <v>5.0166666666666666</v>
      </c>
      <c r="D9" s="37">
        <v>1.8333333333333333</v>
      </c>
      <c r="E9" s="33">
        <v>0.33333333333333331</v>
      </c>
      <c r="F9" s="33">
        <v>0.16666666666666666</v>
      </c>
      <c r="G9" s="33">
        <v>0.33333333333333331</v>
      </c>
      <c r="H9" s="33">
        <v>9.8039215686274508E-2</v>
      </c>
      <c r="I9" s="34">
        <v>6629.411764705882</v>
      </c>
      <c r="J9" s="34">
        <v>-8640</v>
      </c>
      <c r="K9" s="33">
        <v>0.16666666666666666</v>
      </c>
      <c r="L9" s="33">
        <v>0.17647058823529413</v>
      </c>
      <c r="M9" s="33">
        <v>0.19607843137254902</v>
      </c>
      <c r="N9" s="33">
        <v>0.77777777777777779</v>
      </c>
      <c r="O9" s="33">
        <v>0.6</v>
      </c>
      <c r="P9" s="33">
        <v>0.47058823529411764</v>
      </c>
    </row>
    <row r="10" spans="1:17" x14ac:dyDescent="0.45">
      <c r="A10" s="35">
        <v>7</v>
      </c>
      <c r="B10" s="32">
        <v>46.1</v>
      </c>
      <c r="C10" s="32">
        <v>6.5857142857142863</v>
      </c>
      <c r="D10" s="37">
        <v>1.7142857142857142</v>
      </c>
      <c r="E10" s="33">
        <v>0.42857142857142855</v>
      </c>
      <c r="F10" s="33">
        <v>0.14285714285714285</v>
      </c>
      <c r="G10" s="33">
        <v>0.33333333333333331</v>
      </c>
      <c r="H10" s="33">
        <v>8.771929824561403E-2</v>
      </c>
      <c r="I10" s="34">
        <v>6668.4210526315792</v>
      </c>
      <c r="J10" s="34">
        <v>-8640</v>
      </c>
      <c r="K10" s="33">
        <v>0.14285714285714285</v>
      </c>
      <c r="L10" s="33">
        <v>0.17543859649122806</v>
      </c>
      <c r="M10" s="33">
        <v>0.19298245614035087</v>
      </c>
      <c r="N10" s="33">
        <v>0.8</v>
      </c>
      <c r="O10" s="33">
        <v>0.54545454545454541</v>
      </c>
      <c r="P10" s="33">
        <v>0.47368421052631576</v>
      </c>
    </row>
    <row r="11" spans="1:17" x14ac:dyDescent="0.45">
      <c r="A11" s="35">
        <v>8</v>
      </c>
      <c r="B11" s="32">
        <v>38.6</v>
      </c>
      <c r="C11" s="32">
        <v>4.8250000000000002</v>
      </c>
      <c r="D11" s="37">
        <v>1.75</v>
      </c>
      <c r="E11" s="33">
        <v>0.375</v>
      </c>
      <c r="F11" s="33">
        <v>0.125</v>
      </c>
      <c r="G11" s="33">
        <v>0.3125</v>
      </c>
      <c r="H11" s="33">
        <v>7.8125E-2</v>
      </c>
      <c r="I11" s="34">
        <v>6935</v>
      </c>
      <c r="J11" s="34">
        <v>-8640</v>
      </c>
      <c r="K11" s="33">
        <v>0.125</v>
      </c>
      <c r="L11" s="33">
        <v>0.15625</v>
      </c>
      <c r="M11" s="33">
        <v>0.171875</v>
      </c>
      <c r="N11" s="33">
        <v>0.8</v>
      </c>
      <c r="O11" s="33">
        <v>0.54545454545454541</v>
      </c>
      <c r="P11" s="33">
        <v>0.5</v>
      </c>
    </row>
    <row r="12" spans="1:17" x14ac:dyDescent="0.45">
      <c r="A12" s="35">
        <v>9</v>
      </c>
      <c r="B12" s="32">
        <v>37.700000000000003</v>
      </c>
      <c r="C12" s="32">
        <v>4.1888888888888891</v>
      </c>
      <c r="D12" s="37">
        <v>1.7777777777777777</v>
      </c>
      <c r="E12" s="33">
        <v>0.33333333333333331</v>
      </c>
      <c r="F12" s="33">
        <v>0.1111111111111111</v>
      </c>
      <c r="G12" s="33">
        <v>0.31428571428571428</v>
      </c>
      <c r="H12" s="33">
        <v>0.1</v>
      </c>
      <c r="I12" s="34">
        <v>6986.363636363636</v>
      </c>
      <c r="J12" s="34">
        <v>-7871.4285714285716</v>
      </c>
      <c r="K12" s="33">
        <v>0.1111111111111111</v>
      </c>
      <c r="L12" s="33">
        <v>0.15714285714285714</v>
      </c>
      <c r="M12" s="33">
        <v>0.18571428571428572</v>
      </c>
      <c r="N12" s="33">
        <v>0.81818181818181823</v>
      </c>
      <c r="O12" s="33">
        <v>0.53846153846153844</v>
      </c>
      <c r="P12" s="33">
        <v>0.45454545454545453</v>
      </c>
    </row>
    <row r="13" spans="1:17" x14ac:dyDescent="0.45">
      <c r="A13" s="35">
        <v>10</v>
      </c>
      <c r="B13" s="32">
        <v>38.400000000000006</v>
      </c>
      <c r="C13" s="32">
        <v>3.8400000000000007</v>
      </c>
      <c r="D13" s="37">
        <v>1.8</v>
      </c>
      <c r="E13" s="33">
        <v>0.3</v>
      </c>
      <c r="F13" s="33">
        <v>0.1</v>
      </c>
      <c r="G13" s="33">
        <v>0.29629629629629628</v>
      </c>
      <c r="H13" s="33">
        <v>8.6419753086419748E-2</v>
      </c>
      <c r="I13" s="34">
        <v>7225</v>
      </c>
      <c r="J13" s="34">
        <v>-7871.4285714285716</v>
      </c>
      <c r="K13" s="33">
        <v>0.1</v>
      </c>
      <c r="L13" s="33">
        <v>0.16049382716049382</v>
      </c>
      <c r="M13" s="33">
        <v>0.19753086419753085</v>
      </c>
      <c r="N13" s="33">
        <v>0.76923076923076927</v>
      </c>
      <c r="O13" s="33">
        <v>0.4375</v>
      </c>
      <c r="P13" s="33">
        <v>0.45833333333333331</v>
      </c>
    </row>
    <row r="14" spans="1:17" x14ac:dyDescent="0.45">
      <c r="A14" s="35">
        <v>11</v>
      </c>
      <c r="B14" s="32">
        <v>-5.9999999999999929</v>
      </c>
      <c r="C14" s="32">
        <v>-0.54545454545454486</v>
      </c>
      <c r="D14" s="37">
        <v>1.9090909090909092</v>
      </c>
      <c r="E14" s="33">
        <v>0.27272727272727271</v>
      </c>
      <c r="F14" s="33">
        <v>0.18181818181818182</v>
      </c>
      <c r="G14" s="33">
        <v>0.28409090909090912</v>
      </c>
      <c r="H14" s="33">
        <v>0.11363636363636363</v>
      </c>
      <c r="I14" s="34">
        <v>7176</v>
      </c>
      <c r="J14" s="34">
        <v>-7750</v>
      </c>
      <c r="K14" s="33">
        <v>0.18181818181818182</v>
      </c>
      <c r="L14" s="33">
        <v>0.15909090909090909</v>
      </c>
      <c r="M14" s="33">
        <v>0.18181818181818182</v>
      </c>
      <c r="N14" s="33">
        <v>0.7142857142857143</v>
      </c>
      <c r="O14" s="33">
        <v>0.4375</v>
      </c>
      <c r="P14" s="33">
        <v>0.48</v>
      </c>
    </row>
    <row r="15" spans="1:17" x14ac:dyDescent="0.45">
      <c r="A15" s="35">
        <v>12</v>
      </c>
      <c r="B15" s="32">
        <v>-5.5999999999999925</v>
      </c>
      <c r="C15" s="32">
        <v>-0.46666666666666606</v>
      </c>
      <c r="D15" s="37">
        <v>1.9166666666666667</v>
      </c>
      <c r="E15" s="33">
        <v>0.25</v>
      </c>
      <c r="F15" s="33">
        <v>0.16666666666666666</v>
      </c>
      <c r="G15" s="33">
        <v>0.2857142857142857</v>
      </c>
      <c r="H15" s="33">
        <v>0.10204081632653061</v>
      </c>
      <c r="I15" s="34">
        <v>6814.2857142857147</v>
      </c>
      <c r="J15" s="34">
        <v>-7750</v>
      </c>
      <c r="K15" s="33">
        <v>0.16666666666666666</v>
      </c>
      <c r="L15" s="33">
        <v>0.16326530612244897</v>
      </c>
      <c r="M15" s="33">
        <v>0.16326530612244897</v>
      </c>
      <c r="N15" s="33">
        <v>0.6875</v>
      </c>
      <c r="O15" s="33">
        <v>0.4375</v>
      </c>
      <c r="P15" s="33">
        <v>0.5</v>
      </c>
    </row>
    <row r="16" spans="1:17" x14ac:dyDescent="0.45">
      <c r="A16" s="35">
        <v>13</v>
      </c>
      <c r="B16" s="32">
        <v>1.8000000000000078</v>
      </c>
      <c r="C16" s="32">
        <v>0.13846153846153905</v>
      </c>
      <c r="D16" s="37">
        <v>1.9230769230769231</v>
      </c>
      <c r="E16" s="33">
        <v>0.23076923076923078</v>
      </c>
      <c r="F16" s="33">
        <v>0.15384615384615385</v>
      </c>
      <c r="G16" s="33">
        <v>0.2857142857142857</v>
      </c>
      <c r="H16" s="33">
        <v>9.5238095238095233E-2</v>
      </c>
      <c r="I16" s="34">
        <v>6860</v>
      </c>
      <c r="J16" s="34">
        <v>-7750</v>
      </c>
      <c r="K16" s="33">
        <v>0.15384615384615385</v>
      </c>
      <c r="L16" s="33">
        <v>0.17142857142857143</v>
      </c>
      <c r="M16" s="33">
        <v>0.15238095238095239</v>
      </c>
      <c r="N16" s="33">
        <v>0.72222222222222221</v>
      </c>
      <c r="O16" s="33">
        <v>0.4375</v>
      </c>
      <c r="P16" s="33">
        <v>0.5</v>
      </c>
    </row>
    <row r="17" spans="1:16" x14ac:dyDescent="0.45">
      <c r="A17" s="35">
        <v>14</v>
      </c>
      <c r="B17" s="32">
        <v>-29.399999999999991</v>
      </c>
      <c r="C17" s="32">
        <v>-2.0999999999999992</v>
      </c>
      <c r="D17" s="37">
        <v>2</v>
      </c>
      <c r="E17" s="33">
        <v>0.21428571428571427</v>
      </c>
      <c r="F17" s="33">
        <v>0.21428571428571427</v>
      </c>
      <c r="G17" s="33">
        <v>0.29203539823008851</v>
      </c>
      <c r="H17" s="33">
        <v>9.7345132743362831E-2</v>
      </c>
      <c r="I17" s="34">
        <v>6503.030303030303</v>
      </c>
      <c r="J17" s="34">
        <v>-8136.363636363636</v>
      </c>
      <c r="K17" s="33">
        <v>0.14285714285714285</v>
      </c>
      <c r="L17" s="33">
        <v>0.17699115044247787</v>
      </c>
      <c r="M17" s="33">
        <v>0.15929203539823009</v>
      </c>
      <c r="N17" s="33">
        <v>0.7</v>
      </c>
      <c r="O17" s="33">
        <v>0.44444444444444442</v>
      </c>
      <c r="P17" s="33">
        <v>0.54545454545454541</v>
      </c>
    </row>
    <row r="18" spans="1:16" x14ac:dyDescent="0.45">
      <c r="A18" s="35">
        <v>15</v>
      </c>
      <c r="B18" s="32">
        <v>-51.499999999999993</v>
      </c>
      <c r="C18" s="32">
        <v>-3.4333333333333327</v>
      </c>
      <c r="D18" s="37">
        <v>2.0666666666666669</v>
      </c>
      <c r="E18" s="33">
        <v>0.2</v>
      </c>
      <c r="F18" s="33">
        <v>0.26666666666666666</v>
      </c>
      <c r="G18" s="33">
        <v>0.2975206611570248</v>
      </c>
      <c r="H18" s="33">
        <v>0.10743801652892562</v>
      </c>
      <c r="I18" s="34">
        <v>6258.333333333333</v>
      </c>
      <c r="J18" s="34">
        <v>-8253.8461538461543</v>
      </c>
      <c r="K18" s="33">
        <v>0.13333333333333333</v>
      </c>
      <c r="L18" s="33">
        <v>0.18181818181818182</v>
      </c>
      <c r="M18" s="33">
        <v>0.15702479338842976</v>
      </c>
      <c r="N18" s="33">
        <v>0.72727272727272729</v>
      </c>
      <c r="O18" s="33">
        <v>0.47368421052631576</v>
      </c>
      <c r="P18" s="33">
        <v>0.52777777777777779</v>
      </c>
    </row>
    <row r="19" spans="1:16" x14ac:dyDescent="0.45">
      <c r="A19" s="35">
        <v>16</v>
      </c>
      <c r="B19" s="32">
        <v>-36.699999999999989</v>
      </c>
      <c r="C19" s="32">
        <v>-2.2937499999999993</v>
      </c>
      <c r="D19" s="37">
        <v>2.0625</v>
      </c>
      <c r="E19" s="33">
        <v>0.1875</v>
      </c>
      <c r="F19" s="33">
        <v>0.25</v>
      </c>
      <c r="G19" s="33">
        <v>0.30158730158730157</v>
      </c>
      <c r="H19" s="33">
        <v>0.1111111111111111</v>
      </c>
      <c r="I19" s="34">
        <v>6368.4210526315792</v>
      </c>
      <c r="J19" s="34">
        <v>-7871.4285714285716</v>
      </c>
      <c r="K19" s="33">
        <v>0.125</v>
      </c>
      <c r="L19" s="33">
        <v>0.1984126984126984</v>
      </c>
      <c r="M19" s="33">
        <v>0.15079365079365079</v>
      </c>
      <c r="N19" s="33">
        <v>0.72</v>
      </c>
      <c r="O19" s="33">
        <v>0.47368421052631576</v>
      </c>
      <c r="P19" s="33">
        <v>0.52631578947368418</v>
      </c>
    </row>
    <row r="20" spans="1:16" x14ac:dyDescent="0.45">
      <c r="A20" s="35">
        <v>17</v>
      </c>
      <c r="B20" s="32">
        <v>-31.699999999999989</v>
      </c>
      <c r="C20" s="32">
        <v>-1.8647058823529405</v>
      </c>
      <c r="D20" s="37">
        <v>2.0588235294117645</v>
      </c>
      <c r="E20" s="33">
        <v>0.17647058823529413</v>
      </c>
      <c r="F20" s="33">
        <v>0.23529411764705882</v>
      </c>
      <c r="G20" s="33">
        <v>0.3037037037037037</v>
      </c>
      <c r="H20" s="33">
        <v>0.1037037037037037</v>
      </c>
      <c r="I20" s="34">
        <v>6536.5853658536589</v>
      </c>
      <c r="J20" s="34">
        <v>-7871.4285714285716</v>
      </c>
      <c r="K20" s="33">
        <v>0.11764705882352941</v>
      </c>
      <c r="L20" s="33">
        <v>0.2</v>
      </c>
      <c r="M20" s="33">
        <v>0.14814814814814814</v>
      </c>
      <c r="N20" s="33">
        <v>0.7407407407407407</v>
      </c>
      <c r="O20" s="33">
        <v>0.5</v>
      </c>
      <c r="P20" s="33">
        <v>0.51219512195121952</v>
      </c>
    </row>
    <row r="21" spans="1:16" x14ac:dyDescent="0.45">
      <c r="A21" s="35">
        <v>18</v>
      </c>
      <c r="B21" s="32">
        <v>-0.79999999999999005</v>
      </c>
      <c r="C21" s="32">
        <v>-4.4444444444443891E-2</v>
      </c>
      <c r="D21" s="37">
        <v>2</v>
      </c>
      <c r="E21" s="33">
        <v>0.22222222222222221</v>
      </c>
      <c r="F21" s="33">
        <v>0.22222222222222221</v>
      </c>
      <c r="G21" s="33">
        <v>0.31468531468531469</v>
      </c>
      <c r="H21" s="33">
        <v>9.7902097902097904E-2</v>
      </c>
      <c r="I21" s="34">
        <v>6442.2222222222226</v>
      </c>
      <c r="J21" s="34">
        <v>-7871.4285714285716</v>
      </c>
      <c r="K21" s="33">
        <v>0.1111111111111111</v>
      </c>
      <c r="L21" s="33">
        <v>0.20279720279720279</v>
      </c>
      <c r="M21" s="33">
        <v>0.15384615384615385</v>
      </c>
      <c r="N21" s="33">
        <v>0.72413793103448276</v>
      </c>
      <c r="O21" s="33">
        <v>0.5</v>
      </c>
      <c r="P21" s="33">
        <v>0.46666666666666667</v>
      </c>
    </row>
    <row r="22" spans="1:16" x14ac:dyDescent="0.45">
      <c r="A22" s="35">
        <v>19</v>
      </c>
      <c r="B22" s="32">
        <v>0.30000000000001004</v>
      </c>
      <c r="C22" s="32">
        <v>1.5789473684211054E-2</v>
      </c>
      <c r="D22" s="37">
        <v>2</v>
      </c>
      <c r="E22" s="33">
        <v>0.21052631578947367</v>
      </c>
      <c r="F22" s="33">
        <v>0.21052631578947367</v>
      </c>
      <c r="G22" s="33">
        <v>0.3087248322147651</v>
      </c>
      <c r="H22" s="33">
        <v>0.10067114093959731</v>
      </c>
      <c r="I22" s="34">
        <v>6432.608695652174</v>
      </c>
      <c r="J22" s="34">
        <v>-7540</v>
      </c>
      <c r="K22" s="33">
        <v>0.10526315789473684</v>
      </c>
      <c r="L22" s="33">
        <v>0.20805369127516779</v>
      </c>
      <c r="M22" s="33">
        <v>0.15436241610738255</v>
      </c>
      <c r="N22" s="33">
        <v>0.70967741935483875</v>
      </c>
      <c r="O22" s="33">
        <v>0.47826086956521741</v>
      </c>
      <c r="P22" s="33">
        <v>0.45652173913043476</v>
      </c>
    </row>
    <row r="23" spans="1:16" x14ac:dyDescent="0.45">
      <c r="A23" s="35">
        <v>20</v>
      </c>
      <c r="B23" s="32">
        <v>14.70000000000001</v>
      </c>
      <c r="C23" s="32">
        <v>0.73500000000000054</v>
      </c>
      <c r="D23" s="37">
        <v>1.95</v>
      </c>
      <c r="E23" s="33">
        <v>0.25</v>
      </c>
      <c r="F23" s="33">
        <v>0.2</v>
      </c>
      <c r="G23" s="33">
        <v>0.31645569620253167</v>
      </c>
      <c r="H23" s="33">
        <v>0.10759493670886076</v>
      </c>
      <c r="I23" s="34">
        <v>6446</v>
      </c>
      <c r="J23" s="34">
        <v>-7711.7647058823532</v>
      </c>
      <c r="K23" s="33">
        <v>0.1</v>
      </c>
      <c r="L23" s="33">
        <v>0.21518987341772153</v>
      </c>
      <c r="M23" s="33">
        <v>0.15189873417721519</v>
      </c>
      <c r="N23" s="33">
        <v>0.70588235294117652</v>
      </c>
      <c r="O23" s="33">
        <v>0.5</v>
      </c>
      <c r="P23" s="33">
        <v>0.44</v>
      </c>
    </row>
    <row r="24" spans="1:16" x14ac:dyDescent="0.45">
      <c r="A24" s="35">
        <v>21</v>
      </c>
      <c r="B24" s="32">
        <v>15.30000000000001</v>
      </c>
      <c r="C24" s="32">
        <v>0.72857142857142898</v>
      </c>
      <c r="D24" s="37">
        <v>1.9523809523809523</v>
      </c>
      <c r="E24" s="33">
        <v>0.23809523809523808</v>
      </c>
      <c r="F24" s="33">
        <v>0.19047619047619047</v>
      </c>
      <c r="G24" s="33">
        <v>0.31325301204819278</v>
      </c>
      <c r="H24" s="33">
        <v>0.10843373493975904</v>
      </c>
      <c r="I24" s="34">
        <v>6400</v>
      </c>
      <c r="J24" s="34">
        <v>-7500</v>
      </c>
      <c r="K24" s="33">
        <v>9.5238095238095233E-2</v>
      </c>
      <c r="L24" s="33">
        <v>0.20481927710843373</v>
      </c>
      <c r="M24" s="33">
        <v>0.14457831325301204</v>
      </c>
      <c r="N24" s="33">
        <v>0.70588235294117652</v>
      </c>
      <c r="O24" s="33">
        <v>0.5</v>
      </c>
      <c r="P24" s="33">
        <v>0.44230769230769229</v>
      </c>
    </row>
    <row r="25" spans="1:16" x14ac:dyDescent="0.45">
      <c r="A25" s="35">
        <v>22</v>
      </c>
      <c r="B25" s="32">
        <v>66.600000000000009</v>
      </c>
      <c r="C25" s="32">
        <v>3.0272727272727278</v>
      </c>
      <c r="D25" s="37">
        <v>1.9090909090909092</v>
      </c>
      <c r="E25" s="33">
        <v>0.27272727272727271</v>
      </c>
      <c r="F25" s="33">
        <v>0.18181818181818182</v>
      </c>
      <c r="G25" s="33">
        <v>0.32758620689655171</v>
      </c>
      <c r="H25" s="33">
        <v>0.10919540229885058</v>
      </c>
      <c r="I25" s="34">
        <v>6526.3157894736842</v>
      </c>
      <c r="J25" s="34">
        <v>-7257.894736842105</v>
      </c>
      <c r="K25" s="33">
        <v>9.0909090909090912E-2</v>
      </c>
      <c r="L25" s="33">
        <v>0.20689655172413793</v>
      </c>
      <c r="M25" s="33">
        <v>0.14942528735632185</v>
      </c>
      <c r="N25" s="33">
        <v>0.72222222222222221</v>
      </c>
      <c r="O25" s="33">
        <v>0.53846153846153844</v>
      </c>
      <c r="P25" s="33">
        <v>0.45614035087719296</v>
      </c>
    </row>
    <row r="26" spans="1:16" x14ac:dyDescent="0.45">
      <c r="A26" s="35">
        <v>23</v>
      </c>
      <c r="B26" s="32">
        <v>44.900000000000006</v>
      </c>
      <c r="C26" s="32">
        <v>1.9521739130434785</v>
      </c>
      <c r="D26" s="37">
        <v>1.9565217391304348</v>
      </c>
      <c r="E26" s="33">
        <v>0.2608695652173913</v>
      </c>
      <c r="F26" s="33">
        <v>0.21739130434782608</v>
      </c>
      <c r="G26" s="33">
        <v>0.31720430107526881</v>
      </c>
      <c r="H26" s="33">
        <v>0.10215053763440861</v>
      </c>
      <c r="I26" s="34">
        <v>6454.2372881355932</v>
      </c>
      <c r="J26" s="34">
        <v>-7257.894736842105</v>
      </c>
      <c r="K26" s="33">
        <v>8.6956521739130432E-2</v>
      </c>
      <c r="L26" s="33">
        <v>0.19892473118279569</v>
      </c>
      <c r="M26" s="33">
        <v>0.16129032258064516</v>
      </c>
      <c r="N26" s="33">
        <v>0.72972972972972971</v>
      </c>
      <c r="O26" s="33">
        <v>0.46666666666666667</v>
      </c>
      <c r="P26" s="33">
        <v>0.4576271186440678</v>
      </c>
    </row>
    <row r="27" spans="1:16" x14ac:dyDescent="0.45">
      <c r="A27" s="35">
        <v>24</v>
      </c>
      <c r="B27" s="32">
        <v>28.200000000000006</v>
      </c>
      <c r="C27" s="32">
        <v>1.1750000000000003</v>
      </c>
      <c r="D27" s="37">
        <v>2</v>
      </c>
      <c r="E27" s="33">
        <v>0.25</v>
      </c>
      <c r="F27" s="33">
        <v>0.25</v>
      </c>
      <c r="G27" s="33">
        <v>0.30964467005076141</v>
      </c>
      <c r="H27" s="33">
        <v>0.10152284263959391</v>
      </c>
      <c r="I27" s="34">
        <v>6521.311475409836</v>
      </c>
      <c r="J27" s="34">
        <v>-7090</v>
      </c>
      <c r="K27" s="33">
        <v>8.3333333333333329E-2</v>
      </c>
      <c r="L27" s="33">
        <v>0.19796954314720813</v>
      </c>
      <c r="M27" s="33">
        <v>0.15228426395939088</v>
      </c>
      <c r="N27" s="33">
        <v>0.71794871794871795</v>
      </c>
      <c r="O27" s="33">
        <v>0.46666666666666667</v>
      </c>
      <c r="P27" s="33">
        <v>0.47540983606557374</v>
      </c>
    </row>
    <row r="28" spans="1:16" x14ac:dyDescent="0.45">
      <c r="A28" s="35">
        <v>25</v>
      </c>
      <c r="B28" s="32">
        <v>25.700000000000006</v>
      </c>
      <c r="C28" s="32">
        <v>1.0280000000000002</v>
      </c>
      <c r="D28" s="37">
        <v>2</v>
      </c>
      <c r="E28" s="33">
        <v>0.24</v>
      </c>
      <c r="F28" s="33">
        <v>0.24</v>
      </c>
      <c r="G28" s="33">
        <v>0.31372549019607843</v>
      </c>
      <c r="H28" s="33">
        <v>0.10784313725490197</v>
      </c>
      <c r="I28" s="34">
        <v>6481.25</v>
      </c>
      <c r="J28" s="34">
        <v>-6922.727272727273</v>
      </c>
      <c r="K28" s="33">
        <v>0.08</v>
      </c>
      <c r="L28" s="33">
        <v>0.20588235294117646</v>
      </c>
      <c r="M28" s="33">
        <v>0.15686274509803921</v>
      </c>
      <c r="N28" s="33">
        <v>0.73809523809523814</v>
      </c>
      <c r="O28" s="33">
        <v>0.4375</v>
      </c>
      <c r="P28" s="33">
        <v>0.46875</v>
      </c>
    </row>
    <row r="29" spans="1:16" x14ac:dyDescent="0.45">
      <c r="A29" s="35">
        <v>26</v>
      </c>
      <c r="B29" s="32">
        <v>-12.499999999999996</v>
      </c>
      <c r="C29" s="32">
        <v>-0.48076923076923062</v>
      </c>
      <c r="D29" s="37">
        <v>2.0384615384615383</v>
      </c>
      <c r="E29" s="33">
        <v>0.23076923076923078</v>
      </c>
      <c r="F29" s="33">
        <v>0.26923076923076922</v>
      </c>
      <c r="G29" s="33">
        <v>0.30769230769230771</v>
      </c>
      <c r="H29" s="33">
        <v>0.11538461538461539</v>
      </c>
      <c r="I29" s="34">
        <v>6481.25</v>
      </c>
      <c r="J29" s="34">
        <v>-6895.833333333333</v>
      </c>
      <c r="K29" s="33">
        <v>0.11538461538461539</v>
      </c>
      <c r="L29" s="33">
        <v>0.20192307692307693</v>
      </c>
      <c r="M29" s="33">
        <v>0.15384615384615385</v>
      </c>
      <c r="N29" s="33">
        <v>0.73809523809523814</v>
      </c>
      <c r="O29" s="33">
        <v>0.4375</v>
      </c>
      <c r="P29" s="33">
        <v>0.46875</v>
      </c>
    </row>
    <row r="30" spans="1:16" x14ac:dyDescent="0.45">
      <c r="A30" s="35">
        <v>27</v>
      </c>
      <c r="B30" s="32">
        <v>-4.4999999999999964</v>
      </c>
      <c r="C30" s="32">
        <v>-0.16666666666666655</v>
      </c>
      <c r="D30" s="37">
        <v>2.0370370370370372</v>
      </c>
      <c r="E30" s="33">
        <v>0.22222222222222221</v>
      </c>
      <c r="F30" s="33">
        <v>0.25925925925925924</v>
      </c>
      <c r="G30" s="33">
        <v>0.30092592592592593</v>
      </c>
      <c r="H30" s="33">
        <v>0.1111111111111111</v>
      </c>
      <c r="I30" s="34">
        <v>6627.6923076923076</v>
      </c>
      <c r="J30" s="34">
        <v>-6895.833333333333</v>
      </c>
      <c r="K30" s="33">
        <v>0.1111111111111111</v>
      </c>
      <c r="L30" s="33">
        <v>0.20833333333333334</v>
      </c>
      <c r="M30" s="33">
        <v>0.15277777777777779</v>
      </c>
      <c r="N30" s="33">
        <v>0.68888888888888888</v>
      </c>
      <c r="O30" s="33">
        <v>0.45454545454545453</v>
      </c>
      <c r="P30" s="33">
        <v>0.47692307692307695</v>
      </c>
    </row>
    <row r="31" spans="1:16" x14ac:dyDescent="0.45">
      <c r="A31" s="35">
        <v>28</v>
      </c>
      <c r="B31" s="32">
        <v>-9.7999999999999972</v>
      </c>
      <c r="C31" s="32">
        <v>-0.34999999999999992</v>
      </c>
      <c r="D31" s="37">
        <v>2.0357142857142856</v>
      </c>
      <c r="E31" s="33">
        <v>0.21428571428571427</v>
      </c>
      <c r="F31" s="33">
        <v>0.25</v>
      </c>
      <c r="G31" s="33">
        <v>0.29646017699115046</v>
      </c>
      <c r="H31" s="33">
        <v>0.11504424778761062</v>
      </c>
      <c r="I31" s="34">
        <v>6559.7014925373132</v>
      </c>
      <c r="J31" s="34">
        <v>-6634.6153846153848</v>
      </c>
      <c r="K31" s="33">
        <v>0.10714285714285714</v>
      </c>
      <c r="L31" s="33">
        <v>0.20796460176991149</v>
      </c>
      <c r="M31" s="33">
        <v>0.15044247787610621</v>
      </c>
      <c r="N31" s="33">
        <v>0.68085106382978722</v>
      </c>
      <c r="O31" s="33">
        <v>0.44117647058823528</v>
      </c>
      <c r="P31" s="33">
        <v>0.46268656716417911</v>
      </c>
    </row>
    <row r="32" spans="1:16" x14ac:dyDescent="0.45">
      <c r="A32" s="35">
        <v>29</v>
      </c>
      <c r="B32" s="32">
        <v>16.200000000000003</v>
      </c>
      <c r="C32" s="32">
        <v>0.55862068965517253</v>
      </c>
      <c r="D32" s="37">
        <v>2</v>
      </c>
      <c r="E32" s="33">
        <v>0.2413793103448276</v>
      </c>
      <c r="F32" s="33">
        <v>0.2413793103448276</v>
      </c>
      <c r="G32" s="33">
        <v>0.29613733905579398</v>
      </c>
      <c r="H32" s="33">
        <v>0.11158798283261803</v>
      </c>
      <c r="I32" s="34">
        <v>6586.95652173913</v>
      </c>
      <c r="J32" s="34">
        <v>-6634.6153846153848</v>
      </c>
      <c r="K32" s="33">
        <v>0.10344827586206896</v>
      </c>
      <c r="L32" s="33">
        <v>0.20600858369098712</v>
      </c>
      <c r="M32" s="33">
        <v>0.14592274678111589</v>
      </c>
      <c r="N32" s="33">
        <v>0.6875</v>
      </c>
      <c r="O32" s="33">
        <v>0.44117647058823528</v>
      </c>
      <c r="P32" s="33">
        <v>0.46376811594202899</v>
      </c>
    </row>
    <row r="33" spans="1:16" x14ac:dyDescent="0.45">
      <c r="A33" s="35">
        <v>30</v>
      </c>
      <c r="B33" s="32">
        <v>17.200000000000003</v>
      </c>
      <c r="C33" s="32">
        <v>0.57333333333333347</v>
      </c>
      <c r="D33" s="37">
        <v>2</v>
      </c>
      <c r="E33" s="33">
        <v>0.23333333333333334</v>
      </c>
      <c r="F33" s="33">
        <v>0.23333333333333334</v>
      </c>
      <c r="G33" s="33">
        <v>0.29875518672199169</v>
      </c>
      <c r="H33" s="33">
        <v>0.1078838174273859</v>
      </c>
      <c r="I33" s="34">
        <v>6511.1111111111113</v>
      </c>
      <c r="J33" s="34">
        <v>-6634.6153846153848</v>
      </c>
      <c r="K33" s="33">
        <v>0.1</v>
      </c>
      <c r="L33" s="33">
        <v>0.2074688796680498</v>
      </c>
      <c r="M33" s="33">
        <v>0.14937759336099585</v>
      </c>
      <c r="N33" s="33">
        <v>0.68</v>
      </c>
      <c r="O33" s="33">
        <v>0.44444444444444442</v>
      </c>
      <c r="P33" s="33">
        <v>0.45833333333333331</v>
      </c>
    </row>
    <row r="34" spans="1:16" x14ac:dyDescent="0.45">
      <c r="A34" s="35">
        <v>31</v>
      </c>
      <c r="B34" s="32">
        <v>26.6</v>
      </c>
      <c r="C34" s="32">
        <v>0.85806451612903234</v>
      </c>
      <c r="D34" s="37">
        <v>2</v>
      </c>
      <c r="E34" s="33">
        <v>0.22580645161290322</v>
      </c>
      <c r="F34" s="33">
        <v>0.22580645161290322</v>
      </c>
      <c r="G34" s="33">
        <v>0.29880478087649404</v>
      </c>
      <c r="H34" s="33">
        <v>0.10756972111553785</v>
      </c>
      <c r="I34" s="34">
        <v>6489.333333333333</v>
      </c>
      <c r="J34" s="34">
        <v>-6444.4444444444443</v>
      </c>
      <c r="K34" s="33">
        <v>9.6774193548387094E-2</v>
      </c>
      <c r="L34" s="33">
        <v>0.20717131474103587</v>
      </c>
      <c r="M34" s="33">
        <v>0.15537848605577689</v>
      </c>
      <c r="N34" s="33">
        <v>0.69230769230769229</v>
      </c>
      <c r="O34" s="33">
        <v>0.4358974358974359</v>
      </c>
      <c r="P34" s="33">
        <v>0.46666666666666667</v>
      </c>
    </row>
    <row r="35" spans="1:16" x14ac:dyDescent="0.45">
      <c r="A35" s="35">
        <v>32</v>
      </c>
      <c r="B35" s="32">
        <v>31.6</v>
      </c>
      <c r="C35" s="32">
        <v>0.98750000000000004</v>
      </c>
      <c r="D35" s="37">
        <v>2</v>
      </c>
      <c r="E35" s="33">
        <v>0.21875</v>
      </c>
      <c r="F35" s="33">
        <v>0.21875</v>
      </c>
      <c r="G35" s="33">
        <v>0.29921259842519687</v>
      </c>
      <c r="H35" s="33">
        <v>0.1062992125984252</v>
      </c>
      <c r="I35" s="34">
        <v>6509.2105263157891</v>
      </c>
      <c r="J35" s="34">
        <v>-6444.4444444444443</v>
      </c>
      <c r="K35" s="33">
        <v>9.375E-2</v>
      </c>
      <c r="L35" s="33">
        <v>0.20472440944881889</v>
      </c>
      <c r="M35" s="33">
        <v>0.15748031496062992</v>
      </c>
      <c r="N35" s="33">
        <v>0.69230769230769229</v>
      </c>
      <c r="O35" s="33">
        <v>0.45</v>
      </c>
      <c r="P35" s="33">
        <v>0.46052631578947367</v>
      </c>
    </row>
    <row r="36" spans="1:16" x14ac:dyDescent="0.45">
      <c r="A36" s="35">
        <v>33</v>
      </c>
      <c r="B36" s="32">
        <v>61.400000000000006</v>
      </c>
      <c r="C36" s="32">
        <v>1.8606060606060608</v>
      </c>
      <c r="D36" s="37">
        <v>1.9696969696969697</v>
      </c>
      <c r="E36" s="33">
        <v>0.24242424242424243</v>
      </c>
      <c r="F36" s="33">
        <v>0.21212121212121213</v>
      </c>
      <c r="G36" s="33">
        <v>0.30681818181818182</v>
      </c>
      <c r="H36" s="33">
        <v>0.10606060606060606</v>
      </c>
      <c r="I36" s="34">
        <v>6492.5925925925922</v>
      </c>
      <c r="J36" s="34">
        <v>-6267.8571428571431</v>
      </c>
      <c r="K36" s="33">
        <v>9.0909090909090912E-2</v>
      </c>
      <c r="L36" s="33">
        <v>0.19696969696969696</v>
      </c>
      <c r="M36" s="33">
        <v>0.15909090909090909</v>
      </c>
      <c r="N36" s="33">
        <v>0.69230769230769229</v>
      </c>
      <c r="O36" s="33">
        <v>0.47619047619047616</v>
      </c>
      <c r="P36" s="33">
        <v>0.44444444444444442</v>
      </c>
    </row>
    <row r="37" spans="1:16" x14ac:dyDescent="0.45">
      <c r="A37" s="35">
        <v>34</v>
      </c>
      <c r="B37" s="32">
        <v>46.400000000000006</v>
      </c>
      <c r="C37" s="32">
        <v>1.3647058823529414</v>
      </c>
      <c r="D37" s="37">
        <v>2</v>
      </c>
      <c r="E37" s="33">
        <v>0.23529411764705882</v>
      </c>
      <c r="F37" s="33">
        <v>0.23529411764705882</v>
      </c>
      <c r="G37" s="33">
        <v>0.30545454545454548</v>
      </c>
      <c r="H37" s="33">
        <v>0.10545454545454545</v>
      </c>
      <c r="I37" s="34">
        <v>6546.4285714285716</v>
      </c>
      <c r="J37" s="34">
        <v>-6327.5862068965516</v>
      </c>
      <c r="K37" s="33">
        <v>8.8235294117647065E-2</v>
      </c>
      <c r="L37" s="33">
        <v>0.19272727272727272</v>
      </c>
      <c r="M37" s="33">
        <v>0.15636363636363637</v>
      </c>
      <c r="N37" s="33">
        <v>0.69811320754716977</v>
      </c>
      <c r="O37" s="33">
        <v>0.48837209302325579</v>
      </c>
      <c r="P37" s="33">
        <v>0.44047619047619047</v>
      </c>
    </row>
    <row r="38" spans="1:16" x14ac:dyDescent="0.45">
      <c r="A38" s="35">
        <v>35</v>
      </c>
      <c r="B38" s="32">
        <v>44.100000000000009</v>
      </c>
      <c r="C38" s="32">
        <v>1.2600000000000002</v>
      </c>
      <c r="D38" s="37">
        <v>2</v>
      </c>
      <c r="E38" s="33">
        <v>0.22857142857142856</v>
      </c>
      <c r="F38" s="33">
        <v>0.22857142857142856</v>
      </c>
      <c r="G38" s="33">
        <v>0.30175438596491228</v>
      </c>
      <c r="H38" s="33">
        <v>0.10526315789473684</v>
      </c>
      <c r="I38" s="34">
        <v>6512.7906976744189</v>
      </c>
      <c r="J38" s="34">
        <v>-6316.666666666667</v>
      </c>
      <c r="K38" s="33">
        <v>8.5714285714285715E-2</v>
      </c>
      <c r="L38" s="33">
        <v>0.18596491228070175</v>
      </c>
      <c r="M38" s="33">
        <v>0.15087719298245614</v>
      </c>
      <c r="N38" s="33">
        <v>0.69811320754716977</v>
      </c>
      <c r="O38" s="33">
        <v>0.48837209302325579</v>
      </c>
      <c r="P38" s="33">
        <v>0.44186046511627908</v>
      </c>
    </row>
    <row r="39" spans="1:16" x14ac:dyDescent="0.45">
      <c r="A39" s="35">
        <v>36</v>
      </c>
      <c r="B39" s="32">
        <v>76.100000000000009</v>
      </c>
      <c r="C39" s="32">
        <v>2.1138888888888889</v>
      </c>
      <c r="D39" s="37">
        <v>1.9722222222222223</v>
      </c>
      <c r="E39" s="33">
        <v>0.25</v>
      </c>
      <c r="F39" s="33">
        <v>0.22222222222222221</v>
      </c>
      <c r="G39" s="33">
        <v>0.30201342281879195</v>
      </c>
      <c r="H39" s="33">
        <v>0.10067114093959731</v>
      </c>
      <c r="I39" s="34">
        <v>6578.8888888888887</v>
      </c>
      <c r="J39" s="34">
        <v>-6316.666666666667</v>
      </c>
      <c r="K39" s="33">
        <v>8.3333333333333329E-2</v>
      </c>
      <c r="L39" s="33">
        <v>0.18791946308724833</v>
      </c>
      <c r="M39" s="33">
        <v>0.15100671140939598</v>
      </c>
      <c r="N39" s="33">
        <v>0.7142857142857143</v>
      </c>
      <c r="O39" s="33">
        <v>0.46666666666666667</v>
      </c>
      <c r="P39" s="33">
        <v>0.44444444444444442</v>
      </c>
    </row>
    <row r="40" spans="1:16" x14ac:dyDescent="0.45">
      <c r="A40" s="35">
        <v>37</v>
      </c>
      <c r="B40" s="32">
        <v>83.100000000000009</v>
      </c>
      <c r="C40" s="32">
        <v>2.2459459459459463</v>
      </c>
      <c r="D40" s="37">
        <v>1.972972972972973</v>
      </c>
      <c r="E40" s="33">
        <v>0.24324324324324326</v>
      </c>
      <c r="F40" s="33">
        <v>0.21621621621621623</v>
      </c>
      <c r="G40" s="33">
        <v>0.30263157894736842</v>
      </c>
      <c r="H40" s="33">
        <v>9.8684210526315791E-2</v>
      </c>
      <c r="I40" s="34">
        <v>6566.304347826087</v>
      </c>
      <c r="J40" s="34">
        <v>-6316.666666666667</v>
      </c>
      <c r="K40" s="33">
        <v>8.1081081081081086E-2</v>
      </c>
      <c r="L40" s="33">
        <v>0.1875</v>
      </c>
      <c r="M40" s="33">
        <v>0.15131578947368421</v>
      </c>
      <c r="N40" s="33">
        <v>0.7192982456140351</v>
      </c>
      <c r="O40" s="33">
        <v>0.45652173913043476</v>
      </c>
      <c r="P40" s="33">
        <v>0.45652173913043476</v>
      </c>
    </row>
    <row r="41" spans="1:16" x14ac:dyDescent="0.45">
      <c r="A41" s="35">
        <v>38</v>
      </c>
      <c r="B41" s="32">
        <v>64.100000000000009</v>
      </c>
      <c r="C41" s="32">
        <v>1.6868421052631581</v>
      </c>
      <c r="D41" s="37">
        <v>2</v>
      </c>
      <c r="E41" s="33">
        <v>0.23684210526315788</v>
      </c>
      <c r="F41" s="33">
        <v>0.23684210526315788</v>
      </c>
      <c r="G41" s="33">
        <v>0.3032258064516129</v>
      </c>
      <c r="H41" s="33">
        <v>9.6774193548387094E-2</v>
      </c>
      <c r="I41" s="34">
        <v>6469.1489361702124</v>
      </c>
      <c r="J41" s="34">
        <v>-6316.666666666667</v>
      </c>
      <c r="K41" s="33">
        <v>7.8947368421052627E-2</v>
      </c>
      <c r="L41" s="33">
        <v>0.19354838709677419</v>
      </c>
      <c r="M41" s="33">
        <v>0.14838709677419354</v>
      </c>
      <c r="N41" s="33">
        <v>0.7</v>
      </c>
      <c r="O41" s="33">
        <v>0.45652173913043476</v>
      </c>
      <c r="P41" s="33">
        <v>0.45744680851063829</v>
      </c>
    </row>
    <row r="42" spans="1:16" x14ac:dyDescent="0.45">
      <c r="A42" s="35">
        <v>39</v>
      </c>
      <c r="B42" s="32">
        <v>61.70000000000001</v>
      </c>
      <c r="C42" s="32">
        <v>1.5820512820512822</v>
      </c>
      <c r="D42" s="37">
        <v>2</v>
      </c>
      <c r="E42" s="33">
        <v>0.23076923076923078</v>
      </c>
      <c r="F42" s="33">
        <v>0.23076923076923078</v>
      </c>
      <c r="G42" s="33">
        <v>0.3</v>
      </c>
      <c r="H42" s="33">
        <v>9.6875000000000003E-2</v>
      </c>
      <c r="I42" s="34">
        <v>6490.625</v>
      </c>
      <c r="J42" s="34">
        <v>-6238.7096774193551</v>
      </c>
      <c r="K42" s="33">
        <v>7.6923076923076927E-2</v>
      </c>
      <c r="L42" s="33">
        <v>0.2</v>
      </c>
      <c r="M42" s="33">
        <v>0.14687500000000001</v>
      </c>
      <c r="N42" s="33">
        <v>0.6875</v>
      </c>
      <c r="O42" s="33">
        <v>0.44680851063829785</v>
      </c>
      <c r="P42" s="33">
        <v>0.46875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DB768-82B3-4647-8883-D03091EDBC7F}">
  <sheetPr codeName="Sheet8"/>
  <dimension ref="A1:Q4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-38.9</v>
      </c>
      <c r="C4" s="32">
        <v>-38.9</v>
      </c>
      <c r="D4" s="37">
        <v>3</v>
      </c>
      <c r="E4" s="33">
        <v>0</v>
      </c>
      <c r="F4" s="33">
        <v>1</v>
      </c>
      <c r="G4" s="33">
        <v>0</v>
      </c>
      <c r="H4" s="33">
        <v>0.6</v>
      </c>
      <c r="I4" s="34">
        <v>0</v>
      </c>
      <c r="J4" s="34">
        <v>-5633.333333333333</v>
      </c>
      <c r="K4" s="33">
        <v>1</v>
      </c>
      <c r="L4" s="33">
        <v>0</v>
      </c>
      <c r="M4" s="33">
        <v>0.2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-11</v>
      </c>
      <c r="C5" s="32">
        <v>-5.5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0.27777777777777779</v>
      </c>
      <c r="I5" s="34">
        <v>8725</v>
      </c>
      <c r="J5" s="34">
        <v>-4020</v>
      </c>
      <c r="K5" s="33">
        <v>0.5</v>
      </c>
      <c r="L5" s="33">
        <v>0.27777777777777779</v>
      </c>
      <c r="M5" s="33">
        <v>0.16666666666666666</v>
      </c>
      <c r="N5" s="33">
        <v>0.8</v>
      </c>
      <c r="O5" s="33">
        <v>0</v>
      </c>
      <c r="P5" s="33">
        <v>0</v>
      </c>
    </row>
    <row r="6" spans="1:17" x14ac:dyDescent="0.45">
      <c r="A6" s="35">
        <v>3</v>
      </c>
      <c r="B6" s="32">
        <v>5.6000000000000014</v>
      </c>
      <c r="C6" s="32">
        <v>1.8666666666666671</v>
      </c>
      <c r="D6" s="37">
        <v>1.6666666666666667</v>
      </c>
      <c r="E6" s="33">
        <v>0.66666666666666663</v>
      </c>
      <c r="F6" s="33">
        <v>0.33333333333333331</v>
      </c>
      <c r="G6" s="33">
        <v>0.24</v>
      </c>
      <c r="H6" s="33">
        <v>0.2</v>
      </c>
      <c r="I6" s="34">
        <v>8816.6666666666661</v>
      </c>
      <c r="J6" s="34">
        <v>-4020</v>
      </c>
      <c r="K6" s="33">
        <v>0.33333333333333331</v>
      </c>
      <c r="L6" s="33">
        <v>0.36</v>
      </c>
      <c r="M6" s="33">
        <v>0.12</v>
      </c>
      <c r="N6" s="33">
        <v>0.66666666666666663</v>
      </c>
      <c r="O6" s="33">
        <v>0</v>
      </c>
      <c r="P6" s="33">
        <v>0.33333333333333331</v>
      </c>
    </row>
    <row r="7" spans="1:17" x14ac:dyDescent="0.45">
      <c r="A7" s="35">
        <v>4</v>
      </c>
      <c r="B7" s="32">
        <v>11.100000000000001</v>
      </c>
      <c r="C7" s="32">
        <v>2.7750000000000004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0.16129032258064516</v>
      </c>
      <c r="I7" s="34">
        <v>8414.2857142857138</v>
      </c>
      <c r="J7" s="34">
        <v>-4020</v>
      </c>
      <c r="K7" s="33">
        <v>0.25</v>
      </c>
      <c r="L7" s="33">
        <v>0.35483870967741937</v>
      </c>
      <c r="M7" s="33">
        <v>9.6774193548387094E-2</v>
      </c>
      <c r="N7" s="33">
        <v>0.63636363636363635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-29.299999999999997</v>
      </c>
      <c r="C8" s="32">
        <v>-5.8599999999999994</v>
      </c>
      <c r="D8" s="37">
        <v>2</v>
      </c>
      <c r="E8" s="33">
        <v>0.4</v>
      </c>
      <c r="F8" s="33">
        <v>0.4</v>
      </c>
      <c r="G8" s="33">
        <v>0.22727272727272727</v>
      </c>
      <c r="H8" s="33">
        <v>0.20454545454545456</v>
      </c>
      <c r="I8" s="34">
        <v>7690</v>
      </c>
      <c r="J8" s="34">
        <v>-5111.1111111111113</v>
      </c>
      <c r="K8" s="33">
        <v>0.4</v>
      </c>
      <c r="L8" s="33">
        <v>0.31818181818181818</v>
      </c>
      <c r="M8" s="33">
        <v>9.0909090909090912E-2</v>
      </c>
      <c r="N8" s="33">
        <v>0.6428571428571429</v>
      </c>
      <c r="O8" s="33">
        <v>0</v>
      </c>
      <c r="P8" s="33">
        <v>0.5</v>
      </c>
    </row>
    <row r="9" spans="1:17" x14ac:dyDescent="0.45">
      <c r="A9" s="35">
        <v>6</v>
      </c>
      <c r="B9" s="32">
        <v>-4.2999999999999972</v>
      </c>
      <c r="C9" s="32">
        <v>-0.71666666666666623</v>
      </c>
      <c r="D9" s="37">
        <v>1.8333333333333333</v>
      </c>
      <c r="E9" s="33">
        <v>0.5</v>
      </c>
      <c r="F9" s="33">
        <v>0.33333333333333331</v>
      </c>
      <c r="G9" s="33">
        <v>0.23529411764705882</v>
      </c>
      <c r="H9" s="33">
        <v>0.19607843137254902</v>
      </c>
      <c r="I9" s="34">
        <v>9075</v>
      </c>
      <c r="J9" s="34">
        <v>-5200</v>
      </c>
      <c r="K9" s="33">
        <v>0.33333333333333331</v>
      </c>
      <c r="L9" s="33">
        <v>0.29411764705882354</v>
      </c>
      <c r="M9" s="33">
        <v>0.11764705882352941</v>
      </c>
      <c r="N9" s="33">
        <v>0.6</v>
      </c>
      <c r="O9" s="33">
        <v>0.16666666666666666</v>
      </c>
      <c r="P9" s="33">
        <v>0.41666666666666669</v>
      </c>
    </row>
    <row r="10" spans="1:17" x14ac:dyDescent="0.45">
      <c r="A10" s="35">
        <v>7</v>
      </c>
      <c r="B10" s="32">
        <v>-22.599999999999998</v>
      </c>
      <c r="C10" s="32">
        <v>-3.2285714285714282</v>
      </c>
      <c r="D10" s="37">
        <v>2</v>
      </c>
      <c r="E10" s="33">
        <v>0.42857142857142855</v>
      </c>
      <c r="F10" s="33">
        <v>0.42857142857142855</v>
      </c>
      <c r="G10" s="33">
        <v>0.22807017543859648</v>
      </c>
      <c r="H10" s="33">
        <v>0.17543859649122806</v>
      </c>
      <c r="I10" s="34">
        <v>8676.9230769230762</v>
      </c>
      <c r="J10" s="34">
        <v>-5200</v>
      </c>
      <c r="K10" s="33">
        <v>0.2857142857142857</v>
      </c>
      <c r="L10" s="33">
        <v>0.33333333333333331</v>
      </c>
      <c r="M10" s="33">
        <v>0.14035087719298245</v>
      </c>
      <c r="N10" s="33">
        <v>0.52631578947368418</v>
      </c>
      <c r="O10" s="33">
        <v>0.125</v>
      </c>
      <c r="P10" s="33">
        <v>0.38461538461538464</v>
      </c>
    </row>
    <row r="11" spans="1:17" x14ac:dyDescent="0.45">
      <c r="A11" s="35">
        <v>8</v>
      </c>
      <c r="B11" s="32">
        <v>20.8</v>
      </c>
      <c r="C11" s="32">
        <v>2.6</v>
      </c>
      <c r="D11" s="37">
        <v>1.875</v>
      </c>
      <c r="E11" s="33">
        <v>0.5</v>
      </c>
      <c r="F11" s="33">
        <v>0.375</v>
      </c>
      <c r="G11" s="33">
        <v>0.28125</v>
      </c>
      <c r="H11" s="33">
        <v>0.15625</v>
      </c>
      <c r="I11" s="34">
        <v>8983.3333333333339</v>
      </c>
      <c r="J11" s="34">
        <v>-5200</v>
      </c>
      <c r="K11" s="33">
        <v>0.25</v>
      </c>
      <c r="L11" s="33">
        <v>0.359375</v>
      </c>
      <c r="M11" s="33">
        <v>0.15625</v>
      </c>
      <c r="N11" s="33">
        <v>0.52173913043478259</v>
      </c>
      <c r="O11" s="33">
        <v>0.3</v>
      </c>
      <c r="P11" s="33">
        <v>0.44444444444444442</v>
      </c>
    </row>
    <row r="12" spans="1:17" x14ac:dyDescent="0.45">
      <c r="A12" s="35">
        <v>9</v>
      </c>
      <c r="B12" s="32">
        <v>-0.19999999999999929</v>
      </c>
      <c r="C12" s="32">
        <v>-2.2222222222222143E-2</v>
      </c>
      <c r="D12" s="37">
        <v>2</v>
      </c>
      <c r="E12" s="33">
        <v>0.44444444444444442</v>
      </c>
      <c r="F12" s="33">
        <v>0.44444444444444442</v>
      </c>
      <c r="G12" s="33">
        <v>0.27142857142857141</v>
      </c>
      <c r="H12" s="33">
        <v>0.15714285714285714</v>
      </c>
      <c r="I12" s="34">
        <v>8984.21052631579</v>
      </c>
      <c r="J12" s="34">
        <v>-5545.454545454545</v>
      </c>
      <c r="K12" s="33">
        <v>0.22222222222222221</v>
      </c>
      <c r="L12" s="33">
        <v>0.34285714285714286</v>
      </c>
      <c r="M12" s="33">
        <v>0.18571428571428572</v>
      </c>
      <c r="N12" s="33">
        <v>0.5</v>
      </c>
      <c r="O12" s="33">
        <v>0.30769230769230771</v>
      </c>
      <c r="P12" s="33">
        <v>0.42105263157894735</v>
      </c>
    </row>
    <row r="13" spans="1:17" x14ac:dyDescent="0.45">
      <c r="A13" s="35">
        <v>10</v>
      </c>
      <c r="B13" s="32">
        <v>-19.8</v>
      </c>
      <c r="C13" s="32">
        <v>-1.98</v>
      </c>
      <c r="D13" s="37">
        <v>2.1</v>
      </c>
      <c r="E13" s="33">
        <v>0.4</v>
      </c>
      <c r="F13" s="33">
        <v>0.5</v>
      </c>
      <c r="G13" s="33">
        <v>0.27160493827160492</v>
      </c>
      <c r="H13" s="33">
        <v>0.18518518518518517</v>
      </c>
      <c r="I13" s="34">
        <v>8668.181818181818</v>
      </c>
      <c r="J13" s="34">
        <v>-5573.333333333333</v>
      </c>
      <c r="K13" s="33">
        <v>0.2</v>
      </c>
      <c r="L13" s="33">
        <v>0.35802469135802467</v>
      </c>
      <c r="M13" s="33">
        <v>0.1728395061728395</v>
      </c>
      <c r="N13" s="33">
        <v>0.51724137931034486</v>
      </c>
      <c r="O13" s="33">
        <v>0.2857142857142857</v>
      </c>
      <c r="P13" s="33">
        <v>0.45454545454545453</v>
      </c>
    </row>
    <row r="14" spans="1:17" x14ac:dyDescent="0.45">
      <c r="A14" s="35">
        <v>11</v>
      </c>
      <c r="B14" s="32">
        <v>23.099999999999998</v>
      </c>
      <c r="C14" s="32">
        <v>2.0999999999999996</v>
      </c>
      <c r="D14" s="37">
        <v>2</v>
      </c>
      <c r="E14" s="33">
        <v>0.45454545454545453</v>
      </c>
      <c r="F14" s="33">
        <v>0.45454545454545453</v>
      </c>
      <c r="G14" s="33">
        <v>0.29545454545454547</v>
      </c>
      <c r="H14" s="33">
        <v>0.17045454545454544</v>
      </c>
      <c r="I14" s="34">
        <v>8503.8461538461543</v>
      </c>
      <c r="J14" s="34">
        <v>-5573.333333333333</v>
      </c>
      <c r="K14" s="33">
        <v>0.18181818181818182</v>
      </c>
      <c r="L14" s="33">
        <v>0.35227272727272729</v>
      </c>
      <c r="M14" s="33">
        <v>0.17045454545454544</v>
      </c>
      <c r="N14" s="33">
        <v>0.5161290322580645</v>
      </c>
      <c r="O14" s="33">
        <v>0.33333333333333331</v>
      </c>
      <c r="P14" s="33">
        <v>0.42307692307692307</v>
      </c>
    </row>
    <row r="15" spans="1:17" x14ac:dyDescent="0.45">
      <c r="A15" s="35">
        <v>12</v>
      </c>
      <c r="B15" s="32">
        <v>35.199999999999996</v>
      </c>
      <c r="C15" s="32">
        <v>2.9333333333333331</v>
      </c>
      <c r="D15" s="37">
        <v>1.9166666666666667</v>
      </c>
      <c r="E15" s="33">
        <v>0.5</v>
      </c>
      <c r="F15" s="33">
        <v>0.41666666666666669</v>
      </c>
      <c r="G15" s="33">
        <v>0.29591836734693877</v>
      </c>
      <c r="H15" s="33">
        <v>0.17346938775510204</v>
      </c>
      <c r="I15" s="34">
        <v>8555.1724137931033</v>
      </c>
      <c r="J15" s="34">
        <v>-5764.7058823529414</v>
      </c>
      <c r="K15" s="33">
        <v>0.16666666666666666</v>
      </c>
      <c r="L15" s="33">
        <v>0.35714285714285715</v>
      </c>
      <c r="M15" s="33">
        <v>0.20408163265306123</v>
      </c>
      <c r="N15" s="33">
        <v>0.51428571428571423</v>
      </c>
      <c r="O15" s="33">
        <v>0.3</v>
      </c>
      <c r="P15" s="33">
        <v>0.44827586206896552</v>
      </c>
    </row>
    <row r="16" spans="1:17" x14ac:dyDescent="0.45">
      <c r="A16" s="35">
        <v>13</v>
      </c>
      <c r="B16" s="32">
        <v>60.599999999999994</v>
      </c>
      <c r="C16" s="32">
        <v>4.661538461538461</v>
      </c>
      <c r="D16" s="37">
        <v>1.8461538461538463</v>
      </c>
      <c r="E16" s="33">
        <v>0.53846153846153844</v>
      </c>
      <c r="F16" s="33">
        <v>0.38461538461538464</v>
      </c>
      <c r="G16" s="33">
        <v>0.2857142857142857</v>
      </c>
      <c r="H16" s="33">
        <v>0.16190476190476191</v>
      </c>
      <c r="I16" s="34">
        <v>9070</v>
      </c>
      <c r="J16" s="34">
        <v>-5764.7058823529414</v>
      </c>
      <c r="K16" s="33">
        <v>0.15384615384615385</v>
      </c>
      <c r="L16" s="33">
        <v>0.33333333333333331</v>
      </c>
      <c r="M16" s="33">
        <v>0.19047619047619047</v>
      </c>
      <c r="N16" s="33">
        <v>0.51428571428571423</v>
      </c>
      <c r="O16" s="33">
        <v>0.3</v>
      </c>
      <c r="P16" s="33">
        <v>0.43333333333333335</v>
      </c>
    </row>
    <row r="17" spans="1:16" x14ac:dyDescent="0.45">
      <c r="A17" s="35">
        <v>14</v>
      </c>
      <c r="B17" s="32">
        <v>95.6</v>
      </c>
      <c r="C17" s="32">
        <v>6.8285714285714283</v>
      </c>
      <c r="D17" s="37">
        <v>1.7857142857142858</v>
      </c>
      <c r="E17" s="33">
        <v>0.5714285714285714</v>
      </c>
      <c r="F17" s="33">
        <v>0.35714285714285715</v>
      </c>
      <c r="G17" s="33">
        <v>0.30088495575221241</v>
      </c>
      <c r="H17" s="33">
        <v>0.15044247787610621</v>
      </c>
      <c r="I17" s="34">
        <v>9120.5882352941171</v>
      </c>
      <c r="J17" s="34">
        <v>-5764.7058823529414</v>
      </c>
      <c r="K17" s="33">
        <v>0.14285714285714285</v>
      </c>
      <c r="L17" s="33">
        <v>0.31858407079646017</v>
      </c>
      <c r="M17" s="33">
        <v>0.18584070796460178</v>
      </c>
      <c r="N17" s="33">
        <v>0.52777777777777779</v>
      </c>
      <c r="O17" s="33">
        <v>0.33333333333333331</v>
      </c>
      <c r="P17" s="33">
        <v>0.47058823529411764</v>
      </c>
    </row>
    <row r="18" spans="1:16" x14ac:dyDescent="0.45">
      <c r="A18" s="35">
        <v>15</v>
      </c>
      <c r="B18" s="32">
        <v>114.8</v>
      </c>
      <c r="C18" s="32">
        <v>7.6533333333333333</v>
      </c>
      <c r="D18" s="37">
        <v>1.7333333333333334</v>
      </c>
      <c r="E18" s="33">
        <v>0.6</v>
      </c>
      <c r="F18" s="33">
        <v>0.33333333333333331</v>
      </c>
      <c r="G18" s="33">
        <v>0.28925619834710742</v>
      </c>
      <c r="H18" s="33">
        <v>0.14049586776859505</v>
      </c>
      <c r="I18" s="34">
        <v>9088.5714285714294</v>
      </c>
      <c r="J18" s="34">
        <v>-5764.7058823529414</v>
      </c>
      <c r="K18" s="33">
        <v>0.13333333333333333</v>
      </c>
      <c r="L18" s="33">
        <v>0.2975206611570248</v>
      </c>
      <c r="M18" s="33">
        <v>0.19008264462809918</v>
      </c>
      <c r="N18" s="33">
        <v>0.52777777777777779</v>
      </c>
      <c r="O18" s="33">
        <v>0.30434782608695654</v>
      </c>
      <c r="P18" s="33">
        <v>0.45714285714285713</v>
      </c>
    </row>
    <row r="19" spans="1:16" x14ac:dyDescent="0.45">
      <c r="A19" s="35">
        <v>16</v>
      </c>
      <c r="B19" s="32">
        <v>142.69999999999999</v>
      </c>
      <c r="C19" s="32">
        <v>8.9187499999999993</v>
      </c>
      <c r="D19" s="37">
        <v>1.6875</v>
      </c>
      <c r="E19" s="33">
        <v>0.625</v>
      </c>
      <c r="F19" s="33">
        <v>0.3125</v>
      </c>
      <c r="G19" s="33">
        <v>0.30158730158730157</v>
      </c>
      <c r="H19" s="33">
        <v>0.13492063492063491</v>
      </c>
      <c r="I19" s="34">
        <v>9000</v>
      </c>
      <c r="J19" s="34">
        <v>-5764.7058823529414</v>
      </c>
      <c r="K19" s="33">
        <v>0.125</v>
      </c>
      <c r="L19" s="33">
        <v>0.30952380952380953</v>
      </c>
      <c r="M19" s="33">
        <v>0.1984126984126984</v>
      </c>
      <c r="N19" s="33">
        <v>0.51282051282051277</v>
      </c>
      <c r="O19" s="33">
        <v>0.36</v>
      </c>
      <c r="P19" s="33">
        <v>0.42105263157894735</v>
      </c>
    </row>
    <row r="20" spans="1:16" x14ac:dyDescent="0.45">
      <c r="A20" s="35">
        <v>17</v>
      </c>
      <c r="B20" s="32">
        <v>120.29999999999998</v>
      </c>
      <c r="C20" s="32">
        <v>7.076470588235293</v>
      </c>
      <c r="D20" s="37">
        <v>1.7647058823529411</v>
      </c>
      <c r="E20" s="33">
        <v>0.58823529411764708</v>
      </c>
      <c r="F20" s="33">
        <v>0.35294117647058826</v>
      </c>
      <c r="G20" s="33">
        <v>0.3037037037037037</v>
      </c>
      <c r="H20" s="33">
        <v>0.14074074074074075</v>
      </c>
      <c r="I20" s="34">
        <v>8926.8292682926822</v>
      </c>
      <c r="J20" s="34">
        <v>-5994.7368421052633</v>
      </c>
      <c r="K20" s="33">
        <v>0.11764705882352941</v>
      </c>
      <c r="L20" s="33">
        <v>0.31851851851851853</v>
      </c>
      <c r="M20" s="33">
        <v>0.18518518518518517</v>
      </c>
      <c r="N20" s="33">
        <v>0.51162790697674421</v>
      </c>
      <c r="O20" s="33">
        <v>0.36</v>
      </c>
      <c r="P20" s="33">
        <v>0.43902439024390244</v>
      </c>
    </row>
    <row r="21" spans="1:16" x14ac:dyDescent="0.45">
      <c r="A21" s="35">
        <v>18</v>
      </c>
      <c r="B21" s="32">
        <v>122.79999999999998</v>
      </c>
      <c r="C21" s="32">
        <v>6.8222222222222211</v>
      </c>
      <c r="D21" s="37">
        <v>1.7777777777777777</v>
      </c>
      <c r="E21" s="33">
        <v>0.55555555555555558</v>
      </c>
      <c r="F21" s="33">
        <v>0.33333333333333331</v>
      </c>
      <c r="G21" s="33">
        <v>0.30069930069930068</v>
      </c>
      <c r="H21" s="33">
        <v>0.16083916083916083</v>
      </c>
      <c r="I21" s="34">
        <v>9000</v>
      </c>
      <c r="J21" s="34">
        <v>-5886.95652173913</v>
      </c>
      <c r="K21" s="33">
        <v>0.1111111111111111</v>
      </c>
      <c r="L21" s="33">
        <v>0.30769230769230771</v>
      </c>
      <c r="M21" s="33">
        <v>0.1888111888111888</v>
      </c>
      <c r="N21" s="33">
        <v>0.52272727272727271</v>
      </c>
      <c r="O21" s="33">
        <v>0.37037037037037035</v>
      </c>
      <c r="P21" s="33">
        <v>0.41860465116279072</v>
      </c>
    </row>
    <row r="22" spans="1:16" x14ac:dyDescent="0.45">
      <c r="A22" s="35">
        <v>19</v>
      </c>
      <c r="B22" s="32">
        <v>88.799999999999983</v>
      </c>
      <c r="C22" s="32">
        <v>4.6736842105263152</v>
      </c>
      <c r="D22" s="37">
        <v>1.8421052631578947</v>
      </c>
      <c r="E22" s="33">
        <v>0.52631578947368418</v>
      </c>
      <c r="F22" s="33">
        <v>0.36842105263157893</v>
      </c>
      <c r="G22" s="33">
        <v>0.28859060402684567</v>
      </c>
      <c r="H22" s="33">
        <v>0.16778523489932887</v>
      </c>
      <c r="I22" s="34">
        <v>9000</v>
      </c>
      <c r="J22" s="34">
        <v>-6136</v>
      </c>
      <c r="K22" s="33">
        <v>0.10526315789473684</v>
      </c>
      <c r="L22" s="33">
        <v>0.29530201342281881</v>
      </c>
      <c r="M22" s="33">
        <v>0.18791946308724833</v>
      </c>
      <c r="N22" s="33">
        <v>0.52272727272727271</v>
      </c>
      <c r="O22" s="33">
        <v>0.35714285714285715</v>
      </c>
      <c r="P22" s="33">
        <v>0.41860465116279072</v>
      </c>
    </row>
    <row r="23" spans="1:16" x14ac:dyDescent="0.45">
      <c r="A23" s="35">
        <v>20</v>
      </c>
      <c r="B23" s="32">
        <v>91.299999999999983</v>
      </c>
      <c r="C23" s="32">
        <v>4.5649999999999995</v>
      </c>
      <c r="D23" s="37">
        <v>1.85</v>
      </c>
      <c r="E23" s="33">
        <v>0.5</v>
      </c>
      <c r="F23" s="33">
        <v>0.35</v>
      </c>
      <c r="G23" s="33">
        <v>0.2848101265822785</v>
      </c>
      <c r="H23" s="33">
        <v>0.16455696202531644</v>
      </c>
      <c r="I23" s="34">
        <v>8977.7777777777774</v>
      </c>
      <c r="J23" s="34">
        <v>-6246.1538461538457</v>
      </c>
      <c r="K23" s="33">
        <v>0.1</v>
      </c>
      <c r="L23" s="33">
        <v>0.30379746835443039</v>
      </c>
      <c r="M23" s="33">
        <v>0.18354430379746836</v>
      </c>
      <c r="N23" s="33">
        <v>0.52083333333333337</v>
      </c>
      <c r="O23" s="33">
        <v>0.34482758620689657</v>
      </c>
      <c r="P23" s="33">
        <v>0.42222222222222222</v>
      </c>
    </row>
    <row r="24" spans="1:16" x14ac:dyDescent="0.45">
      <c r="A24" s="35">
        <v>21</v>
      </c>
      <c r="B24" s="32">
        <v>72.699999999999989</v>
      </c>
      <c r="C24" s="32">
        <v>3.4619047619047612</v>
      </c>
      <c r="D24" s="37">
        <v>1.9047619047619047</v>
      </c>
      <c r="E24" s="33">
        <v>0.47619047619047616</v>
      </c>
      <c r="F24" s="33">
        <v>0.38095238095238093</v>
      </c>
      <c r="G24" s="33">
        <v>0.28313253012048195</v>
      </c>
      <c r="H24" s="33">
        <v>0.16867469879518071</v>
      </c>
      <c r="I24" s="34">
        <v>8848.9361702127662</v>
      </c>
      <c r="J24" s="34">
        <v>-6067.8571428571431</v>
      </c>
      <c r="K24" s="33">
        <v>9.5238095238095233E-2</v>
      </c>
      <c r="L24" s="33">
        <v>0.29518072289156627</v>
      </c>
      <c r="M24" s="33">
        <v>0.18072289156626506</v>
      </c>
      <c r="N24" s="33">
        <v>0.53061224489795922</v>
      </c>
      <c r="O24" s="33">
        <v>0.36666666666666664</v>
      </c>
      <c r="P24" s="33">
        <v>0.40425531914893614</v>
      </c>
    </row>
    <row r="25" spans="1:16" x14ac:dyDescent="0.45">
      <c r="A25" s="35">
        <v>22</v>
      </c>
      <c r="B25" s="32">
        <v>63.499999999999986</v>
      </c>
      <c r="C25" s="32">
        <v>2.8863636363636358</v>
      </c>
      <c r="D25" s="37">
        <v>1.9090909090909092</v>
      </c>
      <c r="E25" s="33">
        <v>0.45454545454545453</v>
      </c>
      <c r="F25" s="33">
        <v>0.36363636363636365</v>
      </c>
      <c r="G25" s="33">
        <v>0.28735632183908044</v>
      </c>
      <c r="H25" s="33">
        <v>0.17241379310344829</v>
      </c>
      <c r="I25" s="34">
        <v>8596</v>
      </c>
      <c r="J25" s="34">
        <v>-5996.666666666667</v>
      </c>
      <c r="K25" s="33">
        <v>9.0909090909090912E-2</v>
      </c>
      <c r="L25" s="33">
        <v>0.3045977011494253</v>
      </c>
      <c r="M25" s="33">
        <v>0.17241379310344829</v>
      </c>
      <c r="N25" s="33">
        <v>0.54716981132075471</v>
      </c>
      <c r="O25" s="33">
        <v>0.36666666666666664</v>
      </c>
      <c r="P25" s="33">
        <v>0.38</v>
      </c>
    </row>
    <row r="26" spans="1:16" x14ac:dyDescent="0.45">
      <c r="A26" s="35">
        <v>23</v>
      </c>
      <c r="B26" s="32">
        <v>93.999999999999986</v>
      </c>
      <c r="C26" s="32">
        <v>4.0869565217391299</v>
      </c>
      <c r="D26" s="37">
        <v>1.8695652173913044</v>
      </c>
      <c r="E26" s="33">
        <v>0.47826086956521741</v>
      </c>
      <c r="F26" s="33">
        <v>0.34782608695652173</v>
      </c>
      <c r="G26" s="33">
        <v>0.29032258064516131</v>
      </c>
      <c r="H26" s="33">
        <v>0.17204301075268819</v>
      </c>
      <c r="I26" s="34">
        <v>8537.0370370370365</v>
      </c>
      <c r="J26" s="34">
        <v>-5796.875</v>
      </c>
      <c r="K26" s="33">
        <v>8.6956521739130432E-2</v>
      </c>
      <c r="L26" s="33">
        <v>0.30107526881720431</v>
      </c>
      <c r="M26" s="33">
        <v>0.16666666666666666</v>
      </c>
      <c r="N26" s="33">
        <v>0.5535714285714286</v>
      </c>
      <c r="O26" s="33">
        <v>0.35483870967741937</v>
      </c>
      <c r="P26" s="33">
        <v>0.40740740740740738</v>
      </c>
    </row>
    <row r="27" spans="1:16" x14ac:dyDescent="0.45">
      <c r="A27" s="35">
        <v>24</v>
      </c>
      <c r="B27" s="32">
        <v>109.89999999999999</v>
      </c>
      <c r="C27" s="32">
        <v>4.5791666666666666</v>
      </c>
      <c r="D27" s="37">
        <v>1.8333333333333333</v>
      </c>
      <c r="E27" s="33">
        <v>0.5</v>
      </c>
      <c r="F27" s="33">
        <v>0.33333333333333331</v>
      </c>
      <c r="G27" s="33">
        <v>0.28934010152284262</v>
      </c>
      <c r="H27" s="33">
        <v>0.16243654822335024</v>
      </c>
      <c r="I27" s="34">
        <v>8508.7719298245611</v>
      </c>
      <c r="J27" s="34">
        <v>-5796.875</v>
      </c>
      <c r="K27" s="33">
        <v>8.3333333333333329E-2</v>
      </c>
      <c r="L27" s="33">
        <v>0.29441624365482233</v>
      </c>
      <c r="M27" s="33">
        <v>0.16751269035532995</v>
      </c>
      <c r="N27" s="33">
        <v>0.53448275862068961</v>
      </c>
      <c r="O27" s="33">
        <v>0.36363636363636365</v>
      </c>
      <c r="P27" s="33">
        <v>0.42105263157894735</v>
      </c>
    </row>
    <row r="28" spans="1:16" x14ac:dyDescent="0.45">
      <c r="A28" s="35">
        <v>25</v>
      </c>
      <c r="B28" s="32">
        <v>145.89999999999998</v>
      </c>
      <c r="C28" s="32">
        <v>5.8359999999999994</v>
      </c>
      <c r="D28" s="37">
        <v>1.8</v>
      </c>
      <c r="E28" s="33">
        <v>0.52</v>
      </c>
      <c r="F28" s="33">
        <v>0.32</v>
      </c>
      <c r="G28" s="33">
        <v>0.29411764705882354</v>
      </c>
      <c r="H28" s="33">
        <v>0.15686274509803921</v>
      </c>
      <c r="I28" s="34">
        <v>8566.6666666666661</v>
      </c>
      <c r="J28" s="34">
        <v>-5796.875</v>
      </c>
      <c r="K28" s="33">
        <v>0.08</v>
      </c>
      <c r="L28" s="33">
        <v>0.30882352941176472</v>
      </c>
      <c r="M28" s="33">
        <v>0.16666666666666666</v>
      </c>
      <c r="N28" s="33">
        <v>0.53968253968253965</v>
      </c>
      <c r="O28" s="33">
        <v>0.35294117647058826</v>
      </c>
      <c r="P28" s="33">
        <v>0.43333333333333335</v>
      </c>
    </row>
    <row r="29" spans="1:16" x14ac:dyDescent="0.45">
      <c r="A29" s="35">
        <v>26</v>
      </c>
      <c r="B29" s="32">
        <v>147.89999999999998</v>
      </c>
      <c r="C29" s="32">
        <v>5.6884615384615378</v>
      </c>
      <c r="D29" s="37">
        <v>1.8076923076923077</v>
      </c>
      <c r="E29" s="33">
        <v>0.5</v>
      </c>
      <c r="F29" s="33">
        <v>0.30769230769230771</v>
      </c>
      <c r="G29" s="33">
        <v>0.29326923076923078</v>
      </c>
      <c r="H29" s="33">
        <v>0.15384615384615385</v>
      </c>
      <c r="I29" s="34">
        <v>8573.7704918032796</v>
      </c>
      <c r="J29" s="34">
        <v>-5796.875</v>
      </c>
      <c r="K29" s="33">
        <v>7.6923076923076927E-2</v>
      </c>
      <c r="L29" s="33">
        <v>0.3125</v>
      </c>
      <c r="M29" s="33">
        <v>0.16826923076923078</v>
      </c>
      <c r="N29" s="33">
        <v>0.53846153846153844</v>
      </c>
      <c r="O29" s="33">
        <v>0.34285714285714286</v>
      </c>
      <c r="P29" s="33">
        <v>0.44262295081967212</v>
      </c>
    </row>
    <row r="30" spans="1:16" x14ac:dyDescent="0.45">
      <c r="A30" s="35">
        <v>27</v>
      </c>
      <c r="B30" s="32">
        <v>112.39999999999998</v>
      </c>
      <c r="C30" s="32">
        <v>4.1629629629629621</v>
      </c>
      <c r="D30" s="37">
        <v>1.8518518518518519</v>
      </c>
      <c r="E30" s="33">
        <v>0.48148148148148145</v>
      </c>
      <c r="F30" s="33">
        <v>0.33333333333333331</v>
      </c>
      <c r="G30" s="33">
        <v>0.28703703703703703</v>
      </c>
      <c r="H30" s="33">
        <v>0.15740740740740741</v>
      </c>
      <c r="I30" s="34">
        <v>8629.032258064517</v>
      </c>
      <c r="J30" s="34">
        <v>-5985.2941176470586</v>
      </c>
      <c r="K30" s="33">
        <v>0.1111111111111111</v>
      </c>
      <c r="L30" s="33">
        <v>0.30555555555555558</v>
      </c>
      <c r="M30" s="33">
        <v>0.16203703703703703</v>
      </c>
      <c r="N30" s="33">
        <v>0.54545454545454541</v>
      </c>
      <c r="O30" s="33">
        <v>0.34285714285714286</v>
      </c>
      <c r="P30" s="33">
        <v>0.45161290322580644</v>
      </c>
    </row>
    <row r="31" spans="1:16" x14ac:dyDescent="0.45">
      <c r="A31" s="35">
        <v>28</v>
      </c>
      <c r="B31" s="32">
        <v>143.99999999999997</v>
      </c>
      <c r="C31" s="32">
        <v>5.1428571428571415</v>
      </c>
      <c r="D31" s="37">
        <v>1.8214285714285714</v>
      </c>
      <c r="E31" s="33">
        <v>0.5</v>
      </c>
      <c r="F31" s="33">
        <v>0.32142857142857145</v>
      </c>
      <c r="G31" s="33">
        <v>0.29646017699115046</v>
      </c>
      <c r="H31" s="33">
        <v>0.15486725663716813</v>
      </c>
      <c r="I31" s="34">
        <v>8292.5373134328365</v>
      </c>
      <c r="J31" s="34">
        <v>-5871.4285714285716</v>
      </c>
      <c r="K31" s="33">
        <v>0.10714285714285714</v>
      </c>
      <c r="L31" s="33">
        <v>0.30088495575221241</v>
      </c>
      <c r="M31" s="33">
        <v>0.16371681415929204</v>
      </c>
      <c r="N31" s="33">
        <v>0.55882352941176472</v>
      </c>
      <c r="O31" s="33">
        <v>0.3783783783783784</v>
      </c>
      <c r="P31" s="33">
        <v>0.44776119402985076</v>
      </c>
    </row>
    <row r="32" spans="1:16" x14ac:dyDescent="0.45">
      <c r="A32" s="35">
        <v>29</v>
      </c>
      <c r="B32" s="32">
        <v>158.49999999999997</v>
      </c>
      <c r="C32" s="32">
        <v>5.4655172413793096</v>
      </c>
      <c r="D32" s="37">
        <v>1.8275862068965518</v>
      </c>
      <c r="E32" s="33">
        <v>0.48275862068965519</v>
      </c>
      <c r="F32" s="33">
        <v>0.31034482758620691</v>
      </c>
      <c r="G32" s="33">
        <v>0.30042918454935624</v>
      </c>
      <c r="H32" s="33">
        <v>0.15450643776824036</v>
      </c>
      <c r="I32" s="34">
        <v>8394.2857142857138</v>
      </c>
      <c r="J32" s="34">
        <v>-6041.666666666667</v>
      </c>
      <c r="K32" s="33">
        <v>0.10344827586206896</v>
      </c>
      <c r="L32" s="33">
        <v>0.30042918454935624</v>
      </c>
      <c r="M32" s="33">
        <v>0.16738197424892703</v>
      </c>
      <c r="N32" s="33">
        <v>0.55714285714285716</v>
      </c>
      <c r="O32" s="33">
        <v>0.38461538461538464</v>
      </c>
      <c r="P32" s="33">
        <v>0.42857142857142855</v>
      </c>
    </row>
    <row r="33" spans="1:16" x14ac:dyDescent="0.45">
      <c r="A33" s="35">
        <v>30</v>
      </c>
      <c r="B33" s="32">
        <v>146.09999999999997</v>
      </c>
      <c r="C33" s="32">
        <v>4.8699999999999992</v>
      </c>
      <c r="D33" s="37">
        <v>1.8666666666666667</v>
      </c>
      <c r="E33" s="33">
        <v>0.46666666666666667</v>
      </c>
      <c r="F33" s="33">
        <v>0.33333333333333331</v>
      </c>
      <c r="G33" s="33">
        <v>0.29875518672199169</v>
      </c>
      <c r="H33" s="33">
        <v>0.14937759336099585</v>
      </c>
      <c r="I33" s="34">
        <v>8363.8888888888887</v>
      </c>
      <c r="J33" s="34">
        <v>-6041.666666666667</v>
      </c>
      <c r="K33" s="33">
        <v>0.1</v>
      </c>
      <c r="L33" s="33">
        <v>0.30290456431535268</v>
      </c>
      <c r="M33" s="33">
        <v>0.17012448132780084</v>
      </c>
      <c r="N33" s="33">
        <v>0.56164383561643838</v>
      </c>
      <c r="O33" s="33">
        <v>0.36585365853658536</v>
      </c>
      <c r="P33" s="33">
        <v>0.43055555555555558</v>
      </c>
    </row>
    <row r="34" spans="1:16" x14ac:dyDescent="0.45">
      <c r="A34" s="35">
        <v>31</v>
      </c>
      <c r="B34" s="32">
        <v>111.29999999999997</v>
      </c>
      <c r="C34" s="32">
        <v>3.5903225806451604</v>
      </c>
      <c r="D34" s="37">
        <v>1.903225806451613</v>
      </c>
      <c r="E34" s="33">
        <v>0.45161290322580644</v>
      </c>
      <c r="F34" s="33">
        <v>0.35483870967741937</v>
      </c>
      <c r="G34" s="33">
        <v>0.28685258964143429</v>
      </c>
      <c r="H34" s="33">
        <v>0.14342629482071714</v>
      </c>
      <c r="I34" s="34">
        <v>8363.8888888888887</v>
      </c>
      <c r="J34" s="34">
        <v>-6041.666666666667</v>
      </c>
      <c r="K34" s="33">
        <v>9.6774193548387094E-2</v>
      </c>
      <c r="L34" s="33">
        <v>0.29482071713147412</v>
      </c>
      <c r="M34" s="33">
        <v>0.16334661354581673</v>
      </c>
      <c r="N34" s="33">
        <v>0.55405405405405406</v>
      </c>
      <c r="O34" s="33">
        <v>0.36585365853658536</v>
      </c>
      <c r="P34" s="33">
        <v>0.43055555555555558</v>
      </c>
    </row>
    <row r="35" spans="1:16" x14ac:dyDescent="0.45">
      <c r="A35" s="35">
        <v>32</v>
      </c>
      <c r="B35" s="32">
        <v>145.29999999999995</v>
      </c>
      <c r="C35" s="32">
        <v>4.5406249999999986</v>
      </c>
      <c r="D35" s="37">
        <v>1.875</v>
      </c>
      <c r="E35" s="33">
        <v>0.46875</v>
      </c>
      <c r="F35" s="33">
        <v>0.34375</v>
      </c>
      <c r="G35" s="33">
        <v>0.29133858267716534</v>
      </c>
      <c r="H35" s="33">
        <v>0.14173228346456693</v>
      </c>
      <c r="I35" s="34">
        <v>8421.6216216216217</v>
      </c>
      <c r="J35" s="34">
        <v>-6041.666666666667</v>
      </c>
      <c r="K35" s="33">
        <v>9.375E-2</v>
      </c>
      <c r="L35" s="33">
        <v>0.29921259842519687</v>
      </c>
      <c r="M35" s="33">
        <v>0.16141732283464566</v>
      </c>
      <c r="N35" s="33">
        <v>0.56578947368421051</v>
      </c>
      <c r="O35" s="33">
        <v>0.36585365853658536</v>
      </c>
      <c r="P35" s="33">
        <v>0.43243243243243246</v>
      </c>
    </row>
    <row r="36" spans="1:16" x14ac:dyDescent="0.45">
      <c r="A36" s="35">
        <v>33</v>
      </c>
      <c r="B36" s="32">
        <v>141.19999999999996</v>
      </c>
      <c r="C36" s="32">
        <v>4.2787878787878775</v>
      </c>
      <c r="D36" s="37">
        <v>1.8787878787878789</v>
      </c>
      <c r="E36" s="33">
        <v>0.45454545454545453</v>
      </c>
      <c r="F36" s="33">
        <v>0.33333333333333331</v>
      </c>
      <c r="G36" s="33">
        <v>0.2878787878787879</v>
      </c>
      <c r="H36" s="33">
        <v>0.14393939393939395</v>
      </c>
      <c r="I36" s="34">
        <v>8430.2631578947367</v>
      </c>
      <c r="J36" s="34">
        <v>-6092.105263157895</v>
      </c>
      <c r="K36" s="33">
        <v>9.0909090909090912E-2</v>
      </c>
      <c r="L36" s="33">
        <v>0.29924242424242425</v>
      </c>
      <c r="M36" s="33">
        <v>0.16287878787878787</v>
      </c>
      <c r="N36" s="33">
        <v>0.55696202531645567</v>
      </c>
      <c r="O36" s="33">
        <v>0.37209302325581395</v>
      </c>
      <c r="P36" s="33">
        <v>0.43421052631578949</v>
      </c>
    </row>
    <row r="37" spans="1:16" x14ac:dyDescent="0.45">
      <c r="A37" s="35">
        <v>34</v>
      </c>
      <c r="B37" s="32">
        <v>137.19999999999996</v>
      </c>
      <c r="C37" s="32">
        <v>4.0352941176470578</v>
      </c>
      <c r="D37" s="37">
        <v>1.8823529411764706</v>
      </c>
      <c r="E37" s="33">
        <v>0.44117647058823528</v>
      </c>
      <c r="F37" s="33">
        <v>0.3235294117647059</v>
      </c>
      <c r="G37" s="33">
        <v>0.28727272727272729</v>
      </c>
      <c r="H37" s="33">
        <v>0.14545454545454545</v>
      </c>
      <c r="I37" s="34">
        <v>8375.9493670886077</v>
      </c>
      <c r="J37" s="34">
        <v>-6162.5</v>
      </c>
      <c r="K37" s="33">
        <v>8.8235294117647065E-2</v>
      </c>
      <c r="L37" s="33">
        <v>0.30181818181818182</v>
      </c>
      <c r="M37" s="33">
        <v>0.16</v>
      </c>
      <c r="N37" s="33">
        <v>0.54216867469879515</v>
      </c>
      <c r="O37" s="33">
        <v>0.38636363636363635</v>
      </c>
      <c r="P37" s="33">
        <v>0.45569620253164556</v>
      </c>
    </row>
    <row r="38" spans="1:16" x14ac:dyDescent="0.45">
      <c r="A38" s="35">
        <v>35</v>
      </c>
      <c r="B38" s="32">
        <v>157.59999999999997</v>
      </c>
      <c r="C38" s="32">
        <v>4.5028571428571418</v>
      </c>
      <c r="D38" s="37">
        <v>1.8571428571428572</v>
      </c>
      <c r="E38" s="33">
        <v>0.45714285714285713</v>
      </c>
      <c r="F38" s="33">
        <v>0.31428571428571428</v>
      </c>
      <c r="G38" s="33">
        <v>0.28771929824561404</v>
      </c>
      <c r="H38" s="33">
        <v>0.14736842105263157</v>
      </c>
      <c r="I38" s="34">
        <v>8362.1951219512193</v>
      </c>
      <c r="J38" s="34">
        <v>-6073.8095238095239</v>
      </c>
      <c r="K38" s="33">
        <v>8.5714285714285715E-2</v>
      </c>
      <c r="L38" s="33">
        <v>0.30526315789473685</v>
      </c>
      <c r="M38" s="33">
        <v>0.1649122807017544</v>
      </c>
      <c r="N38" s="33">
        <v>0.54022988505747127</v>
      </c>
      <c r="O38" s="33">
        <v>0.38297872340425532</v>
      </c>
      <c r="P38" s="33">
        <v>0.45121951219512196</v>
      </c>
    </row>
    <row r="39" spans="1:16" x14ac:dyDescent="0.45">
      <c r="A39" s="35">
        <v>36</v>
      </c>
      <c r="B39" s="32">
        <v>152.59999999999997</v>
      </c>
      <c r="C39" s="32">
        <v>4.238888888888888</v>
      </c>
      <c r="D39" s="37">
        <v>1.8611111111111112</v>
      </c>
      <c r="E39" s="33">
        <v>0.44444444444444442</v>
      </c>
      <c r="F39" s="33">
        <v>0.30555555555555558</v>
      </c>
      <c r="G39" s="33">
        <v>0.28523489932885904</v>
      </c>
      <c r="H39" s="33">
        <v>0.1476510067114094</v>
      </c>
      <c r="I39" s="34">
        <v>8408.2352941176468</v>
      </c>
      <c r="J39" s="34">
        <v>-6070.454545454545</v>
      </c>
      <c r="K39" s="33">
        <v>8.3333333333333329E-2</v>
      </c>
      <c r="L39" s="33">
        <v>0.3087248322147651</v>
      </c>
      <c r="M39" s="33">
        <v>0.16442953020134229</v>
      </c>
      <c r="N39" s="33">
        <v>0.53260869565217395</v>
      </c>
      <c r="O39" s="33">
        <v>0.38775510204081631</v>
      </c>
      <c r="P39" s="33">
        <v>0.45882352941176469</v>
      </c>
    </row>
    <row r="40" spans="1:16" x14ac:dyDescent="0.45">
      <c r="A40" s="35">
        <v>37</v>
      </c>
      <c r="B40" s="32">
        <v>182.59999999999997</v>
      </c>
      <c r="C40" s="32">
        <v>4.935135135135134</v>
      </c>
      <c r="D40" s="37">
        <v>1.8378378378378379</v>
      </c>
      <c r="E40" s="33">
        <v>0.45945945945945948</v>
      </c>
      <c r="F40" s="33">
        <v>0.29729729729729731</v>
      </c>
      <c r="G40" s="33">
        <v>0.29276315789473684</v>
      </c>
      <c r="H40" s="33">
        <v>0.14473684210526316</v>
      </c>
      <c r="I40" s="34">
        <v>8311.2359550561796</v>
      </c>
      <c r="J40" s="34">
        <v>-6070.454545454545</v>
      </c>
      <c r="K40" s="33">
        <v>8.1081081081081086E-2</v>
      </c>
      <c r="L40" s="33">
        <v>0.30921052631578949</v>
      </c>
      <c r="M40" s="33">
        <v>0.16447368421052633</v>
      </c>
      <c r="N40" s="33">
        <v>0.53191489361702127</v>
      </c>
      <c r="O40" s="33">
        <v>0.4</v>
      </c>
      <c r="P40" s="33">
        <v>0.4606741573033708</v>
      </c>
    </row>
    <row r="41" spans="1:16" x14ac:dyDescent="0.45">
      <c r="A41" s="35">
        <v>38</v>
      </c>
      <c r="B41" s="32">
        <v>200.59999999999997</v>
      </c>
      <c r="C41" s="32">
        <v>5.2789473684210515</v>
      </c>
      <c r="D41" s="37">
        <v>1.8157894736842106</v>
      </c>
      <c r="E41" s="33">
        <v>0.47368421052631576</v>
      </c>
      <c r="F41" s="33">
        <v>0.28947368421052633</v>
      </c>
      <c r="G41" s="33">
        <v>0.29354838709677417</v>
      </c>
      <c r="H41" s="33">
        <v>0.14838709677419354</v>
      </c>
      <c r="I41" s="34">
        <v>8359.3406593406598</v>
      </c>
      <c r="J41" s="34">
        <v>-6067.391304347826</v>
      </c>
      <c r="K41" s="33">
        <v>7.8947368421052627E-2</v>
      </c>
      <c r="L41" s="33">
        <v>0.31290322580645163</v>
      </c>
      <c r="M41" s="33">
        <v>0.16129032258064516</v>
      </c>
      <c r="N41" s="33">
        <v>0.53608247422680411</v>
      </c>
      <c r="O41" s="33">
        <v>0.4</v>
      </c>
      <c r="P41" s="33">
        <v>0.47252747252747251</v>
      </c>
    </row>
    <row r="42" spans="1:16" x14ac:dyDescent="0.45">
      <c r="A42" s="35">
        <v>39</v>
      </c>
      <c r="B42" s="32">
        <v>220.09999999999997</v>
      </c>
      <c r="C42" s="32">
        <v>5.6435897435897431</v>
      </c>
      <c r="D42" s="37">
        <v>1.7948717948717949</v>
      </c>
      <c r="E42" s="33">
        <v>0.48717948717948717</v>
      </c>
      <c r="F42" s="33">
        <v>0.28205128205128205</v>
      </c>
      <c r="G42" s="33">
        <v>0.296875</v>
      </c>
      <c r="H42" s="33">
        <v>0.15</v>
      </c>
      <c r="I42" s="34">
        <v>8375.78947368421</v>
      </c>
      <c r="J42" s="34">
        <v>-6168.75</v>
      </c>
      <c r="K42" s="33">
        <v>7.6923076923076927E-2</v>
      </c>
      <c r="L42" s="33">
        <v>0.31562499999999999</v>
      </c>
      <c r="M42" s="33">
        <v>0.16562499999999999</v>
      </c>
      <c r="N42" s="33">
        <v>0.54455445544554459</v>
      </c>
      <c r="O42" s="33">
        <v>0.39622641509433965</v>
      </c>
      <c r="P42" s="33">
        <v>0.48421052631578948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4DA79-F9E9-48BA-AC24-8E9495E15284}">
  <sheetPr codeName="Sheet6"/>
  <dimension ref="A1:Q4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0.26666666666666666</v>
      </c>
      <c r="H4" s="33">
        <v>0.2</v>
      </c>
      <c r="I4" s="34">
        <v>7225</v>
      </c>
      <c r="J4" s="34">
        <v>-5633.333333333333</v>
      </c>
      <c r="K4" s="33">
        <v>0.33333333333333331</v>
      </c>
      <c r="L4" s="33">
        <v>0.26666666666666666</v>
      </c>
      <c r="M4" s="33">
        <v>0.2</v>
      </c>
      <c r="N4" s="33">
        <v>0.5</v>
      </c>
      <c r="O4" s="33">
        <v>0.33333333333333331</v>
      </c>
      <c r="P4" s="33">
        <v>0.25</v>
      </c>
    </row>
    <row r="5" spans="1:17" x14ac:dyDescent="0.45">
      <c r="A5" s="35">
        <v>2</v>
      </c>
      <c r="B5" s="32">
        <v>0</v>
      </c>
      <c r="C5" s="32">
        <v>0</v>
      </c>
      <c r="D5" s="37">
        <v>2</v>
      </c>
      <c r="E5" s="33">
        <v>0.33333333333333331</v>
      </c>
      <c r="F5" s="33">
        <v>0.33333333333333331</v>
      </c>
      <c r="G5" s="33">
        <v>0.29629629629629628</v>
      </c>
      <c r="H5" s="33">
        <v>0.20370370370370369</v>
      </c>
      <c r="I5" s="34">
        <v>6662.5</v>
      </c>
      <c r="J5" s="34">
        <v>-6272.727272727273</v>
      </c>
      <c r="K5" s="33">
        <v>0.33333333333333331</v>
      </c>
      <c r="L5" s="33">
        <v>0.24074074074074073</v>
      </c>
      <c r="M5" s="33">
        <v>0.22222222222222221</v>
      </c>
      <c r="N5" s="33">
        <v>0.69230769230769229</v>
      </c>
      <c r="O5" s="33">
        <v>0.41666666666666669</v>
      </c>
      <c r="P5" s="33">
        <v>0.3125</v>
      </c>
    </row>
    <row r="6" spans="1:17" x14ac:dyDescent="0.45">
      <c r="A6" s="35">
        <v>3</v>
      </c>
      <c r="B6" s="32">
        <v>3.5527136788005009E-15</v>
      </c>
      <c r="C6" s="32">
        <v>3.9474596431116675E-16</v>
      </c>
      <c r="D6" s="37">
        <v>2</v>
      </c>
      <c r="E6" s="33">
        <v>0.33333333333333331</v>
      </c>
      <c r="F6" s="33">
        <v>0.33333333333333331</v>
      </c>
      <c r="G6" s="33">
        <v>0.30666666666666664</v>
      </c>
      <c r="H6" s="33">
        <v>0.14666666666666667</v>
      </c>
      <c r="I6" s="34">
        <v>6473.913043478261</v>
      </c>
      <c r="J6" s="34">
        <v>-6272.727272727273</v>
      </c>
      <c r="K6" s="33">
        <v>0.22222222222222221</v>
      </c>
      <c r="L6" s="33">
        <v>0.30666666666666664</v>
      </c>
      <c r="M6" s="33">
        <v>0.18666666666666668</v>
      </c>
      <c r="N6" s="33">
        <v>0.60869565217391308</v>
      </c>
      <c r="O6" s="33">
        <v>0.5</v>
      </c>
      <c r="P6" s="33">
        <v>0.52173913043478259</v>
      </c>
    </row>
    <row r="7" spans="1:17" x14ac:dyDescent="0.45">
      <c r="A7" s="35">
        <v>4</v>
      </c>
      <c r="B7" s="32">
        <v>3.5527136788005009E-15</v>
      </c>
      <c r="C7" s="32">
        <v>2.9605947323337506E-16</v>
      </c>
      <c r="D7" s="37">
        <v>2</v>
      </c>
      <c r="E7" s="33">
        <v>0.33333333333333331</v>
      </c>
      <c r="F7" s="33">
        <v>0.33333333333333331</v>
      </c>
      <c r="G7" s="33">
        <v>0.30107526881720431</v>
      </c>
      <c r="H7" s="33">
        <v>0.15053763440860216</v>
      </c>
      <c r="I7" s="34">
        <v>6146.4285714285716</v>
      </c>
      <c r="J7" s="34">
        <v>-6100</v>
      </c>
      <c r="K7" s="33">
        <v>0.16666666666666666</v>
      </c>
      <c r="L7" s="33">
        <v>0.29032258064516131</v>
      </c>
      <c r="M7" s="33">
        <v>0.20430107526881722</v>
      </c>
      <c r="N7" s="33">
        <v>0.59259259259259256</v>
      </c>
      <c r="O7" s="33">
        <v>0.52631578947368418</v>
      </c>
      <c r="P7" s="33">
        <v>0.5</v>
      </c>
    </row>
    <row r="8" spans="1:17" x14ac:dyDescent="0.45">
      <c r="A8" s="35">
        <v>5</v>
      </c>
      <c r="B8" s="32">
        <v>7.1054273576010019E-15</v>
      </c>
      <c r="C8" s="32">
        <v>4.7369515717340012E-16</v>
      </c>
      <c r="D8" s="37">
        <v>2</v>
      </c>
      <c r="E8" s="33">
        <v>0.33333333333333331</v>
      </c>
      <c r="F8" s="33">
        <v>0.33333333333333331</v>
      </c>
      <c r="G8" s="33">
        <v>0.31060606060606061</v>
      </c>
      <c r="H8" s="33">
        <v>0.16666666666666666</v>
      </c>
      <c r="I8" s="34">
        <v>6395.1219512195121</v>
      </c>
      <c r="J8" s="34">
        <v>-6022.727272727273</v>
      </c>
      <c r="K8" s="33">
        <v>0.2</v>
      </c>
      <c r="L8" s="33">
        <v>0.30303030303030304</v>
      </c>
      <c r="M8" s="33">
        <v>0.18181818181818182</v>
      </c>
      <c r="N8" s="33">
        <v>0.625</v>
      </c>
      <c r="O8" s="33">
        <v>0.41666666666666669</v>
      </c>
      <c r="P8" s="33">
        <v>0.46341463414634149</v>
      </c>
    </row>
    <row r="9" spans="1:17" x14ac:dyDescent="0.45">
      <c r="A9" s="35">
        <v>6</v>
      </c>
      <c r="B9" s="32">
        <v>7.1054273576010019E-15</v>
      </c>
      <c r="C9" s="32">
        <v>3.9474596431116675E-16</v>
      </c>
      <c r="D9" s="37">
        <v>2</v>
      </c>
      <c r="E9" s="33">
        <v>0.33333333333333331</v>
      </c>
      <c r="F9" s="33">
        <v>0.33333333333333331</v>
      </c>
      <c r="G9" s="33">
        <v>0.30718954248366015</v>
      </c>
      <c r="H9" s="33">
        <v>0.16339869281045752</v>
      </c>
      <c r="I9" s="34">
        <v>6834.0425531914898</v>
      </c>
      <c r="J9" s="34">
        <v>-6820</v>
      </c>
      <c r="K9" s="33">
        <v>0.22222222222222221</v>
      </c>
      <c r="L9" s="33">
        <v>0.29411764705882354</v>
      </c>
      <c r="M9" s="33">
        <v>0.19607843137254902</v>
      </c>
      <c r="N9" s="33">
        <v>0.57777777777777772</v>
      </c>
      <c r="O9" s="33">
        <v>0.46666666666666667</v>
      </c>
      <c r="P9" s="33">
        <v>0.46808510638297873</v>
      </c>
    </row>
    <row r="10" spans="1:17" x14ac:dyDescent="0.45">
      <c r="A10" s="35">
        <v>7</v>
      </c>
      <c r="B10" s="32">
        <v>6.2172489379008766E-15</v>
      </c>
      <c r="C10" s="32">
        <v>2.9605947323337506E-16</v>
      </c>
      <c r="D10" s="37">
        <v>2</v>
      </c>
      <c r="E10" s="33">
        <v>0.33333333333333331</v>
      </c>
      <c r="F10" s="33">
        <v>0.33333333333333331</v>
      </c>
      <c r="G10" s="33">
        <v>0.30409356725146197</v>
      </c>
      <c r="H10" s="33">
        <v>0.15789473684210525</v>
      </c>
      <c r="I10" s="34">
        <v>6867.3076923076924</v>
      </c>
      <c r="J10" s="34">
        <v>-6903.7037037037035</v>
      </c>
      <c r="K10" s="33">
        <v>0.19047619047619047</v>
      </c>
      <c r="L10" s="33">
        <v>0.30409356725146197</v>
      </c>
      <c r="M10" s="33">
        <v>0.2046783625730994</v>
      </c>
      <c r="N10" s="33">
        <v>0.57692307692307687</v>
      </c>
      <c r="O10" s="33">
        <v>0.4</v>
      </c>
      <c r="P10" s="33">
        <v>0.48076923076923078</v>
      </c>
    </row>
    <row r="11" spans="1:17" x14ac:dyDescent="0.45">
      <c r="A11" s="35">
        <v>8</v>
      </c>
      <c r="B11" s="32">
        <v>7.1054273576010019E-15</v>
      </c>
      <c r="C11" s="32">
        <v>2.9605947323337506E-16</v>
      </c>
      <c r="D11" s="37">
        <v>2</v>
      </c>
      <c r="E11" s="33">
        <v>0.33333333333333331</v>
      </c>
      <c r="F11" s="33">
        <v>0.33333333333333331</v>
      </c>
      <c r="G11" s="33">
        <v>0.30729166666666669</v>
      </c>
      <c r="H11" s="33">
        <v>0.15104166666666666</v>
      </c>
      <c r="I11" s="34">
        <v>7389.8305084745762</v>
      </c>
      <c r="J11" s="34">
        <v>-7389.6551724137935</v>
      </c>
      <c r="K11" s="33">
        <v>0.20833333333333334</v>
      </c>
      <c r="L11" s="33">
        <v>0.296875</v>
      </c>
      <c r="M11" s="33">
        <v>0.19791666666666666</v>
      </c>
      <c r="N11" s="33">
        <v>0.57894736842105265</v>
      </c>
      <c r="O11" s="33">
        <v>0.42105263157894735</v>
      </c>
      <c r="P11" s="33">
        <v>0.50847457627118642</v>
      </c>
    </row>
    <row r="12" spans="1:17" x14ac:dyDescent="0.45">
      <c r="A12" s="35">
        <v>9</v>
      </c>
      <c r="B12" s="32">
        <v>7.1054273576010019E-15</v>
      </c>
      <c r="C12" s="32">
        <v>2.631639762074445E-16</v>
      </c>
      <c r="D12" s="37">
        <v>2</v>
      </c>
      <c r="E12" s="33">
        <v>0.33333333333333331</v>
      </c>
      <c r="F12" s="33">
        <v>0.33333333333333331</v>
      </c>
      <c r="G12" s="33">
        <v>0.30952380952380953</v>
      </c>
      <c r="H12" s="33">
        <v>0.15714285714285714</v>
      </c>
      <c r="I12" s="34">
        <v>7352.3076923076924</v>
      </c>
      <c r="J12" s="34">
        <v>-7309.090909090909</v>
      </c>
      <c r="K12" s="33">
        <v>0.18518518518518517</v>
      </c>
      <c r="L12" s="33">
        <v>0.2904761904761905</v>
      </c>
      <c r="M12" s="33">
        <v>0.21904761904761905</v>
      </c>
      <c r="N12" s="33">
        <v>0.57377049180327866</v>
      </c>
      <c r="O12" s="33">
        <v>0.43478260869565216</v>
      </c>
      <c r="P12" s="33">
        <v>0.49230769230769234</v>
      </c>
    </row>
    <row r="13" spans="1:17" x14ac:dyDescent="0.45">
      <c r="A13" s="35">
        <v>10</v>
      </c>
      <c r="B13" s="32">
        <v>3.5527136788005009E-15</v>
      </c>
      <c r="C13" s="32">
        <v>1.1842378929335003E-16</v>
      </c>
      <c r="D13" s="37">
        <v>2</v>
      </c>
      <c r="E13" s="33">
        <v>0.33333333333333331</v>
      </c>
      <c r="F13" s="33">
        <v>0.33333333333333331</v>
      </c>
      <c r="G13" s="33">
        <v>0.30864197530864196</v>
      </c>
      <c r="H13" s="33">
        <v>0.16049382716049382</v>
      </c>
      <c r="I13" s="34">
        <v>7362.666666666667</v>
      </c>
      <c r="J13" s="34">
        <v>-7115.3846153846152</v>
      </c>
      <c r="K13" s="33">
        <v>0.16666666666666666</v>
      </c>
      <c r="L13" s="33">
        <v>0.29629629629629628</v>
      </c>
      <c r="M13" s="33">
        <v>0.21810699588477367</v>
      </c>
      <c r="N13" s="33">
        <v>0.58333333333333337</v>
      </c>
      <c r="O13" s="33">
        <v>0.41509433962264153</v>
      </c>
      <c r="P13" s="33">
        <v>0.48</v>
      </c>
    </row>
    <row r="14" spans="1:17" x14ac:dyDescent="0.45">
      <c r="A14" s="35">
        <v>11</v>
      </c>
      <c r="B14" s="32">
        <v>7.1054273576010019E-15</v>
      </c>
      <c r="C14" s="32">
        <v>2.153159805333637E-16</v>
      </c>
      <c r="D14" s="37">
        <v>2</v>
      </c>
      <c r="E14" s="33">
        <v>0.33333333333333331</v>
      </c>
      <c r="F14" s="33">
        <v>0.33333333333333331</v>
      </c>
      <c r="G14" s="33">
        <v>0.30681818181818182</v>
      </c>
      <c r="H14" s="33">
        <v>0.15909090909090909</v>
      </c>
      <c r="I14" s="34">
        <v>7414.8148148148148</v>
      </c>
      <c r="J14" s="34">
        <v>-7140.4761904761908</v>
      </c>
      <c r="K14" s="33">
        <v>0.18181818181818182</v>
      </c>
      <c r="L14" s="33">
        <v>0.2878787878787879</v>
      </c>
      <c r="M14" s="33">
        <v>0.20833333333333334</v>
      </c>
      <c r="N14" s="33">
        <v>0.57894736842105265</v>
      </c>
      <c r="O14" s="33">
        <v>0.41818181818181815</v>
      </c>
      <c r="P14" s="33">
        <v>0.48148148148148145</v>
      </c>
    </row>
    <row r="15" spans="1:17" x14ac:dyDescent="0.45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0.30952380952380953</v>
      </c>
      <c r="H15" s="33">
        <v>0.15306122448979592</v>
      </c>
      <c r="I15" s="34">
        <v>7258.2417582417584</v>
      </c>
      <c r="J15" s="34">
        <v>-7117.7777777777774</v>
      </c>
      <c r="K15" s="33">
        <v>0.16666666666666666</v>
      </c>
      <c r="L15" s="33">
        <v>0.29591836734693877</v>
      </c>
      <c r="M15" s="33">
        <v>0.20748299319727892</v>
      </c>
      <c r="N15" s="33">
        <v>0.57471264367816088</v>
      </c>
      <c r="O15" s="33">
        <v>0.4098360655737705</v>
      </c>
      <c r="P15" s="33">
        <v>0.50549450549450547</v>
      </c>
    </row>
    <row r="16" spans="1:17" x14ac:dyDescent="0.45">
      <c r="A16" s="35">
        <v>13</v>
      </c>
      <c r="B16" s="32">
        <v>7.1054273576010019E-15</v>
      </c>
      <c r="C16" s="32">
        <v>1.8219044506669235E-16</v>
      </c>
      <c r="D16" s="37">
        <v>2</v>
      </c>
      <c r="E16" s="33">
        <v>0.33333333333333331</v>
      </c>
      <c r="F16" s="33">
        <v>0.33333333333333331</v>
      </c>
      <c r="G16" s="33">
        <v>0.30476190476190479</v>
      </c>
      <c r="H16" s="33">
        <v>0.1492063492063492</v>
      </c>
      <c r="I16" s="34">
        <v>7403.125</v>
      </c>
      <c r="J16" s="34">
        <v>-7453.1914893617022</v>
      </c>
      <c r="K16" s="33">
        <v>0.15384615384615385</v>
      </c>
      <c r="L16" s="33">
        <v>0.29523809523809524</v>
      </c>
      <c r="M16" s="33">
        <v>0.19365079365079366</v>
      </c>
      <c r="N16" s="33">
        <v>0.58064516129032262</v>
      </c>
      <c r="O16" s="33">
        <v>0.4098360655737705</v>
      </c>
      <c r="P16" s="33">
        <v>0.51041666666666663</v>
      </c>
    </row>
    <row r="17" spans="1:16" x14ac:dyDescent="0.45">
      <c r="A17" s="35">
        <v>14</v>
      </c>
      <c r="B17" s="32">
        <v>7.9936057773011271E-15</v>
      </c>
      <c r="C17" s="32">
        <v>1.9032394707859825E-16</v>
      </c>
      <c r="D17" s="37">
        <v>2</v>
      </c>
      <c r="E17" s="33">
        <v>0.33333333333333331</v>
      </c>
      <c r="F17" s="33">
        <v>0.33333333333333331</v>
      </c>
      <c r="G17" s="33">
        <v>0.30678466076696165</v>
      </c>
      <c r="H17" s="33">
        <v>0.1415929203539823</v>
      </c>
      <c r="I17" s="34">
        <v>7399.0384615384619</v>
      </c>
      <c r="J17" s="34">
        <v>-7547.916666666667</v>
      </c>
      <c r="K17" s="33">
        <v>0.14285714285714285</v>
      </c>
      <c r="L17" s="33">
        <v>0.2831858407079646</v>
      </c>
      <c r="M17" s="33">
        <v>0.19764011799410031</v>
      </c>
      <c r="N17" s="33">
        <v>0.58333333333333337</v>
      </c>
      <c r="O17" s="33">
        <v>0.41791044776119401</v>
      </c>
      <c r="P17" s="33">
        <v>0.53846153846153844</v>
      </c>
    </row>
    <row r="18" spans="1:16" x14ac:dyDescent="0.45">
      <c r="A18" s="35">
        <v>15</v>
      </c>
      <c r="B18" s="32">
        <v>4.8849813083506888E-15</v>
      </c>
      <c r="C18" s="32">
        <v>1.0855514018557086E-16</v>
      </c>
      <c r="D18" s="37">
        <v>2</v>
      </c>
      <c r="E18" s="33">
        <v>0.33333333333333331</v>
      </c>
      <c r="F18" s="33">
        <v>0.33333333333333331</v>
      </c>
      <c r="G18" s="33">
        <v>0.30578512396694213</v>
      </c>
      <c r="H18" s="33">
        <v>0.14600550964187328</v>
      </c>
      <c r="I18" s="34">
        <v>7274.7747747747744</v>
      </c>
      <c r="J18" s="34">
        <v>-7450.9433962264147</v>
      </c>
      <c r="K18" s="33">
        <v>0.13333333333333333</v>
      </c>
      <c r="L18" s="33">
        <v>0.27272727272727271</v>
      </c>
      <c r="M18" s="33">
        <v>0.19834710743801653</v>
      </c>
      <c r="N18" s="33">
        <v>0.58585858585858586</v>
      </c>
      <c r="O18" s="33">
        <v>0.43055555555555558</v>
      </c>
      <c r="P18" s="33">
        <v>0.52252252252252251</v>
      </c>
    </row>
    <row r="19" spans="1:16" x14ac:dyDescent="0.45">
      <c r="A19" s="35">
        <v>16</v>
      </c>
      <c r="B19" s="32">
        <v>0</v>
      </c>
      <c r="C19" s="32">
        <v>0</v>
      </c>
      <c r="D19" s="37">
        <v>2</v>
      </c>
      <c r="E19" s="33">
        <v>0.33333333333333331</v>
      </c>
      <c r="F19" s="33">
        <v>0.33333333333333331</v>
      </c>
      <c r="G19" s="33">
        <v>0.30687830687830686</v>
      </c>
      <c r="H19" s="33">
        <v>0.15079365079365079</v>
      </c>
      <c r="I19" s="34">
        <v>7311.2068965517237</v>
      </c>
      <c r="J19" s="34">
        <v>-7482.4561403508769</v>
      </c>
      <c r="K19" s="33">
        <v>0.14583333333333334</v>
      </c>
      <c r="L19" s="33">
        <v>0.27777777777777779</v>
      </c>
      <c r="M19" s="33">
        <v>0.20105820105820105</v>
      </c>
      <c r="N19" s="33">
        <v>0.580952380952381</v>
      </c>
      <c r="O19" s="33">
        <v>0.43421052631578949</v>
      </c>
      <c r="P19" s="33">
        <v>0.50862068965517238</v>
      </c>
    </row>
    <row r="20" spans="1:16" x14ac:dyDescent="0.45">
      <c r="A20" s="35">
        <v>17</v>
      </c>
      <c r="B20" s="32">
        <v>0</v>
      </c>
      <c r="C20" s="32">
        <v>0</v>
      </c>
      <c r="D20" s="37">
        <v>2</v>
      </c>
      <c r="E20" s="33">
        <v>0.33333333333333331</v>
      </c>
      <c r="F20" s="33">
        <v>0.33333333333333331</v>
      </c>
      <c r="G20" s="33">
        <v>0.30864197530864196</v>
      </c>
      <c r="H20" s="33">
        <v>0.1506172839506173</v>
      </c>
      <c r="I20" s="34">
        <v>7416</v>
      </c>
      <c r="J20" s="34">
        <v>-7383.6065573770493</v>
      </c>
      <c r="K20" s="33">
        <v>0.13725490196078433</v>
      </c>
      <c r="L20" s="33">
        <v>0.2814814814814815</v>
      </c>
      <c r="M20" s="33">
        <v>0.19753086419753085</v>
      </c>
      <c r="N20" s="33">
        <v>0.59649122807017541</v>
      </c>
      <c r="O20" s="33">
        <v>0.42499999999999999</v>
      </c>
      <c r="P20" s="33">
        <v>0.51200000000000001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0.30769230769230771</v>
      </c>
      <c r="H21" s="33">
        <v>0.1585081585081585</v>
      </c>
      <c r="I21" s="34">
        <v>7359.848484848485</v>
      </c>
      <c r="J21" s="34">
        <v>-7277.9411764705883</v>
      </c>
      <c r="K21" s="33">
        <v>0.12962962962962962</v>
      </c>
      <c r="L21" s="33">
        <v>0.27738927738927738</v>
      </c>
      <c r="M21" s="33">
        <v>0.20046620046620048</v>
      </c>
      <c r="N21" s="33">
        <v>0.58823529411764708</v>
      </c>
      <c r="O21" s="33">
        <v>0.41860465116279072</v>
      </c>
      <c r="P21" s="33">
        <v>0.48484848484848486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0.30425055928411632</v>
      </c>
      <c r="H22" s="33">
        <v>0.15883668903803133</v>
      </c>
      <c r="I22" s="34">
        <v>7319.1176470588234</v>
      </c>
      <c r="J22" s="34">
        <v>-7264.788732394366</v>
      </c>
      <c r="K22" s="33">
        <v>0.12280701754385964</v>
      </c>
      <c r="L22" s="33">
        <v>0.27516778523489932</v>
      </c>
      <c r="M22" s="33">
        <v>0.19910514541387025</v>
      </c>
      <c r="N22" s="33">
        <v>0.5934959349593496</v>
      </c>
      <c r="O22" s="33">
        <v>0.4157303370786517</v>
      </c>
      <c r="P22" s="33">
        <v>0.47794117647058826</v>
      </c>
    </row>
    <row r="23" spans="1:16" x14ac:dyDescent="0.45">
      <c r="A23" s="35">
        <v>20</v>
      </c>
      <c r="B23" s="32">
        <v>0</v>
      </c>
      <c r="C23" s="32">
        <v>0</v>
      </c>
      <c r="D23" s="37">
        <v>2</v>
      </c>
      <c r="E23" s="33">
        <v>0.33333333333333331</v>
      </c>
      <c r="F23" s="33">
        <v>0.33333333333333331</v>
      </c>
      <c r="G23" s="33">
        <v>0.30379746835443039</v>
      </c>
      <c r="H23" s="33">
        <v>0.16033755274261605</v>
      </c>
      <c r="I23" s="34">
        <v>7331.9444444444443</v>
      </c>
      <c r="J23" s="34">
        <v>-7331.5789473684208</v>
      </c>
      <c r="K23" s="33">
        <v>0.11666666666666667</v>
      </c>
      <c r="L23" s="33">
        <v>0.28059071729957807</v>
      </c>
      <c r="M23" s="33">
        <v>0.19620253164556961</v>
      </c>
      <c r="N23" s="33">
        <v>0.5864661654135338</v>
      </c>
      <c r="O23" s="33">
        <v>0.41935483870967744</v>
      </c>
      <c r="P23" s="33">
        <v>0.47222222222222221</v>
      </c>
    </row>
    <row r="24" spans="1:16" x14ac:dyDescent="0.45">
      <c r="A24" s="35">
        <v>21</v>
      </c>
      <c r="B24" s="32">
        <v>0</v>
      </c>
      <c r="C24" s="32">
        <v>0</v>
      </c>
      <c r="D24" s="37">
        <v>2</v>
      </c>
      <c r="E24" s="33">
        <v>0.33333333333333331</v>
      </c>
      <c r="F24" s="33">
        <v>0.33333333333333331</v>
      </c>
      <c r="G24" s="33">
        <v>0.30120481927710846</v>
      </c>
      <c r="H24" s="33">
        <v>0.1606425702811245</v>
      </c>
      <c r="I24" s="34">
        <v>7308</v>
      </c>
      <c r="J24" s="34">
        <v>-7207.5</v>
      </c>
      <c r="K24" s="33">
        <v>0.1111111111111111</v>
      </c>
      <c r="L24" s="33">
        <v>0.27309236947791166</v>
      </c>
      <c r="M24" s="33">
        <v>0.19277108433734941</v>
      </c>
      <c r="N24" s="33">
        <v>0.58823529411764708</v>
      </c>
      <c r="O24" s="33">
        <v>0.42708333333333331</v>
      </c>
      <c r="P24" s="33">
        <v>0.46666666666666667</v>
      </c>
    </row>
    <row r="25" spans="1:16" x14ac:dyDescent="0.45">
      <c r="A25" s="35">
        <v>22</v>
      </c>
      <c r="B25" s="32">
        <v>-7.1054273576010019E-15</v>
      </c>
      <c r="C25" s="32">
        <v>-1.0765799026668185E-16</v>
      </c>
      <c r="D25" s="37">
        <v>2</v>
      </c>
      <c r="E25" s="33">
        <v>0.33333333333333331</v>
      </c>
      <c r="F25" s="33">
        <v>0.33333333333333331</v>
      </c>
      <c r="G25" s="33">
        <v>0.30268199233716475</v>
      </c>
      <c r="H25" s="33">
        <v>0.16283524904214558</v>
      </c>
      <c r="I25" s="34">
        <v>7274.0506329113923</v>
      </c>
      <c r="J25" s="34">
        <v>-7064.7058823529414</v>
      </c>
      <c r="K25" s="33">
        <v>0.12121212121212122</v>
      </c>
      <c r="L25" s="33">
        <v>0.27586206896551724</v>
      </c>
      <c r="M25" s="33">
        <v>0.18965517241379309</v>
      </c>
      <c r="N25" s="33">
        <v>0.59027777777777779</v>
      </c>
      <c r="O25" s="33">
        <v>0.43434343434343436</v>
      </c>
      <c r="P25" s="33">
        <v>0.46202531645569622</v>
      </c>
    </row>
    <row r="26" spans="1:16" x14ac:dyDescent="0.45">
      <c r="A26" s="35">
        <v>23</v>
      </c>
      <c r="B26" s="32">
        <v>-7.1054273576010019E-15</v>
      </c>
      <c r="C26" s="32">
        <v>-1.0297720808117394E-16</v>
      </c>
      <c r="D26" s="37">
        <v>2</v>
      </c>
      <c r="E26" s="33">
        <v>0.33333333333333331</v>
      </c>
      <c r="F26" s="33">
        <v>0.33333333333333331</v>
      </c>
      <c r="G26" s="33">
        <v>0.29928315412186379</v>
      </c>
      <c r="H26" s="33">
        <v>0.15770609318996415</v>
      </c>
      <c r="I26" s="34">
        <v>7180.8383233532932</v>
      </c>
      <c r="J26" s="34">
        <v>-6946.590909090909</v>
      </c>
      <c r="K26" s="33">
        <v>0.11594202898550725</v>
      </c>
      <c r="L26" s="33">
        <v>0.27060931899641577</v>
      </c>
      <c r="M26" s="33">
        <v>0.19354838709677419</v>
      </c>
      <c r="N26" s="33">
        <v>0.58940397350993379</v>
      </c>
      <c r="O26" s="33">
        <v>0.40740740740740738</v>
      </c>
      <c r="P26" s="33">
        <v>0.47305389221556887</v>
      </c>
    </row>
    <row r="27" spans="1:16" x14ac:dyDescent="0.45">
      <c r="A27" s="35">
        <v>24</v>
      </c>
      <c r="B27" s="32">
        <v>-5.9952043329758453E-15</v>
      </c>
      <c r="C27" s="32">
        <v>-8.3266726846886741E-17</v>
      </c>
      <c r="D27" s="37">
        <v>2</v>
      </c>
      <c r="E27" s="33">
        <v>0.33333333333333331</v>
      </c>
      <c r="F27" s="33">
        <v>0.33333333333333331</v>
      </c>
      <c r="G27" s="33">
        <v>0.29949238578680204</v>
      </c>
      <c r="H27" s="33">
        <v>0.15228426395939088</v>
      </c>
      <c r="I27" s="34">
        <v>7152.5423728813557</v>
      </c>
      <c r="J27" s="34">
        <v>-6935.5555555555557</v>
      </c>
      <c r="K27" s="33">
        <v>0.1111111111111111</v>
      </c>
      <c r="L27" s="33">
        <v>0.27241962774957701</v>
      </c>
      <c r="M27" s="33">
        <v>0.1895093062605753</v>
      </c>
      <c r="N27" s="33">
        <v>0.58385093167701863</v>
      </c>
      <c r="O27" s="33">
        <v>0.4107142857142857</v>
      </c>
      <c r="P27" s="33">
        <v>0.49152542372881358</v>
      </c>
    </row>
    <row r="28" spans="1:16" x14ac:dyDescent="0.45">
      <c r="A28" s="35">
        <v>25</v>
      </c>
      <c r="B28" s="32">
        <v>-7.1054273576010019E-15</v>
      </c>
      <c r="C28" s="32">
        <v>-9.4739031434680031E-17</v>
      </c>
      <c r="D28" s="37">
        <v>2</v>
      </c>
      <c r="E28" s="33">
        <v>0.33333333333333331</v>
      </c>
      <c r="F28" s="33">
        <v>0.33333333333333331</v>
      </c>
      <c r="G28" s="33">
        <v>0.30065359477124182</v>
      </c>
      <c r="H28" s="33">
        <v>0.15359477124183007</v>
      </c>
      <c r="I28" s="34">
        <v>7138.586956521739</v>
      </c>
      <c r="J28" s="34">
        <v>-6837.2340425531911</v>
      </c>
      <c r="K28" s="33">
        <v>0.10666666666666667</v>
      </c>
      <c r="L28" s="33">
        <v>0.27941176470588236</v>
      </c>
      <c r="M28" s="33">
        <v>0.18954248366013071</v>
      </c>
      <c r="N28" s="33">
        <v>0.58479532163742687</v>
      </c>
      <c r="O28" s="33">
        <v>0.40517241379310343</v>
      </c>
      <c r="P28" s="33">
        <v>0.4891304347826087</v>
      </c>
    </row>
    <row r="29" spans="1:16" x14ac:dyDescent="0.45">
      <c r="A29" s="35">
        <v>26</v>
      </c>
      <c r="B29" s="32">
        <v>-7.1054273576010019E-15</v>
      </c>
      <c r="C29" s="32">
        <v>-9.1095222533346175E-17</v>
      </c>
      <c r="D29" s="37">
        <v>2</v>
      </c>
      <c r="E29" s="33">
        <v>0.33333333333333331</v>
      </c>
      <c r="F29" s="33">
        <v>0.33333333333333331</v>
      </c>
      <c r="G29" s="33">
        <v>0.30128205128205127</v>
      </c>
      <c r="H29" s="33">
        <v>0.15384615384615385</v>
      </c>
      <c r="I29" s="34">
        <v>7168.6170212765956</v>
      </c>
      <c r="J29" s="34">
        <v>-6832.291666666667</v>
      </c>
      <c r="K29" s="33">
        <v>0.11538461538461539</v>
      </c>
      <c r="L29" s="33">
        <v>0.27884615384615385</v>
      </c>
      <c r="M29" s="33">
        <v>0.19230769230769232</v>
      </c>
      <c r="N29" s="33">
        <v>0.58620689655172409</v>
      </c>
      <c r="O29" s="33">
        <v>0.40833333333333333</v>
      </c>
      <c r="P29" s="33">
        <v>0.48936170212765956</v>
      </c>
    </row>
    <row r="30" spans="1:16" x14ac:dyDescent="0.45">
      <c r="A30" s="35">
        <v>27</v>
      </c>
      <c r="B30" s="32">
        <v>-7.1054273576010019E-15</v>
      </c>
      <c r="C30" s="32">
        <v>-8.77213254024815E-17</v>
      </c>
      <c r="D30" s="37">
        <v>2</v>
      </c>
      <c r="E30" s="33">
        <v>0.33333333333333331</v>
      </c>
      <c r="F30" s="33">
        <v>0.33333333333333331</v>
      </c>
      <c r="G30" s="33">
        <v>0.29938271604938271</v>
      </c>
      <c r="H30" s="33">
        <v>0.15123456790123457</v>
      </c>
      <c r="I30" s="34">
        <v>7245.8762886597942</v>
      </c>
      <c r="J30" s="34">
        <v>-6876.5306122448983</v>
      </c>
      <c r="K30" s="33">
        <v>0.12345679012345678</v>
      </c>
      <c r="L30" s="33">
        <v>0.28086419753086422</v>
      </c>
      <c r="M30" s="33">
        <v>0.18672839506172839</v>
      </c>
      <c r="N30" s="33">
        <v>0.58791208791208793</v>
      </c>
      <c r="O30" s="33">
        <v>0.41322314049586778</v>
      </c>
      <c r="P30" s="33">
        <v>0.49484536082474229</v>
      </c>
    </row>
    <row r="31" spans="1:16" x14ac:dyDescent="0.45">
      <c r="A31" s="35">
        <v>28</v>
      </c>
      <c r="B31" s="32">
        <v>-7.1054273576010019E-15</v>
      </c>
      <c r="C31" s="32">
        <v>-8.4588420923821446E-17</v>
      </c>
      <c r="D31" s="37">
        <v>2</v>
      </c>
      <c r="E31" s="33">
        <v>0.33333333333333331</v>
      </c>
      <c r="F31" s="33">
        <v>0.33333333333333331</v>
      </c>
      <c r="G31" s="33">
        <v>0.29793510324483774</v>
      </c>
      <c r="H31" s="33">
        <v>0.15339233038348082</v>
      </c>
      <c r="I31" s="34">
        <v>7113.8613861386139</v>
      </c>
      <c r="J31" s="34">
        <v>-6675</v>
      </c>
      <c r="K31" s="33">
        <v>0.11904761904761904</v>
      </c>
      <c r="L31" s="33">
        <v>0.28023598820058998</v>
      </c>
      <c r="M31" s="33">
        <v>0.18436578171091444</v>
      </c>
      <c r="N31" s="33">
        <v>0.58421052631578951</v>
      </c>
      <c r="O31" s="33">
        <v>0.41599999999999998</v>
      </c>
      <c r="P31" s="33">
        <v>0.48514851485148514</v>
      </c>
    </row>
    <row r="32" spans="1:16" x14ac:dyDescent="0.45">
      <c r="A32" s="35">
        <v>29</v>
      </c>
      <c r="B32" s="32">
        <v>-7.1054273576010019E-15</v>
      </c>
      <c r="C32" s="32">
        <v>-8.167157882300002E-17</v>
      </c>
      <c r="D32" s="37">
        <v>2</v>
      </c>
      <c r="E32" s="33">
        <v>0.33333333333333331</v>
      </c>
      <c r="F32" s="33">
        <v>0.33333333333333331</v>
      </c>
      <c r="G32" s="33">
        <v>0.29899856938483549</v>
      </c>
      <c r="H32" s="33">
        <v>0.15593705293276108</v>
      </c>
      <c r="I32" s="34">
        <v>7215.3110047846894</v>
      </c>
      <c r="J32" s="34">
        <v>-6827.5229357798162</v>
      </c>
      <c r="K32" s="33">
        <v>0.12643678160919541</v>
      </c>
      <c r="L32" s="33">
        <v>0.27753934191702434</v>
      </c>
      <c r="M32" s="33">
        <v>0.18168812589413447</v>
      </c>
      <c r="N32" s="33">
        <v>0.58762886597938147</v>
      </c>
      <c r="O32" s="33">
        <v>0.41732283464566927</v>
      </c>
      <c r="P32" s="33">
        <v>0.4784688995215311</v>
      </c>
    </row>
    <row r="33" spans="1:16" x14ac:dyDescent="0.45">
      <c r="A33" s="35">
        <v>30</v>
      </c>
      <c r="B33" s="32">
        <v>-7.1054273576010019E-15</v>
      </c>
      <c r="C33" s="32">
        <v>-7.8949192862233357E-17</v>
      </c>
      <c r="D33" s="37">
        <v>2</v>
      </c>
      <c r="E33" s="33">
        <v>0.33333333333333331</v>
      </c>
      <c r="F33" s="33">
        <v>0.33333333333333331</v>
      </c>
      <c r="G33" s="33">
        <v>0.30013831258644535</v>
      </c>
      <c r="H33" s="33">
        <v>0.15491009681881052</v>
      </c>
      <c r="I33" s="34">
        <v>7179.2626728110599</v>
      </c>
      <c r="J33" s="34">
        <v>-6808.0357142857147</v>
      </c>
      <c r="K33" s="33">
        <v>0.12222222222222222</v>
      </c>
      <c r="L33" s="33">
        <v>0.27939142461964039</v>
      </c>
      <c r="M33" s="33">
        <v>0.18257261410788381</v>
      </c>
      <c r="N33" s="33">
        <v>0.59405940594059403</v>
      </c>
      <c r="O33" s="33">
        <v>0.40909090909090912</v>
      </c>
      <c r="P33" s="33">
        <v>0.4838709677419355</v>
      </c>
    </row>
    <row r="34" spans="1:16" x14ac:dyDescent="0.45">
      <c r="A34" s="35">
        <v>31</v>
      </c>
      <c r="B34" s="32">
        <v>-7.1054273576010019E-15</v>
      </c>
      <c r="C34" s="32">
        <v>-7.6402444705387123E-17</v>
      </c>
      <c r="D34" s="37">
        <v>2</v>
      </c>
      <c r="E34" s="33">
        <v>0.33333333333333331</v>
      </c>
      <c r="F34" s="33">
        <v>0.33333333333333331</v>
      </c>
      <c r="G34" s="33">
        <v>0.29880478087649404</v>
      </c>
      <c r="H34" s="33">
        <v>0.15139442231075698</v>
      </c>
      <c r="I34" s="34">
        <v>7096.8888888888887</v>
      </c>
      <c r="J34" s="34">
        <v>-6719.2982456140353</v>
      </c>
      <c r="K34" s="33">
        <v>0.11827956989247312</v>
      </c>
      <c r="L34" s="33">
        <v>0.2815405046480744</v>
      </c>
      <c r="M34" s="33">
        <v>0.18061088977423639</v>
      </c>
      <c r="N34" s="33">
        <v>0.59433962264150941</v>
      </c>
      <c r="O34" s="33">
        <v>0.41176470588235292</v>
      </c>
      <c r="P34" s="33">
        <v>0.49333333333333335</v>
      </c>
    </row>
    <row r="35" spans="1:16" x14ac:dyDescent="0.45">
      <c r="A35" s="35">
        <v>32</v>
      </c>
      <c r="B35" s="32">
        <v>-7.1054273576010019E-15</v>
      </c>
      <c r="C35" s="32">
        <v>-7.4014868308343765E-17</v>
      </c>
      <c r="D35" s="37">
        <v>2</v>
      </c>
      <c r="E35" s="33">
        <v>0.33333333333333331</v>
      </c>
      <c r="F35" s="33">
        <v>0.33333333333333331</v>
      </c>
      <c r="G35" s="33">
        <v>0.29921259842519687</v>
      </c>
      <c r="H35" s="33">
        <v>0.15223097112860892</v>
      </c>
      <c r="I35" s="34">
        <v>7130.7017543859647</v>
      </c>
      <c r="J35" s="34">
        <v>-6775.8620689655172</v>
      </c>
      <c r="K35" s="33">
        <v>0.125</v>
      </c>
      <c r="L35" s="33">
        <v>0.28346456692913385</v>
      </c>
      <c r="M35" s="33">
        <v>0.17979002624671916</v>
      </c>
      <c r="N35" s="33">
        <v>0.59259259259259256</v>
      </c>
      <c r="O35" s="33">
        <v>0.41605839416058393</v>
      </c>
      <c r="P35" s="33">
        <v>0.49122807017543857</v>
      </c>
    </row>
    <row r="36" spans="1:16" x14ac:dyDescent="0.45">
      <c r="A36" s="35">
        <v>33</v>
      </c>
      <c r="B36" s="32">
        <v>-3.5527136788005009E-15</v>
      </c>
      <c r="C36" s="32">
        <v>-3.5885996755560618E-17</v>
      </c>
      <c r="D36" s="37">
        <v>2</v>
      </c>
      <c r="E36" s="33">
        <v>0.33333333333333331</v>
      </c>
      <c r="F36" s="33">
        <v>0.33333333333333331</v>
      </c>
      <c r="G36" s="33">
        <v>0.3005050505050505</v>
      </c>
      <c r="H36" s="33">
        <v>0.15404040404040403</v>
      </c>
      <c r="I36" s="34">
        <v>7123.5294117647063</v>
      </c>
      <c r="J36" s="34">
        <v>-6782.7868852459014</v>
      </c>
      <c r="K36" s="33">
        <v>0.12121212121212122</v>
      </c>
      <c r="L36" s="33">
        <v>0.28156565656565657</v>
      </c>
      <c r="M36" s="33">
        <v>0.18308080808080809</v>
      </c>
      <c r="N36" s="33">
        <v>0.58744394618834084</v>
      </c>
      <c r="O36" s="33">
        <v>0.4206896551724138</v>
      </c>
      <c r="P36" s="33">
        <v>0.48739495798319327</v>
      </c>
    </row>
    <row r="37" spans="1:16" x14ac:dyDescent="0.45">
      <c r="A37" s="35">
        <v>34</v>
      </c>
      <c r="B37" s="32">
        <v>-3.5527136788005009E-15</v>
      </c>
      <c r="C37" s="32">
        <v>-3.4830526262750009E-17</v>
      </c>
      <c r="D37" s="37">
        <v>2</v>
      </c>
      <c r="E37" s="33">
        <v>0.33333333333333331</v>
      </c>
      <c r="F37" s="33">
        <v>0.33333333333333331</v>
      </c>
      <c r="G37" s="33">
        <v>0.3006060606060606</v>
      </c>
      <c r="H37" s="33">
        <v>0.15272727272727274</v>
      </c>
      <c r="I37" s="34">
        <v>7124.5967741935483</v>
      </c>
      <c r="J37" s="34">
        <v>-6797.6190476190477</v>
      </c>
      <c r="K37" s="33">
        <v>0.11764705882352941</v>
      </c>
      <c r="L37" s="33">
        <v>0.28000000000000003</v>
      </c>
      <c r="M37" s="33">
        <v>0.18424242424242424</v>
      </c>
      <c r="N37" s="33">
        <v>0.58441558441558439</v>
      </c>
      <c r="O37" s="33">
        <v>0.42763157894736842</v>
      </c>
      <c r="P37" s="33">
        <v>0.49193548387096775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0.29941520467836258</v>
      </c>
      <c r="H38" s="33">
        <v>0.15321637426900586</v>
      </c>
      <c r="I38" s="34">
        <v>7084.765625</v>
      </c>
      <c r="J38" s="34">
        <v>-6750.3816793893129</v>
      </c>
      <c r="K38" s="33">
        <v>0.11428571428571428</v>
      </c>
      <c r="L38" s="33">
        <v>0.27953216374269008</v>
      </c>
      <c r="M38" s="33">
        <v>0.18128654970760233</v>
      </c>
      <c r="N38" s="33">
        <v>0.58158995815899583</v>
      </c>
      <c r="O38" s="33">
        <v>0.4258064516129032</v>
      </c>
      <c r="P38" s="33">
        <v>0.48828125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0.29865771812080538</v>
      </c>
      <c r="H39" s="33">
        <v>0.15212527964205816</v>
      </c>
      <c r="I39" s="34">
        <v>7100</v>
      </c>
      <c r="J39" s="34">
        <v>-6759.5588235294117</v>
      </c>
      <c r="K39" s="33">
        <v>0.1111111111111111</v>
      </c>
      <c r="L39" s="33">
        <v>0.2796420581655481</v>
      </c>
      <c r="M39" s="33">
        <v>0.18232662192393737</v>
      </c>
      <c r="N39" s="33">
        <v>0.58399999999999996</v>
      </c>
      <c r="O39" s="33">
        <v>0.42331288343558282</v>
      </c>
      <c r="P39" s="33">
        <v>0.49063670411985016</v>
      </c>
    </row>
    <row r="40" spans="1:16" x14ac:dyDescent="0.45">
      <c r="A40" s="35">
        <v>37</v>
      </c>
      <c r="B40" s="32">
        <v>-7.1054273576010019E-15</v>
      </c>
      <c r="C40" s="32">
        <v>-6.4012859077486503E-17</v>
      </c>
      <c r="D40" s="37">
        <v>2</v>
      </c>
      <c r="E40" s="33">
        <v>0.33333333333333331</v>
      </c>
      <c r="F40" s="33">
        <v>0.33333333333333331</v>
      </c>
      <c r="G40" s="33">
        <v>0.29934210526315791</v>
      </c>
      <c r="H40" s="33">
        <v>0.15131578947368421</v>
      </c>
      <c r="I40" s="34">
        <v>7079.4871794871797</v>
      </c>
      <c r="J40" s="34">
        <v>-6741.304347826087</v>
      </c>
      <c r="K40" s="33">
        <v>0.11711711711711711</v>
      </c>
      <c r="L40" s="33">
        <v>0.27850877192982454</v>
      </c>
      <c r="M40" s="33">
        <v>0.18311403508771928</v>
      </c>
      <c r="N40" s="33">
        <v>0.58267716535433067</v>
      </c>
      <c r="O40" s="33">
        <v>0.41916167664670656</v>
      </c>
      <c r="P40" s="33">
        <v>0.49450549450549453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0.3</v>
      </c>
      <c r="H41" s="33">
        <v>0.15161290322580645</v>
      </c>
      <c r="I41" s="34">
        <v>7059.8566308243726</v>
      </c>
      <c r="J41" s="34">
        <v>-6690.0709219858154</v>
      </c>
      <c r="K41" s="33">
        <v>0.11403508771929824</v>
      </c>
      <c r="L41" s="33">
        <v>0.28279569892473116</v>
      </c>
      <c r="M41" s="33">
        <v>0.18064516129032257</v>
      </c>
      <c r="N41" s="33">
        <v>0.58174904942965777</v>
      </c>
      <c r="O41" s="33">
        <v>0.41666666666666669</v>
      </c>
      <c r="P41" s="33">
        <v>0.4946236559139785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0.3</v>
      </c>
      <c r="H42" s="33">
        <v>0.15104166666666666</v>
      </c>
      <c r="I42" s="34">
        <v>7085.416666666667</v>
      </c>
      <c r="J42" s="34">
        <v>-6704.8275862068967</v>
      </c>
      <c r="K42" s="33">
        <v>0.1111111111111111</v>
      </c>
      <c r="L42" s="33">
        <v>0.28541666666666665</v>
      </c>
      <c r="M42" s="33">
        <v>0.18229166666666666</v>
      </c>
      <c r="N42" s="33">
        <v>0.58029197080291972</v>
      </c>
      <c r="O42" s="33">
        <v>0.41714285714285715</v>
      </c>
      <c r="P42" s="33">
        <v>0.49652777777777779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310</vt:i4>
      </vt:variant>
    </vt:vector>
  </HeadingPairs>
  <TitlesOfParts>
    <vt:vector size="338" baseType="lpstr">
      <vt:lpstr>Cache</vt:lpstr>
      <vt:lpstr>Template2</vt:lpstr>
      <vt:lpstr>Players</vt:lpstr>
      <vt:lpstr>Template1</vt:lpstr>
      <vt:lpstr>ランキング</vt:lpstr>
      <vt:lpstr>全体</vt:lpstr>
      <vt:lpstr>パパ</vt:lpstr>
      <vt:lpstr>だいち</vt:lpstr>
      <vt:lpstr>あやめ</vt:lpstr>
      <vt:lpstr>あやめ2</vt:lpstr>
      <vt:lpstr>だいち2</vt:lpstr>
      <vt:lpstr>パパ2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あやめ!アガリ数</vt:lpstr>
      <vt:lpstr>だいち!アガリ数</vt:lpstr>
      <vt:lpstr>パパ!アガリ数</vt:lpstr>
      <vt:lpstr>全体!アガリ数</vt:lpstr>
      <vt:lpstr>Template1!アガリ率</vt:lpstr>
      <vt:lpstr>あやめ!アガリ率</vt:lpstr>
      <vt:lpstr>だいち!アガリ率</vt:lpstr>
      <vt:lpstr>パパ!アガリ率</vt:lpstr>
      <vt:lpstr>全体!アガリ率</vt:lpstr>
      <vt:lpstr>Template1!ダマアガリ数</vt:lpstr>
      <vt:lpstr>あやめ!ダマアガリ数</vt:lpstr>
      <vt:lpstr>だいち!ダマアガリ数</vt:lpstr>
      <vt:lpstr>パパ!ダマアガリ数</vt:lpstr>
      <vt:lpstr>全体!ダマアガリ数</vt:lpstr>
      <vt:lpstr>Template1!ダマアガリ率</vt:lpstr>
      <vt:lpstr>あやめ!ダマアガリ率</vt:lpstr>
      <vt:lpstr>だいち!ダマアガリ率</vt:lpstr>
      <vt:lpstr>パパ!ダマアガリ率</vt:lpstr>
      <vt:lpstr>全体!ダマアガリ率</vt:lpstr>
      <vt:lpstr>Template1!チョンボ数</vt:lpstr>
      <vt:lpstr>あやめ!チョンボ数</vt:lpstr>
      <vt:lpstr>だいち!チョンボ数</vt:lpstr>
      <vt:lpstr>パパ!チョンボ数</vt:lpstr>
      <vt:lpstr>全体!チョンボ数</vt:lpstr>
      <vt:lpstr>Template1!チョンボ率</vt:lpstr>
      <vt:lpstr>あやめ!チョンボ率</vt:lpstr>
      <vt:lpstr>だいち!チョンボ率</vt:lpstr>
      <vt:lpstr>パパ!チョンボ率</vt:lpstr>
      <vt:lpstr>全体!チョンボ率</vt:lpstr>
      <vt:lpstr>Template1!ツモ数</vt:lpstr>
      <vt:lpstr>あやめ!ツモ数</vt:lpstr>
      <vt:lpstr>だいち!ツモ数</vt:lpstr>
      <vt:lpstr>パパ!ツモ数</vt:lpstr>
      <vt:lpstr>全体!ツモ数</vt:lpstr>
      <vt:lpstr>Template1!ツモ率</vt:lpstr>
      <vt:lpstr>あやめ!ツモ率</vt:lpstr>
      <vt:lpstr>だいち!ツモ率</vt:lpstr>
      <vt:lpstr>パパ!ツモ率</vt:lpstr>
      <vt:lpstr>全体!ツモ率</vt:lpstr>
      <vt:lpstr>Template1!トップ数</vt:lpstr>
      <vt:lpstr>あやめ!トップ数</vt:lpstr>
      <vt:lpstr>だいち!トップ数</vt:lpstr>
      <vt:lpstr>パパ!トップ数</vt:lpstr>
      <vt:lpstr>全体!トップ数</vt:lpstr>
      <vt:lpstr>Template1!トップ率</vt:lpstr>
      <vt:lpstr>あやめ!トップ率</vt:lpstr>
      <vt:lpstr>だいち!トップ率</vt:lpstr>
      <vt:lpstr>パパ!トップ率</vt:lpstr>
      <vt:lpstr>全体!トップ率</vt:lpstr>
      <vt:lpstr>あやめ!バランス</vt:lpstr>
      <vt:lpstr>だいち!バランス</vt:lpstr>
      <vt:lpstr>パパ!バランス</vt:lpstr>
      <vt:lpstr>全体!バランス</vt:lpstr>
      <vt:lpstr>バランス</vt:lpstr>
      <vt:lpstr>Template1!ふっとび数</vt:lpstr>
      <vt:lpstr>あやめ!ふっとび数</vt:lpstr>
      <vt:lpstr>だいち!ふっとび数</vt:lpstr>
      <vt:lpstr>パパ!ふっとび数</vt:lpstr>
      <vt:lpstr>全体!ふっとび数</vt:lpstr>
      <vt:lpstr>Template1!ふっとび率</vt:lpstr>
      <vt:lpstr>あやめ!ふっとび率</vt:lpstr>
      <vt:lpstr>だいち!ふっとび率</vt:lpstr>
      <vt:lpstr>パパ!ふっとび率</vt:lpstr>
      <vt:lpstr>全体!ふっとび率</vt:lpstr>
      <vt:lpstr>Template1!ラス数</vt:lpstr>
      <vt:lpstr>あやめ!ラス数</vt:lpstr>
      <vt:lpstr>だいち!ラス数</vt:lpstr>
      <vt:lpstr>パパ!ラス数</vt:lpstr>
      <vt:lpstr>全体!ラス数</vt:lpstr>
      <vt:lpstr>Template1!ラス率</vt:lpstr>
      <vt:lpstr>あやめ!ラス率</vt:lpstr>
      <vt:lpstr>だいち!ラス率</vt:lpstr>
      <vt:lpstr>パパ!ラス率</vt:lpstr>
      <vt:lpstr>全体!ラス率</vt:lpstr>
      <vt:lpstr>Template1!リーチアガリ数</vt:lpstr>
      <vt:lpstr>あやめ!リーチアガリ数</vt:lpstr>
      <vt:lpstr>だいち!リーチアガリ数</vt:lpstr>
      <vt:lpstr>パパ!リーチアガリ数</vt:lpstr>
      <vt:lpstr>全体!リーチアガリ数</vt:lpstr>
      <vt:lpstr>Template1!リーチアガリ率</vt:lpstr>
      <vt:lpstr>あやめ!リーチアガリ率</vt:lpstr>
      <vt:lpstr>だいち!リーチアガリ率</vt:lpstr>
      <vt:lpstr>パパ!リーチアガリ率</vt:lpstr>
      <vt:lpstr>全体!リーチアガリ率</vt:lpstr>
      <vt:lpstr>Template1!リーチ数</vt:lpstr>
      <vt:lpstr>あやめ!リーチ数</vt:lpstr>
      <vt:lpstr>だいち!リーチ数</vt:lpstr>
      <vt:lpstr>パパ!リーチ数</vt:lpstr>
      <vt:lpstr>全体!リーチ数</vt:lpstr>
      <vt:lpstr>Template1!リーチ成功数</vt:lpstr>
      <vt:lpstr>あやめ!リーチ成功数</vt:lpstr>
      <vt:lpstr>だいち!リーチ成功数</vt:lpstr>
      <vt:lpstr>パパ!リーチ成功数</vt:lpstr>
      <vt:lpstr>全体!リーチ成功数</vt:lpstr>
      <vt:lpstr>Template1!リーチ成功率</vt:lpstr>
      <vt:lpstr>あやめ!リーチ成功率</vt:lpstr>
      <vt:lpstr>だいち!リーチ成功率</vt:lpstr>
      <vt:lpstr>パパ!リーチ成功率</vt:lpstr>
      <vt:lpstr>全体!リーチ成功率</vt:lpstr>
      <vt:lpstr>Template1!リーチ率</vt:lpstr>
      <vt:lpstr>あやめ!リーチ率</vt:lpstr>
      <vt:lpstr>だいち!リーチ率</vt:lpstr>
      <vt:lpstr>パパ!リーチ率</vt:lpstr>
      <vt:lpstr>全体!リーチ率</vt:lpstr>
      <vt:lpstr>Template1!ロン数</vt:lpstr>
      <vt:lpstr>あやめ!ロン数</vt:lpstr>
      <vt:lpstr>だいち!ロン数</vt:lpstr>
      <vt:lpstr>パパ!ロン数</vt:lpstr>
      <vt:lpstr>全体!ロン数</vt:lpstr>
      <vt:lpstr>Template1!ロン率</vt:lpstr>
      <vt:lpstr>あやめ!ロン率</vt:lpstr>
      <vt:lpstr>だいち!ロン率</vt:lpstr>
      <vt:lpstr>パパ!ロン率</vt:lpstr>
      <vt:lpstr>全体!ロン率</vt:lpstr>
      <vt:lpstr>あやめ!一位スコア</vt:lpstr>
      <vt:lpstr>だいち!一位スコア</vt:lpstr>
      <vt:lpstr>パパ!一位スコア</vt:lpstr>
      <vt:lpstr>全体!一位スコア</vt:lpstr>
      <vt:lpstr>一位スコア</vt:lpstr>
      <vt:lpstr>あやめ!一位通算スコア</vt:lpstr>
      <vt:lpstr>だいち!一位通算スコア</vt:lpstr>
      <vt:lpstr>パパ!一位通算スコア</vt:lpstr>
      <vt:lpstr>全体!一位通算スコア</vt:lpstr>
      <vt:lpstr>一位通算スコア</vt:lpstr>
      <vt:lpstr>あやめ!一翻数</vt:lpstr>
      <vt:lpstr>だいち!一翻数</vt:lpstr>
      <vt:lpstr>パパ!一翻数</vt:lpstr>
      <vt:lpstr>全体!一翻数</vt:lpstr>
      <vt:lpstr>一翻数</vt:lpstr>
      <vt:lpstr>あやめ!一翻率</vt:lpstr>
      <vt:lpstr>だいち!一翻率</vt:lpstr>
      <vt:lpstr>パパ!一翻率</vt:lpstr>
      <vt:lpstr>全体!一翻率</vt:lpstr>
      <vt:lpstr>一翻率</vt:lpstr>
      <vt:lpstr>Template1!現行連続アガリ</vt:lpstr>
      <vt:lpstr>あやめ!現行連続アガリ</vt:lpstr>
      <vt:lpstr>だいち!現行連続アガリ</vt:lpstr>
      <vt:lpstr>パパ!現行連続アガリ</vt:lpstr>
      <vt:lpstr>全体!現行連続アガリ</vt:lpstr>
      <vt:lpstr>Template1!現行連続無放銃</vt:lpstr>
      <vt:lpstr>あやめ!現行連続無放銃</vt:lpstr>
      <vt:lpstr>だいち!現行連続無放銃</vt:lpstr>
      <vt:lpstr>パパ!現行連続無放銃</vt:lpstr>
      <vt:lpstr>全体!現行連続無放銃</vt:lpstr>
      <vt:lpstr>Template1!最高点</vt:lpstr>
      <vt:lpstr>あやめ!最高点</vt:lpstr>
      <vt:lpstr>だいち!最高点</vt:lpstr>
      <vt:lpstr>パパ!最高点</vt:lpstr>
      <vt:lpstr>全体!最高点</vt:lpstr>
      <vt:lpstr>Template1!最大ドラ数</vt:lpstr>
      <vt:lpstr>あやめ!最大ドラ数</vt:lpstr>
      <vt:lpstr>だいち!最大ドラ数</vt:lpstr>
      <vt:lpstr>パパ!最大ドラ数</vt:lpstr>
      <vt:lpstr>全体!最大ドラ数</vt:lpstr>
      <vt:lpstr>Template1!最大点数</vt:lpstr>
      <vt:lpstr>あやめ!最大点数</vt:lpstr>
      <vt:lpstr>だいち!最大点数</vt:lpstr>
      <vt:lpstr>パパ!最大点数</vt:lpstr>
      <vt:lpstr>全体!最大点数</vt:lpstr>
      <vt:lpstr>あやめ!三位スコア</vt:lpstr>
      <vt:lpstr>だいち!三位スコア</vt:lpstr>
      <vt:lpstr>パパ!三位スコア</vt:lpstr>
      <vt:lpstr>全体!三位スコア</vt:lpstr>
      <vt:lpstr>三位スコア</vt:lpstr>
      <vt:lpstr>あやめ!三位通算スコア</vt:lpstr>
      <vt:lpstr>だいち!三位通算スコア</vt:lpstr>
      <vt:lpstr>パパ!三位通算スコア</vt:lpstr>
      <vt:lpstr>全体!三位通算スコア</vt:lpstr>
      <vt:lpstr>三位通算スコア</vt:lpstr>
      <vt:lpstr>Template1!総局数</vt:lpstr>
      <vt:lpstr>あやめ!総局数</vt:lpstr>
      <vt:lpstr>だいち!総局数</vt:lpstr>
      <vt:lpstr>パパ!総局数</vt:lpstr>
      <vt:lpstr>全体!総局数</vt:lpstr>
      <vt:lpstr>Template1!対戦数</vt:lpstr>
      <vt:lpstr>あやめ!対戦数</vt:lpstr>
      <vt:lpstr>だいち!対戦数</vt:lpstr>
      <vt:lpstr>パパ!対戦数</vt:lpstr>
      <vt:lpstr>全体!対戦数</vt:lpstr>
      <vt:lpstr>Template1!通算アガリ点</vt:lpstr>
      <vt:lpstr>あやめ!通算アガリ点</vt:lpstr>
      <vt:lpstr>だいち!通算アガリ点</vt:lpstr>
      <vt:lpstr>パパ!通算アガリ点</vt:lpstr>
      <vt:lpstr>全体!通算アガリ点</vt:lpstr>
      <vt:lpstr>Template1!通算スコア</vt:lpstr>
      <vt:lpstr>あやめ!通算スコア</vt:lpstr>
      <vt:lpstr>だいち!通算スコア</vt:lpstr>
      <vt:lpstr>パパ!通算スコア</vt:lpstr>
      <vt:lpstr>全体!通算スコア</vt:lpstr>
      <vt:lpstr>Template1!通算副露アガリ点</vt:lpstr>
      <vt:lpstr>あやめ!通算副露アガリ点</vt:lpstr>
      <vt:lpstr>だいち!通算副露アガリ点</vt:lpstr>
      <vt:lpstr>パパ!通算副露アガリ点</vt:lpstr>
      <vt:lpstr>全体!通算副露アガリ点</vt:lpstr>
      <vt:lpstr>Template1!通算放銃点</vt:lpstr>
      <vt:lpstr>あやめ!通算放銃点</vt:lpstr>
      <vt:lpstr>だいち!通算放銃点</vt:lpstr>
      <vt:lpstr>パパ!通算放銃点</vt:lpstr>
      <vt:lpstr>全体!通算放銃点</vt:lpstr>
      <vt:lpstr>Template1!通算門前アガリ点</vt:lpstr>
      <vt:lpstr>あやめ!通算門前アガリ点</vt:lpstr>
      <vt:lpstr>だいち!通算門前アガリ点</vt:lpstr>
      <vt:lpstr>パパ!通算門前アガリ点</vt:lpstr>
      <vt:lpstr>全体!通算門前アガリ点</vt:lpstr>
      <vt:lpstr>あやめ!二位スコア</vt:lpstr>
      <vt:lpstr>だいち!二位スコア</vt:lpstr>
      <vt:lpstr>パパ!二位スコア</vt:lpstr>
      <vt:lpstr>全体!二位スコア</vt:lpstr>
      <vt:lpstr>二位スコア</vt:lpstr>
      <vt:lpstr>Template1!二位数</vt:lpstr>
      <vt:lpstr>あやめ!二位数</vt:lpstr>
      <vt:lpstr>だいち!二位数</vt:lpstr>
      <vt:lpstr>パパ!二位数</vt:lpstr>
      <vt:lpstr>全体!二位数</vt:lpstr>
      <vt:lpstr>あやめ!二位通算スコア</vt:lpstr>
      <vt:lpstr>だいち!二位通算スコア</vt:lpstr>
      <vt:lpstr>パパ!二位通算スコア</vt:lpstr>
      <vt:lpstr>全体!二位通算スコア</vt:lpstr>
      <vt:lpstr>二位通算スコア</vt:lpstr>
      <vt:lpstr>Template1!二位率</vt:lpstr>
      <vt:lpstr>あやめ!二位率</vt:lpstr>
      <vt:lpstr>だいち!二位率</vt:lpstr>
      <vt:lpstr>パパ!二位率</vt:lpstr>
      <vt:lpstr>全体!二位率</vt:lpstr>
      <vt:lpstr>Template1!副露アガリ数</vt:lpstr>
      <vt:lpstr>あやめ!副露アガリ数</vt:lpstr>
      <vt:lpstr>だいち!副露アガリ数</vt:lpstr>
      <vt:lpstr>パパ!副露アガリ数</vt:lpstr>
      <vt:lpstr>全体!副露アガリ数</vt:lpstr>
      <vt:lpstr>Template1!副露アガリ点</vt:lpstr>
      <vt:lpstr>あやめ!副露アガリ点</vt:lpstr>
      <vt:lpstr>だいち!副露アガリ点</vt:lpstr>
      <vt:lpstr>パパ!副露アガリ点</vt:lpstr>
      <vt:lpstr>全体!副露アガリ点</vt:lpstr>
      <vt:lpstr>Template1!副露アガリ率</vt:lpstr>
      <vt:lpstr>あやめ!副露アガリ率</vt:lpstr>
      <vt:lpstr>だいち!副露アガリ率</vt:lpstr>
      <vt:lpstr>パパ!副露アガリ率</vt:lpstr>
      <vt:lpstr>全体!副露アガリ率</vt:lpstr>
      <vt:lpstr>Template1!副露数</vt:lpstr>
      <vt:lpstr>あやめ!副露数</vt:lpstr>
      <vt:lpstr>だいち!副露数</vt:lpstr>
      <vt:lpstr>パパ!副露数</vt:lpstr>
      <vt:lpstr>全体!副露数</vt:lpstr>
      <vt:lpstr>Template1!副露成功数</vt:lpstr>
      <vt:lpstr>あやめ!副露成功数</vt:lpstr>
      <vt:lpstr>だいち!副露成功数</vt:lpstr>
      <vt:lpstr>パパ!副露成功数</vt:lpstr>
      <vt:lpstr>全体!副露成功数</vt:lpstr>
      <vt:lpstr>Template1!副露成功率</vt:lpstr>
      <vt:lpstr>あやめ!副露成功率</vt:lpstr>
      <vt:lpstr>だいち!副露成功率</vt:lpstr>
      <vt:lpstr>パパ!副露成功率</vt:lpstr>
      <vt:lpstr>全体!副露成功率</vt:lpstr>
      <vt:lpstr>Template1!副露率</vt:lpstr>
      <vt:lpstr>あやめ!副露率</vt:lpstr>
      <vt:lpstr>だいち!副露率</vt:lpstr>
      <vt:lpstr>パパ!副露率</vt:lpstr>
      <vt:lpstr>全体!副露率</vt:lpstr>
      <vt:lpstr>Template1!平均アガリ点</vt:lpstr>
      <vt:lpstr>あやめ!平均アガリ点</vt:lpstr>
      <vt:lpstr>だいち!平均アガリ点</vt:lpstr>
      <vt:lpstr>パパ!平均アガリ点</vt:lpstr>
      <vt:lpstr>全体!平均アガリ点</vt:lpstr>
      <vt:lpstr>Template1!平均スコア</vt:lpstr>
      <vt:lpstr>あやめ!平均スコア</vt:lpstr>
      <vt:lpstr>だいち!平均スコア</vt:lpstr>
      <vt:lpstr>パパ!平均スコア</vt:lpstr>
      <vt:lpstr>全体!平均スコア</vt:lpstr>
      <vt:lpstr>Template1!平均順位</vt:lpstr>
      <vt:lpstr>あやめ!平均順位</vt:lpstr>
      <vt:lpstr>だいち!平均順位</vt:lpstr>
      <vt:lpstr>パパ!平均順位</vt:lpstr>
      <vt:lpstr>全体!平均順位</vt:lpstr>
      <vt:lpstr>Template1!平均放銃点</vt:lpstr>
      <vt:lpstr>あやめ!平均放銃点</vt:lpstr>
      <vt:lpstr>だいち!平均放銃点</vt:lpstr>
      <vt:lpstr>パパ!平均放銃点</vt:lpstr>
      <vt:lpstr>全体!平均放銃点</vt:lpstr>
      <vt:lpstr>Template1!放銃数</vt:lpstr>
      <vt:lpstr>あやめ!放銃数</vt:lpstr>
      <vt:lpstr>だいち!放銃数</vt:lpstr>
      <vt:lpstr>パパ!放銃数</vt:lpstr>
      <vt:lpstr>全体!放銃数</vt:lpstr>
      <vt:lpstr>Template1!放銃率</vt:lpstr>
      <vt:lpstr>あやめ!放銃率</vt:lpstr>
      <vt:lpstr>だいち!放銃率</vt:lpstr>
      <vt:lpstr>パパ!放銃率</vt:lpstr>
      <vt:lpstr>全体!放銃率</vt:lpstr>
      <vt:lpstr>Template1!名前</vt:lpstr>
      <vt:lpstr>あやめ!名前</vt:lpstr>
      <vt:lpstr>だいち!名前</vt:lpstr>
      <vt:lpstr>パパ!名前</vt:lpstr>
      <vt:lpstr>全体!名前</vt:lpstr>
      <vt:lpstr>Template1!門前アガリ点</vt:lpstr>
      <vt:lpstr>あやめ!門前アガリ点</vt:lpstr>
      <vt:lpstr>だいち!門前アガリ点</vt:lpstr>
      <vt:lpstr>パパ!門前アガリ点</vt:lpstr>
      <vt:lpstr>全体!門前アガリ点</vt:lpstr>
      <vt:lpstr>Template1!連続アガリ</vt:lpstr>
      <vt:lpstr>あやめ!連続アガリ</vt:lpstr>
      <vt:lpstr>だいち!連続アガリ</vt:lpstr>
      <vt:lpstr>パパ!連続アガリ</vt:lpstr>
      <vt:lpstr>全体!連続アガリ</vt:lpstr>
      <vt:lpstr>Template1!連続無放銃</vt:lpstr>
      <vt:lpstr>あやめ!連続無放銃</vt:lpstr>
      <vt:lpstr>だいち!連続無放銃</vt:lpstr>
      <vt:lpstr>パパ!連続無放銃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2020-05-30T11:53:38Z</dcterms:modified>
</cp:coreProperties>
</file>