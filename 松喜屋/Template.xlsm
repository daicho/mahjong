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松喜屋\"/>
    </mc:Choice>
  </mc:AlternateContent>
  <xr:revisionPtr revIDLastSave="0" documentId="13_ncr:1_{B7FB335B-023E-4B55-8B78-CA4C9B282C57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<sst xmlns="http://schemas.openxmlformats.org/spreadsheetml/2006/main" count="679" uniqueCount="195">
  <si>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</si>
  <si>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</si>
  <si>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</si>
  <si>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</si>
  <si>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</si>
  <si>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</si>
  <si>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</si>
  <si>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</si>
  <si>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</si>
  <si>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</si>
  <si>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</si>
  <si>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</si>
  <si>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</si>
  <si>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</si>
  <si>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</si>
  <si>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</si>
  <si>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</si>
  <si>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</si>
  <si>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</si>
  <si>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</si>
  <si>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</si>
  <si>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</si>
  <si>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</si>
  <si>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</si>
  <si>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</si>
  <si>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</si>
  <si>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</si>
  <si>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</si>
  <si>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</si>
  <si>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</si>
  <si>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</si>
  <si>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</si>
  <si>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</si>
  <si>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</si>
  <si>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</si>
  <si>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</si>
  <si>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</si>
  <si>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</si>
  <si>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</si>
  <si>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</si>
  <si>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</si>
  <si>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</si>
  <si>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</si>
  <si>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</si>
  <si>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</si>
  <si>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</si>
  <si>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</si>
  <si>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</si>
  <si>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</si>
  <si>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</si>
  <si>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</si>
  <si>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</si>
  <si>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</si>
  <si>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</si>
  <si>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</si>
  <si>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</si>
  <si>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</si>
  <si>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</si>
  <si>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</si>
  <si>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</si>
  <si>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</si>
  <si>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</si>
  <si>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</si>
  <si>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</si>
  <si>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</si>
  <si>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</si>
  <si>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</si>
  <si>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</si>
  <si>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</si>
  <si>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</si>
  <si>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</si>
  <si>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</si>
  <si>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</si>
  <si>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</si>
  <si>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</si>
  <si>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</si>
  <si>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</si>
  <si>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</si>
  <si>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</si>
  <si>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</si>
  <si>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</si>
  <si>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</si>
  <si>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</si>
  <si>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</si>
  <si>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</si>
  <si>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</si>
  <si>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</si>
  <si>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</si>
  <si>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</si>
  <si>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</si>
  <si>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</si>
  <si>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</si>
  <si>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</si>
  <si>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</si>
  <si>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</si>
  <si>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</si>
  <si>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</si>
  <si>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</si>
  <si>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</si>
  <si>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</si>
  <si>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</si>
  <si>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</si>
  <si>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</si>
  <si>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</si>
  <si>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</si>
  <si>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</si>
  <si>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</si>
  <si>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</si>
  <si>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</si>
  <si>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</si>
  <si>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</si>
  <si>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</si>
  <si>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</si>
  <si>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</si>
  <si>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</si>
  <si>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</si>
  <si>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</si>
  <si>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</si>
  <si>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</si>
  <si>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</si>
  <si>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</si>
  <si>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</si>
  <si>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</si>
  <si>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</si>
  <si>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</si>
  <si>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</si>
  <si>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</si>
  <si>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</si>
  <si>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</si>
  <si>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</si>
  <si>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</si>
  <si>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</si>
  <si>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</si>
  <si>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</si>
  <si>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</si>
  <si>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</si>
  <si>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</si>
  <si>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</si>
  <si>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</si>
  <si>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</si>
  <si>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</si>
  <si>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</si>
  <si>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</si>
  <si>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</si>
  <si>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</si>
  <si>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</si>
  <si>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</si>
  <si>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</si>
  <si>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</si>
  <si>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</si>
  <si>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</si>
  <si>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</si>
  <si>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</si>
  <si>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</si>
  <si>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</si>
  <si>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</si>
  <si>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</si>
  <si>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</si>
  <si>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</si>
  <si>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</si>
  <si>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</si>
  <si>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</si>
  <si>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</si>
  <si>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</si>
  <si>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</si>
  <si>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</si>
  <si>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</si>
  <si>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</si>
  <si>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</si>
  <si>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</si>
  <si>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</si>
  <si>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</si>
  <si>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</si>
  <si>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</si>
  <si>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</si>
  <si>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</si>
  <si>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</si>
  <si>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</si>
  <si>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</si>
  <si>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</si>
  <si>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</si>
  <si>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</si>
  <si>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</si>
  <si>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</si>
  <si>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</si>
  <si>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</si>
  <si>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</si>
  <si>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</si>
  <si>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</si>
  <si>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</si>
  <si>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</si>
  <si>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パパ</t>
    <phoneticPr fontId="1"/>
  </si>
  <si>
    <t>だいち</t>
    <phoneticPr fontId="1"/>
  </si>
  <si>
    <t>あやめ</t>
    <phoneticPr fontId="1"/>
  </si>
  <si>
    <t>あやめ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</si>
</sst>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68" t="s">
        <v>0</v>
      </c>
      <c r="B1" s="70" t="s">
        <v>2</v>
      </c>
      <c r="C1" s="70" t="s">
        <v>1</v>
      </c>
      <c r="D1" s="70" t="s">
        <v>21</v>
      </c>
      <c r="E1" s="72" t="s">
        <v>3</v>
      </c>
      <c r="F1" s="64" t="s">
        <v>191</v>
      </c>
      <c r="G1" s="65"/>
      <c r="H1" s="65"/>
      <c r="I1" s="66"/>
      <c r="J1" s="67"/>
      <c r="K1" s="64" t="s">
        <v>192</v>
      </c>
      <c r="L1" s="65"/>
      <c r="M1" s="65"/>
      <c r="N1" s="66"/>
      <c r="O1" s="67"/>
      <c r="P1" s="64" t="s">
        <v>193</v>
      </c>
      <c r="Q1" s="65"/>
      <c r="R1" s="65"/>
      <c r="S1" s="66"/>
      <c r="T1" s="67"/>
      <c r="U1" s="64" t="s">
        <v>6</v>
      </c>
      <c r="V1" s="65"/>
      <c r="W1" s="67"/>
      <c r="Y1" s="64" t="str">
        <f>F1</f>
        <v>パパ</v>
      </c>
      <c r="Z1" s="7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7"/>
      <c r="AT1" s="64" t="str">
        <f>K1</f>
        <v>だいち</v>
      </c>
      <c r="AU1" s="7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7"/>
      <c r="BO1" s="64" t="str">
        <f>P1</f>
        <v>あやめ</v>
      </c>
      <c r="BP1" s="7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7"/>
    </row>
    <row r="2" spans="1:87" x14ac:dyDescent="0.45">
      <c r="A2" s="69"/>
      <c r="B2" s="71"/>
      <c r="C2" s="71"/>
      <c r="D2" s="71"/>
      <c r="E2" s="73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2" t="str">
        <f>$F$1</f>
        <v>パパ</v>
      </c>
      <c r="V2" s="63" t="str">
        <f>$K$1</f>
        <v>だいち</v>
      </c>
      <c r="W2" s="16" t="str">
        <f>$P$1</f>
        <v>あやめ</v>
      </c>
      <c r="Y2" s="58" t="s">
        <v>23</v>
      </c>
      <c r="Z2" s="59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74" t="s">
        <v>20</v>
      </c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58" t="s">
        <v>23</v>
      </c>
      <c r="AU2" s="59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74" t="s">
        <v>20</v>
      </c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58" t="s">
        <v>23</v>
      </c>
      <c r="BP2" s="59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74" t="s">
        <v>20</v>
      </c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/>
      <c r="G4" s="9"/>
      <c r="H4" s="9"/>
      <c r="I4" s="47"/>
      <c r="J4" s="21" t="str">
        <f>IF(COUNTA($F4,$K4,$P4)&gt;0,J3+SUM(G4:I4),"")</f>
        <v/>
      </c>
      <c r="K4" s="8"/>
      <c r="L4" s="9"/>
      <c r="M4" s="9"/>
      <c r="N4" s="47"/>
      <c r="O4" s="21" t="str">
        <f>IF(COUNTA($F4,$K4,$P4)&gt;0,O3+SUM(L4:N4),"")</f>
        <v/>
      </c>
      <c r="P4" s="8"/>
      <c r="Q4" s="9"/>
      <c r="R4" s="9"/>
      <c r="S4" s="47"/>
      <c r="T4" s="21" t="str">
        <f>IF(COUNTA($F4,$K4,$P4)&gt;0,T3+SUM(Q4:S4),"")</f>
        <v/>
      </c>
      <c r="U4" s="52" t="str">
        <f>IF($J4="","",ROUND(($J4-$J$3)/1000,1)+(_xlfn.RANK.AVG($J4,($J4,$O4,$T4),1)-2)*10)</f>
        <v/>
      </c>
      <c r="V4" s="53" t="str">
        <f>IF($O4="","",ROUND(($O4-$O$3)/1000,1)+(_xlfn.RANK.AVG($O4,($J4,$O4,$T4),1)-2)*10)</f>
        <v/>
      </c>
      <c r="W4" s="54" t="str">
        <f>IF($T4="","",ROUND(($T4-$T$3)/1000,1)+(_xlfn.RANK.AVG($T4,($J4,$O4,$T4),1)-2)*10)</f>
        <v/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7"/>
      <c r="J5" s="21" t="str">
        <f t="shared" ref="J5:J30" si="2">IF(COUNTA($F5,$K5,$P5)&gt;0,J4+SUM(G5:I5),"")</f>
        <v/>
      </c>
      <c r="K5" s="8"/>
      <c r="L5" s="9"/>
      <c r="M5" s="9"/>
      <c r="N5" s="47"/>
      <c r="O5" s="21" t="str">
        <f t="shared" ref="O5:O30" si="3">IF(COUNTA($F5,$K5,$P5)&gt;0,O4+SUM(L5:N5),"")</f>
        <v/>
      </c>
      <c r="P5" s="8"/>
      <c r="Q5" s="9"/>
      <c r="R5" s="9"/>
      <c r="S5" s="47"/>
      <c r="T5" s="21" t="str">
        <f t="shared" ref="T5:T30" si="4">IF(COUNTA($F5,$K5,$P5)&gt;0,T4+SUM(Q5:S5),"")</f>
        <v/>
      </c>
      <c r="U5" s="52" t="str">
        <f>IF($J5="","",ROUND(($J5-$J$3)/1000,1)+(_xlfn.RANK.AVG($J5,($J5,$O5,$T5),1)-2)*10)</f>
        <v/>
      </c>
      <c r="V5" s="53" t="str">
        <f>IF($O5="","",ROUND(($O5-$O$3)/1000,1)+(_xlfn.RANK.AVG($O5,($J5,$O5,$T5),1)-2)*10)</f>
        <v/>
      </c>
      <c r="W5" s="54" t="str">
        <f>IF($T5="","",ROUND(($T5-$T$3)/1000,1)+(_xlfn.RANK.AVG($T5,($J5,$O5,$T5),1)-2)*10)</f>
        <v/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7"/>
      <c r="J6" s="21" t="str">
        <f t="shared" si="2"/>
        <v/>
      </c>
      <c r="K6" s="8"/>
      <c r="L6" s="9"/>
      <c r="M6" s="9"/>
      <c r="N6" s="47"/>
      <c r="O6" s="21" t="str">
        <f t="shared" si="3"/>
        <v/>
      </c>
      <c r="P6" s="8"/>
      <c r="Q6" s="9"/>
      <c r="R6" s="9"/>
      <c r="S6" s="47"/>
      <c r="T6" s="21" t="str">
        <f t="shared" si="4"/>
        <v/>
      </c>
      <c r="U6" s="52" t="str">
        <f>IF($J6="","",ROUND(($J6-$J$3)/1000,1)+(_xlfn.RANK.AVG($J6,($J6,$O6,$T6),1)-2)*10)</f>
        <v/>
      </c>
      <c r="V6" s="53" t="str">
        <f>IF($O6="","",ROUND(($O6-$O$3)/1000,1)+(_xlfn.RANK.AVG($O6,($J6,$O6,$T6),1)-2)*10)</f>
        <v/>
      </c>
      <c r="W6" s="54" t="str">
        <f>IF($T6="","",ROUND(($T6-$T$3)/1000,1)+(_xlfn.RANK.AVG($T6,($J6,$O6,$T6),1)-2)*10)</f>
        <v/>
      </c>
      <c r="Y6" s="8"/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7"/>
      <c r="J7" s="21" t="str">
        <f t="shared" si="2"/>
        <v/>
      </c>
      <c r="K7" s="8"/>
      <c r="L7" s="9"/>
      <c r="M7" s="9"/>
      <c r="N7" s="47"/>
      <c r="O7" s="21" t="str">
        <f t="shared" si="3"/>
        <v/>
      </c>
      <c r="P7" s="8"/>
      <c r="Q7" s="9"/>
      <c r="R7" s="9"/>
      <c r="S7" s="47"/>
      <c r="T7" s="21" t="str">
        <f t="shared" si="4"/>
        <v/>
      </c>
      <c r="U7" s="52" t="str">
        <f>IF($J7="","",ROUND(($J7-$J$3)/1000,1)+(_xlfn.RANK.AVG($J7,($J7,$O7,$T7),1)-2)*10)</f>
        <v/>
      </c>
      <c r="V7" s="53" t="str">
        <f>IF($O7="","",ROUND(($O7-$O$3)/1000,1)+(_xlfn.RANK.AVG($O7,($J7,$O7,$T7),1)-2)*10)</f>
        <v/>
      </c>
      <c r="W7" s="54" t="str">
        <f>IF($T7="","",ROUND(($T7-$T$3)/1000,1)+(_xlfn.RANK.AVG($T7,($J7,$O7,$T7),1)-2)*10)</f>
        <v/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7"/>
      <c r="J8" s="21" t="str">
        <f t="shared" si="2"/>
        <v/>
      </c>
      <c r="K8" s="8"/>
      <c r="L8" s="9"/>
      <c r="M8" s="9"/>
      <c r="N8" s="47"/>
      <c r="O8" s="21" t="str">
        <f t="shared" si="3"/>
        <v/>
      </c>
      <c r="P8" s="8"/>
      <c r="Q8" s="9"/>
      <c r="R8" s="9"/>
      <c r="S8" s="47"/>
      <c r="T8" s="21" t="str">
        <f t="shared" si="4"/>
        <v/>
      </c>
      <c r="U8" s="52" t="str">
        <f>IF($J8="","",ROUND(($J8-$J$3)/1000,1)+(_xlfn.RANK.AVG($J8,($J8,$O8,$T8),1)-2)*10)</f>
        <v/>
      </c>
      <c r="V8" s="53" t="str">
        <f>IF($O8="","",ROUND(($O8-$O$3)/1000,1)+(_xlfn.RANK.AVG($O8,($J8,$O8,$T8),1)-2)*10)</f>
        <v/>
      </c>
      <c r="W8" s="54" t="str">
        <f>IF($T8="","",ROUND(($T8-$T$3)/1000,1)+(_xlfn.RANK.AVG($T8,($J8,$O8,$T8),1)-2)*10)</f>
        <v/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7"/>
      <c r="J9" s="21" t="str">
        <f t="shared" si="2"/>
        <v/>
      </c>
      <c r="K9" s="8"/>
      <c r="L9" s="9"/>
      <c r="M9" s="9"/>
      <c r="N9" s="47"/>
      <c r="O9" s="21" t="str">
        <f t="shared" si="3"/>
        <v/>
      </c>
      <c r="P9" s="8"/>
      <c r="Q9" s="9"/>
      <c r="R9" s="9"/>
      <c r="S9" s="47"/>
      <c r="T9" s="21" t="str">
        <f t="shared" si="4"/>
        <v/>
      </c>
      <c r="U9" s="52" t="str">
        <f>IF($J9="","",ROUND(($J9-$J$3)/1000,1)+(_xlfn.RANK.AVG($J9,($J9,$O9,$T9),1)-2)*10)</f>
        <v/>
      </c>
      <c r="V9" s="53" t="str">
        <f>IF($O9="","",ROUND(($O9-$O$3)/1000,1)+(_xlfn.RANK.AVG($O9,($J9,$O9,$T9),1)-2)*10)</f>
        <v/>
      </c>
      <c r="W9" s="54" t="str">
        <f>IF($T9="","",ROUND(($T9-$T$3)/1000,1)+(_xlfn.RANK.AVG($T9,($J9,$O9,$T9),1)-2)*10)</f>
        <v/>
      </c>
      <c r="Y9" s="8"/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7"/>
      <c r="J10" s="21" t="str">
        <f t="shared" si="2"/>
        <v/>
      </c>
      <c r="K10" s="8"/>
      <c r="L10" s="9"/>
      <c r="M10" s="9"/>
      <c r="N10" s="47"/>
      <c r="O10" s="21" t="str">
        <f t="shared" si="3"/>
        <v/>
      </c>
      <c r="P10" s="8"/>
      <c r="Q10" s="9"/>
      <c r="R10" s="9"/>
      <c r="S10" s="47"/>
      <c r="T10" s="21" t="str">
        <f t="shared" si="4"/>
        <v/>
      </c>
      <c r="U10" s="52" t="str">
        <f>IF($J10="","",ROUND(($J10-$J$3)/1000,1)+(_xlfn.RANK.AVG($J10,($J10,$O10,$T10),1)-2)*10)</f>
        <v/>
      </c>
      <c r="V10" s="53" t="str">
        <f>IF($O10="","",ROUND(($O10-$O$3)/1000,1)+(_xlfn.RANK.AVG($O10,($J10,$O10,$T10),1)-2)*10)</f>
        <v/>
      </c>
      <c r="W10" s="54" t="str">
        <f>IF($T10="","",ROUND(($T10-$T$3)/1000,1)+(_xlfn.RANK.AVG($T10,($J10,$O10,$T10),1)-2)*10)</f>
        <v/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>
      <selection sqref="A1:A2"/>
    </sheetView>
  </sheetViews>
  <sheetFormatPr defaultRowHeight="18" x14ac:dyDescent="0.45"/>
  <cols>
    <col min="1" max="1" width="9" style="35" customWidth="1"/>
    <col min="2" max="2" width="6.5" style="35" customWidth="1"/>
    <col min="3" max="3" width="19.19921875" style="15" bestFit="1" customWidth="1"/>
    <col min="4" max="5" width="6.5" style="15" customWidth="1"/>
  </cols>
  <sheetData>
    <row r="1" spans="1:5" x14ac:dyDescent="0.45">
      <c r="A1" s="35" t="s">
        <v>27</v>
      </c>
      <c r="B1" s="35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5" t="s">
        <v>77</v>
      </c>
      <c r="B2" s="35" t="s">
        <v>139</v>
      </c>
      <c r="C2" s="15" t="s">
        <v>132</v>
      </c>
      <c r="D2" s="15">
        <v>1</v>
      </c>
    </row>
    <row r="3" spans="1:5" x14ac:dyDescent="0.45">
      <c r="A3" s="35" t="s">
        <v>78</v>
      </c>
      <c r="B3" s="35" t="s">
        <v>148</v>
      </c>
      <c r="C3" s="15" t="s">
        <v>31</v>
      </c>
      <c r="D3" s="15">
        <v>1</v>
      </c>
    </row>
    <row r="4" spans="1:5" x14ac:dyDescent="0.45">
      <c r="A4" s="35" t="s">
        <v>79</v>
      </c>
      <c r="B4" s="35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5" t="s">
        <v>80</v>
      </c>
      <c r="B5" s="35" t="s">
        <v>142</v>
      </c>
      <c r="C5" s="15" t="s">
        <v>33</v>
      </c>
      <c r="D5" s="15">
        <v>1</v>
      </c>
    </row>
    <row r="6" spans="1:5" x14ac:dyDescent="0.45">
      <c r="A6" s="35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5" t="s">
        <v>82</v>
      </c>
      <c r="B7" s="35" t="s">
        <v>140</v>
      </c>
      <c r="C7" s="15" t="s">
        <v>35</v>
      </c>
      <c r="D7" s="15">
        <v>1</v>
      </c>
    </row>
    <row r="8" spans="1:5" x14ac:dyDescent="0.45">
      <c r="A8" s="35" t="s">
        <v>83</v>
      </c>
      <c r="B8" s="35" t="s">
        <v>144</v>
      </c>
      <c r="C8" s="15" t="s">
        <v>36</v>
      </c>
      <c r="D8" s="15">
        <v>1</v>
      </c>
    </row>
    <row r="9" spans="1:5" x14ac:dyDescent="0.45">
      <c r="A9" s="35" t="s">
        <v>84</v>
      </c>
      <c r="B9" s="35" t="s">
        <v>146</v>
      </c>
      <c r="C9" s="15" t="s">
        <v>37</v>
      </c>
      <c r="D9" s="15">
        <v>1</v>
      </c>
    </row>
    <row r="10" spans="1:5" x14ac:dyDescent="0.45">
      <c r="A10" s="35" t="s">
        <v>85</v>
      </c>
      <c r="B10" s="35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5" t="s">
        <v>86</v>
      </c>
      <c r="B11" s="35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5" t="s">
        <v>87</v>
      </c>
      <c r="B12" s="35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5" t="s">
        <v>88</v>
      </c>
      <c r="B13" s="35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5" t="s">
        <v>89</v>
      </c>
      <c r="B14" s="35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5" t="s">
        <v>90</v>
      </c>
      <c r="B15" s="35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5" t="s">
        <v>91</v>
      </c>
      <c r="B16" s="35" t="s">
        <v>157</v>
      </c>
      <c r="C16" s="15" t="s">
        <v>43</v>
      </c>
      <c r="D16" s="15">
        <v>2</v>
      </c>
    </row>
    <row r="17" spans="1:5" x14ac:dyDescent="0.45">
      <c r="A17" s="35" t="s">
        <v>92</v>
      </c>
      <c r="B17" s="35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5" t="s">
        <v>93</v>
      </c>
      <c r="B18" s="35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5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5" t="s">
        <v>95</v>
      </c>
      <c r="B20" s="35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5" t="s">
        <v>96</v>
      </c>
      <c r="B21" s="35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5" t="s">
        <v>97</v>
      </c>
      <c r="B22" s="35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5" t="s">
        <v>98</v>
      </c>
      <c r="B23" s="35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5" t="s">
        <v>99</v>
      </c>
      <c r="B24" s="35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5" t="s">
        <v>100</v>
      </c>
      <c r="B25" s="35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5" t="s">
        <v>101</v>
      </c>
      <c r="B26" s="35" t="s">
        <v>154</v>
      </c>
      <c r="C26" s="15" t="s">
        <v>52</v>
      </c>
      <c r="D26" s="15">
        <v>2</v>
      </c>
    </row>
    <row r="27" spans="1:5" x14ac:dyDescent="0.45">
      <c r="A27" s="35" t="s">
        <v>102</v>
      </c>
      <c r="B27" s="35" t="s">
        <v>164</v>
      </c>
      <c r="C27" s="15" t="s">
        <v>53</v>
      </c>
      <c r="D27" s="15">
        <v>3</v>
      </c>
    </row>
    <row r="28" spans="1:5" x14ac:dyDescent="0.45">
      <c r="A28" s="35" t="s">
        <v>103</v>
      </c>
      <c r="B28" s="35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5" t="s">
        <v>104</v>
      </c>
      <c r="B29" s="35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5" t="s">
        <v>105</v>
      </c>
      <c r="B30" s="35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5" t="s">
        <v>106</v>
      </c>
      <c r="B31" s="35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5" t="s">
        <v>107</v>
      </c>
      <c r="B32" s="35" t="s">
        <v>169</v>
      </c>
      <c r="C32" s="15" t="s">
        <v>57</v>
      </c>
      <c r="D32" s="15">
        <v>13</v>
      </c>
    </row>
    <row r="33" spans="1:5" x14ac:dyDescent="0.45">
      <c r="A33" s="35" t="s">
        <v>108</v>
      </c>
      <c r="B33" s="35" t="s">
        <v>170</v>
      </c>
      <c r="C33" s="15" t="s">
        <v>58</v>
      </c>
      <c r="D33" s="15">
        <v>13</v>
      </c>
    </row>
    <row r="34" spans="1:5" x14ac:dyDescent="0.45">
      <c r="A34" s="35" t="s">
        <v>109</v>
      </c>
      <c r="B34" s="35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5" t="s">
        <v>110</v>
      </c>
      <c r="B35" s="35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5" t="s">
        <v>111</v>
      </c>
      <c r="B36" s="35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5" t="s">
        <v>112</v>
      </c>
      <c r="B37" s="35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5" t="s">
        <v>113</v>
      </c>
      <c r="B38" s="35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5" t="s">
        <v>114</v>
      </c>
      <c r="B39" s="35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5" t="s">
        <v>115</v>
      </c>
      <c r="B40" s="35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5" t="s">
        <v>116</v>
      </c>
      <c r="B41" s="35" t="s">
        <v>178</v>
      </c>
      <c r="C41" s="15" t="s">
        <v>66</v>
      </c>
      <c r="D41" s="15">
        <v>13</v>
      </c>
    </row>
    <row r="42" spans="1:5" x14ac:dyDescent="0.45">
      <c r="A42" s="35" t="s">
        <v>117</v>
      </c>
      <c r="B42" s="35" t="s">
        <v>179</v>
      </c>
      <c r="C42" s="15" t="s">
        <v>67</v>
      </c>
      <c r="D42" s="15">
        <v>13</v>
      </c>
    </row>
    <row r="43" spans="1:5" x14ac:dyDescent="0.45">
      <c r="A43" s="35" t="s">
        <v>118</v>
      </c>
      <c r="B43" s="35" t="s">
        <v>180</v>
      </c>
      <c r="C43" s="15" t="s">
        <v>68</v>
      </c>
      <c r="D43" s="15">
        <v>13</v>
      </c>
    </row>
    <row r="44" spans="1:5" x14ac:dyDescent="0.45">
      <c r="A44" s="35" t="s">
        <v>119</v>
      </c>
      <c r="B44" s="35" t="s">
        <v>181</v>
      </c>
      <c r="C44" s="15" t="s">
        <v>69</v>
      </c>
      <c r="D44" s="15">
        <v>13</v>
      </c>
    </row>
    <row r="45" spans="1:5" x14ac:dyDescent="0.45">
      <c r="A45" s="35" t="s">
        <v>120</v>
      </c>
      <c r="B45" s="35" t="s">
        <v>182</v>
      </c>
      <c r="C45" s="15" t="s">
        <v>70</v>
      </c>
      <c r="D45" s="15">
        <v>26</v>
      </c>
    </row>
    <row r="46" spans="1:5" x14ac:dyDescent="0.45">
      <c r="A46" s="35" t="s">
        <v>121</v>
      </c>
      <c r="B46" s="35" t="s">
        <v>183</v>
      </c>
      <c r="C46" s="15" t="s">
        <v>71</v>
      </c>
      <c r="D46" s="15">
        <v>26</v>
      </c>
    </row>
    <row r="47" spans="1:5" x14ac:dyDescent="0.45">
      <c r="A47" s="35" t="s">
        <v>122</v>
      </c>
      <c r="B47" s="35" t="s">
        <v>184</v>
      </c>
      <c r="C47" s="15" t="s">
        <v>72</v>
      </c>
      <c r="D47" s="15">
        <v>26</v>
      </c>
    </row>
    <row r="48" spans="1:5" x14ac:dyDescent="0.45">
      <c r="A48" s="35" t="s">
        <v>123</v>
      </c>
      <c r="B48" s="35" t="s">
        <v>185</v>
      </c>
      <c r="C48" s="15" t="s">
        <v>73</v>
      </c>
      <c r="D48" s="15">
        <v>13</v>
      </c>
    </row>
    <row r="49" spans="1:5" x14ac:dyDescent="0.45">
      <c r="A49" s="35" t="s">
        <v>124</v>
      </c>
      <c r="B49" s="35" t="s">
        <v>186</v>
      </c>
      <c r="C49" s="15" t="s">
        <v>74</v>
      </c>
      <c r="D49" s="15">
        <v>13</v>
      </c>
    </row>
    <row r="50" spans="1:5" x14ac:dyDescent="0.45">
      <c r="A50" s="35" t="s">
        <v>125</v>
      </c>
      <c r="C50" s="15" t="s">
        <v>75</v>
      </c>
      <c r="D50" s="15">
        <v>13</v>
      </c>
    </row>
    <row r="51" spans="1:5" x14ac:dyDescent="0.45">
      <c r="A51" s="35" t="s">
        <v>126</v>
      </c>
      <c r="B51" s="35" t="s">
        <v>187</v>
      </c>
      <c r="C51" s="15" t="s">
        <v>76</v>
      </c>
      <c r="D51" s="15">
        <v>13</v>
      </c>
    </row>
    <row r="52" spans="1:5" x14ac:dyDescent="0.45">
      <c r="A52" s="35" t="s">
        <v>134</v>
      </c>
      <c r="B52" s="35" t="s">
        <v>158</v>
      </c>
      <c r="C52" s="15" t="s">
        <v>135</v>
      </c>
      <c r="D52" s="15">
        <v>2</v>
      </c>
    </row>
    <row r="53" spans="1:5" x14ac:dyDescent="0.45">
      <c r="A53" s="35" t="s">
        <v>136</v>
      </c>
      <c r="B53" s="35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5" t="s">
        <v>188</v>
      </c>
      <c r="B54" s="35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9181-8EAA-4829-BFE2-9AA8C3BB3993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E3">
        <v>2600</v>
      </c>
      <c r="F3">
        <v>5200</v>
      </c>
    </row>
    <row r="4" spans="1:13" x14ac:dyDescent="0.45">
      <c r="A4" s="15">
        <v>25</v>
      </c>
      <c r="D4">
        <v>1600</v>
      </c>
      <c r="E4">
        <v>3200</v>
      </c>
      <c r="F4">
        <v>6400</v>
      </c>
    </row>
    <row r="5" spans="1:13" x14ac:dyDescent="0.45">
      <c r="A5" s="15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5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5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5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5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5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5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5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5">
        <v>110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CAB4-34E3-412D-BFCF-0ED76F7503F8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B3" t="s">
        <v>10</v>
      </c>
      <c r="C3" t="s">
        <v>10</v>
      </c>
      <c r="D3">
        <v>1400</v>
      </c>
      <c r="E3">
        <v>2600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1000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1400</v>
      </c>
      <c r="D6">
        <v>2600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2400</v>
      </c>
      <c r="D9">
        <v>4600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2600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3000</v>
      </c>
      <c r="D11">
        <v>5800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19D6-1610-4D98-B8F2-E1C26B431862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5">
        <v>60</v>
      </c>
      <c r="C8">
        <v>-1000</v>
      </c>
      <c r="D8">
        <v>-2000</v>
      </c>
      <c r="E8">
        <v>-4000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8E591-88A3-418E-A84A-2B3F199A9AEF}">
  <sheetPr codeName="Sheet3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C3" t="s">
        <v>10</v>
      </c>
      <c r="D3" t="s">
        <v>10</v>
      </c>
      <c r="E3">
        <v>2000</v>
      </c>
      <c r="F3">
        <v>3900</v>
      </c>
    </row>
    <row r="4" spans="1:13" x14ac:dyDescent="0.45">
      <c r="A4" s="15">
        <v>25</v>
      </c>
      <c r="C4" t="s">
        <v>10</v>
      </c>
      <c r="D4">
        <v>1200</v>
      </c>
      <c r="E4">
        <v>2400</v>
      </c>
      <c r="F4">
        <v>4800</v>
      </c>
    </row>
    <row r="5" spans="1:13" x14ac:dyDescent="0.45">
      <c r="A5" s="15">
        <v>30</v>
      </c>
      <c r="C5">
        <v>800</v>
      </c>
      <c r="D5">
        <v>1500</v>
      </c>
      <c r="E5">
        <v>2900</v>
      </c>
      <c r="F5">
        <v>6000</v>
      </c>
    </row>
    <row r="6" spans="1:13" x14ac:dyDescent="0.45">
      <c r="A6" s="15">
        <v>40</v>
      </c>
      <c r="C6">
        <v>1000</v>
      </c>
      <c r="D6">
        <v>2000</v>
      </c>
      <c r="E6">
        <v>3900</v>
      </c>
      <c r="F6">
        <v>6000</v>
      </c>
    </row>
    <row r="7" spans="1:13" x14ac:dyDescent="0.45">
      <c r="A7" s="15">
        <v>50</v>
      </c>
      <c r="C7">
        <v>1200</v>
      </c>
      <c r="D7">
        <v>2400</v>
      </c>
      <c r="E7">
        <v>4800</v>
      </c>
      <c r="F7">
        <v>6000</v>
      </c>
    </row>
    <row r="8" spans="1:13" x14ac:dyDescent="0.45">
      <c r="A8" s="15">
        <v>60</v>
      </c>
      <c r="C8">
        <v>1500</v>
      </c>
      <c r="D8">
        <v>2900</v>
      </c>
      <c r="E8">
        <v>6000</v>
      </c>
      <c r="F8">
        <v>6000</v>
      </c>
    </row>
    <row r="9" spans="1:13" x14ac:dyDescent="0.45">
      <c r="A9" s="15">
        <v>70</v>
      </c>
      <c r="C9">
        <v>1700</v>
      </c>
      <c r="D9">
        <v>3400</v>
      </c>
      <c r="E9">
        <v>6000</v>
      </c>
      <c r="F9">
        <v>6000</v>
      </c>
    </row>
    <row r="10" spans="1:13" x14ac:dyDescent="0.45">
      <c r="A10" s="15">
        <v>80</v>
      </c>
      <c r="C10">
        <v>2000</v>
      </c>
      <c r="D10">
        <v>3900</v>
      </c>
      <c r="E10">
        <v>6000</v>
      </c>
      <c r="F10">
        <v>6000</v>
      </c>
    </row>
    <row r="11" spans="1:13" x14ac:dyDescent="0.45">
      <c r="A11" s="15">
        <v>90</v>
      </c>
      <c r="C11">
        <v>2200</v>
      </c>
      <c r="D11">
        <v>4400</v>
      </c>
      <c r="E11">
        <v>6000</v>
      </c>
      <c r="F11">
        <v>6000</v>
      </c>
    </row>
    <row r="12" spans="1:13" x14ac:dyDescent="0.45">
      <c r="A12" s="15">
        <v>100</v>
      </c>
      <c r="C12">
        <v>2400</v>
      </c>
      <c r="D12">
        <v>4800</v>
      </c>
      <c r="E12">
        <v>6000</v>
      </c>
      <c r="F12">
        <v>6000</v>
      </c>
    </row>
    <row r="13" spans="1:13" x14ac:dyDescent="0.45">
      <c r="A13" s="15">
        <v>110</v>
      </c>
      <c r="C13" t="s">
        <v>10</v>
      </c>
      <c r="D13">
        <v>5300</v>
      </c>
      <c r="E13">
        <v>6000</v>
      </c>
      <c r="F13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B001-8D41-4655-BECF-CACBCAC92F4B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B3" t="s">
        <v>10</v>
      </c>
      <c r="C3" t="s">
        <v>10</v>
      </c>
      <c r="D3">
        <v>1100</v>
      </c>
      <c r="E3">
        <v>2000</v>
      </c>
      <c r="F3">
        <v>3900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2400</v>
      </c>
      <c r="F4">
        <v>4800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800</v>
      </c>
      <c r="D5">
        <v>1500</v>
      </c>
      <c r="E5">
        <v>3000</v>
      </c>
      <c r="F5">
        <v>6000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1100</v>
      </c>
      <c r="D6">
        <v>2000</v>
      </c>
      <c r="E6">
        <v>3900</v>
      </c>
      <c r="F6">
        <v>6000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1200</v>
      </c>
      <c r="D7">
        <v>2400</v>
      </c>
      <c r="E7">
        <v>4800</v>
      </c>
      <c r="F7">
        <v>6000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1500</v>
      </c>
      <c r="D8">
        <v>3000</v>
      </c>
      <c r="E8">
        <v>6000</v>
      </c>
      <c r="F8">
        <v>6000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1800</v>
      </c>
      <c r="D9">
        <v>3500</v>
      </c>
      <c r="E9">
        <v>6000</v>
      </c>
      <c r="F9">
        <v>6000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2000</v>
      </c>
      <c r="D10">
        <v>3900</v>
      </c>
      <c r="E10">
        <v>6000</v>
      </c>
      <c r="F10">
        <v>6000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2300</v>
      </c>
      <c r="D11">
        <v>4400</v>
      </c>
      <c r="E11">
        <v>6000</v>
      </c>
      <c r="F11">
        <v>6000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2400</v>
      </c>
      <c r="D12">
        <v>4800</v>
      </c>
      <c r="E12">
        <v>6000</v>
      </c>
      <c r="F12">
        <v>6000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5400</v>
      </c>
      <c r="E13">
        <v>6000</v>
      </c>
      <c r="F13">
        <v>6000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FBAC-0286-4F4E-94EB-4EF8D88919BA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5">
        <v>20</v>
      </c>
      <c r="C3" t="s">
        <v>10</v>
      </c>
      <c r="D3">
        <v>-400</v>
      </c>
      <c r="E3">
        <v>-700</v>
      </c>
      <c r="F3">
        <v>-1300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-800</v>
      </c>
      <c r="F4">
        <v>-1600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-300</v>
      </c>
      <c r="D5">
        <v>-500</v>
      </c>
      <c r="E5">
        <v>-1000</v>
      </c>
      <c r="F5">
        <v>-2000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-400</v>
      </c>
      <c r="D6">
        <v>-700</v>
      </c>
      <c r="E6">
        <v>-1300</v>
      </c>
      <c r="F6">
        <v>-2000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-400</v>
      </c>
      <c r="D7">
        <v>-800</v>
      </c>
      <c r="E7">
        <v>-1600</v>
      </c>
      <c r="F7">
        <v>-2000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-500</v>
      </c>
      <c r="D8">
        <v>-1000</v>
      </c>
      <c r="E8">
        <v>-2000</v>
      </c>
      <c r="F8">
        <v>-2000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-600</v>
      </c>
      <c r="D9">
        <v>-1200</v>
      </c>
      <c r="E9">
        <v>-2000</v>
      </c>
      <c r="F9">
        <v>-2000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-700</v>
      </c>
      <c r="D10">
        <v>-1300</v>
      </c>
      <c r="E10">
        <v>-2000</v>
      </c>
      <c r="F10">
        <v>-2000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-800</v>
      </c>
      <c r="D11">
        <v>-1500</v>
      </c>
      <c r="E11">
        <v>-2000</v>
      </c>
      <c r="F11">
        <v>-2000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-800</v>
      </c>
      <c r="D12">
        <v>-1600</v>
      </c>
      <c r="E12">
        <v>-2000</v>
      </c>
      <c r="F12">
        <v>-2000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-1800</v>
      </c>
      <c r="E13">
        <v>-2000</v>
      </c>
      <c r="F13">
        <v>-2000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C909-9FD0-430A-982E-B8BC83DB0BD1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-4000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-1000</v>
      </c>
      <c r="D8">
        <v>-2000</v>
      </c>
      <c r="E8">
        <v>-4000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2020-05-30T10:59:45Z</dcterms:modified>
</cp:coreProperties>
</file>