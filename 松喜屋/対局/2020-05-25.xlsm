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4A497F2B-0DDE-4DA5-87D8-D9DF05223EB7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役一覧" sheetId="15" state="hidden" r:id="rId5"/>
    <sheet name="点数表(親ロン)" sheetId="20" state="hidden" r:id="rId6"/>
    <sheet name="点数表(親ツモ)" sheetId="21" state="hidden" r:id="rId7"/>
    <sheet name="点数表(子→親)" sheetId="22" state="hidden" r:id="rId8"/>
    <sheet name="点数表(子ロン)" sheetId="23" state="hidden" r:id="rId9"/>
    <sheet name="点数表(子ツモ)" sheetId="24" state="hidden" r:id="rId10"/>
    <sheet name="点数表(子→子)" sheetId="25" state="hidden" r:id="rId11"/>
    <sheet name="点数表(親→子)" sheetId="2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D15" i="29"/>
  <c r="C15" i="29"/>
  <c r="D14" i="29"/>
  <c r="D13" i="29"/>
  <c r="C13" i="29"/>
  <c r="C14" i="29" s="1"/>
  <c r="D12" i="29"/>
  <c r="D11" i="29"/>
  <c r="D10" i="29"/>
  <c r="D8" i="29"/>
  <c r="D9" i="29" s="1"/>
  <c r="D7" i="29"/>
  <c r="C7" i="29"/>
  <c r="C8" i="29" s="1"/>
  <c r="C9" i="29" s="1"/>
  <c r="C10" i="29" s="1"/>
  <c r="C11" i="29" s="1"/>
  <c r="C12" i="29" s="1"/>
  <c r="D6" i="29"/>
  <c r="T5" i="29"/>
  <c r="T6" i="29" s="1"/>
  <c r="O5" i="29"/>
  <c r="D5" i="29"/>
  <c r="C5" i="29"/>
  <c r="C6" i="29" s="1"/>
  <c r="B5" i="29"/>
  <c r="T4" i="29"/>
  <c r="O4" i="29"/>
  <c r="J4" i="29"/>
  <c r="U4" i="29" s="1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 s="1"/>
  <c r="D15" i="28"/>
  <c r="C15" i="28"/>
  <c r="B15" i="28"/>
  <c r="A15" i="28" s="1"/>
  <c r="D14" i="28"/>
  <c r="C14" i="28"/>
  <c r="B14" i="28"/>
  <c r="A14" i="28"/>
  <c r="D13" i="28"/>
  <c r="C13" i="28"/>
  <c r="B13" i="28"/>
  <c r="A13" i="28" s="1"/>
  <c r="D12" i="28"/>
  <c r="C12" i="28"/>
  <c r="B12" i="28"/>
  <c r="A12" i="28" s="1"/>
  <c r="D11" i="28"/>
  <c r="D10" i="28"/>
  <c r="D9" i="28"/>
  <c r="C9" i="28"/>
  <c r="C10" i="28" s="1"/>
  <c r="C11" i="28" s="1"/>
  <c r="D8" i="28"/>
  <c r="C8" i="28"/>
  <c r="D7" i="28"/>
  <c r="C7" i="28"/>
  <c r="D6" i="28"/>
  <c r="T5" i="28"/>
  <c r="T6" i="28" s="1"/>
  <c r="O5" i="28"/>
  <c r="D5" i="28"/>
  <c r="C5" i="28"/>
  <c r="C6" i="28" s="1"/>
  <c r="B5" i="28"/>
  <c r="A5" i="28" s="1"/>
  <c r="T4" i="28"/>
  <c r="O4" i="28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 s="1"/>
  <c r="D11" i="27"/>
  <c r="C11" i="27"/>
  <c r="D10" i="27"/>
  <c r="C10" i="27"/>
  <c r="D9" i="27"/>
  <c r="C9" i="27"/>
  <c r="D8" i="27"/>
  <c r="C8" i="27"/>
  <c r="D7" i="27"/>
  <c r="D6" i="27"/>
  <c r="C6" i="27"/>
  <c r="C7" i="27" s="1"/>
  <c r="B6" i="27"/>
  <c r="B7" i="27" s="1"/>
  <c r="A6" i="27"/>
  <c r="J5" i="27"/>
  <c r="D5" i="27"/>
  <c r="C5" i="27"/>
  <c r="B5" i="27"/>
  <c r="A5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V4" i="29" l="1"/>
  <c r="W4" i="29"/>
  <c r="T7" i="29"/>
  <c r="B6" i="29"/>
  <c r="J5" i="29"/>
  <c r="V5" i="29" s="1"/>
  <c r="O6" i="29"/>
  <c r="A5" i="29"/>
  <c r="V4" i="28"/>
  <c r="U4" i="28"/>
  <c r="W4" i="28"/>
  <c r="T7" i="28"/>
  <c r="B6" i="28"/>
  <c r="J5" i="28"/>
  <c r="V5" i="28" s="1"/>
  <c r="O6" i="28"/>
  <c r="W4" i="27"/>
  <c r="V4" i="27"/>
  <c r="A7" i="27"/>
  <c r="B8" i="27"/>
  <c r="O6" i="27"/>
  <c r="U4" i="27"/>
  <c r="T5" i="27"/>
  <c r="J6" i="27"/>
  <c r="W3" i="19"/>
  <c r="V3" i="19"/>
  <c r="U3" i="19"/>
  <c r="B7" i="29" l="1"/>
  <c r="A7" i="29" s="1"/>
  <c r="W5" i="29"/>
  <c r="U5" i="29"/>
  <c r="J6" i="29"/>
  <c r="T8" i="29"/>
  <c r="A6" i="29"/>
  <c r="V6" i="29"/>
  <c r="O7" i="29"/>
  <c r="B7" i="28"/>
  <c r="A7" i="28" s="1"/>
  <c r="T8" i="28"/>
  <c r="W5" i="28"/>
  <c r="J6" i="28"/>
  <c r="V6" i="28" s="1"/>
  <c r="U5" i="28"/>
  <c r="A6" i="28"/>
  <c r="O7" i="28"/>
  <c r="U6" i="27"/>
  <c r="J7" i="27"/>
  <c r="W5" i="27"/>
  <c r="T6" i="27"/>
  <c r="U5" i="27"/>
  <c r="B9" i="27"/>
  <c r="V6" i="27"/>
  <c r="O7" i="27"/>
  <c r="V5" i="27"/>
  <c r="A8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D11" i="19"/>
  <c r="C11" i="19"/>
  <c r="B11" i="19"/>
  <c r="A11" i="19" s="1"/>
  <c r="D10" i="19"/>
  <c r="C10" i="19"/>
  <c r="B10" i="19"/>
  <c r="A10" i="19" s="1"/>
  <c r="O9" i="19"/>
  <c r="O10" i="19" s="1"/>
  <c r="O11" i="19" s="1"/>
  <c r="J9" i="19"/>
  <c r="J10" i="19" s="1"/>
  <c r="D9" i="19"/>
  <c r="C9" i="19"/>
  <c r="B9" i="19"/>
  <c r="A9" i="19" s="1"/>
  <c r="T8" i="19"/>
  <c r="T9" i="19" s="1"/>
  <c r="T10" i="19" s="1"/>
  <c r="T11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J11" i="19"/>
  <c r="U11" i="19" s="1"/>
  <c r="B8" i="29"/>
  <c r="A8" i="29"/>
  <c r="O8" i="29"/>
  <c r="T9" i="29"/>
  <c r="U6" i="29"/>
  <c r="J7" i="29"/>
  <c r="V7" i="29" s="1"/>
  <c r="W6" i="29"/>
  <c r="O8" i="28"/>
  <c r="B8" i="28"/>
  <c r="J7" i="28"/>
  <c r="V7" i="28" s="1"/>
  <c r="U6" i="28"/>
  <c r="W6" i="28"/>
  <c r="T9" i="28"/>
  <c r="A9" i="27"/>
  <c r="J8" i="27"/>
  <c r="O8" i="27"/>
  <c r="B10" i="27"/>
  <c r="A10" i="27" s="1"/>
  <c r="W6" i="27"/>
  <c r="T7" i="27"/>
  <c r="U7" i="27" s="1"/>
  <c r="W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1" i="19" l="1"/>
  <c r="B9" i="29"/>
  <c r="A9" i="29" s="1"/>
  <c r="U7" i="29"/>
  <c r="J8" i="29"/>
  <c r="W7" i="29"/>
  <c r="T10" i="29"/>
  <c r="V8" i="29"/>
  <c r="O9" i="29"/>
  <c r="T10" i="28"/>
  <c r="O9" i="28"/>
  <c r="U7" i="28"/>
  <c r="J8" i="28"/>
  <c r="W7" i="28"/>
  <c r="B9" i="28"/>
  <c r="A8" i="28"/>
  <c r="V8" i="27"/>
  <c r="O9" i="27"/>
  <c r="J9" i="27"/>
  <c r="T8" i="27"/>
  <c r="U8" i="27" s="1"/>
  <c r="W7" i="27"/>
  <c r="B11" i="27"/>
  <c r="A11" i="27" s="1"/>
  <c r="V7" i="27"/>
  <c r="W5" i="19"/>
  <c r="V5" i="19"/>
  <c r="U5" i="19"/>
  <c r="T11" i="29" l="1"/>
  <c r="U8" i="29"/>
  <c r="J9" i="29"/>
  <c r="W8" i="29"/>
  <c r="V9" i="29"/>
  <c r="O10" i="29"/>
  <c r="B10" i="29"/>
  <c r="A9" i="28"/>
  <c r="T11" i="28"/>
  <c r="T12" i="28" s="1"/>
  <c r="T13" i="28" s="1"/>
  <c r="T14" i="28" s="1"/>
  <c r="T15" i="28" s="1"/>
  <c r="B10" i="28"/>
  <c r="U8" i="28"/>
  <c r="J9" i="28"/>
  <c r="V9" i="28" s="1"/>
  <c r="W8" i="28"/>
  <c r="O10" i="28"/>
  <c r="V8" i="28"/>
  <c r="O10" i="27"/>
  <c r="W8" i="27"/>
  <c r="T9" i="27"/>
  <c r="V9" i="27" s="1"/>
  <c r="U9" i="27"/>
  <c r="J10" i="27"/>
  <c r="B11" i="29" l="1"/>
  <c r="A10" i="29"/>
  <c r="O11" i="29"/>
  <c r="U9" i="29"/>
  <c r="J10" i="29"/>
  <c r="W9" i="29"/>
  <c r="T12" i="29"/>
  <c r="B11" i="28"/>
  <c r="A11" i="28" s="1"/>
  <c r="O11" i="28"/>
  <c r="O12" i="28" s="1"/>
  <c r="O13" i="28" s="1"/>
  <c r="O14" i="28" s="1"/>
  <c r="O15" i="28" s="1"/>
  <c r="U9" i="28"/>
  <c r="J10" i="28"/>
  <c r="W9" i="28"/>
  <c r="A10" i="28"/>
  <c r="O11" i="27"/>
  <c r="J11" i="27"/>
  <c r="W9" i="27"/>
  <c r="T10" i="27"/>
  <c r="U10" i="27" s="1"/>
  <c r="B12" i="29" l="1"/>
  <c r="U10" i="29"/>
  <c r="J11" i="29"/>
  <c r="W10" i="29"/>
  <c r="V10" i="29"/>
  <c r="O12" i="29"/>
  <c r="V11" i="29"/>
  <c r="T13" i="29"/>
  <c r="A11" i="29"/>
  <c r="U10" i="28"/>
  <c r="J11" i="28"/>
  <c r="J12" i="28" s="1"/>
  <c r="W10" i="28"/>
  <c r="V10" i="28"/>
  <c r="V10" i="27"/>
  <c r="W10" i="27"/>
  <c r="T11" i="27"/>
  <c r="J13" i="28" l="1"/>
  <c r="U12" i="28"/>
  <c r="W12" i="28"/>
  <c r="V12" i="28"/>
  <c r="A12" i="29"/>
  <c r="O13" i="29"/>
  <c r="U11" i="29"/>
  <c r="J12" i="29"/>
  <c r="W11" i="29"/>
  <c r="T14" i="29"/>
  <c r="B13" i="29"/>
  <c r="U11" i="28"/>
  <c r="W11" i="28"/>
  <c r="V11" i="28"/>
  <c r="W11" i="27"/>
  <c r="V11" i="27"/>
  <c r="U11" i="27"/>
  <c r="J14" i="28" l="1"/>
  <c r="W13" i="28"/>
  <c r="U13" i="28"/>
  <c r="V13" i="28"/>
  <c r="B14" i="29"/>
  <c r="T15" i="29"/>
  <c r="U12" i="29"/>
  <c r="J13" i="29"/>
  <c r="W12" i="29"/>
  <c r="O14" i="29"/>
  <c r="A13" i="29"/>
  <c r="V12" i="29"/>
  <c r="J15" i="28" l="1"/>
  <c r="V14" i="28"/>
  <c r="W14" i="28"/>
  <c r="U14" i="28"/>
  <c r="V13" i="29"/>
  <c r="A14" i="29"/>
  <c r="O15" i="29"/>
  <c r="B15" i="29"/>
  <c r="A15" i="29" s="1"/>
  <c r="U13" i="29"/>
  <c r="J14" i="29"/>
  <c r="W13" i="29"/>
  <c r="V15" i="28" l="1"/>
  <c r="U15" i="28"/>
  <c r="W15" i="28"/>
  <c r="V14" i="29"/>
  <c r="U14" i="29"/>
  <c r="J15" i="29"/>
  <c r="W14" i="29"/>
  <c r="U15" i="29" l="1"/>
  <c r="W15" i="29"/>
  <c r="V15" i="29"/>
</calcChain>
</file>

<file path=xl/sharedStrings.xml><?xml version="1.0" encoding="utf-8"?>
<sst xmlns="http://schemas.openxmlformats.org/spreadsheetml/2006/main" count="1121" uniqueCount="209">
  <si>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</si>
  <si>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</si>
  <si>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</si>
  <si>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</si>
  <si>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</si>
  <si>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</si>
  <si>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</si>
  <si>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</si>
  <si>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</si>
  <si>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</si>
  <si>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</si>
  <si>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</si>
  <si>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</si>
  <si>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</si>
  <si>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</si>
  <si>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</si>
  <si>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</si>
  <si>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</si>
  <si>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</si>
  <si>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</si>
  <si>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</si>
  <si>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</si>
  <si>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</si>
  <si>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</si>
  <si>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</si>
  <si>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</si>
  <si>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</si>
  <si>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</si>
  <si>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</si>
  <si>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</si>
  <si>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</si>
  <si>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</si>
  <si>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</si>
  <si>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</si>
  <si>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</si>
  <si>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</si>
  <si>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</si>
  <si>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</si>
  <si>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</si>
  <si>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</si>
  <si>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</si>
  <si>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</si>
  <si>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</si>
  <si>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</si>
  <si>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</si>
  <si>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</si>
  <si>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</si>
  <si>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</si>
  <si>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</si>
  <si>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</si>
  <si>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</si>
  <si>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</si>
  <si>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</si>
  <si>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</si>
  <si>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</si>
  <si>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</si>
  <si>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</si>
  <si>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</si>
  <si>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</si>
  <si>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</si>
  <si>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</si>
  <si>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</si>
  <si>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</si>
  <si>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</si>
  <si>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</si>
  <si>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</si>
  <si>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</si>
  <si>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</si>
  <si>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</si>
  <si>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</si>
  <si>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</si>
  <si>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</si>
  <si>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</si>
  <si>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</si>
  <si>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</si>
  <si>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</si>
  <si>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</si>
  <si>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</si>
  <si>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</si>
  <si>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</si>
  <si>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</si>
  <si>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</si>
  <si>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</si>
  <si>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</si>
  <si>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</si>
  <si>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</si>
  <si>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</si>
  <si>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</si>
  <si>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</si>
  <si>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</si>
  <si>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</si>
  <si>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</si>
  <si>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</si>
  <si>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</si>
  <si>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</si>
  <si>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</si>
  <si>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</si>
  <si>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</si>
  <si>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</si>
  <si>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</si>
  <si>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</si>
  <si>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</si>
  <si>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</si>
  <si>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</si>
  <si>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</si>
  <si>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</si>
  <si>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</si>
  <si>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</si>
  <si>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</si>
  <si>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</si>
  <si>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</si>
  <si>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</si>
  <si>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</si>
  <si>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</si>
  <si>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</si>
  <si>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</si>
  <si>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</si>
  <si>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</si>
  <si>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</si>
  <si>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</si>
  <si>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</si>
  <si>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</si>
  <si>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</si>
  <si>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</si>
  <si>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</si>
  <si>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</si>
  <si>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</si>
  <si>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</si>
  <si>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</si>
  <si>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</si>
  <si>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</si>
  <si>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</si>
  <si>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</si>
  <si>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</si>
  <si>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</si>
  <si>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</si>
  <si>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</si>
  <si>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</si>
  <si>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</si>
  <si>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</si>
  <si>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</si>
  <si>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</si>
  <si>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</si>
  <si>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</si>
  <si>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</si>
  <si>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</si>
  <si>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</si>
  <si>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</si>
  <si>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</si>
  <si>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</si>
  <si>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</si>
  <si>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</si>
  <si>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</si>
  <si>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</si>
  <si>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</si>
  <si>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</si>
  <si>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</si>
  <si>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</si>
  <si>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</si>
  <si>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</si>
  <si>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</si>
  <si>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</si>
  <si>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</si>
  <si>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</si>
  <si>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</si>
  <si>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</si>
  <si>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</si>
  <si>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</si>
  <si>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</si>
  <si>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</si>
  <si>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</si>
  <si>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</si>
  <si>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</si>
  <si>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</si>
  <si>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</si>
  <si>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</si>
  <si>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</si>
  <si>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</si>
  <si>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</si>
  <si>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</si>
  <si>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</si>
  <si>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</si>
  <si>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</si>
  <si>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</si>
  <si>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</si>
  <si>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</si>
  <si>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</si>
  <si>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</si>
  <si>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</si>
  <si>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</si>
  <si>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</si>
  <si>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</si>
  <si>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</si>
  <si>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</si>
  <si>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</si>
  <si>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ロン</t>
  </si>
  <si>
    <t>放銃</t>
  </si>
  <si>
    <t>01</t>
  </si>
  <si>
    <t>52</t>
  </si>
  <si>
    <t>パパ</t>
  </si>
  <si>
    <t>ツモ支払</t>
  </si>
  <si>
    <t>ツモ</t>
  </si>
  <si>
    <t>*</t>
  </si>
  <si>
    <t>だいち</t>
  </si>
  <si>
    <t>N</t>
  </si>
  <si>
    <t>流局</t>
    <phoneticPr fontId="1"/>
  </si>
  <si>
    <t>T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</si>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</sst>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3900</v>
      </c>
      <c r="H4" s="9"/>
      <c r="I4" s="47">
        <v>0</v>
      </c>
      <c r="J4" s="21">
        <f>IF(COUNTA($F4,$K4,$P4)&gt;0,J3+SUM(G4:I4),"")</f>
        <v>28900</v>
      </c>
      <c r="K4" s="8" t="s">
        <v>196</v>
      </c>
      <c r="L4" s="9">
        <v>-3900</v>
      </c>
      <c r="M4" s="9"/>
      <c r="N4" s="47">
        <v>0</v>
      </c>
      <c r="O4" s="21">
        <f>IF(COUNTA($F4,$K4,$P4)&gt;0,O3+SUM(L4:N4),"")</f>
        <v>21100</v>
      </c>
      <c r="P4" s="8"/>
      <c r="Q4" s="9"/>
      <c r="R4" s="9"/>
      <c r="S4" s="47"/>
      <c r="T4" s="21">
        <f>IF(COUNTA($F4,$K4,$P4)&gt;0,T3+SUM(Q4:S4),"")</f>
        <v>25000</v>
      </c>
      <c r="U4" s="52">
        <f>IF($J4="","",ROUND(($J4-$J$3)/1000,1)+(_xlfn.RANK.AVG($J4,($J4,$O4,$T4),1)-2)*10)</f>
        <v>13.9</v>
      </c>
      <c r="V4" s="53">
        <f>IF($O4="","",ROUND(($O4-$O$3)/1000,1)+(_xlfn.RANK.AVG($O4,($J4,$O4,$T4),1)-2)*10)</f>
        <v>-13.9</v>
      </c>
      <c r="W4" s="54">
        <f>IF($T4="","",ROUND(($T4-$T$3)/1000,1)+(_xlfn.RANK.AVG($T4,($J4,$O4,$T4),1)-2)*10)</f>
        <v>0</v>
      </c>
      <c r="Y4" s="8"/>
      <c r="Z4" s="33"/>
      <c r="AA4" s="26">
        <v>1</v>
      </c>
      <c r="AB4" s="26"/>
      <c r="AC4" s="26">
        <v>3</v>
      </c>
      <c r="AD4" s="30">
        <v>40</v>
      </c>
      <c r="AE4" s="39" t="s">
        <v>197</v>
      </c>
      <c r="AF4" s="40" t="s">
        <v>86</v>
      </c>
      <c r="AG4" s="40" t="s">
        <v>198</v>
      </c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200</v>
      </c>
      <c r="G5" s="9">
        <v>-6000</v>
      </c>
      <c r="H5" s="9"/>
      <c r="I5" s="47">
        <v>0</v>
      </c>
      <c r="J5" s="21">
        <f t="shared" ref="J5:J30" si="2">IF(COUNTA($F5,$K5,$P5)&gt;0,J4+SUM(G5:I5),"")</f>
        <v>22900</v>
      </c>
      <c r="K5" s="8" t="s">
        <v>201</v>
      </c>
      <c r="L5" s="9">
        <v>9000</v>
      </c>
      <c r="M5" s="9"/>
      <c r="N5" s="47">
        <v>0</v>
      </c>
      <c r="O5" s="21">
        <f t="shared" ref="O5:O30" si="3">IF(COUNTA($F5,$K5,$P5)&gt;0,O4+SUM(L5:N5),"")</f>
        <v>30100</v>
      </c>
      <c r="P5" s="8" t="s">
        <v>200</v>
      </c>
      <c r="Q5" s="9">
        <v>-3000</v>
      </c>
      <c r="R5" s="9"/>
      <c r="S5" s="47">
        <v>0</v>
      </c>
      <c r="T5" s="21">
        <f t="shared" ref="T5:T30" si="4">IF(COUNTA($F5,$K5,$P5)&gt;0,T4+SUM(Q5:S5),"")</f>
        <v>22000</v>
      </c>
      <c r="U5" s="52">
        <f>IF($J5="","",ROUND(($J5-$J$3)/1000,1)+(_xlfn.RANK.AVG($J5,($J5,$O5,$T5),1)-2)*10)</f>
        <v>-2.1</v>
      </c>
      <c r="V5" s="53">
        <f>IF($O5="","",ROUND(($O5-$O$3)/1000,1)+(_xlfn.RANK.AVG($O5,($J5,$O5,$T5),1)-2)*10)</f>
        <v>15.1</v>
      </c>
      <c r="W5" s="54">
        <f>IF($T5="","",ROUND(($T5-$T$3)/1000,1)+(_xlfn.RANK.AVG($T5,($J5,$O5,$T5),1)-2)*10)</f>
        <v>-13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>
        <v>6</v>
      </c>
      <c r="AY5" s="30" t="s">
        <v>202</v>
      </c>
      <c r="AZ5" s="39" t="s">
        <v>82</v>
      </c>
      <c r="BA5" s="40" t="s">
        <v>85</v>
      </c>
      <c r="BB5" s="40" t="s">
        <v>79</v>
      </c>
      <c r="BC5" s="40" t="s">
        <v>79</v>
      </c>
      <c r="BD5" s="40" t="s">
        <v>79</v>
      </c>
      <c r="BE5" s="40" t="s">
        <v>198</v>
      </c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203</v>
      </c>
      <c r="F6" s="8" t="s">
        <v>205</v>
      </c>
      <c r="G6" s="9">
        <v>0</v>
      </c>
      <c r="H6" s="9"/>
      <c r="I6" s="47"/>
      <c r="J6" s="21">
        <f t="shared" si="2"/>
        <v>22900</v>
      </c>
      <c r="K6" s="8" t="s">
        <v>205</v>
      </c>
      <c r="L6" s="9">
        <v>0</v>
      </c>
      <c r="M6" s="9"/>
      <c r="N6" s="47"/>
      <c r="O6" s="21">
        <f t="shared" si="3"/>
        <v>30100</v>
      </c>
      <c r="P6" s="8" t="s">
        <v>205</v>
      </c>
      <c r="Q6" s="9">
        <v>0</v>
      </c>
      <c r="R6" s="9"/>
      <c r="S6" s="47"/>
      <c r="T6" s="21">
        <f t="shared" si="4"/>
        <v>22000</v>
      </c>
      <c r="U6" s="52">
        <f>IF($J6="","",ROUND(($J6-$J$3)/1000,1)+(_xlfn.RANK.AVG($J6,($J6,$O6,$T6),1)-2)*10)</f>
        <v>-2.1</v>
      </c>
      <c r="V6" s="53">
        <f>IF($O6="","",ROUND(($O6-$O$3)/1000,1)+(_xlfn.RANK.AVG($O6,($J6,$O6,$T6),1)-2)*10)</f>
        <v>15.1</v>
      </c>
      <c r="W6" s="54">
        <f>IF($T6="","",ROUND(($T6-$T$3)/1000,1)+(_xlfn.RANK.AVG($T6,($J6,$O6,$T6),1)-2)*10)</f>
        <v>-13</v>
      </c>
      <c r="Y6" s="8" t="s">
        <v>204</v>
      </c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 t="s">
        <v>204</v>
      </c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 t="s">
        <v>204</v>
      </c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196</v>
      </c>
      <c r="G7" s="9">
        <v>-1500</v>
      </c>
      <c r="H7" s="9"/>
      <c r="I7" s="47">
        <v>-1000</v>
      </c>
      <c r="J7" s="21">
        <f t="shared" si="2"/>
        <v>20400</v>
      </c>
      <c r="K7" s="8" t="s">
        <v>195</v>
      </c>
      <c r="L7" s="9">
        <v>1500</v>
      </c>
      <c r="M7" s="9"/>
      <c r="N7" s="47">
        <v>1000</v>
      </c>
      <c r="O7" s="21">
        <f t="shared" si="3"/>
        <v>32600</v>
      </c>
      <c r="P7" s="8"/>
      <c r="Q7" s="9"/>
      <c r="R7" s="9"/>
      <c r="S7" s="47"/>
      <c r="T7" s="21">
        <f t="shared" si="4"/>
        <v>22000</v>
      </c>
      <c r="U7" s="52">
        <f>IF($J7="","",ROUND(($J7-$J$3)/1000,1)+(_xlfn.RANK.AVG($J7,($J7,$O7,$T7),1)-2)*10)</f>
        <v>-14.6</v>
      </c>
      <c r="V7" s="53">
        <f>IF($O7="","",ROUND(($O7-$O$3)/1000,1)+(_xlfn.RANK.AVG($O7,($J7,$O7,$T7),1)-2)*10)</f>
        <v>17.600000000000001</v>
      </c>
      <c r="W7" s="54">
        <f>IF($T7="","",ROUND(($T7-$T$3)/1000,1)+(_xlfn.RANK.AVG($T7,($J7,$O7,$T7),1)-2)*10)</f>
        <v>-3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>
        <v>2</v>
      </c>
      <c r="AY7" s="30">
        <v>30</v>
      </c>
      <c r="AZ7" s="39" t="s">
        <v>83</v>
      </c>
      <c r="BA7" s="40" t="s">
        <v>79</v>
      </c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205</v>
      </c>
      <c r="G8" s="9">
        <v>1000</v>
      </c>
      <c r="H8" s="9"/>
      <c r="I8" s="47"/>
      <c r="J8" s="21">
        <f t="shared" si="2"/>
        <v>21400</v>
      </c>
      <c r="K8" s="8" t="s">
        <v>205</v>
      </c>
      <c r="L8" s="9">
        <v>-2000</v>
      </c>
      <c r="M8" s="9"/>
      <c r="N8" s="47"/>
      <c r="O8" s="21">
        <f t="shared" si="3"/>
        <v>30600</v>
      </c>
      <c r="P8" s="8" t="s">
        <v>205</v>
      </c>
      <c r="Q8" s="9">
        <v>1000</v>
      </c>
      <c r="R8" s="9">
        <v>-1000</v>
      </c>
      <c r="S8" s="47"/>
      <c r="T8" s="21">
        <f t="shared" si="4"/>
        <v>22000</v>
      </c>
      <c r="U8" s="52">
        <f>IF($J8="","",ROUND(($J8-$J$3)/1000,1)+(_xlfn.RANK.AVG($J8,($J8,$O8,$T8),1)-2)*10)</f>
        <v>-13.6</v>
      </c>
      <c r="V8" s="53">
        <f>IF($O8="","",ROUND(($O8-$O$3)/1000,1)+(_xlfn.RANK.AVG($O8,($J8,$O8,$T8),1)-2)*10)</f>
        <v>15.6</v>
      </c>
      <c r="W8" s="54">
        <f>IF($T8="","",ROUND(($T8-$T$3)/1000,1)+(_xlfn.RANK.AVG($T8,($J8,$O8,$T8),1)-2)*10)</f>
        <v>-3</v>
      </c>
      <c r="Y8" s="8" t="s">
        <v>206</v>
      </c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204</v>
      </c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206</v>
      </c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199</v>
      </c>
      <c r="F9" s="8" t="s">
        <v>195</v>
      </c>
      <c r="G9" s="9">
        <v>8000</v>
      </c>
      <c r="H9" s="9">
        <v>1000</v>
      </c>
      <c r="I9" s="47">
        <v>1000</v>
      </c>
      <c r="J9" s="21">
        <f t="shared" si="2"/>
        <v>31400</v>
      </c>
      <c r="K9" s="8"/>
      <c r="L9" s="9"/>
      <c r="M9" s="9"/>
      <c r="N9" s="47"/>
      <c r="O9" s="21">
        <f t="shared" si="3"/>
        <v>30600</v>
      </c>
      <c r="P9" s="8" t="s">
        <v>196</v>
      </c>
      <c r="Q9" s="9">
        <v>-8000</v>
      </c>
      <c r="R9" s="9"/>
      <c r="S9" s="47">
        <v>-1000</v>
      </c>
      <c r="T9" s="21">
        <f t="shared" si="4"/>
        <v>13000</v>
      </c>
      <c r="U9" s="52">
        <f>IF($J9="","",ROUND(($J9-$J$3)/1000,1)+(_xlfn.RANK.AVG($J9,($J9,$O9,$T9),1)-2)*10)</f>
        <v>16.399999999999999</v>
      </c>
      <c r="V9" s="53">
        <f>IF($O9="","",ROUND(($O9-$O$3)/1000,1)+(_xlfn.RANK.AVG($O9,($J9,$O9,$T9),1)-2)*10)</f>
        <v>5.6</v>
      </c>
      <c r="W9" s="54">
        <f>IF($T9="","",ROUND(($T9-$T$3)/1000,1)+(_xlfn.RANK.AVG($T9,($J9,$O9,$T9),1)-2)*10)</f>
        <v>-22</v>
      </c>
      <c r="Y9" s="8"/>
      <c r="Z9" s="33"/>
      <c r="AA9" s="26"/>
      <c r="AB9" s="26">
        <v>1</v>
      </c>
      <c r="AC9" s="26">
        <v>4</v>
      </c>
      <c r="AD9" s="30">
        <v>30</v>
      </c>
      <c r="AE9" s="39" t="s">
        <v>86</v>
      </c>
      <c r="AF9" s="40" t="s">
        <v>104</v>
      </c>
      <c r="AG9" s="40" t="s">
        <v>79</v>
      </c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199</v>
      </c>
      <c r="F10" s="8" t="s">
        <v>200</v>
      </c>
      <c r="G10" s="9">
        <v>-8000</v>
      </c>
      <c r="H10" s="9"/>
      <c r="I10" s="47">
        <v>-1000</v>
      </c>
      <c r="J10" s="21">
        <f t="shared" si="2"/>
        <v>22400</v>
      </c>
      <c r="K10" s="8" t="s">
        <v>200</v>
      </c>
      <c r="L10" s="9">
        <v>-4000</v>
      </c>
      <c r="M10" s="9"/>
      <c r="N10" s="47">
        <v>-1000</v>
      </c>
      <c r="O10" s="21">
        <f t="shared" si="3"/>
        <v>25600</v>
      </c>
      <c r="P10" s="8" t="s">
        <v>201</v>
      </c>
      <c r="Q10" s="9">
        <v>12000</v>
      </c>
      <c r="R10" s="9"/>
      <c r="S10" s="47">
        <v>2000</v>
      </c>
      <c r="T10" s="21">
        <f t="shared" si="4"/>
        <v>27000</v>
      </c>
      <c r="U10" s="52">
        <f>IF($J10="","",ROUND(($J10-$J$3)/1000,1)+(_xlfn.RANK.AVG($J10,($J10,$O10,$T10),1)-2)*10)</f>
        <v>-12.6</v>
      </c>
      <c r="V10" s="53">
        <f>IF($O10="","",ROUND(($O10-$O$3)/1000,1)+(_xlfn.RANK.AVG($O10,($J10,$O10,$T10),1)-2)*10)</f>
        <v>0.6</v>
      </c>
      <c r="W10" s="54">
        <f>IF($T10="","",ROUND(($T10-$T$3)/1000,1)+(_xlfn.RANK.AVG($T10,($J10,$O10,$T10),1)-2)*10)</f>
        <v>12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9</v>
      </c>
      <c r="BT10" s="30" t="s">
        <v>202</v>
      </c>
      <c r="BU10" s="39" t="s">
        <v>197</v>
      </c>
      <c r="BV10" s="40" t="s">
        <v>82</v>
      </c>
      <c r="BW10" s="40" t="s">
        <v>84</v>
      </c>
      <c r="BX10" s="40" t="s">
        <v>207</v>
      </c>
      <c r="BY10" s="40" t="s">
        <v>198</v>
      </c>
      <c r="BZ10" s="40" t="s">
        <v>79</v>
      </c>
      <c r="CA10" s="40" t="s">
        <v>79</v>
      </c>
      <c r="CB10" s="40" t="s">
        <v>80</v>
      </c>
      <c r="CC10" s="40" t="s">
        <v>80</v>
      </c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203</v>
      </c>
      <c r="F11" s="8" t="s">
        <v>196</v>
      </c>
      <c r="G11" s="9">
        <v>-6000</v>
      </c>
      <c r="H11" s="9"/>
      <c r="I11" s="47">
        <v>0</v>
      </c>
      <c r="J11" s="21">
        <f t="shared" si="2"/>
        <v>16400</v>
      </c>
      <c r="K11" s="8"/>
      <c r="L11" s="9"/>
      <c r="M11" s="9"/>
      <c r="N11" s="47"/>
      <c r="O11" s="21">
        <f t="shared" si="3"/>
        <v>25600</v>
      </c>
      <c r="P11" s="8" t="s">
        <v>195</v>
      </c>
      <c r="Q11" s="9">
        <v>6000</v>
      </c>
      <c r="R11" s="9"/>
      <c r="S11" s="47">
        <v>0</v>
      </c>
      <c r="T11" s="21">
        <f t="shared" si="4"/>
        <v>33000</v>
      </c>
      <c r="U11" s="52">
        <f>IF($J11="","",ROUND(($J11-$J$3)/1000,1)+(_xlfn.RANK.AVG($J11,($J11,$O11,$T11),1)-2)*10)</f>
        <v>-18.600000000000001</v>
      </c>
      <c r="V11" s="53">
        <f>IF($O11="","",ROUND(($O11-$O$3)/1000,1)+(_xlfn.RANK.AVG($O11,($J11,$O11,$T11),1)-2)*10)</f>
        <v>0.6</v>
      </c>
      <c r="W11" s="54">
        <f>IF($T11="","",ROUND(($T11-$T$3)/1000,1)+(_xlfn.RANK.AVG($T11,($J11,$O11,$T11),1)-2)*10)</f>
        <v>18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>
        <v>4</v>
      </c>
      <c r="BT11" s="30">
        <v>30</v>
      </c>
      <c r="BU11" s="39" t="s">
        <v>86</v>
      </c>
      <c r="BV11" s="40" t="s">
        <v>104</v>
      </c>
      <c r="BW11" s="40" t="s">
        <v>198</v>
      </c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46D9334-92DA-42F4-A5C2-687BB1299211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1D6B-868F-4B6D-85D2-F78AB795DC0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-8000</v>
      </c>
      <c r="H4" s="9">
        <v>-1000</v>
      </c>
      <c r="I4" s="47">
        <v>0</v>
      </c>
      <c r="J4" s="21">
        <f>IF(COUNTA($F4,$K4,$P4)&gt;0,J3+SUM(G4:I4),"")</f>
        <v>16000</v>
      </c>
      <c r="K4" s="8" t="s">
        <v>201</v>
      </c>
      <c r="L4" s="9">
        <v>16000</v>
      </c>
      <c r="M4" s="9">
        <v>2000</v>
      </c>
      <c r="N4" s="47">
        <v>0</v>
      </c>
      <c r="O4" s="21">
        <f>IF(COUNTA($F4,$K4,$P4)&gt;0,O3+SUM(L4:N4),"")</f>
        <v>43000</v>
      </c>
      <c r="P4" s="8" t="s">
        <v>200</v>
      </c>
      <c r="Q4" s="9">
        <v>-8000</v>
      </c>
      <c r="R4" s="9">
        <v>-1000</v>
      </c>
      <c r="S4" s="47">
        <v>0</v>
      </c>
      <c r="T4" s="21">
        <f>IF(COUNTA($F4,$K4,$P4)&gt;0,T3+SUM(Q4:S4),"")</f>
        <v>16000</v>
      </c>
      <c r="U4" s="52">
        <f>IF($J4="","",ROUND(($J4-$J$3)/1000,1)+(_xlfn.RANK.AVG($J4,($J4,$O4,$T4),1)-2)*10)</f>
        <v>-14</v>
      </c>
      <c r="V4" s="53">
        <f>IF($O4="","",ROUND(($O4-$O$3)/1000,1)+(_xlfn.RANK.AVG($O4,($J4,$O4,$T4),1)-2)*10)</f>
        <v>28</v>
      </c>
      <c r="W4" s="54">
        <f>IF($T4="","",ROUND(($T4-$T$3)/1000,1)+(_xlfn.RANK.AVG($T4,($J4,$O4,$T4),1)-2)*10)</f>
        <v>-14</v>
      </c>
      <c r="Y4" s="8"/>
      <c r="Z4" s="33"/>
      <c r="AA4" s="26">
        <v>1</v>
      </c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>
        <v>8</v>
      </c>
      <c r="AY4" s="30" t="s">
        <v>202</v>
      </c>
      <c r="AZ4" s="39" t="s">
        <v>87</v>
      </c>
      <c r="BA4" s="40" t="s">
        <v>82</v>
      </c>
      <c r="BB4" s="40" t="s">
        <v>101</v>
      </c>
      <c r="BC4" s="40" t="s">
        <v>79</v>
      </c>
      <c r="BD4" s="40" t="s">
        <v>79</v>
      </c>
      <c r="BE4" s="40" t="s">
        <v>198</v>
      </c>
      <c r="BF4" s="40" t="s">
        <v>198</v>
      </c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203</v>
      </c>
      <c r="F5" s="8" t="s">
        <v>196</v>
      </c>
      <c r="G5" s="9">
        <v>-8000</v>
      </c>
      <c r="H5" s="9"/>
      <c r="I5" s="47">
        <v>-1000</v>
      </c>
      <c r="J5" s="21">
        <f t="shared" ref="J5:J30" si="2">IF(COUNTA($F5,$K5,$P5)&gt;0,J4+SUM(G5:I5),"")</f>
        <v>7000</v>
      </c>
      <c r="K5" s="8" t="s">
        <v>195</v>
      </c>
      <c r="L5" s="9">
        <v>8000</v>
      </c>
      <c r="M5" s="9"/>
      <c r="N5" s="47">
        <v>1000</v>
      </c>
      <c r="O5" s="21">
        <f t="shared" ref="O5:O30" si="3">IF(COUNTA($F5,$K5,$P5)&gt;0,O4+SUM(L5:N5),"")</f>
        <v>52000</v>
      </c>
      <c r="P5" s="8"/>
      <c r="Q5" s="9"/>
      <c r="R5" s="9"/>
      <c r="S5" s="47"/>
      <c r="T5" s="21">
        <f t="shared" ref="T5:T30" si="4">IF(COUNTA($F5,$K5,$P5)&gt;0,T4+SUM(Q5:S5),"")</f>
        <v>16000</v>
      </c>
      <c r="U5" s="52">
        <f>IF($J5="","",ROUND(($J5-$J$3)/1000,1)+(_xlfn.RANK.AVG($J5,($J5,$O5,$T5),1)-2)*10)</f>
        <v>-28</v>
      </c>
      <c r="V5" s="53">
        <f>IF($O5="","",ROUND(($O5-$O$3)/1000,1)+(_xlfn.RANK.AVG($O5,($J5,$O5,$T5),1)-2)*10)</f>
        <v>37</v>
      </c>
      <c r="W5" s="54">
        <f>IF($T5="","",ROUND(($T5-$T$3)/1000,1)+(_xlfn.RANK.AVG($T5,($J5,$O5,$T5),1)-2)*10)</f>
        <v>-9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>
        <v>4</v>
      </c>
      <c r="AY5" s="30">
        <v>30</v>
      </c>
      <c r="AZ5" s="39" t="s">
        <v>86</v>
      </c>
      <c r="BA5" s="40" t="s">
        <v>86</v>
      </c>
      <c r="BB5" s="40" t="s">
        <v>86</v>
      </c>
      <c r="BC5" s="40" t="s">
        <v>198</v>
      </c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203</v>
      </c>
      <c r="F6" s="8" t="s">
        <v>195</v>
      </c>
      <c r="G6" s="9">
        <v>2000</v>
      </c>
      <c r="H6" s="9"/>
      <c r="I6" s="47">
        <v>2000</v>
      </c>
      <c r="J6" s="21">
        <f t="shared" si="2"/>
        <v>11000</v>
      </c>
      <c r="K6" s="8"/>
      <c r="L6" s="9"/>
      <c r="M6" s="9"/>
      <c r="N6" s="47"/>
      <c r="O6" s="21">
        <f t="shared" si="3"/>
        <v>52000</v>
      </c>
      <c r="P6" s="8" t="s">
        <v>196</v>
      </c>
      <c r="Q6" s="9">
        <v>-2000</v>
      </c>
      <c r="R6" s="9"/>
      <c r="S6" s="47">
        <v>-2000</v>
      </c>
      <c r="T6" s="21">
        <f t="shared" si="4"/>
        <v>12000</v>
      </c>
      <c r="U6" s="52">
        <f>IF($J6="","",ROUND(($J6-$J$3)/1000,1)+(_xlfn.RANK.AVG($J6,($J6,$O6,$T6),1)-2)*10)</f>
        <v>-24</v>
      </c>
      <c r="V6" s="53">
        <f>IF($O6="","",ROUND(($O6-$O$3)/1000,1)+(_xlfn.RANK.AVG($O6,($J6,$O6,$T6),1)-2)*10)</f>
        <v>37</v>
      </c>
      <c r="W6" s="54">
        <f>IF($T6="","",ROUND(($T6-$T$3)/1000,1)+(_xlfn.RANK.AVG($T6,($J6,$O6,$T6),1)-2)*10)</f>
        <v>-13</v>
      </c>
      <c r="Y6" s="8"/>
      <c r="Z6" s="33"/>
      <c r="AA6" s="26">
        <v>1</v>
      </c>
      <c r="AB6" s="26"/>
      <c r="AC6" s="26">
        <v>2</v>
      </c>
      <c r="AD6" s="30">
        <v>40</v>
      </c>
      <c r="AE6" s="39" t="s">
        <v>197</v>
      </c>
      <c r="AF6" s="40" t="s">
        <v>86</v>
      </c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195</v>
      </c>
      <c r="G7" s="9">
        <v>2900</v>
      </c>
      <c r="H7" s="9"/>
      <c r="I7" s="47">
        <v>0</v>
      </c>
      <c r="J7" s="21">
        <f t="shared" si="2"/>
        <v>13900</v>
      </c>
      <c r="K7" s="8" t="s">
        <v>196</v>
      </c>
      <c r="L7" s="9">
        <v>-2900</v>
      </c>
      <c r="M7" s="9"/>
      <c r="N7" s="47">
        <v>0</v>
      </c>
      <c r="O7" s="21">
        <f t="shared" si="3"/>
        <v>49100</v>
      </c>
      <c r="P7" s="8"/>
      <c r="Q7" s="9"/>
      <c r="R7" s="9"/>
      <c r="S7" s="47"/>
      <c r="T7" s="21">
        <f t="shared" si="4"/>
        <v>12000</v>
      </c>
      <c r="U7" s="52">
        <f>IF($J7="","",ROUND(($J7-$J$3)/1000,1)+(_xlfn.RANK.AVG($J7,($J7,$O7,$T7),1)-2)*10)</f>
        <v>-11.1</v>
      </c>
      <c r="V7" s="53">
        <f>IF($O7="","",ROUND(($O7-$O$3)/1000,1)+(_xlfn.RANK.AVG($O7,($J7,$O7,$T7),1)-2)*10)</f>
        <v>34.1</v>
      </c>
      <c r="W7" s="54">
        <f>IF($T7="","",ROUND(($T7-$T$3)/1000,1)+(_xlfn.RANK.AVG($T7,($J7,$O7,$T7),1)-2)*10)</f>
        <v>-23</v>
      </c>
      <c r="Y7" s="8"/>
      <c r="Z7" s="33"/>
      <c r="AA7" s="26">
        <v>1</v>
      </c>
      <c r="AB7" s="26"/>
      <c r="AC7" s="26">
        <v>3</v>
      </c>
      <c r="AD7" s="30">
        <v>30</v>
      </c>
      <c r="AE7" s="39" t="s">
        <v>197</v>
      </c>
      <c r="AF7" s="40" t="s">
        <v>83</v>
      </c>
      <c r="AG7" s="40" t="s">
        <v>79</v>
      </c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196</v>
      </c>
      <c r="G8" s="9">
        <v>-2000</v>
      </c>
      <c r="H8" s="9"/>
      <c r="I8" s="47">
        <v>0</v>
      </c>
      <c r="J8" s="21">
        <f t="shared" si="2"/>
        <v>11900</v>
      </c>
      <c r="K8" s="8" t="s">
        <v>195</v>
      </c>
      <c r="L8" s="9">
        <v>2000</v>
      </c>
      <c r="M8" s="9"/>
      <c r="N8" s="47">
        <v>0</v>
      </c>
      <c r="O8" s="21">
        <f t="shared" si="3"/>
        <v>51100</v>
      </c>
      <c r="P8" s="8"/>
      <c r="Q8" s="9"/>
      <c r="R8" s="9"/>
      <c r="S8" s="47"/>
      <c r="T8" s="21">
        <f t="shared" si="4"/>
        <v>12000</v>
      </c>
      <c r="U8" s="52">
        <f>IF($J8="","",ROUND(($J8-$J$3)/1000,1)+(_xlfn.RANK.AVG($J8,($J8,$O8,$T8),1)-2)*10)</f>
        <v>-23.1</v>
      </c>
      <c r="V8" s="53">
        <f>IF($O8="","",ROUND(($O8-$O$3)/1000,1)+(_xlfn.RANK.AVG($O8,($J8,$O8,$T8),1)-2)*10)</f>
        <v>36.1</v>
      </c>
      <c r="W8" s="54">
        <f>IF($T8="","",ROUND(($T8-$T$3)/1000,1)+(_xlfn.RANK.AVG($T8,($J8,$O8,$T8),1)-2)*10)</f>
        <v>-13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2</v>
      </c>
      <c r="AY8" s="30">
        <v>40</v>
      </c>
      <c r="AZ8" s="39" t="s">
        <v>197</v>
      </c>
      <c r="BA8" s="40" t="s">
        <v>86</v>
      </c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203</v>
      </c>
      <c r="F9" s="8" t="s">
        <v>200</v>
      </c>
      <c r="G9" s="9">
        <v>-2600</v>
      </c>
      <c r="H9" s="9"/>
      <c r="I9" s="47">
        <v>0</v>
      </c>
      <c r="J9" s="21">
        <f t="shared" si="2"/>
        <v>9300</v>
      </c>
      <c r="K9" s="8" t="s">
        <v>201</v>
      </c>
      <c r="L9" s="9">
        <v>5200</v>
      </c>
      <c r="M9" s="9">
        <v>1000</v>
      </c>
      <c r="N9" s="47">
        <v>0</v>
      </c>
      <c r="O9" s="21">
        <f t="shared" si="3"/>
        <v>57300</v>
      </c>
      <c r="P9" s="8" t="s">
        <v>200</v>
      </c>
      <c r="Q9" s="9">
        <v>-2600</v>
      </c>
      <c r="R9" s="9">
        <v>-1000</v>
      </c>
      <c r="S9" s="47">
        <v>0</v>
      </c>
      <c r="T9" s="21">
        <f t="shared" si="4"/>
        <v>8400</v>
      </c>
      <c r="U9" s="52">
        <f>IF($J9="","",ROUND(($J9-$J$3)/1000,1)+(_xlfn.RANK.AVG($J9,($J9,$O9,$T9),1)-2)*10)</f>
        <v>-15.7</v>
      </c>
      <c r="V9" s="53">
        <f>IF($O9="","",ROUND(($O9-$O$3)/1000,1)+(_xlfn.RANK.AVG($O9,($J9,$O9,$T9),1)-2)*10)</f>
        <v>42.3</v>
      </c>
      <c r="W9" s="54">
        <f>IF($T9="","",ROUND(($T9-$T$3)/1000,1)+(_xlfn.RANK.AVG($T9,($J9,$O9,$T9),1)-2)*10)</f>
        <v>-26.6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>
        <v>1</v>
      </c>
      <c r="AX9" s="26">
        <v>3</v>
      </c>
      <c r="AY9" s="30">
        <v>40</v>
      </c>
      <c r="AZ9" s="39" t="s">
        <v>86</v>
      </c>
      <c r="BA9" s="40" t="s">
        <v>79</v>
      </c>
      <c r="BB9" s="40" t="s">
        <v>198</v>
      </c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203</v>
      </c>
      <c r="F10" s="8" t="s">
        <v>200</v>
      </c>
      <c r="G10" s="9">
        <v>-4000</v>
      </c>
      <c r="H10" s="9"/>
      <c r="I10" s="47">
        <v>-500</v>
      </c>
      <c r="J10" s="21">
        <f t="shared" si="2"/>
        <v>4800</v>
      </c>
      <c r="K10" s="8" t="s">
        <v>201</v>
      </c>
      <c r="L10" s="9">
        <v>8000</v>
      </c>
      <c r="M10" s="9"/>
      <c r="N10" s="47">
        <v>1000</v>
      </c>
      <c r="O10" s="21">
        <f t="shared" si="3"/>
        <v>66300</v>
      </c>
      <c r="P10" s="8" t="s">
        <v>200</v>
      </c>
      <c r="Q10" s="9">
        <v>-4000</v>
      </c>
      <c r="R10" s="9"/>
      <c r="S10" s="47">
        <v>-500</v>
      </c>
      <c r="T10" s="21">
        <f t="shared" si="4"/>
        <v>3900</v>
      </c>
      <c r="U10" s="52">
        <f>IF($J10="","",ROUND(($J10-$J$3)/1000,1)+(_xlfn.RANK.AVG($J10,($J10,$O10,$T10),1)-2)*10)</f>
        <v>-20.2</v>
      </c>
      <c r="V10" s="53">
        <f>IF($O10="","",ROUND(($O10-$O$3)/1000,1)+(_xlfn.RANK.AVG($O10,($J10,$O10,$T10),1)-2)*10)</f>
        <v>51.3</v>
      </c>
      <c r="W10" s="54">
        <f>IF($T10="","",ROUND(($T10-$T$3)/1000,1)+(_xlfn.RANK.AVG($T10,($J10,$O10,$T10),1)-2)*10)</f>
        <v>-31.1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>
        <v>1</v>
      </c>
      <c r="AW10" s="26"/>
      <c r="AX10" s="26">
        <v>5</v>
      </c>
      <c r="AY10" s="30" t="s">
        <v>202</v>
      </c>
      <c r="AZ10" s="39" t="s">
        <v>197</v>
      </c>
      <c r="BA10" s="40" t="s">
        <v>82</v>
      </c>
      <c r="BB10" s="40" t="s">
        <v>80</v>
      </c>
      <c r="BC10" s="40" t="s">
        <v>198</v>
      </c>
      <c r="BD10" s="40" t="s">
        <v>198</v>
      </c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203</v>
      </c>
      <c r="F11" s="8" t="s">
        <v>195</v>
      </c>
      <c r="G11" s="9">
        <v>9000</v>
      </c>
      <c r="H11" s="9"/>
      <c r="I11" s="47">
        <v>2000</v>
      </c>
      <c r="J11" s="21">
        <f t="shared" si="2"/>
        <v>15800</v>
      </c>
      <c r="K11" s="8"/>
      <c r="L11" s="9"/>
      <c r="M11" s="9"/>
      <c r="N11" s="47"/>
      <c r="O11" s="21">
        <f t="shared" si="3"/>
        <v>66300</v>
      </c>
      <c r="P11" s="8" t="s">
        <v>196</v>
      </c>
      <c r="Q11" s="9">
        <v>-9000</v>
      </c>
      <c r="R11" s="9"/>
      <c r="S11" s="47">
        <v>-2000</v>
      </c>
      <c r="T11" s="21">
        <f t="shared" si="4"/>
        <v>-7100</v>
      </c>
      <c r="U11" s="52">
        <f>IF($J11="","",ROUND(($J11-$J$3)/1000,1)+(_xlfn.RANK.AVG($J11,($J11,$O11,$T11),1)-2)*10)</f>
        <v>-9.1999999999999993</v>
      </c>
      <c r="V11" s="53">
        <f>IF($O11="","",ROUND(($O11-$O$3)/1000,1)+(_xlfn.RANK.AVG($O11,($J11,$O11,$T11),1)-2)*10)</f>
        <v>51.3</v>
      </c>
      <c r="W11" s="54">
        <f>IF($T11="","",ROUND(($T11-$T$3)/1000,1)+(_xlfn.RANK.AVG($T11,($J11,$O11,$T11),1)-2)*10)</f>
        <v>-42.1</v>
      </c>
      <c r="Y11" s="8"/>
      <c r="Z11" s="33"/>
      <c r="AA11" s="26">
        <v>1</v>
      </c>
      <c r="AB11" s="26"/>
      <c r="AC11" s="26">
        <v>6</v>
      </c>
      <c r="AD11" s="30" t="s">
        <v>202</v>
      </c>
      <c r="AE11" s="39" t="s">
        <v>197</v>
      </c>
      <c r="AF11" s="40" t="s">
        <v>207</v>
      </c>
      <c r="AG11" s="40" t="s">
        <v>86</v>
      </c>
      <c r="AH11" s="40" t="s">
        <v>198</v>
      </c>
      <c r="AI11" s="40" t="s">
        <v>79</v>
      </c>
      <c r="AJ11" s="40" t="s">
        <v>79</v>
      </c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242286E1-5D92-4C1D-98A9-6BDF90A4A872}">
      <formula1>"パパ,だいち,あやめ,"</formula1>
    </dataValidation>
    <dataValidation type="list" showInputMessage="1" showErrorMessage="1" sqref="K4:K30 P4:P30 F4:F30" xr:uid="{D7414FBA-3B1F-452B-86A5-EAC2FC886FA9}">
      <formula1>"ロン,ツモ,放銃,ツモ支払,流局,チョンボ"</formula1>
    </dataValidation>
    <dataValidation type="list" allowBlank="1" showInputMessage="1" showErrorMessage="1" sqref="E4:E30" xr:uid="{BF822610-3984-44C7-8C49-0000B86158E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E4CE-E09B-4780-BDC5-1FF9FD582E5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-2000</v>
      </c>
      <c r="H4" s="9">
        <v>-1000</v>
      </c>
      <c r="I4" s="47">
        <v>0</v>
      </c>
      <c r="J4" s="21">
        <f>IF(COUNTA($F4,$K4,$P4)&gt;0,J3+SUM(G4:I4),"")</f>
        <v>22000</v>
      </c>
      <c r="K4" s="8" t="s">
        <v>201</v>
      </c>
      <c r="L4" s="9">
        <v>4000</v>
      </c>
      <c r="M4" s="9">
        <v>1000</v>
      </c>
      <c r="N4" s="47">
        <v>0</v>
      </c>
      <c r="O4" s="21">
        <f>IF(COUNTA($F4,$K4,$P4)&gt;0,O3+SUM(L4:N4),"")</f>
        <v>30000</v>
      </c>
      <c r="P4" s="8" t="s">
        <v>200</v>
      </c>
      <c r="Q4" s="9">
        <v>-2000</v>
      </c>
      <c r="R4" s="9"/>
      <c r="S4" s="47">
        <v>0</v>
      </c>
      <c r="T4" s="21">
        <f>IF(COUNTA($F4,$K4,$P4)&gt;0,T3+SUM(Q4:S4),"")</f>
        <v>23000</v>
      </c>
      <c r="U4" s="52">
        <f>IF($J4="","",ROUND(($J4-$J$3)/1000,1)+(_xlfn.RANK.AVG($J4,($J4,$O4,$T4),1)-2)*10)</f>
        <v>-13</v>
      </c>
      <c r="V4" s="53">
        <f>IF($O4="","",ROUND(($O4-$O$3)/1000,1)+(_xlfn.RANK.AVG($O4,($J4,$O4,$T4),1)-2)*10)</f>
        <v>15</v>
      </c>
      <c r="W4" s="54">
        <f>IF($T4="","",ROUND(($T4-$T$3)/1000,1)+(_xlfn.RANK.AVG($T4,($J4,$O4,$T4),1)-2)*10)</f>
        <v>-2</v>
      </c>
      <c r="Y4" s="8"/>
      <c r="Z4" s="33"/>
      <c r="AA4" s="26">
        <v>1</v>
      </c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3</v>
      </c>
      <c r="AY4" s="30">
        <v>30</v>
      </c>
      <c r="AZ4" s="39" t="s">
        <v>197</v>
      </c>
      <c r="BA4" s="40" t="s">
        <v>82</v>
      </c>
      <c r="BB4" s="40" t="s">
        <v>79</v>
      </c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203</v>
      </c>
      <c r="F5" s="8" t="s">
        <v>208</v>
      </c>
      <c r="G5" s="9">
        <v>-1000</v>
      </c>
      <c r="H5" s="9"/>
      <c r="I5" s="47"/>
      <c r="J5" s="21">
        <f t="shared" ref="J5:J30" si="2">IF(COUNTA($F5,$K5,$P5)&gt;0,J4+SUM(G5:I5),"")</f>
        <v>21000</v>
      </c>
      <c r="K5" s="8" t="s">
        <v>208</v>
      </c>
      <c r="L5" s="9">
        <v>-1000</v>
      </c>
      <c r="M5" s="9"/>
      <c r="N5" s="47"/>
      <c r="O5" s="21">
        <f t="shared" ref="O5:O30" si="3">IF(COUNTA($F5,$K5,$P5)&gt;0,O4+SUM(L5:N5),"")</f>
        <v>29000</v>
      </c>
      <c r="P5" s="8" t="s">
        <v>208</v>
      </c>
      <c r="Q5" s="9">
        <v>2000</v>
      </c>
      <c r="R5" s="9">
        <v>-1000</v>
      </c>
      <c r="S5" s="47"/>
      <c r="T5" s="21">
        <f t="shared" ref="T5:T30" si="4">IF(COUNTA($F5,$K5,$P5)&gt;0,T4+SUM(Q5:S5),"")</f>
        <v>24000</v>
      </c>
      <c r="U5" s="52">
        <f>IF($J5="","",ROUND(($J5-$J$3)/1000,1)+(_xlfn.RANK.AVG($J5,($J5,$O5,$T5),1)-2)*10)</f>
        <v>-14</v>
      </c>
      <c r="V5" s="53">
        <f>IF($O5="","",ROUND(($O5-$O$3)/1000,1)+(_xlfn.RANK.AVG($O5,($J5,$O5,$T5),1)-2)*10)</f>
        <v>14</v>
      </c>
      <c r="W5" s="54">
        <f>IF($T5="","",ROUND(($T5-$T$3)/1000,1)+(_xlfn.RANK.AVG($T5,($J5,$O5,$T5),1)-2)*10)</f>
        <v>-1</v>
      </c>
      <c r="Y5" s="8" t="s">
        <v>204</v>
      </c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 t="s">
        <v>204</v>
      </c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 t="s">
        <v>206</v>
      </c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194</v>
      </c>
      <c r="F6" s="8" t="s">
        <v>201</v>
      </c>
      <c r="G6" s="9">
        <v>6000</v>
      </c>
      <c r="H6" s="9">
        <v>1000</v>
      </c>
      <c r="I6" s="47">
        <v>2000</v>
      </c>
      <c r="J6" s="21">
        <f t="shared" si="2"/>
        <v>30000</v>
      </c>
      <c r="K6" s="8" t="s">
        <v>200</v>
      </c>
      <c r="L6" s="9">
        <v>-2000</v>
      </c>
      <c r="M6" s="9"/>
      <c r="N6" s="47">
        <v>-1000</v>
      </c>
      <c r="O6" s="21">
        <f t="shared" si="3"/>
        <v>26000</v>
      </c>
      <c r="P6" s="8" t="s">
        <v>200</v>
      </c>
      <c r="Q6" s="9">
        <v>-4000</v>
      </c>
      <c r="R6" s="9"/>
      <c r="S6" s="47">
        <v>-1000</v>
      </c>
      <c r="T6" s="21">
        <f t="shared" si="4"/>
        <v>19000</v>
      </c>
      <c r="U6" s="52">
        <f>IF($J6="","",ROUND(($J6-$J$3)/1000,1)+(_xlfn.RANK.AVG($J6,($J6,$O6,$T6),1)-2)*10)</f>
        <v>15</v>
      </c>
      <c r="V6" s="53">
        <f>IF($O6="","",ROUND(($O6-$O$3)/1000,1)+(_xlfn.RANK.AVG($O6,($J6,$O6,$T6),1)-2)*10)</f>
        <v>1</v>
      </c>
      <c r="W6" s="54">
        <f>IF($T6="","",ROUND(($T6-$T$3)/1000,1)+(_xlfn.RANK.AVG($T6,($J6,$O6,$T6),1)-2)*10)</f>
        <v>-16</v>
      </c>
      <c r="Y6" s="8"/>
      <c r="Z6" s="33"/>
      <c r="AA6" s="26"/>
      <c r="AB6" s="26"/>
      <c r="AC6" s="26">
        <v>5</v>
      </c>
      <c r="AD6" s="30" t="s">
        <v>202</v>
      </c>
      <c r="AE6" s="39" t="s">
        <v>105</v>
      </c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199</v>
      </c>
      <c r="F7" s="8" t="s">
        <v>201</v>
      </c>
      <c r="G7" s="9">
        <v>12000</v>
      </c>
      <c r="H7" s="9"/>
      <c r="I7" s="47">
        <v>0</v>
      </c>
      <c r="J7" s="21">
        <f t="shared" si="2"/>
        <v>42000</v>
      </c>
      <c r="K7" s="8" t="s">
        <v>200</v>
      </c>
      <c r="L7" s="9">
        <v>-6000</v>
      </c>
      <c r="M7" s="9"/>
      <c r="N7" s="47">
        <v>0</v>
      </c>
      <c r="O7" s="21">
        <f t="shared" si="3"/>
        <v>20000</v>
      </c>
      <c r="P7" s="8" t="s">
        <v>200</v>
      </c>
      <c r="Q7" s="9">
        <v>-6000</v>
      </c>
      <c r="R7" s="9"/>
      <c r="S7" s="47">
        <v>0</v>
      </c>
      <c r="T7" s="21">
        <f t="shared" si="4"/>
        <v>13000</v>
      </c>
      <c r="U7" s="52">
        <f>IF($J7="","",ROUND(($J7-$J$3)/1000,1)+(_xlfn.RANK.AVG($J7,($J7,$O7,$T7),1)-2)*10)</f>
        <v>27</v>
      </c>
      <c r="V7" s="53">
        <f>IF($O7="","",ROUND(($O7-$O$3)/1000,1)+(_xlfn.RANK.AVG($O7,($J7,$O7,$T7),1)-2)*10)</f>
        <v>-5</v>
      </c>
      <c r="W7" s="54">
        <f>IF($T7="","",ROUND(($T7-$T$3)/1000,1)+(_xlfn.RANK.AVG($T7,($J7,$O7,$T7),1)-2)*10)</f>
        <v>-22</v>
      </c>
      <c r="Y7" s="8"/>
      <c r="Z7" s="33"/>
      <c r="AA7" s="26">
        <v>1</v>
      </c>
      <c r="AB7" s="26"/>
      <c r="AC7" s="26">
        <v>7</v>
      </c>
      <c r="AD7" s="30" t="s">
        <v>202</v>
      </c>
      <c r="AE7" s="39" t="s">
        <v>82</v>
      </c>
      <c r="AF7" s="40" t="s">
        <v>197</v>
      </c>
      <c r="AG7" s="40" t="s">
        <v>207</v>
      </c>
      <c r="AH7" s="40" t="s">
        <v>79</v>
      </c>
      <c r="AI7" s="40" t="s">
        <v>80</v>
      </c>
      <c r="AJ7" s="40" t="s">
        <v>80</v>
      </c>
      <c r="AK7" s="40" t="s">
        <v>80</v>
      </c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199</v>
      </c>
      <c r="F8" s="8" t="s">
        <v>208</v>
      </c>
      <c r="G8" s="9">
        <v>0</v>
      </c>
      <c r="H8" s="9"/>
      <c r="I8" s="47"/>
      <c r="J8" s="21">
        <f t="shared" si="2"/>
        <v>42000</v>
      </c>
      <c r="K8" s="8" t="s">
        <v>208</v>
      </c>
      <c r="L8" s="9">
        <v>0</v>
      </c>
      <c r="M8" s="9"/>
      <c r="N8" s="47"/>
      <c r="O8" s="21">
        <f t="shared" si="3"/>
        <v>20000</v>
      </c>
      <c r="P8" s="8" t="s">
        <v>208</v>
      </c>
      <c r="Q8" s="9">
        <v>0</v>
      </c>
      <c r="R8" s="9"/>
      <c r="S8" s="47"/>
      <c r="T8" s="21">
        <f t="shared" si="4"/>
        <v>13000</v>
      </c>
      <c r="U8" s="52">
        <f>IF($J8="","",ROUND(($J8-$J$3)/1000,1)+(_xlfn.RANK.AVG($J8,($J8,$O8,$T8),1)-2)*10)</f>
        <v>27</v>
      </c>
      <c r="V8" s="53">
        <f>IF($O8="","",ROUND(($O8-$O$3)/1000,1)+(_xlfn.RANK.AVG($O8,($J8,$O8,$T8),1)-2)*10)</f>
        <v>-5</v>
      </c>
      <c r="W8" s="54">
        <f>IF($T8="","",ROUND(($T8-$T$3)/1000,1)+(_xlfn.RANK.AVG($T8,($J8,$O8,$T8),1)-2)*10)</f>
        <v>-22</v>
      </c>
      <c r="Y8" s="8" t="s">
        <v>206</v>
      </c>
      <c r="Z8" s="33"/>
      <c r="AA8" s="26"/>
      <c r="AB8" s="26">
        <v>1</v>
      </c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206</v>
      </c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206</v>
      </c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199</v>
      </c>
      <c r="F9" s="8" t="s">
        <v>195</v>
      </c>
      <c r="G9" s="9">
        <v>5200</v>
      </c>
      <c r="H9" s="9"/>
      <c r="I9" s="47">
        <v>2000</v>
      </c>
      <c r="J9" s="21">
        <f t="shared" si="2"/>
        <v>49200</v>
      </c>
      <c r="K9" s="8"/>
      <c r="L9" s="9"/>
      <c r="M9" s="9"/>
      <c r="N9" s="47"/>
      <c r="O9" s="21">
        <f t="shared" si="3"/>
        <v>20000</v>
      </c>
      <c r="P9" s="8" t="s">
        <v>196</v>
      </c>
      <c r="Q9" s="9">
        <v>-5200</v>
      </c>
      <c r="R9" s="9"/>
      <c r="S9" s="47">
        <v>-2000</v>
      </c>
      <c r="T9" s="21">
        <f t="shared" si="4"/>
        <v>5800</v>
      </c>
      <c r="U9" s="52">
        <f>IF($J9="","",ROUND(($J9-$J$3)/1000,1)+(_xlfn.RANK.AVG($J9,($J9,$O9,$T9),1)-2)*10)</f>
        <v>34.200000000000003</v>
      </c>
      <c r="V9" s="53">
        <f>IF($O9="","",ROUND(($O9-$O$3)/1000,1)+(_xlfn.RANK.AVG($O9,($J9,$O9,$T9),1)-2)*10)</f>
        <v>-5</v>
      </c>
      <c r="W9" s="54">
        <f>IF($T9="","",ROUND(($T9-$T$3)/1000,1)+(_xlfn.RANK.AVG($T9,($J9,$O9,$T9),1)-2)*10)</f>
        <v>-29.2</v>
      </c>
      <c r="Y9" s="8"/>
      <c r="Z9" s="33"/>
      <c r="AA9" s="26"/>
      <c r="AB9" s="26"/>
      <c r="AC9" s="26">
        <v>3</v>
      </c>
      <c r="AD9" s="30">
        <v>40</v>
      </c>
      <c r="AE9" s="39" t="s">
        <v>85</v>
      </c>
      <c r="AF9" s="40" t="s">
        <v>198</v>
      </c>
      <c r="AG9" s="40" t="s">
        <v>198</v>
      </c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199</v>
      </c>
      <c r="F10" s="8" t="s">
        <v>201</v>
      </c>
      <c r="G10" s="9">
        <v>8000</v>
      </c>
      <c r="H10" s="9"/>
      <c r="I10" s="47">
        <v>3000</v>
      </c>
      <c r="J10" s="21">
        <f t="shared" si="2"/>
        <v>60200</v>
      </c>
      <c r="K10" s="8" t="s">
        <v>200</v>
      </c>
      <c r="L10" s="9">
        <v>-4000</v>
      </c>
      <c r="M10" s="9"/>
      <c r="N10" s="47">
        <v>-1500</v>
      </c>
      <c r="O10" s="21">
        <f t="shared" si="3"/>
        <v>14500</v>
      </c>
      <c r="P10" s="8" t="s">
        <v>200</v>
      </c>
      <c r="Q10" s="9">
        <v>-4000</v>
      </c>
      <c r="R10" s="9"/>
      <c r="S10" s="47">
        <v>-1500</v>
      </c>
      <c r="T10" s="21">
        <f t="shared" si="4"/>
        <v>300</v>
      </c>
      <c r="U10" s="52">
        <f>IF($J10="","",ROUND(($J10-$J$3)/1000,1)+(_xlfn.RANK.AVG($J10,($J10,$O10,$T10),1)-2)*10)</f>
        <v>45.2</v>
      </c>
      <c r="V10" s="53">
        <f>IF($O10="","",ROUND(($O10-$O$3)/1000,1)+(_xlfn.RANK.AVG($O10,($J10,$O10,$T10),1)-2)*10)</f>
        <v>-10.5</v>
      </c>
      <c r="W10" s="54">
        <f>IF($T10="","",ROUND(($T10-$T$3)/1000,1)+(_xlfn.RANK.AVG($T10,($J10,$O10,$T10),1)-2)*10)</f>
        <v>-34.700000000000003</v>
      </c>
      <c r="Y10" s="8"/>
      <c r="Z10" s="33"/>
      <c r="AA10" s="26">
        <v>1</v>
      </c>
      <c r="AB10" s="26"/>
      <c r="AC10" s="26">
        <v>5</v>
      </c>
      <c r="AD10" s="30" t="s">
        <v>202</v>
      </c>
      <c r="AE10" s="39" t="s">
        <v>197</v>
      </c>
      <c r="AF10" s="40" t="s">
        <v>82</v>
      </c>
      <c r="AG10" s="40" t="s">
        <v>79</v>
      </c>
      <c r="AH10" s="40" t="s">
        <v>198</v>
      </c>
      <c r="AI10" s="40" t="s">
        <v>198</v>
      </c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>
        <v>1</v>
      </c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">
        <v>199</v>
      </c>
      <c r="F11" s="8" t="s">
        <v>208</v>
      </c>
      <c r="G11" s="9">
        <v>-2000</v>
      </c>
      <c r="H11" s="9"/>
      <c r="I11" s="47"/>
      <c r="J11" s="21">
        <f t="shared" si="2"/>
        <v>58200</v>
      </c>
      <c r="K11" s="8" t="s">
        <v>208</v>
      </c>
      <c r="L11" s="9">
        <v>1000</v>
      </c>
      <c r="M11" s="9"/>
      <c r="N11" s="47"/>
      <c r="O11" s="21">
        <f t="shared" si="3"/>
        <v>15500</v>
      </c>
      <c r="P11" s="8" t="s">
        <v>208</v>
      </c>
      <c r="Q11" s="9">
        <v>1000</v>
      </c>
      <c r="R11" s="9">
        <v>-1000</v>
      </c>
      <c r="S11" s="47"/>
      <c r="T11" s="21">
        <f t="shared" si="4"/>
        <v>300</v>
      </c>
      <c r="U11" s="52">
        <f>IF($J11="","",ROUND(($J11-$J$3)/1000,1)+(_xlfn.RANK.AVG($J11,($J11,$O11,$T11),1)-2)*10)</f>
        <v>43.2</v>
      </c>
      <c r="V11" s="53">
        <f>IF($O11="","",ROUND(($O11-$O$3)/1000,1)+(_xlfn.RANK.AVG($O11,($J11,$O11,$T11),1)-2)*10)</f>
        <v>-9.5</v>
      </c>
      <c r="W11" s="54">
        <f>IF($T11="","",ROUND(($T11-$T$3)/1000,1)+(_xlfn.RANK.AVG($T11,($J11,$O11,$T11),1)-2)*10)</f>
        <v>-34.700000000000003</v>
      </c>
      <c r="Y11" s="8" t="s">
        <v>204</v>
      </c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 t="s">
        <v>206</v>
      </c>
      <c r="AU11" s="33"/>
      <c r="AV11" s="26"/>
      <c r="AW11" s="26">
        <v>1</v>
      </c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 t="s">
        <v>206</v>
      </c>
      <c r="BP11" s="33"/>
      <c r="BQ11" s="26">
        <v>1</v>
      </c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5</v>
      </c>
      <c r="D12" s="18">
        <f t="shared" si="1"/>
        <v>1</v>
      </c>
      <c r="E12" s="4" t="s">
        <v>203</v>
      </c>
      <c r="F12" s="8" t="s">
        <v>200</v>
      </c>
      <c r="G12" s="9">
        <v>-2000</v>
      </c>
      <c r="H12" s="9"/>
      <c r="I12" s="47">
        <v>-2500</v>
      </c>
      <c r="J12" s="21">
        <f t="shared" si="2"/>
        <v>53700</v>
      </c>
      <c r="K12" s="8" t="s">
        <v>200</v>
      </c>
      <c r="L12" s="9">
        <v>-3900</v>
      </c>
      <c r="M12" s="9"/>
      <c r="N12" s="47">
        <v>-2500</v>
      </c>
      <c r="O12" s="21">
        <f t="shared" si="3"/>
        <v>9100</v>
      </c>
      <c r="P12" s="8" t="s">
        <v>201</v>
      </c>
      <c r="Q12" s="9">
        <v>5900</v>
      </c>
      <c r="R12" s="9">
        <v>1000</v>
      </c>
      <c r="S12" s="47">
        <v>5000</v>
      </c>
      <c r="T12" s="21">
        <f t="shared" si="4"/>
        <v>12200</v>
      </c>
      <c r="U12" s="52">
        <f>IF($J12="","",ROUND(($J12-$J$3)/1000,1)+(_xlfn.RANK.AVG($J12,($J12,$O12,$T12),1)-2)*10)</f>
        <v>38.700000000000003</v>
      </c>
      <c r="V12" s="53">
        <f>IF($O12="","",ROUND(($O12-$O$3)/1000,1)+(_xlfn.RANK.AVG($O12,($J12,$O12,$T12),1)-2)*10)</f>
        <v>-25.9</v>
      </c>
      <c r="W12" s="54">
        <f>IF($T12="","",ROUND(($T12-$T$3)/1000,1)+(_xlfn.RANK.AVG($T12,($J12,$O12,$T12),1)-2)*10)</f>
        <v>-12.8</v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>
        <v>1</v>
      </c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>
        <v>1</v>
      </c>
      <c r="BR12" s="26"/>
      <c r="BS12" s="26">
        <v>4</v>
      </c>
      <c r="BT12" s="30">
        <v>30</v>
      </c>
      <c r="BU12" s="39" t="s">
        <v>197</v>
      </c>
      <c r="BV12" s="40" t="s">
        <v>82</v>
      </c>
      <c r="BW12" s="40" t="s">
        <v>79</v>
      </c>
      <c r="BX12" s="40" t="s">
        <v>198</v>
      </c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200</v>
      </c>
      <c r="G13" s="9">
        <v>-1600</v>
      </c>
      <c r="H13" s="9"/>
      <c r="I13" s="47">
        <v>0</v>
      </c>
      <c r="J13" s="21">
        <f t="shared" si="2"/>
        <v>52100</v>
      </c>
      <c r="K13" s="8" t="s">
        <v>200</v>
      </c>
      <c r="L13" s="9">
        <v>-1600</v>
      </c>
      <c r="M13" s="9"/>
      <c r="N13" s="47">
        <v>0</v>
      </c>
      <c r="O13" s="21">
        <f t="shared" si="3"/>
        <v>7500</v>
      </c>
      <c r="P13" s="8" t="s">
        <v>201</v>
      </c>
      <c r="Q13" s="9">
        <v>3200</v>
      </c>
      <c r="R13" s="9"/>
      <c r="S13" s="47">
        <v>0</v>
      </c>
      <c r="T13" s="21">
        <f t="shared" si="4"/>
        <v>15400</v>
      </c>
      <c r="U13" s="52">
        <f>IF($J13="","",ROUND(($J13-$J$3)/1000,1)+(_xlfn.RANK.AVG($J13,($J13,$O13,$T13),1)-2)*10)</f>
        <v>37.1</v>
      </c>
      <c r="V13" s="53">
        <f>IF($O13="","",ROUND(($O13-$O$3)/1000,1)+(_xlfn.RANK.AVG($O13,($J13,$O13,$T13),1)-2)*10)</f>
        <v>-27.5</v>
      </c>
      <c r="W13" s="54">
        <f>IF($T13="","",ROUND(($T13-$T$3)/1000,1)+(_xlfn.RANK.AVG($T13,($J13,$O13,$T13),1)-2)*10)</f>
        <v>-9.6</v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>
        <v>3</v>
      </c>
      <c r="BT13" s="30">
        <v>25</v>
      </c>
      <c r="BU13" s="39" t="s">
        <v>82</v>
      </c>
      <c r="BV13" s="40" t="s">
        <v>101</v>
      </c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194</v>
      </c>
      <c r="F14" s="8" t="s">
        <v>196</v>
      </c>
      <c r="G14" s="9">
        <v>-4800</v>
      </c>
      <c r="H14" s="9"/>
      <c r="I14" s="47">
        <v>-1000</v>
      </c>
      <c r="J14" s="21">
        <f t="shared" si="2"/>
        <v>46300</v>
      </c>
      <c r="K14" s="8" t="s">
        <v>195</v>
      </c>
      <c r="L14" s="9">
        <v>4800</v>
      </c>
      <c r="M14" s="9"/>
      <c r="N14" s="47">
        <v>1000</v>
      </c>
      <c r="O14" s="21">
        <f t="shared" si="3"/>
        <v>13300</v>
      </c>
      <c r="P14" s="8"/>
      <c r="Q14" s="9"/>
      <c r="R14" s="9"/>
      <c r="S14" s="47"/>
      <c r="T14" s="21">
        <f t="shared" si="4"/>
        <v>15400</v>
      </c>
      <c r="U14" s="52">
        <f>IF($J14="","",ROUND(($J14-$J$3)/1000,1)+(_xlfn.RANK.AVG($J14,($J14,$O14,$T14),1)-2)*10)</f>
        <v>31.3</v>
      </c>
      <c r="V14" s="53">
        <f>IF($O14="","",ROUND(($O14-$O$3)/1000,1)+(_xlfn.RANK.AVG($O14,($J14,$O14,$T14),1)-2)*10)</f>
        <v>-21.7</v>
      </c>
      <c r="W14" s="54">
        <f>IF($T14="","",ROUND(($T14-$T$3)/1000,1)+(_xlfn.RANK.AVG($T14,($J14,$O14,$T14),1)-2)*10)</f>
        <v>-9.6</v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>
        <v>3</v>
      </c>
      <c r="AY14" s="30">
        <v>50</v>
      </c>
      <c r="AZ14" s="39" t="s">
        <v>104</v>
      </c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>
        <v>1</v>
      </c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199</v>
      </c>
      <c r="F15" s="8" t="s">
        <v>196</v>
      </c>
      <c r="G15" s="9">
        <v>-800</v>
      </c>
      <c r="H15" s="9"/>
      <c r="I15" s="47">
        <v>0</v>
      </c>
      <c r="J15" s="21">
        <f t="shared" si="2"/>
        <v>45500</v>
      </c>
      <c r="K15" s="8"/>
      <c r="L15" s="9"/>
      <c r="M15" s="9"/>
      <c r="N15" s="47"/>
      <c r="O15" s="21">
        <f t="shared" si="3"/>
        <v>13300</v>
      </c>
      <c r="P15" s="8" t="s">
        <v>195</v>
      </c>
      <c r="Q15" s="9">
        <v>800</v>
      </c>
      <c r="R15" s="9"/>
      <c r="S15" s="47">
        <v>0</v>
      </c>
      <c r="T15" s="21">
        <f t="shared" si="4"/>
        <v>16200</v>
      </c>
      <c r="U15" s="52">
        <f>IF($J15="","",ROUND(($J15-$J$3)/1000,1)+(_xlfn.RANK.AVG($J15,($J15,$O15,$T15),1)-2)*10)</f>
        <v>30.5</v>
      </c>
      <c r="V15" s="53">
        <f>IF($O15="","",ROUND(($O15-$O$3)/1000,1)+(_xlfn.RANK.AVG($O15,($J15,$O15,$T15),1)-2)*10)</f>
        <v>-21.7</v>
      </c>
      <c r="W15" s="54">
        <f>IF($T15="","",ROUND(($T15-$T$3)/1000,1)+(_xlfn.RANK.AVG($T15,($J15,$O15,$T15),1)-2)*10)</f>
        <v>-8.8000000000000007</v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>
        <v>1</v>
      </c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>
        <v>1</v>
      </c>
      <c r="BS15" s="26">
        <v>1</v>
      </c>
      <c r="BT15" s="30">
        <v>30</v>
      </c>
      <c r="BU15" s="39" t="s">
        <v>86</v>
      </c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2761380E-B2E7-4A3B-9BAC-135FFCF33A73}">
      <formula1>$U$2:$W$2</formula1>
    </dataValidation>
    <dataValidation type="list" showInputMessage="1" showErrorMessage="1" sqref="K4:K30 P4:P30 F4:F30" xr:uid="{1056A451-7F14-4D0C-AB95-DB88D9AF0BCA}">
      <formula1>"ロン,ツモ,放銃,ツモ支払,流局,チョンボ"</formula1>
    </dataValidation>
    <dataValidation type="list" allowBlank="1" showInputMessage="1" sqref="F1:T1" xr:uid="{0F6DB566-FE9B-4AF2-93CB-C3E9E4464786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CD39-D92E-4F4D-917F-1EC0B197BE8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-2600</v>
      </c>
      <c r="H4" s="9"/>
      <c r="I4" s="47">
        <v>0</v>
      </c>
      <c r="J4" s="21">
        <f>IF(COUNTA($F4,$K4,$P4)&gt;0,J3+SUM(G4:I4),"")</f>
        <v>22400</v>
      </c>
      <c r="K4" s="8" t="s">
        <v>200</v>
      </c>
      <c r="L4" s="9">
        <v>-1300</v>
      </c>
      <c r="M4" s="9"/>
      <c r="N4" s="47">
        <v>0</v>
      </c>
      <c r="O4" s="21">
        <f>IF(COUNTA($F4,$K4,$P4)&gt;0,O3+SUM(L4:N4),"")</f>
        <v>23700</v>
      </c>
      <c r="P4" s="8" t="s">
        <v>201</v>
      </c>
      <c r="Q4" s="9">
        <v>3900</v>
      </c>
      <c r="R4" s="9"/>
      <c r="S4" s="47">
        <v>0</v>
      </c>
      <c r="T4" s="21">
        <f>IF(COUNTA($F4,$K4,$P4)&gt;0,T3+SUM(Q4:S4),"")</f>
        <v>28900</v>
      </c>
      <c r="U4" s="52">
        <f>IF($J4="","",ROUND(($J4-$J$3)/1000,1)+(_xlfn.RANK.AVG($J4,($J4,$O4,$T4),1)-2)*10)</f>
        <v>-12.6</v>
      </c>
      <c r="V4" s="53">
        <f>IF($O4="","",ROUND(($O4-$O$3)/1000,1)+(_xlfn.RANK.AVG($O4,($J4,$O4,$T4),1)-2)*10)</f>
        <v>-1.3</v>
      </c>
      <c r="W4" s="54">
        <f>IF($T4="","",ROUND(($T4-$T$3)/1000,1)+(_xlfn.RANK.AVG($T4,($J4,$O4,$T4),1)-2)*10)</f>
        <v>13.9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4</v>
      </c>
      <c r="BT4" s="30">
        <v>20</v>
      </c>
      <c r="BU4" s="39" t="s">
        <v>197</v>
      </c>
      <c r="BV4" s="40" t="s">
        <v>82</v>
      </c>
      <c r="BW4" s="40" t="s">
        <v>83</v>
      </c>
      <c r="BX4" s="40" t="s">
        <v>198</v>
      </c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203</v>
      </c>
      <c r="F5" s="8"/>
      <c r="G5" s="9"/>
      <c r="H5" s="9"/>
      <c r="I5" s="47"/>
      <c r="J5" s="21">
        <f t="shared" ref="J5:J30" si="2">IF(COUNTA($F5,$K5,$P5)&gt;0,J4+SUM(G5:I5),"")</f>
        <v>22400</v>
      </c>
      <c r="K5" s="8" t="s">
        <v>196</v>
      </c>
      <c r="L5" s="9">
        <v>-3900</v>
      </c>
      <c r="M5" s="9"/>
      <c r="N5" s="47">
        <v>0</v>
      </c>
      <c r="O5" s="21">
        <f t="shared" ref="O5:O30" si="3">IF(COUNTA($F5,$K5,$P5)&gt;0,O4+SUM(L5:N5),"")</f>
        <v>19800</v>
      </c>
      <c r="P5" s="8" t="s">
        <v>195</v>
      </c>
      <c r="Q5" s="9">
        <v>3900</v>
      </c>
      <c r="R5" s="9"/>
      <c r="S5" s="47">
        <v>0</v>
      </c>
      <c r="T5" s="21">
        <f t="shared" ref="T5:T30" si="4">IF(COUNTA($F5,$K5,$P5)&gt;0,T4+SUM(Q5:S5),"")</f>
        <v>32800</v>
      </c>
      <c r="U5" s="52">
        <f>IF($J5="","",ROUND(($J5-$J$3)/1000,1)+(_xlfn.RANK.AVG($J5,($J5,$O5,$T5),1)-2)*10)</f>
        <v>-2.6</v>
      </c>
      <c r="V5" s="53">
        <f>IF($O5="","",ROUND(($O5-$O$3)/1000,1)+(_xlfn.RANK.AVG($O5,($J5,$O5,$T5),1)-2)*10)</f>
        <v>-15.2</v>
      </c>
      <c r="W5" s="54">
        <f>IF($T5="","",ROUND(($T5-$T$3)/1000,1)+(_xlfn.RANK.AVG($T5,($J5,$O5,$T5),1)-2)*10)</f>
        <v>17.8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>
        <v>3</v>
      </c>
      <c r="BT5" s="30">
        <v>40</v>
      </c>
      <c r="BU5" s="39" t="s">
        <v>197</v>
      </c>
      <c r="BV5" s="40" t="s">
        <v>198</v>
      </c>
      <c r="BW5" s="40" t="s">
        <v>207</v>
      </c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200</v>
      </c>
      <c r="G6" s="9">
        <v>-1000</v>
      </c>
      <c r="H6" s="9"/>
      <c r="I6" s="47">
        <v>0</v>
      </c>
      <c r="J6" s="21">
        <f t="shared" si="2"/>
        <v>21400</v>
      </c>
      <c r="K6" s="8" t="s">
        <v>200</v>
      </c>
      <c r="L6" s="9">
        <v>-1000</v>
      </c>
      <c r="M6" s="9"/>
      <c r="N6" s="47">
        <v>0</v>
      </c>
      <c r="O6" s="21">
        <f t="shared" si="3"/>
        <v>18800</v>
      </c>
      <c r="P6" s="8" t="s">
        <v>201</v>
      </c>
      <c r="Q6" s="9">
        <v>2000</v>
      </c>
      <c r="R6" s="9"/>
      <c r="S6" s="47">
        <v>0</v>
      </c>
      <c r="T6" s="21">
        <f t="shared" si="4"/>
        <v>34800</v>
      </c>
      <c r="U6" s="52">
        <f>IF($J6="","",ROUND(($J6-$J$3)/1000,1)+(_xlfn.RANK.AVG($J6,($J6,$O6,$T6),1)-2)*10)</f>
        <v>-3.6</v>
      </c>
      <c r="V6" s="53">
        <f>IF($O6="","",ROUND(($O6-$O$3)/1000,1)+(_xlfn.RANK.AVG($O6,($J6,$O6,$T6),1)-2)*10)</f>
        <v>-16.2</v>
      </c>
      <c r="W6" s="54">
        <f>IF($T6="","",ROUND(($T6-$T$3)/1000,1)+(_xlfn.RANK.AVG($T6,($J6,$O6,$T6),1)-2)*10)</f>
        <v>19.8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2</v>
      </c>
      <c r="BT6" s="30">
        <v>30</v>
      </c>
      <c r="BU6" s="39" t="s">
        <v>86</v>
      </c>
      <c r="BV6" s="40" t="s">
        <v>79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201</v>
      </c>
      <c r="G7" s="9">
        <v>9000</v>
      </c>
      <c r="H7" s="9">
        <v>1000</v>
      </c>
      <c r="I7" s="47">
        <v>1000</v>
      </c>
      <c r="J7" s="21">
        <f t="shared" si="2"/>
        <v>32400</v>
      </c>
      <c r="K7" s="8" t="s">
        <v>200</v>
      </c>
      <c r="L7" s="9">
        <v>-3000</v>
      </c>
      <c r="M7" s="9">
        <v>-1000</v>
      </c>
      <c r="N7" s="47">
        <v>-500</v>
      </c>
      <c r="O7" s="21">
        <f t="shared" si="3"/>
        <v>14300</v>
      </c>
      <c r="P7" s="8" t="s">
        <v>200</v>
      </c>
      <c r="Q7" s="9">
        <v>-6000</v>
      </c>
      <c r="R7" s="9"/>
      <c r="S7" s="47">
        <v>-500</v>
      </c>
      <c r="T7" s="21">
        <f t="shared" si="4"/>
        <v>28300</v>
      </c>
      <c r="U7" s="52">
        <f>IF($J7="","",ROUND(($J7-$J$3)/1000,1)+(_xlfn.RANK.AVG($J7,($J7,$O7,$T7),1)-2)*10)</f>
        <v>17.399999999999999</v>
      </c>
      <c r="V7" s="53">
        <f>IF($O7="","",ROUND(($O7-$O$3)/1000,1)+(_xlfn.RANK.AVG($O7,($J7,$O7,$T7),1)-2)*10)</f>
        <v>-20.7</v>
      </c>
      <c r="W7" s="54">
        <f>IF($T7="","",ROUND(($T7-$T$3)/1000,1)+(_xlfn.RANK.AVG($T7,($J7,$O7,$T7),1)-2)*10)</f>
        <v>3.3</v>
      </c>
      <c r="Y7" s="8"/>
      <c r="Z7" s="33"/>
      <c r="AA7" s="26"/>
      <c r="AB7" s="26"/>
      <c r="AC7" s="26">
        <v>6</v>
      </c>
      <c r="AD7" s="30" t="s">
        <v>202</v>
      </c>
      <c r="AE7" s="39" t="s">
        <v>197</v>
      </c>
      <c r="AF7" s="40" t="s">
        <v>86</v>
      </c>
      <c r="AG7" s="40" t="s">
        <v>79</v>
      </c>
      <c r="AH7" s="40" t="s">
        <v>79</v>
      </c>
      <c r="AI7" s="40" t="s">
        <v>198</v>
      </c>
      <c r="AJ7" s="40" t="s">
        <v>198</v>
      </c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200</v>
      </c>
      <c r="G8" s="9">
        <v>-6000</v>
      </c>
      <c r="H8" s="9">
        <v>-1000</v>
      </c>
      <c r="I8" s="47">
        <v>0</v>
      </c>
      <c r="J8" s="21">
        <f t="shared" si="2"/>
        <v>25400</v>
      </c>
      <c r="K8" s="8" t="s">
        <v>201</v>
      </c>
      <c r="L8" s="9">
        <v>9000</v>
      </c>
      <c r="M8" s="9">
        <v>2000</v>
      </c>
      <c r="N8" s="47">
        <v>0</v>
      </c>
      <c r="O8" s="21">
        <f t="shared" si="3"/>
        <v>25300</v>
      </c>
      <c r="P8" s="8" t="s">
        <v>200</v>
      </c>
      <c r="Q8" s="9">
        <v>-3000</v>
      </c>
      <c r="R8" s="9">
        <v>-1000</v>
      </c>
      <c r="S8" s="47">
        <v>0</v>
      </c>
      <c r="T8" s="21">
        <f t="shared" si="4"/>
        <v>24300</v>
      </c>
      <c r="U8" s="52">
        <f>IF($J8="","",ROUND(($J8-$J$3)/1000,1)+(_xlfn.RANK.AVG($J8,($J8,$O8,$T8),1)-2)*10)</f>
        <v>10.4</v>
      </c>
      <c r="V8" s="53">
        <f>IF($O8="","",ROUND(($O8-$O$3)/1000,1)+(_xlfn.RANK.AVG($O8,($J8,$O8,$T8),1)-2)*10)</f>
        <v>0.3</v>
      </c>
      <c r="W8" s="54">
        <f>IF($T8="","",ROUND(($T8-$T$3)/1000,1)+(_xlfn.RANK.AVG($T8,($J8,$O8,$T8),1)-2)*10)</f>
        <v>-10.7</v>
      </c>
      <c r="Y8" s="8"/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>
        <v>6</v>
      </c>
      <c r="AY8" s="30" t="s">
        <v>202</v>
      </c>
      <c r="AZ8" s="39" t="s">
        <v>82</v>
      </c>
      <c r="BA8" s="40" t="s">
        <v>101</v>
      </c>
      <c r="BB8" s="40" t="s">
        <v>79</v>
      </c>
      <c r="BC8" s="40" t="s">
        <v>79</v>
      </c>
      <c r="BD8" s="40" t="s">
        <v>198</v>
      </c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203</v>
      </c>
      <c r="F9" s="8" t="s">
        <v>200</v>
      </c>
      <c r="G9" s="9">
        <v>-4000</v>
      </c>
      <c r="H9" s="9"/>
      <c r="I9" s="47">
        <v>0</v>
      </c>
      <c r="J9" s="21">
        <f t="shared" si="2"/>
        <v>21400</v>
      </c>
      <c r="K9" s="8" t="s">
        <v>201</v>
      </c>
      <c r="L9" s="9">
        <v>8000</v>
      </c>
      <c r="M9" s="9"/>
      <c r="N9" s="47">
        <v>0</v>
      </c>
      <c r="O9" s="21">
        <f t="shared" si="3"/>
        <v>33300</v>
      </c>
      <c r="P9" s="8" t="s">
        <v>200</v>
      </c>
      <c r="Q9" s="9">
        <v>-4000</v>
      </c>
      <c r="R9" s="9"/>
      <c r="S9" s="47">
        <v>0</v>
      </c>
      <c r="T9" s="21">
        <f t="shared" si="4"/>
        <v>20300</v>
      </c>
      <c r="U9" s="52">
        <f>IF($J9="","",ROUND(($J9-$J$3)/1000,1)+(_xlfn.RANK.AVG($J9,($J9,$O9,$T9),1)-2)*10)</f>
        <v>-3.6</v>
      </c>
      <c r="V9" s="53">
        <f>IF($O9="","",ROUND(($O9-$O$3)/1000,1)+(_xlfn.RANK.AVG($O9,($J9,$O9,$T9),1)-2)*10)</f>
        <v>18.3</v>
      </c>
      <c r="W9" s="54">
        <f>IF($T9="","",ROUND(($T9-$T$3)/1000,1)+(_xlfn.RANK.AVG($T9,($J9,$O9,$T9),1)-2)*10)</f>
        <v>-14.7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5</v>
      </c>
      <c r="AY9" s="30" t="s">
        <v>202</v>
      </c>
      <c r="AZ9" s="39" t="s">
        <v>197</v>
      </c>
      <c r="BA9" s="40" t="s">
        <v>82</v>
      </c>
      <c r="BB9" s="40" t="s">
        <v>83</v>
      </c>
      <c r="BC9" s="40" t="s">
        <v>198</v>
      </c>
      <c r="BD9" s="40" t="s">
        <v>79</v>
      </c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203</v>
      </c>
      <c r="F10" s="8" t="s">
        <v>195</v>
      </c>
      <c r="G10" s="9">
        <v>9000</v>
      </c>
      <c r="H10" s="9"/>
      <c r="I10" s="47">
        <v>1000</v>
      </c>
      <c r="J10" s="21">
        <f t="shared" si="2"/>
        <v>31400</v>
      </c>
      <c r="K10" s="8"/>
      <c r="L10" s="9"/>
      <c r="M10" s="9"/>
      <c r="N10" s="47"/>
      <c r="O10" s="21">
        <f t="shared" si="3"/>
        <v>33300</v>
      </c>
      <c r="P10" s="8" t="s">
        <v>196</v>
      </c>
      <c r="Q10" s="9">
        <v>-9000</v>
      </c>
      <c r="R10" s="9"/>
      <c r="S10" s="47">
        <v>-1000</v>
      </c>
      <c r="T10" s="21">
        <f t="shared" si="4"/>
        <v>10300</v>
      </c>
      <c r="U10" s="52">
        <f>IF($J10="","",ROUND(($J10-$J$3)/1000,1)+(_xlfn.RANK.AVG($J10,($J10,$O10,$T10),1)-2)*10)</f>
        <v>6.4</v>
      </c>
      <c r="V10" s="53">
        <f>IF($O10="","",ROUND(($O10-$O$3)/1000,1)+(_xlfn.RANK.AVG($O10,($J10,$O10,$T10),1)-2)*10)</f>
        <v>18.3</v>
      </c>
      <c r="W10" s="54">
        <f>IF($T10="","",ROUND(($T10-$T$3)/1000,1)+(_xlfn.RANK.AVG($T10,($J10,$O10,$T10),1)-2)*10)</f>
        <v>-24.7</v>
      </c>
      <c r="Y10" s="8"/>
      <c r="Z10" s="33"/>
      <c r="AA10" s="26"/>
      <c r="AB10" s="26">
        <v>1</v>
      </c>
      <c r="AC10" s="26">
        <v>6</v>
      </c>
      <c r="AD10" s="30" t="s">
        <v>202</v>
      </c>
      <c r="AE10" s="39" t="s">
        <v>86</v>
      </c>
      <c r="AF10" s="40" t="s">
        <v>104</v>
      </c>
      <c r="AG10" s="40" t="s">
        <v>79</v>
      </c>
      <c r="AH10" s="40" t="s">
        <v>79</v>
      </c>
      <c r="AI10" s="40" t="s">
        <v>79</v>
      </c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>
        <v>1</v>
      </c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194</v>
      </c>
      <c r="F11" s="8" t="s">
        <v>208</v>
      </c>
      <c r="G11" s="9">
        <v>1000</v>
      </c>
      <c r="H11" s="9">
        <v>-1000</v>
      </c>
      <c r="I11" s="47"/>
      <c r="J11" s="21">
        <f t="shared" si="2"/>
        <v>31400</v>
      </c>
      <c r="K11" s="8" t="s">
        <v>208</v>
      </c>
      <c r="L11" s="9">
        <v>-2000</v>
      </c>
      <c r="M11" s="9"/>
      <c r="N11" s="47"/>
      <c r="O11" s="21">
        <f t="shared" si="3"/>
        <v>31300</v>
      </c>
      <c r="P11" s="8" t="s">
        <v>208</v>
      </c>
      <c r="Q11" s="9">
        <v>1000</v>
      </c>
      <c r="R11" s="9">
        <v>-1000</v>
      </c>
      <c r="S11" s="47"/>
      <c r="T11" s="21">
        <f t="shared" si="4"/>
        <v>10300</v>
      </c>
      <c r="U11" s="52">
        <f>IF($J11="","",ROUND(($J11-$J$3)/1000,1)+(_xlfn.RANK.AVG($J11,($J11,$O11,$T11),1)-2)*10)</f>
        <v>16.399999999999999</v>
      </c>
      <c r="V11" s="53">
        <f>IF($O11="","",ROUND(($O11-$O$3)/1000,1)+(_xlfn.RANK.AVG($O11,($J11,$O11,$T11),1)-2)*10)</f>
        <v>6.3</v>
      </c>
      <c r="W11" s="54">
        <f>IF($T11="","",ROUND(($T11-$T$3)/1000,1)+(_xlfn.RANK.AVG($T11,($J11,$O11,$T11),1)-2)*10)</f>
        <v>-24.7</v>
      </c>
      <c r="Y11" s="8" t="s">
        <v>206</v>
      </c>
      <c r="Z11" s="33"/>
      <c r="AA11" s="26">
        <v>1</v>
      </c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 t="s">
        <v>204</v>
      </c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 t="s">
        <v>206</v>
      </c>
      <c r="BP11" s="33"/>
      <c r="BQ11" s="26">
        <v>1</v>
      </c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2</v>
      </c>
      <c r="E12" s="4" t="s">
        <v>194</v>
      </c>
      <c r="F12" s="8" t="s">
        <v>200</v>
      </c>
      <c r="G12" s="9">
        <v>-6000</v>
      </c>
      <c r="H12" s="9"/>
      <c r="I12" s="47">
        <v>-500</v>
      </c>
      <c r="J12" s="21">
        <f t="shared" si="2"/>
        <v>24900</v>
      </c>
      <c r="K12" s="8" t="s">
        <v>200</v>
      </c>
      <c r="L12" s="9">
        <v>-6000</v>
      </c>
      <c r="M12" s="9"/>
      <c r="N12" s="47">
        <v>-500</v>
      </c>
      <c r="O12" s="21">
        <f t="shared" si="3"/>
        <v>24800</v>
      </c>
      <c r="P12" s="8" t="s">
        <v>201</v>
      </c>
      <c r="Q12" s="9">
        <v>12000</v>
      </c>
      <c r="R12" s="9">
        <v>2000</v>
      </c>
      <c r="S12" s="47">
        <v>1000</v>
      </c>
      <c r="T12" s="21">
        <f t="shared" si="4"/>
        <v>25300</v>
      </c>
      <c r="U12" s="52">
        <f>IF($J12="","",ROUND(($J12-$J$3)/1000,1)+(_xlfn.RANK.AVG($J12,($J12,$O12,$T12),1)-2)*10)</f>
        <v>-0.1</v>
      </c>
      <c r="V12" s="53">
        <f>IF($O12="","",ROUND(($O12-$O$3)/1000,1)+(_xlfn.RANK.AVG($O12,($J12,$O12,$T12),1)-2)*10)</f>
        <v>-10.199999999999999</v>
      </c>
      <c r="W12" s="54">
        <f>IF($T12="","",ROUND(($T12-$T$3)/1000,1)+(_xlfn.RANK.AVG($T12,($J12,$O12,$T12),1)-2)*10)</f>
        <v>10.3</v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>
        <v>1</v>
      </c>
      <c r="BR12" s="26"/>
      <c r="BS12" s="26">
        <v>7</v>
      </c>
      <c r="BT12" s="30" t="s">
        <v>202</v>
      </c>
      <c r="BU12" s="39" t="s">
        <v>197</v>
      </c>
      <c r="BV12" s="40" t="s">
        <v>82</v>
      </c>
      <c r="BW12" s="40" t="s">
        <v>86</v>
      </c>
      <c r="BX12" s="40" t="s">
        <v>79</v>
      </c>
      <c r="BY12" s="40" t="s">
        <v>79</v>
      </c>
      <c r="BZ12" s="40" t="s">
        <v>79</v>
      </c>
      <c r="CA12" s="40" t="s">
        <v>79</v>
      </c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194</v>
      </c>
      <c r="F13" s="8" t="s">
        <v>200</v>
      </c>
      <c r="G13" s="9">
        <v>-2000</v>
      </c>
      <c r="H13" s="9"/>
      <c r="I13" s="47">
        <v>-1000</v>
      </c>
      <c r="J13" s="21">
        <f t="shared" si="2"/>
        <v>21900</v>
      </c>
      <c r="K13" s="8" t="s">
        <v>200</v>
      </c>
      <c r="L13" s="9">
        <v>-2000</v>
      </c>
      <c r="M13" s="9"/>
      <c r="N13" s="47">
        <v>-1000</v>
      </c>
      <c r="O13" s="21">
        <f t="shared" si="3"/>
        <v>21800</v>
      </c>
      <c r="P13" s="8" t="s">
        <v>201</v>
      </c>
      <c r="Q13" s="9">
        <v>4000</v>
      </c>
      <c r="R13" s="9"/>
      <c r="S13" s="47">
        <v>2000</v>
      </c>
      <c r="T13" s="21">
        <f t="shared" si="4"/>
        <v>31300</v>
      </c>
      <c r="U13" s="52">
        <f>IF($J13="","",ROUND(($J13-$J$3)/1000,1)+(_xlfn.RANK.AVG($J13,($J13,$O13,$T13),1)-2)*10)</f>
        <v>-3.1</v>
      </c>
      <c r="V13" s="53">
        <f>IF($O13="","",ROUND(($O13-$O$3)/1000,1)+(_xlfn.RANK.AVG($O13,($J13,$O13,$T13),1)-2)*10)</f>
        <v>-13.2</v>
      </c>
      <c r="W13" s="54">
        <f>IF($T13="","",ROUND(($T13-$T$3)/1000,1)+(_xlfn.RANK.AVG($T13,($J13,$O13,$T13),1)-2)*10)</f>
        <v>16.3</v>
      </c>
      <c r="Y13" s="8"/>
      <c r="Z13" s="33"/>
      <c r="AA13" s="26"/>
      <c r="AB13" s="26">
        <v>1</v>
      </c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>
        <v>3</v>
      </c>
      <c r="BT13" s="30">
        <v>30</v>
      </c>
      <c r="BU13" s="39" t="s">
        <v>197</v>
      </c>
      <c r="BV13" s="40" t="s">
        <v>82</v>
      </c>
      <c r="BW13" s="40" t="s">
        <v>198</v>
      </c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">
        <v>194</v>
      </c>
      <c r="F14" s="8" t="s">
        <v>201</v>
      </c>
      <c r="G14" s="9">
        <v>6000</v>
      </c>
      <c r="H14" s="9"/>
      <c r="I14" s="47">
        <v>3000</v>
      </c>
      <c r="J14" s="21">
        <f t="shared" si="2"/>
        <v>30900</v>
      </c>
      <c r="K14" s="8" t="s">
        <v>200</v>
      </c>
      <c r="L14" s="9">
        <v>-2000</v>
      </c>
      <c r="M14" s="9"/>
      <c r="N14" s="47">
        <v>-1500</v>
      </c>
      <c r="O14" s="21">
        <f t="shared" si="3"/>
        <v>18300</v>
      </c>
      <c r="P14" s="8" t="s">
        <v>200</v>
      </c>
      <c r="Q14" s="9">
        <v>-4000</v>
      </c>
      <c r="R14" s="9"/>
      <c r="S14" s="47">
        <v>-1500</v>
      </c>
      <c r="T14" s="21">
        <f t="shared" si="4"/>
        <v>25800</v>
      </c>
      <c r="U14" s="52">
        <f>IF($J14="","",ROUND(($J14-$J$3)/1000,1)+(_xlfn.RANK.AVG($J14,($J14,$O14,$T14),1)-2)*10)</f>
        <v>15.9</v>
      </c>
      <c r="V14" s="53">
        <f>IF($O14="","",ROUND(($O14-$O$3)/1000,1)+(_xlfn.RANK.AVG($O14,($J14,$O14,$T14),1)-2)*10)</f>
        <v>-16.7</v>
      </c>
      <c r="W14" s="54">
        <f>IF($T14="","",ROUND(($T14-$T$3)/1000,1)+(_xlfn.RANK.AVG($T14,($J14,$O14,$T14),1)-2)*10)</f>
        <v>0.8</v>
      </c>
      <c r="Y14" s="8"/>
      <c r="Z14" s="33"/>
      <c r="AA14" s="26"/>
      <c r="AB14" s="26"/>
      <c r="AC14" s="26">
        <v>5</v>
      </c>
      <c r="AD14" s="30" t="s">
        <v>202</v>
      </c>
      <c r="AE14" s="39" t="s">
        <v>82</v>
      </c>
      <c r="AF14" s="40" t="s">
        <v>84</v>
      </c>
      <c r="AG14" s="40" t="s">
        <v>198</v>
      </c>
      <c r="AH14" s="40" t="s">
        <v>198</v>
      </c>
      <c r="AI14" s="40" t="s">
        <v>198</v>
      </c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199</v>
      </c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2B7F6F12-0C54-4FD6-BAFA-737C6C881EC0}">
      <formula1>"ロン,ツモ,放銃,ツモ支払,流局,チョンボ"</formula1>
    </dataValidation>
    <dataValidation type="list" allowBlank="1" showInputMessage="1" showErrorMessage="1" sqref="E4:E30" xr:uid="{AC13297A-72FD-4AAD-818D-B4DA4218A7CB}">
      <formula1>$U$2:$W$2</formula1>
    </dataValidation>
    <dataValidation type="list" allowBlank="1" showInputMessage="1" sqref="F1:T1" xr:uid="{2EE9BCF2-BA89-4B68-AE90-81DCB0690123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2020-05-30T08:46:58Z</dcterms:modified>
</cp:coreProperties>
</file>