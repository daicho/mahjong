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173ABB0C-110B-40CD-B653-248DF296F763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役一覧" sheetId="15" state="hidden" r:id="rId4"/>
    <sheet name="点数表(親ロン)" sheetId="20" state="hidden" r:id="rId5"/>
    <sheet name="点数表(親ツモ)" sheetId="21" state="hidden" r:id="rId6"/>
    <sheet name="点数表(子→親)" sheetId="22" state="hidden" r:id="rId7"/>
    <sheet name="点数表(子ロン)" sheetId="23" state="hidden" r:id="rId8"/>
    <sheet name="点数表(子ツモ)" sheetId="24" state="hidden" r:id="rId9"/>
    <sheet name="点数表(子→子)" sheetId="25" state="hidden" r:id="rId10"/>
    <sheet name="点数表(親→子)" sheetId="2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W11" i="28" s="1"/>
  <c r="O11" i="28"/>
  <c r="V11" i="28" s="1"/>
  <c r="J11" i="28"/>
  <c r="U11" i="28" s="1"/>
  <c r="D11" i="28"/>
  <c r="C11" i="28"/>
  <c r="B11" i="28"/>
  <c r="A11" i="28"/>
  <c r="D10" i="28"/>
  <c r="C10" i="28"/>
  <c r="D9" i="28"/>
  <c r="C9" i="28"/>
  <c r="D8" i="28"/>
  <c r="C8" i="28"/>
  <c r="D7" i="28"/>
  <c r="C7" i="28"/>
  <c r="B6" i="28"/>
  <c r="B7" i="28" s="1"/>
  <c r="D5" i="28"/>
  <c r="D6" i="28" s="1"/>
  <c r="C5" i="28"/>
  <c r="C6" i="28" s="1"/>
  <c r="B5" i="28"/>
  <c r="A5" i="28" s="1"/>
  <c r="T4" i="28"/>
  <c r="W4" i="28" s="1"/>
  <c r="O4" i="28"/>
  <c r="O5" i="28" s="1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D16" i="27"/>
  <c r="C16" i="27"/>
  <c r="D15" i="27"/>
  <c r="C15" i="27"/>
  <c r="D14" i="27"/>
  <c r="C14" i="27"/>
  <c r="D13" i="27"/>
  <c r="D12" i="27"/>
  <c r="D11" i="27"/>
  <c r="D10" i="27"/>
  <c r="D9" i="27"/>
  <c r="C9" i="27"/>
  <c r="C10" i="27" s="1"/>
  <c r="C11" i="27" s="1"/>
  <c r="C12" i="27" s="1"/>
  <c r="C13" i="27" s="1"/>
  <c r="D8" i="27"/>
  <c r="C8" i="27"/>
  <c r="D7" i="27"/>
  <c r="C7" i="27"/>
  <c r="D6" i="27"/>
  <c r="C6" i="27"/>
  <c r="T5" i="27"/>
  <c r="O5" i="27"/>
  <c r="V5" i="27" s="1"/>
  <c r="D5" i="27"/>
  <c r="C5" i="27"/>
  <c r="B5" i="27"/>
  <c r="A5" i="27" s="1"/>
  <c r="T4" i="27"/>
  <c r="O4" i="27"/>
  <c r="J4" i="27"/>
  <c r="J5" i="27" s="1"/>
  <c r="W3" i="27"/>
  <c r="V3" i="27"/>
  <c r="U3" i="27"/>
  <c r="W2" i="27"/>
  <c r="V2" i="27"/>
  <c r="U2" i="27"/>
  <c r="BO1" i="27"/>
  <c r="AT1" i="27"/>
  <c r="Y1" i="27"/>
  <c r="A6" i="28" l="1"/>
  <c r="V4" i="28"/>
  <c r="B8" i="28"/>
  <c r="A7" i="28"/>
  <c r="O6" i="28"/>
  <c r="J5" i="28"/>
  <c r="U4" i="28"/>
  <c r="T5" i="28"/>
  <c r="W5" i="27"/>
  <c r="W4" i="27"/>
  <c r="V4" i="27"/>
  <c r="U4" i="27"/>
  <c r="U5" i="27"/>
  <c r="J6" i="27"/>
  <c r="B6" i="27"/>
  <c r="A6" i="27" s="1"/>
  <c r="O6" i="27"/>
  <c r="T6" i="27"/>
  <c r="W3" i="19"/>
  <c r="V3" i="19"/>
  <c r="U3" i="19"/>
  <c r="U5" i="28" l="1"/>
  <c r="J6" i="28"/>
  <c r="B9" i="28"/>
  <c r="W5" i="28"/>
  <c r="T6" i="28"/>
  <c r="O7" i="28"/>
  <c r="V5" i="28"/>
  <c r="A8" i="28"/>
  <c r="U6" i="27"/>
  <c r="J7" i="27"/>
  <c r="W6" i="27"/>
  <c r="T7" i="27"/>
  <c r="V6" i="27"/>
  <c r="O7" i="27"/>
  <c r="B7" i="27"/>
  <c r="A7" i="27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D16" i="19"/>
  <c r="C16" i="19"/>
  <c r="B16" i="19"/>
  <c r="A16" i="19"/>
  <c r="D15" i="19"/>
  <c r="C15" i="19"/>
  <c r="B15" i="19"/>
  <c r="A15" i="19" s="1"/>
  <c r="D14" i="19"/>
  <c r="C14" i="19"/>
  <c r="B14" i="19"/>
  <c r="A14" i="19"/>
  <c r="D13" i="19"/>
  <c r="C13" i="19"/>
  <c r="B13" i="19"/>
  <c r="A13" i="19"/>
  <c r="D12" i="19"/>
  <c r="C12" i="19"/>
  <c r="B12" i="19"/>
  <c r="A12" i="19"/>
  <c r="D11" i="19"/>
  <c r="C11" i="19"/>
  <c r="B11" i="19"/>
  <c r="A11" i="19" s="1"/>
  <c r="D10" i="19"/>
  <c r="C10" i="19"/>
  <c r="B10" i="19"/>
  <c r="A10" i="19" s="1"/>
  <c r="D9" i="19"/>
  <c r="C9" i="19"/>
  <c r="B9" i="19"/>
  <c r="A9" i="19" s="1"/>
  <c r="D8" i="19"/>
  <c r="C8" i="19"/>
  <c r="B8" i="19"/>
  <c r="A8" i="19" s="1"/>
  <c r="O7" i="19"/>
  <c r="O8" i="19" s="1"/>
  <c r="O9" i="19" s="1"/>
  <c r="O10" i="19" s="1"/>
  <c r="O11" i="19" s="1"/>
  <c r="D7" i="19"/>
  <c r="C7" i="19"/>
  <c r="B7" i="19"/>
  <c r="A7" i="19" s="1"/>
  <c r="T6" i="19"/>
  <c r="T7" i="19" s="1"/>
  <c r="T8" i="19" s="1"/>
  <c r="T9" i="19" s="1"/>
  <c r="T10" i="19" s="1"/>
  <c r="T11" i="19" s="1"/>
  <c r="T12" i="19" s="1"/>
  <c r="T13" i="19" s="1"/>
  <c r="T14" i="19" s="1"/>
  <c r="T15" i="19" s="1"/>
  <c r="T16" i="19" s="1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7" i="19" l="1"/>
  <c r="J8" i="19" s="1"/>
  <c r="J9" i="19" s="1"/>
  <c r="J10" i="19" s="1"/>
  <c r="J11" i="19" s="1"/>
  <c r="J12" i="19" s="1"/>
  <c r="J13" i="19" s="1"/>
  <c r="J14" i="19" s="1"/>
  <c r="J15" i="19" s="1"/>
  <c r="J16" i="19" s="1"/>
  <c r="O12" i="19"/>
  <c r="O13" i="19" s="1"/>
  <c r="O14" i="19" s="1"/>
  <c r="O15" i="19" s="1"/>
  <c r="O16" i="19" s="1"/>
  <c r="U6" i="28"/>
  <c r="J7" i="28"/>
  <c r="O8" i="28"/>
  <c r="B10" i="28"/>
  <c r="V6" i="28"/>
  <c r="W6" i="28"/>
  <c r="T7" i="28"/>
  <c r="A9" i="28"/>
  <c r="A10" i="28" s="1"/>
  <c r="J8" i="27"/>
  <c r="U7" i="27"/>
  <c r="B8" i="27"/>
  <c r="V7" i="27"/>
  <c r="O8" i="27"/>
  <c r="W7" i="27"/>
  <c r="T8" i="27"/>
  <c r="W16" i="19"/>
  <c r="V14" i="19"/>
  <c r="W14" i="19"/>
  <c r="U14" i="19"/>
  <c r="V13" i="19"/>
  <c r="W13" i="19"/>
  <c r="V12" i="19"/>
  <c r="W11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10" i="19" l="1"/>
  <c r="U12" i="19"/>
  <c r="W12" i="19"/>
  <c r="V16" i="19"/>
  <c r="V15" i="19"/>
  <c r="U16" i="19"/>
  <c r="U13" i="19"/>
  <c r="U11" i="19"/>
  <c r="W15" i="19"/>
  <c r="U15" i="19"/>
  <c r="V11" i="19"/>
  <c r="U7" i="28"/>
  <c r="J8" i="28"/>
  <c r="W7" i="28"/>
  <c r="T8" i="28"/>
  <c r="V8" i="28"/>
  <c r="O9" i="28"/>
  <c r="V7" i="28"/>
  <c r="B9" i="27"/>
  <c r="A9" i="27" s="1"/>
  <c r="U8" i="27"/>
  <c r="J9" i="27"/>
  <c r="W8" i="27"/>
  <c r="T9" i="27"/>
  <c r="V8" i="27"/>
  <c r="O9" i="27"/>
  <c r="A8" i="27"/>
  <c r="W5" i="19"/>
  <c r="V5" i="19"/>
  <c r="U5" i="19"/>
  <c r="O10" i="28" l="1"/>
  <c r="W8" i="28"/>
  <c r="T9" i="28"/>
  <c r="U8" i="28"/>
  <c r="J9" i="28"/>
  <c r="V9" i="28" s="1"/>
  <c r="V9" i="27"/>
  <c r="O10" i="27"/>
  <c r="W9" i="27"/>
  <c r="T10" i="27"/>
  <c r="U9" i="27"/>
  <c r="J10" i="27"/>
  <c r="B10" i="27"/>
  <c r="A10" i="27" s="1"/>
  <c r="W9" i="28" l="1"/>
  <c r="T10" i="28"/>
  <c r="U9" i="28"/>
  <c r="J10" i="28"/>
  <c r="U10" i="28" s="1"/>
  <c r="V10" i="27"/>
  <c r="O11" i="27"/>
  <c r="B11" i="27"/>
  <c r="A11" i="27" s="1"/>
  <c r="U10" i="27"/>
  <c r="J11" i="27"/>
  <c r="W10" i="27"/>
  <c r="T11" i="27"/>
  <c r="W10" i="28" l="1"/>
  <c r="V10" i="28"/>
  <c r="W11" i="27"/>
  <c r="T12" i="27"/>
  <c r="U11" i="27"/>
  <c r="J12" i="27"/>
  <c r="B12" i="27"/>
  <c r="V11" i="27"/>
  <c r="O12" i="27"/>
  <c r="V12" i="27" l="1"/>
  <c r="O13" i="27"/>
  <c r="W12" i="27"/>
  <c r="T13" i="27"/>
  <c r="B13" i="27"/>
  <c r="A12" i="27"/>
  <c r="U12" i="27"/>
  <c r="J13" i="27"/>
  <c r="A13" i="27" l="1"/>
  <c r="U13" i="27"/>
  <c r="J14" i="27"/>
  <c r="V13" i="27"/>
  <c r="O14" i="27"/>
  <c r="B14" i="27"/>
  <c r="A14" i="27" s="1"/>
  <c r="W13" i="27"/>
  <c r="T14" i="27"/>
  <c r="U14" i="27" l="1"/>
  <c r="J15" i="27"/>
  <c r="W14" i="27"/>
  <c r="T15" i="27"/>
  <c r="B15" i="27"/>
  <c r="V14" i="27"/>
  <c r="O15" i="27"/>
  <c r="V15" i="27" l="1"/>
  <c r="O16" i="27"/>
  <c r="V16" i="27" s="1"/>
  <c r="B16" i="27"/>
  <c r="A16" i="27" s="1"/>
  <c r="U15" i="27"/>
  <c r="J16" i="27"/>
  <c r="A15" i="27"/>
  <c r="W15" i="27"/>
  <c r="T16" i="27"/>
  <c r="W16" i="27" l="1"/>
  <c r="U16" i="27"/>
</calcChain>
</file>

<file path=xl/sharedStrings.xml><?xml version="1.0" encoding="utf-8"?>
<sst xmlns="http://schemas.openxmlformats.org/spreadsheetml/2006/main" count="977" uniqueCount="208">
  <si>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</si>
  <si>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</si>
  <si>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</si>
  <si>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</si>
  <si>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</si>
  <si>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</si>
  <si>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</si>
  <si>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</si>
  <si>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</si>
  <si>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</si>
  <si>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</si>
  <si>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</si>
  <si>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</si>
  <si>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</si>
  <si>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</si>
  <si>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</si>
  <si>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</si>
  <si>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</si>
  <si>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</si>
  <si>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</si>
  <si>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</si>
  <si>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</si>
  <si>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</si>
  <si>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</si>
  <si>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</si>
  <si>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</si>
  <si>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</si>
  <si>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</si>
  <si>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</si>
  <si>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</si>
  <si>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</si>
  <si>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</si>
  <si>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</si>
  <si>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</si>
  <si>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</si>
  <si>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</si>
  <si>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</si>
  <si>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</si>
  <si>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</si>
  <si>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</si>
  <si>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</si>
  <si>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</si>
  <si>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</si>
  <si>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</si>
  <si>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</si>
  <si>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</si>
  <si>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</si>
  <si>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</si>
  <si>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</si>
  <si>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</si>
  <si>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</si>
  <si>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</si>
  <si>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</si>
  <si>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</si>
  <si>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</si>
  <si>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</si>
  <si>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</si>
  <si>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</si>
  <si>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</si>
  <si>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</si>
  <si>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</si>
  <si>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</si>
  <si>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</si>
  <si>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</si>
  <si>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</si>
  <si>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</si>
  <si>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</si>
  <si>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</si>
  <si>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</si>
  <si>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</si>
  <si>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</si>
  <si>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</si>
  <si>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</si>
  <si>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</si>
  <si>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</si>
  <si>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</si>
  <si>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</si>
  <si>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</si>
  <si>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</si>
  <si>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</si>
  <si>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</si>
  <si>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</si>
  <si>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</si>
  <si>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</si>
  <si>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</si>
  <si>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</si>
  <si>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</si>
  <si>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</si>
  <si>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</si>
  <si>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</si>
  <si>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</si>
  <si>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</si>
  <si>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</si>
  <si>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</si>
  <si>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</si>
  <si>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</si>
  <si>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</si>
  <si>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</si>
  <si>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</si>
  <si>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</si>
  <si>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</si>
  <si>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</si>
  <si>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</si>
  <si>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</si>
  <si>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</si>
  <si>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</si>
  <si>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</si>
  <si>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</si>
  <si>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</si>
  <si>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</si>
  <si>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</si>
  <si>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</si>
  <si>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</si>
  <si>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</si>
  <si>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</si>
  <si>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</si>
  <si>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</si>
  <si>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</si>
  <si>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</si>
  <si>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</si>
  <si>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</si>
  <si>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</si>
  <si>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</si>
  <si>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</si>
  <si>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</si>
  <si>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</si>
  <si>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</si>
  <si>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</si>
  <si>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</si>
  <si>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</si>
  <si>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</si>
  <si>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</si>
  <si>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</si>
  <si>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</si>
  <si>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</si>
  <si>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</si>
  <si>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</si>
  <si>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</si>
  <si>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</si>
  <si>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</si>
  <si>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</si>
  <si>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</si>
  <si>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</si>
  <si>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</si>
  <si>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</si>
  <si>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</si>
  <si>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</si>
  <si>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</si>
  <si>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</si>
  <si>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</si>
  <si>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</si>
  <si>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</si>
  <si>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</si>
  <si>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</si>
  <si>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</si>
  <si>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</si>
  <si>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</si>
  <si>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</si>
  <si>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</si>
  <si>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</si>
  <si>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</si>
  <si>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</si>
  <si>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</si>
  <si>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</si>
  <si>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</si>
  <si>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</si>
  <si>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</si>
  <si>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</si>
  <si>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</si>
  <si>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</si>
  <si>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</si>
  <si>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</si>
  <si>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</si>
  <si>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</si>
  <si>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</si>
  <si>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</si>
  <si>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</si>
  <si>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</si>
  <si>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</si>
  <si>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</si>
  <si>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</si>
  <si>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</si>
  <si>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</si>
  <si>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</si>
  <si>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</si>
  <si>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</si>
  <si>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</si>
  <si>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</si>
  <si>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</si>
  <si>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</si>
  <si>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</si>
  <si>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</si>
  <si>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</si>
  <si>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</si>
  <si>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パパ</t>
  </si>
  <si>
    <t>ツモ</t>
  </si>
  <si>
    <t>ツモ支払</t>
  </si>
  <si>
    <t>*</t>
  </si>
  <si>
    <t>01</t>
  </si>
  <si>
    <t>52</t>
  </si>
  <si>
    <t>だいち</t>
  </si>
  <si>
    <t>ロン</t>
  </si>
  <si>
    <t>放銃</t>
  </si>
  <si>
    <t>あやめ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</si>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</sst>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8000</v>
      </c>
      <c r="H4" s="9"/>
      <c r="I4" s="47">
        <v>0</v>
      </c>
      <c r="J4" s="21">
        <f>IF(COUNTA($F4,$K4,$P4)&gt;0,J3+SUM(G4:I4),"")</f>
        <v>33000</v>
      </c>
      <c r="K4" s="8" t="s">
        <v>196</v>
      </c>
      <c r="L4" s="9">
        <v>-4000</v>
      </c>
      <c r="M4" s="9"/>
      <c r="N4" s="47">
        <v>0</v>
      </c>
      <c r="O4" s="21">
        <f>IF(COUNTA($F4,$K4,$P4)&gt;0,O3+SUM(L4:N4),"")</f>
        <v>21000</v>
      </c>
      <c r="P4" s="8" t="s">
        <v>196</v>
      </c>
      <c r="Q4" s="9">
        <v>-4000</v>
      </c>
      <c r="R4" s="9"/>
      <c r="S4" s="47">
        <v>0</v>
      </c>
      <c r="T4" s="21">
        <f>IF(COUNTA($F4,$K4,$P4)&gt;0,T3+SUM(Q4:S4),"")</f>
        <v>21000</v>
      </c>
      <c r="U4" s="52">
        <f>IF($J4="","",ROUND(($J4-$J$3)/1000,1)+(_xlfn.RANK.AVG($J4,($J4,$O4,$T4),1)-2)*10)</f>
        <v>18</v>
      </c>
      <c r="V4" s="53">
        <f>IF($O4="","",ROUND(($O4-$O$3)/1000,1)+(_xlfn.RANK.AVG($O4,($J4,$O4,$T4),1)-2)*10)</f>
        <v>-9</v>
      </c>
      <c r="W4" s="54">
        <f>IF($T4="","",ROUND(($T4-$T$3)/1000,1)+(_xlfn.RANK.AVG($T4,($J4,$O4,$T4),1)-2)*10)</f>
        <v>-9</v>
      </c>
      <c r="Y4" s="8"/>
      <c r="Z4" s="33"/>
      <c r="AA4" s="26">
        <v>1</v>
      </c>
      <c r="AB4" s="26"/>
      <c r="AC4" s="26">
        <v>5</v>
      </c>
      <c r="AD4" s="30" t="s">
        <v>197</v>
      </c>
      <c r="AE4" s="39" t="s">
        <v>198</v>
      </c>
      <c r="AF4" s="40" t="s">
        <v>82</v>
      </c>
      <c r="AG4" s="40" t="s">
        <v>79</v>
      </c>
      <c r="AH4" s="40" t="s">
        <v>79</v>
      </c>
      <c r="AI4" s="40" t="s">
        <v>79</v>
      </c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196</v>
      </c>
      <c r="G5" s="9">
        <v>-2000</v>
      </c>
      <c r="H5" s="9"/>
      <c r="I5" s="47">
        <v>-500</v>
      </c>
      <c r="J5" s="21">
        <f t="shared" ref="J5:J30" si="2">IF(COUNTA($F5,$K5,$P5)&gt;0,J4+SUM(G5:I5),"")</f>
        <v>30500</v>
      </c>
      <c r="K5" s="8" t="s">
        <v>195</v>
      </c>
      <c r="L5" s="9">
        <v>3000</v>
      </c>
      <c r="M5" s="9"/>
      <c r="N5" s="47">
        <v>1000</v>
      </c>
      <c r="O5" s="21">
        <f t="shared" ref="O5:O30" si="3">IF(COUNTA($F5,$K5,$P5)&gt;0,O4+SUM(L5:N5),"")</f>
        <v>25000</v>
      </c>
      <c r="P5" s="8" t="s">
        <v>196</v>
      </c>
      <c r="Q5" s="9">
        <v>-1000</v>
      </c>
      <c r="R5" s="9"/>
      <c r="S5" s="47">
        <v>-500</v>
      </c>
      <c r="T5" s="21">
        <f t="shared" ref="T5:T30" si="4">IF(COUNTA($F5,$K5,$P5)&gt;0,T4+SUM(Q5:S5),"")</f>
        <v>19500</v>
      </c>
      <c r="U5" s="52">
        <f>IF($J5="","",ROUND(($J5-$J$3)/1000,1)+(_xlfn.RANK.AVG($J5,($J5,$O5,$T5),1)-2)*10)</f>
        <v>15.5</v>
      </c>
      <c r="V5" s="53">
        <f>IF($O5="","",ROUND(($O5-$O$3)/1000,1)+(_xlfn.RANK.AVG($O5,($J5,$O5,$T5),1)-2)*10)</f>
        <v>0</v>
      </c>
      <c r="W5" s="54">
        <f>IF($T5="","",ROUND(($T5-$T$3)/1000,1)+(_xlfn.RANK.AVG($T5,($J5,$O5,$T5),1)-2)*10)</f>
        <v>-15.5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3</v>
      </c>
      <c r="AY5" s="30">
        <v>30</v>
      </c>
      <c r="AZ5" s="39" t="s">
        <v>198</v>
      </c>
      <c r="BA5" s="40" t="s">
        <v>82</v>
      </c>
      <c r="BB5" s="40" t="s">
        <v>199</v>
      </c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200</v>
      </c>
      <c r="F6" s="8" t="s">
        <v>196</v>
      </c>
      <c r="G6" s="9">
        <v>-4000</v>
      </c>
      <c r="H6" s="9"/>
      <c r="I6" s="47">
        <v>0</v>
      </c>
      <c r="J6" s="21">
        <f t="shared" si="2"/>
        <v>26500</v>
      </c>
      <c r="K6" s="8" t="s">
        <v>195</v>
      </c>
      <c r="L6" s="9">
        <v>8000</v>
      </c>
      <c r="M6" s="9"/>
      <c r="N6" s="47">
        <v>0</v>
      </c>
      <c r="O6" s="21">
        <f t="shared" si="3"/>
        <v>33000</v>
      </c>
      <c r="P6" s="8" t="s">
        <v>196</v>
      </c>
      <c r="Q6" s="9">
        <v>-4000</v>
      </c>
      <c r="R6" s="9"/>
      <c r="S6" s="47">
        <v>0</v>
      </c>
      <c r="T6" s="21">
        <f t="shared" si="4"/>
        <v>15500</v>
      </c>
      <c r="U6" s="52">
        <f>IF($J6="","",ROUND(($J6-$J$3)/1000,1)+(_xlfn.RANK.AVG($J6,($J6,$O6,$T6),1)-2)*10)</f>
        <v>1.5</v>
      </c>
      <c r="V6" s="53">
        <f>IF($O6="","",ROUND(($O6-$O$3)/1000,1)+(_xlfn.RANK.AVG($O6,($J6,$O6,$T6),1)-2)*10)</f>
        <v>18</v>
      </c>
      <c r="W6" s="54">
        <f>IF($T6="","",ROUND(($T6-$T$3)/1000,1)+(_xlfn.RANK.AVG($T6,($J6,$O6,$T6),1)-2)*10)</f>
        <v>-19.5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>
        <v>4</v>
      </c>
      <c r="AY6" s="30">
        <v>30</v>
      </c>
      <c r="AZ6" s="39" t="s">
        <v>82</v>
      </c>
      <c r="BA6" s="40" t="s">
        <v>84</v>
      </c>
      <c r="BB6" s="40" t="s">
        <v>79</v>
      </c>
      <c r="BC6" s="40" t="s">
        <v>199</v>
      </c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200</v>
      </c>
      <c r="F7" s="8" t="s">
        <v>201</v>
      </c>
      <c r="G7" s="9">
        <v>2000</v>
      </c>
      <c r="H7" s="9"/>
      <c r="I7" s="47">
        <v>1000</v>
      </c>
      <c r="J7" s="21">
        <f t="shared" si="2"/>
        <v>29500</v>
      </c>
      <c r="K7" s="8"/>
      <c r="L7" s="9"/>
      <c r="M7" s="9"/>
      <c r="N7" s="47"/>
      <c r="O7" s="21">
        <f t="shared" si="3"/>
        <v>33000</v>
      </c>
      <c r="P7" s="8" t="s">
        <v>202</v>
      </c>
      <c r="Q7" s="9">
        <v>-2000</v>
      </c>
      <c r="R7" s="9"/>
      <c r="S7" s="47">
        <v>-1000</v>
      </c>
      <c r="T7" s="21">
        <f t="shared" si="4"/>
        <v>12500</v>
      </c>
      <c r="U7" s="52">
        <f>IF($J7="","",ROUND(($J7-$J$3)/1000,1)+(_xlfn.RANK.AVG($J7,($J7,$O7,$T7),1)-2)*10)</f>
        <v>4.5</v>
      </c>
      <c r="V7" s="53">
        <f>IF($O7="","",ROUND(($O7-$O$3)/1000,1)+(_xlfn.RANK.AVG($O7,($J7,$O7,$T7),1)-2)*10)</f>
        <v>18</v>
      </c>
      <c r="W7" s="54">
        <f>IF($T7="","",ROUND(($T7-$T$3)/1000,1)+(_xlfn.RANK.AVG($T7,($J7,$O7,$T7),1)-2)*10)</f>
        <v>-22.5</v>
      </c>
      <c r="Y7" s="8"/>
      <c r="Z7" s="33"/>
      <c r="AA7" s="26"/>
      <c r="AB7" s="26"/>
      <c r="AC7" s="26">
        <v>2</v>
      </c>
      <c r="AD7" s="30">
        <v>40</v>
      </c>
      <c r="AE7" s="39" t="s">
        <v>85</v>
      </c>
      <c r="AF7" s="40" t="s">
        <v>199</v>
      </c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>
        <v>1</v>
      </c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203</v>
      </c>
      <c r="F8" s="8" t="s">
        <v>202</v>
      </c>
      <c r="G8" s="9">
        <v>-1300</v>
      </c>
      <c r="H8" s="9">
        <v>-1000</v>
      </c>
      <c r="I8" s="47">
        <v>0</v>
      </c>
      <c r="J8" s="21">
        <f t="shared" si="2"/>
        <v>27200</v>
      </c>
      <c r="K8" s="8"/>
      <c r="L8" s="9"/>
      <c r="M8" s="9"/>
      <c r="N8" s="47"/>
      <c r="O8" s="21">
        <f t="shared" si="3"/>
        <v>33000</v>
      </c>
      <c r="P8" s="8" t="s">
        <v>201</v>
      </c>
      <c r="Q8" s="9">
        <v>1300</v>
      </c>
      <c r="R8" s="9">
        <v>1000</v>
      </c>
      <c r="S8" s="47">
        <v>0</v>
      </c>
      <c r="T8" s="21">
        <f t="shared" si="4"/>
        <v>14800</v>
      </c>
      <c r="U8" s="52">
        <f>IF($J8="","",ROUND(($J8-$J$3)/1000,1)+(_xlfn.RANK.AVG($J8,($J8,$O8,$T8),1)-2)*10)</f>
        <v>2.2000000000000002</v>
      </c>
      <c r="V8" s="53">
        <f>IF($O8="","",ROUND(($O8-$O$3)/1000,1)+(_xlfn.RANK.AVG($O8,($J8,$O8,$T8),1)-2)*10)</f>
        <v>18</v>
      </c>
      <c r="W8" s="54">
        <f>IF($T8="","",ROUND(($T8-$T$3)/1000,1)+(_xlfn.RANK.AVG($T8,($J8,$O8,$T8),1)-2)*10)</f>
        <v>-20.2</v>
      </c>
      <c r="Y8" s="8"/>
      <c r="Z8" s="33"/>
      <c r="AA8" s="26">
        <v>1</v>
      </c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1</v>
      </c>
      <c r="BT8" s="30">
        <v>40</v>
      </c>
      <c r="BU8" s="39" t="s">
        <v>198</v>
      </c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203</v>
      </c>
      <c r="F9" s="8"/>
      <c r="G9" s="9"/>
      <c r="H9" s="9"/>
      <c r="I9" s="47"/>
      <c r="J9" s="21">
        <f t="shared" si="2"/>
        <v>27200</v>
      </c>
      <c r="K9" s="8" t="s">
        <v>202</v>
      </c>
      <c r="L9" s="9">
        <v>-12000</v>
      </c>
      <c r="M9" s="9"/>
      <c r="N9" s="47">
        <v>-1000</v>
      </c>
      <c r="O9" s="21">
        <f t="shared" si="3"/>
        <v>20000</v>
      </c>
      <c r="P9" s="8" t="s">
        <v>201</v>
      </c>
      <c r="Q9" s="9">
        <v>12000</v>
      </c>
      <c r="R9" s="9"/>
      <c r="S9" s="47">
        <v>1000</v>
      </c>
      <c r="T9" s="21">
        <f t="shared" si="4"/>
        <v>27800</v>
      </c>
      <c r="U9" s="52">
        <f>IF($J9="","",ROUND(($J9-$J$3)/1000,1)+(_xlfn.RANK.AVG($J9,($J9,$O9,$T9),1)-2)*10)</f>
        <v>2.2000000000000002</v>
      </c>
      <c r="V9" s="53">
        <f>IF($O9="","",ROUND(($O9-$O$3)/1000,1)+(_xlfn.RANK.AVG($O9,($J9,$O9,$T9),1)-2)*10)</f>
        <v>-15</v>
      </c>
      <c r="W9" s="54">
        <f>IF($T9="","",ROUND(($T9-$T$3)/1000,1)+(_xlfn.RANK.AVG($T9,($J9,$O9,$T9),1)-2)*10)</f>
        <v>12.8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>
        <v>1</v>
      </c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6</v>
      </c>
      <c r="BT9" s="30" t="s">
        <v>197</v>
      </c>
      <c r="BU9" s="39" t="s">
        <v>198</v>
      </c>
      <c r="BV9" s="40" t="s">
        <v>84</v>
      </c>
      <c r="BW9" s="40" t="s">
        <v>79</v>
      </c>
      <c r="BX9" s="40" t="s">
        <v>80</v>
      </c>
      <c r="BY9" s="40" t="s">
        <v>80</v>
      </c>
      <c r="BZ9" s="40" t="s">
        <v>204</v>
      </c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203</v>
      </c>
      <c r="F10" s="8" t="s">
        <v>196</v>
      </c>
      <c r="G10" s="9">
        <v>-8000</v>
      </c>
      <c r="H10" s="9"/>
      <c r="I10" s="47">
        <v>-1000</v>
      </c>
      <c r="J10" s="21">
        <f t="shared" si="2"/>
        <v>18200</v>
      </c>
      <c r="K10" s="8" t="s">
        <v>196</v>
      </c>
      <c r="L10" s="9">
        <v>-8000</v>
      </c>
      <c r="M10" s="9"/>
      <c r="N10" s="47">
        <v>-1000</v>
      </c>
      <c r="O10" s="21">
        <f t="shared" si="3"/>
        <v>11000</v>
      </c>
      <c r="P10" s="8" t="s">
        <v>195</v>
      </c>
      <c r="Q10" s="9">
        <v>16000</v>
      </c>
      <c r="R10" s="9"/>
      <c r="S10" s="47">
        <v>2000</v>
      </c>
      <c r="T10" s="21">
        <f t="shared" si="4"/>
        <v>45800</v>
      </c>
      <c r="U10" s="52">
        <f>IF($J10="","",ROUND(($J10-$J$3)/1000,1)+(_xlfn.RANK.AVG($J10,($J10,$O10,$T10),1)-2)*10)</f>
        <v>-6.8</v>
      </c>
      <c r="V10" s="53">
        <f>IF($O10="","",ROUND(($O10-$O$3)/1000,1)+(_xlfn.RANK.AVG($O10,($J10,$O10,$T10),1)-2)*10)</f>
        <v>-24</v>
      </c>
      <c r="W10" s="54">
        <f>IF($T10="","",ROUND(($T10-$T$3)/1000,1)+(_xlfn.RANK.AVG($T10,($J10,$O10,$T10),1)-2)*10)</f>
        <v>30.8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>
        <v>8</v>
      </c>
      <c r="BT10" s="30" t="s">
        <v>197</v>
      </c>
      <c r="BU10" s="39" t="s">
        <v>198</v>
      </c>
      <c r="BV10" s="40" t="s">
        <v>82</v>
      </c>
      <c r="BW10" s="40" t="s">
        <v>204</v>
      </c>
      <c r="BX10" s="40" t="s">
        <v>79</v>
      </c>
      <c r="BY10" s="40" t="s">
        <v>199</v>
      </c>
      <c r="BZ10" s="40" t="s">
        <v>199</v>
      </c>
      <c r="CA10" s="40" t="s">
        <v>86</v>
      </c>
      <c r="CB10" s="40" t="s">
        <v>86</v>
      </c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">
        <v>203</v>
      </c>
      <c r="F11" s="8" t="s">
        <v>202</v>
      </c>
      <c r="G11" s="9">
        <v>-2600</v>
      </c>
      <c r="H11" s="9"/>
      <c r="I11" s="47">
        <v>-3000</v>
      </c>
      <c r="J11" s="21">
        <f t="shared" si="2"/>
        <v>12600</v>
      </c>
      <c r="K11" s="8"/>
      <c r="L11" s="9"/>
      <c r="M11" s="9"/>
      <c r="N11" s="47"/>
      <c r="O11" s="21">
        <f t="shared" si="3"/>
        <v>11000</v>
      </c>
      <c r="P11" s="8" t="s">
        <v>201</v>
      </c>
      <c r="Q11" s="9">
        <v>2600</v>
      </c>
      <c r="R11" s="9"/>
      <c r="S11" s="47">
        <v>3000</v>
      </c>
      <c r="T11" s="21">
        <f t="shared" si="4"/>
        <v>51400</v>
      </c>
      <c r="U11" s="52">
        <f>IF($J11="","",ROUND(($J11-$J$3)/1000,1)+(_xlfn.RANK.AVG($J11,($J11,$O11,$T11),1)-2)*10)</f>
        <v>-12.4</v>
      </c>
      <c r="V11" s="53">
        <f>IF($O11="","",ROUND(($O11-$O$3)/1000,1)+(_xlfn.RANK.AVG($O11,($J11,$O11,$T11),1)-2)*10)</f>
        <v>-24</v>
      </c>
      <c r="W11" s="54">
        <f>IF($T11="","",ROUND(($T11-$T$3)/1000,1)+(_xlfn.RANK.AVG($T11,($J11,$O11,$T11),1)-2)*10)</f>
        <v>36.4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>
        <v>1</v>
      </c>
      <c r="BR11" s="26"/>
      <c r="BS11" s="26">
        <v>2</v>
      </c>
      <c r="BT11" s="30">
        <v>40</v>
      </c>
      <c r="BU11" s="39" t="s">
        <v>198</v>
      </c>
      <c r="BV11" s="40" t="s">
        <v>79</v>
      </c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4</v>
      </c>
      <c r="D12" s="18">
        <f t="shared" si="1"/>
        <v>0</v>
      </c>
      <c r="E12" s="4" t="s">
        <v>203</v>
      </c>
      <c r="F12" s="8"/>
      <c r="G12" s="9"/>
      <c r="H12" s="9"/>
      <c r="I12" s="47"/>
      <c r="J12" s="21">
        <f t="shared" si="2"/>
        <v>12600</v>
      </c>
      <c r="K12" s="8" t="s">
        <v>202</v>
      </c>
      <c r="L12" s="9">
        <v>-5200</v>
      </c>
      <c r="M12" s="9">
        <v>-1000</v>
      </c>
      <c r="N12" s="47">
        <v>-4000</v>
      </c>
      <c r="O12" s="21">
        <f t="shared" si="3"/>
        <v>800</v>
      </c>
      <c r="P12" s="8" t="s">
        <v>201</v>
      </c>
      <c r="Q12" s="9">
        <v>5200</v>
      </c>
      <c r="R12" s="9">
        <v>1000</v>
      </c>
      <c r="S12" s="47">
        <v>4000</v>
      </c>
      <c r="T12" s="21">
        <f t="shared" si="4"/>
        <v>61600</v>
      </c>
      <c r="U12" s="52">
        <f>IF($J12="","",ROUND(($J12-$J$3)/1000,1)+(_xlfn.RANK.AVG($J12,($J12,$O12,$T12),1)-2)*10)</f>
        <v>-12.4</v>
      </c>
      <c r="V12" s="53">
        <f>IF($O12="","",ROUND(($O12-$O$3)/1000,1)+(_xlfn.RANK.AVG($O12,($J12,$O12,$T12),1)-2)*10)</f>
        <v>-34.200000000000003</v>
      </c>
      <c r="W12" s="54">
        <f>IF($T12="","",ROUND(($T12-$T$3)/1000,1)+(_xlfn.RANK.AVG($T12,($J12,$O12,$T12),1)-2)*10)</f>
        <v>46.6</v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>
        <v>1</v>
      </c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>
        <v>1</v>
      </c>
      <c r="BR12" s="26"/>
      <c r="BS12" s="26">
        <v>3</v>
      </c>
      <c r="BT12" s="30">
        <v>40</v>
      </c>
      <c r="BU12" s="39" t="s">
        <v>198</v>
      </c>
      <c r="BV12" s="40" t="s">
        <v>199</v>
      </c>
      <c r="BW12" s="40" t="s">
        <v>199</v>
      </c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東</v>
      </c>
      <c r="B13" s="18">
        <f t="shared" si="5"/>
        <v>3</v>
      </c>
      <c r="C13" s="18">
        <f t="shared" si="6"/>
        <v>5</v>
      </c>
      <c r="D13" s="18">
        <f t="shared" si="1"/>
        <v>0</v>
      </c>
      <c r="E13" s="4" t="s">
        <v>203</v>
      </c>
      <c r="F13" s="8" t="s">
        <v>202</v>
      </c>
      <c r="G13" s="9">
        <v>-6000</v>
      </c>
      <c r="H13" s="9"/>
      <c r="I13" s="47">
        <v>-5000</v>
      </c>
      <c r="J13" s="21">
        <f t="shared" si="2"/>
        <v>1600</v>
      </c>
      <c r="K13" s="8" t="s">
        <v>201</v>
      </c>
      <c r="L13" s="9">
        <v>6000</v>
      </c>
      <c r="M13" s="9">
        <v>1000</v>
      </c>
      <c r="N13" s="47">
        <v>5000</v>
      </c>
      <c r="O13" s="21">
        <f t="shared" si="3"/>
        <v>12800</v>
      </c>
      <c r="P13" s="8"/>
      <c r="Q13" s="9"/>
      <c r="R13" s="9">
        <v>-1000</v>
      </c>
      <c r="S13" s="47"/>
      <c r="T13" s="21">
        <f t="shared" si="4"/>
        <v>60600</v>
      </c>
      <c r="U13" s="52">
        <f>IF($J13="","",ROUND(($J13-$J$3)/1000,1)+(_xlfn.RANK.AVG($J13,($J13,$O13,$T13),1)-2)*10)</f>
        <v>-33.4</v>
      </c>
      <c r="V13" s="53">
        <f>IF($O13="","",ROUND(($O13-$O$3)/1000,1)+(_xlfn.RANK.AVG($O13,($J13,$O13,$T13),1)-2)*10)</f>
        <v>-12.2</v>
      </c>
      <c r="W13" s="54">
        <f>IF($T13="","",ROUND(($T13-$T$3)/1000,1)+(_xlfn.RANK.AVG($T13,($J13,$O13,$T13),1)-2)*10)</f>
        <v>45.6</v>
      </c>
      <c r="Y13" s="8"/>
      <c r="Z13" s="33"/>
      <c r="AA13" s="26"/>
      <c r="AB13" s="26">
        <v>1</v>
      </c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>
        <v>4</v>
      </c>
      <c r="AY13" s="30">
        <v>30</v>
      </c>
      <c r="AZ13" s="39" t="s">
        <v>85</v>
      </c>
      <c r="BA13" s="40" t="s">
        <v>83</v>
      </c>
      <c r="BB13" s="40" t="s">
        <v>199</v>
      </c>
      <c r="BC13" s="40" t="s">
        <v>199</v>
      </c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>
        <v>1</v>
      </c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194</v>
      </c>
      <c r="F14" s="8" t="s">
        <v>195</v>
      </c>
      <c r="G14" s="9">
        <v>8000</v>
      </c>
      <c r="H14" s="9">
        <v>1000</v>
      </c>
      <c r="I14" s="47">
        <v>0</v>
      </c>
      <c r="J14" s="21">
        <f t="shared" si="2"/>
        <v>10600</v>
      </c>
      <c r="K14" s="8" t="s">
        <v>196</v>
      </c>
      <c r="L14" s="9">
        <v>-4000</v>
      </c>
      <c r="M14" s="9"/>
      <c r="N14" s="47">
        <v>0</v>
      </c>
      <c r="O14" s="21">
        <f t="shared" si="3"/>
        <v>8800</v>
      </c>
      <c r="P14" s="8" t="s">
        <v>196</v>
      </c>
      <c r="Q14" s="9">
        <v>-4000</v>
      </c>
      <c r="R14" s="9">
        <v>-1000</v>
      </c>
      <c r="S14" s="47">
        <v>0</v>
      </c>
      <c r="T14" s="21">
        <f t="shared" si="4"/>
        <v>55600</v>
      </c>
      <c r="U14" s="52">
        <f>IF($J14="","",ROUND(($J14-$J$3)/1000,1)+(_xlfn.RANK.AVG($J14,($J14,$O14,$T14),1)-2)*10)</f>
        <v>-14.4</v>
      </c>
      <c r="V14" s="53">
        <f>IF($O14="","",ROUND(($O14-$O$3)/1000,1)+(_xlfn.RANK.AVG($O14,($J14,$O14,$T14),1)-2)*10)</f>
        <v>-26.2</v>
      </c>
      <c r="W14" s="54">
        <f>IF($T14="","",ROUND(($T14-$T$3)/1000,1)+(_xlfn.RANK.AVG($T14,($J14,$O14,$T14),1)-2)*10)</f>
        <v>40.6</v>
      </c>
      <c r="Y14" s="8"/>
      <c r="Z14" s="33"/>
      <c r="AA14" s="26">
        <v>1</v>
      </c>
      <c r="AB14" s="26"/>
      <c r="AC14" s="26">
        <v>5</v>
      </c>
      <c r="AD14" s="30" t="s">
        <v>197</v>
      </c>
      <c r="AE14" s="39" t="s">
        <v>198</v>
      </c>
      <c r="AF14" s="40" t="s">
        <v>82</v>
      </c>
      <c r="AG14" s="40" t="s">
        <v>79</v>
      </c>
      <c r="AH14" s="40" t="s">
        <v>199</v>
      </c>
      <c r="AI14" s="40" t="s">
        <v>204</v>
      </c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>
        <v>1</v>
      </c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>南</v>
      </c>
      <c r="B15" s="18">
        <f t="shared" si="5"/>
        <v>1</v>
      </c>
      <c r="C15" s="18">
        <f t="shared" si="6"/>
        <v>1</v>
      </c>
      <c r="D15" s="18">
        <f t="shared" si="1"/>
        <v>0</v>
      </c>
      <c r="E15" s="4" t="s">
        <v>194</v>
      </c>
      <c r="F15" s="8"/>
      <c r="G15" s="9"/>
      <c r="H15" s="9"/>
      <c r="I15" s="47"/>
      <c r="J15" s="21">
        <f t="shared" si="2"/>
        <v>10600</v>
      </c>
      <c r="K15" s="8" t="s">
        <v>201</v>
      </c>
      <c r="L15" s="9">
        <v>2000</v>
      </c>
      <c r="M15" s="9"/>
      <c r="N15" s="47">
        <v>1000</v>
      </c>
      <c r="O15" s="21">
        <f t="shared" si="3"/>
        <v>11800</v>
      </c>
      <c r="P15" s="8" t="s">
        <v>202</v>
      </c>
      <c r="Q15" s="9">
        <v>-2000</v>
      </c>
      <c r="R15" s="9"/>
      <c r="S15" s="47">
        <v>-1000</v>
      </c>
      <c r="T15" s="21">
        <f t="shared" si="4"/>
        <v>52600</v>
      </c>
      <c r="U15" s="52">
        <f>IF($J15="","",ROUND(($J15-$J$3)/1000,1)+(_xlfn.RANK.AVG($J15,($J15,$O15,$T15),1)-2)*10)</f>
        <v>-24.4</v>
      </c>
      <c r="V15" s="53">
        <f>IF($O15="","",ROUND(($O15-$O$3)/1000,1)+(_xlfn.RANK.AVG($O15,($J15,$O15,$T15),1)-2)*10)</f>
        <v>-13.2</v>
      </c>
      <c r="W15" s="54">
        <f>IF($T15="","",ROUND(($T15-$T$3)/1000,1)+(_xlfn.RANK.AVG($T15,($J15,$O15,$T15),1)-2)*10)</f>
        <v>37.6</v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>
        <v>2</v>
      </c>
      <c r="AY15" s="30">
        <v>40</v>
      </c>
      <c r="AZ15" s="39" t="s">
        <v>86</v>
      </c>
      <c r="BA15" s="40" t="s">
        <v>199</v>
      </c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200</v>
      </c>
      <c r="F16" s="8" t="s">
        <v>202</v>
      </c>
      <c r="G16" s="9">
        <v>-16000</v>
      </c>
      <c r="H16" s="9"/>
      <c r="I16" s="47">
        <v>0</v>
      </c>
      <c r="J16" s="21">
        <f t="shared" si="2"/>
        <v>-5400</v>
      </c>
      <c r="K16" s="8" t="s">
        <v>201</v>
      </c>
      <c r="L16" s="9">
        <v>16000</v>
      </c>
      <c r="M16" s="9"/>
      <c r="N16" s="47">
        <v>0</v>
      </c>
      <c r="O16" s="21">
        <f t="shared" si="3"/>
        <v>27800</v>
      </c>
      <c r="P16" s="8"/>
      <c r="Q16" s="9"/>
      <c r="R16" s="9"/>
      <c r="S16" s="47"/>
      <c r="T16" s="21">
        <f t="shared" si="4"/>
        <v>52600</v>
      </c>
      <c r="U16" s="52">
        <f>IF($J16="","",ROUND(($J16-$J$3)/1000,1)+(_xlfn.RANK.AVG($J16,($J16,$O16,$T16),1)-2)*10)</f>
        <v>-40.4</v>
      </c>
      <c r="V16" s="53">
        <f>IF($O16="","",ROUND(($O16-$O$3)/1000,1)+(_xlfn.RANK.AVG($O16,($J16,$O16,$T16),1)-2)*10)</f>
        <v>2.8</v>
      </c>
      <c r="W16" s="54">
        <f>IF($T16="","",ROUND(($T16-$T$3)/1000,1)+(_xlfn.RANK.AVG($T16,($J16,$O16,$T16),1)-2)*10)</f>
        <v>37.6</v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>
        <v>1</v>
      </c>
      <c r="AW16" s="26"/>
      <c r="AX16" s="26">
        <v>8</v>
      </c>
      <c r="AY16" s="30" t="s">
        <v>197</v>
      </c>
      <c r="AZ16" s="39" t="s">
        <v>198</v>
      </c>
      <c r="BA16" s="40" t="s">
        <v>199</v>
      </c>
      <c r="BB16" s="40" t="s">
        <v>79</v>
      </c>
      <c r="BC16" s="40" t="s">
        <v>79</v>
      </c>
      <c r="BD16" s="40" t="s">
        <v>79</v>
      </c>
      <c r="BE16" s="40" t="s">
        <v>80</v>
      </c>
      <c r="BF16" s="40" t="s">
        <v>80</v>
      </c>
      <c r="BG16" s="40" t="s">
        <v>80</v>
      </c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>
        <v>1</v>
      </c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D8AAD55-1064-4029-92B1-9BF8813C1A87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8D6A-007D-4F51-A49B-123D2CD4D42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8" t="str">
        <f>$F$1</f>
        <v>パパ</v>
      </c>
      <c r="V2" s="69" t="str">
        <f>$K$1</f>
        <v>だいち</v>
      </c>
      <c r="W2" s="16" t="str">
        <f>$P$1</f>
        <v>あやめ</v>
      </c>
      <c r="Y2" s="64" t="s">
        <v>23</v>
      </c>
      <c r="Z2" s="67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23</v>
      </c>
      <c r="AU2" s="67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23</v>
      </c>
      <c r="BP2" s="67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201</v>
      </c>
      <c r="G4" s="9">
        <v>8000</v>
      </c>
      <c r="H4" s="9">
        <v>1000</v>
      </c>
      <c r="I4" s="47">
        <v>0</v>
      </c>
      <c r="J4" s="21">
        <f>IF(COUNTA($F4,$K4,$P4)&gt;0,J3+SUM(G4:I4),"")</f>
        <v>34000</v>
      </c>
      <c r="K4" s="8"/>
      <c r="L4" s="9"/>
      <c r="M4" s="9"/>
      <c r="N4" s="47"/>
      <c r="O4" s="21">
        <f>IF(COUNTA($F4,$K4,$P4)&gt;0,O3+SUM(L4:N4),"")</f>
        <v>25000</v>
      </c>
      <c r="P4" s="8" t="s">
        <v>202</v>
      </c>
      <c r="Q4" s="9">
        <v>-8000</v>
      </c>
      <c r="R4" s="9">
        <v>-1000</v>
      </c>
      <c r="S4" s="47">
        <v>0</v>
      </c>
      <c r="T4" s="21">
        <f>IF(COUNTA($F4,$K4,$P4)&gt;0,T3+SUM(Q4:S4),"")</f>
        <v>16000</v>
      </c>
      <c r="U4" s="52">
        <f>IF($J4="","",ROUND(($J4-$J$3)/1000,1)+(_xlfn.RANK.AVG($J4,($J4,$O4,$T4),1)-2)*10)</f>
        <v>19</v>
      </c>
      <c r="V4" s="53">
        <f>IF($O4="","",ROUND(($O4-$O$3)/1000,1)+(_xlfn.RANK.AVG($O4,($J4,$O4,$T4),1)-2)*10)</f>
        <v>0</v>
      </c>
      <c r="W4" s="54">
        <f>IF($T4="","",ROUND(($T4-$T$3)/1000,1)+(_xlfn.RANK.AVG($T4,($J4,$O4,$T4),1)-2)*10)</f>
        <v>-19</v>
      </c>
      <c r="Y4" s="8"/>
      <c r="Z4" s="33"/>
      <c r="AA4" s="26"/>
      <c r="AB4" s="26">
        <v>1</v>
      </c>
      <c r="AC4" s="26">
        <v>5</v>
      </c>
      <c r="AD4" s="30" t="s">
        <v>197</v>
      </c>
      <c r="AE4" s="39" t="s">
        <v>86</v>
      </c>
      <c r="AF4" s="40" t="s">
        <v>86</v>
      </c>
      <c r="AG4" s="40" t="s">
        <v>86</v>
      </c>
      <c r="AH4" s="40" t="s">
        <v>104</v>
      </c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207</v>
      </c>
      <c r="G5" s="9">
        <v>1000</v>
      </c>
      <c r="H5" s="9">
        <v>-1000</v>
      </c>
      <c r="I5" s="47"/>
      <c r="J5" s="21">
        <f t="shared" ref="J5:J30" si="2">IF(COUNTA($F5,$K5,$P5)&gt;0,J4+SUM(G5:I5),"")</f>
        <v>34000</v>
      </c>
      <c r="K5" s="8" t="s">
        <v>207</v>
      </c>
      <c r="L5" s="9">
        <v>-2000</v>
      </c>
      <c r="M5" s="9"/>
      <c r="N5" s="47"/>
      <c r="O5" s="21">
        <f t="shared" ref="O5:O30" si="3">IF(COUNTA($F5,$K5,$P5)&gt;0,O4+SUM(L5:N5),"")</f>
        <v>23000</v>
      </c>
      <c r="P5" s="8" t="s">
        <v>207</v>
      </c>
      <c r="Q5" s="9">
        <v>1000</v>
      </c>
      <c r="R5" s="9"/>
      <c r="S5" s="47"/>
      <c r="T5" s="21">
        <f t="shared" ref="T5:T30" si="4">IF(COUNTA($F5,$K5,$P5)&gt;0,T4+SUM(Q5:S5),"")</f>
        <v>17000</v>
      </c>
      <c r="U5" s="52">
        <f>IF($J5="","",ROUND(($J5-$J$3)/1000,1)+(_xlfn.RANK.AVG($J5,($J5,$O5,$T5),1)-2)*10)</f>
        <v>19</v>
      </c>
      <c r="V5" s="53">
        <f>IF($O5="","",ROUND(($O5-$O$3)/1000,1)+(_xlfn.RANK.AVG($O5,($J5,$O5,$T5),1)-2)*10)</f>
        <v>-2</v>
      </c>
      <c r="W5" s="54">
        <f>IF($T5="","",ROUND(($T5-$T$3)/1000,1)+(_xlfn.RANK.AVG($T5,($J5,$O5,$T5),1)-2)*10)</f>
        <v>-18</v>
      </c>
      <c r="Y5" s="8" t="s">
        <v>205</v>
      </c>
      <c r="Z5" s="33"/>
      <c r="AA5" s="26">
        <v>1</v>
      </c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 t="s">
        <v>206</v>
      </c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 t="s">
        <v>205</v>
      </c>
      <c r="BP5" s="33"/>
      <c r="BQ5" s="26"/>
      <c r="BR5" s="26">
        <v>1</v>
      </c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194</v>
      </c>
      <c r="F6" s="8" t="s">
        <v>196</v>
      </c>
      <c r="G6" s="9">
        <v>-2000</v>
      </c>
      <c r="H6" s="9"/>
      <c r="I6" s="47">
        <v>-1000</v>
      </c>
      <c r="J6" s="21">
        <f t="shared" si="2"/>
        <v>31000</v>
      </c>
      <c r="K6" s="8" t="s">
        <v>196</v>
      </c>
      <c r="L6" s="9">
        <v>-1000</v>
      </c>
      <c r="M6" s="9"/>
      <c r="N6" s="47">
        <v>-1000</v>
      </c>
      <c r="O6" s="21">
        <f t="shared" si="3"/>
        <v>21000</v>
      </c>
      <c r="P6" s="8" t="s">
        <v>195</v>
      </c>
      <c r="Q6" s="9">
        <v>3000</v>
      </c>
      <c r="R6" s="9">
        <v>1000</v>
      </c>
      <c r="S6" s="47">
        <v>2000</v>
      </c>
      <c r="T6" s="21">
        <f t="shared" si="4"/>
        <v>23000</v>
      </c>
      <c r="U6" s="52">
        <f>IF($J6="","",ROUND(($J6-$J$3)/1000,1)+(_xlfn.RANK.AVG($J6,($J6,$O6,$T6),1)-2)*10)</f>
        <v>16</v>
      </c>
      <c r="V6" s="53">
        <f>IF($O6="","",ROUND(($O6-$O$3)/1000,1)+(_xlfn.RANK.AVG($O6,($J6,$O6,$T6),1)-2)*10)</f>
        <v>-14</v>
      </c>
      <c r="W6" s="54">
        <f>IF($T6="","",ROUND(($T6-$T$3)/1000,1)+(_xlfn.RANK.AVG($T6,($J6,$O6,$T6),1)-2)*10)</f>
        <v>-2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>
        <v>1</v>
      </c>
      <c r="BS6" s="26">
        <v>3</v>
      </c>
      <c r="BT6" s="30">
        <v>30</v>
      </c>
      <c r="BU6" s="39" t="s">
        <v>86</v>
      </c>
      <c r="BV6" s="40" t="s">
        <v>104</v>
      </c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200</v>
      </c>
      <c r="F7" s="8" t="s">
        <v>202</v>
      </c>
      <c r="G7" s="9">
        <v>-6000</v>
      </c>
      <c r="H7" s="9"/>
      <c r="I7" s="47">
        <v>0</v>
      </c>
      <c r="J7" s="21">
        <f t="shared" si="2"/>
        <v>25000</v>
      </c>
      <c r="K7" s="8"/>
      <c r="L7" s="9"/>
      <c r="M7" s="9"/>
      <c r="N7" s="47"/>
      <c r="O7" s="21">
        <f t="shared" si="3"/>
        <v>21000</v>
      </c>
      <c r="P7" s="8" t="s">
        <v>201</v>
      </c>
      <c r="Q7" s="9">
        <v>6000</v>
      </c>
      <c r="R7" s="9"/>
      <c r="S7" s="47">
        <v>0</v>
      </c>
      <c r="T7" s="21">
        <f t="shared" si="4"/>
        <v>29000</v>
      </c>
      <c r="U7" s="52">
        <f>IF($J7="","",ROUND(($J7-$J$3)/1000,1)+(_xlfn.RANK.AVG($J7,($J7,$O7,$T7),1)-2)*10)</f>
        <v>0</v>
      </c>
      <c r="V7" s="53">
        <f>IF($O7="","",ROUND(($O7-$O$3)/1000,1)+(_xlfn.RANK.AVG($O7,($J7,$O7,$T7),1)-2)*10)</f>
        <v>-14</v>
      </c>
      <c r="W7" s="54">
        <f>IF($T7="","",ROUND(($T7-$T$3)/1000,1)+(_xlfn.RANK.AVG($T7,($J7,$O7,$T7),1)-2)*10)</f>
        <v>14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>
        <v>4</v>
      </c>
      <c r="BT7" s="30">
        <v>30</v>
      </c>
      <c r="BU7" s="39" t="s">
        <v>104</v>
      </c>
      <c r="BV7" s="40" t="s">
        <v>199</v>
      </c>
      <c r="BW7" s="40" t="s">
        <v>199</v>
      </c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203</v>
      </c>
      <c r="F8" s="8" t="s">
        <v>201</v>
      </c>
      <c r="G8" s="9">
        <v>24000</v>
      </c>
      <c r="H8" s="9">
        <v>1000</v>
      </c>
      <c r="I8" s="47">
        <v>0</v>
      </c>
      <c r="J8" s="21">
        <f t="shared" si="2"/>
        <v>50000</v>
      </c>
      <c r="K8" s="8"/>
      <c r="L8" s="9"/>
      <c r="M8" s="9">
        <v>-1000</v>
      </c>
      <c r="N8" s="47"/>
      <c r="O8" s="21">
        <f t="shared" si="3"/>
        <v>20000</v>
      </c>
      <c r="P8" s="8" t="s">
        <v>202</v>
      </c>
      <c r="Q8" s="9">
        <v>-24000</v>
      </c>
      <c r="R8" s="9"/>
      <c r="S8" s="47">
        <v>0</v>
      </c>
      <c r="T8" s="21">
        <f t="shared" si="4"/>
        <v>5000</v>
      </c>
      <c r="U8" s="52">
        <f>IF($J8="","",ROUND(($J8-$J$3)/1000,1)+(_xlfn.RANK.AVG($J8,($J8,$O8,$T8),1)-2)*10)</f>
        <v>35</v>
      </c>
      <c r="V8" s="53">
        <f>IF($O8="","",ROUND(($O8-$O$3)/1000,1)+(_xlfn.RANK.AVG($O8,($J8,$O8,$T8),1)-2)*10)</f>
        <v>-5</v>
      </c>
      <c r="W8" s="54">
        <f>IF($T8="","",ROUND(($T8-$T$3)/1000,1)+(_xlfn.RANK.AVG($T8,($J8,$O8,$T8),1)-2)*10)</f>
        <v>-30</v>
      </c>
      <c r="Y8" s="8"/>
      <c r="Z8" s="33"/>
      <c r="AA8" s="26"/>
      <c r="AB8" s="26"/>
      <c r="AC8" s="26">
        <v>13</v>
      </c>
      <c r="AD8" s="30" t="s">
        <v>197</v>
      </c>
      <c r="AE8" s="39" t="s">
        <v>107</v>
      </c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196</v>
      </c>
      <c r="G9" s="9">
        <v>-4000</v>
      </c>
      <c r="H9" s="9"/>
      <c r="I9" s="47">
        <v>0</v>
      </c>
      <c r="J9" s="21">
        <f t="shared" si="2"/>
        <v>46000</v>
      </c>
      <c r="K9" s="8" t="s">
        <v>195</v>
      </c>
      <c r="L9" s="9">
        <v>6000</v>
      </c>
      <c r="M9" s="9">
        <v>1000</v>
      </c>
      <c r="N9" s="47">
        <v>0</v>
      </c>
      <c r="O9" s="21">
        <f t="shared" si="3"/>
        <v>27000</v>
      </c>
      <c r="P9" s="8" t="s">
        <v>196</v>
      </c>
      <c r="Q9" s="9">
        <v>-2000</v>
      </c>
      <c r="R9" s="9">
        <v>-1000</v>
      </c>
      <c r="S9" s="47">
        <v>0</v>
      </c>
      <c r="T9" s="21">
        <f t="shared" si="4"/>
        <v>2000</v>
      </c>
      <c r="U9" s="52">
        <f>IF($J9="","",ROUND(($J9-$J$3)/1000,1)+(_xlfn.RANK.AVG($J9,($J9,$O9,$T9),1)-2)*10)</f>
        <v>31</v>
      </c>
      <c r="V9" s="53">
        <f>IF($O9="","",ROUND(($O9-$O$3)/1000,1)+(_xlfn.RANK.AVG($O9,($J9,$O9,$T9),1)-2)*10)</f>
        <v>2</v>
      </c>
      <c r="W9" s="54">
        <f>IF($T9="","",ROUND(($T9-$T$3)/1000,1)+(_xlfn.RANK.AVG($T9,($J9,$O9,$T9),1)-2)*10)</f>
        <v>-33</v>
      </c>
      <c r="Y9" s="8"/>
      <c r="Z9" s="33"/>
      <c r="AA9" s="26"/>
      <c r="AB9" s="26">
        <v>1</v>
      </c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>
        <v>1</v>
      </c>
      <c r="AX9" s="26">
        <v>5</v>
      </c>
      <c r="AY9" s="30" t="s">
        <v>197</v>
      </c>
      <c r="AZ9" s="39" t="s">
        <v>104</v>
      </c>
      <c r="BA9" s="40" t="s">
        <v>86</v>
      </c>
      <c r="BB9" s="40" t="s">
        <v>199</v>
      </c>
      <c r="BC9" s="40" t="s">
        <v>199</v>
      </c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200</v>
      </c>
      <c r="F10" s="8" t="s">
        <v>196</v>
      </c>
      <c r="G10" s="9">
        <v>-6000</v>
      </c>
      <c r="H10" s="9"/>
      <c r="I10" s="47">
        <v>0</v>
      </c>
      <c r="J10" s="21">
        <f t="shared" si="2"/>
        <v>40000</v>
      </c>
      <c r="K10" s="8" t="s">
        <v>195</v>
      </c>
      <c r="L10" s="9">
        <v>12000</v>
      </c>
      <c r="M10" s="9"/>
      <c r="N10" s="47">
        <v>0</v>
      </c>
      <c r="O10" s="21">
        <f t="shared" si="3"/>
        <v>39000</v>
      </c>
      <c r="P10" s="8" t="s">
        <v>196</v>
      </c>
      <c r="Q10" s="9">
        <v>-6000</v>
      </c>
      <c r="R10" s="9"/>
      <c r="S10" s="47">
        <v>0</v>
      </c>
      <c r="T10" s="21">
        <f t="shared" si="4"/>
        <v>-4000</v>
      </c>
      <c r="U10" s="52">
        <f>IF($J10="","",ROUND(($J10-$J$3)/1000,1)+(_xlfn.RANK.AVG($J10,($J10,$O10,$T10),1)-2)*10)</f>
        <v>25</v>
      </c>
      <c r="V10" s="53">
        <f>IF($O10="","",ROUND(($O10-$O$3)/1000,1)+(_xlfn.RANK.AVG($O10,($J10,$O10,$T10),1)-2)*10)</f>
        <v>14</v>
      </c>
      <c r="W10" s="54">
        <f>IF($T10="","",ROUND(($T10-$T$3)/1000,1)+(_xlfn.RANK.AVG($T10,($J10,$O10,$T10),1)-2)*10)</f>
        <v>-39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>
        <v>1</v>
      </c>
      <c r="AW10" s="26"/>
      <c r="AX10" s="26">
        <v>6</v>
      </c>
      <c r="AY10" s="30" t="s">
        <v>197</v>
      </c>
      <c r="AZ10" s="39" t="s">
        <v>198</v>
      </c>
      <c r="BA10" s="40" t="s">
        <v>82</v>
      </c>
      <c r="BB10" s="40" t="s">
        <v>204</v>
      </c>
      <c r="BC10" s="40" t="s">
        <v>79</v>
      </c>
      <c r="BD10" s="40" t="s">
        <v>80</v>
      </c>
      <c r="BE10" s="40" t="s">
        <v>199</v>
      </c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A542F1C9-17C3-488D-91C8-2E7E0AD18007}">
      <formula1>"パパ,だいち,あやめ,"</formula1>
    </dataValidation>
    <dataValidation type="list" showInputMessage="1" showErrorMessage="1" sqref="K4:K30 P4:P30 F4:F30" xr:uid="{69B2D926-3F25-47B4-BD5A-F0990F8F6206}">
      <formula1>"ロン,ツモ,放銃,ツモ支払,流局,チョンボ"</formula1>
    </dataValidation>
    <dataValidation type="list" allowBlank="1" showInputMessage="1" showErrorMessage="1" sqref="E4:E30" xr:uid="{1502B027-99F4-452E-B2EE-EAAF53F3E03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97386-CE7E-44F8-A1DF-84D09B61C1D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8" t="str">
        <f>$F$1</f>
        <v>パパ</v>
      </c>
      <c r="V2" s="69" t="str">
        <f>$K$1</f>
        <v>だいち</v>
      </c>
      <c r="W2" s="16" t="str">
        <f>$P$1</f>
        <v>あやめ</v>
      </c>
      <c r="Y2" s="64" t="s">
        <v>23</v>
      </c>
      <c r="Z2" s="67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23</v>
      </c>
      <c r="AU2" s="67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23</v>
      </c>
      <c r="BP2" s="67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-6000</v>
      </c>
      <c r="H4" s="9"/>
      <c r="I4" s="47">
        <v>0</v>
      </c>
      <c r="J4" s="21">
        <f>IF(COUNTA($F4,$K4,$P4)&gt;0,J3+SUM(G4:I4),"")</f>
        <v>19000</v>
      </c>
      <c r="K4" s="8" t="s">
        <v>196</v>
      </c>
      <c r="L4" s="9">
        <v>-3000</v>
      </c>
      <c r="M4" s="9"/>
      <c r="N4" s="47">
        <v>0</v>
      </c>
      <c r="O4" s="21">
        <f>IF(COUNTA($F4,$K4,$P4)&gt;0,O3+SUM(L4:N4),"")</f>
        <v>22000</v>
      </c>
      <c r="P4" s="8" t="s">
        <v>195</v>
      </c>
      <c r="Q4" s="9">
        <v>9000</v>
      </c>
      <c r="R4" s="9"/>
      <c r="S4" s="47">
        <v>0</v>
      </c>
      <c r="T4" s="21">
        <f>IF(COUNTA($F4,$K4,$P4)&gt;0,T3+SUM(Q4:S4),"")</f>
        <v>34000</v>
      </c>
      <c r="U4" s="52">
        <f>IF($J4="","",ROUND(($J4-$J$3)/1000,1)+(_xlfn.RANK.AVG($J4,($J4,$O4,$T4),1)-2)*10)</f>
        <v>-16</v>
      </c>
      <c r="V4" s="53">
        <f>IF($O4="","",ROUND(($O4-$O$3)/1000,1)+(_xlfn.RANK.AVG($O4,($J4,$O4,$T4),1)-2)*10)</f>
        <v>-3</v>
      </c>
      <c r="W4" s="54">
        <f>IF($T4="","",ROUND(($T4-$T$3)/1000,1)+(_xlfn.RANK.AVG($T4,($J4,$O4,$T4),1)-2)*10)</f>
        <v>19</v>
      </c>
      <c r="Y4" s="8"/>
      <c r="Z4" s="33"/>
      <c r="AA4" s="26"/>
      <c r="AB4" s="26">
        <v>1</v>
      </c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7</v>
      </c>
      <c r="BT4" s="30" t="s">
        <v>197</v>
      </c>
      <c r="BU4" s="39" t="s">
        <v>198</v>
      </c>
      <c r="BV4" s="40" t="s">
        <v>82</v>
      </c>
      <c r="BW4" s="40" t="s">
        <v>204</v>
      </c>
      <c r="BX4" s="40" t="s">
        <v>86</v>
      </c>
      <c r="BY4" s="40" t="s">
        <v>79</v>
      </c>
      <c r="BZ4" s="40" t="s">
        <v>79</v>
      </c>
      <c r="CA4" s="40" t="s">
        <v>199</v>
      </c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200</v>
      </c>
      <c r="F5" s="8" t="s">
        <v>196</v>
      </c>
      <c r="G5" s="9">
        <v>-3000</v>
      </c>
      <c r="H5" s="9">
        <v>-1000</v>
      </c>
      <c r="I5" s="47">
        <v>0</v>
      </c>
      <c r="J5" s="21">
        <f t="shared" ref="J5:J30" si="2">IF(COUNTA($F5,$K5,$P5)&gt;0,J4+SUM(G5:I5),"")</f>
        <v>15000</v>
      </c>
      <c r="K5" s="8" t="s">
        <v>196</v>
      </c>
      <c r="L5" s="9">
        <v>-6000</v>
      </c>
      <c r="M5" s="9"/>
      <c r="N5" s="47">
        <v>0</v>
      </c>
      <c r="O5" s="21">
        <f t="shared" ref="O5:O30" si="3">IF(COUNTA($F5,$K5,$P5)&gt;0,O4+SUM(L5:N5),"")</f>
        <v>16000</v>
      </c>
      <c r="P5" s="8" t="s">
        <v>195</v>
      </c>
      <c r="Q5" s="9">
        <v>9000</v>
      </c>
      <c r="R5" s="9">
        <v>1000</v>
      </c>
      <c r="S5" s="47">
        <v>0</v>
      </c>
      <c r="T5" s="21">
        <f t="shared" ref="T5:T30" si="4">IF(COUNTA($F5,$K5,$P5)&gt;0,T4+SUM(Q5:S5),"")</f>
        <v>44000</v>
      </c>
      <c r="U5" s="52">
        <f>IF($J5="","",ROUND(($J5-$J$3)/1000,1)+(_xlfn.RANK.AVG($J5,($J5,$O5,$T5),1)-2)*10)</f>
        <v>-20</v>
      </c>
      <c r="V5" s="53">
        <f>IF($O5="","",ROUND(($O5-$O$3)/1000,1)+(_xlfn.RANK.AVG($O5,($J5,$O5,$T5),1)-2)*10)</f>
        <v>-9</v>
      </c>
      <c r="W5" s="54">
        <f>IF($T5="","",ROUND(($T5-$T$3)/1000,1)+(_xlfn.RANK.AVG($T5,($J5,$O5,$T5),1)-2)*10)</f>
        <v>29</v>
      </c>
      <c r="Y5" s="8"/>
      <c r="Z5" s="33"/>
      <c r="AA5" s="26">
        <v>1</v>
      </c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>
        <v>6</v>
      </c>
      <c r="BT5" s="30" t="s">
        <v>197</v>
      </c>
      <c r="BU5" s="39" t="s">
        <v>198</v>
      </c>
      <c r="BV5" s="40" t="s">
        <v>82</v>
      </c>
      <c r="BW5" s="40" t="s">
        <v>86</v>
      </c>
      <c r="BX5" s="40" t="s">
        <v>79</v>
      </c>
      <c r="BY5" s="40" t="s">
        <v>79</v>
      </c>
      <c r="BZ5" s="40" t="s">
        <v>199</v>
      </c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203</v>
      </c>
      <c r="F6" s="8" t="s">
        <v>201</v>
      </c>
      <c r="G6" s="9">
        <v>3900</v>
      </c>
      <c r="H6" s="9"/>
      <c r="I6" s="47">
        <v>0</v>
      </c>
      <c r="J6" s="21">
        <f t="shared" si="2"/>
        <v>18900</v>
      </c>
      <c r="K6" s="8"/>
      <c r="L6" s="9"/>
      <c r="M6" s="9"/>
      <c r="N6" s="47"/>
      <c r="O6" s="21">
        <f t="shared" si="3"/>
        <v>16000</v>
      </c>
      <c r="P6" s="8" t="s">
        <v>202</v>
      </c>
      <c r="Q6" s="9">
        <v>-3900</v>
      </c>
      <c r="R6" s="9"/>
      <c r="S6" s="47">
        <v>0</v>
      </c>
      <c r="T6" s="21">
        <f t="shared" si="4"/>
        <v>40100</v>
      </c>
      <c r="U6" s="52">
        <f>IF($J6="","",ROUND(($J6-$J$3)/1000,1)+(_xlfn.RANK.AVG($J6,($J6,$O6,$T6),1)-2)*10)</f>
        <v>-6.1</v>
      </c>
      <c r="V6" s="53">
        <f>IF($O6="","",ROUND(($O6-$O$3)/1000,1)+(_xlfn.RANK.AVG($O6,($J6,$O6,$T6),1)-2)*10)</f>
        <v>-19</v>
      </c>
      <c r="W6" s="54">
        <f>IF($T6="","",ROUND(($T6-$T$3)/1000,1)+(_xlfn.RANK.AVG($T6,($J6,$O6,$T6),1)-2)*10)</f>
        <v>25.1</v>
      </c>
      <c r="Y6" s="8"/>
      <c r="Z6" s="33"/>
      <c r="AA6" s="26">
        <v>1</v>
      </c>
      <c r="AB6" s="26"/>
      <c r="AC6" s="26">
        <v>3</v>
      </c>
      <c r="AD6" s="30">
        <v>40</v>
      </c>
      <c r="AE6" s="39" t="s">
        <v>198</v>
      </c>
      <c r="AF6" s="40" t="s">
        <v>79</v>
      </c>
      <c r="AG6" s="40" t="s">
        <v>199</v>
      </c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194</v>
      </c>
      <c r="F7" s="8"/>
      <c r="G7" s="9"/>
      <c r="H7" s="9">
        <v>-1000</v>
      </c>
      <c r="I7" s="47"/>
      <c r="J7" s="21">
        <f t="shared" si="2"/>
        <v>17900</v>
      </c>
      <c r="K7" s="8" t="s">
        <v>201</v>
      </c>
      <c r="L7" s="9">
        <v>12000</v>
      </c>
      <c r="M7" s="9">
        <v>1000</v>
      </c>
      <c r="N7" s="47">
        <v>0</v>
      </c>
      <c r="O7" s="21">
        <f t="shared" si="3"/>
        <v>29000</v>
      </c>
      <c r="P7" s="8" t="s">
        <v>202</v>
      </c>
      <c r="Q7" s="9">
        <v>-12000</v>
      </c>
      <c r="R7" s="9"/>
      <c r="S7" s="47">
        <v>0</v>
      </c>
      <c r="T7" s="21">
        <f t="shared" si="4"/>
        <v>28100</v>
      </c>
      <c r="U7" s="52">
        <f>IF($J7="","",ROUND(($J7-$J$3)/1000,1)+(_xlfn.RANK.AVG($J7,($J7,$O7,$T7),1)-2)*10)</f>
        <v>-17.100000000000001</v>
      </c>
      <c r="V7" s="53">
        <f>IF($O7="","",ROUND(($O7-$O$3)/1000,1)+(_xlfn.RANK.AVG($O7,($J7,$O7,$T7),1)-2)*10)</f>
        <v>14</v>
      </c>
      <c r="W7" s="54">
        <f>IF($T7="","",ROUND(($T7-$T$3)/1000,1)+(_xlfn.RANK.AVG($T7,($J7,$O7,$T7),1)-2)*10)</f>
        <v>3.1</v>
      </c>
      <c r="Y7" s="8"/>
      <c r="Z7" s="33"/>
      <c r="AA7" s="26">
        <v>1</v>
      </c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>
        <v>10</v>
      </c>
      <c r="AY7" s="30" t="s">
        <v>197</v>
      </c>
      <c r="AZ7" s="39" t="s">
        <v>106</v>
      </c>
      <c r="BA7" s="40" t="s">
        <v>84</v>
      </c>
      <c r="BB7" s="40" t="s">
        <v>199</v>
      </c>
      <c r="BC7" s="40" t="s">
        <v>79</v>
      </c>
      <c r="BD7" s="40" t="s">
        <v>79</v>
      </c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200</v>
      </c>
      <c r="F8" s="8" t="s">
        <v>207</v>
      </c>
      <c r="G8" s="9">
        <v>1000</v>
      </c>
      <c r="H8" s="9">
        <v>-1000</v>
      </c>
      <c r="I8" s="47"/>
      <c r="J8" s="21">
        <f t="shared" si="2"/>
        <v>17900</v>
      </c>
      <c r="K8" s="8" t="s">
        <v>207</v>
      </c>
      <c r="L8" s="9">
        <v>-2000</v>
      </c>
      <c r="M8" s="9"/>
      <c r="N8" s="47"/>
      <c r="O8" s="21">
        <f t="shared" si="3"/>
        <v>27000</v>
      </c>
      <c r="P8" s="8" t="s">
        <v>207</v>
      </c>
      <c r="Q8" s="9">
        <v>1000</v>
      </c>
      <c r="R8" s="9"/>
      <c r="S8" s="47"/>
      <c r="T8" s="21">
        <f t="shared" si="4"/>
        <v>29100</v>
      </c>
      <c r="U8" s="52">
        <f>IF($J8="","",ROUND(($J8-$J$3)/1000,1)+(_xlfn.RANK.AVG($J8,($J8,$O8,$T8),1)-2)*10)</f>
        <v>-17.100000000000001</v>
      </c>
      <c r="V8" s="53">
        <f>IF($O8="","",ROUND(($O8-$O$3)/1000,1)+(_xlfn.RANK.AVG($O8,($J8,$O8,$T8),1)-2)*10)</f>
        <v>2</v>
      </c>
      <c r="W8" s="54">
        <f>IF($T8="","",ROUND(($T8-$T$3)/1000,1)+(_xlfn.RANK.AVG($T8,($J8,$O8,$T8),1)-2)*10)</f>
        <v>14.1</v>
      </c>
      <c r="Y8" s="8" t="s">
        <v>205</v>
      </c>
      <c r="Z8" s="33"/>
      <c r="AA8" s="26">
        <v>1</v>
      </c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 t="s">
        <v>206</v>
      </c>
      <c r="AU8" s="33"/>
      <c r="AV8" s="26"/>
      <c r="AW8" s="26">
        <v>1</v>
      </c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 t="s">
        <v>205</v>
      </c>
      <c r="BP8" s="33"/>
      <c r="BQ8" s="26"/>
      <c r="BR8" s="26">
        <v>1</v>
      </c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">
        <v>203</v>
      </c>
      <c r="F9" s="8" t="s">
        <v>196</v>
      </c>
      <c r="G9" s="9">
        <v>-700</v>
      </c>
      <c r="H9" s="9"/>
      <c r="I9" s="47">
        <v>-500</v>
      </c>
      <c r="J9" s="21">
        <f t="shared" si="2"/>
        <v>16700</v>
      </c>
      <c r="K9" s="8" t="s">
        <v>195</v>
      </c>
      <c r="L9" s="9">
        <v>2000</v>
      </c>
      <c r="M9" s="9">
        <v>1000</v>
      </c>
      <c r="N9" s="47">
        <v>1000</v>
      </c>
      <c r="O9" s="21">
        <f t="shared" si="3"/>
        <v>31000</v>
      </c>
      <c r="P9" s="8" t="s">
        <v>196</v>
      </c>
      <c r="Q9" s="9">
        <v>-1300</v>
      </c>
      <c r="R9" s="9"/>
      <c r="S9" s="47">
        <v>-500</v>
      </c>
      <c r="T9" s="21">
        <f t="shared" si="4"/>
        <v>27300</v>
      </c>
      <c r="U9" s="52">
        <f>IF($J9="","",ROUND(($J9-$J$3)/1000,1)+(_xlfn.RANK.AVG($J9,($J9,$O9,$T9),1)-2)*10)</f>
        <v>-18.3</v>
      </c>
      <c r="V9" s="53">
        <f>IF($O9="","",ROUND(($O9-$O$3)/1000,1)+(_xlfn.RANK.AVG($O9,($J9,$O9,$T9),1)-2)*10)</f>
        <v>16</v>
      </c>
      <c r="W9" s="54">
        <f>IF($T9="","",ROUND(($T9-$T$3)/1000,1)+(_xlfn.RANK.AVG($T9,($J9,$O9,$T9),1)-2)*10)</f>
        <v>2.2999999999999998</v>
      </c>
      <c r="Y9" s="8"/>
      <c r="Z9" s="33"/>
      <c r="AA9" s="26"/>
      <c r="AB9" s="26">
        <v>1</v>
      </c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>
        <v>1</v>
      </c>
      <c r="AW9" s="26"/>
      <c r="AX9" s="26">
        <v>3</v>
      </c>
      <c r="AY9" s="30">
        <v>20</v>
      </c>
      <c r="AZ9" s="39" t="s">
        <v>198</v>
      </c>
      <c r="BA9" s="40" t="s">
        <v>82</v>
      </c>
      <c r="BB9" s="40" t="s">
        <v>83</v>
      </c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>
        <v>1</v>
      </c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194</v>
      </c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EE43498-D9EA-4BE2-8919-5A14DE1B3362}">
      <formula1>$U$2:$W$2</formula1>
    </dataValidation>
    <dataValidation type="list" showInputMessage="1" showErrorMessage="1" sqref="K4:K30 P4:P30 F4:F30" xr:uid="{3DF866BA-EC73-48CE-92A1-A4FED231A153}">
      <formula1>"ロン,ツモ,放銃,ツモ支払,流局,チョンボ"</formula1>
    </dataValidation>
    <dataValidation type="list" allowBlank="1" showInputMessage="1" sqref="F1:T1" xr:uid="{7ECE704C-3A4F-4221-AE93-1A0272DB2C67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2020-05-30T08:34:06Z</dcterms:modified>
</cp:coreProperties>
</file>