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F69D4D97-9147-445F-BBC9-C80B79CB75E1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Sheet5" sheetId="30" r:id="rId5"/>
    <sheet name="役一覧" sheetId="15" state="hidden" r:id="rId6"/>
    <sheet name="点数表(親ロン)" sheetId="20" state="hidden" r:id="rId7"/>
    <sheet name="点数表(親ツモ)" sheetId="21" state="hidden" r:id="rId8"/>
    <sheet name="点数表(子→親)" sheetId="22" state="hidden" r:id="rId9"/>
    <sheet name="点数表(子ロン)" sheetId="23" state="hidden" r:id="rId10"/>
    <sheet name="点数表(子ツモ)" sheetId="24" state="hidden" r:id="rId11"/>
    <sheet name="点数表(子→子)" sheetId="25" state="hidden" r:id="rId12"/>
    <sheet name="点数表(親→子)" sheetId="2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30" l="1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/>
  <c r="T14" i="30"/>
  <c r="W14" i="30" s="1"/>
  <c r="O14" i="30"/>
  <c r="V14" i="30" s="1"/>
  <c r="J14" i="30"/>
  <c r="U14" i="30" s="1"/>
  <c r="D14" i="30"/>
  <c r="C14" i="30"/>
  <c r="B14" i="30"/>
  <c r="A14" i="30"/>
  <c r="D13" i="30"/>
  <c r="C13" i="30"/>
  <c r="D12" i="30"/>
  <c r="D11" i="30"/>
  <c r="C11" i="30"/>
  <c r="C12" i="30" s="1"/>
  <c r="D10" i="30"/>
  <c r="D9" i="30"/>
  <c r="C9" i="30"/>
  <c r="C10" i="30" s="1"/>
  <c r="D8" i="30"/>
  <c r="C8" i="30"/>
  <c r="C7" i="30"/>
  <c r="D6" i="30"/>
  <c r="D7" i="30" s="1"/>
  <c r="C6" i="30"/>
  <c r="T5" i="30"/>
  <c r="T6" i="30" s="1"/>
  <c r="O5" i="30"/>
  <c r="D5" i="30"/>
  <c r="C5" i="30"/>
  <c r="B5" i="30"/>
  <c r="T4" i="30"/>
  <c r="O4" i="30"/>
  <c r="J4" i="30"/>
  <c r="W3" i="30"/>
  <c r="V3" i="30"/>
  <c r="U3" i="30"/>
  <c r="W2" i="30"/>
  <c r="V2" i="30"/>
  <c r="U2" i="30"/>
  <c r="BO1" i="30"/>
  <c r="AT1" i="30"/>
  <c r="Y1" i="30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D13" i="29"/>
  <c r="C13" i="29"/>
  <c r="B13" i="29"/>
  <c r="A13" i="29" s="1"/>
  <c r="D12" i="29"/>
  <c r="C12" i="29"/>
  <c r="B12" i="29"/>
  <c r="A12" i="29" s="1"/>
  <c r="D11" i="29"/>
  <c r="C11" i="29"/>
  <c r="D10" i="29"/>
  <c r="C10" i="29"/>
  <c r="D9" i="29"/>
  <c r="C9" i="29"/>
  <c r="D8" i="29"/>
  <c r="D7" i="29"/>
  <c r="C7" i="29"/>
  <c r="C8" i="29" s="1"/>
  <c r="D6" i="29"/>
  <c r="T5" i="29"/>
  <c r="T6" i="29" s="1"/>
  <c r="O5" i="29"/>
  <c r="D5" i="29"/>
  <c r="C5" i="29"/>
  <c r="C6" i="29" s="1"/>
  <c r="B5" i="29"/>
  <c r="A5" i="29" s="1"/>
  <c r="T4" i="29"/>
  <c r="O4" i="29"/>
  <c r="J4" i="29"/>
  <c r="U4" i="29" s="1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D11" i="28"/>
  <c r="C11" i="28"/>
  <c r="B11" i="28"/>
  <c r="A11" i="28" s="1"/>
  <c r="D10" i="28"/>
  <c r="C10" i="28"/>
  <c r="B10" i="28"/>
  <c r="A10" i="28" s="1"/>
  <c r="D9" i="28"/>
  <c r="C9" i="28"/>
  <c r="B9" i="28"/>
  <c r="A9" i="28" s="1"/>
  <c r="D8" i="28"/>
  <c r="C8" i="28"/>
  <c r="B8" i="28"/>
  <c r="A8" i="28"/>
  <c r="D7" i="28"/>
  <c r="D6" i="28"/>
  <c r="T5" i="28"/>
  <c r="T6" i="28" s="1"/>
  <c r="D5" i="28"/>
  <c r="C5" i="28"/>
  <c r="C6" i="28" s="1"/>
  <c r="C7" i="28" s="1"/>
  <c r="B5" i="28"/>
  <c r="A5" i="28" s="1"/>
  <c r="T4" i="28"/>
  <c r="O4" i="28"/>
  <c r="O5" i="28" s="1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/>
  <c r="D10" i="27"/>
  <c r="C10" i="27"/>
  <c r="D9" i="27"/>
  <c r="D8" i="27"/>
  <c r="C8" i="27"/>
  <c r="C9" i="27" s="1"/>
  <c r="D7" i="27"/>
  <c r="C7" i="27"/>
  <c r="D6" i="27"/>
  <c r="C6" i="27"/>
  <c r="O5" i="27"/>
  <c r="J5" i="27"/>
  <c r="D5" i="27"/>
  <c r="C5" i="27"/>
  <c r="B5" i="27"/>
  <c r="B6" i="27" s="1"/>
  <c r="A5" i="27"/>
  <c r="T4" i="27"/>
  <c r="O4" i="27"/>
  <c r="J4" i="27"/>
  <c r="W3" i="27"/>
  <c r="V3" i="27"/>
  <c r="U3" i="27"/>
  <c r="W2" i="27"/>
  <c r="V2" i="27"/>
  <c r="U2" i="27"/>
  <c r="BO1" i="27"/>
  <c r="AT1" i="27"/>
  <c r="Y1" i="27"/>
  <c r="W4" i="30" l="1"/>
  <c r="U4" i="30"/>
  <c r="T7" i="30"/>
  <c r="B6" i="30"/>
  <c r="J5" i="30"/>
  <c r="V5" i="30" s="1"/>
  <c r="V4" i="30"/>
  <c r="O6" i="30"/>
  <c r="A5" i="30"/>
  <c r="V4" i="29"/>
  <c r="W4" i="29"/>
  <c r="T7" i="29"/>
  <c r="B6" i="29"/>
  <c r="J5" i="29"/>
  <c r="V5" i="29" s="1"/>
  <c r="O6" i="29"/>
  <c r="V4" i="28"/>
  <c r="W4" i="28"/>
  <c r="U4" i="28"/>
  <c r="T7" i="28"/>
  <c r="T8" i="28" s="1"/>
  <c r="T9" i="28" s="1"/>
  <c r="T10" i="28" s="1"/>
  <c r="T11" i="28" s="1"/>
  <c r="B6" i="28"/>
  <c r="J5" i="28"/>
  <c r="V5" i="28" s="1"/>
  <c r="O6" i="28"/>
  <c r="U4" i="27"/>
  <c r="B7" i="27"/>
  <c r="T5" i="27"/>
  <c r="J6" i="27"/>
  <c r="W4" i="27"/>
  <c r="O6" i="27"/>
  <c r="V4" i="27"/>
  <c r="A6" i="27"/>
  <c r="W3" i="19"/>
  <c r="V3" i="19"/>
  <c r="U3" i="19"/>
  <c r="O7" i="30" l="1"/>
  <c r="T8" i="30"/>
  <c r="U5" i="30"/>
  <c r="J6" i="30"/>
  <c r="V6" i="30" s="1"/>
  <c r="W5" i="30"/>
  <c r="B7" i="30"/>
  <c r="A6" i="30"/>
  <c r="W5" i="29"/>
  <c r="U5" i="29"/>
  <c r="J6" i="29"/>
  <c r="O7" i="29"/>
  <c r="B7" i="29"/>
  <c r="A7" i="29" s="1"/>
  <c r="A6" i="29"/>
  <c r="T8" i="29"/>
  <c r="B7" i="28"/>
  <c r="A7" i="28" s="1"/>
  <c r="O7" i="28"/>
  <c r="O8" i="28" s="1"/>
  <c r="O9" i="28" s="1"/>
  <c r="O10" i="28" s="1"/>
  <c r="O11" i="28" s="1"/>
  <c r="J6" i="28"/>
  <c r="U5" i="28"/>
  <c r="W5" i="28"/>
  <c r="A6" i="28"/>
  <c r="J7" i="27"/>
  <c r="W5" i="27"/>
  <c r="T6" i="27"/>
  <c r="V6" i="27" s="1"/>
  <c r="V5" i="27"/>
  <c r="O7" i="27"/>
  <c r="U5" i="27"/>
  <c r="B8" i="27"/>
  <c r="A8" i="27" s="1"/>
  <c r="A7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J10" i="19"/>
  <c r="D10" i="19"/>
  <c r="C10" i="19"/>
  <c r="B10" i="19"/>
  <c r="A10" i="19" s="1"/>
  <c r="J9" i="19"/>
  <c r="D9" i="19"/>
  <c r="C9" i="19"/>
  <c r="B9" i="19"/>
  <c r="A9" i="19" s="1"/>
  <c r="J8" i="19"/>
  <c r="D8" i="19"/>
  <c r="C8" i="19"/>
  <c r="B8" i="19"/>
  <c r="A8" i="19" s="1"/>
  <c r="J7" i="19"/>
  <c r="D7" i="19"/>
  <c r="C7" i="19"/>
  <c r="B7" i="19"/>
  <c r="A7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7" i="30" l="1"/>
  <c r="O8" i="30"/>
  <c r="B8" i="30"/>
  <c r="A8" i="30" s="1"/>
  <c r="J7" i="30"/>
  <c r="V7" i="30" s="1"/>
  <c r="U6" i="30"/>
  <c r="W6" i="30"/>
  <c r="T9" i="30"/>
  <c r="J7" i="29"/>
  <c r="U6" i="29"/>
  <c r="W6" i="29"/>
  <c r="T9" i="29"/>
  <c r="B8" i="29"/>
  <c r="A8" i="29" s="1"/>
  <c r="V6" i="29"/>
  <c r="V7" i="29"/>
  <c r="O8" i="29"/>
  <c r="J7" i="28"/>
  <c r="U6" i="28"/>
  <c r="W6" i="28"/>
  <c r="V6" i="28"/>
  <c r="O8" i="27"/>
  <c r="W6" i="27"/>
  <c r="T7" i="27"/>
  <c r="V7" i="27" s="1"/>
  <c r="U6" i="27"/>
  <c r="B9" i="27"/>
  <c r="A9" i="27"/>
  <c r="J8" i="27"/>
  <c r="U4" i="19"/>
  <c r="V4" i="19"/>
  <c r="T5" i="19"/>
  <c r="T6" i="19" s="1"/>
  <c r="T7" i="19" s="1"/>
  <c r="T8" i="19" s="1"/>
  <c r="T9" i="19" s="1"/>
  <c r="T10" i="19" s="1"/>
  <c r="W4" i="19"/>
  <c r="J5" i="19"/>
  <c r="O5" i="19"/>
  <c r="O6" i="19" s="1"/>
  <c r="O7" i="19" s="1"/>
  <c r="O8" i="19" s="1"/>
  <c r="O9" i="19" s="1"/>
  <c r="U9" i="19" l="1"/>
  <c r="V6" i="19"/>
  <c r="W8" i="19"/>
  <c r="W7" i="19"/>
  <c r="U7" i="19"/>
  <c r="V7" i="19"/>
  <c r="W6" i="19"/>
  <c r="V8" i="19"/>
  <c r="U8" i="19"/>
  <c r="V9" i="19"/>
  <c r="O10" i="19"/>
  <c r="W9" i="19"/>
  <c r="U6" i="19"/>
  <c r="U7" i="27"/>
  <c r="V7" i="28"/>
  <c r="J8" i="28"/>
  <c r="T10" i="30"/>
  <c r="O9" i="30"/>
  <c r="J8" i="30"/>
  <c r="V8" i="30" s="1"/>
  <c r="U7" i="30"/>
  <c r="W7" i="30"/>
  <c r="B9" i="30"/>
  <c r="A9" i="30" s="1"/>
  <c r="O9" i="29"/>
  <c r="U7" i="29"/>
  <c r="J8" i="29"/>
  <c r="V8" i="29" s="1"/>
  <c r="W7" i="29"/>
  <c r="B9" i="29"/>
  <c r="A9" i="29" s="1"/>
  <c r="T10" i="29"/>
  <c r="U7" i="28"/>
  <c r="W7" i="28"/>
  <c r="J9" i="27"/>
  <c r="V8" i="27"/>
  <c r="O9" i="27"/>
  <c r="B10" i="27"/>
  <c r="A10" i="27"/>
  <c r="T8" i="27"/>
  <c r="W7" i="27"/>
  <c r="W5" i="19"/>
  <c r="V5" i="19"/>
  <c r="U5" i="19"/>
  <c r="U10" i="19" l="1"/>
  <c r="V10" i="19"/>
  <c r="W10" i="19"/>
  <c r="J9" i="28"/>
  <c r="V8" i="28"/>
  <c r="W8" i="28"/>
  <c r="U8" i="28"/>
  <c r="T11" i="30"/>
  <c r="B10" i="30"/>
  <c r="A10" i="30" s="1"/>
  <c r="U8" i="30"/>
  <c r="J9" i="30"/>
  <c r="W8" i="30"/>
  <c r="V9" i="30"/>
  <c r="O10" i="30"/>
  <c r="T11" i="29"/>
  <c r="T12" i="29" s="1"/>
  <c r="T13" i="29" s="1"/>
  <c r="O10" i="29"/>
  <c r="B10" i="29"/>
  <c r="A10" i="29" s="1"/>
  <c r="U8" i="29"/>
  <c r="J9" i="29"/>
  <c r="V9" i="29" s="1"/>
  <c r="W8" i="29"/>
  <c r="U8" i="27"/>
  <c r="U9" i="27"/>
  <c r="J10" i="27"/>
  <c r="W8" i="27"/>
  <c r="T9" i="27"/>
  <c r="V9" i="27"/>
  <c r="O10" i="27"/>
  <c r="J10" i="28" l="1"/>
  <c r="U9" i="28"/>
  <c r="V9" i="28"/>
  <c r="W9" i="28"/>
  <c r="T12" i="30"/>
  <c r="J10" i="30"/>
  <c r="U9" i="30"/>
  <c r="W9" i="30"/>
  <c r="B11" i="30"/>
  <c r="O11" i="30"/>
  <c r="U9" i="29"/>
  <c r="J10" i="29"/>
  <c r="W9" i="29"/>
  <c r="B11" i="29"/>
  <c r="A11" i="29" s="1"/>
  <c r="O11" i="29"/>
  <c r="O12" i="29" s="1"/>
  <c r="O13" i="29" s="1"/>
  <c r="U10" i="27"/>
  <c r="V10" i="27"/>
  <c r="W9" i="27"/>
  <c r="T10" i="27"/>
  <c r="W10" i="27" s="1"/>
  <c r="U10" i="28" l="1"/>
  <c r="J11" i="28"/>
  <c r="V10" i="28"/>
  <c r="W10" i="28"/>
  <c r="O12" i="30"/>
  <c r="B12" i="30"/>
  <c r="A12" i="30" s="1"/>
  <c r="A11" i="30"/>
  <c r="U10" i="30"/>
  <c r="J11" i="30"/>
  <c r="W10" i="30"/>
  <c r="T13" i="30"/>
  <c r="V10" i="30"/>
  <c r="U10" i="29"/>
  <c r="J11" i="29"/>
  <c r="J12" i="29" s="1"/>
  <c r="W10" i="29"/>
  <c r="V10" i="29"/>
  <c r="U11" i="28" l="1"/>
  <c r="W11" i="28"/>
  <c r="V11" i="28"/>
  <c r="J13" i="29"/>
  <c r="W12" i="29"/>
  <c r="U12" i="29"/>
  <c r="V12" i="29"/>
  <c r="J12" i="30"/>
  <c r="U11" i="30"/>
  <c r="W11" i="30"/>
  <c r="B13" i="30"/>
  <c r="A13" i="30" s="1"/>
  <c r="V12" i="30"/>
  <c r="O13" i="30"/>
  <c r="V11" i="30"/>
  <c r="U11" i="29"/>
  <c r="W11" i="29"/>
  <c r="V11" i="29"/>
  <c r="W13" i="29" l="1"/>
  <c r="U13" i="29"/>
  <c r="V13" i="29"/>
  <c r="U12" i="30"/>
  <c r="J13" i="30"/>
  <c r="W12" i="30"/>
  <c r="U13" i="30" l="1"/>
  <c r="W13" i="30"/>
  <c r="V13" i="30"/>
</calcChain>
</file>

<file path=xl/sharedStrings.xml><?xml version="1.0" encoding="utf-8"?>
<sst xmlns="http://schemas.openxmlformats.org/spreadsheetml/2006/main" count="1159" uniqueCount="209">
  <si>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</si>
  <si>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</si>
  <si>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</si>
  <si>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</si>
  <si>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</si>
  <si>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</si>
  <si>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</si>
  <si>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</si>
  <si>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</si>
  <si>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</si>
  <si>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</si>
  <si>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</si>
  <si>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</si>
  <si>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</si>
  <si>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</si>
  <si>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</si>
  <si>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</si>
  <si>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</si>
  <si>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</si>
  <si>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</si>
  <si>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</si>
  <si>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</si>
  <si>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</si>
  <si>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</si>
  <si>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</si>
  <si>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</si>
  <si>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</si>
  <si>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</si>
  <si>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</si>
  <si>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</si>
  <si>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</si>
  <si>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</si>
  <si>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</si>
  <si>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</si>
  <si>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</si>
  <si>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</si>
  <si>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</si>
  <si>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</si>
  <si>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</si>
  <si>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</si>
  <si>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</si>
  <si>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</si>
  <si>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</si>
  <si>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</si>
  <si>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</si>
  <si>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</si>
  <si>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</si>
  <si>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</si>
  <si>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</si>
  <si>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</si>
  <si>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</si>
  <si>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</si>
  <si>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</si>
  <si>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</si>
  <si>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</si>
  <si>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</si>
  <si>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</si>
  <si>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</si>
  <si>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</si>
  <si>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</si>
  <si>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</si>
  <si>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</si>
  <si>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</si>
  <si>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</si>
  <si>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</si>
  <si>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</si>
  <si>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</si>
  <si>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</si>
  <si>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</si>
  <si>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</si>
  <si>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</si>
  <si>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</si>
  <si>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</si>
  <si>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</si>
  <si>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</si>
  <si>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</si>
  <si>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</si>
  <si>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</si>
  <si>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</si>
  <si>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</si>
  <si>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</si>
  <si>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</si>
  <si>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</si>
  <si>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</si>
  <si>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</si>
  <si>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</si>
  <si>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</si>
  <si>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</si>
  <si>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</si>
  <si>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</si>
  <si>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</si>
  <si>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</si>
  <si>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</si>
  <si>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</si>
  <si>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</si>
  <si>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</si>
  <si>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</si>
  <si>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</si>
  <si>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</si>
  <si>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</si>
  <si>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</si>
  <si>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</si>
  <si>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</si>
  <si>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</si>
  <si>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</si>
  <si>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</si>
  <si>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</si>
  <si>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</si>
  <si>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</si>
  <si>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</si>
  <si>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</si>
  <si>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</si>
  <si>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</si>
  <si>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</si>
  <si>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</si>
  <si>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</si>
  <si>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</si>
  <si>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</si>
  <si>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</si>
  <si>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</si>
  <si>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</si>
  <si>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</si>
  <si>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</si>
  <si>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</si>
  <si>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</si>
  <si>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</si>
  <si>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</si>
  <si>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</si>
  <si>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</si>
  <si>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</si>
  <si>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</si>
  <si>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</si>
  <si>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</si>
  <si>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</si>
  <si>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</si>
  <si>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</si>
  <si>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</si>
  <si>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</si>
  <si>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</si>
  <si>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</si>
  <si>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</si>
  <si>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</si>
  <si>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</si>
  <si>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</si>
  <si>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</si>
  <si>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</si>
  <si>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</si>
  <si>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</si>
  <si>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</si>
  <si>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</si>
  <si>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</si>
  <si>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</si>
  <si>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</si>
  <si>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</si>
  <si>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</si>
  <si>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</si>
  <si>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</si>
  <si>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</si>
  <si>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</si>
  <si>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</si>
  <si>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</si>
  <si>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</si>
  <si>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</si>
  <si>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</si>
  <si>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</si>
  <si>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</si>
  <si>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</si>
  <si>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</si>
  <si>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</si>
  <si>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</si>
  <si>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</si>
  <si>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</si>
  <si>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</si>
  <si>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</si>
  <si>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</si>
  <si>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</si>
  <si>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</si>
  <si>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</si>
  <si>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</si>
  <si>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</si>
  <si>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</si>
  <si>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</si>
  <si>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</si>
  <si>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</si>
  <si>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</si>
  <si>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</si>
  <si>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</si>
  <si>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</si>
  <si>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</si>
  <si>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</si>
  <si>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</si>
  <si>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</si>
  <si>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</si>
  <si>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</si>
  <si>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</si>
  <si>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ロン</t>
  </si>
  <si>
    <t>放銃</t>
  </si>
  <si>
    <t>*</t>
  </si>
  <si>
    <t>01</t>
  </si>
  <si>
    <t>02</t>
  </si>
  <si>
    <t>52</t>
  </si>
  <si>
    <t>パパ</t>
  </si>
  <si>
    <t>だいち</t>
  </si>
  <si>
    <t>ツモ支払</t>
  </si>
  <si>
    <t>ツモ</t>
  </si>
  <si>
    <t>N</t>
  </si>
  <si>
    <t>T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</si>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</sst>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9000</v>
      </c>
      <c r="H4" s="9"/>
      <c r="I4" s="47">
        <v>0</v>
      </c>
      <c r="J4" s="21">
        <f>IF(COUNTA($F4,$K4,$P4)&gt;0,J3+SUM(G4:I4),"")</f>
        <v>34000</v>
      </c>
      <c r="K4" s="8" t="s">
        <v>196</v>
      </c>
      <c r="L4" s="9">
        <v>-9000</v>
      </c>
      <c r="M4" s="9"/>
      <c r="N4" s="47">
        <v>0</v>
      </c>
      <c r="O4" s="21">
        <f>IF(COUNTA($F4,$K4,$P4)&gt;0,O3+SUM(L4:N4),"")</f>
        <v>16000</v>
      </c>
      <c r="P4" s="8"/>
      <c r="Q4" s="9"/>
      <c r="R4" s="9"/>
      <c r="S4" s="47"/>
      <c r="T4" s="21">
        <f>IF(COUNTA($F4,$K4,$P4)&gt;0,T3+SUM(Q4:S4),"")</f>
        <v>25000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-19</v>
      </c>
      <c r="W4" s="54">
        <f>IF($T4="","",ROUND(($T4-$T$3)/1000,1)+(_xlfn.RANK.AVG($T4,($J4,$O4,$T4),1)-2)*10)</f>
        <v>0</v>
      </c>
      <c r="Y4" s="8"/>
      <c r="Z4" s="33"/>
      <c r="AA4" s="26">
        <v>1</v>
      </c>
      <c r="AB4" s="26"/>
      <c r="AC4" s="26">
        <v>6</v>
      </c>
      <c r="AD4" s="30" t="s">
        <v>197</v>
      </c>
      <c r="AE4" s="39" t="s">
        <v>198</v>
      </c>
      <c r="AF4" s="40" t="s">
        <v>199</v>
      </c>
      <c r="AG4" s="40" t="s">
        <v>79</v>
      </c>
      <c r="AH4" s="40" t="s">
        <v>79</v>
      </c>
      <c r="AI4" s="40" t="s">
        <v>79</v>
      </c>
      <c r="AJ4" s="40" t="s">
        <v>200</v>
      </c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201</v>
      </c>
      <c r="F5" s="8"/>
      <c r="G5" s="9"/>
      <c r="H5" s="9">
        <v>-1000</v>
      </c>
      <c r="I5" s="47"/>
      <c r="J5" s="21">
        <f t="shared" ref="J5:J30" si="2">IF(COUNTA($F5,$K5,$P5)&gt;0,J4+SUM(G5:I5),"")</f>
        <v>33000</v>
      </c>
      <c r="K5" s="8" t="s">
        <v>195</v>
      </c>
      <c r="L5" s="9">
        <v>6000</v>
      </c>
      <c r="M5" s="9">
        <v>1000</v>
      </c>
      <c r="N5" s="47">
        <v>0</v>
      </c>
      <c r="O5" s="21">
        <f t="shared" ref="O5:O30" si="3">IF(COUNTA($F5,$K5,$P5)&gt;0,O4+SUM(L5:N5),"")</f>
        <v>23000</v>
      </c>
      <c r="P5" s="8" t="s">
        <v>196</v>
      </c>
      <c r="Q5" s="9">
        <v>-6000</v>
      </c>
      <c r="R5" s="9"/>
      <c r="S5" s="47">
        <v>0</v>
      </c>
      <c r="T5" s="21">
        <f t="shared" ref="T5:T30" si="4">IF(COUNTA($F5,$K5,$P5)&gt;0,T4+SUM(Q5:S5),"")</f>
        <v>19000</v>
      </c>
      <c r="U5" s="52">
        <f>IF($J5="","",ROUND(($J5-$J$3)/1000,1)+(_xlfn.RANK.AVG($J5,($J5,$O5,$T5),1)-2)*10)</f>
        <v>18</v>
      </c>
      <c r="V5" s="53">
        <f>IF($O5="","",ROUND(($O5-$O$3)/1000,1)+(_xlfn.RANK.AVG($O5,($J5,$O5,$T5),1)-2)*10)</f>
        <v>-2</v>
      </c>
      <c r="W5" s="54">
        <f>IF($T5="","",ROUND(($T5-$T$3)/1000,1)+(_xlfn.RANK.AVG($T5,($J5,$O5,$T5),1)-2)*10)</f>
        <v>-16</v>
      </c>
      <c r="Y5" s="8"/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4</v>
      </c>
      <c r="AY5" s="30">
        <v>30</v>
      </c>
      <c r="AZ5" s="39" t="s">
        <v>198</v>
      </c>
      <c r="BA5" s="40" t="s">
        <v>83</v>
      </c>
      <c r="BB5" s="40" t="s">
        <v>80</v>
      </c>
      <c r="BC5" s="40" t="s">
        <v>199</v>
      </c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202</v>
      </c>
      <c r="F6" s="8"/>
      <c r="G6" s="9"/>
      <c r="H6" s="9"/>
      <c r="I6" s="47"/>
      <c r="J6" s="21">
        <f t="shared" si="2"/>
        <v>33000</v>
      </c>
      <c r="K6" s="8" t="s">
        <v>196</v>
      </c>
      <c r="L6" s="9">
        <v>-1500</v>
      </c>
      <c r="M6" s="9"/>
      <c r="N6" s="47">
        <v>0</v>
      </c>
      <c r="O6" s="21">
        <f t="shared" si="3"/>
        <v>21500</v>
      </c>
      <c r="P6" s="8" t="s">
        <v>195</v>
      </c>
      <c r="Q6" s="9">
        <v>1500</v>
      </c>
      <c r="R6" s="9"/>
      <c r="S6" s="47">
        <v>0</v>
      </c>
      <c r="T6" s="21">
        <f t="shared" si="4"/>
        <v>20500</v>
      </c>
      <c r="U6" s="52">
        <f>IF($J6="","",ROUND(($J6-$J$3)/1000,1)+(_xlfn.RANK.AVG($J6,($J6,$O6,$T6),1)-2)*10)</f>
        <v>18</v>
      </c>
      <c r="V6" s="53">
        <f>IF($O6="","",ROUND(($O6-$O$3)/1000,1)+(_xlfn.RANK.AVG($O6,($J6,$O6,$T6),1)-2)*10)</f>
        <v>-3.5</v>
      </c>
      <c r="W6" s="54">
        <f>IF($T6="","",ROUND(($T6-$T$3)/1000,1)+(_xlfn.RANK.AVG($T6,($J6,$O6,$T6),1)-2)*10)</f>
        <v>-14.5</v>
      </c>
      <c r="Y6" s="8"/>
      <c r="Z6" s="33"/>
      <c r="AA6" s="26"/>
      <c r="AB6" s="26">
        <v>1</v>
      </c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>
        <v>1</v>
      </c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2</v>
      </c>
      <c r="BT6" s="30">
        <v>30</v>
      </c>
      <c r="BU6" s="39" t="s">
        <v>86</v>
      </c>
      <c r="BV6" s="40" t="s">
        <v>79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203</v>
      </c>
      <c r="G7" s="9">
        <v>-3000</v>
      </c>
      <c r="H7" s="9">
        <v>-1000</v>
      </c>
      <c r="I7" s="47">
        <v>0</v>
      </c>
      <c r="J7" s="21">
        <f t="shared" si="2"/>
        <v>29000</v>
      </c>
      <c r="K7" s="8" t="s">
        <v>204</v>
      </c>
      <c r="L7" s="9">
        <v>9000</v>
      </c>
      <c r="M7" s="9">
        <v>1000</v>
      </c>
      <c r="N7" s="47">
        <v>0</v>
      </c>
      <c r="O7" s="21">
        <f t="shared" si="3"/>
        <v>31500</v>
      </c>
      <c r="P7" s="8" t="s">
        <v>203</v>
      </c>
      <c r="Q7" s="9">
        <v>-6000</v>
      </c>
      <c r="R7" s="9"/>
      <c r="S7" s="47">
        <v>0</v>
      </c>
      <c r="T7" s="21">
        <f t="shared" si="4"/>
        <v>14500</v>
      </c>
      <c r="U7" s="52">
        <f>IF($J7="","",ROUND(($J7-$J$3)/1000,1)+(_xlfn.RANK.AVG($J7,($J7,$O7,$T7),1)-2)*10)</f>
        <v>4</v>
      </c>
      <c r="V7" s="53">
        <f>IF($O7="","",ROUND(($O7-$O$3)/1000,1)+(_xlfn.RANK.AVG($O7,($J7,$O7,$T7),1)-2)*10)</f>
        <v>16.5</v>
      </c>
      <c r="W7" s="54">
        <f>IF($T7="","",ROUND(($T7-$T$3)/1000,1)+(_xlfn.RANK.AVG($T7,($J7,$O7,$T7),1)-2)*10)</f>
        <v>-20.5</v>
      </c>
      <c r="Y7" s="8"/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>
        <v>6</v>
      </c>
      <c r="AY7" s="30" t="s">
        <v>197</v>
      </c>
      <c r="AZ7" s="39" t="s">
        <v>198</v>
      </c>
      <c r="BA7" s="40" t="s">
        <v>82</v>
      </c>
      <c r="BB7" s="40" t="s">
        <v>86</v>
      </c>
      <c r="BC7" s="40" t="s">
        <v>200</v>
      </c>
      <c r="BD7" s="40" t="s">
        <v>200</v>
      </c>
      <c r="BE7" s="40" t="s">
        <v>80</v>
      </c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201</v>
      </c>
      <c r="F8" s="8" t="s">
        <v>204</v>
      </c>
      <c r="G8" s="9">
        <v>8000</v>
      </c>
      <c r="H8" s="9">
        <v>1000</v>
      </c>
      <c r="I8" s="47">
        <v>0</v>
      </c>
      <c r="J8" s="21">
        <f t="shared" si="2"/>
        <v>38000</v>
      </c>
      <c r="K8" s="8" t="s">
        <v>203</v>
      </c>
      <c r="L8" s="9">
        <v>-4000</v>
      </c>
      <c r="M8" s="9"/>
      <c r="N8" s="47">
        <v>0</v>
      </c>
      <c r="O8" s="21">
        <f t="shared" si="3"/>
        <v>27500</v>
      </c>
      <c r="P8" s="8" t="s">
        <v>203</v>
      </c>
      <c r="Q8" s="9">
        <v>-4000</v>
      </c>
      <c r="R8" s="9">
        <v>-1000</v>
      </c>
      <c r="S8" s="47">
        <v>0</v>
      </c>
      <c r="T8" s="21">
        <f t="shared" si="4"/>
        <v>9500</v>
      </c>
      <c r="U8" s="52">
        <f>IF($J8="","",ROUND(($J8-$J$3)/1000,1)+(_xlfn.RANK.AVG($J8,($J8,$O8,$T8),1)-2)*10)</f>
        <v>23</v>
      </c>
      <c r="V8" s="53">
        <f>IF($O8="","",ROUND(($O8-$O$3)/1000,1)+(_xlfn.RANK.AVG($O8,($J8,$O8,$T8),1)-2)*10)</f>
        <v>2.5</v>
      </c>
      <c r="W8" s="54">
        <f>IF($T8="","",ROUND(($T8-$T$3)/1000,1)+(_xlfn.RANK.AVG($T8,($J8,$O8,$T8),1)-2)*10)</f>
        <v>-25.5</v>
      </c>
      <c r="Y8" s="8"/>
      <c r="Z8" s="33"/>
      <c r="AA8" s="26">
        <v>1</v>
      </c>
      <c r="AB8" s="26"/>
      <c r="AC8" s="26">
        <v>5</v>
      </c>
      <c r="AD8" s="30" t="s">
        <v>197</v>
      </c>
      <c r="AE8" s="39" t="s">
        <v>198</v>
      </c>
      <c r="AF8" s="40" t="s">
        <v>82</v>
      </c>
      <c r="AG8" s="40" t="s">
        <v>86</v>
      </c>
      <c r="AH8" s="40" t="s">
        <v>86</v>
      </c>
      <c r="AI8" s="40" t="s">
        <v>200</v>
      </c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201</v>
      </c>
      <c r="F9" s="8"/>
      <c r="G9" s="9"/>
      <c r="H9" s="9"/>
      <c r="I9" s="47"/>
      <c r="J9" s="21">
        <f t="shared" si="2"/>
        <v>38000</v>
      </c>
      <c r="K9" s="8" t="s">
        <v>195</v>
      </c>
      <c r="L9" s="9">
        <v>2000</v>
      </c>
      <c r="M9" s="9"/>
      <c r="N9" s="47">
        <v>1000</v>
      </c>
      <c r="O9" s="21">
        <f t="shared" si="3"/>
        <v>30500</v>
      </c>
      <c r="P9" s="8" t="s">
        <v>196</v>
      </c>
      <c r="Q9" s="9">
        <v>-2000</v>
      </c>
      <c r="R9" s="9"/>
      <c r="S9" s="47">
        <v>-1000</v>
      </c>
      <c r="T9" s="21">
        <f t="shared" si="4"/>
        <v>6500</v>
      </c>
      <c r="U9" s="52">
        <f>IF($J9="","",ROUND(($J9-$J$3)/1000,1)+(_xlfn.RANK.AVG($J9,($J9,$O9,$T9),1)-2)*10)</f>
        <v>23</v>
      </c>
      <c r="V9" s="53">
        <f>IF($O9="","",ROUND(($O9-$O$3)/1000,1)+(_xlfn.RANK.AVG($O9,($J9,$O9,$T9),1)-2)*10)</f>
        <v>5.5</v>
      </c>
      <c r="W9" s="54">
        <f>IF($T9="","",ROUND(($T9-$T$3)/1000,1)+(_xlfn.RANK.AVG($T9,($J9,$O9,$T9),1)-2)*10)</f>
        <v>-28.5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2</v>
      </c>
      <c r="AY9" s="30">
        <v>40</v>
      </c>
      <c r="AZ9" s="39" t="s">
        <v>198</v>
      </c>
      <c r="BA9" s="40" t="s">
        <v>79</v>
      </c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202</v>
      </c>
      <c r="F10" s="8" t="s">
        <v>204</v>
      </c>
      <c r="G10" s="9">
        <v>12000</v>
      </c>
      <c r="H10" s="9">
        <v>1000</v>
      </c>
      <c r="I10" s="47">
        <v>0</v>
      </c>
      <c r="J10" s="21">
        <f t="shared" si="2"/>
        <v>51000</v>
      </c>
      <c r="K10" s="8" t="s">
        <v>203</v>
      </c>
      <c r="L10" s="9">
        <v>-8000</v>
      </c>
      <c r="M10" s="9"/>
      <c r="N10" s="47">
        <v>0</v>
      </c>
      <c r="O10" s="21">
        <f t="shared" si="3"/>
        <v>22500</v>
      </c>
      <c r="P10" s="8" t="s">
        <v>203</v>
      </c>
      <c r="Q10" s="9">
        <v>-4000</v>
      </c>
      <c r="R10" s="9">
        <v>-1000</v>
      </c>
      <c r="S10" s="47">
        <v>0</v>
      </c>
      <c r="T10" s="21">
        <f t="shared" si="4"/>
        <v>1500</v>
      </c>
      <c r="U10" s="52">
        <f>IF($J10="","",ROUND(($J10-$J$3)/1000,1)+(_xlfn.RANK.AVG($J10,($J10,$O10,$T10),1)-2)*10)</f>
        <v>36</v>
      </c>
      <c r="V10" s="53">
        <f>IF($O10="","",ROUND(($O10-$O$3)/1000,1)+(_xlfn.RANK.AVG($O10,($J10,$O10,$T10),1)-2)*10)</f>
        <v>-2.5</v>
      </c>
      <c r="W10" s="54">
        <f>IF($T10="","",ROUND(($T10-$T$3)/1000,1)+(_xlfn.RANK.AVG($T10,($J10,$O10,$T10),1)-2)*10)</f>
        <v>-33.5</v>
      </c>
      <c r="Y10" s="8"/>
      <c r="Z10" s="33"/>
      <c r="AA10" s="26">
        <v>1</v>
      </c>
      <c r="AB10" s="26"/>
      <c r="AC10" s="26">
        <v>8</v>
      </c>
      <c r="AD10" s="30" t="s">
        <v>197</v>
      </c>
      <c r="AE10" s="39" t="s">
        <v>198</v>
      </c>
      <c r="AF10" s="40" t="s">
        <v>82</v>
      </c>
      <c r="AG10" s="40" t="s">
        <v>200</v>
      </c>
      <c r="AH10" s="40" t="s">
        <v>79</v>
      </c>
      <c r="AI10" s="40" t="s">
        <v>79</v>
      </c>
      <c r="AJ10" s="40" t="s">
        <v>79</v>
      </c>
      <c r="AK10" s="40" t="s">
        <v>79</v>
      </c>
      <c r="AL10" s="40" t="s">
        <v>79</v>
      </c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490CBAF-D2EC-4FC4-A4AD-63B6A83EB5A4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54CFD-CD8B-4211-B61D-FB595A72E6F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204</v>
      </c>
      <c r="G4" s="9">
        <v>9000</v>
      </c>
      <c r="H4" s="9"/>
      <c r="I4" s="47">
        <v>0</v>
      </c>
      <c r="J4" s="21">
        <f>IF(COUNTA($F4,$K4,$P4)&gt;0,J3+SUM(G4:I4),"")</f>
        <v>34000</v>
      </c>
      <c r="K4" s="8" t="s">
        <v>203</v>
      </c>
      <c r="L4" s="9">
        <v>-6000</v>
      </c>
      <c r="M4" s="9"/>
      <c r="N4" s="47">
        <v>0</v>
      </c>
      <c r="O4" s="21">
        <f>IF(COUNTA($F4,$K4,$P4)&gt;0,O3+SUM(L4:N4),"")</f>
        <v>19000</v>
      </c>
      <c r="P4" s="8" t="s">
        <v>203</v>
      </c>
      <c r="Q4" s="9">
        <v>-3000</v>
      </c>
      <c r="R4" s="9"/>
      <c r="S4" s="47">
        <v>0</v>
      </c>
      <c r="T4" s="21">
        <f>IF(COUNTA($F4,$K4,$P4)&gt;0,T3+SUM(Q4:S4),"")</f>
        <v>22000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-16</v>
      </c>
      <c r="W4" s="54">
        <f>IF($T4="","",ROUND(($T4-$T$3)/1000,1)+(_xlfn.RANK.AVG($T4,($J4,$O4,$T4),1)-2)*10)</f>
        <v>-3</v>
      </c>
      <c r="Y4" s="8"/>
      <c r="Z4" s="33"/>
      <c r="AA4" s="26">
        <v>1</v>
      </c>
      <c r="AB4" s="26"/>
      <c r="AC4" s="26">
        <v>7</v>
      </c>
      <c r="AD4" s="30" t="s">
        <v>197</v>
      </c>
      <c r="AE4" s="39" t="s">
        <v>198</v>
      </c>
      <c r="AF4" s="40" t="s">
        <v>82</v>
      </c>
      <c r="AG4" s="40" t="s">
        <v>96</v>
      </c>
      <c r="AH4" s="40" t="s">
        <v>104</v>
      </c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203</v>
      </c>
      <c r="G5" s="9">
        <v>-6000</v>
      </c>
      <c r="H5" s="9"/>
      <c r="I5" s="47">
        <v>0</v>
      </c>
      <c r="J5" s="21">
        <f t="shared" ref="J5:J30" si="2">IF(COUNTA($F5,$K5,$P5)&gt;0,J4+SUM(G5:I5),"")</f>
        <v>28000</v>
      </c>
      <c r="K5" s="8" t="s">
        <v>203</v>
      </c>
      <c r="L5" s="9">
        <v>-6000</v>
      </c>
      <c r="M5" s="9"/>
      <c r="N5" s="47">
        <v>0</v>
      </c>
      <c r="O5" s="21">
        <f t="shared" ref="O5:O30" si="3">IF(COUNTA($F5,$K5,$P5)&gt;0,O4+SUM(L5:N5),"")</f>
        <v>13000</v>
      </c>
      <c r="P5" s="8" t="s">
        <v>204</v>
      </c>
      <c r="Q5" s="9">
        <v>12000</v>
      </c>
      <c r="R5" s="9"/>
      <c r="S5" s="47">
        <v>0</v>
      </c>
      <c r="T5" s="21">
        <f t="shared" ref="T5:T30" si="4">IF(COUNTA($F5,$K5,$P5)&gt;0,T4+SUM(Q5:S5),"")</f>
        <v>34000</v>
      </c>
      <c r="U5" s="52">
        <f>IF($J5="","",ROUND(($J5-$J$3)/1000,1)+(_xlfn.RANK.AVG($J5,($J5,$O5,$T5),1)-2)*10)</f>
        <v>3</v>
      </c>
      <c r="V5" s="53">
        <f>IF($O5="","",ROUND(($O5-$O$3)/1000,1)+(_xlfn.RANK.AVG($O5,($J5,$O5,$T5),1)-2)*10)</f>
        <v>-22</v>
      </c>
      <c r="W5" s="54">
        <f>IF($T5="","",ROUND(($T5-$T$3)/1000,1)+(_xlfn.RANK.AVG($T5,($J5,$O5,$T5),1)-2)*10)</f>
        <v>19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>
        <v>1</v>
      </c>
      <c r="BS5" s="26">
        <v>7</v>
      </c>
      <c r="BT5" s="30" t="s">
        <v>197</v>
      </c>
      <c r="BU5" s="39" t="s">
        <v>104</v>
      </c>
      <c r="BV5" s="40" t="s">
        <v>86</v>
      </c>
      <c r="BW5" s="40" t="s">
        <v>200</v>
      </c>
      <c r="BX5" s="40" t="s">
        <v>79</v>
      </c>
      <c r="BY5" s="40" t="s">
        <v>79</v>
      </c>
      <c r="BZ5" s="40" t="s">
        <v>79</v>
      </c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/>
      <c r="G6" s="9"/>
      <c r="H6" s="9">
        <v>-1000</v>
      </c>
      <c r="I6" s="47"/>
      <c r="J6" s="21">
        <f t="shared" si="2"/>
        <v>27000</v>
      </c>
      <c r="K6" s="8" t="s">
        <v>196</v>
      </c>
      <c r="L6" s="9">
        <v>-8000</v>
      </c>
      <c r="M6" s="9"/>
      <c r="N6" s="47">
        <v>-1000</v>
      </c>
      <c r="O6" s="21">
        <f t="shared" si="3"/>
        <v>4000</v>
      </c>
      <c r="P6" s="8" t="s">
        <v>195</v>
      </c>
      <c r="Q6" s="9">
        <v>8000</v>
      </c>
      <c r="R6" s="9">
        <v>1000</v>
      </c>
      <c r="S6" s="47">
        <v>1000</v>
      </c>
      <c r="T6" s="21">
        <f t="shared" si="4"/>
        <v>44000</v>
      </c>
      <c r="U6" s="52">
        <f>IF($J6="","",ROUND(($J6-$J$3)/1000,1)+(_xlfn.RANK.AVG($J6,($J6,$O6,$T6),1)-2)*10)</f>
        <v>2</v>
      </c>
      <c r="V6" s="53">
        <f>IF($O6="","",ROUND(($O6-$O$3)/1000,1)+(_xlfn.RANK.AVG($O6,($J6,$O6,$T6),1)-2)*10)</f>
        <v>-31</v>
      </c>
      <c r="W6" s="54">
        <f>IF($T6="","",ROUND(($T6-$T$3)/1000,1)+(_xlfn.RANK.AVG($T6,($J6,$O6,$T6),1)-2)*10)</f>
        <v>29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4</v>
      </c>
      <c r="BT6" s="30">
        <v>30</v>
      </c>
      <c r="BU6" s="39" t="s">
        <v>86</v>
      </c>
      <c r="BV6" s="40" t="s">
        <v>86</v>
      </c>
      <c r="BW6" s="40" t="s">
        <v>79</v>
      </c>
      <c r="BX6" s="40" t="s">
        <v>79</v>
      </c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194</v>
      </c>
      <c r="F7" s="8"/>
      <c r="G7" s="9"/>
      <c r="H7" s="9"/>
      <c r="I7" s="47"/>
      <c r="J7" s="21">
        <f t="shared" si="2"/>
        <v>27000</v>
      </c>
      <c r="K7" s="8" t="s">
        <v>196</v>
      </c>
      <c r="L7" s="9">
        <v>-5200</v>
      </c>
      <c r="M7" s="9"/>
      <c r="N7" s="47">
        <v>-2000</v>
      </c>
      <c r="O7" s="21">
        <f t="shared" si="3"/>
        <v>-3200</v>
      </c>
      <c r="P7" s="8" t="s">
        <v>195</v>
      </c>
      <c r="Q7" s="9">
        <v>5200</v>
      </c>
      <c r="R7" s="9"/>
      <c r="S7" s="47">
        <v>2000</v>
      </c>
      <c r="T7" s="21">
        <f t="shared" si="4"/>
        <v>51200</v>
      </c>
      <c r="U7" s="52">
        <f>IF($J7="","",ROUND(($J7-$J$3)/1000,1)+(_xlfn.RANK.AVG($J7,($J7,$O7,$T7),1)-2)*10)</f>
        <v>2</v>
      </c>
      <c r="V7" s="53">
        <f>IF($O7="","",ROUND(($O7-$O$3)/1000,1)+(_xlfn.RANK.AVG($O7,($J7,$O7,$T7),1)-2)*10)</f>
        <v>-38.200000000000003</v>
      </c>
      <c r="W7" s="54">
        <f>IF($T7="","",ROUND(($T7-$T$3)/1000,1)+(_xlfn.RANK.AVG($T7,($J7,$O7,$T7),1)-2)*10)</f>
        <v>36.200000000000003</v>
      </c>
      <c r="Y7" s="8"/>
      <c r="Z7" s="33"/>
      <c r="AA7" s="26"/>
      <c r="AB7" s="26">
        <v>1</v>
      </c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>
        <v>3</v>
      </c>
      <c r="BT7" s="30">
        <v>40</v>
      </c>
      <c r="BU7" s="39" t="s">
        <v>198</v>
      </c>
      <c r="BV7" s="40" t="s">
        <v>79</v>
      </c>
      <c r="BW7" s="40" t="s">
        <v>200</v>
      </c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7"/>
      <c r="J8" s="21" t="str">
        <f t="shared" si="2"/>
        <v/>
      </c>
      <c r="K8" s="8"/>
      <c r="L8" s="9"/>
      <c r="M8" s="9"/>
      <c r="N8" s="47"/>
      <c r="O8" s="21" t="str">
        <f t="shared" si="3"/>
        <v/>
      </c>
      <c r="P8" s="8"/>
      <c r="Q8" s="9"/>
      <c r="R8" s="9"/>
      <c r="S8" s="47"/>
      <c r="T8" s="21" t="str">
        <f t="shared" si="4"/>
        <v/>
      </c>
      <c r="U8" s="52" t="str">
        <f>IF($J8="","",ROUND(($J8-$J$3)/1000,1)+(_xlfn.RANK.AVG($J8,($J8,$O8,$T8),1)-2)*10)</f>
        <v/>
      </c>
      <c r="V8" s="53" t="str">
        <f>IF($O8="","",ROUND(($O8-$O$3)/1000,1)+(_xlfn.RANK.AVG($O8,($J8,$O8,$T8),1)-2)*10)</f>
        <v/>
      </c>
      <c r="W8" s="54" t="str">
        <f>IF($T8="","",ROUND(($T8-$T$3)/1000,1)+(_xlfn.RANK.AVG($T8,($J8,$O8,$T8),1)-2)*10)</f>
        <v/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7"/>
      <c r="J9" s="21" t="str">
        <f t="shared" si="2"/>
        <v/>
      </c>
      <c r="K9" s="8"/>
      <c r="L9" s="9"/>
      <c r="M9" s="9"/>
      <c r="N9" s="47"/>
      <c r="O9" s="21" t="str">
        <f t="shared" si="3"/>
        <v/>
      </c>
      <c r="P9" s="8"/>
      <c r="Q9" s="9"/>
      <c r="R9" s="9"/>
      <c r="S9" s="47"/>
      <c r="T9" s="21" t="str">
        <f t="shared" si="4"/>
        <v/>
      </c>
      <c r="U9" s="52" t="str">
        <f>IF($J9="","",ROUND(($J9-$J$3)/1000,1)+(_xlfn.RANK.AVG($J9,($J9,$O9,$T9),1)-2)*10)</f>
        <v/>
      </c>
      <c r="V9" s="53" t="str">
        <f>IF($O9="","",ROUND(($O9-$O$3)/1000,1)+(_xlfn.RANK.AVG($O9,($J9,$O9,$T9),1)-2)*10)</f>
        <v/>
      </c>
      <c r="W9" s="54" t="str">
        <f>IF($T9="","",ROUND(($T9-$T$3)/1000,1)+(_xlfn.RANK.AVG($T9,($J9,$O9,$T9),1)-2)*10)</f>
        <v/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FFBFB70-47A6-4A11-ACF5-092D28A6AFC0}">
      <formula1>"パパ,だいち,あやめ,"</formula1>
    </dataValidation>
    <dataValidation type="list" showInputMessage="1" showErrorMessage="1" sqref="K4:K30 P4:P30 F4:F30" xr:uid="{14145558-8DA3-4F00-AF83-05621DC514CD}">
      <formula1>"ロン,ツモ,放銃,ツモ支払,流局,チョンボ"</formula1>
    </dataValidation>
    <dataValidation type="list" allowBlank="1" showInputMessage="1" showErrorMessage="1" sqref="E4:E30" xr:uid="{A9806FAC-47B5-40A6-A511-F7B9D30B90D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6E070-5AAC-4F22-B96F-67A19EF7308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207</v>
      </c>
      <c r="G4" s="9">
        <v>-1000</v>
      </c>
      <c r="H4" s="9"/>
      <c r="I4" s="47"/>
      <c r="J4" s="21">
        <f>IF(COUNTA($F4,$K4,$P4)&gt;0,J3+SUM(G4:I4),"")</f>
        <v>24000</v>
      </c>
      <c r="K4" s="8" t="s">
        <v>207</v>
      </c>
      <c r="L4" s="9">
        <v>2000</v>
      </c>
      <c r="M4" s="9">
        <v>-1000</v>
      </c>
      <c r="N4" s="47"/>
      <c r="O4" s="21">
        <f>IF(COUNTA($F4,$K4,$P4)&gt;0,O3+SUM(L4:N4),"")</f>
        <v>26000</v>
      </c>
      <c r="P4" s="8" t="s">
        <v>207</v>
      </c>
      <c r="Q4" s="9">
        <v>-1000</v>
      </c>
      <c r="R4" s="9"/>
      <c r="S4" s="47"/>
      <c r="T4" s="21">
        <f>IF(COUNTA($F4,$K4,$P4)&gt;0,T3+SUM(Q4:S4),"")</f>
        <v>24000</v>
      </c>
      <c r="U4" s="52">
        <f>IF($J4="","",ROUND(($J4-$J$3)/1000,1)+(_xlfn.RANK.AVG($J4,($J4,$O4,$T4),1)-2)*10)</f>
        <v>-6</v>
      </c>
      <c r="V4" s="53">
        <f>IF($O4="","",ROUND(($O4-$O$3)/1000,1)+(_xlfn.RANK.AVG($O4,($J4,$O4,$T4),1)-2)*10)</f>
        <v>11</v>
      </c>
      <c r="W4" s="54">
        <f>IF($T4="","",ROUND(($T4-$T$3)/1000,1)+(_xlfn.RANK.AVG($T4,($J4,$O4,$T4),1)-2)*10)</f>
        <v>-6</v>
      </c>
      <c r="Y4" s="8" t="s">
        <v>205</v>
      </c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 t="s">
        <v>206</v>
      </c>
      <c r="AU4" s="33"/>
      <c r="AV4" s="26">
        <v>1</v>
      </c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 t="s">
        <v>205</v>
      </c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202</v>
      </c>
      <c r="F5" s="8" t="s">
        <v>207</v>
      </c>
      <c r="G5" s="9">
        <v>-1000</v>
      </c>
      <c r="H5" s="9"/>
      <c r="I5" s="47"/>
      <c r="J5" s="21">
        <f t="shared" ref="J5:J30" si="2">IF(COUNTA($F5,$K5,$P5)&gt;0,J4+SUM(G5:I5),"")</f>
        <v>23000</v>
      </c>
      <c r="K5" s="8" t="s">
        <v>207</v>
      </c>
      <c r="L5" s="9">
        <v>2000</v>
      </c>
      <c r="M5" s="9">
        <v>-1000</v>
      </c>
      <c r="N5" s="47"/>
      <c r="O5" s="21">
        <f t="shared" ref="O5:O30" si="3">IF(COUNTA($F5,$K5,$P5)&gt;0,O4+SUM(L5:N5),"")</f>
        <v>27000</v>
      </c>
      <c r="P5" s="8" t="s">
        <v>207</v>
      </c>
      <c r="Q5" s="9">
        <v>-1000</v>
      </c>
      <c r="R5" s="9"/>
      <c r="S5" s="47"/>
      <c r="T5" s="21">
        <f t="shared" ref="T5:T30" si="4">IF(COUNTA($F5,$K5,$P5)&gt;0,T4+SUM(Q5:S5),"")</f>
        <v>23000</v>
      </c>
      <c r="U5" s="52">
        <f>IF($J5="","",ROUND(($J5-$J$3)/1000,1)+(_xlfn.RANK.AVG($J5,($J5,$O5,$T5),1)-2)*10)</f>
        <v>-7</v>
      </c>
      <c r="V5" s="53">
        <f>IF($O5="","",ROUND(($O5-$O$3)/1000,1)+(_xlfn.RANK.AVG($O5,($J5,$O5,$T5),1)-2)*10)</f>
        <v>12</v>
      </c>
      <c r="W5" s="54">
        <f>IF($T5="","",ROUND(($T5-$T$3)/1000,1)+(_xlfn.RANK.AVG($T5,($J5,$O5,$T5),1)-2)*10)</f>
        <v>-7</v>
      </c>
      <c r="Y5" s="8" t="s">
        <v>205</v>
      </c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 t="s">
        <v>206</v>
      </c>
      <c r="AU5" s="33"/>
      <c r="AV5" s="26">
        <v>1</v>
      </c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 t="s">
        <v>205</v>
      </c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202</v>
      </c>
      <c r="F6" s="8" t="s">
        <v>196</v>
      </c>
      <c r="G6" s="9">
        <v>-2000</v>
      </c>
      <c r="H6" s="9"/>
      <c r="I6" s="47">
        <v>-2000</v>
      </c>
      <c r="J6" s="21">
        <f t="shared" si="2"/>
        <v>19000</v>
      </c>
      <c r="K6" s="8"/>
      <c r="L6" s="9"/>
      <c r="M6" s="9">
        <v>-1000</v>
      </c>
      <c r="N6" s="47"/>
      <c r="O6" s="21">
        <f t="shared" si="3"/>
        <v>26000</v>
      </c>
      <c r="P6" s="8" t="s">
        <v>195</v>
      </c>
      <c r="Q6" s="9">
        <v>2000</v>
      </c>
      <c r="R6" s="9">
        <v>3000</v>
      </c>
      <c r="S6" s="47">
        <v>2000</v>
      </c>
      <c r="T6" s="21">
        <f t="shared" si="4"/>
        <v>30000</v>
      </c>
      <c r="U6" s="52">
        <f>IF($J6="","",ROUND(($J6-$J$3)/1000,1)+(_xlfn.RANK.AVG($J6,($J6,$O6,$T6),1)-2)*10)</f>
        <v>-16</v>
      </c>
      <c r="V6" s="53">
        <f>IF($O6="","",ROUND(($O6-$O$3)/1000,1)+(_xlfn.RANK.AVG($O6,($J6,$O6,$T6),1)-2)*10)</f>
        <v>1</v>
      </c>
      <c r="W6" s="54">
        <f>IF($T6="","",ROUND(($T6-$T$3)/1000,1)+(_xlfn.RANK.AVG($T6,($J6,$O6,$T6),1)-2)*10)</f>
        <v>15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2</v>
      </c>
      <c r="BT6" s="30">
        <v>40</v>
      </c>
      <c r="BU6" s="39" t="s">
        <v>198</v>
      </c>
      <c r="BV6" s="40" t="s">
        <v>200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196</v>
      </c>
      <c r="G7" s="9">
        <v>-16000</v>
      </c>
      <c r="H7" s="9"/>
      <c r="I7" s="47">
        <v>0</v>
      </c>
      <c r="J7" s="21">
        <f t="shared" si="2"/>
        <v>3000</v>
      </c>
      <c r="K7" s="8"/>
      <c r="L7" s="9"/>
      <c r="M7" s="9"/>
      <c r="N7" s="47"/>
      <c r="O7" s="21">
        <f t="shared" si="3"/>
        <v>26000</v>
      </c>
      <c r="P7" s="8" t="s">
        <v>195</v>
      </c>
      <c r="Q7" s="9">
        <v>16000</v>
      </c>
      <c r="R7" s="9"/>
      <c r="S7" s="47">
        <v>0</v>
      </c>
      <c r="T7" s="21">
        <f t="shared" si="4"/>
        <v>46000</v>
      </c>
      <c r="U7" s="52">
        <f>IF($J7="","",ROUND(($J7-$J$3)/1000,1)+(_xlfn.RANK.AVG($J7,($J7,$O7,$T7),1)-2)*10)</f>
        <v>-32</v>
      </c>
      <c r="V7" s="53">
        <f>IF($O7="","",ROUND(($O7-$O$3)/1000,1)+(_xlfn.RANK.AVG($O7,($J7,$O7,$T7),1)-2)*10)</f>
        <v>1</v>
      </c>
      <c r="W7" s="54">
        <f>IF($T7="","",ROUND(($T7-$T$3)/1000,1)+(_xlfn.RANK.AVG($T7,($J7,$O7,$T7),1)-2)*10)</f>
        <v>31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>
        <v>8</v>
      </c>
      <c r="BT7" s="30" t="s">
        <v>197</v>
      </c>
      <c r="BU7" s="39" t="s">
        <v>198</v>
      </c>
      <c r="BV7" s="40" t="s">
        <v>79</v>
      </c>
      <c r="BW7" s="40" t="s">
        <v>93</v>
      </c>
      <c r="BX7" s="40" t="s">
        <v>104</v>
      </c>
      <c r="BY7" s="40" t="s">
        <v>86</v>
      </c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194</v>
      </c>
      <c r="F8" s="8" t="s">
        <v>204</v>
      </c>
      <c r="G8" s="9">
        <v>12000</v>
      </c>
      <c r="H8" s="9"/>
      <c r="I8" s="47">
        <v>1000</v>
      </c>
      <c r="J8" s="21">
        <f t="shared" si="2"/>
        <v>16000</v>
      </c>
      <c r="K8" s="8" t="s">
        <v>203</v>
      </c>
      <c r="L8" s="9">
        <v>-4000</v>
      </c>
      <c r="M8" s="9"/>
      <c r="N8" s="47">
        <v>-500</v>
      </c>
      <c r="O8" s="21">
        <f t="shared" si="3"/>
        <v>21500</v>
      </c>
      <c r="P8" s="8" t="s">
        <v>203</v>
      </c>
      <c r="Q8" s="9">
        <v>-8000</v>
      </c>
      <c r="R8" s="9"/>
      <c r="S8" s="47">
        <v>-500</v>
      </c>
      <c r="T8" s="21">
        <f t="shared" si="4"/>
        <v>37500</v>
      </c>
      <c r="U8" s="52">
        <f>IF($J8="","",ROUND(($J8-$J$3)/1000,1)+(_xlfn.RANK.AVG($J8,($J8,$O8,$T8),1)-2)*10)</f>
        <v>-19</v>
      </c>
      <c r="V8" s="53">
        <f>IF($O8="","",ROUND(($O8-$O$3)/1000,1)+(_xlfn.RANK.AVG($O8,($J8,$O8,$T8),1)-2)*10)</f>
        <v>-3.5</v>
      </c>
      <c r="W8" s="54">
        <f>IF($T8="","",ROUND(($T8-$T$3)/1000,1)+(_xlfn.RANK.AVG($T8,($J8,$O8,$T8),1)-2)*10)</f>
        <v>22.5</v>
      </c>
      <c r="Y8" s="8"/>
      <c r="Z8" s="33"/>
      <c r="AA8" s="26">
        <v>1</v>
      </c>
      <c r="AB8" s="26"/>
      <c r="AC8" s="26">
        <v>8</v>
      </c>
      <c r="AD8" s="30" t="s">
        <v>197</v>
      </c>
      <c r="AE8" s="39" t="s">
        <v>198</v>
      </c>
      <c r="AF8" s="40" t="s">
        <v>82</v>
      </c>
      <c r="AG8" s="40" t="s">
        <v>86</v>
      </c>
      <c r="AH8" s="40" t="s">
        <v>104</v>
      </c>
      <c r="AI8" s="40" t="s">
        <v>84</v>
      </c>
      <c r="AJ8" s="40" t="s">
        <v>200</v>
      </c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201</v>
      </c>
      <c r="F9" s="8" t="s">
        <v>203</v>
      </c>
      <c r="G9" s="9">
        <v>-6000</v>
      </c>
      <c r="H9" s="9"/>
      <c r="I9" s="47">
        <v>0</v>
      </c>
      <c r="J9" s="21">
        <f t="shared" si="2"/>
        <v>10000</v>
      </c>
      <c r="K9" s="8" t="s">
        <v>203</v>
      </c>
      <c r="L9" s="9">
        <v>-3000</v>
      </c>
      <c r="M9" s="9"/>
      <c r="N9" s="47">
        <v>0</v>
      </c>
      <c r="O9" s="21">
        <f t="shared" si="3"/>
        <v>18500</v>
      </c>
      <c r="P9" s="8" t="s">
        <v>204</v>
      </c>
      <c r="Q9" s="9">
        <v>9000</v>
      </c>
      <c r="R9" s="9"/>
      <c r="S9" s="47">
        <v>0</v>
      </c>
      <c r="T9" s="21">
        <f t="shared" si="4"/>
        <v>46500</v>
      </c>
      <c r="U9" s="52">
        <f>IF($J9="","",ROUND(($J9-$J$3)/1000,1)+(_xlfn.RANK.AVG($J9,($J9,$O9,$T9),1)-2)*10)</f>
        <v>-25</v>
      </c>
      <c r="V9" s="53">
        <f>IF($O9="","",ROUND(($O9-$O$3)/1000,1)+(_xlfn.RANK.AVG($O9,($J9,$O9,$T9),1)-2)*10)</f>
        <v>-6.5</v>
      </c>
      <c r="W9" s="54">
        <f>IF($T9="","",ROUND(($T9-$T$3)/1000,1)+(_xlfn.RANK.AVG($T9,($J9,$O9,$T9),1)-2)*10)</f>
        <v>31.5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7</v>
      </c>
      <c r="BT9" s="30" t="s">
        <v>197</v>
      </c>
      <c r="BU9" s="39" t="s">
        <v>198</v>
      </c>
      <c r="BV9" s="40" t="s">
        <v>82</v>
      </c>
      <c r="BW9" s="40" t="s">
        <v>83</v>
      </c>
      <c r="BX9" s="40" t="s">
        <v>200</v>
      </c>
      <c r="BY9" s="40" t="s">
        <v>200</v>
      </c>
      <c r="BZ9" s="40" t="s">
        <v>79</v>
      </c>
      <c r="CA9" s="40" t="s">
        <v>80</v>
      </c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202</v>
      </c>
      <c r="F10" s="8" t="s">
        <v>203</v>
      </c>
      <c r="G10" s="9">
        <v>-8000</v>
      </c>
      <c r="H10" s="9">
        <v>-1000</v>
      </c>
      <c r="I10" s="47">
        <v>0</v>
      </c>
      <c r="J10" s="21">
        <f t="shared" si="2"/>
        <v>1000</v>
      </c>
      <c r="K10" s="8" t="s">
        <v>204</v>
      </c>
      <c r="L10" s="9">
        <v>16000</v>
      </c>
      <c r="M10" s="9">
        <v>1000</v>
      </c>
      <c r="N10" s="47">
        <v>0</v>
      </c>
      <c r="O10" s="21">
        <f t="shared" si="3"/>
        <v>35500</v>
      </c>
      <c r="P10" s="8" t="s">
        <v>203</v>
      </c>
      <c r="Q10" s="9">
        <v>-8000</v>
      </c>
      <c r="R10" s="9"/>
      <c r="S10" s="47">
        <v>0</v>
      </c>
      <c r="T10" s="21">
        <f t="shared" si="4"/>
        <v>38500</v>
      </c>
      <c r="U10" s="52">
        <f>IF($J10="","",ROUND(($J10-$J$3)/1000,1)+(_xlfn.RANK.AVG($J10,($J10,$O10,$T10),1)-2)*10)</f>
        <v>-34</v>
      </c>
      <c r="V10" s="53">
        <f>IF($O10="","",ROUND(($O10-$O$3)/1000,1)+(_xlfn.RANK.AVG($O10,($J10,$O10,$T10),1)-2)*10)</f>
        <v>10.5</v>
      </c>
      <c r="W10" s="54">
        <f>IF($T10="","",ROUND(($T10-$T$3)/1000,1)+(_xlfn.RANK.AVG($T10,($J10,$O10,$T10),1)-2)*10)</f>
        <v>23.5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>
        <v>8</v>
      </c>
      <c r="AY10" s="30" t="s">
        <v>197</v>
      </c>
      <c r="AZ10" s="39" t="s">
        <v>98</v>
      </c>
      <c r="BA10" s="40" t="s">
        <v>96</v>
      </c>
      <c r="BB10" s="40" t="s">
        <v>86</v>
      </c>
      <c r="BC10" s="40" t="s">
        <v>79</v>
      </c>
      <c r="BD10" s="40" t="s">
        <v>79</v>
      </c>
      <c r="BE10" s="40" t="s">
        <v>79</v>
      </c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202</v>
      </c>
      <c r="F11" s="8" t="s">
        <v>203</v>
      </c>
      <c r="G11" s="9">
        <v>-1000</v>
      </c>
      <c r="H11" s="9"/>
      <c r="I11" s="47">
        <v>-500</v>
      </c>
      <c r="J11" s="21">
        <f t="shared" si="2"/>
        <v>-500</v>
      </c>
      <c r="K11" s="8" t="s">
        <v>203</v>
      </c>
      <c r="L11" s="9">
        <v>-2000</v>
      </c>
      <c r="M11" s="9"/>
      <c r="N11" s="47">
        <v>-500</v>
      </c>
      <c r="O11" s="21">
        <f t="shared" si="3"/>
        <v>33000</v>
      </c>
      <c r="P11" s="8" t="s">
        <v>204</v>
      </c>
      <c r="Q11" s="9">
        <v>3000</v>
      </c>
      <c r="R11" s="9"/>
      <c r="S11" s="47">
        <v>1000</v>
      </c>
      <c r="T11" s="21">
        <f t="shared" si="4"/>
        <v>42500</v>
      </c>
      <c r="U11" s="52">
        <f>IF($J11="","",ROUND(($J11-$J$3)/1000,1)+(_xlfn.RANK.AVG($J11,($J11,$O11,$T11),1)-2)*10)</f>
        <v>-35.5</v>
      </c>
      <c r="V11" s="53">
        <f>IF($O11="","",ROUND(($O11-$O$3)/1000,1)+(_xlfn.RANK.AVG($O11,($J11,$O11,$T11),1)-2)*10)</f>
        <v>8</v>
      </c>
      <c r="W11" s="54">
        <f>IF($T11="","",ROUND(($T11-$T$3)/1000,1)+(_xlfn.RANK.AVG($T11,($J11,$O11,$T11),1)-2)*10)</f>
        <v>27.5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>
        <v>1</v>
      </c>
      <c r="BR11" s="26"/>
      <c r="BS11" s="26">
        <v>3</v>
      </c>
      <c r="BT11" s="30">
        <v>30</v>
      </c>
      <c r="BU11" s="39" t="s">
        <v>198</v>
      </c>
      <c r="BV11" s="40" t="s">
        <v>82</v>
      </c>
      <c r="BW11" s="40" t="s">
        <v>200</v>
      </c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111F2A2-0477-4956-93AC-2EE507F9990C}">
      <formula1>$U$2:$W$2</formula1>
    </dataValidation>
    <dataValidation type="list" showInputMessage="1" showErrorMessage="1" sqref="K4:K30 P4:P30 F4:F30" xr:uid="{58276566-8B2A-4F36-938E-FA1301CA2322}">
      <formula1>"ロン,ツモ,放銃,ツモ支払,流局,チョンボ"</formula1>
    </dataValidation>
    <dataValidation type="list" allowBlank="1" showInputMessage="1" sqref="F1:T1" xr:uid="{DECE0EEA-7947-469F-9A71-C638DD40C05F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D4EC-6677-46E7-AE67-10C75A965BC1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-2000</v>
      </c>
      <c r="H4" s="9"/>
      <c r="I4" s="47">
        <v>0</v>
      </c>
      <c r="J4" s="21">
        <f>IF(COUNTA($F4,$K4,$P4)&gt;0,J3+SUM(G4:I4),"")</f>
        <v>23000</v>
      </c>
      <c r="K4" s="8"/>
      <c r="L4" s="9"/>
      <c r="M4" s="9"/>
      <c r="N4" s="47"/>
      <c r="O4" s="21">
        <f>IF(COUNTA($F4,$K4,$P4)&gt;0,O3+SUM(L4:N4),"")</f>
        <v>25000</v>
      </c>
      <c r="P4" s="8" t="s">
        <v>195</v>
      </c>
      <c r="Q4" s="9">
        <v>2000</v>
      </c>
      <c r="R4" s="9"/>
      <c r="S4" s="47">
        <v>0</v>
      </c>
      <c r="T4" s="21">
        <f>IF(COUNTA($F4,$K4,$P4)&gt;0,T3+SUM(Q4:S4),"")</f>
        <v>27000</v>
      </c>
      <c r="U4" s="52">
        <f>IF($J4="","",ROUND(($J4-$J$3)/1000,1)+(_xlfn.RANK.AVG($J4,($J4,$O4,$T4),1)-2)*10)</f>
        <v>-12</v>
      </c>
      <c r="V4" s="53">
        <f>IF($O4="","",ROUND(($O4-$O$3)/1000,1)+(_xlfn.RANK.AVG($O4,($J4,$O4,$T4),1)-2)*10)</f>
        <v>0</v>
      </c>
      <c r="W4" s="54">
        <f>IF($T4="","",ROUND(($T4-$T$3)/1000,1)+(_xlfn.RANK.AVG($T4,($J4,$O4,$T4),1)-2)*10)</f>
        <v>12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2</v>
      </c>
      <c r="BT4" s="30">
        <v>40</v>
      </c>
      <c r="BU4" s="39" t="s">
        <v>198</v>
      </c>
      <c r="BV4" s="40" t="s">
        <v>79</v>
      </c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204</v>
      </c>
      <c r="G5" s="9">
        <v>3000</v>
      </c>
      <c r="H5" s="9">
        <v>1000</v>
      </c>
      <c r="I5" s="47">
        <v>0</v>
      </c>
      <c r="J5" s="21">
        <f t="shared" ref="J5:J30" si="2">IF(COUNTA($F5,$K5,$P5)&gt;0,J4+SUM(G5:I5),"")</f>
        <v>27000</v>
      </c>
      <c r="K5" s="8" t="s">
        <v>203</v>
      </c>
      <c r="L5" s="9">
        <v>-2000</v>
      </c>
      <c r="M5" s="9">
        <v>-1000</v>
      </c>
      <c r="N5" s="47">
        <v>0</v>
      </c>
      <c r="O5" s="21">
        <f t="shared" ref="O5:O30" si="3">IF(COUNTA($F5,$K5,$P5)&gt;0,O4+SUM(L5:N5),"")</f>
        <v>22000</v>
      </c>
      <c r="P5" s="8" t="s">
        <v>203</v>
      </c>
      <c r="Q5" s="9">
        <v>-1000</v>
      </c>
      <c r="R5" s="9"/>
      <c r="S5" s="47">
        <v>0</v>
      </c>
      <c r="T5" s="21">
        <f t="shared" ref="T5:T30" si="4">IF(COUNTA($F5,$K5,$P5)&gt;0,T4+SUM(Q5:S5),"")</f>
        <v>26000</v>
      </c>
      <c r="U5" s="52">
        <f>IF($J5="","",ROUND(($J5-$J$3)/1000,1)+(_xlfn.RANK.AVG($J5,($J5,$O5,$T5),1)-2)*10)</f>
        <v>12</v>
      </c>
      <c r="V5" s="53">
        <f>IF($O5="","",ROUND(($O5-$O$3)/1000,1)+(_xlfn.RANK.AVG($O5,($J5,$O5,$T5),1)-2)*10)</f>
        <v>-13</v>
      </c>
      <c r="W5" s="54">
        <f>IF($T5="","",ROUND(($T5-$T$3)/1000,1)+(_xlfn.RANK.AVG($T5,($J5,$O5,$T5),1)-2)*10)</f>
        <v>1</v>
      </c>
      <c r="Y5" s="8"/>
      <c r="Z5" s="33"/>
      <c r="AA5" s="26"/>
      <c r="AB5" s="26">
        <v>1</v>
      </c>
      <c r="AC5" s="26">
        <v>3</v>
      </c>
      <c r="AD5" s="30">
        <v>30</v>
      </c>
      <c r="AE5" s="39" t="s">
        <v>104</v>
      </c>
      <c r="AF5" s="40" t="s">
        <v>79</v>
      </c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207</v>
      </c>
      <c r="G6" s="9">
        <v>-1000</v>
      </c>
      <c r="H6" s="9"/>
      <c r="I6" s="47"/>
      <c r="J6" s="21">
        <f t="shared" si="2"/>
        <v>26000</v>
      </c>
      <c r="K6" s="8" t="s">
        <v>207</v>
      </c>
      <c r="L6" s="9">
        <v>-1000</v>
      </c>
      <c r="M6" s="9"/>
      <c r="N6" s="47"/>
      <c r="O6" s="21">
        <f t="shared" si="3"/>
        <v>21000</v>
      </c>
      <c r="P6" s="8" t="s">
        <v>207</v>
      </c>
      <c r="Q6" s="9">
        <v>2000</v>
      </c>
      <c r="R6" s="9">
        <v>-1000</v>
      </c>
      <c r="S6" s="47"/>
      <c r="T6" s="21">
        <f t="shared" si="4"/>
        <v>27000</v>
      </c>
      <c r="U6" s="52">
        <f>IF($J6="","",ROUND(($J6-$J$3)/1000,1)+(_xlfn.RANK.AVG($J6,($J6,$O6,$T6),1)-2)*10)</f>
        <v>1</v>
      </c>
      <c r="V6" s="53">
        <f>IF($O6="","",ROUND(($O6-$O$3)/1000,1)+(_xlfn.RANK.AVG($O6,($J6,$O6,$T6),1)-2)*10)</f>
        <v>-14</v>
      </c>
      <c r="W6" s="54">
        <f>IF($T6="","",ROUND(($T6-$T$3)/1000,1)+(_xlfn.RANK.AVG($T6,($J6,$O6,$T6),1)-2)*10)</f>
        <v>12</v>
      </c>
      <c r="Y6" s="8" t="s">
        <v>205</v>
      </c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 t="s">
        <v>205</v>
      </c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 t="s">
        <v>206</v>
      </c>
      <c r="BP6" s="33"/>
      <c r="BQ6" s="26">
        <v>1</v>
      </c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194</v>
      </c>
      <c r="F7" s="8" t="s">
        <v>195</v>
      </c>
      <c r="G7" s="9">
        <v>1000</v>
      </c>
      <c r="H7" s="9">
        <v>1000</v>
      </c>
      <c r="I7" s="47">
        <v>1000</v>
      </c>
      <c r="J7" s="21">
        <f t="shared" si="2"/>
        <v>29000</v>
      </c>
      <c r="K7" s="8" t="s">
        <v>196</v>
      </c>
      <c r="L7" s="9">
        <v>-1000</v>
      </c>
      <c r="M7" s="9"/>
      <c r="N7" s="47">
        <v>-1000</v>
      </c>
      <c r="O7" s="21">
        <f t="shared" si="3"/>
        <v>19000</v>
      </c>
      <c r="P7" s="8"/>
      <c r="Q7" s="9"/>
      <c r="R7" s="9"/>
      <c r="S7" s="47"/>
      <c r="T7" s="21">
        <f t="shared" si="4"/>
        <v>27000</v>
      </c>
      <c r="U7" s="52">
        <f>IF($J7="","",ROUND(($J7-$J$3)/1000,1)+(_xlfn.RANK.AVG($J7,($J7,$O7,$T7),1)-2)*10)</f>
        <v>14</v>
      </c>
      <c r="V7" s="53">
        <f>IF($O7="","",ROUND(($O7-$O$3)/1000,1)+(_xlfn.RANK.AVG($O7,($J7,$O7,$T7),1)-2)*10)</f>
        <v>-16</v>
      </c>
      <c r="W7" s="54">
        <f>IF($T7="","",ROUND(($T7-$T$3)/1000,1)+(_xlfn.RANK.AVG($T7,($J7,$O7,$T7),1)-2)*10)</f>
        <v>2</v>
      </c>
      <c r="Y7" s="8"/>
      <c r="Z7" s="33"/>
      <c r="AA7" s="26"/>
      <c r="AB7" s="26"/>
      <c r="AC7" s="26">
        <v>1</v>
      </c>
      <c r="AD7" s="30">
        <v>40</v>
      </c>
      <c r="AE7" s="39" t="s">
        <v>84</v>
      </c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201</v>
      </c>
      <c r="F8" s="8" t="s">
        <v>195</v>
      </c>
      <c r="G8" s="9">
        <v>2600</v>
      </c>
      <c r="H8" s="9">
        <v>1000</v>
      </c>
      <c r="I8" s="47">
        <v>0</v>
      </c>
      <c r="J8" s="21">
        <f t="shared" si="2"/>
        <v>32600</v>
      </c>
      <c r="K8" s="8"/>
      <c r="L8" s="9"/>
      <c r="M8" s="9"/>
      <c r="N8" s="47"/>
      <c r="O8" s="21">
        <f t="shared" si="3"/>
        <v>19000</v>
      </c>
      <c r="P8" s="8" t="s">
        <v>196</v>
      </c>
      <c r="Q8" s="9">
        <v>-2600</v>
      </c>
      <c r="R8" s="9">
        <v>-1000</v>
      </c>
      <c r="S8" s="47">
        <v>0</v>
      </c>
      <c r="T8" s="21">
        <f t="shared" si="4"/>
        <v>23400</v>
      </c>
      <c r="U8" s="52">
        <f>IF($J8="","",ROUND(($J8-$J$3)/1000,1)+(_xlfn.RANK.AVG($J8,($J8,$O8,$T8),1)-2)*10)</f>
        <v>17.600000000000001</v>
      </c>
      <c r="V8" s="53">
        <f>IF($O8="","",ROUND(($O8-$O$3)/1000,1)+(_xlfn.RANK.AVG($O8,($J8,$O8,$T8),1)-2)*10)</f>
        <v>-16</v>
      </c>
      <c r="W8" s="54">
        <f>IF($T8="","",ROUND(($T8-$T$3)/1000,1)+(_xlfn.RANK.AVG($T8,($J8,$O8,$T8),1)-2)*10)</f>
        <v>-1.6</v>
      </c>
      <c r="Y8" s="8"/>
      <c r="Z8" s="33"/>
      <c r="AA8" s="26">
        <v>1</v>
      </c>
      <c r="AB8" s="26"/>
      <c r="AC8" s="26">
        <v>2</v>
      </c>
      <c r="AD8" s="30">
        <v>40</v>
      </c>
      <c r="AE8" s="39" t="s">
        <v>198</v>
      </c>
      <c r="AF8" s="40" t="s">
        <v>200</v>
      </c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201</v>
      </c>
      <c r="F9" s="8" t="s">
        <v>204</v>
      </c>
      <c r="G9" s="9">
        <v>8000</v>
      </c>
      <c r="H9" s="9">
        <v>1000</v>
      </c>
      <c r="I9" s="47">
        <v>1000</v>
      </c>
      <c r="J9" s="21">
        <f t="shared" si="2"/>
        <v>42600</v>
      </c>
      <c r="K9" s="8" t="s">
        <v>203</v>
      </c>
      <c r="L9" s="9">
        <v>-4000</v>
      </c>
      <c r="M9" s="9"/>
      <c r="N9" s="47">
        <v>-500</v>
      </c>
      <c r="O9" s="21">
        <f t="shared" si="3"/>
        <v>14500</v>
      </c>
      <c r="P9" s="8" t="s">
        <v>203</v>
      </c>
      <c r="Q9" s="9">
        <v>-4000</v>
      </c>
      <c r="R9" s="9">
        <v>-1000</v>
      </c>
      <c r="S9" s="47">
        <v>-500</v>
      </c>
      <c r="T9" s="21">
        <f t="shared" si="4"/>
        <v>17900</v>
      </c>
      <c r="U9" s="52">
        <f>IF($J9="","",ROUND(($J9-$J$3)/1000,1)+(_xlfn.RANK.AVG($J9,($J9,$O9,$T9),1)-2)*10)</f>
        <v>27.6</v>
      </c>
      <c r="V9" s="53">
        <f>IF($O9="","",ROUND(($O9-$O$3)/1000,1)+(_xlfn.RANK.AVG($O9,($J9,$O9,$T9),1)-2)*10)</f>
        <v>-20.5</v>
      </c>
      <c r="W9" s="54">
        <f>IF($T9="","",ROUND(($T9-$T$3)/1000,1)+(_xlfn.RANK.AVG($T9,($J9,$O9,$T9),1)-2)*10)</f>
        <v>-7.1</v>
      </c>
      <c r="Y9" s="8"/>
      <c r="Z9" s="33"/>
      <c r="AA9" s="26">
        <v>1</v>
      </c>
      <c r="AB9" s="26"/>
      <c r="AC9" s="26">
        <v>5</v>
      </c>
      <c r="AD9" s="30" t="s">
        <v>197</v>
      </c>
      <c r="AE9" s="39" t="s">
        <v>198</v>
      </c>
      <c r="AF9" s="40" t="s">
        <v>82</v>
      </c>
      <c r="AG9" s="40" t="s">
        <v>84</v>
      </c>
      <c r="AH9" s="40" t="s">
        <v>79</v>
      </c>
      <c r="AI9" s="40" t="s">
        <v>200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201</v>
      </c>
      <c r="F10" s="8"/>
      <c r="G10" s="9"/>
      <c r="H10" s="9"/>
      <c r="I10" s="47"/>
      <c r="J10" s="21">
        <f t="shared" si="2"/>
        <v>42600</v>
      </c>
      <c r="K10" s="8" t="s">
        <v>195</v>
      </c>
      <c r="L10" s="9">
        <v>3900</v>
      </c>
      <c r="M10" s="9"/>
      <c r="N10" s="47">
        <v>2000</v>
      </c>
      <c r="O10" s="21">
        <f t="shared" si="3"/>
        <v>20400</v>
      </c>
      <c r="P10" s="8" t="s">
        <v>196</v>
      </c>
      <c r="Q10" s="9">
        <v>-3900</v>
      </c>
      <c r="R10" s="9"/>
      <c r="S10" s="47">
        <v>-2000</v>
      </c>
      <c r="T10" s="21">
        <f t="shared" si="4"/>
        <v>12000</v>
      </c>
      <c r="U10" s="52">
        <f>IF($J10="","",ROUND(($J10-$J$3)/1000,1)+(_xlfn.RANK.AVG($J10,($J10,$O10,$T10),1)-2)*10)</f>
        <v>27.6</v>
      </c>
      <c r="V10" s="53">
        <f>IF($O10="","",ROUND(($O10-$O$3)/1000,1)+(_xlfn.RANK.AVG($O10,($J10,$O10,$T10),1)-2)*10)</f>
        <v>-4.5999999999999996</v>
      </c>
      <c r="W10" s="54">
        <f>IF($T10="","",ROUND(($T10-$T$3)/1000,1)+(_xlfn.RANK.AVG($T10,($J10,$O10,$T10),1)-2)*10)</f>
        <v>-23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>
        <v>1</v>
      </c>
      <c r="AW10" s="26"/>
      <c r="AX10" s="26">
        <v>3</v>
      </c>
      <c r="AY10" s="30">
        <v>40</v>
      </c>
      <c r="AZ10" s="39" t="s">
        <v>198</v>
      </c>
      <c r="BA10" s="40" t="s">
        <v>79</v>
      </c>
      <c r="BB10" s="40" t="s">
        <v>80</v>
      </c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207</v>
      </c>
      <c r="G11" s="9">
        <v>-3000</v>
      </c>
      <c r="H11" s="9"/>
      <c r="I11" s="47"/>
      <c r="J11" s="21">
        <f t="shared" si="2"/>
        <v>39600</v>
      </c>
      <c r="K11" s="8" t="s">
        <v>207</v>
      </c>
      <c r="L11" s="9">
        <v>1500</v>
      </c>
      <c r="M11" s="9"/>
      <c r="N11" s="47"/>
      <c r="O11" s="21">
        <f t="shared" si="3"/>
        <v>21900</v>
      </c>
      <c r="P11" s="8" t="s">
        <v>207</v>
      </c>
      <c r="Q11" s="9">
        <v>1500</v>
      </c>
      <c r="R11" s="9"/>
      <c r="S11" s="47"/>
      <c r="T11" s="21">
        <f t="shared" si="4"/>
        <v>13500</v>
      </c>
      <c r="U11" s="52">
        <f>IF($J11="","",ROUND(($J11-$J$3)/1000,1)+(_xlfn.RANK.AVG($J11,($J11,$O11,$T11),1)-2)*10)</f>
        <v>24.6</v>
      </c>
      <c r="V11" s="53">
        <f>IF($O11="","",ROUND(($O11-$O$3)/1000,1)+(_xlfn.RANK.AVG($O11,($J11,$O11,$T11),1)-2)*10)</f>
        <v>-3.1</v>
      </c>
      <c r="W11" s="54">
        <f>IF($T11="","",ROUND(($T11-$T$3)/1000,1)+(_xlfn.RANK.AVG($T11,($J11,$O11,$T11),1)-2)*10)</f>
        <v>-21.5</v>
      </c>
      <c r="Y11" s="8" t="s">
        <v>205</v>
      </c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 t="s">
        <v>206</v>
      </c>
      <c r="AU11" s="33"/>
      <c r="AV11" s="26"/>
      <c r="AW11" s="26">
        <v>1</v>
      </c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 t="s">
        <v>206</v>
      </c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195</v>
      </c>
      <c r="G12" s="9">
        <v>6000</v>
      </c>
      <c r="H12" s="9"/>
      <c r="I12" s="47">
        <v>1000</v>
      </c>
      <c r="J12" s="21">
        <f t="shared" si="2"/>
        <v>46600</v>
      </c>
      <c r="K12" s="8" t="s">
        <v>196</v>
      </c>
      <c r="L12" s="9">
        <v>-6000</v>
      </c>
      <c r="M12" s="9"/>
      <c r="N12" s="47">
        <v>-1000</v>
      </c>
      <c r="O12" s="21">
        <f t="shared" si="3"/>
        <v>14900</v>
      </c>
      <c r="P12" s="8"/>
      <c r="Q12" s="9"/>
      <c r="R12" s="9"/>
      <c r="S12" s="47"/>
      <c r="T12" s="21">
        <f t="shared" si="4"/>
        <v>13500</v>
      </c>
      <c r="U12" s="52">
        <f>IF($J12="","",ROUND(($J12-$J$3)/1000,1)+(_xlfn.RANK.AVG($J12,($J12,$O12,$T12),1)-2)*10)</f>
        <v>31.6</v>
      </c>
      <c r="V12" s="53">
        <f>IF($O12="","",ROUND(($O12-$O$3)/1000,1)+(_xlfn.RANK.AVG($O12,($J12,$O12,$T12),1)-2)*10)</f>
        <v>-10.1</v>
      </c>
      <c r="W12" s="54">
        <f>IF($T12="","",ROUND(($T12-$T$3)/1000,1)+(_xlfn.RANK.AVG($T12,($J12,$O12,$T12),1)-2)*10)</f>
        <v>-21.5</v>
      </c>
      <c r="Y12" s="8"/>
      <c r="Z12" s="33"/>
      <c r="AA12" s="26"/>
      <c r="AB12" s="26">
        <v>1</v>
      </c>
      <c r="AC12" s="26">
        <v>5</v>
      </c>
      <c r="AD12" s="30" t="s">
        <v>197</v>
      </c>
      <c r="AE12" s="39" t="s">
        <v>86</v>
      </c>
      <c r="AF12" s="40" t="s">
        <v>86</v>
      </c>
      <c r="AG12" s="40" t="s">
        <v>79</v>
      </c>
      <c r="AH12" s="40" t="s">
        <v>79</v>
      </c>
      <c r="AI12" s="40" t="s">
        <v>79</v>
      </c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>
        <v>1</v>
      </c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/>
      <c r="G13" s="9"/>
      <c r="H13" s="9"/>
      <c r="I13" s="47"/>
      <c r="J13" s="21">
        <f t="shared" si="2"/>
        <v>46600</v>
      </c>
      <c r="K13" s="8" t="s">
        <v>195</v>
      </c>
      <c r="L13" s="9">
        <v>4800</v>
      </c>
      <c r="M13" s="9"/>
      <c r="N13" s="47">
        <v>0</v>
      </c>
      <c r="O13" s="21">
        <f t="shared" si="3"/>
        <v>19700</v>
      </c>
      <c r="P13" s="8" t="s">
        <v>196</v>
      </c>
      <c r="Q13" s="9">
        <v>-4800</v>
      </c>
      <c r="R13" s="9"/>
      <c r="S13" s="47">
        <v>0</v>
      </c>
      <c r="T13" s="21">
        <f t="shared" si="4"/>
        <v>8700</v>
      </c>
      <c r="U13" s="52">
        <f>IF($J13="","",ROUND(($J13-$J$3)/1000,1)+(_xlfn.RANK.AVG($J13,($J13,$O13,$T13),1)-2)*10)</f>
        <v>31.6</v>
      </c>
      <c r="V13" s="53">
        <f>IF($O13="","",ROUND(($O13-$O$3)/1000,1)+(_xlfn.RANK.AVG($O13,($J13,$O13,$T13),1)-2)*10)</f>
        <v>-5.3</v>
      </c>
      <c r="W13" s="54">
        <f>IF($T13="","",ROUND(($T13-$T$3)/1000,1)+(_xlfn.RANK.AVG($T13,($J13,$O13,$T13),1)-2)*10)</f>
        <v>-26.3</v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>
        <v>3</v>
      </c>
      <c r="AY13" s="30">
        <v>50</v>
      </c>
      <c r="AZ13" s="39" t="s">
        <v>86</v>
      </c>
      <c r="BA13" s="40" t="s">
        <v>79</v>
      </c>
      <c r="BB13" s="40" t="s">
        <v>200</v>
      </c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BCAB62C8-7A04-4AD2-ABFC-FEAF30415A1C}">
      <formula1>"ロン,ツモ,放銃,ツモ支払,流局,チョンボ"</formula1>
    </dataValidation>
    <dataValidation type="list" allowBlank="1" showInputMessage="1" showErrorMessage="1" sqref="E4:E30" xr:uid="{608ED73E-9EA3-4A86-BA0C-FEB6D7A29383}">
      <formula1>$U$2:$W$2</formula1>
    </dataValidation>
    <dataValidation type="list" allowBlank="1" showInputMessage="1" sqref="F1:T1" xr:uid="{F7E7E84D-DBC7-4557-B4A5-44166FB5BED8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CC0F9-31D8-4E4C-8453-525E89F66483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208</v>
      </c>
      <c r="G4" s="9">
        <v>4000</v>
      </c>
      <c r="H4" s="9">
        <v>-1000</v>
      </c>
      <c r="I4" s="47"/>
      <c r="J4" s="21">
        <f>IF(COUNTA($F4,$K4,$P4)&gt;0,J3+SUM(G4:I4),"")</f>
        <v>28000</v>
      </c>
      <c r="K4" s="8" t="s">
        <v>208</v>
      </c>
      <c r="L4" s="9">
        <v>4000</v>
      </c>
      <c r="M4" s="9"/>
      <c r="N4" s="47"/>
      <c r="O4" s="21">
        <f>IF(COUNTA($F4,$K4,$P4)&gt;0,O3+SUM(L4:N4),"")</f>
        <v>29000</v>
      </c>
      <c r="P4" s="8" t="s">
        <v>208</v>
      </c>
      <c r="Q4" s="9">
        <v>-8000</v>
      </c>
      <c r="R4" s="9"/>
      <c r="S4" s="47"/>
      <c r="T4" s="21">
        <f>IF(COUNTA($F4,$K4,$P4)&gt;0,T3+SUM(Q4:S4),"")</f>
        <v>17000</v>
      </c>
      <c r="U4" s="52">
        <f>IF($J4="","",ROUND(($J4-$J$3)/1000,1)+(_xlfn.RANK.AVG($J4,($J4,$O4,$T4),1)-2)*10)</f>
        <v>3</v>
      </c>
      <c r="V4" s="53">
        <f>IF($O4="","",ROUND(($O4-$O$3)/1000,1)+(_xlfn.RANK.AVG($O4,($J4,$O4,$T4),1)-2)*10)</f>
        <v>14</v>
      </c>
      <c r="W4" s="54">
        <f>IF($T4="","",ROUND(($T4-$T$3)/1000,1)+(_xlfn.RANK.AVG($T4,($J4,$O4,$T4),1)-2)*10)</f>
        <v>-18</v>
      </c>
      <c r="Y4" s="8"/>
      <c r="Z4" s="33"/>
      <c r="AA4" s="26">
        <v>1</v>
      </c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>
        <v>1</v>
      </c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1</v>
      </c>
      <c r="E5" s="4" t="s">
        <v>201</v>
      </c>
      <c r="F5" s="8" t="s">
        <v>195</v>
      </c>
      <c r="G5" s="9">
        <v>8000</v>
      </c>
      <c r="H5" s="9">
        <v>1000</v>
      </c>
      <c r="I5" s="47">
        <v>0</v>
      </c>
      <c r="J5" s="21">
        <f t="shared" ref="J5:J30" si="2">IF(COUNTA($F5,$K5,$P5)&gt;0,J4+SUM(G5:I5),"")</f>
        <v>37000</v>
      </c>
      <c r="K5" s="8"/>
      <c r="L5" s="9"/>
      <c r="M5" s="9"/>
      <c r="N5" s="47"/>
      <c r="O5" s="21">
        <f t="shared" ref="O5:O30" si="3">IF(COUNTA($F5,$K5,$P5)&gt;0,O4+SUM(L5:N5),"")</f>
        <v>29000</v>
      </c>
      <c r="P5" s="8" t="s">
        <v>196</v>
      </c>
      <c r="Q5" s="9">
        <v>-8000</v>
      </c>
      <c r="R5" s="9"/>
      <c r="S5" s="47">
        <v>0</v>
      </c>
      <c r="T5" s="21">
        <f t="shared" ref="T5:T30" si="4">IF(COUNTA($F5,$K5,$P5)&gt;0,T4+SUM(Q5:S5),"")</f>
        <v>9000</v>
      </c>
      <c r="U5" s="52">
        <f>IF($J5="","",ROUND(($J5-$J$3)/1000,1)+(_xlfn.RANK.AVG($J5,($J5,$O5,$T5),1)-2)*10)</f>
        <v>22</v>
      </c>
      <c r="V5" s="53">
        <f>IF($O5="","",ROUND(($O5-$O$3)/1000,1)+(_xlfn.RANK.AVG($O5,($J5,$O5,$T5),1)-2)*10)</f>
        <v>4</v>
      </c>
      <c r="W5" s="54">
        <f>IF($T5="","",ROUND(($T5-$T$3)/1000,1)+(_xlfn.RANK.AVG($T5,($J5,$O5,$T5),1)-2)*10)</f>
        <v>-26</v>
      </c>
      <c r="Y5" s="8"/>
      <c r="Z5" s="33"/>
      <c r="AA5" s="26"/>
      <c r="AB5" s="26"/>
      <c r="AC5" s="26">
        <v>5</v>
      </c>
      <c r="AD5" s="30" t="s">
        <v>197</v>
      </c>
      <c r="AE5" s="39" t="s">
        <v>86</v>
      </c>
      <c r="AF5" s="40" t="s">
        <v>79</v>
      </c>
      <c r="AG5" s="40" t="s">
        <v>79</v>
      </c>
      <c r="AH5" s="40" t="s">
        <v>200</v>
      </c>
      <c r="AI5" s="40" t="s">
        <v>200</v>
      </c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201</v>
      </c>
      <c r="F6" s="8"/>
      <c r="G6" s="9"/>
      <c r="H6" s="9"/>
      <c r="I6" s="47"/>
      <c r="J6" s="21">
        <f t="shared" si="2"/>
        <v>37000</v>
      </c>
      <c r="K6" s="8" t="s">
        <v>195</v>
      </c>
      <c r="L6" s="9">
        <v>6000</v>
      </c>
      <c r="M6" s="9"/>
      <c r="N6" s="47">
        <v>1000</v>
      </c>
      <c r="O6" s="21">
        <f t="shared" si="3"/>
        <v>36000</v>
      </c>
      <c r="P6" s="8" t="s">
        <v>196</v>
      </c>
      <c r="Q6" s="9">
        <v>-6000</v>
      </c>
      <c r="R6" s="9"/>
      <c r="S6" s="47">
        <v>-1000</v>
      </c>
      <c r="T6" s="21">
        <f t="shared" si="4"/>
        <v>2000</v>
      </c>
      <c r="U6" s="52">
        <f>IF($J6="","",ROUND(($J6-$J$3)/1000,1)+(_xlfn.RANK.AVG($J6,($J6,$O6,$T6),1)-2)*10)</f>
        <v>22</v>
      </c>
      <c r="V6" s="53">
        <f>IF($O6="","",ROUND(($O6-$O$3)/1000,1)+(_xlfn.RANK.AVG($O6,($J6,$O6,$T6),1)-2)*10)</f>
        <v>11</v>
      </c>
      <c r="W6" s="54">
        <f>IF($T6="","",ROUND(($T6-$T$3)/1000,1)+(_xlfn.RANK.AVG($T6,($J6,$O6,$T6),1)-2)*10)</f>
        <v>-33</v>
      </c>
      <c r="Y6" s="8"/>
      <c r="Z6" s="33"/>
      <c r="AA6" s="26"/>
      <c r="AB6" s="26">
        <v>1</v>
      </c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>
        <v>5</v>
      </c>
      <c r="AY6" s="30" t="s">
        <v>197</v>
      </c>
      <c r="AZ6" s="39" t="s">
        <v>83</v>
      </c>
      <c r="BA6" s="40" t="s">
        <v>84</v>
      </c>
      <c r="BB6" s="40" t="s">
        <v>200</v>
      </c>
      <c r="BC6" s="40" t="s">
        <v>79</v>
      </c>
      <c r="BD6" s="40" t="s">
        <v>79</v>
      </c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196</v>
      </c>
      <c r="G7" s="9">
        <v>-12000</v>
      </c>
      <c r="H7" s="9"/>
      <c r="I7" s="47">
        <v>0</v>
      </c>
      <c r="J7" s="21">
        <f t="shared" si="2"/>
        <v>25000</v>
      </c>
      <c r="K7" s="8"/>
      <c r="L7" s="9"/>
      <c r="M7" s="9"/>
      <c r="N7" s="47"/>
      <c r="O7" s="21">
        <f t="shared" si="3"/>
        <v>36000</v>
      </c>
      <c r="P7" s="8" t="s">
        <v>195</v>
      </c>
      <c r="Q7" s="9">
        <v>12000</v>
      </c>
      <c r="R7" s="9"/>
      <c r="S7" s="47">
        <v>0</v>
      </c>
      <c r="T7" s="21">
        <f t="shared" si="4"/>
        <v>14000</v>
      </c>
      <c r="U7" s="52">
        <f>IF($J7="","",ROUND(($J7-$J$3)/1000,1)+(_xlfn.RANK.AVG($J7,($J7,$O7,$T7),1)-2)*10)</f>
        <v>0</v>
      </c>
      <c r="V7" s="53">
        <f>IF($O7="","",ROUND(($O7-$O$3)/1000,1)+(_xlfn.RANK.AVG($O7,($J7,$O7,$T7),1)-2)*10)</f>
        <v>21</v>
      </c>
      <c r="W7" s="54">
        <f>IF($T7="","",ROUND(($T7-$T$3)/1000,1)+(_xlfn.RANK.AVG($T7,($J7,$O7,$T7),1)-2)*10)</f>
        <v>-21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>
        <v>10</v>
      </c>
      <c r="BT7" s="30" t="s">
        <v>197</v>
      </c>
      <c r="BU7" s="39" t="s">
        <v>106</v>
      </c>
      <c r="BV7" s="40" t="s">
        <v>84</v>
      </c>
      <c r="BW7" s="40" t="s">
        <v>79</v>
      </c>
      <c r="BX7" s="40" t="s">
        <v>92</v>
      </c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203</v>
      </c>
      <c r="G8" s="9">
        <v>-6000</v>
      </c>
      <c r="H8" s="9"/>
      <c r="I8" s="47">
        <v>0</v>
      </c>
      <c r="J8" s="21">
        <f t="shared" si="2"/>
        <v>19000</v>
      </c>
      <c r="K8" s="8" t="s">
        <v>203</v>
      </c>
      <c r="L8" s="9">
        <v>-6000</v>
      </c>
      <c r="M8" s="9"/>
      <c r="N8" s="47">
        <v>0</v>
      </c>
      <c r="O8" s="21">
        <f t="shared" si="3"/>
        <v>30000</v>
      </c>
      <c r="P8" s="8" t="s">
        <v>204</v>
      </c>
      <c r="Q8" s="9">
        <v>12000</v>
      </c>
      <c r="R8" s="9"/>
      <c r="S8" s="47">
        <v>0</v>
      </c>
      <c r="T8" s="21">
        <f t="shared" si="4"/>
        <v>26000</v>
      </c>
      <c r="U8" s="52">
        <f>IF($J8="","",ROUND(($J8-$J$3)/1000,1)+(_xlfn.RANK.AVG($J8,($J8,$O8,$T8),1)-2)*10)</f>
        <v>-16</v>
      </c>
      <c r="V8" s="53">
        <f>IF($O8="","",ROUND(($O8-$O$3)/1000,1)+(_xlfn.RANK.AVG($O8,($J8,$O8,$T8),1)-2)*10)</f>
        <v>15</v>
      </c>
      <c r="W8" s="54">
        <f>IF($T8="","",ROUND(($T8-$T$3)/1000,1)+(_xlfn.RANK.AVG($T8,($J8,$O8,$T8),1)-2)*10)</f>
        <v>1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6</v>
      </c>
      <c r="BT8" s="30" t="s">
        <v>197</v>
      </c>
      <c r="BU8" s="39" t="s">
        <v>198</v>
      </c>
      <c r="BV8" s="40" t="s">
        <v>82</v>
      </c>
      <c r="BW8" s="40" t="s">
        <v>104</v>
      </c>
      <c r="BX8" s="40" t="s">
        <v>86</v>
      </c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203</v>
      </c>
      <c r="G9" s="9">
        <v>-3000</v>
      </c>
      <c r="H9" s="9">
        <v>-1000</v>
      </c>
      <c r="I9" s="47">
        <v>-500</v>
      </c>
      <c r="J9" s="21">
        <f t="shared" si="2"/>
        <v>14500</v>
      </c>
      <c r="K9" s="8" t="s">
        <v>204</v>
      </c>
      <c r="L9" s="9">
        <v>9000</v>
      </c>
      <c r="M9" s="9">
        <v>1000</v>
      </c>
      <c r="N9" s="47">
        <v>1000</v>
      </c>
      <c r="O9" s="21">
        <f t="shared" si="3"/>
        <v>41000</v>
      </c>
      <c r="P9" s="8" t="s">
        <v>203</v>
      </c>
      <c r="Q9" s="9">
        <v>-6000</v>
      </c>
      <c r="R9" s="9"/>
      <c r="S9" s="47">
        <v>-500</v>
      </c>
      <c r="T9" s="21">
        <f t="shared" si="4"/>
        <v>19500</v>
      </c>
      <c r="U9" s="52">
        <f>IF($J9="","",ROUND(($J9-$J$3)/1000,1)+(_xlfn.RANK.AVG($J9,($J9,$O9,$T9),1)-2)*10)</f>
        <v>-20.5</v>
      </c>
      <c r="V9" s="53">
        <f>IF($O9="","",ROUND(($O9-$O$3)/1000,1)+(_xlfn.RANK.AVG($O9,($J9,$O9,$T9),1)-2)*10)</f>
        <v>26</v>
      </c>
      <c r="W9" s="54">
        <f>IF($T9="","",ROUND(($T9-$T$3)/1000,1)+(_xlfn.RANK.AVG($T9,($J9,$O9,$T9),1)-2)*10)</f>
        <v>-5.5</v>
      </c>
      <c r="Y9" s="8"/>
      <c r="Z9" s="33"/>
      <c r="AA9" s="26">
        <v>1</v>
      </c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6</v>
      </c>
      <c r="AY9" s="30" t="s">
        <v>197</v>
      </c>
      <c r="AZ9" s="39" t="s">
        <v>198</v>
      </c>
      <c r="BA9" s="40" t="s">
        <v>82</v>
      </c>
      <c r="BB9" s="40" t="s">
        <v>83</v>
      </c>
      <c r="BC9" s="40" t="s">
        <v>200</v>
      </c>
      <c r="BD9" s="40" t="s">
        <v>200</v>
      </c>
      <c r="BE9" s="40" t="s">
        <v>80</v>
      </c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201</v>
      </c>
      <c r="F10" s="8" t="s">
        <v>195</v>
      </c>
      <c r="G10" s="9">
        <v>16000</v>
      </c>
      <c r="H10" s="9"/>
      <c r="I10" s="47">
        <v>0</v>
      </c>
      <c r="J10" s="21">
        <f t="shared" si="2"/>
        <v>30500</v>
      </c>
      <c r="K10" s="8"/>
      <c r="L10" s="9"/>
      <c r="M10" s="9"/>
      <c r="N10" s="47"/>
      <c r="O10" s="21">
        <f t="shared" si="3"/>
        <v>41000</v>
      </c>
      <c r="P10" s="8" t="s">
        <v>196</v>
      </c>
      <c r="Q10" s="9">
        <v>-16000</v>
      </c>
      <c r="R10" s="9"/>
      <c r="S10" s="47">
        <v>0</v>
      </c>
      <c r="T10" s="21">
        <f t="shared" si="4"/>
        <v>3500</v>
      </c>
      <c r="U10" s="52">
        <f>IF($J10="","",ROUND(($J10-$J$3)/1000,1)+(_xlfn.RANK.AVG($J10,($J10,$O10,$T10),1)-2)*10)</f>
        <v>5.5</v>
      </c>
      <c r="V10" s="53">
        <f>IF($O10="","",ROUND(($O10-$O$3)/1000,1)+(_xlfn.RANK.AVG($O10,($J10,$O10,$T10),1)-2)*10)</f>
        <v>26</v>
      </c>
      <c r="W10" s="54">
        <f>IF($T10="","",ROUND(($T10-$T$3)/1000,1)+(_xlfn.RANK.AVG($T10,($J10,$O10,$T10),1)-2)*10)</f>
        <v>-31.5</v>
      </c>
      <c r="Y10" s="8"/>
      <c r="Z10" s="33"/>
      <c r="AA10" s="26"/>
      <c r="AB10" s="26">
        <v>1</v>
      </c>
      <c r="AC10" s="26">
        <v>8</v>
      </c>
      <c r="AD10" s="30" t="s">
        <v>197</v>
      </c>
      <c r="AE10" s="39" t="s">
        <v>86</v>
      </c>
      <c r="AF10" s="40" t="s">
        <v>86</v>
      </c>
      <c r="AG10" s="40" t="s">
        <v>104</v>
      </c>
      <c r="AH10" s="40" t="s">
        <v>79</v>
      </c>
      <c r="AI10" s="40" t="s">
        <v>79</v>
      </c>
      <c r="AJ10" s="40" t="s">
        <v>79</v>
      </c>
      <c r="AK10" s="40" t="s">
        <v>200</v>
      </c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201</v>
      </c>
      <c r="F11" s="8" t="s">
        <v>195</v>
      </c>
      <c r="G11" s="9">
        <v>8000</v>
      </c>
      <c r="H11" s="9"/>
      <c r="I11" s="47">
        <v>1000</v>
      </c>
      <c r="J11" s="21">
        <f t="shared" si="2"/>
        <v>39500</v>
      </c>
      <c r="K11" s="8"/>
      <c r="L11" s="9"/>
      <c r="M11" s="9"/>
      <c r="N11" s="47"/>
      <c r="O11" s="21">
        <f t="shared" si="3"/>
        <v>41000</v>
      </c>
      <c r="P11" s="8" t="s">
        <v>196</v>
      </c>
      <c r="Q11" s="9">
        <v>-8000</v>
      </c>
      <c r="R11" s="9"/>
      <c r="S11" s="47">
        <v>-1000</v>
      </c>
      <c r="T11" s="21">
        <f t="shared" si="4"/>
        <v>-5500</v>
      </c>
      <c r="U11" s="52">
        <f>IF($J11="","",ROUND(($J11-$J$3)/1000,1)+(_xlfn.RANK.AVG($J11,($J11,$O11,$T11),1)-2)*10)</f>
        <v>14.5</v>
      </c>
      <c r="V11" s="53">
        <f>IF($O11="","",ROUND(($O11-$O$3)/1000,1)+(_xlfn.RANK.AVG($O11,($J11,$O11,$T11),1)-2)*10)</f>
        <v>26</v>
      </c>
      <c r="W11" s="54">
        <f>IF($T11="","",ROUND(($T11-$T$3)/1000,1)+(_xlfn.RANK.AVG($T11,($J11,$O11,$T11),1)-2)*10)</f>
        <v>-40.5</v>
      </c>
      <c r="Y11" s="8"/>
      <c r="Z11" s="33"/>
      <c r="AA11" s="26">
        <v>1</v>
      </c>
      <c r="AB11" s="26"/>
      <c r="AC11" s="26">
        <v>4</v>
      </c>
      <c r="AD11" s="30">
        <v>30</v>
      </c>
      <c r="AE11" s="39" t="s">
        <v>198</v>
      </c>
      <c r="AF11" s="40" t="s">
        <v>83</v>
      </c>
      <c r="AG11" s="40" t="s">
        <v>79</v>
      </c>
      <c r="AH11" s="40" t="s">
        <v>80</v>
      </c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201</v>
      </c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4B44CF4-9A27-4ECC-B58B-CC2F00BFD193}">
      <formula1>$U$2:$W$2</formula1>
    </dataValidation>
    <dataValidation type="list" showInputMessage="1" showErrorMessage="1" sqref="K4:K30 P4:P30 F4:F30" xr:uid="{F32932DD-4EBD-49E2-A3E1-25044B9CBF3C}">
      <formula1>"ロン,ツモ,放銃,ツモ支払,流局,チョンボ"</formula1>
    </dataValidation>
    <dataValidation type="list" allowBlank="1" showInputMessage="1" sqref="F1:T1" xr:uid="{3A0C0671-ABC4-4A1B-94DC-072B04461191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2020-05-30T08:36:55Z</dcterms:modified>
</cp:coreProperties>
</file>