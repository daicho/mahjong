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対局\"/>
    </mc:Choice>
  </mc:AlternateContent>
  <xr:revisionPtr revIDLastSave="0" documentId="13_ncr:1_{17F4F610-4AFD-42BA-8E23-44B42228B5FA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30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30" l="1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/>
  <c r="T17" i="30"/>
  <c r="W17" i="30" s="1"/>
  <c r="O17" i="30"/>
  <c r="V17" i="30" s="1"/>
  <c r="J17" i="30"/>
  <c r="U17" i="30" s="1"/>
  <c r="D17" i="30"/>
  <c r="C17" i="30"/>
  <c r="B17" i="30"/>
  <c r="A17" i="30"/>
  <c r="T16" i="30"/>
  <c r="W16" i="30" s="1"/>
  <c r="O16" i="30"/>
  <c r="V16" i="30" s="1"/>
  <c r="J16" i="30"/>
  <c r="U16" i="30" s="1"/>
  <c r="D16" i="30"/>
  <c r="C16" i="30"/>
  <c r="B16" i="30"/>
  <c r="A16" i="30"/>
  <c r="T15" i="30"/>
  <c r="W15" i="30" s="1"/>
  <c r="O15" i="30"/>
  <c r="V15" i="30" s="1"/>
  <c r="J15" i="30"/>
  <c r="U15" i="30" s="1"/>
  <c r="D15" i="30"/>
  <c r="C15" i="30"/>
  <c r="B15" i="30"/>
  <c r="A15" i="30"/>
  <c r="T14" i="30"/>
  <c r="W14" i="30" s="1"/>
  <c r="O14" i="30"/>
  <c r="V14" i="30" s="1"/>
  <c r="J14" i="30"/>
  <c r="U14" i="30" s="1"/>
  <c r="D14" i="30"/>
  <c r="C14" i="30"/>
  <c r="B14" i="30"/>
  <c r="A14" i="30"/>
  <c r="T13" i="30"/>
  <c r="W13" i="30" s="1"/>
  <c r="O13" i="30"/>
  <c r="V13" i="30" s="1"/>
  <c r="J13" i="30"/>
  <c r="U13" i="30" s="1"/>
  <c r="D13" i="30"/>
  <c r="C13" i="30"/>
  <c r="B13" i="30"/>
  <c r="A13" i="30"/>
  <c r="T12" i="30"/>
  <c r="W12" i="30" s="1"/>
  <c r="O12" i="30"/>
  <c r="V12" i="30" s="1"/>
  <c r="J12" i="30"/>
  <c r="U12" i="30" s="1"/>
  <c r="D12" i="30"/>
  <c r="C12" i="30"/>
  <c r="B12" i="30"/>
  <c r="A12" i="30"/>
  <c r="D11" i="30"/>
  <c r="C11" i="30"/>
  <c r="D10" i="30"/>
  <c r="C9" i="30"/>
  <c r="C10" i="30" s="1"/>
  <c r="D8" i="30"/>
  <c r="D9" i="30" s="1"/>
  <c r="C8" i="30"/>
  <c r="D7" i="30"/>
  <c r="C7" i="30"/>
  <c r="D6" i="30"/>
  <c r="C6" i="30"/>
  <c r="T5" i="30"/>
  <c r="T6" i="30" s="1"/>
  <c r="O5" i="30"/>
  <c r="D5" i="30"/>
  <c r="C5" i="30"/>
  <c r="B5" i="30"/>
  <c r="A5" i="30" s="1"/>
  <c r="T4" i="30"/>
  <c r="O4" i="30"/>
  <c r="J4" i="30"/>
  <c r="W3" i="30"/>
  <c r="V3" i="30"/>
  <c r="U3" i="30"/>
  <c r="W2" i="30"/>
  <c r="V2" i="30"/>
  <c r="U2" i="30"/>
  <c r="BO1" i="30"/>
  <c r="AT1" i="30"/>
  <c r="Y1" i="30"/>
  <c r="W4" i="30" l="1"/>
  <c r="V4" i="30"/>
  <c r="U4" i="30"/>
  <c r="T7" i="30"/>
  <c r="B6" i="30"/>
  <c r="J5" i="30"/>
  <c r="V5" i="30" s="1"/>
  <c r="O6" i="30"/>
  <c r="W3" i="19"/>
  <c r="V3" i="19"/>
  <c r="U3" i="19"/>
  <c r="T8" i="30" l="1"/>
  <c r="O7" i="30"/>
  <c r="W5" i="30"/>
  <c r="U5" i="30"/>
  <c r="J6" i="30"/>
  <c r="V6" i="30" s="1"/>
  <c r="B7" i="30"/>
  <c r="A6" i="3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D11" i="19"/>
  <c r="C11" i="19"/>
  <c r="B11" i="19"/>
  <c r="A11" i="19" s="1"/>
  <c r="D10" i="19"/>
  <c r="C10" i="19"/>
  <c r="B10" i="19"/>
  <c r="A10" i="19" s="1"/>
  <c r="D9" i="19"/>
  <c r="C9" i="19"/>
  <c r="B9" i="19"/>
  <c r="A9" i="19" s="1"/>
  <c r="T8" i="19"/>
  <c r="T9" i="19" s="1"/>
  <c r="T10" i="19" s="1"/>
  <c r="T11" i="19" s="1"/>
  <c r="O8" i="19"/>
  <c r="O9" i="19" s="1"/>
  <c r="O10" i="19" s="1"/>
  <c r="O11" i="19" s="1"/>
  <c r="J8" i="19"/>
  <c r="J9" i="19" s="1"/>
  <c r="J10" i="19" s="1"/>
  <c r="J11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7" i="30" l="1"/>
  <c r="T9" i="30"/>
  <c r="B8" i="30"/>
  <c r="U6" i="30"/>
  <c r="J7" i="30"/>
  <c r="V7" i="30" s="1"/>
  <c r="W6" i="30"/>
  <c r="O8" i="30"/>
  <c r="V11" i="19"/>
  <c r="U11" i="19"/>
  <c r="W11" i="19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9" i="30" l="1"/>
  <c r="A9" i="30" s="1"/>
  <c r="T10" i="30"/>
  <c r="O9" i="30"/>
  <c r="J8" i="30"/>
  <c r="U7" i="30"/>
  <c r="W7" i="30"/>
  <c r="A8" i="30"/>
  <c r="W5" i="19"/>
  <c r="V5" i="19"/>
  <c r="U5" i="19"/>
  <c r="B10" i="30" l="1"/>
  <c r="A10" i="30"/>
  <c r="U8" i="30"/>
  <c r="J9" i="30"/>
  <c r="W8" i="30"/>
  <c r="V9" i="30"/>
  <c r="O10" i="30"/>
  <c r="V8" i="30"/>
  <c r="T11" i="30"/>
  <c r="B11" i="30" l="1"/>
  <c r="A11" i="30"/>
  <c r="O11" i="30"/>
  <c r="U9" i="30"/>
  <c r="J10" i="30"/>
  <c r="W9" i="30"/>
  <c r="J11" i="30" l="1"/>
  <c r="U10" i="30"/>
  <c r="W10" i="30"/>
  <c r="V10" i="30"/>
  <c r="V11" i="30"/>
  <c r="U11" i="30" l="1"/>
  <c r="W11" i="30"/>
</calcChain>
</file>

<file path=xl/sharedStrings.xml><?xml version="1.0" encoding="utf-8"?>
<sst xmlns="http://schemas.openxmlformats.org/spreadsheetml/2006/main" count="816" uniqueCount="208">
  <si>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</si>
  <si>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</si>
  <si>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</si>
  <si>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</si>
  <si>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</si>
  <si>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</si>
  <si>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</si>
  <si>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</si>
  <si>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</si>
  <si>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</si>
  <si>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</si>
  <si>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</si>
  <si>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</si>
  <si>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</si>
  <si>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</si>
  <si>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</si>
  <si>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</si>
  <si>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</si>
  <si>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</si>
  <si>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</si>
  <si>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</si>
  <si>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</si>
  <si>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</si>
  <si>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</si>
  <si>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</si>
  <si>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</si>
  <si>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</si>
  <si>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</si>
  <si>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</si>
  <si>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</si>
  <si>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</si>
  <si>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</si>
  <si>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</si>
  <si>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</si>
  <si>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</si>
  <si>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</si>
  <si>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</si>
  <si>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</si>
  <si>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</si>
  <si>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</si>
  <si>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</si>
  <si>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</si>
  <si>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</si>
  <si>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</si>
  <si>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</si>
  <si>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</si>
  <si>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</si>
  <si>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</si>
  <si>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</si>
  <si>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</si>
  <si>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</si>
  <si>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</si>
  <si>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</si>
  <si>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</si>
  <si>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</si>
  <si>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</si>
  <si>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</si>
  <si>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</si>
  <si>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</si>
  <si>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</si>
  <si>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</si>
  <si>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</si>
  <si>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</si>
  <si>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</si>
  <si>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</si>
  <si>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</si>
  <si>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</si>
  <si>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</si>
  <si>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</si>
  <si>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</si>
  <si>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</si>
  <si>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</si>
  <si>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</si>
  <si>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</si>
  <si>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</si>
  <si>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</si>
  <si>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</si>
  <si>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</si>
  <si>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</si>
  <si>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</si>
  <si>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</si>
  <si>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</si>
  <si>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</si>
  <si>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</si>
  <si>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</si>
  <si>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</si>
  <si>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</si>
  <si>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</si>
  <si>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</si>
  <si>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</si>
  <si>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</si>
  <si>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</si>
  <si>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</si>
  <si>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</si>
  <si>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</si>
  <si>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</si>
  <si>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</si>
  <si>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</si>
  <si>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</si>
  <si>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</si>
  <si>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</si>
  <si>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</si>
  <si>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</si>
  <si>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</si>
  <si>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</si>
  <si>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</si>
  <si>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</si>
  <si>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</si>
  <si>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</si>
  <si>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</si>
  <si>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</si>
  <si>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</si>
  <si>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</si>
  <si>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</si>
  <si>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</si>
  <si>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</si>
  <si>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</si>
  <si>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</si>
  <si>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</si>
  <si>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</si>
  <si>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</si>
  <si>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</si>
  <si>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</si>
  <si>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</si>
  <si>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</si>
  <si>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</si>
  <si>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</si>
  <si>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</si>
  <si>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</si>
  <si>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</si>
  <si>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</si>
  <si>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</si>
  <si>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</si>
  <si>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</si>
  <si>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</si>
  <si>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</si>
  <si>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</si>
  <si>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</si>
  <si>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</si>
  <si>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</si>
  <si>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</si>
  <si>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</si>
  <si>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</si>
  <si>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</si>
  <si>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</si>
  <si>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</si>
  <si>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</si>
  <si>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</si>
  <si>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</si>
  <si>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</si>
  <si>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</si>
  <si>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</si>
  <si>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</si>
  <si>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</si>
  <si>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</si>
  <si>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</si>
  <si>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</si>
  <si>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</si>
  <si>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</si>
  <si>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</si>
  <si>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</si>
  <si>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</si>
  <si>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</si>
  <si>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</si>
  <si>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</si>
  <si>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</si>
  <si>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</si>
  <si>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</si>
  <si>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</si>
  <si>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</si>
  <si>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</si>
  <si>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</si>
  <si>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</si>
  <si>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</si>
  <si>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</si>
  <si>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</si>
  <si>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</si>
  <si>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</si>
  <si>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</si>
  <si>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</si>
  <si>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</si>
  <si>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</si>
  <si>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</si>
  <si>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</si>
  <si>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</si>
  <si>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</si>
  <si>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</si>
  <si>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</si>
  <si>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</si>
  <si>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</si>
  <si>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</si>
  <si>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パパ</t>
    <phoneticPr fontId="1"/>
  </si>
  <si>
    <t>だいち</t>
    <phoneticPr fontId="1"/>
  </si>
  <si>
    <t>あやめ</t>
    <phoneticPr fontId="1"/>
  </si>
  <si>
    <t>あやめ</t>
  </si>
  <si>
    <t>だいち</t>
  </si>
  <si>
    <t>パパ</t>
  </si>
  <si>
    <t>ツモ支払</t>
  </si>
  <si>
    <t>ツモ</t>
  </si>
  <si>
    <t>01</t>
  </si>
  <si>
    <t>02</t>
  </si>
  <si>
    <t>ロン</t>
  </si>
  <si>
    <t>放銃</t>
  </si>
  <si>
    <t>52</t>
  </si>
  <si>
    <t>T</t>
  </si>
  <si>
    <t>N</t>
  </si>
  <si>
    <t>流局</t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</si>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</sst>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2" t="str">
        <f>$F$1</f>
        <v>パパ</v>
      </c>
      <c r="V2" s="63" t="str">
        <f>$K$1</f>
        <v>だいち</v>
      </c>
      <c r="W2" s="16" t="str">
        <f>$P$1</f>
        <v>あやめ</v>
      </c>
      <c r="Y2" s="58" t="s">
        <v>23</v>
      </c>
      <c r="Z2" s="59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58" t="s">
        <v>23</v>
      </c>
      <c r="AU2" s="59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58" t="s">
        <v>23</v>
      </c>
      <c r="BP2" s="59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197</v>
      </c>
      <c r="G4" s="9">
        <v>-1300</v>
      </c>
      <c r="H4" s="9"/>
      <c r="I4" s="47">
        <v>0</v>
      </c>
      <c r="J4" s="21">
        <f>IF(COUNTA($F4,$K4,$P4)&gt;0,J3+SUM(G4:I4),"")</f>
        <v>23700</v>
      </c>
      <c r="K4" s="8" t="s">
        <v>198</v>
      </c>
      <c r="L4" s="9">
        <v>3900</v>
      </c>
      <c r="M4" s="9"/>
      <c r="N4" s="47">
        <v>0</v>
      </c>
      <c r="O4" s="21">
        <f>IF(COUNTA($F4,$K4,$P4)&gt;0,O3+SUM(L4:N4),"")</f>
        <v>28900</v>
      </c>
      <c r="P4" s="8" t="s">
        <v>197</v>
      </c>
      <c r="Q4" s="9">
        <v>-2600</v>
      </c>
      <c r="R4" s="9"/>
      <c r="S4" s="47">
        <v>0</v>
      </c>
      <c r="T4" s="21">
        <f>IF(COUNTA($F4,$K4,$P4)&gt;0,T3+SUM(Q4:S4),"")</f>
        <v>22400</v>
      </c>
      <c r="U4" s="52">
        <f>IF($J4="","",ROUND(($J4-$J$3)/1000,1)+(_xlfn.RANK.AVG($J4,($J4,$O4,$T4),1)-2)*10)</f>
        <v>-1.3</v>
      </c>
      <c r="V4" s="53">
        <f>IF($O4="","",ROUND(($O4-$O$3)/1000,1)+(_xlfn.RANK.AVG($O4,($J4,$O4,$T4),1)-2)*10)</f>
        <v>13.9</v>
      </c>
      <c r="W4" s="54">
        <f>IF($T4="","",ROUND(($T4-$T$3)/1000,1)+(_xlfn.RANK.AVG($T4,($J4,$O4,$T4),1)-2)*10)</f>
        <v>-12.6</v>
      </c>
      <c r="Y4" s="8"/>
      <c r="Z4" s="33"/>
      <c r="AA4" s="26"/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>
        <v>1</v>
      </c>
      <c r="AW4" s="26"/>
      <c r="AX4" s="26">
        <v>4</v>
      </c>
      <c r="AY4" s="30">
        <v>20</v>
      </c>
      <c r="AZ4" s="39" t="s">
        <v>199</v>
      </c>
      <c r="BA4" s="40" t="s">
        <v>82</v>
      </c>
      <c r="BB4" s="40" t="s">
        <v>83</v>
      </c>
      <c r="BC4" s="40" t="s">
        <v>200</v>
      </c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196</v>
      </c>
      <c r="F5" s="8"/>
      <c r="G5" s="9"/>
      <c r="H5" s="9"/>
      <c r="I5" s="47"/>
      <c r="J5" s="21">
        <f t="shared" ref="J5:J30" si="2">IF(COUNTA($F5,$K5,$P5)&gt;0,J4+SUM(G5:I5),"")</f>
        <v>23700</v>
      </c>
      <c r="K5" s="8" t="s">
        <v>201</v>
      </c>
      <c r="L5" s="9">
        <v>3900</v>
      </c>
      <c r="M5" s="9"/>
      <c r="N5" s="47">
        <v>0</v>
      </c>
      <c r="O5" s="21">
        <f t="shared" ref="O5:O30" si="3">IF(COUNTA($F5,$K5,$P5)&gt;0,O4+SUM(L5:N5),"")</f>
        <v>32800</v>
      </c>
      <c r="P5" s="8" t="s">
        <v>202</v>
      </c>
      <c r="Q5" s="9">
        <v>-3900</v>
      </c>
      <c r="R5" s="9"/>
      <c r="S5" s="47">
        <v>0</v>
      </c>
      <c r="T5" s="21">
        <f t="shared" ref="T5:T30" si="4">IF(COUNTA($F5,$K5,$P5)&gt;0,T4+SUM(Q5:S5),"")</f>
        <v>18500</v>
      </c>
      <c r="U5" s="52">
        <f>IF($J5="","",ROUND(($J5-$J$3)/1000,1)+(_xlfn.RANK.AVG($J5,($J5,$O5,$T5),1)-2)*10)</f>
        <v>-1.3</v>
      </c>
      <c r="V5" s="53">
        <f>IF($O5="","",ROUND(($O5-$O$3)/1000,1)+(_xlfn.RANK.AVG($O5,($J5,$O5,$T5),1)-2)*10)</f>
        <v>17.8</v>
      </c>
      <c r="W5" s="54">
        <f>IF($T5="","",ROUND(($T5-$T$3)/1000,1)+(_xlfn.RANK.AVG($T5,($J5,$O5,$T5),1)-2)*10)</f>
        <v>-16.5</v>
      </c>
      <c r="Y5" s="8"/>
      <c r="Z5" s="33"/>
      <c r="AA5" s="26"/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>
        <v>1</v>
      </c>
      <c r="AW5" s="26"/>
      <c r="AX5" s="26">
        <v>3</v>
      </c>
      <c r="AY5" s="30">
        <v>40</v>
      </c>
      <c r="AZ5" s="39" t="s">
        <v>199</v>
      </c>
      <c r="BA5" s="40" t="s">
        <v>79</v>
      </c>
      <c r="BB5" s="40" t="s">
        <v>203</v>
      </c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/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197</v>
      </c>
      <c r="G6" s="9">
        <v>-500</v>
      </c>
      <c r="H6" s="9"/>
      <c r="I6" s="47">
        <v>0</v>
      </c>
      <c r="J6" s="21">
        <f t="shared" si="2"/>
        <v>23200</v>
      </c>
      <c r="K6" s="8" t="s">
        <v>197</v>
      </c>
      <c r="L6" s="9">
        <v>-1000</v>
      </c>
      <c r="M6" s="9"/>
      <c r="N6" s="47">
        <v>0</v>
      </c>
      <c r="O6" s="21">
        <f t="shared" si="3"/>
        <v>31800</v>
      </c>
      <c r="P6" s="8" t="s">
        <v>198</v>
      </c>
      <c r="Q6" s="9">
        <v>1500</v>
      </c>
      <c r="R6" s="9"/>
      <c r="S6" s="47">
        <v>0</v>
      </c>
      <c r="T6" s="21">
        <f t="shared" si="4"/>
        <v>20000</v>
      </c>
      <c r="U6" s="52">
        <f>IF($J6="","",ROUND(($J6-$J$3)/1000,1)+(_xlfn.RANK.AVG($J6,($J6,$O6,$T6),1)-2)*10)</f>
        <v>-1.8</v>
      </c>
      <c r="V6" s="53">
        <f>IF($O6="","",ROUND(($O6-$O$3)/1000,1)+(_xlfn.RANK.AVG($O6,($J6,$O6,$T6),1)-2)*10)</f>
        <v>16.8</v>
      </c>
      <c r="W6" s="54">
        <f>IF($T6="","",ROUND(($T6-$T$3)/1000,1)+(_xlfn.RANK.AVG($T6,($J6,$O6,$T6),1)-2)*10)</f>
        <v>-15</v>
      </c>
      <c r="Y6" s="8"/>
      <c r="Z6" s="33"/>
      <c r="AA6" s="26"/>
      <c r="AB6" s="26"/>
      <c r="AC6" s="26"/>
      <c r="AD6" s="30"/>
      <c r="AE6" s="39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>
        <v>1</v>
      </c>
      <c r="BS6" s="26">
        <v>2</v>
      </c>
      <c r="BT6" s="30">
        <v>30</v>
      </c>
      <c r="BU6" s="39" t="s">
        <v>86</v>
      </c>
      <c r="BV6" s="40" t="s">
        <v>79</v>
      </c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194</v>
      </c>
      <c r="F7" s="8"/>
      <c r="G7" s="9"/>
      <c r="H7" s="9"/>
      <c r="I7" s="47"/>
      <c r="J7" s="21">
        <f t="shared" si="2"/>
        <v>23200</v>
      </c>
      <c r="K7" s="8" t="s">
        <v>201</v>
      </c>
      <c r="L7" s="9">
        <v>2900</v>
      </c>
      <c r="M7" s="9"/>
      <c r="N7" s="47">
        <v>0</v>
      </c>
      <c r="O7" s="21">
        <f t="shared" si="3"/>
        <v>34700</v>
      </c>
      <c r="P7" s="8" t="s">
        <v>202</v>
      </c>
      <c r="Q7" s="9">
        <v>-2900</v>
      </c>
      <c r="R7" s="9"/>
      <c r="S7" s="47">
        <v>0</v>
      </c>
      <c r="T7" s="21">
        <f t="shared" si="4"/>
        <v>17100</v>
      </c>
      <c r="U7" s="52">
        <f>IF($J7="","",ROUND(($J7-$J$3)/1000,1)+(_xlfn.RANK.AVG($J7,($J7,$O7,$T7),1)-2)*10)</f>
        <v>-1.8</v>
      </c>
      <c r="V7" s="53">
        <f>IF($O7="","",ROUND(($O7-$O$3)/1000,1)+(_xlfn.RANK.AVG($O7,($J7,$O7,$T7),1)-2)*10)</f>
        <v>19.7</v>
      </c>
      <c r="W7" s="54">
        <f>IF($T7="","",ROUND(($T7-$T$3)/1000,1)+(_xlfn.RANK.AVG($T7,($J7,$O7,$T7),1)-2)*10)</f>
        <v>-17.899999999999999</v>
      </c>
      <c r="Y7" s="8"/>
      <c r="Z7" s="33"/>
      <c r="AA7" s="26"/>
      <c r="AB7" s="26"/>
      <c r="AC7" s="26"/>
      <c r="AD7" s="30"/>
      <c r="AE7" s="39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>
        <v>1</v>
      </c>
      <c r="AX7" s="26">
        <v>3</v>
      </c>
      <c r="AY7" s="30">
        <v>30</v>
      </c>
      <c r="AZ7" s="39" t="s">
        <v>86</v>
      </c>
      <c r="BA7" s="40" t="s">
        <v>203</v>
      </c>
      <c r="BB7" s="40" t="s">
        <v>203</v>
      </c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196</v>
      </c>
      <c r="F8" s="8" t="s">
        <v>206</v>
      </c>
      <c r="G8" s="9">
        <v>1000</v>
      </c>
      <c r="H8" s="9"/>
      <c r="I8" s="47"/>
      <c r="J8" s="21">
        <f t="shared" si="2"/>
        <v>24200</v>
      </c>
      <c r="K8" s="8" t="s">
        <v>206</v>
      </c>
      <c r="L8" s="9">
        <v>-2000</v>
      </c>
      <c r="M8" s="9"/>
      <c r="N8" s="47"/>
      <c r="O8" s="21">
        <f t="shared" si="3"/>
        <v>32700</v>
      </c>
      <c r="P8" s="8" t="s">
        <v>206</v>
      </c>
      <c r="Q8" s="9">
        <v>1000</v>
      </c>
      <c r="R8" s="9">
        <v>-1000</v>
      </c>
      <c r="S8" s="47"/>
      <c r="T8" s="21">
        <f t="shared" si="4"/>
        <v>17100</v>
      </c>
      <c r="U8" s="52">
        <f>IF($J8="","",ROUND(($J8-$J$3)/1000,1)+(_xlfn.RANK.AVG($J8,($J8,$O8,$T8),1)-2)*10)</f>
        <v>-0.8</v>
      </c>
      <c r="V8" s="53">
        <f>IF($O8="","",ROUND(($O8-$O$3)/1000,1)+(_xlfn.RANK.AVG($O8,($J8,$O8,$T8),1)-2)*10)</f>
        <v>17.7</v>
      </c>
      <c r="W8" s="54">
        <f>IF($T8="","",ROUND(($T8-$T$3)/1000,1)+(_xlfn.RANK.AVG($T8,($J8,$O8,$T8),1)-2)*10)</f>
        <v>-17.899999999999999</v>
      </c>
      <c r="Y8" s="8" t="s">
        <v>204</v>
      </c>
      <c r="Z8" s="33"/>
      <c r="AA8" s="26"/>
      <c r="AB8" s="26">
        <v>1</v>
      </c>
      <c r="AC8" s="26"/>
      <c r="AD8" s="30"/>
      <c r="AE8" s="39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1"/>
      <c r="AT8" s="8" t="s">
        <v>205</v>
      </c>
      <c r="AU8" s="33"/>
      <c r="AV8" s="26"/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 t="s">
        <v>204</v>
      </c>
      <c r="BP8" s="33"/>
      <c r="BQ8" s="26">
        <v>1</v>
      </c>
      <c r="BR8" s="26"/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196</v>
      </c>
      <c r="F9" s="8" t="s">
        <v>201</v>
      </c>
      <c r="G9" s="9">
        <v>8000</v>
      </c>
      <c r="H9" s="9">
        <v>1000</v>
      </c>
      <c r="I9" s="47">
        <v>1000</v>
      </c>
      <c r="J9" s="21">
        <f t="shared" si="2"/>
        <v>34200</v>
      </c>
      <c r="K9" s="8"/>
      <c r="L9" s="9"/>
      <c r="M9" s="9"/>
      <c r="N9" s="47"/>
      <c r="O9" s="21">
        <f t="shared" si="3"/>
        <v>32700</v>
      </c>
      <c r="P9" s="8" t="s">
        <v>202</v>
      </c>
      <c r="Q9" s="9">
        <v>-8000</v>
      </c>
      <c r="R9" s="9"/>
      <c r="S9" s="47">
        <v>-1000</v>
      </c>
      <c r="T9" s="21">
        <f t="shared" si="4"/>
        <v>8100</v>
      </c>
      <c r="U9" s="52">
        <f>IF($J9="","",ROUND(($J9-$J$3)/1000,1)+(_xlfn.RANK.AVG($J9,($J9,$O9,$T9),1)-2)*10)</f>
        <v>19.2</v>
      </c>
      <c r="V9" s="53">
        <f>IF($O9="","",ROUND(($O9-$O$3)/1000,1)+(_xlfn.RANK.AVG($O9,($J9,$O9,$T9),1)-2)*10)</f>
        <v>7.7</v>
      </c>
      <c r="W9" s="54">
        <f>IF($T9="","",ROUND(($T9-$T$3)/1000,1)+(_xlfn.RANK.AVG($T9,($J9,$O9,$T9),1)-2)*10)</f>
        <v>-26.9</v>
      </c>
      <c r="Y9" s="8"/>
      <c r="Z9" s="33"/>
      <c r="AA9" s="26"/>
      <c r="AB9" s="26"/>
      <c r="AC9" s="26">
        <v>4</v>
      </c>
      <c r="AD9" s="30">
        <v>40</v>
      </c>
      <c r="AE9" s="39" t="s">
        <v>86</v>
      </c>
      <c r="AF9" s="40" t="s">
        <v>104</v>
      </c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196</v>
      </c>
      <c r="F10" s="8"/>
      <c r="G10" s="9"/>
      <c r="H10" s="9"/>
      <c r="I10" s="47"/>
      <c r="J10" s="21">
        <f t="shared" si="2"/>
        <v>34200</v>
      </c>
      <c r="K10" s="8" t="s">
        <v>202</v>
      </c>
      <c r="L10" s="9">
        <v>-12000</v>
      </c>
      <c r="M10" s="9"/>
      <c r="N10" s="47">
        <v>-2000</v>
      </c>
      <c r="O10" s="21">
        <f t="shared" si="3"/>
        <v>18700</v>
      </c>
      <c r="P10" s="8" t="s">
        <v>201</v>
      </c>
      <c r="Q10" s="9">
        <v>12000</v>
      </c>
      <c r="R10" s="9"/>
      <c r="S10" s="47">
        <v>2000</v>
      </c>
      <c r="T10" s="21">
        <f t="shared" si="4"/>
        <v>22100</v>
      </c>
      <c r="U10" s="52">
        <f>IF($J10="","",ROUND(($J10-$J$3)/1000,1)+(_xlfn.RANK.AVG($J10,($J10,$O10,$T10),1)-2)*10)</f>
        <v>19.2</v>
      </c>
      <c r="V10" s="53">
        <f>IF($O10="","",ROUND(($O10-$O$3)/1000,1)+(_xlfn.RANK.AVG($O10,($J10,$O10,$T10),1)-2)*10)</f>
        <v>-16.3</v>
      </c>
      <c r="W10" s="54">
        <f>IF($T10="","",ROUND(($T10-$T$3)/1000,1)+(_xlfn.RANK.AVG($T10,($J10,$O10,$T10),1)-2)*10)</f>
        <v>-2.9</v>
      </c>
      <c r="Y10" s="8"/>
      <c r="Z10" s="33"/>
      <c r="AA10" s="26"/>
      <c r="AB10" s="26">
        <v>1</v>
      </c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>
        <v>8</v>
      </c>
      <c r="BT10" s="30" t="s">
        <v>207</v>
      </c>
      <c r="BU10" s="39" t="s">
        <v>106</v>
      </c>
      <c r="BV10" s="40" t="s">
        <v>84</v>
      </c>
      <c r="BW10" s="40" t="s">
        <v>203</v>
      </c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/>
      <c r="G11" s="9"/>
      <c r="H11" s="9"/>
      <c r="I11" s="47"/>
      <c r="J11" s="21">
        <f t="shared" si="2"/>
        <v>34200</v>
      </c>
      <c r="K11" s="8" t="s">
        <v>202</v>
      </c>
      <c r="L11" s="9">
        <v>-5800</v>
      </c>
      <c r="M11" s="9"/>
      <c r="N11" s="47">
        <v>0</v>
      </c>
      <c r="O11" s="21">
        <f t="shared" si="3"/>
        <v>12900</v>
      </c>
      <c r="P11" s="8" t="s">
        <v>201</v>
      </c>
      <c r="Q11" s="9">
        <v>5800</v>
      </c>
      <c r="R11" s="9"/>
      <c r="S11" s="47">
        <v>0</v>
      </c>
      <c r="T11" s="21">
        <f t="shared" si="4"/>
        <v>27900</v>
      </c>
      <c r="U11" s="52">
        <f>IF($J11="","",ROUND(($J11-$J$3)/1000,1)+(_xlfn.RANK.AVG($J11,($J11,$O11,$T11),1)-2)*10)</f>
        <v>19.2</v>
      </c>
      <c r="V11" s="53">
        <f>IF($O11="","",ROUND(($O11-$O$3)/1000,1)+(_xlfn.RANK.AVG($O11,($J11,$O11,$T11),1)-2)*10)</f>
        <v>-22.1</v>
      </c>
      <c r="W11" s="54">
        <f>IF($T11="","",ROUND(($T11-$T$3)/1000,1)+(_xlfn.RANK.AVG($T11,($J11,$O11,$T11),1)-2)*10)</f>
        <v>2.9</v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>
        <v>1</v>
      </c>
      <c r="BS11" s="26">
        <v>4</v>
      </c>
      <c r="BT11" s="30">
        <v>30</v>
      </c>
      <c r="BU11" s="39" t="s">
        <v>104</v>
      </c>
      <c r="BV11" s="40" t="s">
        <v>86</v>
      </c>
      <c r="BW11" s="40" t="s">
        <v>203</v>
      </c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45B5017-9F6A-440E-8133-08A189674ECF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7A990-1715-4446-B342-2C0A3A75D08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4" t="s">
        <v>0</v>
      </c>
      <c r="B1" s="76" t="s">
        <v>2</v>
      </c>
      <c r="C1" s="76" t="s">
        <v>1</v>
      </c>
      <c r="D1" s="76" t="s">
        <v>21</v>
      </c>
      <c r="E1" s="78" t="s">
        <v>3</v>
      </c>
      <c r="F1" s="70" t="s">
        <v>191</v>
      </c>
      <c r="G1" s="71"/>
      <c r="H1" s="71"/>
      <c r="I1" s="72"/>
      <c r="J1" s="73"/>
      <c r="K1" s="70" t="s">
        <v>192</v>
      </c>
      <c r="L1" s="71"/>
      <c r="M1" s="71"/>
      <c r="N1" s="72"/>
      <c r="O1" s="73"/>
      <c r="P1" s="70" t="s">
        <v>193</v>
      </c>
      <c r="Q1" s="71"/>
      <c r="R1" s="71"/>
      <c r="S1" s="72"/>
      <c r="T1" s="73"/>
      <c r="U1" s="70" t="s">
        <v>6</v>
      </c>
      <c r="V1" s="71"/>
      <c r="W1" s="73"/>
      <c r="Y1" s="70" t="str">
        <f>F1</f>
        <v>パパ</v>
      </c>
      <c r="Z1" s="8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3"/>
      <c r="AT1" s="70" t="str">
        <f>K1</f>
        <v>だいち</v>
      </c>
      <c r="AU1" s="8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3"/>
      <c r="BO1" s="70" t="str">
        <f>P1</f>
        <v>あやめ</v>
      </c>
      <c r="BP1" s="8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3"/>
    </row>
    <row r="2" spans="1:87" x14ac:dyDescent="0.45">
      <c r="A2" s="75"/>
      <c r="B2" s="77"/>
      <c r="C2" s="77"/>
      <c r="D2" s="77"/>
      <c r="E2" s="79"/>
      <c r="F2" s="1" t="s">
        <v>5</v>
      </c>
      <c r="G2" s="2" t="s">
        <v>8</v>
      </c>
      <c r="H2" s="2" t="s">
        <v>22</v>
      </c>
      <c r="I2" s="45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5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5" t="s">
        <v>7</v>
      </c>
      <c r="T2" s="6" t="s">
        <v>4</v>
      </c>
      <c r="U2" s="67" t="str">
        <f>$F$1</f>
        <v>パパ</v>
      </c>
      <c r="V2" s="68" t="str">
        <f>$K$1</f>
        <v>だいち</v>
      </c>
      <c r="W2" s="16" t="str">
        <f>$P$1</f>
        <v>あやめ</v>
      </c>
      <c r="Y2" s="64" t="s">
        <v>23</v>
      </c>
      <c r="Z2" s="69" t="s">
        <v>26</v>
      </c>
      <c r="AA2" s="65" t="s">
        <v>24</v>
      </c>
      <c r="AB2" s="65" t="s">
        <v>127</v>
      </c>
      <c r="AC2" s="65" t="s">
        <v>18</v>
      </c>
      <c r="AD2" s="66" t="s">
        <v>19</v>
      </c>
      <c r="AE2" s="80" t="s">
        <v>20</v>
      </c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64" t="s">
        <v>23</v>
      </c>
      <c r="AU2" s="69" t="s">
        <v>26</v>
      </c>
      <c r="AV2" s="65" t="s">
        <v>24</v>
      </c>
      <c r="AW2" s="65" t="s">
        <v>128</v>
      </c>
      <c r="AX2" s="65" t="s">
        <v>18</v>
      </c>
      <c r="AY2" s="66" t="s">
        <v>19</v>
      </c>
      <c r="AZ2" s="80" t="s">
        <v>20</v>
      </c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64" t="s">
        <v>23</v>
      </c>
      <c r="BP2" s="69" t="s">
        <v>26</v>
      </c>
      <c r="BQ2" s="65" t="s">
        <v>24</v>
      </c>
      <c r="BR2" s="65" t="s">
        <v>128</v>
      </c>
      <c r="BS2" s="65" t="s">
        <v>18</v>
      </c>
      <c r="BT2" s="66" t="s">
        <v>19</v>
      </c>
      <c r="BU2" s="80" t="s">
        <v>20</v>
      </c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6"/>
      <c r="J3" s="20">
        <v>25000</v>
      </c>
      <c r="K3" s="7"/>
      <c r="L3" s="23"/>
      <c r="M3" s="23"/>
      <c r="N3" s="46"/>
      <c r="O3" s="20">
        <v>25000</v>
      </c>
      <c r="P3" s="7"/>
      <c r="Q3" s="23"/>
      <c r="R3" s="23"/>
      <c r="S3" s="46"/>
      <c r="T3" s="20">
        <v>25000</v>
      </c>
      <c r="U3" s="49">
        <f>IF($J3="","",ROUND(($J3-$J$3)/1000,1)+(_xlfn.RANK.AVG($J3,($J3,$O3,$T3),1)-2)*10)</f>
        <v>0</v>
      </c>
      <c r="V3" s="50">
        <f>IF($O3="","",ROUND(($O3-$O$3)/1000,1)+(_xlfn.RANK.AVG($O3,($J3,$O3,$T3),1)-2)*10)</f>
        <v>0</v>
      </c>
      <c r="W3" s="51">
        <f>IF($T3="","",ROUND(($T3-$T$3)/1000,1)+(_xlfn.RANK.AVG($T3,($J3,$O3,$T3),1)-2)*10)</f>
        <v>0</v>
      </c>
      <c r="Y3" s="7"/>
      <c r="Z3" s="32"/>
      <c r="AA3" s="28"/>
      <c r="AB3" s="28"/>
      <c r="AC3" s="28"/>
      <c r="AD3" s="29"/>
      <c r="AE3" s="36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8"/>
      <c r="AT3" s="7"/>
      <c r="AU3" s="32"/>
      <c r="AV3" s="28"/>
      <c r="AW3" s="28"/>
      <c r="AX3" s="28"/>
      <c r="AY3" s="29"/>
      <c r="AZ3" s="36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8"/>
      <c r="BO3" s="7"/>
      <c r="BP3" s="32"/>
      <c r="BQ3" s="28"/>
      <c r="BR3" s="28"/>
      <c r="BS3" s="28"/>
      <c r="BT3" s="29"/>
      <c r="BU3" s="36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8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-6000</v>
      </c>
      <c r="H4" s="9">
        <v>-1000</v>
      </c>
      <c r="I4" s="47">
        <v>0</v>
      </c>
      <c r="J4" s="21">
        <f>IF(COUNTA($F4,$K4,$P4)&gt;0,J3+SUM(G4:I4),"")</f>
        <v>18000</v>
      </c>
      <c r="K4" s="8" t="s">
        <v>198</v>
      </c>
      <c r="L4" s="9">
        <v>9000</v>
      </c>
      <c r="M4" s="9">
        <v>1000</v>
      </c>
      <c r="N4" s="47">
        <v>0</v>
      </c>
      <c r="O4" s="21">
        <f>IF(COUNTA($F4,$K4,$P4)&gt;0,O3+SUM(L4:N4),"")</f>
        <v>35000</v>
      </c>
      <c r="P4" s="8" t="s">
        <v>197</v>
      </c>
      <c r="Q4" s="9">
        <v>-3000</v>
      </c>
      <c r="R4" s="9"/>
      <c r="S4" s="47">
        <v>0</v>
      </c>
      <c r="T4" s="21">
        <f>IF(COUNTA($F4,$K4,$P4)&gt;0,T3+SUM(Q4:S4),"")</f>
        <v>22000</v>
      </c>
      <c r="U4" s="52">
        <f>IF($J4="","",ROUND(($J4-$J$3)/1000,1)+(_xlfn.RANK.AVG($J4,($J4,$O4,$T4),1)-2)*10)</f>
        <v>-17</v>
      </c>
      <c r="V4" s="53">
        <f>IF($O4="","",ROUND(($O4-$O$3)/1000,1)+(_xlfn.RANK.AVG($O4,($J4,$O4,$T4),1)-2)*10)</f>
        <v>20</v>
      </c>
      <c r="W4" s="54">
        <f>IF($T4="","",ROUND(($T4-$T$3)/1000,1)+(_xlfn.RANK.AVG($T4,($J4,$O4,$T4),1)-2)*10)</f>
        <v>-3</v>
      </c>
      <c r="Y4" s="8"/>
      <c r="Z4" s="33"/>
      <c r="AA4" s="26">
        <v>1</v>
      </c>
      <c r="AB4" s="26"/>
      <c r="AC4" s="26"/>
      <c r="AD4" s="30"/>
      <c r="AE4" s="39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1"/>
      <c r="AT4" s="8"/>
      <c r="AU4" s="33"/>
      <c r="AV4" s="26">
        <v>1</v>
      </c>
      <c r="AW4" s="26"/>
      <c r="AX4" s="26">
        <v>6</v>
      </c>
      <c r="AY4" s="30" t="s">
        <v>207</v>
      </c>
      <c r="AZ4" s="39" t="s">
        <v>199</v>
      </c>
      <c r="BA4" s="40" t="s">
        <v>82</v>
      </c>
      <c r="BB4" s="40" t="s">
        <v>200</v>
      </c>
      <c r="BC4" s="40" t="s">
        <v>83</v>
      </c>
      <c r="BD4" s="40" t="s">
        <v>84</v>
      </c>
      <c r="BE4" s="40" t="s">
        <v>203</v>
      </c>
      <c r="BF4" s="40"/>
      <c r="BG4" s="40"/>
      <c r="BH4" s="40"/>
      <c r="BI4" s="40"/>
      <c r="BJ4" s="40"/>
      <c r="BK4" s="40"/>
      <c r="BL4" s="40"/>
      <c r="BM4" s="40"/>
      <c r="BN4" s="41"/>
      <c r="BO4" s="8"/>
      <c r="BP4" s="33"/>
      <c r="BQ4" s="26"/>
      <c r="BR4" s="26"/>
      <c r="BS4" s="26"/>
      <c r="BT4" s="30"/>
      <c r="BU4" s="39"/>
      <c r="BV4" s="40"/>
      <c r="BW4" s="40"/>
      <c r="BX4" s="40"/>
      <c r="BY4" s="40"/>
      <c r="BZ4" s="40"/>
      <c r="CA4" s="40"/>
      <c r="CB4" s="40"/>
      <c r="CC4" s="40"/>
      <c r="CD4" s="40"/>
      <c r="CE4" s="40"/>
      <c r="CF4" s="40"/>
      <c r="CG4" s="40"/>
      <c r="CH4" s="40"/>
      <c r="CI4" s="41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>
        <v>-1000</v>
      </c>
      <c r="I5" s="47"/>
      <c r="J5" s="21">
        <f t="shared" ref="J5:J30" si="2">IF(COUNTA($F5,$K5,$P5)&gt;0,J4+SUM(G5:I5),"")</f>
        <v>17000</v>
      </c>
      <c r="K5" s="8" t="s">
        <v>201</v>
      </c>
      <c r="L5" s="9">
        <v>7700</v>
      </c>
      <c r="M5" s="9">
        <v>1000</v>
      </c>
      <c r="N5" s="47">
        <v>0</v>
      </c>
      <c r="O5" s="21">
        <f t="shared" ref="O5:O30" si="3">IF(COUNTA($F5,$K5,$P5)&gt;0,O4+SUM(L5:N5),"")</f>
        <v>43700</v>
      </c>
      <c r="P5" s="8" t="s">
        <v>202</v>
      </c>
      <c r="Q5" s="9">
        <v>-7700</v>
      </c>
      <c r="R5" s="9"/>
      <c r="S5" s="47">
        <v>0</v>
      </c>
      <c r="T5" s="21">
        <f t="shared" ref="T5:T30" si="4">IF(COUNTA($F5,$K5,$P5)&gt;0,T4+SUM(Q5:S5),"")</f>
        <v>14300</v>
      </c>
      <c r="U5" s="52">
        <f>IF($J5="","",ROUND(($J5-$J$3)/1000,1)+(_xlfn.RANK.AVG($J5,($J5,$O5,$T5),1)-2)*10)</f>
        <v>-8</v>
      </c>
      <c r="V5" s="53">
        <f>IF($O5="","",ROUND(($O5-$O$3)/1000,1)+(_xlfn.RANK.AVG($O5,($J5,$O5,$T5),1)-2)*10)</f>
        <v>28.7</v>
      </c>
      <c r="W5" s="54">
        <f>IF($T5="","",ROUND(($T5-$T$3)/1000,1)+(_xlfn.RANK.AVG($T5,($J5,$O5,$T5),1)-2)*10)</f>
        <v>-20.7</v>
      </c>
      <c r="Y5" s="8"/>
      <c r="Z5" s="33"/>
      <c r="AA5" s="26">
        <v>1</v>
      </c>
      <c r="AB5" s="26"/>
      <c r="AC5" s="26"/>
      <c r="AD5" s="30"/>
      <c r="AE5" s="39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1"/>
      <c r="AT5" s="8"/>
      <c r="AU5" s="33"/>
      <c r="AV5" s="26">
        <v>1</v>
      </c>
      <c r="AW5" s="26"/>
      <c r="AX5" s="26">
        <v>3</v>
      </c>
      <c r="AY5" s="30">
        <v>60</v>
      </c>
      <c r="AZ5" s="39" t="s">
        <v>199</v>
      </c>
      <c r="BA5" s="40" t="s">
        <v>86</v>
      </c>
      <c r="BB5" s="40" t="s">
        <v>80</v>
      </c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1"/>
      <c r="BO5" s="8"/>
      <c r="BP5" s="33"/>
      <c r="BQ5" s="26"/>
      <c r="BR5" s="26">
        <v>1</v>
      </c>
      <c r="BS5" s="26"/>
      <c r="BT5" s="30"/>
      <c r="BU5" s="39"/>
      <c r="BV5" s="40"/>
      <c r="BW5" s="40"/>
      <c r="BX5" s="40"/>
      <c r="BY5" s="40"/>
      <c r="BZ5" s="40"/>
      <c r="CA5" s="40"/>
      <c r="CB5" s="40"/>
      <c r="CC5" s="40"/>
      <c r="CD5" s="40"/>
      <c r="CE5" s="40"/>
      <c r="CF5" s="40"/>
      <c r="CG5" s="40"/>
      <c r="CH5" s="40"/>
      <c r="CI5" s="41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201</v>
      </c>
      <c r="G6" s="9">
        <v>9000</v>
      </c>
      <c r="H6" s="9"/>
      <c r="I6" s="47">
        <v>1000</v>
      </c>
      <c r="J6" s="21">
        <f t="shared" si="2"/>
        <v>27000</v>
      </c>
      <c r="K6" s="8"/>
      <c r="L6" s="9"/>
      <c r="M6" s="9"/>
      <c r="N6" s="47"/>
      <c r="O6" s="21">
        <f t="shared" si="3"/>
        <v>43700</v>
      </c>
      <c r="P6" s="8" t="s">
        <v>202</v>
      </c>
      <c r="Q6" s="9">
        <v>-9000</v>
      </c>
      <c r="R6" s="9"/>
      <c r="S6" s="47">
        <v>-1000</v>
      </c>
      <c r="T6" s="21">
        <f t="shared" si="4"/>
        <v>4300</v>
      </c>
      <c r="U6" s="52">
        <f>IF($J6="","",ROUND(($J6-$J$3)/1000,1)+(_xlfn.RANK.AVG($J6,($J6,$O6,$T6),1)-2)*10)</f>
        <v>2</v>
      </c>
      <c r="V6" s="53">
        <f>IF($O6="","",ROUND(($O6-$O$3)/1000,1)+(_xlfn.RANK.AVG($O6,($J6,$O6,$T6),1)-2)*10)</f>
        <v>28.7</v>
      </c>
      <c r="W6" s="54">
        <f>IF($T6="","",ROUND(($T6-$T$3)/1000,1)+(_xlfn.RANK.AVG($T6,($J6,$O6,$T6),1)-2)*10)</f>
        <v>-30.7</v>
      </c>
      <c r="Y6" s="8"/>
      <c r="Z6" s="33"/>
      <c r="AA6" s="26">
        <v>1</v>
      </c>
      <c r="AB6" s="26"/>
      <c r="AC6" s="26">
        <v>6</v>
      </c>
      <c r="AD6" s="30" t="s">
        <v>207</v>
      </c>
      <c r="AE6" s="39" t="s">
        <v>199</v>
      </c>
      <c r="AF6" s="40" t="s">
        <v>104</v>
      </c>
      <c r="AG6" s="40" t="s">
        <v>86</v>
      </c>
      <c r="AH6" s="40" t="s">
        <v>203</v>
      </c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8"/>
      <c r="AU6" s="33"/>
      <c r="AV6" s="26"/>
      <c r="AW6" s="26"/>
      <c r="AX6" s="26"/>
      <c r="AY6" s="30"/>
      <c r="AZ6" s="39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1"/>
      <c r="BO6" s="8"/>
      <c r="BP6" s="33"/>
      <c r="BQ6" s="26"/>
      <c r="BR6" s="26"/>
      <c r="BS6" s="26"/>
      <c r="BT6" s="30"/>
      <c r="BU6" s="39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1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194</v>
      </c>
      <c r="F7" s="8" t="s">
        <v>201</v>
      </c>
      <c r="G7" s="9">
        <v>2900</v>
      </c>
      <c r="H7" s="9"/>
      <c r="I7" s="47">
        <v>0</v>
      </c>
      <c r="J7" s="21">
        <f t="shared" si="2"/>
        <v>29900</v>
      </c>
      <c r="K7" s="8" t="s">
        <v>202</v>
      </c>
      <c r="L7" s="9">
        <v>-2900</v>
      </c>
      <c r="M7" s="9"/>
      <c r="N7" s="47">
        <v>0</v>
      </c>
      <c r="O7" s="21">
        <f t="shared" si="3"/>
        <v>40800</v>
      </c>
      <c r="P7" s="8"/>
      <c r="Q7" s="9"/>
      <c r="R7" s="9"/>
      <c r="S7" s="47"/>
      <c r="T7" s="21">
        <f t="shared" si="4"/>
        <v>4300</v>
      </c>
      <c r="U7" s="52">
        <f>IF($J7="","",ROUND(($J7-$J$3)/1000,1)+(_xlfn.RANK.AVG($J7,($J7,$O7,$T7),1)-2)*10)</f>
        <v>4.9000000000000004</v>
      </c>
      <c r="V7" s="53">
        <f>IF($O7="","",ROUND(($O7-$O$3)/1000,1)+(_xlfn.RANK.AVG($O7,($J7,$O7,$T7),1)-2)*10)</f>
        <v>25.8</v>
      </c>
      <c r="W7" s="54">
        <f>IF($T7="","",ROUND(($T7-$T$3)/1000,1)+(_xlfn.RANK.AVG($T7,($J7,$O7,$T7),1)-2)*10)</f>
        <v>-30.7</v>
      </c>
      <c r="Y7" s="8"/>
      <c r="Z7" s="33"/>
      <c r="AA7" s="26"/>
      <c r="AB7" s="26">
        <v>1</v>
      </c>
      <c r="AC7" s="26">
        <v>3</v>
      </c>
      <c r="AD7" s="30">
        <v>30</v>
      </c>
      <c r="AE7" s="39" t="s">
        <v>86</v>
      </c>
      <c r="AF7" s="40" t="s">
        <v>104</v>
      </c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1"/>
      <c r="AT7" s="8"/>
      <c r="AU7" s="33"/>
      <c r="AV7" s="26"/>
      <c r="AW7" s="26"/>
      <c r="AX7" s="26"/>
      <c r="AY7" s="30"/>
      <c r="AZ7" s="39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1"/>
      <c r="BO7" s="8"/>
      <c r="BP7" s="33"/>
      <c r="BQ7" s="26"/>
      <c r="BR7" s="26"/>
      <c r="BS7" s="26"/>
      <c r="BT7" s="30"/>
      <c r="BU7" s="39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1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196</v>
      </c>
      <c r="F8" s="8" t="s">
        <v>201</v>
      </c>
      <c r="G8" s="9">
        <v>12000</v>
      </c>
      <c r="H8" s="9">
        <v>1000</v>
      </c>
      <c r="I8" s="47">
        <v>0</v>
      </c>
      <c r="J8" s="21">
        <f t="shared" si="2"/>
        <v>42900</v>
      </c>
      <c r="K8" s="8"/>
      <c r="L8" s="9"/>
      <c r="M8" s="9">
        <v>-1000</v>
      </c>
      <c r="N8" s="47"/>
      <c r="O8" s="21">
        <f t="shared" si="3"/>
        <v>39800</v>
      </c>
      <c r="P8" s="8" t="s">
        <v>202</v>
      </c>
      <c r="Q8" s="9">
        <v>-12000</v>
      </c>
      <c r="R8" s="9"/>
      <c r="S8" s="47">
        <v>0</v>
      </c>
      <c r="T8" s="21">
        <f t="shared" si="4"/>
        <v>-7700</v>
      </c>
      <c r="U8" s="52">
        <f>IF($J8="","",ROUND(($J8-$J$3)/1000,1)+(_xlfn.RANK.AVG($J8,($J8,$O8,$T8),1)-2)*10)</f>
        <v>27.9</v>
      </c>
      <c r="V8" s="53">
        <f>IF($O8="","",ROUND(($O8-$O$3)/1000,1)+(_xlfn.RANK.AVG($O8,($J8,$O8,$T8),1)-2)*10)</f>
        <v>14.8</v>
      </c>
      <c r="W8" s="54">
        <f>IF($T8="","",ROUND(($T8-$T$3)/1000,1)+(_xlfn.RANK.AVG($T8,($J8,$O8,$T8),1)-2)*10)</f>
        <v>-42.7</v>
      </c>
      <c r="Y8" s="8"/>
      <c r="Z8" s="33"/>
      <c r="AA8" s="26"/>
      <c r="AB8" s="26">
        <v>1</v>
      </c>
      <c r="AC8" s="26">
        <v>7</v>
      </c>
      <c r="AD8" s="30" t="s">
        <v>207</v>
      </c>
      <c r="AE8" s="39" t="s">
        <v>86</v>
      </c>
      <c r="AF8" s="40" t="s">
        <v>98</v>
      </c>
      <c r="AG8" s="40" t="s">
        <v>79</v>
      </c>
      <c r="AH8" s="40" t="s">
        <v>79</v>
      </c>
      <c r="AI8" s="40" t="s">
        <v>79</v>
      </c>
      <c r="AJ8" s="40" t="s">
        <v>79</v>
      </c>
      <c r="AK8" s="40"/>
      <c r="AL8" s="40"/>
      <c r="AM8" s="40"/>
      <c r="AN8" s="40"/>
      <c r="AO8" s="40"/>
      <c r="AP8" s="40"/>
      <c r="AQ8" s="40"/>
      <c r="AR8" s="40"/>
      <c r="AS8" s="41"/>
      <c r="AT8" s="8"/>
      <c r="AU8" s="33"/>
      <c r="AV8" s="26">
        <v>1</v>
      </c>
      <c r="AW8" s="26"/>
      <c r="AX8" s="26"/>
      <c r="AY8" s="30"/>
      <c r="AZ8" s="39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1"/>
      <c r="BO8" s="8"/>
      <c r="BP8" s="33"/>
      <c r="BQ8" s="26"/>
      <c r="BR8" s="26">
        <v>1</v>
      </c>
      <c r="BS8" s="26"/>
      <c r="BT8" s="30"/>
      <c r="BU8" s="39"/>
      <c r="BV8" s="40"/>
      <c r="BW8" s="40"/>
      <c r="BX8" s="40"/>
      <c r="BY8" s="40"/>
      <c r="BZ8" s="40"/>
      <c r="CA8" s="40"/>
      <c r="CB8" s="40"/>
      <c r="CC8" s="40"/>
      <c r="CD8" s="40"/>
      <c r="CE8" s="40"/>
      <c r="CF8" s="40"/>
      <c r="CG8" s="40"/>
      <c r="CH8" s="40"/>
      <c r="CI8" s="41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196</v>
      </c>
      <c r="F9" s="8"/>
      <c r="G9" s="9"/>
      <c r="H9" s="9"/>
      <c r="I9" s="47"/>
      <c r="J9" s="21" t="str">
        <f t="shared" si="2"/>
        <v/>
      </c>
      <c r="K9" s="8"/>
      <c r="L9" s="9"/>
      <c r="M9" s="9"/>
      <c r="N9" s="47"/>
      <c r="O9" s="21" t="str">
        <f t="shared" si="3"/>
        <v/>
      </c>
      <c r="P9" s="8"/>
      <c r="Q9" s="9"/>
      <c r="R9" s="9"/>
      <c r="S9" s="47"/>
      <c r="T9" s="21" t="str">
        <f t="shared" si="4"/>
        <v/>
      </c>
      <c r="U9" s="52" t="str">
        <f>IF($J9="","",ROUND(($J9-$J$3)/1000,1)+(_xlfn.RANK.AVG($J9,($J9,$O9,$T9),1)-2)*10)</f>
        <v/>
      </c>
      <c r="V9" s="53" t="str">
        <f>IF($O9="","",ROUND(($O9-$O$3)/1000,1)+(_xlfn.RANK.AVG($O9,($J9,$O9,$T9),1)-2)*10)</f>
        <v/>
      </c>
      <c r="W9" s="54" t="str">
        <f>IF($T9="","",ROUND(($T9-$T$3)/1000,1)+(_xlfn.RANK.AVG($T9,($J9,$O9,$T9),1)-2)*10)</f>
        <v/>
      </c>
      <c r="Y9" s="8"/>
      <c r="Z9" s="33"/>
      <c r="AA9" s="26"/>
      <c r="AB9" s="26"/>
      <c r="AC9" s="26"/>
      <c r="AD9" s="30"/>
      <c r="AE9" s="39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1"/>
      <c r="AT9" s="8"/>
      <c r="AU9" s="33"/>
      <c r="AV9" s="26"/>
      <c r="AW9" s="26"/>
      <c r="AX9" s="26"/>
      <c r="AY9" s="30"/>
      <c r="AZ9" s="39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1"/>
      <c r="BO9" s="8"/>
      <c r="BP9" s="33"/>
      <c r="BQ9" s="26"/>
      <c r="BR9" s="26"/>
      <c r="BS9" s="26"/>
      <c r="BT9" s="30"/>
      <c r="BU9" s="39"/>
      <c r="BV9" s="40"/>
      <c r="BW9" s="40"/>
      <c r="BX9" s="40"/>
      <c r="BY9" s="40"/>
      <c r="BZ9" s="40"/>
      <c r="CA9" s="40"/>
      <c r="CB9" s="40"/>
      <c r="CC9" s="40"/>
      <c r="CD9" s="40"/>
      <c r="CE9" s="40"/>
      <c r="CF9" s="40"/>
      <c r="CG9" s="40"/>
      <c r="CH9" s="40"/>
      <c r="CI9" s="41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7"/>
      <c r="J10" s="21" t="str">
        <f t="shared" si="2"/>
        <v/>
      </c>
      <c r="K10" s="8"/>
      <c r="L10" s="9"/>
      <c r="M10" s="9"/>
      <c r="N10" s="47"/>
      <c r="O10" s="21" t="str">
        <f t="shared" si="3"/>
        <v/>
      </c>
      <c r="P10" s="8"/>
      <c r="Q10" s="9"/>
      <c r="R10" s="9"/>
      <c r="S10" s="47"/>
      <c r="T10" s="21" t="str">
        <f t="shared" si="4"/>
        <v/>
      </c>
      <c r="U10" s="52" t="str">
        <f>IF($J10="","",ROUND(($J10-$J$3)/1000,1)+(_xlfn.RANK.AVG($J10,($J10,$O10,$T10),1)-2)*10)</f>
        <v/>
      </c>
      <c r="V10" s="53" t="str">
        <f>IF($O10="","",ROUND(($O10-$O$3)/1000,1)+(_xlfn.RANK.AVG($O10,($J10,$O10,$T10),1)-2)*10)</f>
        <v/>
      </c>
      <c r="W10" s="54" t="str">
        <f>IF($T10="","",ROUND(($T10-$T$3)/1000,1)+(_xlfn.RANK.AVG($T10,($J10,$O10,$T10),1)-2)*10)</f>
        <v/>
      </c>
      <c r="Y10" s="8"/>
      <c r="Z10" s="33"/>
      <c r="AA10" s="26"/>
      <c r="AB10" s="26"/>
      <c r="AC10" s="26"/>
      <c r="AD10" s="30"/>
      <c r="AE10" s="3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1"/>
      <c r="AT10" s="8"/>
      <c r="AU10" s="33"/>
      <c r="AV10" s="26"/>
      <c r="AW10" s="26"/>
      <c r="AX10" s="26"/>
      <c r="AY10" s="30"/>
      <c r="AZ10" s="39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1"/>
      <c r="BO10" s="8"/>
      <c r="BP10" s="33"/>
      <c r="BQ10" s="26"/>
      <c r="BR10" s="26"/>
      <c r="BS10" s="26"/>
      <c r="BT10" s="30"/>
      <c r="BU10" s="39"/>
      <c r="BV10" s="40"/>
      <c r="BW10" s="40"/>
      <c r="BX10" s="40"/>
      <c r="BY10" s="40"/>
      <c r="BZ10" s="40"/>
      <c r="CA10" s="40"/>
      <c r="CB10" s="40"/>
      <c r="CC10" s="40"/>
      <c r="CD10" s="40"/>
      <c r="CE10" s="40"/>
      <c r="CF10" s="40"/>
      <c r="CG10" s="40"/>
      <c r="CH10" s="40"/>
      <c r="CI10" s="41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7"/>
      <c r="J11" s="21" t="str">
        <f t="shared" si="2"/>
        <v/>
      </c>
      <c r="K11" s="8"/>
      <c r="L11" s="9"/>
      <c r="M11" s="9"/>
      <c r="N11" s="47"/>
      <c r="O11" s="21" t="str">
        <f t="shared" si="3"/>
        <v/>
      </c>
      <c r="P11" s="8"/>
      <c r="Q11" s="9"/>
      <c r="R11" s="9"/>
      <c r="S11" s="47"/>
      <c r="T11" s="21" t="str">
        <f t="shared" si="4"/>
        <v/>
      </c>
      <c r="U11" s="52" t="str">
        <f>IF($J11="","",ROUND(($J11-$J$3)/1000,1)+(_xlfn.RANK.AVG($J11,($J11,$O11,$T11),1)-2)*10)</f>
        <v/>
      </c>
      <c r="V11" s="53" t="str">
        <f>IF($O11="","",ROUND(($O11-$O$3)/1000,1)+(_xlfn.RANK.AVG($O11,($J11,$O11,$T11),1)-2)*10)</f>
        <v/>
      </c>
      <c r="W11" s="54" t="str">
        <f>IF($T11="","",ROUND(($T11-$T$3)/1000,1)+(_xlfn.RANK.AVG($T11,($J11,$O11,$T11),1)-2)*10)</f>
        <v/>
      </c>
      <c r="Y11" s="8"/>
      <c r="Z11" s="33"/>
      <c r="AA11" s="26"/>
      <c r="AB11" s="26"/>
      <c r="AC11" s="26"/>
      <c r="AD11" s="30"/>
      <c r="AE11" s="3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1"/>
      <c r="AT11" s="8"/>
      <c r="AU11" s="33"/>
      <c r="AV11" s="26"/>
      <c r="AW11" s="26"/>
      <c r="AX11" s="26"/>
      <c r="AY11" s="30"/>
      <c r="AZ11" s="39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1"/>
      <c r="BO11" s="8"/>
      <c r="BP11" s="33"/>
      <c r="BQ11" s="26"/>
      <c r="BR11" s="26"/>
      <c r="BS11" s="26"/>
      <c r="BT11" s="30"/>
      <c r="BU11" s="39"/>
      <c r="BV11" s="40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41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7"/>
      <c r="J12" s="21" t="str">
        <f t="shared" si="2"/>
        <v/>
      </c>
      <c r="K12" s="8"/>
      <c r="L12" s="9"/>
      <c r="M12" s="9"/>
      <c r="N12" s="47"/>
      <c r="O12" s="21" t="str">
        <f t="shared" si="3"/>
        <v/>
      </c>
      <c r="P12" s="8"/>
      <c r="Q12" s="9"/>
      <c r="R12" s="9"/>
      <c r="S12" s="47"/>
      <c r="T12" s="21" t="str">
        <f t="shared" si="4"/>
        <v/>
      </c>
      <c r="U12" s="52" t="str">
        <f>IF($J12="","",ROUND(($J12-$J$3)/1000,1)+(_xlfn.RANK.AVG($J12,($J12,$O12,$T12),1)-2)*10)</f>
        <v/>
      </c>
      <c r="V12" s="53" t="str">
        <f>IF($O12="","",ROUND(($O12-$O$3)/1000,1)+(_xlfn.RANK.AVG($O12,($J12,$O12,$T12),1)-2)*10)</f>
        <v/>
      </c>
      <c r="W12" s="54" t="str">
        <f>IF($T12="","",ROUND(($T12-$T$3)/1000,1)+(_xlfn.RANK.AVG($T12,($J12,$O12,$T12),1)-2)*10)</f>
        <v/>
      </c>
      <c r="Y12" s="8"/>
      <c r="Z12" s="33"/>
      <c r="AA12" s="26"/>
      <c r="AB12" s="26"/>
      <c r="AC12" s="26"/>
      <c r="AD12" s="30"/>
      <c r="AE12" s="3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1"/>
      <c r="AT12" s="8"/>
      <c r="AU12" s="33"/>
      <c r="AV12" s="26"/>
      <c r="AW12" s="26"/>
      <c r="AX12" s="26"/>
      <c r="AY12" s="30"/>
      <c r="AZ12" s="39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1"/>
      <c r="BO12" s="8"/>
      <c r="BP12" s="33"/>
      <c r="BQ12" s="26"/>
      <c r="BR12" s="26"/>
      <c r="BS12" s="26"/>
      <c r="BT12" s="30"/>
      <c r="BU12" s="39"/>
      <c r="BV12" s="40"/>
      <c r="BW12" s="40"/>
      <c r="BX12" s="40"/>
      <c r="BY12" s="40"/>
      <c r="BZ12" s="40"/>
      <c r="CA12" s="40"/>
      <c r="CB12" s="40"/>
      <c r="CC12" s="40"/>
      <c r="CD12" s="40"/>
      <c r="CE12" s="40"/>
      <c r="CF12" s="40"/>
      <c r="CG12" s="40"/>
      <c r="CH12" s="40"/>
      <c r="CI12" s="41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7"/>
      <c r="J13" s="21" t="str">
        <f t="shared" si="2"/>
        <v/>
      </c>
      <c r="K13" s="8"/>
      <c r="L13" s="9"/>
      <c r="M13" s="9"/>
      <c r="N13" s="47"/>
      <c r="O13" s="21" t="str">
        <f t="shared" si="3"/>
        <v/>
      </c>
      <c r="P13" s="8"/>
      <c r="Q13" s="9"/>
      <c r="R13" s="9"/>
      <c r="S13" s="47"/>
      <c r="T13" s="21" t="str">
        <f t="shared" si="4"/>
        <v/>
      </c>
      <c r="U13" s="52" t="str">
        <f>IF($J13="","",ROUND(($J13-$J$3)/1000,1)+(_xlfn.RANK.AVG($J13,($J13,$O13,$T13),1)-2)*10)</f>
        <v/>
      </c>
      <c r="V13" s="53" t="str">
        <f>IF($O13="","",ROUND(($O13-$O$3)/1000,1)+(_xlfn.RANK.AVG($O13,($J13,$O13,$T13),1)-2)*10)</f>
        <v/>
      </c>
      <c r="W13" s="54" t="str">
        <f>IF($T13="","",ROUND(($T13-$T$3)/1000,1)+(_xlfn.RANK.AVG($T13,($J13,$O13,$T13),1)-2)*10)</f>
        <v/>
      </c>
      <c r="Y13" s="8"/>
      <c r="Z13" s="33"/>
      <c r="AA13" s="26"/>
      <c r="AB13" s="26"/>
      <c r="AC13" s="26"/>
      <c r="AD13" s="30"/>
      <c r="AE13" s="3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1"/>
      <c r="AT13" s="8"/>
      <c r="AU13" s="33"/>
      <c r="AV13" s="26"/>
      <c r="AW13" s="26"/>
      <c r="AX13" s="26"/>
      <c r="AY13" s="30"/>
      <c r="AZ13" s="39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1"/>
      <c r="BO13" s="8"/>
      <c r="BP13" s="33"/>
      <c r="BQ13" s="26"/>
      <c r="BR13" s="26"/>
      <c r="BS13" s="26"/>
      <c r="BT13" s="30"/>
      <c r="BU13" s="39"/>
      <c r="BV13" s="40"/>
      <c r="BW13" s="40"/>
      <c r="BX13" s="40"/>
      <c r="BY13" s="40"/>
      <c r="BZ13" s="40"/>
      <c r="CA13" s="40"/>
      <c r="CB13" s="40"/>
      <c r="CC13" s="40"/>
      <c r="CD13" s="40"/>
      <c r="CE13" s="40"/>
      <c r="CF13" s="40"/>
      <c r="CG13" s="40"/>
      <c r="CH13" s="40"/>
      <c r="CI13" s="41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7"/>
      <c r="J14" s="21" t="str">
        <f t="shared" si="2"/>
        <v/>
      </c>
      <c r="K14" s="8"/>
      <c r="L14" s="9"/>
      <c r="M14" s="9"/>
      <c r="N14" s="47"/>
      <c r="O14" s="21" t="str">
        <f t="shared" si="3"/>
        <v/>
      </c>
      <c r="P14" s="8"/>
      <c r="Q14" s="9"/>
      <c r="R14" s="9"/>
      <c r="S14" s="47"/>
      <c r="T14" s="21" t="str">
        <f t="shared" si="4"/>
        <v/>
      </c>
      <c r="U14" s="52" t="str">
        <f>IF($J14="","",ROUND(($J14-$J$3)/1000,1)+(_xlfn.RANK.AVG($J14,($J14,$O14,$T14),1)-2)*10)</f>
        <v/>
      </c>
      <c r="V14" s="53" t="str">
        <f>IF($O14="","",ROUND(($O14-$O$3)/1000,1)+(_xlfn.RANK.AVG($O14,($J14,$O14,$T14),1)-2)*10)</f>
        <v/>
      </c>
      <c r="W14" s="54" t="str">
        <f>IF($T14="","",ROUND(($T14-$T$3)/1000,1)+(_xlfn.RANK.AVG($T14,($J14,$O14,$T14),1)-2)*10)</f>
        <v/>
      </c>
      <c r="Y14" s="8"/>
      <c r="Z14" s="33"/>
      <c r="AA14" s="26"/>
      <c r="AB14" s="26"/>
      <c r="AC14" s="26"/>
      <c r="AD14" s="30"/>
      <c r="AE14" s="3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1"/>
      <c r="AT14" s="8"/>
      <c r="AU14" s="33"/>
      <c r="AV14" s="26"/>
      <c r="AW14" s="26"/>
      <c r="AX14" s="26"/>
      <c r="AY14" s="30"/>
      <c r="AZ14" s="39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1"/>
      <c r="BO14" s="8"/>
      <c r="BP14" s="33"/>
      <c r="BQ14" s="26"/>
      <c r="BR14" s="26"/>
      <c r="BS14" s="26"/>
      <c r="BT14" s="30"/>
      <c r="BU14" s="39"/>
      <c r="BV14" s="40"/>
      <c r="BW14" s="40"/>
      <c r="BX14" s="40"/>
      <c r="BY14" s="40"/>
      <c r="BZ14" s="40"/>
      <c r="CA14" s="40"/>
      <c r="CB14" s="40"/>
      <c r="CC14" s="40"/>
      <c r="CD14" s="40"/>
      <c r="CE14" s="40"/>
      <c r="CF14" s="40"/>
      <c r="CG14" s="40"/>
      <c r="CH14" s="40"/>
      <c r="CI14" s="41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7"/>
      <c r="J15" s="21" t="str">
        <f t="shared" si="2"/>
        <v/>
      </c>
      <c r="K15" s="8"/>
      <c r="L15" s="9"/>
      <c r="M15" s="9"/>
      <c r="N15" s="47"/>
      <c r="O15" s="21" t="str">
        <f t="shared" si="3"/>
        <v/>
      </c>
      <c r="P15" s="8"/>
      <c r="Q15" s="9"/>
      <c r="R15" s="9"/>
      <c r="S15" s="47"/>
      <c r="T15" s="21" t="str">
        <f t="shared" si="4"/>
        <v/>
      </c>
      <c r="U15" s="52" t="str">
        <f>IF($J15="","",ROUND(($J15-$J$3)/1000,1)+(_xlfn.RANK.AVG($J15,($J15,$O15,$T15),1)-2)*10)</f>
        <v/>
      </c>
      <c r="V15" s="53" t="str">
        <f>IF($O15="","",ROUND(($O15-$O$3)/1000,1)+(_xlfn.RANK.AVG($O15,($J15,$O15,$T15),1)-2)*10)</f>
        <v/>
      </c>
      <c r="W15" s="54" t="str">
        <f>IF($T15="","",ROUND(($T15-$T$3)/1000,1)+(_xlfn.RANK.AVG($T15,($J15,$O15,$T15),1)-2)*10)</f>
        <v/>
      </c>
      <c r="Y15" s="8"/>
      <c r="Z15" s="33"/>
      <c r="AA15" s="26"/>
      <c r="AB15" s="26"/>
      <c r="AC15" s="26"/>
      <c r="AD15" s="30"/>
      <c r="AE15" s="3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1"/>
      <c r="AT15" s="8"/>
      <c r="AU15" s="33"/>
      <c r="AV15" s="26"/>
      <c r="AW15" s="26"/>
      <c r="AX15" s="26"/>
      <c r="AY15" s="30"/>
      <c r="AZ15" s="39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1"/>
      <c r="BO15" s="8"/>
      <c r="BP15" s="33"/>
      <c r="BQ15" s="26"/>
      <c r="BR15" s="26"/>
      <c r="BS15" s="26"/>
      <c r="BT15" s="30"/>
      <c r="BU15" s="39"/>
      <c r="BV15" s="40"/>
      <c r="BW15" s="40"/>
      <c r="BX15" s="40"/>
      <c r="BY15" s="40"/>
      <c r="BZ15" s="40"/>
      <c r="CA15" s="40"/>
      <c r="CB15" s="40"/>
      <c r="CC15" s="40"/>
      <c r="CD15" s="40"/>
      <c r="CE15" s="40"/>
      <c r="CF15" s="40"/>
      <c r="CG15" s="40"/>
      <c r="CH15" s="40"/>
      <c r="CI15" s="41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7"/>
      <c r="J16" s="21" t="str">
        <f t="shared" si="2"/>
        <v/>
      </c>
      <c r="K16" s="8"/>
      <c r="L16" s="9"/>
      <c r="M16" s="9"/>
      <c r="N16" s="47"/>
      <c r="O16" s="21" t="str">
        <f t="shared" si="3"/>
        <v/>
      </c>
      <c r="P16" s="8"/>
      <c r="Q16" s="9"/>
      <c r="R16" s="9"/>
      <c r="S16" s="47"/>
      <c r="T16" s="21" t="str">
        <f t="shared" si="4"/>
        <v/>
      </c>
      <c r="U16" s="52" t="str">
        <f>IF($J16="","",ROUND(($J16-$J$3)/1000,1)+(_xlfn.RANK.AVG($J16,($J16,$O16,$T16),1)-2)*10)</f>
        <v/>
      </c>
      <c r="V16" s="53" t="str">
        <f>IF($O16="","",ROUND(($O16-$O$3)/1000,1)+(_xlfn.RANK.AVG($O16,($J16,$O16,$T16),1)-2)*10)</f>
        <v/>
      </c>
      <c r="W16" s="54" t="str">
        <f>IF($T16="","",ROUND(($T16-$T$3)/1000,1)+(_xlfn.RANK.AVG($T16,($J16,$O16,$T16),1)-2)*10)</f>
        <v/>
      </c>
      <c r="Y16" s="8"/>
      <c r="Z16" s="33"/>
      <c r="AA16" s="26"/>
      <c r="AB16" s="26"/>
      <c r="AC16" s="26"/>
      <c r="AD16" s="30"/>
      <c r="AE16" s="3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1"/>
      <c r="AT16" s="8"/>
      <c r="AU16" s="33"/>
      <c r="AV16" s="26"/>
      <c r="AW16" s="26"/>
      <c r="AX16" s="26"/>
      <c r="AY16" s="30"/>
      <c r="AZ16" s="39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1"/>
      <c r="BO16" s="8"/>
      <c r="BP16" s="33"/>
      <c r="BQ16" s="26"/>
      <c r="BR16" s="26"/>
      <c r="BS16" s="26"/>
      <c r="BT16" s="30"/>
      <c r="BU16" s="39"/>
      <c r="BV16" s="40"/>
      <c r="BW16" s="40"/>
      <c r="BX16" s="40"/>
      <c r="BY16" s="40"/>
      <c r="BZ16" s="40"/>
      <c r="CA16" s="40"/>
      <c r="CB16" s="40"/>
      <c r="CC16" s="40"/>
      <c r="CD16" s="40"/>
      <c r="CE16" s="40"/>
      <c r="CF16" s="40"/>
      <c r="CG16" s="40"/>
      <c r="CH16" s="40"/>
      <c r="CI16" s="41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7"/>
      <c r="J17" s="21" t="str">
        <f t="shared" si="2"/>
        <v/>
      </c>
      <c r="K17" s="8"/>
      <c r="L17" s="9"/>
      <c r="M17" s="9"/>
      <c r="N17" s="47"/>
      <c r="O17" s="21" t="str">
        <f t="shared" si="3"/>
        <v/>
      </c>
      <c r="P17" s="8"/>
      <c r="Q17" s="9"/>
      <c r="R17" s="9"/>
      <c r="S17" s="47"/>
      <c r="T17" s="21" t="str">
        <f t="shared" si="4"/>
        <v/>
      </c>
      <c r="U17" s="52" t="str">
        <f>IF($J17="","",ROUND(($J17-$J$3)/1000,1)+(_xlfn.RANK.AVG($J17,($J17,$O17,$T17),1)-2)*10)</f>
        <v/>
      </c>
      <c r="V17" s="53" t="str">
        <f>IF($O17="","",ROUND(($O17-$O$3)/1000,1)+(_xlfn.RANK.AVG($O17,($J17,$O17,$T17),1)-2)*10)</f>
        <v/>
      </c>
      <c r="W17" s="54" t="str">
        <f>IF($T17="","",ROUND(($T17-$T$3)/1000,1)+(_xlfn.RANK.AVG($T17,($J17,$O17,$T17),1)-2)*10)</f>
        <v/>
      </c>
      <c r="Y17" s="8"/>
      <c r="Z17" s="33"/>
      <c r="AA17" s="26"/>
      <c r="AB17" s="26"/>
      <c r="AC17" s="26"/>
      <c r="AD17" s="30"/>
      <c r="AE17" s="3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1"/>
      <c r="AT17" s="8"/>
      <c r="AU17" s="33"/>
      <c r="AV17" s="26"/>
      <c r="AW17" s="26"/>
      <c r="AX17" s="26"/>
      <c r="AY17" s="30"/>
      <c r="AZ17" s="39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1"/>
      <c r="BO17" s="8"/>
      <c r="BP17" s="33"/>
      <c r="BQ17" s="26"/>
      <c r="BR17" s="26"/>
      <c r="BS17" s="26"/>
      <c r="BT17" s="30"/>
      <c r="BU17" s="39"/>
      <c r="BV17" s="40"/>
      <c r="BW17" s="40"/>
      <c r="BX17" s="40"/>
      <c r="BY17" s="40"/>
      <c r="BZ17" s="40"/>
      <c r="CA17" s="40"/>
      <c r="CB17" s="40"/>
      <c r="CC17" s="40"/>
      <c r="CD17" s="40"/>
      <c r="CE17" s="40"/>
      <c r="CF17" s="40"/>
      <c r="CG17" s="40"/>
      <c r="CH17" s="40"/>
      <c r="CI17" s="41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7"/>
      <c r="J18" s="21" t="str">
        <f t="shared" si="2"/>
        <v/>
      </c>
      <c r="K18" s="8"/>
      <c r="L18" s="9"/>
      <c r="M18" s="9"/>
      <c r="N18" s="47"/>
      <c r="O18" s="21" t="str">
        <f t="shared" si="3"/>
        <v/>
      </c>
      <c r="P18" s="8"/>
      <c r="Q18" s="9"/>
      <c r="R18" s="9"/>
      <c r="S18" s="47"/>
      <c r="T18" s="21" t="str">
        <f t="shared" si="4"/>
        <v/>
      </c>
      <c r="U18" s="52" t="str">
        <f>IF($J18="","",ROUND(($J18-$J$3)/1000,1)+(_xlfn.RANK.AVG($J18,($J18,$O18,$T18),1)-2)*10)</f>
        <v/>
      </c>
      <c r="V18" s="53" t="str">
        <f>IF($O18="","",ROUND(($O18-$O$3)/1000,1)+(_xlfn.RANK.AVG($O18,($J18,$O18,$T18),1)-2)*10)</f>
        <v/>
      </c>
      <c r="W18" s="54" t="str">
        <f>IF($T18="","",ROUND(($T18-$T$3)/1000,1)+(_xlfn.RANK.AVG($T18,($J18,$O18,$T18),1)-2)*10)</f>
        <v/>
      </c>
      <c r="Y18" s="8"/>
      <c r="Z18" s="33"/>
      <c r="AA18" s="26"/>
      <c r="AB18" s="26"/>
      <c r="AC18" s="26"/>
      <c r="AD18" s="30"/>
      <c r="AE18" s="3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1"/>
      <c r="AT18" s="8"/>
      <c r="AU18" s="33"/>
      <c r="AV18" s="26"/>
      <c r="AW18" s="26"/>
      <c r="AX18" s="26"/>
      <c r="AY18" s="30"/>
      <c r="AZ18" s="39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1"/>
      <c r="BO18" s="8"/>
      <c r="BP18" s="33"/>
      <c r="BQ18" s="26"/>
      <c r="BR18" s="26"/>
      <c r="BS18" s="26"/>
      <c r="BT18" s="30"/>
      <c r="BU18" s="39"/>
      <c r="BV18" s="40"/>
      <c r="BW18" s="40"/>
      <c r="BX18" s="40"/>
      <c r="BY18" s="40"/>
      <c r="BZ18" s="40"/>
      <c r="CA18" s="40"/>
      <c r="CB18" s="40"/>
      <c r="CC18" s="40"/>
      <c r="CD18" s="40"/>
      <c r="CE18" s="40"/>
      <c r="CF18" s="40"/>
      <c r="CG18" s="40"/>
      <c r="CH18" s="40"/>
      <c r="CI18" s="41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7"/>
      <c r="J19" s="21" t="str">
        <f t="shared" si="2"/>
        <v/>
      </c>
      <c r="K19" s="8"/>
      <c r="L19" s="9"/>
      <c r="M19" s="9"/>
      <c r="N19" s="47"/>
      <c r="O19" s="21" t="str">
        <f t="shared" si="3"/>
        <v/>
      </c>
      <c r="P19" s="8"/>
      <c r="Q19" s="9"/>
      <c r="R19" s="9"/>
      <c r="S19" s="47"/>
      <c r="T19" s="21" t="str">
        <f t="shared" si="4"/>
        <v/>
      </c>
      <c r="U19" s="52" t="str">
        <f>IF($J19="","",ROUND(($J19-$J$3)/1000,1)+(_xlfn.RANK.AVG($J19,($J19,$O19,$T19),1)-2)*10)</f>
        <v/>
      </c>
      <c r="V19" s="53" t="str">
        <f>IF($O19="","",ROUND(($O19-$O$3)/1000,1)+(_xlfn.RANK.AVG($O19,($J19,$O19,$T19),1)-2)*10)</f>
        <v/>
      </c>
      <c r="W19" s="54" t="str">
        <f>IF($T19="","",ROUND(($T19-$T$3)/1000,1)+(_xlfn.RANK.AVG($T19,($J19,$O19,$T19),1)-2)*10)</f>
        <v/>
      </c>
      <c r="Y19" s="8"/>
      <c r="Z19" s="33"/>
      <c r="AA19" s="26"/>
      <c r="AB19" s="26"/>
      <c r="AC19" s="26"/>
      <c r="AD19" s="30"/>
      <c r="AE19" s="3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1"/>
      <c r="AT19" s="8"/>
      <c r="AU19" s="33"/>
      <c r="AV19" s="26"/>
      <c r="AW19" s="26"/>
      <c r="AX19" s="26"/>
      <c r="AY19" s="30"/>
      <c r="AZ19" s="39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1"/>
      <c r="BO19" s="8"/>
      <c r="BP19" s="33"/>
      <c r="BQ19" s="26"/>
      <c r="BR19" s="26"/>
      <c r="BS19" s="26"/>
      <c r="BT19" s="30"/>
      <c r="BU19" s="39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1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7"/>
      <c r="J20" s="21" t="str">
        <f t="shared" si="2"/>
        <v/>
      </c>
      <c r="K20" s="8"/>
      <c r="L20" s="9"/>
      <c r="M20" s="9"/>
      <c r="N20" s="47"/>
      <c r="O20" s="21" t="str">
        <f t="shared" si="3"/>
        <v/>
      </c>
      <c r="P20" s="8"/>
      <c r="Q20" s="9"/>
      <c r="R20" s="9"/>
      <c r="S20" s="47"/>
      <c r="T20" s="21" t="str">
        <f t="shared" si="4"/>
        <v/>
      </c>
      <c r="U20" s="52" t="str">
        <f>IF($J20="","",ROUND(($J20-$J$3)/1000,1)+(_xlfn.RANK.AVG($J20,($J20,$O20,$T20),1)-2)*10)</f>
        <v/>
      </c>
      <c r="V20" s="53" t="str">
        <f>IF($O20="","",ROUND(($O20-$O$3)/1000,1)+(_xlfn.RANK.AVG($O20,($J20,$O20,$T20),1)-2)*10)</f>
        <v/>
      </c>
      <c r="W20" s="54" t="str">
        <f>IF($T20="","",ROUND(($T20-$T$3)/1000,1)+(_xlfn.RANK.AVG($T20,($J20,$O20,$T20),1)-2)*10)</f>
        <v/>
      </c>
      <c r="Y20" s="8"/>
      <c r="Z20" s="33"/>
      <c r="AA20" s="26"/>
      <c r="AB20" s="26"/>
      <c r="AC20" s="26"/>
      <c r="AD20" s="30"/>
      <c r="AE20" s="3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1"/>
      <c r="AT20" s="8"/>
      <c r="AU20" s="33"/>
      <c r="AV20" s="26"/>
      <c r="AW20" s="26"/>
      <c r="AX20" s="26"/>
      <c r="AY20" s="30"/>
      <c r="AZ20" s="39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1"/>
      <c r="BO20" s="8"/>
      <c r="BP20" s="33"/>
      <c r="BQ20" s="26"/>
      <c r="BR20" s="26"/>
      <c r="BS20" s="26"/>
      <c r="BT20" s="30"/>
      <c r="BU20" s="39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1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7"/>
      <c r="J21" s="21" t="str">
        <f t="shared" si="2"/>
        <v/>
      </c>
      <c r="K21" s="8"/>
      <c r="L21" s="9"/>
      <c r="M21" s="9"/>
      <c r="N21" s="47"/>
      <c r="O21" s="21" t="str">
        <f t="shared" si="3"/>
        <v/>
      </c>
      <c r="P21" s="8"/>
      <c r="Q21" s="9"/>
      <c r="R21" s="9"/>
      <c r="S21" s="47"/>
      <c r="T21" s="21" t="str">
        <f t="shared" si="4"/>
        <v/>
      </c>
      <c r="U21" s="52" t="str">
        <f>IF($J21="","",ROUND(($J21-$J$3)/1000,1)+(_xlfn.RANK.AVG($J21,($J21,$O21,$T21),1)-2)*10)</f>
        <v/>
      </c>
      <c r="V21" s="53" t="str">
        <f>IF($O21="","",ROUND(($O21-$O$3)/1000,1)+(_xlfn.RANK.AVG($O21,($J21,$O21,$T21),1)-2)*10)</f>
        <v/>
      </c>
      <c r="W21" s="54" t="str">
        <f>IF($T21="","",ROUND(($T21-$T$3)/1000,1)+(_xlfn.RANK.AVG($T21,($J21,$O21,$T21),1)-2)*10)</f>
        <v/>
      </c>
      <c r="Y21" s="8"/>
      <c r="Z21" s="33"/>
      <c r="AA21" s="26"/>
      <c r="AB21" s="26"/>
      <c r="AC21" s="26"/>
      <c r="AD21" s="30"/>
      <c r="AE21" s="3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1"/>
      <c r="AT21" s="8"/>
      <c r="AU21" s="33"/>
      <c r="AV21" s="26"/>
      <c r="AW21" s="26"/>
      <c r="AX21" s="26"/>
      <c r="AY21" s="30"/>
      <c r="AZ21" s="39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1"/>
      <c r="BO21" s="8"/>
      <c r="BP21" s="33"/>
      <c r="BQ21" s="26"/>
      <c r="BR21" s="26"/>
      <c r="BS21" s="26"/>
      <c r="BT21" s="30"/>
      <c r="BU21" s="39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1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7"/>
      <c r="J22" s="21" t="str">
        <f t="shared" si="2"/>
        <v/>
      </c>
      <c r="K22" s="8"/>
      <c r="L22" s="9"/>
      <c r="M22" s="9"/>
      <c r="N22" s="47"/>
      <c r="O22" s="21" t="str">
        <f t="shared" si="3"/>
        <v/>
      </c>
      <c r="P22" s="8"/>
      <c r="Q22" s="9"/>
      <c r="R22" s="9"/>
      <c r="S22" s="47"/>
      <c r="T22" s="21" t="str">
        <f t="shared" si="4"/>
        <v/>
      </c>
      <c r="U22" s="52" t="str">
        <f>IF($J22="","",ROUND(($J22-$J$3)/1000,1)+(_xlfn.RANK.AVG($J22,($J22,$O22,$T22),1)-2)*10)</f>
        <v/>
      </c>
      <c r="V22" s="53" t="str">
        <f>IF($O22="","",ROUND(($O22-$O$3)/1000,1)+(_xlfn.RANK.AVG($O22,($J22,$O22,$T22),1)-2)*10)</f>
        <v/>
      </c>
      <c r="W22" s="54" t="str">
        <f>IF($T22="","",ROUND(($T22-$T$3)/1000,1)+(_xlfn.RANK.AVG($T22,($J22,$O22,$T22),1)-2)*10)</f>
        <v/>
      </c>
      <c r="Y22" s="8"/>
      <c r="Z22" s="33"/>
      <c r="AA22" s="26"/>
      <c r="AB22" s="26"/>
      <c r="AC22" s="26"/>
      <c r="AD22" s="30"/>
      <c r="AE22" s="3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1"/>
      <c r="AT22" s="8"/>
      <c r="AU22" s="33"/>
      <c r="AV22" s="26"/>
      <c r="AW22" s="26"/>
      <c r="AX22" s="26"/>
      <c r="AY22" s="30"/>
      <c r="AZ22" s="39"/>
      <c r="BA22" s="40"/>
      <c r="BB22" s="40"/>
      <c r="BC22" s="40"/>
      <c r="BD22" s="40"/>
      <c r="BE22" s="40"/>
      <c r="BF22" s="40"/>
      <c r="BG22" s="40"/>
      <c r="BH22" s="40"/>
      <c r="BI22" s="40"/>
      <c r="BJ22" s="40"/>
      <c r="BK22" s="40"/>
      <c r="BL22" s="40"/>
      <c r="BM22" s="40"/>
      <c r="BN22" s="41"/>
      <c r="BO22" s="8"/>
      <c r="BP22" s="33"/>
      <c r="BQ22" s="26"/>
      <c r="BR22" s="26"/>
      <c r="BS22" s="26"/>
      <c r="BT22" s="30"/>
      <c r="BU22" s="39"/>
      <c r="BV22" s="40"/>
      <c r="BW22" s="40"/>
      <c r="BX22" s="40"/>
      <c r="BY22" s="40"/>
      <c r="BZ22" s="40"/>
      <c r="CA22" s="40"/>
      <c r="CB22" s="40"/>
      <c r="CC22" s="40"/>
      <c r="CD22" s="40"/>
      <c r="CE22" s="40"/>
      <c r="CF22" s="40"/>
      <c r="CG22" s="40"/>
      <c r="CH22" s="40"/>
      <c r="CI22" s="41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7"/>
      <c r="J23" s="21" t="str">
        <f t="shared" si="2"/>
        <v/>
      </c>
      <c r="K23" s="8"/>
      <c r="L23" s="9"/>
      <c r="M23" s="9"/>
      <c r="N23" s="47"/>
      <c r="O23" s="21" t="str">
        <f t="shared" si="3"/>
        <v/>
      </c>
      <c r="P23" s="8"/>
      <c r="Q23" s="9"/>
      <c r="R23" s="9"/>
      <c r="S23" s="47"/>
      <c r="T23" s="21" t="str">
        <f t="shared" si="4"/>
        <v/>
      </c>
      <c r="U23" s="52" t="str">
        <f>IF($J23="","",ROUND(($J23-$J$3)/1000,1)+(_xlfn.RANK.AVG($J23,($J23,$O23,$T23),1)-2)*10)</f>
        <v/>
      </c>
      <c r="V23" s="53" t="str">
        <f>IF($O23="","",ROUND(($O23-$O$3)/1000,1)+(_xlfn.RANK.AVG($O23,($J23,$O23,$T23),1)-2)*10)</f>
        <v/>
      </c>
      <c r="W23" s="54" t="str">
        <f>IF($T23="","",ROUND(($T23-$T$3)/1000,1)+(_xlfn.RANK.AVG($T23,($J23,$O23,$T23),1)-2)*10)</f>
        <v/>
      </c>
      <c r="Y23" s="8"/>
      <c r="Z23" s="33"/>
      <c r="AA23" s="26"/>
      <c r="AB23" s="26"/>
      <c r="AC23" s="26"/>
      <c r="AD23" s="30"/>
      <c r="AE23" s="3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1"/>
      <c r="AT23" s="8"/>
      <c r="AU23" s="33"/>
      <c r="AV23" s="26"/>
      <c r="AW23" s="26"/>
      <c r="AX23" s="26"/>
      <c r="AY23" s="30"/>
      <c r="AZ23" s="39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1"/>
      <c r="BO23" s="8"/>
      <c r="BP23" s="33"/>
      <c r="BQ23" s="26"/>
      <c r="BR23" s="26"/>
      <c r="BS23" s="26"/>
      <c r="BT23" s="30"/>
      <c r="BU23" s="39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1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7"/>
      <c r="J24" s="21" t="str">
        <f t="shared" si="2"/>
        <v/>
      </c>
      <c r="K24" s="8"/>
      <c r="L24" s="9"/>
      <c r="M24" s="9"/>
      <c r="N24" s="47"/>
      <c r="O24" s="21" t="str">
        <f t="shared" si="3"/>
        <v/>
      </c>
      <c r="P24" s="8"/>
      <c r="Q24" s="9"/>
      <c r="R24" s="9"/>
      <c r="S24" s="47"/>
      <c r="T24" s="21" t="str">
        <f t="shared" si="4"/>
        <v/>
      </c>
      <c r="U24" s="52" t="str">
        <f>IF($J24="","",ROUND(($J24-$J$3)/1000,1)+(_xlfn.RANK.AVG($J24,($J24,$O24,$T24),1)-2)*10)</f>
        <v/>
      </c>
      <c r="V24" s="53" t="str">
        <f>IF($O24="","",ROUND(($O24-$O$3)/1000,1)+(_xlfn.RANK.AVG($O24,($J24,$O24,$T24),1)-2)*10)</f>
        <v/>
      </c>
      <c r="W24" s="54" t="str">
        <f>IF($T24="","",ROUND(($T24-$T$3)/1000,1)+(_xlfn.RANK.AVG($T24,($J24,$O24,$T24),1)-2)*10)</f>
        <v/>
      </c>
      <c r="Y24" s="8"/>
      <c r="Z24" s="33"/>
      <c r="AA24" s="26"/>
      <c r="AB24" s="26"/>
      <c r="AC24" s="26"/>
      <c r="AD24" s="30"/>
      <c r="AE24" s="3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1"/>
      <c r="AT24" s="8"/>
      <c r="AU24" s="33"/>
      <c r="AV24" s="26"/>
      <c r="AW24" s="26"/>
      <c r="AX24" s="26"/>
      <c r="AY24" s="30"/>
      <c r="AZ24" s="39"/>
      <c r="BA24" s="40"/>
      <c r="BB24" s="40"/>
      <c r="BC24" s="40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1"/>
      <c r="BO24" s="8"/>
      <c r="BP24" s="33"/>
      <c r="BQ24" s="26"/>
      <c r="BR24" s="26"/>
      <c r="BS24" s="26"/>
      <c r="BT24" s="30"/>
      <c r="BU24" s="39"/>
      <c r="BV24" s="40"/>
      <c r="BW24" s="40"/>
      <c r="BX24" s="40"/>
      <c r="BY24" s="40"/>
      <c r="BZ24" s="40"/>
      <c r="CA24" s="40"/>
      <c r="CB24" s="40"/>
      <c r="CC24" s="40"/>
      <c r="CD24" s="40"/>
      <c r="CE24" s="40"/>
      <c r="CF24" s="40"/>
      <c r="CG24" s="40"/>
      <c r="CH24" s="40"/>
      <c r="CI24" s="41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7"/>
      <c r="J25" s="21" t="str">
        <f t="shared" si="2"/>
        <v/>
      </c>
      <c r="K25" s="8"/>
      <c r="L25" s="9"/>
      <c r="M25" s="9"/>
      <c r="N25" s="47"/>
      <c r="O25" s="21" t="str">
        <f t="shared" si="3"/>
        <v/>
      </c>
      <c r="P25" s="8"/>
      <c r="Q25" s="9"/>
      <c r="R25" s="9"/>
      <c r="S25" s="47"/>
      <c r="T25" s="21" t="str">
        <f t="shared" si="4"/>
        <v/>
      </c>
      <c r="U25" s="52" t="str">
        <f>IF($J25="","",ROUND(($J25-$J$3)/1000,1)+(_xlfn.RANK.AVG($J25,($J25,$O25,$T25),1)-2)*10)</f>
        <v/>
      </c>
      <c r="V25" s="53" t="str">
        <f>IF($O25="","",ROUND(($O25-$O$3)/1000,1)+(_xlfn.RANK.AVG($O25,($J25,$O25,$T25),1)-2)*10)</f>
        <v/>
      </c>
      <c r="W25" s="54" t="str">
        <f>IF($T25="","",ROUND(($T25-$T$3)/1000,1)+(_xlfn.RANK.AVG($T25,($J25,$O25,$T25),1)-2)*10)</f>
        <v/>
      </c>
      <c r="Y25" s="8"/>
      <c r="Z25" s="33"/>
      <c r="AA25" s="26"/>
      <c r="AB25" s="26"/>
      <c r="AC25" s="26"/>
      <c r="AD25" s="30"/>
      <c r="AE25" s="3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1"/>
      <c r="AT25" s="8"/>
      <c r="AU25" s="33"/>
      <c r="AV25" s="26"/>
      <c r="AW25" s="26"/>
      <c r="AX25" s="26"/>
      <c r="AY25" s="30"/>
      <c r="AZ25" s="39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1"/>
      <c r="BO25" s="8"/>
      <c r="BP25" s="33"/>
      <c r="BQ25" s="26"/>
      <c r="BR25" s="26"/>
      <c r="BS25" s="26"/>
      <c r="BT25" s="30"/>
      <c r="BU25" s="39"/>
      <c r="BV25" s="40"/>
      <c r="BW25" s="40"/>
      <c r="BX25" s="40"/>
      <c r="BY25" s="40"/>
      <c r="BZ25" s="40"/>
      <c r="CA25" s="40"/>
      <c r="CB25" s="40"/>
      <c r="CC25" s="40"/>
      <c r="CD25" s="40"/>
      <c r="CE25" s="40"/>
      <c r="CF25" s="40"/>
      <c r="CG25" s="40"/>
      <c r="CH25" s="40"/>
      <c r="CI25" s="41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7"/>
      <c r="J26" s="21" t="str">
        <f t="shared" si="2"/>
        <v/>
      </c>
      <c r="K26" s="8"/>
      <c r="L26" s="9"/>
      <c r="M26" s="9"/>
      <c r="N26" s="47"/>
      <c r="O26" s="21" t="str">
        <f t="shared" si="3"/>
        <v/>
      </c>
      <c r="P26" s="8"/>
      <c r="Q26" s="9"/>
      <c r="R26" s="9"/>
      <c r="S26" s="47"/>
      <c r="T26" s="21" t="str">
        <f t="shared" si="4"/>
        <v/>
      </c>
      <c r="U26" s="52" t="str">
        <f>IF($J26="","",ROUND(($J26-$J$3)/1000,1)+(_xlfn.RANK.AVG($J26,($J26,$O26,$T26),1)-2)*10)</f>
        <v/>
      </c>
      <c r="V26" s="53" t="str">
        <f>IF($O26="","",ROUND(($O26-$O$3)/1000,1)+(_xlfn.RANK.AVG($O26,($J26,$O26,$T26),1)-2)*10)</f>
        <v/>
      </c>
      <c r="W26" s="54" t="str">
        <f>IF($T26="","",ROUND(($T26-$T$3)/1000,1)+(_xlfn.RANK.AVG($T26,($J26,$O26,$T26),1)-2)*10)</f>
        <v/>
      </c>
      <c r="Y26" s="8"/>
      <c r="Z26" s="33"/>
      <c r="AA26" s="26"/>
      <c r="AB26" s="26"/>
      <c r="AC26" s="26"/>
      <c r="AD26" s="30"/>
      <c r="AE26" s="3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1"/>
      <c r="AT26" s="8"/>
      <c r="AU26" s="33"/>
      <c r="AV26" s="26"/>
      <c r="AW26" s="26"/>
      <c r="AX26" s="26"/>
      <c r="AY26" s="30"/>
      <c r="AZ26" s="39"/>
      <c r="BA26" s="40"/>
      <c r="BB26" s="40"/>
      <c r="BC26" s="40"/>
      <c r="BD26" s="40"/>
      <c r="BE26" s="40"/>
      <c r="BF26" s="40"/>
      <c r="BG26" s="40"/>
      <c r="BH26" s="40"/>
      <c r="BI26" s="40"/>
      <c r="BJ26" s="40"/>
      <c r="BK26" s="40"/>
      <c r="BL26" s="40"/>
      <c r="BM26" s="40"/>
      <c r="BN26" s="41"/>
      <c r="BO26" s="8"/>
      <c r="BP26" s="33"/>
      <c r="BQ26" s="26"/>
      <c r="BR26" s="26"/>
      <c r="BS26" s="26"/>
      <c r="BT26" s="30"/>
      <c r="BU26" s="39"/>
      <c r="BV26" s="40"/>
      <c r="BW26" s="40"/>
      <c r="BX26" s="40"/>
      <c r="BY26" s="40"/>
      <c r="BZ26" s="40"/>
      <c r="CA26" s="40"/>
      <c r="CB26" s="40"/>
      <c r="CC26" s="40"/>
      <c r="CD26" s="40"/>
      <c r="CE26" s="40"/>
      <c r="CF26" s="40"/>
      <c r="CG26" s="40"/>
      <c r="CH26" s="40"/>
      <c r="CI26" s="41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7"/>
      <c r="J27" s="21" t="str">
        <f t="shared" si="2"/>
        <v/>
      </c>
      <c r="K27" s="8"/>
      <c r="L27" s="9"/>
      <c r="M27" s="9"/>
      <c r="N27" s="47"/>
      <c r="O27" s="21" t="str">
        <f t="shared" si="3"/>
        <v/>
      </c>
      <c r="P27" s="8"/>
      <c r="Q27" s="9"/>
      <c r="R27" s="9"/>
      <c r="S27" s="47"/>
      <c r="T27" s="21" t="str">
        <f t="shared" si="4"/>
        <v/>
      </c>
      <c r="U27" s="52" t="str">
        <f>IF($J27="","",ROUND(($J27-$J$3)/1000,1)+(_xlfn.RANK.AVG($J27,($J27,$O27,$T27),1)-2)*10)</f>
        <v/>
      </c>
      <c r="V27" s="53" t="str">
        <f>IF($O27="","",ROUND(($O27-$O$3)/1000,1)+(_xlfn.RANK.AVG($O27,($J27,$O27,$T27),1)-2)*10)</f>
        <v/>
      </c>
      <c r="W27" s="54" t="str">
        <f>IF($T27="","",ROUND(($T27-$T$3)/1000,1)+(_xlfn.RANK.AVG($T27,($J27,$O27,$T27),1)-2)*10)</f>
        <v/>
      </c>
      <c r="Y27" s="8"/>
      <c r="Z27" s="33"/>
      <c r="AA27" s="26"/>
      <c r="AB27" s="26"/>
      <c r="AC27" s="26"/>
      <c r="AD27" s="30"/>
      <c r="AE27" s="3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1"/>
      <c r="AT27" s="8"/>
      <c r="AU27" s="33"/>
      <c r="AV27" s="26"/>
      <c r="AW27" s="26"/>
      <c r="AX27" s="26"/>
      <c r="AY27" s="30"/>
      <c r="AZ27" s="39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1"/>
      <c r="BO27" s="8"/>
      <c r="BP27" s="33"/>
      <c r="BQ27" s="26"/>
      <c r="BR27" s="26"/>
      <c r="BS27" s="26"/>
      <c r="BT27" s="30"/>
      <c r="BU27" s="39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1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7"/>
      <c r="J28" s="21" t="str">
        <f t="shared" si="2"/>
        <v/>
      </c>
      <c r="K28" s="8"/>
      <c r="L28" s="9"/>
      <c r="M28" s="9"/>
      <c r="N28" s="47"/>
      <c r="O28" s="21" t="str">
        <f t="shared" si="3"/>
        <v/>
      </c>
      <c r="P28" s="8"/>
      <c r="Q28" s="9"/>
      <c r="R28" s="9"/>
      <c r="S28" s="47"/>
      <c r="T28" s="21" t="str">
        <f t="shared" si="4"/>
        <v/>
      </c>
      <c r="U28" s="52" t="str">
        <f>IF($J28="","",ROUND(($J28-$J$3)/1000,1)+(_xlfn.RANK.AVG($J28,($J28,$O28,$T28),1)-2)*10)</f>
        <v/>
      </c>
      <c r="V28" s="53" t="str">
        <f>IF($O28="","",ROUND(($O28-$O$3)/1000,1)+(_xlfn.RANK.AVG($O28,($J28,$O28,$T28),1)-2)*10)</f>
        <v/>
      </c>
      <c r="W28" s="54" t="str">
        <f>IF($T28="","",ROUND(($T28-$T$3)/1000,1)+(_xlfn.RANK.AVG($T28,($J28,$O28,$T28),1)-2)*10)</f>
        <v/>
      </c>
      <c r="Y28" s="8"/>
      <c r="Z28" s="33"/>
      <c r="AA28" s="26"/>
      <c r="AB28" s="26"/>
      <c r="AC28" s="26"/>
      <c r="AD28" s="30"/>
      <c r="AE28" s="3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1"/>
      <c r="AT28" s="8"/>
      <c r="AU28" s="33"/>
      <c r="AV28" s="26"/>
      <c r="AW28" s="26"/>
      <c r="AX28" s="26"/>
      <c r="AY28" s="30"/>
      <c r="AZ28" s="39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1"/>
      <c r="BO28" s="8"/>
      <c r="BP28" s="33"/>
      <c r="BQ28" s="26"/>
      <c r="BR28" s="26"/>
      <c r="BS28" s="26"/>
      <c r="BT28" s="30"/>
      <c r="BU28" s="39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1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7"/>
      <c r="J29" s="21" t="str">
        <f t="shared" si="2"/>
        <v/>
      </c>
      <c r="K29" s="8"/>
      <c r="L29" s="9"/>
      <c r="M29" s="9"/>
      <c r="N29" s="47"/>
      <c r="O29" s="21" t="str">
        <f t="shared" si="3"/>
        <v/>
      </c>
      <c r="P29" s="8"/>
      <c r="Q29" s="9"/>
      <c r="R29" s="9"/>
      <c r="S29" s="47"/>
      <c r="T29" s="21" t="str">
        <f t="shared" si="4"/>
        <v/>
      </c>
      <c r="U29" s="52" t="str">
        <f>IF($J29="","",ROUND(($J29-$J$3)/1000,1)+(_xlfn.RANK.AVG($J29,($J29,$O29,$T29),1)-2)*10)</f>
        <v/>
      </c>
      <c r="V29" s="53" t="str">
        <f>IF($O29="","",ROUND(($O29-$O$3)/1000,1)+(_xlfn.RANK.AVG($O29,($J29,$O29,$T29),1)-2)*10)</f>
        <v/>
      </c>
      <c r="W29" s="54" t="str">
        <f>IF($T29="","",ROUND(($T29-$T$3)/1000,1)+(_xlfn.RANK.AVG($T29,($J29,$O29,$T29),1)-2)*10)</f>
        <v/>
      </c>
      <c r="Y29" s="8"/>
      <c r="Z29" s="33"/>
      <c r="AA29" s="26"/>
      <c r="AB29" s="26"/>
      <c r="AC29" s="26"/>
      <c r="AD29" s="30"/>
      <c r="AE29" s="3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1"/>
      <c r="AT29" s="8"/>
      <c r="AU29" s="33"/>
      <c r="AV29" s="26"/>
      <c r="AW29" s="26"/>
      <c r="AX29" s="26"/>
      <c r="AY29" s="30"/>
      <c r="AZ29" s="39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1"/>
      <c r="BO29" s="8"/>
      <c r="BP29" s="33"/>
      <c r="BQ29" s="26"/>
      <c r="BR29" s="26"/>
      <c r="BS29" s="26"/>
      <c r="BT29" s="30"/>
      <c r="BU29" s="39"/>
      <c r="BV29" s="40"/>
      <c r="BW29" s="40"/>
      <c r="BX29" s="40"/>
      <c r="BY29" s="40"/>
      <c r="BZ29" s="40"/>
      <c r="CA29" s="40"/>
      <c r="CB29" s="40"/>
      <c r="CC29" s="40"/>
      <c r="CD29" s="40"/>
      <c r="CE29" s="40"/>
      <c r="CF29" s="40"/>
      <c r="CG29" s="40"/>
      <c r="CH29" s="40"/>
      <c r="CI29" s="41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8"/>
      <c r="J30" s="22" t="str">
        <f t="shared" si="2"/>
        <v/>
      </c>
      <c r="K30" s="10"/>
      <c r="L30" s="11"/>
      <c r="M30" s="11"/>
      <c r="N30" s="48"/>
      <c r="O30" s="22" t="str">
        <f t="shared" si="3"/>
        <v/>
      </c>
      <c r="P30" s="10"/>
      <c r="Q30" s="11"/>
      <c r="R30" s="11"/>
      <c r="S30" s="48"/>
      <c r="T30" s="22" t="str">
        <f t="shared" si="4"/>
        <v/>
      </c>
      <c r="U30" s="55" t="str">
        <f>IF($J30="","",ROUND(($J30-$J$3)/1000,1)+(_xlfn.RANK.AVG($J30,($J30,$O30,$T30),1)-2)*10)</f>
        <v/>
      </c>
      <c r="V30" s="56" t="str">
        <f>IF($O30="","",ROUND(($O30-$O$3)/1000,1)+(_xlfn.RANK.AVG($O30,($J30,$O30,$T30),1)-2)*10)</f>
        <v/>
      </c>
      <c r="W30" s="57" t="str">
        <f>IF($T30="","",ROUND(($T30-$T$3)/1000,1)+(_xlfn.RANK.AVG($T30,($J30,$O30,$T30),1)-2)*10)</f>
        <v/>
      </c>
      <c r="Y30" s="10"/>
      <c r="Z30" s="34"/>
      <c r="AA30" s="27"/>
      <c r="AB30" s="27"/>
      <c r="AC30" s="27"/>
      <c r="AD30" s="31"/>
      <c r="AE30" s="42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4"/>
      <c r="AT30" s="10"/>
      <c r="AU30" s="34"/>
      <c r="AV30" s="27"/>
      <c r="AW30" s="27"/>
      <c r="AX30" s="27"/>
      <c r="AY30" s="31"/>
      <c r="AZ30" s="42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4"/>
      <c r="BO30" s="10"/>
      <c r="BP30" s="34"/>
      <c r="BQ30" s="27"/>
      <c r="BR30" s="27"/>
      <c r="BS30" s="27"/>
      <c r="BT30" s="31"/>
      <c r="BU30" s="42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4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showInputMessage="1" showErrorMessage="1" sqref="K4:K30 P4:P30 F4:F30" xr:uid="{7C58FD34-D103-46F8-9022-4286756978BC}">
      <formula1>"ロン,ツモ,放銃,ツモ支払,流局,チョンボ"</formula1>
    </dataValidation>
    <dataValidation type="list" allowBlank="1" showInputMessage="1" showErrorMessage="1" sqref="E4:E30" xr:uid="{3F945D12-B43D-49D2-BAD1-A47992CB655C}">
      <formula1>$U$2:$W$2</formula1>
    </dataValidation>
    <dataValidation type="list" allowBlank="1" showInputMessage="1" sqref="F1:T1" xr:uid="{B70A5973-20D3-4166-8CEB-E8B6E54DA2D5}">
      <formula1>"パパ,だいち,あやめ,"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>
      <selection sqref="A1:A2"/>
    </sheetView>
  </sheetViews>
  <sheetFormatPr defaultRowHeight="18" x14ac:dyDescent="0.45"/>
  <cols>
    <col min="1" max="1" width="9" style="35" customWidth="1"/>
    <col min="2" max="2" width="6.5" style="35" customWidth="1"/>
    <col min="3" max="3" width="19.19921875" style="15" bestFit="1" customWidth="1"/>
    <col min="4" max="5" width="6.5" style="15" customWidth="1"/>
  </cols>
  <sheetData>
    <row r="1" spans="1:5" x14ac:dyDescent="0.45">
      <c r="A1" s="35" t="s">
        <v>27</v>
      </c>
      <c r="B1" s="35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5" t="s">
        <v>77</v>
      </c>
      <c r="B2" s="35" t="s">
        <v>139</v>
      </c>
      <c r="C2" s="15" t="s">
        <v>132</v>
      </c>
      <c r="D2" s="15">
        <v>1</v>
      </c>
    </row>
    <row r="3" spans="1:5" x14ac:dyDescent="0.45">
      <c r="A3" s="35" t="s">
        <v>78</v>
      </c>
      <c r="B3" s="35" t="s">
        <v>148</v>
      </c>
      <c r="C3" s="15" t="s">
        <v>31</v>
      </c>
      <c r="D3" s="15">
        <v>1</v>
      </c>
    </row>
    <row r="4" spans="1:5" x14ac:dyDescent="0.45">
      <c r="A4" s="35" t="s">
        <v>79</v>
      </c>
      <c r="B4" s="35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5" t="s">
        <v>80</v>
      </c>
      <c r="B5" s="35" t="s">
        <v>142</v>
      </c>
      <c r="C5" s="15" t="s">
        <v>33</v>
      </c>
      <c r="D5" s="15">
        <v>1</v>
      </c>
    </row>
    <row r="6" spans="1:5" x14ac:dyDescent="0.45">
      <c r="A6" s="35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5" t="s">
        <v>82</v>
      </c>
      <c r="B7" s="35" t="s">
        <v>140</v>
      </c>
      <c r="C7" s="15" t="s">
        <v>35</v>
      </c>
      <c r="D7" s="15">
        <v>1</v>
      </c>
    </row>
    <row r="8" spans="1:5" x14ac:dyDescent="0.45">
      <c r="A8" s="35" t="s">
        <v>83</v>
      </c>
      <c r="B8" s="35" t="s">
        <v>144</v>
      </c>
      <c r="C8" s="15" t="s">
        <v>36</v>
      </c>
      <c r="D8" s="15">
        <v>1</v>
      </c>
    </row>
    <row r="9" spans="1:5" x14ac:dyDescent="0.45">
      <c r="A9" s="35" t="s">
        <v>84</v>
      </c>
      <c r="B9" s="35" t="s">
        <v>146</v>
      </c>
      <c r="C9" s="15" t="s">
        <v>37</v>
      </c>
      <c r="D9" s="15">
        <v>1</v>
      </c>
    </row>
    <row r="10" spans="1:5" x14ac:dyDescent="0.45">
      <c r="A10" s="35" t="s">
        <v>85</v>
      </c>
      <c r="B10" s="35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5" t="s">
        <v>86</v>
      </c>
      <c r="B11" s="35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5" t="s">
        <v>87</v>
      </c>
      <c r="B12" s="35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5" t="s">
        <v>88</v>
      </c>
      <c r="B13" s="35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5" t="s">
        <v>89</v>
      </c>
      <c r="B14" s="35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5" t="s">
        <v>90</v>
      </c>
      <c r="B15" s="35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5" t="s">
        <v>91</v>
      </c>
      <c r="B16" s="35" t="s">
        <v>157</v>
      </c>
      <c r="C16" s="15" t="s">
        <v>43</v>
      </c>
      <c r="D16" s="15">
        <v>2</v>
      </c>
    </row>
    <row r="17" spans="1:5" x14ac:dyDescent="0.45">
      <c r="A17" s="35" t="s">
        <v>92</v>
      </c>
      <c r="B17" s="35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5" t="s">
        <v>93</v>
      </c>
      <c r="B18" s="35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5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5" t="s">
        <v>95</v>
      </c>
      <c r="B20" s="35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5" t="s">
        <v>96</v>
      </c>
      <c r="B21" s="35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5" t="s">
        <v>97</v>
      </c>
      <c r="B22" s="35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5" t="s">
        <v>98</v>
      </c>
      <c r="B23" s="35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5" t="s">
        <v>99</v>
      </c>
      <c r="B24" s="35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5" t="s">
        <v>100</v>
      </c>
      <c r="B25" s="35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5" t="s">
        <v>101</v>
      </c>
      <c r="B26" s="35" t="s">
        <v>154</v>
      </c>
      <c r="C26" s="15" t="s">
        <v>52</v>
      </c>
      <c r="D26" s="15">
        <v>2</v>
      </c>
    </row>
    <row r="27" spans="1:5" x14ac:dyDescent="0.45">
      <c r="A27" s="35" t="s">
        <v>102</v>
      </c>
      <c r="B27" s="35" t="s">
        <v>164</v>
      </c>
      <c r="C27" s="15" t="s">
        <v>53</v>
      </c>
      <c r="D27" s="15">
        <v>3</v>
      </c>
    </row>
    <row r="28" spans="1:5" x14ac:dyDescent="0.45">
      <c r="A28" s="35" t="s">
        <v>103</v>
      </c>
      <c r="B28" s="35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5" t="s">
        <v>104</v>
      </c>
      <c r="B29" s="35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5" t="s">
        <v>105</v>
      </c>
      <c r="B30" s="35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5" t="s">
        <v>106</v>
      </c>
      <c r="B31" s="35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5" t="s">
        <v>107</v>
      </c>
      <c r="B32" s="35" t="s">
        <v>169</v>
      </c>
      <c r="C32" s="15" t="s">
        <v>57</v>
      </c>
      <c r="D32" s="15">
        <v>13</v>
      </c>
    </row>
    <row r="33" spans="1:5" x14ac:dyDescent="0.45">
      <c r="A33" s="35" t="s">
        <v>108</v>
      </c>
      <c r="B33" s="35" t="s">
        <v>170</v>
      </c>
      <c r="C33" s="15" t="s">
        <v>58</v>
      </c>
      <c r="D33" s="15">
        <v>13</v>
      </c>
    </row>
    <row r="34" spans="1:5" x14ac:dyDescent="0.45">
      <c r="A34" s="35" t="s">
        <v>109</v>
      </c>
      <c r="B34" s="35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5" t="s">
        <v>110</v>
      </c>
      <c r="B35" s="35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5" t="s">
        <v>111</v>
      </c>
      <c r="B36" s="35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5" t="s">
        <v>112</v>
      </c>
      <c r="B37" s="35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5" t="s">
        <v>113</v>
      </c>
      <c r="B38" s="35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5" t="s">
        <v>114</v>
      </c>
      <c r="B39" s="35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5" t="s">
        <v>115</v>
      </c>
      <c r="B40" s="35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5" t="s">
        <v>116</v>
      </c>
      <c r="B41" s="35" t="s">
        <v>178</v>
      </c>
      <c r="C41" s="15" t="s">
        <v>66</v>
      </c>
      <c r="D41" s="15">
        <v>13</v>
      </c>
    </row>
    <row r="42" spans="1:5" x14ac:dyDescent="0.45">
      <c r="A42" s="35" t="s">
        <v>117</v>
      </c>
      <c r="B42" s="35" t="s">
        <v>179</v>
      </c>
      <c r="C42" s="15" t="s">
        <v>67</v>
      </c>
      <c r="D42" s="15">
        <v>13</v>
      </c>
    </row>
    <row r="43" spans="1:5" x14ac:dyDescent="0.45">
      <c r="A43" s="35" t="s">
        <v>118</v>
      </c>
      <c r="B43" s="35" t="s">
        <v>180</v>
      </c>
      <c r="C43" s="15" t="s">
        <v>68</v>
      </c>
      <c r="D43" s="15">
        <v>13</v>
      </c>
    </row>
    <row r="44" spans="1:5" x14ac:dyDescent="0.45">
      <c r="A44" s="35" t="s">
        <v>119</v>
      </c>
      <c r="B44" s="35" t="s">
        <v>181</v>
      </c>
      <c r="C44" s="15" t="s">
        <v>69</v>
      </c>
      <c r="D44" s="15">
        <v>13</v>
      </c>
    </row>
    <row r="45" spans="1:5" x14ac:dyDescent="0.45">
      <c r="A45" s="35" t="s">
        <v>120</v>
      </c>
      <c r="B45" s="35" t="s">
        <v>182</v>
      </c>
      <c r="C45" s="15" t="s">
        <v>70</v>
      </c>
      <c r="D45" s="15">
        <v>26</v>
      </c>
    </row>
    <row r="46" spans="1:5" x14ac:dyDescent="0.45">
      <c r="A46" s="35" t="s">
        <v>121</v>
      </c>
      <c r="B46" s="35" t="s">
        <v>183</v>
      </c>
      <c r="C46" s="15" t="s">
        <v>71</v>
      </c>
      <c r="D46" s="15">
        <v>26</v>
      </c>
    </row>
    <row r="47" spans="1:5" x14ac:dyDescent="0.45">
      <c r="A47" s="35" t="s">
        <v>122</v>
      </c>
      <c r="B47" s="35" t="s">
        <v>184</v>
      </c>
      <c r="C47" s="15" t="s">
        <v>72</v>
      </c>
      <c r="D47" s="15">
        <v>26</v>
      </c>
    </row>
    <row r="48" spans="1:5" x14ac:dyDescent="0.45">
      <c r="A48" s="35" t="s">
        <v>123</v>
      </c>
      <c r="B48" s="35" t="s">
        <v>185</v>
      </c>
      <c r="C48" s="15" t="s">
        <v>73</v>
      </c>
      <c r="D48" s="15">
        <v>13</v>
      </c>
    </row>
    <row r="49" spans="1:5" x14ac:dyDescent="0.45">
      <c r="A49" s="35" t="s">
        <v>124</v>
      </c>
      <c r="B49" s="35" t="s">
        <v>186</v>
      </c>
      <c r="C49" s="15" t="s">
        <v>74</v>
      </c>
      <c r="D49" s="15">
        <v>13</v>
      </c>
    </row>
    <row r="50" spans="1:5" x14ac:dyDescent="0.45">
      <c r="A50" s="35" t="s">
        <v>125</v>
      </c>
      <c r="C50" s="15" t="s">
        <v>75</v>
      </c>
      <c r="D50" s="15">
        <v>13</v>
      </c>
    </row>
    <row r="51" spans="1:5" x14ac:dyDescent="0.45">
      <c r="A51" s="35" t="s">
        <v>126</v>
      </c>
      <c r="B51" s="35" t="s">
        <v>187</v>
      </c>
      <c r="C51" s="15" t="s">
        <v>76</v>
      </c>
      <c r="D51" s="15">
        <v>13</v>
      </c>
    </row>
    <row r="52" spans="1:5" x14ac:dyDescent="0.45">
      <c r="A52" s="35" t="s">
        <v>134</v>
      </c>
      <c r="B52" s="35" t="s">
        <v>158</v>
      </c>
      <c r="C52" s="15" t="s">
        <v>135</v>
      </c>
      <c r="D52" s="15">
        <v>2</v>
      </c>
    </row>
    <row r="53" spans="1:5" x14ac:dyDescent="0.45">
      <c r="A53" s="35" t="s">
        <v>136</v>
      </c>
      <c r="B53" s="35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5" t="s">
        <v>188</v>
      </c>
      <c r="B54" s="35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59181-8EAA-4829-BFE2-9AA8C3BB3993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E3">
        <v>2600</v>
      </c>
      <c r="F3">
        <v>5200</v>
      </c>
    </row>
    <row r="4" spans="1:13" x14ac:dyDescent="0.45">
      <c r="A4" s="15">
        <v>25</v>
      </c>
      <c r="D4">
        <v>1600</v>
      </c>
      <c r="E4">
        <v>3200</v>
      </c>
      <c r="F4">
        <v>6400</v>
      </c>
    </row>
    <row r="5" spans="1:13" x14ac:dyDescent="0.45">
      <c r="A5" s="15">
        <v>30</v>
      </c>
      <c r="C5">
        <v>1000</v>
      </c>
      <c r="D5">
        <v>2000</v>
      </c>
      <c r="E5">
        <v>3900</v>
      </c>
      <c r="F5">
        <v>7700</v>
      </c>
    </row>
    <row r="6" spans="1:13" x14ac:dyDescent="0.45">
      <c r="A6" s="15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5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5">
        <v>60</v>
      </c>
      <c r="C8">
        <v>2000</v>
      </c>
      <c r="D8">
        <v>3900</v>
      </c>
      <c r="E8">
        <v>7700</v>
      </c>
      <c r="F8">
        <v>8000</v>
      </c>
    </row>
    <row r="9" spans="1:13" x14ac:dyDescent="0.45">
      <c r="A9" s="15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5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5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5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5">
        <v>110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CAB4-34E3-412D-BFCF-0ED76F7503F8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5">
        <v>20</v>
      </c>
      <c r="B3" t="s">
        <v>10</v>
      </c>
      <c r="C3" t="s">
        <v>10</v>
      </c>
      <c r="D3">
        <v>1400</v>
      </c>
      <c r="E3">
        <v>2600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1000</v>
      </c>
      <c r="D5">
        <v>2000</v>
      </c>
      <c r="E5">
        <v>4000</v>
      </c>
      <c r="F5">
        <v>7800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1400</v>
      </c>
      <c r="D6">
        <v>2600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2000</v>
      </c>
      <c r="D8">
        <v>4000</v>
      </c>
      <c r="E8">
        <v>7800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2400</v>
      </c>
      <c r="D9">
        <v>4600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2600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3000</v>
      </c>
      <c r="D11">
        <v>5800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19D6-1610-4D98-B8F2-E1C26B431862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8E591-88A3-418E-A84A-2B3F199A9AEF}">
  <sheetPr codeName="Sheet3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C3" t="s">
        <v>10</v>
      </c>
      <c r="D3" t="s">
        <v>10</v>
      </c>
      <c r="E3">
        <v>2000</v>
      </c>
      <c r="F3">
        <v>3900</v>
      </c>
    </row>
    <row r="4" spans="1:13" x14ac:dyDescent="0.45">
      <c r="A4" s="15">
        <v>25</v>
      </c>
      <c r="C4" t="s">
        <v>10</v>
      </c>
      <c r="D4">
        <v>1200</v>
      </c>
      <c r="E4">
        <v>2400</v>
      </c>
      <c r="F4">
        <v>4800</v>
      </c>
    </row>
    <row r="5" spans="1:13" x14ac:dyDescent="0.45">
      <c r="A5" s="15">
        <v>30</v>
      </c>
      <c r="C5">
        <v>800</v>
      </c>
      <c r="D5">
        <v>1500</v>
      </c>
      <c r="E5">
        <v>2900</v>
      </c>
      <c r="F5">
        <v>5800</v>
      </c>
    </row>
    <row r="6" spans="1:13" x14ac:dyDescent="0.45">
      <c r="A6" s="15">
        <v>40</v>
      </c>
      <c r="C6">
        <v>1000</v>
      </c>
      <c r="D6">
        <v>2000</v>
      </c>
      <c r="E6">
        <v>3900</v>
      </c>
      <c r="F6">
        <v>6000</v>
      </c>
    </row>
    <row r="7" spans="1:13" x14ac:dyDescent="0.45">
      <c r="A7" s="15">
        <v>50</v>
      </c>
      <c r="C7">
        <v>1200</v>
      </c>
      <c r="D7">
        <v>2400</v>
      </c>
      <c r="E7">
        <v>4800</v>
      </c>
      <c r="F7">
        <v>6000</v>
      </c>
    </row>
    <row r="8" spans="1:13" x14ac:dyDescent="0.45">
      <c r="A8" s="15">
        <v>60</v>
      </c>
      <c r="C8">
        <v>1500</v>
      </c>
      <c r="D8">
        <v>2900</v>
      </c>
      <c r="E8">
        <v>5800</v>
      </c>
      <c r="F8">
        <v>6000</v>
      </c>
    </row>
    <row r="9" spans="1:13" x14ac:dyDescent="0.45">
      <c r="A9" s="15">
        <v>70</v>
      </c>
      <c r="C9">
        <v>1700</v>
      </c>
      <c r="D9">
        <v>3400</v>
      </c>
      <c r="E9">
        <v>6000</v>
      </c>
      <c r="F9">
        <v>6000</v>
      </c>
    </row>
    <row r="10" spans="1:13" x14ac:dyDescent="0.45">
      <c r="A10" s="15">
        <v>80</v>
      </c>
      <c r="C10">
        <v>2000</v>
      </c>
      <c r="D10">
        <v>3900</v>
      </c>
      <c r="E10">
        <v>6000</v>
      </c>
      <c r="F10">
        <v>6000</v>
      </c>
    </row>
    <row r="11" spans="1:13" x14ac:dyDescent="0.45">
      <c r="A11" s="15">
        <v>90</v>
      </c>
      <c r="C11">
        <v>2200</v>
      </c>
      <c r="D11">
        <v>4400</v>
      </c>
      <c r="E11">
        <v>6000</v>
      </c>
      <c r="F11">
        <v>6000</v>
      </c>
    </row>
    <row r="12" spans="1:13" x14ac:dyDescent="0.45">
      <c r="A12" s="15">
        <v>100</v>
      </c>
      <c r="C12">
        <v>2400</v>
      </c>
      <c r="D12">
        <v>4800</v>
      </c>
      <c r="E12">
        <v>6000</v>
      </c>
      <c r="F12">
        <v>6000</v>
      </c>
    </row>
    <row r="13" spans="1:13" x14ac:dyDescent="0.45">
      <c r="A13" s="15">
        <v>110</v>
      </c>
      <c r="C13" t="s">
        <v>10</v>
      </c>
      <c r="D13">
        <v>5300</v>
      </c>
      <c r="E13">
        <v>6000</v>
      </c>
      <c r="F13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4B001-8D41-4655-BECF-CACBCAC92F4B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6000</v>
      </c>
      <c r="H2">
        <v>9000</v>
      </c>
      <c r="I2">
        <v>12000</v>
      </c>
      <c r="J2">
        <v>18000</v>
      </c>
      <c r="K2">
        <v>24000</v>
      </c>
      <c r="L2">
        <v>48000</v>
      </c>
      <c r="M2">
        <v>72000</v>
      </c>
    </row>
    <row r="3" spans="1:13" x14ac:dyDescent="0.45">
      <c r="A3" s="15">
        <v>20</v>
      </c>
      <c r="B3" t="s">
        <v>10</v>
      </c>
      <c r="C3" t="s">
        <v>10</v>
      </c>
      <c r="D3">
        <v>1100</v>
      </c>
      <c r="E3">
        <v>2000</v>
      </c>
      <c r="F3">
        <v>3900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B4" t="s">
        <v>10</v>
      </c>
      <c r="C4" t="s">
        <v>10</v>
      </c>
      <c r="D4" t="s">
        <v>10</v>
      </c>
      <c r="E4">
        <v>2400</v>
      </c>
      <c r="F4">
        <v>4800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B5" t="s">
        <v>10</v>
      </c>
      <c r="C5">
        <v>800</v>
      </c>
      <c r="D5">
        <v>1500</v>
      </c>
      <c r="E5">
        <v>3000</v>
      </c>
      <c r="F5">
        <v>5900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B6" t="s">
        <v>10</v>
      </c>
      <c r="C6">
        <v>1100</v>
      </c>
      <c r="D6">
        <v>2000</v>
      </c>
      <c r="E6">
        <v>3900</v>
      </c>
      <c r="F6">
        <v>6000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B7" t="s">
        <v>10</v>
      </c>
      <c r="C7">
        <v>1200</v>
      </c>
      <c r="D7">
        <v>2400</v>
      </c>
      <c r="E7">
        <v>4800</v>
      </c>
      <c r="F7">
        <v>6000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B8" t="s">
        <v>10</v>
      </c>
      <c r="C8">
        <v>1500</v>
      </c>
      <c r="D8">
        <v>3000</v>
      </c>
      <c r="E8">
        <v>5900</v>
      </c>
      <c r="F8">
        <v>6000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B9" t="s">
        <v>10</v>
      </c>
      <c r="C9">
        <v>1800</v>
      </c>
      <c r="D9">
        <v>3500</v>
      </c>
      <c r="E9">
        <v>6000</v>
      </c>
      <c r="F9">
        <v>6000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B10" t="s">
        <v>10</v>
      </c>
      <c r="C10">
        <v>2000</v>
      </c>
      <c r="D10">
        <v>3900</v>
      </c>
      <c r="E10">
        <v>6000</v>
      </c>
      <c r="F10">
        <v>6000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B11" t="s">
        <v>10</v>
      </c>
      <c r="C11">
        <v>2300</v>
      </c>
      <c r="D11">
        <v>4400</v>
      </c>
      <c r="E11">
        <v>6000</v>
      </c>
      <c r="F11">
        <v>6000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B12" t="s">
        <v>10</v>
      </c>
      <c r="C12">
        <v>2400</v>
      </c>
      <c r="D12">
        <v>4800</v>
      </c>
      <c r="E12">
        <v>6000</v>
      </c>
      <c r="F12">
        <v>6000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B13" t="s">
        <v>10</v>
      </c>
      <c r="C13" t="s">
        <v>10</v>
      </c>
      <c r="D13">
        <v>5400</v>
      </c>
      <c r="E13">
        <v>6000</v>
      </c>
      <c r="F13">
        <v>6000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9FBAC-0286-4F4E-94EB-4EF8D88919BA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5">
        <v>20</v>
      </c>
      <c r="C3" t="s">
        <v>10</v>
      </c>
      <c r="D3">
        <v>-400</v>
      </c>
      <c r="E3">
        <v>-700</v>
      </c>
      <c r="F3">
        <v>-1300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-800</v>
      </c>
      <c r="F4">
        <v>-1600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-300</v>
      </c>
      <c r="D5">
        <v>-500</v>
      </c>
      <c r="E5">
        <v>-1000</v>
      </c>
      <c r="F5">
        <v>-2000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-400</v>
      </c>
      <c r="D6">
        <v>-700</v>
      </c>
      <c r="E6">
        <v>-1300</v>
      </c>
      <c r="F6">
        <v>-2000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-400</v>
      </c>
      <c r="D7">
        <v>-800</v>
      </c>
      <c r="E7">
        <v>-1600</v>
      </c>
      <c r="F7">
        <v>-2000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-500</v>
      </c>
      <c r="D8">
        <v>-1000</v>
      </c>
      <c r="E8">
        <v>-2000</v>
      </c>
      <c r="F8">
        <v>-2000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-600</v>
      </c>
      <c r="D9">
        <v>-1200</v>
      </c>
      <c r="E9">
        <v>-2000</v>
      </c>
      <c r="F9">
        <v>-2000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-700</v>
      </c>
      <c r="D10">
        <v>-1300</v>
      </c>
      <c r="E10">
        <v>-2000</v>
      </c>
      <c r="F10">
        <v>-2000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-800</v>
      </c>
      <c r="D11">
        <v>-1500</v>
      </c>
      <c r="E11">
        <v>-2000</v>
      </c>
      <c r="F11">
        <v>-2000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-800</v>
      </c>
      <c r="D12">
        <v>-1600</v>
      </c>
      <c r="E12">
        <v>-2000</v>
      </c>
      <c r="F12">
        <v>-2000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-1800</v>
      </c>
      <c r="E13">
        <v>-2000</v>
      </c>
      <c r="F13">
        <v>-2000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C909-9FD0-430A-982E-B8BC83DB0BD1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5">
        <v>20</v>
      </c>
      <c r="C3" t="s">
        <v>10</v>
      </c>
      <c r="D3">
        <v>-700</v>
      </c>
      <c r="E3">
        <v>-1300</v>
      </c>
      <c r="F3">
        <v>-2600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5">
        <v>25</v>
      </c>
      <c r="C4" t="s">
        <v>10</v>
      </c>
      <c r="D4" t="s">
        <v>10</v>
      </c>
      <c r="E4">
        <v>-1600</v>
      </c>
      <c r="F4">
        <v>-3200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5">
        <v>30</v>
      </c>
      <c r="C5">
        <v>-500</v>
      </c>
      <c r="D5">
        <v>-1000</v>
      </c>
      <c r="E5">
        <v>-2000</v>
      </c>
      <c r="F5">
        <v>-3900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5">
        <v>40</v>
      </c>
      <c r="C6">
        <v>-700</v>
      </c>
      <c r="D6">
        <v>-1300</v>
      </c>
      <c r="E6">
        <v>-2600</v>
      </c>
      <c r="F6">
        <v>-4000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5">
        <v>50</v>
      </c>
      <c r="C7">
        <v>-800</v>
      </c>
      <c r="D7">
        <v>-1600</v>
      </c>
      <c r="E7">
        <v>-3200</v>
      </c>
      <c r="F7">
        <v>-4000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5">
        <v>60</v>
      </c>
      <c r="C8">
        <v>-1000</v>
      </c>
      <c r="D8">
        <v>-2000</v>
      </c>
      <c r="E8">
        <v>-3900</v>
      </c>
      <c r="F8">
        <v>-4000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5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5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5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5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5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2020-05-30T08:44:11Z</dcterms:modified>
</cp:coreProperties>
</file>