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652861FC-FBC9-4D18-A976-03E39AB9F45A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Sheet4" sheetId="29" r:id="rId4"/>
    <sheet name="Sheet5" sheetId="30" r:id="rId5"/>
    <sheet name="役一覧" sheetId="15" state="hidden" r:id="rId6"/>
    <sheet name="点数表(親ロン)" sheetId="20" state="hidden" r:id="rId7"/>
    <sheet name="点数表(親ツモ)" sheetId="21" state="hidden" r:id="rId8"/>
    <sheet name="点数表(子→親)" sheetId="22" state="hidden" r:id="rId9"/>
    <sheet name="点数表(子ロン)" sheetId="23" state="hidden" r:id="rId10"/>
    <sheet name="点数表(子ツモ)" sheetId="24" state="hidden" r:id="rId11"/>
    <sheet name="点数表(子→子)" sheetId="25" state="hidden" r:id="rId12"/>
    <sheet name="点数表(親→子)" sheetId="2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30" l="1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 s="1"/>
  <c r="D14" i="30"/>
  <c r="C14" i="30"/>
  <c r="B14" i="30"/>
  <c r="A14" i="30" s="1"/>
  <c r="D13" i="30"/>
  <c r="C13" i="30"/>
  <c r="D12" i="30"/>
  <c r="D11" i="30"/>
  <c r="C11" i="30"/>
  <c r="C12" i="30" s="1"/>
  <c r="D10" i="30"/>
  <c r="C10" i="30"/>
  <c r="D9" i="30"/>
  <c r="C9" i="30"/>
  <c r="D8" i="30"/>
  <c r="C8" i="30"/>
  <c r="D7" i="30"/>
  <c r="C7" i="30"/>
  <c r="D6" i="30"/>
  <c r="C6" i="30"/>
  <c r="B6" i="30"/>
  <c r="B7" i="30" s="1"/>
  <c r="D5" i="30"/>
  <c r="C5" i="30"/>
  <c r="B5" i="30"/>
  <c r="A5" i="30" s="1"/>
  <c r="T4" i="30"/>
  <c r="T5" i="30" s="1"/>
  <c r="O4" i="30"/>
  <c r="O5" i="30" s="1"/>
  <c r="J4" i="30"/>
  <c r="W3" i="30"/>
  <c r="V3" i="30"/>
  <c r="U3" i="30"/>
  <c r="W2" i="30"/>
  <c r="V2" i="30"/>
  <c r="U2" i="30"/>
  <c r="BO1" i="30"/>
  <c r="AT1" i="30"/>
  <c r="Y1" i="30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 s="1"/>
  <c r="T13" i="29"/>
  <c r="O13" i="29"/>
  <c r="J13" i="29"/>
  <c r="D13" i="29"/>
  <c r="C13" i="29"/>
  <c r="B13" i="29"/>
  <c r="A13" i="29" s="1"/>
  <c r="T12" i="29"/>
  <c r="W12" i="29" s="1"/>
  <c r="O12" i="29"/>
  <c r="V12" i="29" s="1"/>
  <c r="J12" i="29"/>
  <c r="D12" i="29"/>
  <c r="C12" i="29"/>
  <c r="B12" i="29"/>
  <c r="A12" i="29" s="1"/>
  <c r="T11" i="29"/>
  <c r="O11" i="29"/>
  <c r="J11" i="29"/>
  <c r="D11" i="29"/>
  <c r="C11" i="29"/>
  <c r="B11" i="29"/>
  <c r="A11" i="29"/>
  <c r="T10" i="29"/>
  <c r="O10" i="29"/>
  <c r="J10" i="29"/>
  <c r="U10" i="29" s="1"/>
  <c r="D10" i="29"/>
  <c r="C10" i="29"/>
  <c r="B10" i="29"/>
  <c r="A10" i="29" s="1"/>
  <c r="T9" i="29"/>
  <c r="O9" i="29"/>
  <c r="J9" i="29"/>
  <c r="D9" i="29"/>
  <c r="C9" i="29"/>
  <c r="B9" i="29"/>
  <c r="A9" i="29" s="1"/>
  <c r="T8" i="29"/>
  <c r="O8" i="29"/>
  <c r="J8" i="29"/>
  <c r="D8" i="29"/>
  <c r="C8" i="29"/>
  <c r="B8" i="29"/>
  <c r="A8" i="29" s="1"/>
  <c r="T7" i="29"/>
  <c r="W7" i="29" s="1"/>
  <c r="O7" i="29"/>
  <c r="J7" i="29"/>
  <c r="D7" i="29"/>
  <c r="C7" i="29"/>
  <c r="B7" i="29"/>
  <c r="A7" i="29"/>
  <c r="D6" i="29"/>
  <c r="C6" i="29"/>
  <c r="J5" i="29"/>
  <c r="J6" i="29" s="1"/>
  <c r="D5" i="29"/>
  <c r="C5" i="29"/>
  <c r="B5" i="29"/>
  <c r="B6" i="29" s="1"/>
  <c r="T4" i="29"/>
  <c r="T5" i="29" s="1"/>
  <c r="O4" i="29"/>
  <c r="J4" i="29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D13" i="28"/>
  <c r="C13" i="28"/>
  <c r="D11" i="28"/>
  <c r="D12" i="28" s="1"/>
  <c r="D10" i="28"/>
  <c r="C9" i="28"/>
  <c r="C10" i="28" s="1"/>
  <c r="C11" i="28" s="1"/>
  <c r="C12" i="28" s="1"/>
  <c r="D8" i="28"/>
  <c r="D9" i="28" s="1"/>
  <c r="C8" i="28"/>
  <c r="D7" i="28"/>
  <c r="C7" i="28"/>
  <c r="D6" i="28"/>
  <c r="C6" i="28"/>
  <c r="T5" i="28"/>
  <c r="O5" i="28"/>
  <c r="D5" i="28"/>
  <c r="C5" i="28"/>
  <c r="B5" i="28"/>
  <c r="A5" i="28" s="1"/>
  <c r="T4" i="28"/>
  <c r="O4" i="28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D13" i="27"/>
  <c r="C13" i="27"/>
  <c r="B13" i="27"/>
  <c r="A13" i="27" s="1"/>
  <c r="D12" i="27"/>
  <c r="C12" i="27"/>
  <c r="B12" i="27"/>
  <c r="A12" i="27"/>
  <c r="D11" i="27"/>
  <c r="C11" i="27"/>
  <c r="D10" i="27"/>
  <c r="C10" i="27"/>
  <c r="D9" i="27"/>
  <c r="C9" i="27"/>
  <c r="D8" i="27"/>
  <c r="D7" i="27"/>
  <c r="C7" i="27"/>
  <c r="C8" i="27" s="1"/>
  <c r="D6" i="27"/>
  <c r="T5" i="27"/>
  <c r="D5" i="27"/>
  <c r="C5" i="27"/>
  <c r="C6" i="27" s="1"/>
  <c r="B5" i="27"/>
  <c r="A5" i="27" s="1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A6" i="30" l="1"/>
  <c r="W4" i="30"/>
  <c r="O6" i="30"/>
  <c r="B8" i="30"/>
  <c r="A8" i="30" s="1"/>
  <c r="A7" i="30"/>
  <c r="J5" i="30"/>
  <c r="V5" i="30" s="1"/>
  <c r="U4" i="30"/>
  <c r="V4" i="30"/>
  <c r="T6" i="30"/>
  <c r="V13" i="29"/>
  <c r="W13" i="29"/>
  <c r="U13" i="29"/>
  <c r="U12" i="29"/>
  <c r="W11" i="29"/>
  <c r="U11" i="29"/>
  <c r="V11" i="29"/>
  <c r="V10" i="29"/>
  <c r="W10" i="29"/>
  <c r="V9" i="29"/>
  <c r="W9" i="29"/>
  <c r="U9" i="29"/>
  <c r="U8" i="29"/>
  <c r="V8" i="29"/>
  <c r="W8" i="29"/>
  <c r="U7" i="29"/>
  <c r="V7" i="29"/>
  <c r="U4" i="29"/>
  <c r="W4" i="29"/>
  <c r="T6" i="29"/>
  <c r="O5" i="29"/>
  <c r="V4" i="29"/>
  <c r="A5" i="29"/>
  <c r="A6" i="29" s="1"/>
  <c r="V4" i="28"/>
  <c r="W4" i="28"/>
  <c r="B6" i="28"/>
  <c r="J5" i="28"/>
  <c r="V5" i="28" s="1"/>
  <c r="U4" i="28"/>
  <c r="O6" i="28"/>
  <c r="T6" i="28"/>
  <c r="U4" i="27"/>
  <c r="W4" i="27"/>
  <c r="V4" i="27"/>
  <c r="O6" i="27"/>
  <c r="J5" i="27"/>
  <c r="W5" i="27" s="1"/>
  <c r="T6" i="27"/>
  <c r="B6" i="27"/>
  <c r="A6" i="27" s="1"/>
  <c r="W3" i="19"/>
  <c r="V3" i="19"/>
  <c r="U3" i="19"/>
  <c r="W5" i="30" l="1"/>
  <c r="O7" i="30"/>
  <c r="U5" i="30"/>
  <c r="J6" i="30"/>
  <c r="V6" i="30" s="1"/>
  <c r="W6" i="30"/>
  <c r="T7" i="30"/>
  <c r="B9" i="30"/>
  <c r="A9" i="30" s="1"/>
  <c r="V5" i="29"/>
  <c r="U5" i="29"/>
  <c r="O6" i="29"/>
  <c r="W6" i="29" s="1"/>
  <c r="W5" i="29"/>
  <c r="W5" i="28"/>
  <c r="B7" i="28"/>
  <c r="A7" i="28" s="1"/>
  <c r="A6" i="28"/>
  <c r="T7" i="28"/>
  <c r="O7" i="28"/>
  <c r="J6" i="28"/>
  <c r="W6" i="28" s="1"/>
  <c r="U5" i="28"/>
  <c r="V5" i="27"/>
  <c r="O7" i="27"/>
  <c r="B7" i="27"/>
  <c r="A7" i="27" s="1"/>
  <c r="T7" i="27"/>
  <c r="U5" i="27"/>
  <c r="J6" i="27"/>
  <c r="V6" i="27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30" l="1"/>
  <c r="B10" i="30"/>
  <c r="A10" i="30" s="1"/>
  <c r="U6" i="30"/>
  <c r="J7" i="30"/>
  <c r="W7" i="30"/>
  <c r="T8" i="30"/>
  <c r="V6" i="29"/>
  <c r="U6" i="29"/>
  <c r="V6" i="28"/>
  <c r="B8" i="28"/>
  <c r="A8" i="28"/>
  <c r="U6" i="28"/>
  <c r="J7" i="28"/>
  <c r="V7" i="28"/>
  <c r="O8" i="28"/>
  <c r="W7" i="28"/>
  <c r="T8" i="28"/>
  <c r="J7" i="27"/>
  <c r="W7" i="27" s="1"/>
  <c r="U6" i="27"/>
  <c r="W6" i="27"/>
  <c r="T8" i="27"/>
  <c r="B8" i="27"/>
  <c r="A8" i="27"/>
  <c r="O8" i="27"/>
  <c r="V7" i="27"/>
  <c r="V11" i="19"/>
  <c r="U11" i="19"/>
  <c r="W11" i="19"/>
  <c r="U10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30" l="1"/>
  <c r="U7" i="30"/>
  <c r="J8" i="30"/>
  <c r="W8" i="30" s="1"/>
  <c r="V8" i="30"/>
  <c r="O9" i="30"/>
  <c r="B11" i="30"/>
  <c r="A11" i="30" s="1"/>
  <c r="V7" i="30"/>
  <c r="B9" i="28"/>
  <c r="A9" i="28"/>
  <c r="W8" i="28"/>
  <c r="T9" i="28"/>
  <c r="V8" i="28"/>
  <c r="O9" i="28"/>
  <c r="U7" i="28"/>
  <c r="J8" i="28"/>
  <c r="U7" i="27"/>
  <c r="J8" i="27"/>
  <c r="V8" i="27" s="1"/>
  <c r="O9" i="27"/>
  <c r="B9" i="27"/>
  <c r="A9" i="27" s="1"/>
  <c r="T9" i="27"/>
  <c r="W5" i="19"/>
  <c r="V5" i="19"/>
  <c r="U5" i="19"/>
  <c r="B12" i="30" l="1"/>
  <c r="A12" i="30" s="1"/>
  <c r="T10" i="30"/>
  <c r="O10" i="30"/>
  <c r="U8" i="30"/>
  <c r="J9" i="30"/>
  <c r="V9" i="30" s="1"/>
  <c r="U8" i="28"/>
  <c r="J9" i="28"/>
  <c r="O10" i="28"/>
  <c r="T10" i="28"/>
  <c r="B10" i="28"/>
  <c r="U8" i="27"/>
  <c r="J9" i="27"/>
  <c r="W8" i="27"/>
  <c r="T10" i="27"/>
  <c r="B10" i="27"/>
  <c r="A10" i="27" s="1"/>
  <c r="O10" i="27"/>
  <c r="B13" i="30" l="1"/>
  <c r="A13" i="30" s="1"/>
  <c r="U9" i="30"/>
  <c r="J10" i="30"/>
  <c r="V10" i="30"/>
  <c r="O11" i="30"/>
  <c r="W10" i="30"/>
  <c r="T11" i="30"/>
  <c r="W9" i="30"/>
  <c r="B11" i="28"/>
  <c r="A10" i="28"/>
  <c r="A11" i="28" s="1"/>
  <c r="U9" i="28"/>
  <c r="J10" i="28"/>
  <c r="W10" i="28"/>
  <c r="T11" i="28"/>
  <c r="W9" i="28"/>
  <c r="V10" i="28"/>
  <c r="O11" i="28"/>
  <c r="V9" i="28"/>
  <c r="U9" i="27"/>
  <c r="J10" i="27"/>
  <c r="V10" i="27" s="1"/>
  <c r="V9" i="27"/>
  <c r="B11" i="27"/>
  <c r="A11" i="27" s="1"/>
  <c r="W9" i="27"/>
  <c r="T11" i="27"/>
  <c r="T12" i="27" s="1"/>
  <c r="T13" i="27" s="1"/>
  <c r="O11" i="27"/>
  <c r="O12" i="27" s="1"/>
  <c r="O13" i="27" s="1"/>
  <c r="T12" i="30" l="1"/>
  <c r="U10" i="30"/>
  <c r="J11" i="30"/>
  <c r="W11" i="30" s="1"/>
  <c r="O12" i="30"/>
  <c r="W11" i="28"/>
  <c r="T12" i="28"/>
  <c r="O12" i="28"/>
  <c r="B12" i="28"/>
  <c r="A12" i="28"/>
  <c r="U10" i="28"/>
  <c r="J11" i="28"/>
  <c r="W10" i="27"/>
  <c r="U10" i="27"/>
  <c r="J11" i="27"/>
  <c r="J12" i="27" s="1"/>
  <c r="J13" i="27" l="1"/>
  <c r="W12" i="27"/>
  <c r="U12" i="27"/>
  <c r="V12" i="27"/>
  <c r="V11" i="30"/>
  <c r="T13" i="30"/>
  <c r="T14" i="30" s="1"/>
  <c r="O13" i="30"/>
  <c r="O14" i="30" s="1"/>
  <c r="U11" i="30"/>
  <c r="J12" i="30"/>
  <c r="O13" i="28"/>
  <c r="J12" i="28"/>
  <c r="U11" i="28"/>
  <c r="B13" i="28"/>
  <c r="A13" i="28"/>
  <c r="V11" i="28"/>
  <c r="T13" i="28"/>
  <c r="U11" i="27"/>
  <c r="V11" i="27"/>
  <c r="W11" i="27"/>
  <c r="U13" i="27" l="1"/>
  <c r="V13" i="27"/>
  <c r="W13" i="27"/>
  <c r="W12" i="30"/>
  <c r="U12" i="30"/>
  <c r="J13" i="30"/>
  <c r="V12" i="30"/>
  <c r="U12" i="28"/>
  <c r="J13" i="28"/>
  <c r="U13" i="28" s="1"/>
  <c r="W13" i="28"/>
  <c r="V12" i="28"/>
  <c r="W12" i="28"/>
  <c r="W13" i="30" l="1"/>
  <c r="J14" i="30"/>
  <c r="V13" i="30"/>
  <c r="U13" i="30"/>
  <c r="V13" i="28"/>
  <c r="W14" i="30" l="1"/>
  <c r="U14" i="30"/>
  <c r="V14" i="30"/>
</calcChain>
</file>

<file path=xl/sharedStrings.xml><?xml version="1.0" encoding="utf-8"?>
<sst xmlns="http://schemas.openxmlformats.org/spreadsheetml/2006/main" count="1199" uniqueCount="208">
  <si>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</si>
  <si>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</si>
  <si>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</si>
  <si>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</si>
  <si>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</si>
  <si>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</si>
  <si>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</si>
  <si>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</si>
  <si>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</si>
  <si>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</si>
  <si>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</si>
  <si>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</si>
  <si>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</si>
  <si>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</si>
  <si>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</si>
  <si>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</si>
  <si>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</si>
  <si>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</si>
  <si>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</si>
  <si>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</si>
  <si>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</si>
  <si>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</si>
  <si>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</si>
  <si>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</si>
  <si>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</si>
  <si>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</si>
  <si>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</si>
  <si>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</si>
  <si>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</si>
  <si>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</si>
  <si>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</si>
  <si>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</si>
  <si>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</si>
  <si>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</si>
  <si>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</si>
  <si>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</si>
  <si>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</si>
  <si>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</si>
  <si>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</si>
  <si>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</si>
  <si>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</si>
  <si>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</si>
  <si>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</si>
  <si>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</si>
  <si>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</si>
  <si>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</si>
  <si>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</si>
  <si>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</si>
  <si>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</si>
  <si>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</si>
  <si>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</si>
  <si>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</si>
  <si>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</si>
  <si>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</si>
  <si>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</si>
  <si>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</si>
  <si>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</si>
  <si>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</si>
  <si>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</si>
  <si>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</si>
  <si>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</si>
  <si>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</si>
  <si>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</si>
  <si>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</si>
  <si>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</si>
  <si>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</si>
  <si>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</si>
  <si>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</si>
  <si>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</si>
  <si>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</si>
  <si>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</si>
  <si>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</si>
  <si>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</si>
  <si>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</si>
  <si>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</si>
  <si>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</si>
  <si>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</si>
  <si>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</si>
  <si>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</si>
  <si>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</si>
  <si>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</si>
  <si>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</si>
  <si>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</si>
  <si>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</si>
  <si>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</si>
  <si>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</si>
  <si>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</si>
  <si>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</si>
  <si>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</si>
  <si>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</si>
  <si>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</si>
  <si>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</si>
  <si>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</si>
  <si>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</si>
  <si>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</si>
  <si>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</si>
  <si>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</si>
  <si>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</si>
  <si>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</si>
  <si>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</si>
  <si>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</si>
  <si>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</si>
  <si>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</si>
  <si>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</si>
  <si>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</si>
  <si>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</si>
  <si>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</si>
  <si>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</si>
  <si>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</si>
  <si>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</si>
  <si>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</si>
  <si>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</si>
  <si>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</si>
  <si>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</si>
  <si>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</si>
  <si>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</si>
  <si>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</si>
  <si>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</si>
  <si>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</si>
  <si>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</si>
  <si>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</si>
  <si>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</si>
  <si>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</si>
  <si>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</si>
  <si>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</si>
  <si>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</si>
  <si>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</si>
  <si>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</si>
  <si>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</si>
  <si>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</si>
  <si>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</si>
  <si>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</si>
  <si>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</si>
  <si>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</si>
  <si>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</si>
  <si>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</si>
  <si>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</si>
  <si>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</si>
  <si>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</si>
  <si>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</si>
  <si>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</si>
  <si>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</si>
  <si>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</si>
  <si>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</si>
  <si>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</si>
  <si>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</si>
  <si>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</si>
  <si>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</si>
  <si>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</si>
  <si>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</si>
  <si>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</si>
  <si>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</si>
  <si>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</si>
  <si>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</si>
  <si>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</si>
  <si>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</si>
  <si>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</si>
  <si>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</si>
  <si>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</si>
  <si>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</si>
  <si>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</si>
  <si>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</si>
  <si>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</si>
  <si>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</si>
  <si>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</si>
  <si>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</si>
  <si>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</si>
  <si>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</si>
  <si>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</si>
  <si>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</si>
  <si>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</si>
  <si>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</si>
  <si>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</si>
  <si>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</si>
  <si>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</si>
  <si>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</si>
  <si>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</si>
  <si>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</si>
  <si>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</si>
  <si>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</si>
  <si>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</si>
  <si>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</si>
  <si>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</si>
  <si>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</si>
  <si>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</si>
  <si>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</si>
  <si>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</si>
  <si>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</si>
  <si>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</si>
  <si>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</si>
  <si>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</si>
  <si>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</si>
  <si>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</si>
  <si>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</si>
  <si>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</si>
  <si>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ロン</t>
  </si>
  <si>
    <t>放銃</t>
  </si>
  <si>
    <t>01</t>
  </si>
  <si>
    <t>02</t>
  </si>
  <si>
    <t>パパ</t>
  </si>
  <si>
    <t>ツモ</t>
  </si>
  <si>
    <t>ツモ支払</t>
  </si>
  <si>
    <t>*</t>
  </si>
  <si>
    <t>52</t>
  </si>
  <si>
    <t>だいち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</si>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</sst>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7"/>
      <c r="J4" s="21">
        <f>IF(COUNTA($F4,$K4,$P4)&gt;0,J3+SUM(G4:I4),"")</f>
        <v>25000</v>
      </c>
      <c r="K4" s="8" t="s">
        <v>195</v>
      </c>
      <c r="L4" s="9">
        <v>3900</v>
      </c>
      <c r="M4" s="9"/>
      <c r="N4" s="47">
        <v>0</v>
      </c>
      <c r="O4" s="21">
        <f>IF(COUNTA($F4,$K4,$P4)&gt;0,O3+SUM(L4:N4),"")</f>
        <v>28900</v>
      </c>
      <c r="P4" s="8" t="s">
        <v>196</v>
      </c>
      <c r="Q4" s="9">
        <v>-3900</v>
      </c>
      <c r="R4" s="9"/>
      <c r="S4" s="47">
        <v>0</v>
      </c>
      <c r="T4" s="21">
        <f>IF(COUNTA($F4,$K4,$P4)&gt;0,T3+SUM(Q4:S4),"")</f>
        <v>21100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13.9</v>
      </c>
      <c r="W4" s="54">
        <f>IF($T4="","",ROUND(($T4-$T$3)/1000,1)+(_xlfn.RANK.AVG($T4,($J4,$O4,$T4),1)-2)*10)</f>
        <v>-13.9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3</v>
      </c>
      <c r="AY4" s="30">
        <v>40</v>
      </c>
      <c r="AZ4" s="39" t="s">
        <v>197</v>
      </c>
      <c r="BA4" s="40" t="s">
        <v>198</v>
      </c>
      <c r="BB4" s="40" t="s">
        <v>84</v>
      </c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199</v>
      </c>
      <c r="F5" s="8" t="s">
        <v>200</v>
      </c>
      <c r="G5" s="9">
        <v>2600</v>
      </c>
      <c r="H5" s="9"/>
      <c r="I5" s="47">
        <v>0</v>
      </c>
      <c r="J5" s="21">
        <f t="shared" ref="J5:J30" si="2">IF(COUNTA($F5,$K5,$P5)&gt;0,J4+SUM(G5:I5),"")</f>
        <v>27600</v>
      </c>
      <c r="K5" s="8" t="s">
        <v>201</v>
      </c>
      <c r="L5" s="9">
        <v>-1300</v>
      </c>
      <c r="M5" s="9"/>
      <c r="N5" s="47">
        <v>0</v>
      </c>
      <c r="O5" s="21">
        <f t="shared" ref="O5:O30" si="3">IF(COUNTA($F5,$K5,$P5)&gt;0,O4+SUM(L5:N5),"")</f>
        <v>27600</v>
      </c>
      <c r="P5" s="8" t="s">
        <v>201</v>
      </c>
      <c r="Q5" s="9">
        <v>-1300</v>
      </c>
      <c r="R5" s="9"/>
      <c r="S5" s="47">
        <v>0</v>
      </c>
      <c r="T5" s="21">
        <f t="shared" ref="T5:T30" si="4">IF(COUNTA($F5,$K5,$P5)&gt;0,T4+SUM(Q5:S5),"")</f>
        <v>19800</v>
      </c>
      <c r="U5" s="52">
        <f>IF($J5="","",ROUND(($J5-$J$3)/1000,1)+(_xlfn.RANK.AVG($J5,($J5,$O5,$T5),1)-2)*10)</f>
        <v>7.6</v>
      </c>
      <c r="V5" s="53">
        <f>IF($O5="","",ROUND(($O5-$O$3)/1000,1)+(_xlfn.RANK.AVG($O5,($J5,$O5,$T5),1)-2)*10)</f>
        <v>7.6</v>
      </c>
      <c r="W5" s="54">
        <f>IF($T5="","",ROUND(($T5-$T$3)/1000,1)+(_xlfn.RANK.AVG($T5,($J5,$O5,$T5),1)-2)*10)</f>
        <v>-15.2</v>
      </c>
      <c r="Y5" s="8"/>
      <c r="Z5" s="33"/>
      <c r="AA5" s="26">
        <v>1</v>
      </c>
      <c r="AB5" s="26"/>
      <c r="AC5" s="26">
        <v>3</v>
      </c>
      <c r="AD5" s="30">
        <v>20</v>
      </c>
      <c r="AE5" s="39" t="s">
        <v>197</v>
      </c>
      <c r="AF5" s="40" t="s">
        <v>83</v>
      </c>
      <c r="AG5" s="40" t="s">
        <v>82</v>
      </c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>
        <v>1</v>
      </c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199</v>
      </c>
      <c r="F6" s="8" t="s">
        <v>201</v>
      </c>
      <c r="G6" s="9">
        <v>-6000</v>
      </c>
      <c r="H6" s="9"/>
      <c r="I6" s="47">
        <v>-500</v>
      </c>
      <c r="J6" s="21">
        <f t="shared" si="2"/>
        <v>21100</v>
      </c>
      <c r="K6" s="8" t="s">
        <v>201</v>
      </c>
      <c r="L6" s="9">
        <v>-3000</v>
      </c>
      <c r="M6" s="9"/>
      <c r="N6" s="47">
        <v>-500</v>
      </c>
      <c r="O6" s="21">
        <f t="shared" si="3"/>
        <v>24100</v>
      </c>
      <c r="P6" s="8" t="s">
        <v>200</v>
      </c>
      <c r="Q6" s="9">
        <v>9000</v>
      </c>
      <c r="R6" s="9"/>
      <c r="S6" s="47">
        <v>1000</v>
      </c>
      <c r="T6" s="21">
        <f t="shared" si="4"/>
        <v>29800</v>
      </c>
      <c r="U6" s="52">
        <f>IF($J6="","",ROUND(($J6-$J$3)/1000,1)+(_xlfn.RANK.AVG($J6,($J6,$O6,$T6),1)-2)*10)</f>
        <v>-13.9</v>
      </c>
      <c r="V6" s="53">
        <f>IF($O6="","",ROUND(($O6-$O$3)/1000,1)+(_xlfn.RANK.AVG($O6,($J6,$O6,$T6),1)-2)*10)</f>
        <v>-0.9</v>
      </c>
      <c r="W6" s="54">
        <f>IF($T6="","",ROUND(($T6-$T$3)/1000,1)+(_xlfn.RANK.AVG($T6,($J6,$O6,$T6),1)-2)*10)</f>
        <v>14.8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7</v>
      </c>
      <c r="BT6" s="30" t="s">
        <v>202</v>
      </c>
      <c r="BU6" s="39" t="s">
        <v>197</v>
      </c>
      <c r="BV6" s="40" t="s">
        <v>82</v>
      </c>
      <c r="BW6" s="40" t="s">
        <v>79</v>
      </c>
      <c r="BX6" s="40" t="s">
        <v>79</v>
      </c>
      <c r="BY6" s="40" t="s">
        <v>80</v>
      </c>
      <c r="BZ6" s="40" t="s">
        <v>203</v>
      </c>
      <c r="CA6" s="40" t="s">
        <v>198</v>
      </c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201</v>
      </c>
      <c r="G7" s="9">
        <v>-4000</v>
      </c>
      <c r="H7" s="9"/>
      <c r="I7" s="47">
        <v>0</v>
      </c>
      <c r="J7" s="21">
        <f t="shared" si="2"/>
        <v>17100</v>
      </c>
      <c r="K7" s="8" t="s">
        <v>200</v>
      </c>
      <c r="L7" s="9">
        <v>8000</v>
      </c>
      <c r="M7" s="9"/>
      <c r="N7" s="47">
        <v>0</v>
      </c>
      <c r="O7" s="21">
        <f t="shared" si="3"/>
        <v>32100</v>
      </c>
      <c r="P7" s="8" t="s">
        <v>201</v>
      </c>
      <c r="Q7" s="9">
        <v>-4000</v>
      </c>
      <c r="R7" s="9"/>
      <c r="S7" s="47">
        <v>0</v>
      </c>
      <c r="T7" s="21">
        <f t="shared" si="4"/>
        <v>25800</v>
      </c>
      <c r="U7" s="52">
        <f>IF($J7="","",ROUND(($J7-$J$3)/1000,1)+(_xlfn.RANK.AVG($J7,($J7,$O7,$T7),1)-2)*10)</f>
        <v>-17.899999999999999</v>
      </c>
      <c r="V7" s="53">
        <f>IF($O7="","",ROUND(($O7-$O$3)/1000,1)+(_xlfn.RANK.AVG($O7,($J7,$O7,$T7),1)-2)*10)</f>
        <v>17.100000000000001</v>
      </c>
      <c r="W7" s="54">
        <f>IF($T7="","",ROUND(($T7-$T$3)/1000,1)+(_xlfn.RANK.AVG($T7,($J7,$O7,$T7),1)-2)*10)</f>
        <v>0.8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>
        <v>4</v>
      </c>
      <c r="AY7" s="30">
        <v>40</v>
      </c>
      <c r="AZ7" s="39" t="s">
        <v>86</v>
      </c>
      <c r="BA7" s="40" t="s">
        <v>104</v>
      </c>
      <c r="BB7" s="40" t="s">
        <v>89</v>
      </c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204</v>
      </c>
      <c r="F8" s="8" t="s">
        <v>201</v>
      </c>
      <c r="G8" s="9">
        <v>-3000</v>
      </c>
      <c r="H8" s="9">
        <v>-1000</v>
      </c>
      <c r="I8" s="47">
        <v>-500</v>
      </c>
      <c r="J8" s="21">
        <f t="shared" si="2"/>
        <v>12600</v>
      </c>
      <c r="K8" s="8" t="s">
        <v>201</v>
      </c>
      <c r="L8" s="9">
        <v>-6000</v>
      </c>
      <c r="M8" s="9">
        <v>-1000</v>
      </c>
      <c r="N8" s="47">
        <v>-500</v>
      </c>
      <c r="O8" s="21">
        <f t="shared" si="3"/>
        <v>24600</v>
      </c>
      <c r="P8" s="8" t="s">
        <v>200</v>
      </c>
      <c r="Q8" s="9">
        <v>9000</v>
      </c>
      <c r="R8" s="9">
        <v>2000</v>
      </c>
      <c r="S8" s="47">
        <v>1000</v>
      </c>
      <c r="T8" s="21">
        <f t="shared" si="4"/>
        <v>37800</v>
      </c>
      <c r="U8" s="52">
        <f>IF($J8="","",ROUND(($J8-$J$3)/1000,1)+(_xlfn.RANK.AVG($J8,($J8,$O8,$T8),1)-2)*10)</f>
        <v>-22.4</v>
      </c>
      <c r="V8" s="53">
        <f>IF($O8="","",ROUND(($O8-$O$3)/1000,1)+(_xlfn.RANK.AVG($O8,($J8,$O8,$T8),1)-2)*10)</f>
        <v>-0.4</v>
      </c>
      <c r="W8" s="54">
        <f>IF($T8="","",ROUND(($T8-$T$3)/1000,1)+(_xlfn.RANK.AVG($T8,($J8,$O8,$T8),1)-2)*10)</f>
        <v>22.8</v>
      </c>
      <c r="Y8" s="8"/>
      <c r="Z8" s="33"/>
      <c r="AA8" s="26">
        <v>1</v>
      </c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6</v>
      </c>
      <c r="BT8" s="30" t="s">
        <v>202</v>
      </c>
      <c r="BU8" s="39" t="s">
        <v>197</v>
      </c>
      <c r="BV8" s="40" t="s">
        <v>82</v>
      </c>
      <c r="BW8" s="40" t="s">
        <v>79</v>
      </c>
      <c r="BX8" s="40" t="s">
        <v>79</v>
      </c>
      <c r="BY8" s="40" t="s">
        <v>79</v>
      </c>
      <c r="BZ8" s="40" t="s">
        <v>203</v>
      </c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/>
      <c r="G9" s="9"/>
      <c r="H9" s="9"/>
      <c r="I9" s="47"/>
      <c r="J9" s="21">
        <f t="shared" si="2"/>
        <v>12600</v>
      </c>
      <c r="K9" s="8" t="s">
        <v>195</v>
      </c>
      <c r="L9" s="9">
        <v>2400</v>
      </c>
      <c r="M9" s="9"/>
      <c r="N9" s="47">
        <v>0</v>
      </c>
      <c r="O9" s="21">
        <f t="shared" si="3"/>
        <v>27000</v>
      </c>
      <c r="P9" s="8" t="s">
        <v>196</v>
      </c>
      <c r="Q9" s="9">
        <v>-2400</v>
      </c>
      <c r="R9" s="9"/>
      <c r="S9" s="47">
        <v>0</v>
      </c>
      <c r="T9" s="21">
        <f t="shared" si="4"/>
        <v>35400</v>
      </c>
      <c r="U9" s="52">
        <f>IF($J9="","",ROUND(($J9-$J$3)/1000,1)+(_xlfn.RANK.AVG($J9,($J9,$O9,$T9),1)-2)*10)</f>
        <v>-22.4</v>
      </c>
      <c r="V9" s="53">
        <f>IF($O9="","",ROUND(($O9-$O$3)/1000,1)+(_xlfn.RANK.AVG($O9,($J9,$O9,$T9),1)-2)*10)</f>
        <v>2</v>
      </c>
      <c r="W9" s="54">
        <f>IF($T9="","",ROUND(($T9-$T$3)/1000,1)+(_xlfn.RANK.AVG($T9,($J9,$O9,$T9),1)-2)*10)</f>
        <v>20.399999999999999</v>
      </c>
      <c r="Y9" s="8"/>
      <c r="Z9" s="33"/>
      <c r="AA9" s="26"/>
      <c r="AB9" s="26">
        <v>1</v>
      </c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>
        <v>2</v>
      </c>
      <c r="AY9" s="30">
        <v>50</v>
      </c>
      <c r="AZ9" s="39" t="s">
        <v>84</v>
      </c>
      <c r="BA9" s="40" t="s">
        <v>203</v>
      </c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>
        <v>1</v>
      </c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199</v>
      </c>
      <c r="F10" s="8" t="s">
        <v>201</v>
      </c>
      <c r="G10" s="9">
        <v>-2000</v>
      </c>
      <c r="H10" s="9"/>
      <c r="I10" s="47">
        <v>0</v>
      </c>
      <c r="J10" s="21">
        <f t="shared" si="2"/>
        <v>10600</v>
      </c>
      <c r="K10" s="8" t="s">
        <v>201</v>
      </c>
      <c r="L10" s="9">
        <v>-1000</v>
      </c>
      <c r="M10" s="9"/>
      <c r="N10" s="47">
        <v>0</v>
      </c>
      <c r="O10" s="21">
        <f t="shared" si="3"/>
        <v>26000</v>
      </c>
      <c r="P10" s="8" t="s">
        <v>200</v>
      </c>
      <c r="Q10" s="9">
        <v>3000</v>
      </c>
      <c r="R10" s="9"/>
      <c r="S10" s="47">
        <v>0</v>
      </c>
      <c r="T10" s="21">
        <f t="shared" si="4"/>
        <v>38400</v>
      </c>
      <c r="U10" s="52">
        <f>IF($J10="","",ROUND(($J10-$J$3)/1000,1)+(_xlfn.RANK.AVG($J10,($J10,$O10,$T10),1)-2)*10)</f>
        <v>-24.4</v>
      </c>
      <c r="V10" s="53">
        <f>IF($O10="","",ROUND(($O10-$O$3)/1000,1)+(_xlfn.RANK.AVG($O10,($J10,$O10,$T10),1)-2)*10)</f>
        <v>1</v>
      </c>
      <c r="W10" s="54">
        <f>IF($T10="","",ROUND(($T10-$T$3)/1000,1)+(_xlfn.RANK.AVG($T10,($J10,$O10,$T10),1)-2)*10)</f>
        <v>23.4</v>
      </c>
      <c r="Y10" s="8"/>
      <c r="Z10" s="33"/>
      <c r="AA10" s="26"/>
      <c r="AB10" s="26">
        <v>1</v>
      </c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3</v>
      </c>
      <c r="BT10" s="30">
        <v>30</v>
      </c>
      <c r="BU10" s="39" t="s">
        <v>197</v>
      </c>
      <c r="BV10" s="40" t="s">
        <v>82</v>
      </c>
      <c r="BW10" s="40" t="s">
        <v>203</v>
      </c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195</v>
      </c>
      <c r="G11" s="9">
        <v>12000</v>
      </c>
      <c r="H11" s="9"/>
      <c r="I11" s="47">
        <v>0</v>
      </c>
      <c r="J11" s="21">
        <f t="shared" si="2"/>
        <v>22600</v>
      </c>
      <c r="K11" s="8"/>
      <c r="L11" s="9"/>
      <c r="M11" s="9"/>
      <c r="N11" s="47"/>
      <c r="O11" s="21">
        <f t="shared" si="3"/>
        <v>26000</v>
      </c>
      <c r="P11" s="8" t="s">
        <v>196</v>
      </c>
      <c r="Q11" s="9">
        <v>-12000</v>
      </c>
      <c r="R11" s="9"/>
      <c r="S11" s="47">
        <v>0</v>
      </c>
      <c r="T11" s="21">
        <f t="shared" si="4"/>
        <v>26400</v>
      </c>
      <c r="U11" s="52">
        <f>IF($J11="","",ROUND(($J11-$J$3)/1000,1)+(_xlfn.RANK.AVG($J11,($J11,$O11,$T11),1)-2)*10)</f>
        <v>-12.4</v>
      </c>
      <c r="V11" s="53">
        <f>IF($O11="","",ROUND(($O11-$O$3)/1000,1)+(_xlfn.RANK.AVG($O11,($J11,$O11,$T11),1)-2)*10)</f>
        <v>1</v>
      </c>
      <c r="W11" s="54">
        <f>IF($T11="","",ROUND(($T11-$T$3)/1000,1)+(_xlfn.RANK.AVG($T11,($J11,$O11,$T11),1)-2)*10)</f>
        <v>11.4</v>
      </c>
      <c r="Y11" s="8"/>
      <c r="Z11" s="33"/>
      <c r="AA11" s="26">
        <v>1</v>
      </c>
      <c r="AB11" s="26"/>
      <c r="AC11" s="26">
        <v>9</v>
      </c>
      <c r="AD11" s="30" t="s">
        <v>202</v>
      </c>
      <c r="AE11" s="39" t="s">
        <v>197</v>
      </c>
      <c r="AF11" s="40" t="s">
        <v>198</v>
      </c>
      <c r="AG11" s="40" t="s">
        <v>104</v>
      </c>
      <c r="AH11" s="40" t="s">
        <v>101</v>
      </c>
      <c r="AI11" s="40" t="s">
        <v>203</v>
      </c>
      <c r="AJ11" s="40" t="s">
        <v>203</v>
      </c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50D7F86-690D-45CE-93F0-ADBDAE83CC3D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BEFE-8B4F-43BE-9332-13A6953212D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201</v>
      </c>
      <c r="G4" s="9">
        <v>-2000</v>
      </c>
      <c r="H4" s="9"/>
      <c r="I4" s="47">
        <v>0</v>
      </c>
      <c r="J4" s="21">
        <f>IF(COUNTA($F4,$K4,$P4)&gt;0,J3+SUM(G4:I4),"")</f>
        <v>23000</v>
      </c>
      <c r="K4" s="8" t="s">
        <v>201</v>
      </c>
      <c r="L4" s="9">
        <v>-4000</v>
      </c>
      <c r="M4" s="9"/>
      <c r="N4" s="47">
        <v>0</v>
      </c>
      <c r="O4" s="21">
        <f>IF(COUNTA($F4,$K4,$P4)&gt;0,O3+SUM(L4:N4),"")</f>
        <v>21000</v>
      </c>
      <c r="P4" s="8" t="s">
        <v>200</v>
      </c>
      <c r="Q4" s="9">
        <v>6000</v>
      </c>
      <c r="R4" s="9"/>
      <c r="S4" s="47">
        <v>0</v>
      </c>
      <c r="T4" s="21">
        <f>IF(COUNTA($F4,$K4,$P4)&gt;0,T3+SUM(Q4:S4),"")</f>
        <v>31000</v>
      </c>
      <c r="U4" s="52">
        <f>IF($J4="","",ROUND(($J4-$J$3)/1000,1)+(_xlfn.RANK.AVG($J4,($J4,$O4,$T4),1)-2)*10)</f>
        <v>-2</v>
      </c>
      <c r="V4" s="53">
        <f>IF($O4="","",ROUND(($O4-$O$3)/1000,1)+(_xlfn.RANK.AVG($O4,($J4,$O4,$T4),1)-2)*10)</f>
        <v>-14</v>
      </c>
      <c r="W4" s="54">
        <f>IF($T4="","",ROUND(($T4-$T$3)/1000,1)+(_xlfn.RANK.AVG($T4,($J4,$O4,$T4),1)-2)*10)</f>
        <v>16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>
        <v>1</v>
      </c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5</v>
      </c>
      <c r="BT4" s="30" t="s">
        <v>202</v>
      </c>
      <c r="BU4" s="39" t="s">
        <v>197</v>
      </c>
      <c r="BV4" s="40" t="s">
        <v>82</v>
      </c>
      <c r="BW4" s="40" t="s">
        <v>79</v>
      </c>
      <c r="BX4" s="40" t="s">
        <v>80</v>
      </c>
      <c r="BY4" s="40" t="s">
        <v>203</v>
      </c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/>
      <c r="G5" s="9"/>
      <c r="H5" s="9"/>
      <c r="I5" s="47"/>
      <c r="J5" s="21">
        <f t="shared" ref="J5:J30" si="2">IF(COUNTA($F5,$K5,$P5)&gt;0,J4+SUM(G5:I5),"")</f>
        <v>23000</v>
      </c>
      <c r="K5" s="8" t="s">
        <v>195</v>
      </c>
      <c r="L5" s="9">
        <v>2000</v>
      </c>
      <c r="M5" s="9">
        <v>1000</v>
      </c>
      <c r="N5" s="47">
        <v>0</v>
      </c>
      <c r="O5" s="21">
        <f t="shared" ref="O5:O30" si="3">IF(COUNTA($F5,$K5,$P5)&gt;0,O4+SUM(L5:N5),"")</f>
        <v>24000</v>
      </c>
      <c r="P5" s="8" t="s">
        <v>196</v>
      </c>
      <c r="Q5" s="9">
        <v>-2000</v>
      </c>
      <c r="R5" s="9">
        <v>-1000</v>
      </c>
      <c r="S5" s="47">
        <v>0</v>
      </c>
      <c r="T5" s="21">
        <f t="shared" ref="T5:T30" si="4">IF(COUNTA($F5,$K5,$P5)&gt;0,T4+SUM(Q5:S5),"")</f>
        <v>28000</v>
      </c>
      <c r="U5" s="52">
        <f>IF($J5="","",ROUND(($J5-$J$3)/1000,1)+(_xlfn.RANK.AVG($J5,($J5,$O5,$T5),1)-2)*10)</f>
        <v>-12</v>
      </c>
      <c r="V5" s="53">
        <f>IF($O5="","",ROUND(($O5-$O$3)/1000,1)+(_xlfn.RANK.AVG($O5,($J5,$O5,$T5),1)-2)*10)</f>
        <v>-1</v>
      </c>
      <c r="W5" s="54">
        <f>IF($T5="","",ROUND(($T5-$T$3)/1000,1)+(_xlfn.RANK.AVG($T5,($J5,$O5,$T5),1)-2)*10)</f>
        <v>13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2</v>
      </c>
      <c r="AY5" s="30">
        <v>40</v>
      </c>
      <c r="AZ5" s="39" t="s">
        <v>197</v>
      </c>
      <c r="BA5" s="40" t="s">
        <v>203</v>
      </c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201</v>
      </c>
      <c r="G6" s="9">
        <v>-8000</v>
      </c>
      <c r="H6" s="9">
        <v>-1000</v>
      </c>
      <c r="I6" s="47">
        <v>0</v>
      </c>
      <c r="J6" s="21">
        <f t="shared" si="2"/>
        <v>14000</v>
      </c>
      <c r="K6" s="8" t="s">
        <v>200</v>
      </c>
      <c r="L6" s="9">
        <v>12000</v>
      </c>
      <c r="M6" s="9">
        <v>1000</v>
      </c>
      <c r="N6" s="47">
        <v>0</v>
      </c>
      <c r="O6" s="21">
        <f t="shared" si="3"/>
        <v>37000</v>
      </c>
      <c r="P6" s="8" t="s">
        <v>201</v>
      </c>
      <c r="Q6" s="9">
        <v>-4000</v>
      </c>
      <c r="R6" s="9"/>
      <c r="S6" s="47">
        <v>0</v>
      </c>
      <c r="T6" s="21">
        <f t="shared" si="4"/>
        <v>24000</v>
      </c>
      <c r="U6" s="52">
        <f>IF($J6="","",ROUND(($J6-$J$3)/1000,1)+(_xlfn.RANK.AVG($J6,($J6,$O6,$T6),1)-2)*10)</f>
        <v>-21</v>
      </c>
      <c r="V6" s="53">
        <f>IF($O6="","",ROUND(($O6-$O$3)/1000,1)+(_xlfn.RANK.AVG($O6,($J6,$O6,$T6),1)-2)*10)</f>
        <v>22</v>
      </c>
      <c r="W6" s="54">
        <f>IF($T6="","",ROUND(($T6-$T$3)/1000,1)+(_xlfn.RANK.AVG($T6,($J6,$O6,$T6),1)-2)*10)</f>
        <v>-1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>
        <v>1</v>
      </c>
      <c r="AW6" s="26"/>
      <c r="AX6" s="26">
        <v>8</v>
      </c>
      <c r="AY6" s="30" t="s">
        <v>202</v>
      </c>
      <c r="AZ6" s="39" t="s">
        <v>197</v>
      </c>
      <c r="BA6" s="40" t="s">
        <v>82</v>
      </c>
      <c r="BB6" s="40" t="s">
        <v>83</v>
      </c>
      <c r="BC6" s="40" t="s">
        <v>79</v>
      </c>
      <c r="BD6" s="40" t="s">
        <v>79</v>
      </c>
      <c r="BE6" s="40" t="s">
        <v>203</v>
      </c>
      <c r="BF6" s="40" t="s">
        <v>203</v>
      </c>
      <c r="BG6" s="40" t="s">
        <v>80</v>
      </c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204</v>
      </c>
      <c r="F7" s="8"/>
      <c r="G7" s="9"/>
      <c r="H7" s="9"/>
      <c r="I7" s="47"/>
      <c r="J7" s="21">
        <f t="shared" si="2"/>
        <v>14000</v>
      </c>
      <c r="K7" s="8" t="s">
        <v>196</v>
      </c>
      <c r="L7" s="9">
        <v>-1500</v>
      </c>
      <c r="M7" s="9"/>
      <c r="N7" s="47">
        <v>0</v>
      </c>
      <c r="O7" s="21">
        <f t="shared" si="3"/>
        <v>35500</v>
      </c>
      <c r="P7" s="8" t="s">
        <v>195</v>
      </c>
      <c r="Q7" s="9">
        <v>1500</v>
      </c>
      <c r="R7" s="9"/>
      <c r="S7" s="47">
        <v>0</v>
      </c>
      <c r="T7" s="21">
        <f t="shared" si="4"/>
        <v>25500</v>
      </c>
      <c r="U7" s="52">
        <f>IF($J7="","",ROUND(($J7-$J$3)/1000,1)+(_xlfn.RANK.AVG($J7,($J7,$O7,$T7),1)-2)*10)</f>
        <v>-21</v>
      </c>
      <c r="V7" s="53">
        <f>IF($O7="","",ROUND(($O7-$O$3)/1000,1)+(_xlfn.RANK.AVG($O7,($J7,$O7,$T7),1)-2)*10)</f>
        <v>20.5</v>
      </c>
      <c r="W7" s="54">
        <f>IF($T7="","",ROUND(($T7-$T$3)/1000,1)+(_xlfn.RANK.AVG($T7,($J7,$O7,$T7),1)-2)*10)</f>
        <v>0.5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>
        <v>2</v>
      </c>
      <c r="BT7" s="30">
        <v>30</v>
      </c>
      <c r="BU7" s="39" t="s">
        <v>93</v>
      </c>
      <c r="BV7" s="40" t="s">
        <v>86</v>
      </c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207</v>
      </c>
      <c r="G8" s="9">
        <v>-1000</v>
      </c>
      <c r="H8" s="9"/>
      <c r="I8" s="47"/>
      <c r="J8" s="21">
        <f t="shared" si="2"/>
        <v>13000</v>
      </c>
      <c r="K8" s="8" t="s">
        <v>207</v>
      </c>
      <c r="L8" s="9">
        <v>-1000</v>
      </c>
      <c r="M8" s="9"/>
      <c r="N8" s="47"/>
      <c r="O8" s="21">
        <f t="shared" si="3"/>
        <v>34500</v>
      </c>
      <c r="P8" s="8" t="s">
        <v>207</v>
      </c>
      <c r="Q8" s="9">
        <v>2000</v>
      </c>
      <c r="R8" s="9">
        <v>-1000</v>
      </c>
      <c r="S8" s="47"/>
      <c r="T8" s="21">
        <f t="shared" si="4"/>
        <v>26500</v>
      </c>
      <c r="U8" s="52">
        <f>IF($J8="","",ROUND(($J8-$J$3)/1000,1)+(_xlfn.RANK.AVG($J8,($J8,$O8,$T8),1)-2)*10)</f>
        <v>-22</v>
      </c>
      <c r="V8" s="53">
        <f>IF($O8="","",ROUND(($O8-$O$3)/1000,1)+(_xlfn.RANK.AVG($O8,($J8,$O8,$T8),1)-2)*10)</f>
        <v>19.5</v>
      </c>
      <c r="W8" s="54">
        <f>IF($T8="","",ROUND(($T8-$T$3)/1000,1)+(_xlfn.RANK.AVG($T8,($J8,$O8,$T8),1)-2)*10)</f>
        <v>1.5</v>
      </c>
      <c r="Y8" s="8" t="s">
        <v>205</v>
      </c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205</v>
      </c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206</v>
      </c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194</v>
      </c>
      <c r="F9" s="8" t="s">
        <v>201</v>
      </c>
      <c r="G9" s="9">
        <v>-2000</v>
      </c>
      <c r="H9" s="9"/>
      <c r="I9" s="47">
        <v>-500</v>
      </c>
      <c r="J9" s="21">
        <f t="shared" si="2"/>
        <v>10500</v>
      </c>
      <c r="K9" s="8" t="s">
        <v>201</v>
      </c>
      <c r="L9" s="9">
        <v>-2000</v>
      </c>
      <c r="M9" s="9"/>
      <c r="N9" s="47">
        <v>-500</v>
      </c>
      <c r="O9" s="21">
        <f t="shared" si="3"/>
        <v>32000</v>
      </c>
      <c r="P9" s="8" t="s">
        <v>200</v>
      </c>
      <c r="Q9" s="9">
        <v>4000</v>
      </c>
      <c r="R9" s="9">
        <v>1000</v>
      </c>
      <c r="S9" s="47">
        <v>1000</v>
      </c>
      <c r="T9" s="21">
        <f t="shared" si="4"/>
        <v>32500</v>
      </c>
      <c r="U9" s="52">
        <f>IF($J9="","",ROUND(($J9-$J$3)/1000,1)+(_xlfn.RANK.AVG($J9,($J9,$O9,$T9),1)-2)*10)</f>
        <v>-24.5</v>
      </c>
      <c r="V9" s="53">
        <f>IF($O9="","",ROUND(($O9-$O$3)/1000,1)+(_xlfn.RANK.AVG($O9,($J9,$O9,$T9),1)-2)*10)</f>
        <v>7</v>
      </c>
      <c r="W9" s="54">
        <f>IF($T9="","",ROUND(($T9-$T$3)/1000,1)+(_xlfn.RANK.AVG($T9,($J9,$O9,$T9),1)-2)*10)</f>
        <v>17.5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>
        <v>3</v>
      </c>
      <c r="BT9" s="30">
        <v>30</v>
      </c>
      <c r="BU9" s="39" t="s">
        <v>197</v>
      </c>
      <c r="BV9" s="40" t="s">
        <v>82</v>
      </c>
      <c r="BW9" s="40" t="s">
        <v>203</v>
      </c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194</v>
      </c>
      <c r="F10" s="8" t="s">
        <v>201</v>
      </c>
      <c r="G10" s="9">
        <v>-4000</v>
      </c>
      <c r="H10" s="9"/>
      <c r="I10" s="47">
        <v>-1000</v>
      </c>
      <c r="J10" s="21">
        <f t="shared" si="2"/>
        <v>5500</v>
      </c>
      <c r="K10" s="8" t="s">
        <v>201</v>
      </c>
      <c r="L10" s="9">
        <v>-4000</v>
      </c>
      <c r="M10" s="9"/>
      <c r="N10" s="47">
        <v>-1000</v>
      </c>
      <c r="O10" s="21">
        <f t="shared" si="3"/>
        <v>27000</v>
      </c>
      <c r="P10" s="8" t="s">
        <v>200</v>
      </c>
      <c r="Q10" s="9">
        <v>8000</v>
      </c>
      <c r="R10" s="9"/>
      <c r="S10" s="47">
        <v>2000</v>
      </c>
      <c r="T10" s="21">
        <f t="shared" si="4"/>
        <v>42500</v>
      </c>
      <c r="U10" s="52">
        <f>IF($J10="","",ROUND(($J10-$J$3)/1000,1)+(_xlfn.RANK.AVG($J10,($J10,$O10,$T10),1)-2)*10)</f>
        <v>-29.5</v>
      </c>
      <c r="V10" s="53">
        <f>IF($O10="","",ROUND(($O10-$O$3)/1000,1)+(_xlfn.RANK.AVG($O10,($J10,$O10,$T10),1)-2)*10)</f>
        <v>2</v>
      </c>
      <c r="W10" s="54">
        <f>IF($T10="","",ROUND(($T10-$T$3)/1000,1)+(_xlfn.RANK.AVG($T10,($J10,$O10,$T10),1)-2)*10)</f>
        <v>27.5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>
        <v>1</v>
      </c>
      <c r="BR10" s="26"/>
      <c r="BS10" s="26">
        <v>4</v>
      </c>
      <c r="BT10" s="30">
        <v>30</v>
      </c>
      <c r="BU10" s="39" t="s">
        <v>197</v>
      </c>
      <c r="BV10" s="40" t="s">
        <v>82</v>
      </c>
      <c r="BW10" s="40" t="s">
        <v>79</v>
      </c>
      <c r="BX10" s="40" t="s">
        <v>203</v>
      </c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194</v>
      </c>
      <c r="F11" s="8" t="s">
        <v>207</v>
      </c>
      <c r="G11" s="9">
        <v>-1000</v>
      </c>
      <c r="H11" s="9"/>
      <c r="I11" s="47"/>
      <c r="J11" s="21">
        <f t="shared" si="2"/>
        <v>4500</v>
      </c>
      <c r="K11" s="8" t="s">
        <v>207</v>
      </c>
      <c r="L11" s="9">
        <v>-1000</v>
      </c>
      <c r="M11" s="9"/>
      <c r="N11" s="47"/>
      <c r="O11" s="21">
        <f t="shared" si="3"/>
        <v>26000</v>
      </c>
      <c r="P11" s="8" t="s">
        <v>207</v>
      </c>
      <c r="Q11" s="9">
        <v>2000</v>
      </c>
      <c r="R11" s="9">
        <v>-1000</v>
      </c>
      <c r="S11" s="47"/>
      <c r="T11" s="21">
        <f t="shared" si="4"/>
        <v>43500</v>
      </c>
      <c r="U11" s="52">
        <f>IF($J11="","",ROUND(($J11-$J$3)/1000,1)+(_xlfn.RANK.AVG($J11,($J11,$O11,$T11),1)-2)*10)</f>
        <v>-30.5</v>
      </c>
      <c r="V11" s="53">
        <f>IF($O11="","",ROUND(($O11-$O$3)/1000,1)+(_xlfn.RANK.AVG($O11,($J11,$O11,$T11),1)-2)*10)</f>
        <v>1</v>
      </c>
      <c r="W11" s="54">
        <f>IF($T11="","",ROUND(($T11-$T$3)/1000,1)+(_xlfn.RANK.AVG($T11,($J11,$O11,$T11),1)-2)*10)</f>
        <v>28.5</v>
      </c>
      <c r="Y11" s="8" t="s">
        <v>205</v>
      </c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 t="s">
        <v>205</v>
      </c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 t="s">
        <v>206</v>
      </c>
      <c r="BP11" s="33"/>
      <c r="BQ11" s="26">
        <v>1</v>
      </c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1</v>
      </c>
      <c r="E12" s="4" t="s">
        <v>194</v>
      </c>
      <c r="F12" s="8" t="s">
        <v>201</v>
      </c>
      <c r="G12" s="9">
        <v>-1300</v>
      </c>
      <c r="H12" s="9"/>
      <c r="I12" s="47">
        <v>-2000</v>
      </c>
      <c r="J12" s="21">
        <f t="shared" si="2"/>
        <v>1200</v>
      </c>
      <c r="K12" s="8" t="s">
        <v>200</v>
      </c>
      <c r="L12" s="9">
        <v>3900</v>
      </c>
      <c r="M12" s="9">
        <v>1000</v>
      </c>
      <c r="N12" s="47">
        <v>4000</v>
      </c>
      <c r="O12" s="21">
        <f t="shared" si="3"/>
        <v>34900</v>
      </c>
      <c r="P12" s="8" t="s">
        <v>201</v>
      </c>
      <c r="Q12" s="9">
        <v>-2600</v>
      </c>
      <c r="R12" s="9"/>
      <c r="S12" s="47">
        <v>-2000</v>
      </c>
      <c r="T12" s="21">
        <f t="shared" si="4"/>
        <v>38900</v>
      </c>
      <c r="U12" s="52">
        <f>IF($J12="","",ROUND(($J12-$J$3)/1000,1)+(_xlfn.RANK.AVG($J12,($J12,$O12,$T12),1)-2)*10)</f>
        <v>-33.799999999999997</v>
      </c>
      <c r="V12" s="53">
        <f>IF($O12="","",ROUND(($O12-$O$3)/1000,1)+(_xlfn.RANK.AVG($O12,($J12,$O12,$T12),1)-2)*10)</f>
        <v>9.9</v>
      </c>
      <c r="W12" s="54">
        <f>IF($T12="","",ROUND(($T12-$T$3)/1000,1)+(_xlfn.RANK.AVG($T12,($J12,$O12,$T12),1)-2)*10)</f>
        <v>23.9</v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>
        <v>1</v>
      </c>
      <c r="AX12" s="26">
        <v>3</v>
      </c>
      <c r="AY12" s="30">
        <v>40</v>
      </c>
      <c r="AZ12" s="39" t="s">
        <v>104</v>
      </c>
      <c r="BA12" s="40" t="s">
        <v>86</v>
      </c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199</v>
      </c>
      <c r="F13" s="8" t="s">
        <v>201</v>
      </c>
      <c r="G13" s="9">
        <v>-1000</v>
      </c>
      <c r="H13" s="9"/>
      <c r="I13" s="47">
        <v>0</v>
      </c>
      <c r="J13" s="21">
        <f t="shared" si="2"/>
        <v>200</v>
      </c>
      <c r="K13" s="8" t="s">
        <v>201</v>
      </c>
      <c r="L13" s="9">
        <v>-500</v>
      </c>
      <c r="M13" s="9"/>
      <c r="N13" s="47">
        <v>0</v>
      </c>
      <c r="O13" s="21">
        <f t="shared" si="3"/>
        <v>34400</v>
      </c>
      <c r="P13" s="8" t="s">
        <v>200</v>
      </c>
      <c r="Q13" s="9">
        <v>1500</v>
      </c>
      <c r="R13" s="9"/>
      <c r="S13" s="47">
        <v>0</v>
      </c>
      <c r="T13" s="21">
        <f t="shared" si="4"/>
        <v>40400</v>
      </c>
      <c r="U13" s="52">
        <f>IF($J13="","",ROUND(($J13-$J$3)/1000,1)+(_xlfn.RANK.AVG($J13,($J13,$O13,$T13),1)-2)*10)</f>
        <v>-34.799999999999997</v>
      </c>
      <c r="V13" s="53">
        <f>IF($O13="","",ROUND(($O13-$O$3)/1000,1)+(_xlfn.RANK.AVG($O13,($J13,$O13,$T13),1)-2)*10)</f>
        <v>9.4</v>
      </c>
      <c r="W13" s="54">
        <f>IF($T13="","",ROUND(($T13-$T$3)/1000,1)+(_xlfn.RANK.AVG($T13,($J13,$O13,$T13),1)-2)*10)</f>
        <v>25.4</v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>
        <v>1</v>
      </c>
      <c r="BR13" s="26"/>
      <c r="BS13" s="26">
        <v>2</v>
      </c>
      <c r="BT13" s="30">
        <v>30</v>
      </c>
      <c r="BU13" s="39" t="s">
        <v>197</v>
      </c>
      <c r="BV13" s="40" t="s">
        <v>82</v>
      </c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685D91ED-E127-48C9-A320-AE309E9A7F35}">
      <formula1>"パパ,だいち,あやめ,"</formula1>
    </dataValidation>
    <dataValidation type="list" showInputMessage="1" showErrorMessage="1" sqref="K4:K30 P4:P30 F4:F30" xr:uid="{E01FF4EA-D188-41AF-8DC5-914B112BA173}">
      <formula1>"ロン,ツモ,放銃,ツモ支払,流局,チョンボ"</formula1>
    </dataValidation>
    <dataValidation type="list" allowBlank="1" showInputMessage="1" showErrorMessage="1" sqref="E4:E30" xr:uid="{EDDA9B83-4474-4807-ADBE-CA08D3F74F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91E7C-6ED5-43CD-B856-45C88E3C394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7"/>
      <c r="J4" s="21">
        <f>IF(COUNTA($F4,$K4,$P4)&gt;0,J3+SUM(G4:I4),"")</f>
        <v>25000</v>
      </c>
      <c r="K4" s="8" t="s">
        <v>195</v>
      </c>
      <c r="L4" s="9">
        <v>8000</v>
      </c>
      <c r="M4" s="9"/>
      <c r="N4" s="47">
        <v>0</v>
      </c>
      <c r="O4" s="21">
        <f>IF(COUNTA($F4,$K4,$P4)&gt;0,O3+SUM(L4:N4),"")</f>
        <v>33000</v>
      </c>
      <c r="P4" s="8" t="s">
        <v>196</v>
      </c>
      <c r="Q4" s="9">
        <v>-8000</v>
      </c>
      <c r="R4" s="9"/>
      <c r="S4" s="47">
        <v>0</v>
      </c>
      <c r="T4" s="21">
        <f>IF(COUNTA($F4,$K4,$P4)&gt;0,T3+SUM(Q4:S4),"")</f>
        <v>17000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18</v>
      </c>
      <c r="W4" s="54">
        <f>IF($T4="","",ROUND(($T4-$T$3)/1000,1)+(_xlfn.RANK.AVG($T4,($J4,$O4,$T4),1)-2)*10)</f>
        <v>-18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>
        <v>1</v>
      </c>
      <c r="AX4" s="26">
        <v>4</v>
      </c>
      <c r="AY4" s="30">
        <v>40</v>
      </c>
      <c r="AZ4" s="39" t="s">
        <v>86</v>
      </c>
      <c r="BA4" s="40" t="s">
        <v>79</v>
      </c>
      <c r="BB4" s="40" t="s">
        <v>79</v>
      </c>
      <c r="BC4" s="40" t="s">
        <v>79</v>
      </c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195</v>
      </c>
      <c r="G5" s="9">
        <v>12000</v>
      </c>
      <c r="H5" s="9">
        <v>1000</v>
      </c>
      <c r="I5" s="47">
        <v>1000</v>
      </c>
      <c r="J5" s="21">
        <f t="shared" ref="J5:J30" si="2">IF(COUNTA($F5,$K5,$P5)&gt;0,J4+SUM(G5:I5),"")</f>
        <v>39000</v>
      </c>
      <c r="K5" s="8"/>
      <c r="L5" s="9"/>
      <c r="M5" s="9"/>
      <c r="N5" s="47"/>
      <c r="O5" s="21">
        <f t="shared" ref="O5:O30" si="3">IF(COUNTA($F5,$K5,$P5)&gt;0,O4+SUM(L5:N5),"")</f>
        <v>33000</v>
      </c>
      <c r="P5" s="8" t="s">
        <v>196</v>
      </c>
      <c r="Q5" s="9">
        <v>-12000</v>
      </c>
      <c r="R5" s="9">
        <v>-1000</v>
      </c>
      <c r="S5" s="47">
        <v>-1000</v>
      </c>
      <c r="T5" s="21">
        <f t="shared" ref="T5:T30" si="4">IF(COUNTA($F5,$K5,$P5)&gt;0,T4+SUM(Q5:S5),"")</f>
        <v>3000</v>
      </c>
      <c r="U5" s="52">
        <f>IF($J5="","",ROUND(($J5-$J$3)/1000,1)+(_xlfn.RANK.AVG($J5,($J5,$O5,$T5),1)-2)*10)</f>
        <v>24</v>
      </c>
      <c r="V5" s="53">
        <f>IF($O5="","",ROUND(($O5-$O$3)/1000,1)+(_xlfn.RANK.AVG($O5,($J5,$O5,$T5),1)-2)*10)</f>
        <v>8</v>
      </c>
      <c r="W5" s="54">
        <f>IF($T5="","",ROUND(($T5-$T$3)/1000,1)+(_xlfn.RANK.AVG($T5,($J5,$O5,$T5),1)-2)*10)</f>
        <v>-32</v>
      </c>
      <c r="Y5" s="8"/>
      <c r="Z5" s="33"/>
      <c r="AA5" s="26">
        <v>1</v>
      </c>
      <c r="AB5" s="26"/>
      <c r="AC5" s="26">
        <v>8</v>
      </c>
      <c r="AD5" s="30" t="s">
        <v>202</v>
      </c>
      <c r="AE5" s="39" t="s">
        <v>197</v>
      </c>
      <c r="AF5" s="40" t="s">
        <v>104</v>
      </c>
      <c r="AG5" s="40" t="s">
        <v>86</v>
      </c>
      <c r="AH5" s="40" t="s">
        <v>80</v>
      </c>
      <c r="AI5" s="40" t="s">
        <v>80</v>
      </c>
      <c r="AJ5" s="40" t="s">
        <v>80</v>
      </c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200</v>
      </c>
      <c r="G6" s="9">
        <v>9000</v>
      </c>
      <c r="H6" s="9">
        <v>1000</v>
      </c>
      <c r="I6" s="47">
        <v>0</v>
      </c>
      <c r="J6" s="21">
        <f t="shared" si="2"/>
        <v>49000</v>
      </c>
      <c r="K6" s="8" t="s">
        <v>201</v>
      </c>
      <c r="L6" s="9">
        <v>-3000</v>
      </c>
      <c r="M6" s="9"/>
      <c r="N6" s="47">
        <v>0</v>
      </c>
      <c r="O6" s="21">
        <f t="shared" si="3"/>
        <v>30000</v>
      </c>
      <c r="P6" s="8" t="s">
        <v>201</v>
      </c>
      <c r="Q6" s="9">
        <v>-6000</v>
      </c>
      <c r="R6" s="9">
        <v>-1000</v>
      </c>
      <c r="S6" s="47">
        <v>0</v>
      </c>
      <c r="T6" s="21">
        <f t="shared" si="4"/>
        <v>-4000</v>
      </c>
      <c r="U6" s="52">
        <f>IF($J6="","",ROUND(($J6-$J$3)/1000,1)+(_xlfn.RANK.AVG($J6,($J6,$O6,$T6),1)-2)*10)</f>
        <v>34</v>
      </c>
      <c r="V6" s="53">
        <f>IF($O6="","",ROUND(($O6-$O$3)/1000,1)+(_xlfn.RANK.AVG($O6,($J6,$O6,$T6),1)-2)*10)</f>
        <v>5</v>
      </c>
      <c r="W6" s="54">
        <f>IF($T6="","",ROUND(($T6-$T$3)/1000,1)+(_xlfn.RANK.AVG($T6,($J6,$O6,$T6),1)-2)*10)</f>
        <v>-39</v>
      </c>
      <c r="Y6" s="8"/>
      <c r="Z6" s="33"/>
      <c r="AA6" s="26">
        <v>1</v>
      </c>
      <c r="AB6" s="26"/>
      <c r="AC6" s="26">
        <v>6</v>
      </c>
      <c r="AD6" s="30" t="s">
        <v>202</v>
      </c>
      <c r="AE6" s="39" t="s">
        <v>197</v>
      </c>
      <c r="AF6" s="40" t="s">
        <v>82</v>
      </c>
      <c r="AG6" s="40" t="s">
        <v>101</v>
      </c>
      <c r="AH6" s="40" t="s">
        <v>80</v>
      </c>
      <c r="AI6" s="40" t="s">
        <v>80</v>
      </c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7"/>
      <c r="J7" s="21" t="str">
        <f t="shared" si="2"/>
        <v/>
      </c>
      <c r="K7" s="8"/>
      <c r="L7" s="9"/>
      <c r="M7" s="9"/>
      <c r="N7" s="47"/>
      <c r="O7" s="21" t="str">
        <f t="shared" si="3"/>
        <v/>
      </c>
      <c r="P7" s="8"/>
      <c r="Q7" s="9"/>
      <c r="R7" s="9"/>
      <c r="S7" s="47"/>
      <c r="T7" s="21" t="str">
        <f t="shared" si="4"/>
        <v/>
      </c>
      <c r="U7" s="52" t="str">
        <f>IF($J7="","",ROUND(($J7-$J$3)/1000,1)+(_xlfn.RANK.AVG($J7,($J7,$O7,$T7),1)-2)*10)</f>
        <v/>
      </c>
      <c r="V7" s="53" t="str">
        <f>IF($O7="","",ROUND(($O7-$O$3)/1000,1)+(_xlfn.RANK.AVG($O7,($J7,$O7,$T7),1)-2)*10)</f>
        <v/>
      </c>
      <c r="W7" s="54" t="str">
        <f>IF($T7="","",ROUND(($T7-$T$3)/1000,1)+(_xlfn.RANK.AVG($T7,($J7,$O7,$T7),1)-2)*10)</f>
        <v/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7"/>
      <c r="J8" s="21" t="str">
        <f t="shared" si="2"/>
        <v/>
      </c>
      <c r="K8" s="8"/>
      <c r="L8" s="9"/>
      <c r="M8" s="9"/>
      <c r="N8" s="47"/>
      <c r="O8" s="21" t="str">
        <f t="shared" si="3"/>
        <v/>
      </c>
      <c r="P8" s="8"/>
      <c r="Q8" s="9"/>
      <c r="R8" s="9"/>
      <c r="S8" s="47"/>
      <c r="T8" s="21" t="str">
        <f t="shared" si="4"/>
        <v/>
      </c>
      <c r="U8" s="52" t="str">
        <f>IF($J8="","",ROUND(($J8-$J$3)/1000,1)+(_xlfn.RANK.AVG($J8,($J8,$O8,$T8),1)-2)*10)</f>
        <v/>
      </c>
      <c r="V8" s="53" t="str">
        <f>IF($O8="","",ROUND(($O8-$O$3)/1000,1)+(_xlfn.RANK.AVG($O8,($J8,$O8,$T8),1)-2)*10)</f>
        <v/>
      </c>
      <c r="W8" s="54" t="str">
        <f>IF($T8="","",ROUND(($T8-$T$3)/1000,1)+(_xlfn.RANK.AVG($T8,($J8,$O8,$T8),1)-2)*10)</f>
        <v/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7"/>
      <c r="J9" s="21" t="str">
        <f t="shared" si="2"/>
        <v/>
      </c>
      <c r="K9" s="8"/>
      <c r="L9" s="9"/>
      <c r="M9" s="9"/>
      <c r="N9" s="47"/>
      <c r="O9" s="21" t="str">
        <f t="shared" si="3"/>
        <v/>
      </c>
      <c r="P9" s="8"/>
      <c r="Q9" s="9"/>
      <c r="R9" s="9"/>
      <c r="S9" s="47"/>
      <c r="T9" s="21" t="str">
        <f t="shared" si="4"/>
        <v/>
      </c>
      <c r="U9" s="52" t="str">
        <f>IF($J9="","",ROUND(($J9-$J$3)/1000,1)+(_xlfn.RANK.AVG($J9,($J9,$O9,$T9),1)-2)*10)</f>
        <v/>
      </c>
      <c r="V9" s="53" t="str">
        <f>IF($O9="","",ROUND(($O9-$O$3)/1000,1)+(_xlfn.RANK.AVG($O9,($J9,$O9,$T9),1)-2)*10)</f>
        <v/>
      </c>
      <c r="W9" s="54" t="str">
        <f>IF($T9="","",ROUND(($T9-$T$3)/1000,1)+(_xlfn.RANK.AVG($T9,($J9,$O9,$T9),1)-2)*10)</f>
        <v/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EF2AF810-29F9-418B-AFEE-A2BEF4E3E707}">
      <formula1>$U$2:$W$2</formula1>
    </dataValidation>
    <dataValidation type="list" showInputMessage="1" showErrorMessage="1" sqref="K4:K30 P4:P30 F4:F30" xr:uid="{BCEFE48A-7EB7-45A0-B41C-5609E8AFA53A}">
      <formula1>"ロン,ツモ,放銃,ツモ支払,流局,チョンボ"</formula1>
    </dataValidation>
    <dataValidation type="list" allowBlank="1" showInputMessage="1" sqref="F1:T1" xr:uid="{127D666D-6E3F-4CBB-91B4-59C423E28AEC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2490-959A-4A2D-ACA9-BEBE382DF56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7"/>
      <c r="J4" s="21">
        <f>IF(COUNTA($F4,$K4,$P4)&gt;0,J3+SUM(G4:I4),"")</f>
        <v>25000</v>
      </c>
      <c r="K4" s="8" t="s">
        <v>195</v>
      </c>
      <c r="L4" s="9">
        <v>9000</v>
      </c>
      <c r="M4" s="9">
        <v>1000</v>
      </c>
      <c r="N4" s="47">
        <v>0</v>
      </c>
      <c r="O4" s="21">
        <f>IF(COUNTA($F4,$K4,$P4)&gt;0,O3+SUM(L4:N4),"")</f>
        <v>35000</v>
      </c>
      <c r="P4" s="8" t="s">
        <v>196</v>
      </c>
      <c r="Q4" s="9">
        <v>-9000</v>
      </c>
      <c r="R4" s="9">
        <v>-1000</v>
      </c>
      <c r="S4" s="47">
        <v>0</v>
      </c>
      <c r="T4" s="21">
        <f>IF(COUNTA($F4,$K4,$P4)&gt;0,T3+SUM(Q4:S4),"")</f>
        <v>15000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20</v>
      </c>
      <c r="W4" s="54">
        <f>IF($T4="","",ROUND(($T4-$T$3)/1000,1)+(_xlfn.RANK.AVG($T4,($J4,$O4,$T4),1)-2)*10)</f>
        <v>-20</v>
      </c>
      <c r="Y4" s="8"/>
      <c r="Z4" s="33"/>
      <c r="AA4" s="26"/>
      <c r="AB4" s="26">
        <v>1</v>
      </c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>
        <v>6</v>
      </c>
      <c r="AY4" s="30" t="s">
        <v>202</v>
      </c>
      <c r="AZ4" s="39" t="s">
        <v>104</v>
      </c>
      <c r="BA4" s="40" t="s">
        <v>86</v>
      </c>
      <c r="BB4" s="40" t="s">
        <v>79</v>
      </c>
      <c r="BC4" s="40" t="s">
        <v>84</v>
      </c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201</v>
      </c>
      <c r="G5" s="9">
        <v>-2000</v>
      </c>
      <c r="H5" s="9"/>
      <c r="I5" s="47">
        <v>0</v>
      </c>
      <c r="J5" s="21">
        <f t="shared" ref="J5:J30" si="2">IF(COUNTA($F5,$K5,$P5)&gt;0,J4+SUM(G5:I5),"")</f>
        <v>23000</v>
      </c>
      <c r="K5" s="8" t="s">
        <v>201</v>
      </c>
      <c r="L5" s="9">
        <v>-3900</v>
      </c>
      <c r="M5" s="9"/>
      <c r="N5" s="47">
        <v>0</v>
      </c>
      <c r="O5" s="21">
        <f t="shared" ref="O5:O30" si="3">IF(COUNTA($F5,$K5,$P5)&gt;0,O4+SUM(L5:N5),"")</f>
        <v>31100</v>
      </c>
      <c r="P5" s="8" t="s">
        <v>200</v>
      </c>
      <c r="Q5" s="9">
        <v>5900</v>
      </c>
      <c r="R5" s="9"/>
      <c r="S5" s="47">
        <v>0</v>
      </c>
      <c r="T5" s="21">
        <f t="shared" ref="T5:T30" si="4">IF(COUNTA($F5,$K5,$P5)&gt;0,T4+SUM(Q5:S5),"")</f>
        <v>20900</v>
      </c>
      <c r="U5" s="52">
        <f>IF($J5="","",ROUND(($J5-$J$3)/1000,1)+(_xlfn.RANK.AVG($J5,($J5,$O5,$T5),1)-2)*10)</f>
        <v>-2</v>
      </c>
      <c r="V5" s="53">
        <f>IF($O5="","",ROUND(($O5-$O$3)/1000,1)+(_xlfn.RANK.AVG($O5,($J5,$O5,$T5),1)-2)*10)</f>
        <v>16.100000000000001</v>
      </c>
      <c r="W5" s="54">
        <f>IF($T5="","",ROUND(($T5-$T$3)/1000,1)+(_xlfn.RANK.AVG($T5,($J5,$O5,$T5),1)-2)*10)</f>
        <v>-14.1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>
        <v>1</v>
      </c>
      <c r="BR5" s="26"/>
      <c r="BS5" s="26">
        <v>4</v>
      </c>
      <c r="BT5" s="30">
        <v>30</v>
      </c>
      <c r="BU5" s="39" t="s">
        <v>197</v>
      </c>
      <c r="BV5" s="40" t="s">
        <v>82</v>
      </c>
      <c r="BW5" s="40" t="s">
        <v>79</v>
      </c>
      <c r="BX5" s="40" t="s">
        <v>203</v>
      </c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196</v>
      </c>
      <c r="G6" s="9">
        <v>-12000</v>
      </c>
      <c r="H6" s="9">
        <v>-1000</v>
      </c>
      <c r="I6" s="47">
        <v>0</v>
      </c>
      <c r="J6" s="21">
        <f t="shared" si="2"/>
        <v>10000</v>
      </c>
      <c r="K6" s="8"/>
      <c r="L6" s="9"/>
      <c r="M6" s="9"/>
      <c r="N6" s="47"/>
      <c r="O6" s="21">
        <f t="shared" si="3"/>
        <v>31100</v>
      </c>
      <c r="P6" s="8" t="s">
        <v>195</v>
      </c>
      <c r="Q6" s="9">
        <v>12000</v>
      </c>
      <c r="R6" s="9">
        <v>1000</v>
      </c>
      <c r="S6" s="47">
        <v>0</v>
      </c>
      <c r="T6" s="21">
        <f t="shared" si="4"/>
        <v>33900</v>
      </c>
      <c r="U6" s="52">
        <f>IF($J6="","",ROUND(($J6-$J$3)/1000,1)+(_xlfn.RANK.AVG($J6,($J6,$O6,$T6),1)-2)*10)</f>
        <v>-25</v>
      </c>
      <c r="V6" s="53">
        <f>IF($O6="","",ROUND(($O6-$O$3)/1000,1)+(_xlfn.RANK.AVG($O6,($J6,$O6,$T6),1)-2)*10)</f>
        <v>6.1</v>
      </c>
      <c r="W6" s="54">
        <f>IF($T6="","",ROUND(($T6-$T$3)/1000,1)+(_xlfn.RANK.AVG($T6,($J6,$O6,$T6),1)-2)*10)</f>
        <v>18.899999999999999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6</v>
      </c>
      <c r="BT6" s="30" t="s">
        <v>202</v>
      </c>
      <c r="BU6" s="39" t="s">
        <v>197</v>
      </c>
      <c r="BV6" s="40" t="s">
        <v>83</v>
      </c>
      <c r="BW6" s="40" t="s">
        <v>79</v>
      </c>
      <c r="BX6" s="40" t="s">
        <v>79</v>
      </c>
      <c r="BY6" s="40" t="s">
        <v>80</v>
      </c>
      <c r="BZ6" s="40" t="s">
        <v>203</v>
      </c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194</v>
      </c>
      <c r="F7" s="8"/>
      <c r="G7" s="9"/>
      <c r="H7" s="9"/>
      <c r="I7" s="47"/>
      <c r="J7" s="21">
        <f t="shared" si="2"/>
        <v>10000</v>
      </c>
      <c r="K7" s="8" t="s">
        <v>195</v>
      </c>
      <c r="L7" s="9">
        <v>9000</v>
      </c>
      <c r="M7" s="9"/>
      <c r="N7" s="47">
        <v>1000</v>
      </c>
      <c r="O7" s="21">
        <f t="shared" si="3"/>
        <v>41100</v>
      </c>
      <c r="P7" s="8" t="s">
        <v>196</v>
      </c>
      <c r="Q7" s="9">
        <v>-9000</v>
      </c>
      <c r="R7" s="9"/>
      <c r="S7" s="47">
        <v>-1000</v>
      </c>
      <c r="T7" s="21">
        <f t="shared" si="4"/>
        <v>23900</v>
      </c>
      <c r="U7" s="52">
        <f>IF($J7="","",ROUND(($J7-$J$3)/1000,1)+(_xlfn.RANK.AVG($J7,($J7,$O7,$T7),1)-2)*10)</f>
        <v>-25</v>
      </c>
      <c r="V7" s="53">
        <f>IF($O7="","",ROUND(($O7-$O$3)/1000,1)+(_xlfn.RANK.AVG($O7,($J7,$O7,$T7),1)-2)*10)</f>
        <v>26.1</v>
      </c>
      <c r="W7" s="54">
        <f>IF($T7="","",ROUND(($T7-$T$3)/1000,1)+(_xlfn.RANK.AVG($T7,($J7,$O7,$T7),1)-2)*10)</f>
        <v>-1.1000000000000001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>
        <v>6</v>
      </c>
      <c r="AY7" s="30" t="s">
        <v>202</v>
      </c>
      <c r="AZ7" s="39" t="s">
        <v>86</v>
      </c>
      <c r="BA7" s="40" t="s">
        <v>98</v>
      </c>
      <c r="BB7" s="40" t="s">
        <v>79</v>
      </c>
      <c r="BC7" s="40" t="s">
        <v>79</v>
      </c>
      <c r="BD7" s="40" t="s">
        <v>79</v>
      </c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199</v>
      </c>
      <c r="F8" s="8" t="s">
        <v>200</v>
      </c>
      <c r="G8" s="9">
        <v>16000</v>
      </c>
      <c r="H8" s="9"/>
      <c r="I8" s="47">
        <v>0</v>
      </c>
      <c r="J8" s="21">
        <f t="shared" si="2"/>
        <v>26000</v>
      </c>
      <c r="K8" s="8" t="s">
        <v>201</v>
      </c>
      <c r="L8" s="9">
        <v>-8000</v>
      </c>
      <c r="M8" s="9"/>
      <c r="N8" s="47">
        <v>0</v>
      </c>
      <c r="O8" s="21">
        <f t="shared" si="3"/>
        <v>33100</v>
      </c>
      <c r="P8" s="8" t="s">
        <v>201</v>
      </c>
      <c r="Q8" s="9">
        <v>-8000</v>
      </c>
      <c r="R8" s="9"/>
      <c r="S8" s="47">
        <v>0</v>
      </c>
      <c r="T8" s="21">
        <f t="shared" si="4"/>
        <v>15900</v>
      </c>
      <c r="U8" s="52">
        <f>IF($J8="","",ROUND(($J8-$J$3)/1000,1)+(_xlfn.RANK.AVG($J8,($J8,$O8,$T8),1)-2)*10)</f>
        <v>1</v>
      </c>
      <c r="V8" s="53">
        <f>IF($O8="","",ROUND(($O8-$O$3)/1000,1)+(_xlfn.RANK.AVG($O8,($J8,$O8,$T8),1)-2)*10)</f>
        <v>18.100000000000001</v>
      </c>
      <c r="W8" s="54">
        <f>IF($T8="","",ROUND(($T8-$T$3)/1000,1)+(_xlfn.RANK.AVG($T8,($J8,$O8,$T8),1)-2)*10)</f>
        <v>-19.100000000000001</v>
      </c>
      <c r="Y8" s="8"/>
      <c r="Z8" s="33"/>
      <c r="AA8" s="26">
        <v>1</v>
      </c>
      <c r="AB8" s="26"/>
      <c r="AC8" s="26">
        <v>9</v>
      </c>
      <c r="AD8" s="30" t="s">
        <v>202</v>
      </c>
      <c r="AE8" s="39" t="s">
        <v>197</v>
      </c>
      <c r="AF8" s="40" t="s">
        <v>82</v>
      </c>
      <c r="AG8" s="40" t="s">
        <v>104</v>
      </c>
      <c r="AH8" s="40" t="s">
        <v>84</v>
      </c>
      <c r="AI8" s="40" t="s">
        <v>79</v>
      </c>
      <c r="AJ8" s="40" t="s">
        <v>80</v>
      </c>
      <c r="AK8" s="40" t="s">
        <v>80</v>
      </c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199</v>
      </c>
      <c r="F9" s="8" t="s">
        <v>196</v>
      </c>
      <c r="G9" s="9">
        <v>-2000</v>
      </c>
      <c r="H9" s="9"/>
      <c r="I9" s="47">
        <v>-1000</v>
      </c>
      <c r="J9" s="21">
        <f t="shared" si="2"/>
        <v>23000</v>
      </c>
      <c r="K9" s="8" t="s">
        <v>195</v>
      </c>
      <c r="L9" s="9">
        <v>2000</v>
      </c>
      <c r="M9" s="9"/>
      <c r="N9" s="47">
        <v>1000</v>
      </c>
      <c r="O9" s="21">
        <f t="shared" si="3"/>
        <v>36100</v>
      </c>
      <c r="P9" s="8"/>
      <c r="Q9" s="9"/>
      <c r="R9" s="9"/>
      <c r="S9" s="47"/>
      <c r="T9" s="21">
        <f t="shared" si="4"/>
        <v>15900</v>
      </c>
      <c r="U9" s="52">
        <f>IF($J9="","",ROUND(($J9-$J$3)/1000,1)+(_xlfn.RANK.AVG($J9,($J9,$O9,$T9),1)-2)*10)</f>
        <v>-2</v>
      </c>
      <c r="V9" s="53">
        <f>IF($O9="","",ROUND(($O9-$O$3)/1000,1)+(_xlfn.RANK.AVG($O9,($J9,$O9,$T9),1)-2)*10)</f>
        <v>21.1</v>
      </c>
      <c r="W9" s="54">
        <f>IF($T9="","",ROUND(($T9-$T$3)/1000,1)+(_xlfn.RANK.AVG($T9,($J9,$O9,$T9),1)-2)*10)</f>
        <v>-19.100000000000001</v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>
        <v>2</v>
      </c>
      <c r="AY9" s="30">
        <v>40</v>
      </c>
      <c r="AZ9" s="39" t="s">
        <v>86</v>
      </c>
      <c r="BA9" s="40" t="s">
        <v>203</v>
      </c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201</v>
      </c>
      <c r="G10" s="9">
        <v>-1600</v>
      </c>
      <c r="H10" s="9">
        <v>-1000</v>
      </c>
      <c r="I10" s="47">
        <v>0</v>
      </c>
      <c r="J10" s="21">
        <f t="shared" si="2"/>
        <v>20400</v>
      </c>
      <c r="K10" s="8" t="s">
        <v>200</v>
      </c>
      <c r="L10" s="9">
        <v>3200</v>
      </c>
      <c r="M10" s="9">
        <v>1000</v>
      </c>
      <c r="N10" s="47">
        <v>0</v>
      </c>
      <c r="O10" s="21">
        <f t="shared" si="3"/>
        <v>40300</v>
      </c>
      <c r="P10" s="8" t="s">
        <v>201</v>
      </c>
      <c r="Q10" s="9">
        <v>-1600</v>
      </c>
      <c r="R10" s="9"/>
      <c r="S10" s="47">
        <v>0</v>
      </c>
      <c r="T10" s="21">
        <f t="shared" si="4"/>
        <v>14300</v>
      </c>
      <c r="U10" s="52">
        <f>IF($J10="","",ROUND(($J10-$J$3)/1000,1)+(_xlfn.RANK.AVG($J10,($J10,$O10,$T10),1)-2)*10)</f>
        <v>-4.5999999999999996</v>
      </c>
      <c r="V10" s="53">
        <f>IF($O10="","",ROUND(($O10-$O$3)/1000,1)+(_xlfn.RANK.AVG($O10,($J10,$O10,$T10),1)-2)*10)</f>
        <v>25.3</v>
      </c>
      <c r="W10" s="54">
        <f>IF($T10="","",ROUND(($T10-$T$3)/1000,1)+(_xlfn.RANK.AVG($T10,($J10,$O10,$T10),1)-2)*10)</f>
        <v>-20.7</v>
      </c>
      <c r="Y10" s="8"/>
      <c r="Z10" s="33"/>
      <c r="AA10" s="26">
        <v>1</v>
      </c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>
        <v>3</v>
      </c>
      <c r="AY10" s="30">
        <v>25</v>
      </c>
      <c r="AZ10" s="39" t="s">
        <v>82</v>
      </c>
      <c r="BA10" s="40" t="s">
        <v>101</v>
      </c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>
        <v>1</v>
      </c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204</v>
      </c>
      <c r="F11" s="8"/>
      <c r="G11" s="9"/>
      <c r="H11" s="9"/>
      <c r="I11" s="47"/>
      <c r="J11" s="21">
        <f t="shared" si="2"/>
        <v>20400</v>
      </c>
      <c r="K11" s="8" t="s">
        <v>195</v>
      </c>
      <c r="L11" s="9">
        <v>8000</v>
      </c>
      <c r="M11" s="9"/>
      <c r="N11" s="47">
        <v>1000</v>
      </c>
      <c r="O11" s="21">
        <f t="shared" si="3"/>
        <v>49300</v>
      </c>
      <c r="P11" s="8" t="s">
        <v>196</v>
      </c>
      <c r="Q11" s="9">
        <v>-8000</v>
      </c>
      <c r="R11" s="9"/>
      <c r="S11" s="47">
        <v>-1000</v>
      </c>
      <c r="T11" s="21">
        <f t="shared" si="4"/>
        <v>5300</v>
      </c>
      <c r="U11" s="52">
        <f>IF($J11="","",ROUND(($J11-$J$3)/1000,1)+(_xlfn.RANK.AVG($J11,($J11,$O11,$T11),1)-2)*10)</f>
        <v>-4.5999999999999996</v>
      </c>
      <c r="V11" s="53">
        <f>IF($O11="","",ROUND(($O11-$O$3)/1000,1)+(_xlfn.RANK.AVG($O11,($J11,$O11,$T11),1)-2)*10)</f>
        <v>34.299999999999997</v>
      </c>
      <c r="W11" s="54">
        <f>IF($T11="","",ROUND(($T11-$T$3)/1000,1)+(_xlfn.RANK.AVG($T11,($J11,$O11,$T11),1)-2)*10)</f>
        <v>-29.7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>
        <v>1</v>
      </c>
      <c r="AX11" s="26">
        <v>5</v>
      </c>
      <c r="AY11" s="30" t="s">
        <v>202</v>
      </c>
      <c r="AZ11" s="39" t="s">
        <v>104</v>
      </c>
      <c r="BA11" s="40" t="s">
        <v>86</v>
      </c>
      <c r="BB11" s="40" t="s">
        <v>86</v>
      </c>
      <c r="BC11" s="40" t="s">
        <v>203</v>
      </c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204</v>
      </c>
      <c r="F12" s="8" t="s">
        <v>201</v>
      </c>
      <c r="G12" s="9">
        <v>-1000</v>
      </c>
      <c r="H12" s="9"/>
      <c r="I12" s="47">
        <v>-1000</v>
      </c>
      <c r="J12" s="21">
        <f t="shared" si="2"/>
        <v>18400</v>
      </c>
      <c r="K12" s="8" t="s">
        <v>201</v>
      </c>
      <c r="L12" s="9">
        <v>-2000</v>
      </c>
      <c r="M12" s="9"/>
      <c r="N12" s="47">
        <v>-1000</v>
      </c>
      <c r="O12" s="21">
        <f t="shared" si="3"/>
        <v>46300</v>
      </c>
      <c r="P12" s="8" t="s">
        <v>200</v>
      </c>
      <c r="Q12" s="9">
        <v>3000</v>
      </c>
      <c r="R12" s="9"/>
      <c r="S12" s="47">
        <v>2000</v>
      </c>
      <c r="T12" s="21">
        <f t="shared" si="4"/>
        <v>10300</v>
      </c>
      <c r="U12" s="52">
        <f>IF($J12="","",ROUND(($J12-$J$3)/1000,1)+(_xlfn.RANK.AVG($J12,($J12,$O12,$T12),1)-2)*10)</f>
        <v>-6.6</v>
      </c>
      <c r="V12" s="53">
        <f>IF($O12="","",ROUND(($O12-$O$3)/1000,1)+(_xlfn.RANK.AVG($O12,($J12,$O12,$T12),1)-2)*10)</f>
        <v>31.3</v>
      </c>
      <c r="W12" s="54">
        <f>IF($T12="","",ROUND(($T12-$T$3)/1000,1)+(_xlfn.RANK.AVG($T12,($J12,$O12,$T12),1)-2)*10)</f>
        <v>-24.7</v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>
        <v>1</v>
      </c>
      <c r="BS12" s="26">
        <v>3</v>
      </c>
      <c r="BT12" s="30">
        <v>30</v>
      </c>
      <c r="BU12" s="39" t="s">
        <v>104</v>
      </c>
      <c r="BV12" s="40" t="s">
        <v>86</v>
      </c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195</v>
      </c>
      <c r="G13" s="9">
        <v>1500</v>
      </c>
      <c r="H13" s="9">
        <v>1000</v>
      </c>
      <c r="I13" s="47">
        <v>0</v>
      </c>
      <c r="J13" s="21">
        <f t="shared" si="2"/>
        <v>20900</v>
      </c>
      <c r="K13" s="8" t="s">
        <v>196</v>
      </c>
      <c r="L13" s="9">
        <v>-1500</v>
      </c>
      <c r="M13" s="9"/>
      <c r="N13" s="47">
        <v>0</v>
      </c>
      <c r="O13" s="21">
        <f t="shared" si="3"/>
        <v>44800</v>
      </c>
      <c r="P13" s="8"/>
      <c r="Q13" s="9"/>
      <c r="R13" s="9">
        <v>-1000</v>
      </c>
      <c r="S13" s="47"/>
      <c r="T13" s="21">
        <f t="shared" si="4"/>
        <v>9300</v>
      </c>
      <c r="U13" s="52">
        <f>IF($J13="","",ROUND(($J13-$J$3)/1000,1)+(_xlfn.RANK.AVG($J13,($J13,$O13,$T13),1)-2)*10)</f>
        <v>-4.0999999999999996</v>
      </c>
      <c r="V13" s="53">
        <f>IF($O13="","",ROUND(($O13-$O$3)/1000,1)+(_xlfn.RANK.AVG($O13,($J13,$O13,$T13),1)-2)*10)</f>
        <v>29.8</v>
      </c>
      <c r="W13" s="54">
        <f>IF($T13="","",ROUND(($T13-$T$3)/1000,1)+(_xlfn.RANK.AVG($T13,($J13,$O13,$T13),1)-2)*10)</f>
        <v>-25.7</v>
      </c>
      <c r="Y13" s="8"/>
      <c r="Z13" s="33"/>
      <c r="AA13" s="26"/>
      <c r="AB13" s="26">
        <v>1</v>
      </c>
      <c r="AC13" s="26">
        <v>2</v>
      </c>
      <c r="AD13" s="30">
        <v>30</v>
      </c>
      <c r="AE13" s="39" t="s">
        <v>86</v>
      </c>
      <c r="AF13" s="40" t="s">
        <v>203</v>
      </c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>
        <v>1</v>
      </c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AE96747-75E4-434F-83EC-FACB19D2900D}">
      <formula1>"パパ,だいち,あやめ,"</formula1>
    </dataValidation>
    <dataValidation type="list" showInputMessage="1" showErrorMessage="1" sqref="K4:K30 P4:P30 F4:F30" xr:uid="{D0DC2E3B-6E60-4DD3-8839-A62A26D2F09F}">
      <formula1>"ロン,ツモ,放銃,ツモ支払,流局,チョンボ"</formula1>
    </dataValidation>
    <dataValidation type="list" allowBlank="1" showInputMessage="1" showErrorMessage="1" sqref="E4:E30" xr:uid="{DA99F050-FFDC-4B9A-94C5-39E7C5F1663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E0BE-38C1-490E-8A9F-A46CB5B15E42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7"/>
      <c r="J4" s="21">
        <f>IF(COUNTA($F4,$K4,$P4)&gt;0,J3+SUM(G4:I4),"")</f>
        <v>25000</v>
      </c>
      <c r="K4" s="8" t="s">
        <v>195</v>
      </c>
      <c r="L4" s="9">
        <v>6000</v>
      </c>
      <c r="M4" s="9"/>
      <c r="N4" s="47">
        <v>0</v>
      </c>
      <c r="O4" s="21">
        <f>IF(COUNTA($F4,$K4,$P4)&gt;0,O3+SUM(L4:N4),"")</f>
        <v>31000</v>
      </c>
      <c r="P4" s="8" t="s">
        <v>196</v>
      </c>
      <c r="Q4" s="9">
        <v>-6000</v>
      </c>
      <c r="R4" s="9"/>
      <c r="S4" s="47">
        <v>0</v>
      </c>
      <c r="T4" s="21">
        <f>IF(COUNTA($F4,$K4,$P4)&gt;0,T3+SUM(Q4:S4),"")</f>
        <v>19000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16</v>
      </c>
      <c r="W4" s="54">
        <f>IF($T4="","",ROUND(($T4-$T$3)/1000,1)+(_xlfn.RANK.AVG($T4,($J4,$O4,$T4),1)-2)*10)</f>
        <v>-16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>
        <v>1</v>
      </c>
      <c r="AX4" s="26">
        <v>4</v>
      </c>
      <c r="AY4" s="30">
        <v>30</v>
      </c>
      <c r="AZ4" s="39" t="s">
        <v>98</v>
      </c>
      <c r="BA4" s="40" t="s">
        <v>86</v>
      </c>
      <c r="BB4" s="40" t="s">
        <v>203</v>
      </c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201</v>
      </c>
      <c r="G5" s="9">
        <v>-6000</v>
      </c>
      <c r="H5" s="9"/>
      <c r="I5" s="47">
        <v>0</v>
      </c>
      <c r="J5" s="21">
        <f t="shared" ref="J5:J30" si="2">IF(COUNTA($F5,$K5,$P5)&gt;0,J4+SUM(G5:I5),"")</f>
        <v>19000</v>
      </c>
      <c r="K5" s="8" t="s">
        <v>200</v>
      </c>
      <c r="L5" s="9">
        <v>12000</v>
      </c>
      <c r="M5" s="9"/>
      <c r="N5" s="47">
        <v>0</v>
      </c>
      <c r="O5" s="21">
        <f t="shared" ref="O5:O30" si="3">IF(COUNTA($F5,$K5,$P5)&gt;0,O4+SUM(L5:N5),"")</f>
        <v>43000</v>
      </c>
      <c r="P5" s="8" t="s">
        <v>201</v>
      </c>
      <c r="Q5" s="9">
        <v>-6000</v>
      </c>
      <c r="R5" s="9"/>
      <c r="S5" s="47">
        <v>0</v>
      </c>
      <c r="T5" s="21">
        <f t="shared" ref="T5:T30" si="4">IF(COUNTA($F5,$K5,$P5)&gt;0,T4+SUM(Q5:S5),"")</f>
        <v>13000</v>
      </c>
      <c r="U5" s="52">
        <f>IF($J5="","",ROUND(($J5-$J$3)/1000,1)+(_xlfn.RANK.AVG($J5,($J5,$O5,$T5),1)-2)*10)</f>
        <v>-6</v>
      </c>
      <c r="V5" s="53">
        <f>IF($O5="","",ROUND(($O5-$O$3)/1000,1)+(_xlfn.RANK.AVG($O5,($J5,$O5,$T5),1)-2)*10)</f>
        <v>28</v>
      </c>
      <c r="W5" s="54">
        <f>IF($T5="","",ROUND(($T5-$T$3)/1000,1)+(_xlfn.RANK.AVG($T5,($J5,$O5,$T5),1)-2)*10)</f>
        <v>-22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>
        <v>6</v>
      </c>
      <c r="AY5" s="30" t="s">
        <v>202</v>
      </c>
      <c r="AZ5" s="39" t="s">
        <v>82</v>
      </c>
      <c r="BA5" s="40" t="s">
        <v>85</v>
      </c>
      <c r="BB5" s="40" t="s">
        <v>83</v>
      </c>
      <c r="BC5" s="40" t="s">
        <v>84</v>
      </c>
      <c r="BD5" s="40" t="s">
        <v>79</v>
      </c>
      <c r="BE5" s="40" t="s">
        <v>79</v>
      </c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>
        <v>1</v>
      </c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204</v>
      </c>
      <c r="F6" s="8" t="s">
        <v>207</v>
      </c>
      <c r="G6" s="9">
        <v>1000</v>
      </c>
      <c r="H6" s="9">
        <v>-1000</v>
      </c>
      <c r="I6" s="47"/>
      <c r="J6" s="21">
        <f t="shared" si="2"/>
        <v>19000</v>
      </c>
      <c r="K6" s="8" t="s">
        <v>207</v>
      </c>
      <c r="L6" s="9">
        <v>-2000</v>
      </c>
      <c r="M6" s="9"/>
      <c r="N6" s="47"/>
      <c r="O6" s="21">
        <f t="shared" si="3"/>
        <v>41000</v>
      </c>
      <c r="P6" s="8" t="s">
        <v>207</v>
      </c>
      <c r="Q6" s="9">
        <v>1000</v>
      </c>
      <c r="R6" s="9"/>
      <c r="S6" s="47"/>
      <c r="T6" s="21">
        <f t="shared" si="4"/>
        <v>14000</v>
      </c>
      <c r="U6" s="52">
        <f>IF($J6="","",ROUND(($J6-$J$3)/1000,1)+(_xlfn.RANK.AVG($J6,($J6,$O6,$T6),1)-2)*10)</f>
        <v>-6</v>
      </c>
      <c r="V6" s="53">
        <f>IF($O6="","",ROUND(($O6-$O$3)/1000,1)+(_xlfn.RANK.AVG($O6,($J6,$O6,$T6),1)-2)*10)</f>
        <v>26</v>
      </c>
      <c r="W6" s="54">
        <f>IF($T6="","",ROUND(($T6-$T$3)/1000,1)+(_xlfn.RANK.AVG($T6,($J6,$O6,$T6),1)-2)*10)</f>
        <v>-21</v>
      </c>
      <c r="Y6" s="8" t="s">
        <v>206</v>
      </c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 t="s">
        <v>205</v>
      </c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 t="s">
        <v>206</v>
      </c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194</v>
      </c>
      <c r="F7" s="8"/>
      <c r="G7" s="9"/>
      <c r="H7" s="9"/>
      <c r="I7" s="47"/>
      <c r="J7" s="21">
        <f t="shared" si="2"/>
        <v>19000</v>
      </c>
      <c r="K7" s="8" t="s">
        <v>196</v>
      </c>
      <c r="L7" s="9">
        <v>-8000</v>
      </c>
      <c r="M7" s="9"/>
      <c r="N7" s="47">
        <v>-2000</v>
      </c>
      <c r="O7" s="21">
        <f t="shared" si="3"/>
        <v>31000</v>
      </c>
      <c r="P7" s="8" t="s">
        <v>195</v>
      </c>
      <c r="Q7" s="9">
        <v>8000</v>
      </c>
      <c r="R7" s="9">
        <v>1000</v>
      </c>
      <c r="S7" s="47">
        <v>2000</v>
      </c>
      <c r="T7" s="21">
        <f t="shared" si="4"/>
        <v>25000</v>
      </c>
      <c r="U7" s="52">
        <f>IF($J7="","",ROUND(($J7-$J$3)/1000,1)+(_xlfn.RANK.AVG($J7,($J7,$O7,$T7),1)-2)*10)</f>
        <v>-16</v>
      </c>
      <c r="V7" s="53">
        <f>IF($O7="","",ROUND(($O7-$O$3)/1000,1)+(_xlfn.RANK.AVG($O7,($J7,$O7,$T7),1)-2)*10)</f>
        <v>16</v>
      </c>
      <c r="W7" s="54">
        <f>IF($T7="","",ROUND(($T7-$T$3)/1000,1)+(_xlfn.RANK.AVG($T7,($J7,$O7,$T7),1)-2)*10)</f>
        <v>0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>
        <v>5</v>
      </c>
      <c r="BT7" s="30" t="s">
        <v>202</v>
      </c>
      <c r="BU7" s="39" t="s">
        <v>197</v>
      </c>
      <c r="BV7" s="40" t="s">
        <v>83</v>
      </c>
      <c r="BW7" s="40" t="s">
        <v>198</v>
      </c>
      <c r="BX7" s="40" t="s">
        <v>203</v>
      </c>
      <c r="BY7" s="40" t="s">
        <v>80</v>
      </c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194</v>
      </c>
      <c r="F8" s="8" t="s">
        <v>201</v>
      </c>
      <c r="G8" s="9">
        <v>-4000</v>
      </c>
      <c r="H8" s="9"/>
      <c r="I8" s="47">
        <v>-1500</v>
      </c>
      <c r="J8" s="21">
        <f t="shared" si="2"/>
        <v>13500</v>
      </c>
      <c r="K8" s="8" t="s">
        <v>201</v>
      </c>
      <c r="L8" s="9">
        <v>-4000</v>
      </c>
      <c r="M8" s="9"/>
      <c r="N8" s="47">
        <v>-1500</v>
      </c>
      <c r="O8" s="21">
        <f t="shared" si="3"/>
        <v>25500</v>
      </c>
      <c r="P8" s="8" t="s">
        <v>200</v>
      </c>
      <c r="Q8" s="9">
        <v>8000</v>
      </c>
      <c r="R8" s="9"/>
      <c r="S8" s="47">
        <v>3000</v>
      </c>
      <c r="T8" s="21">
        <f t="shared" si="4"/>
        <v>36000</v>
      </c>
      <c r="U8" s="52">
        <f>IF($J8="","",ROUND(($J8-$J$3)/1000,1)+(_xlfn.RANK.AVG($J8,($J8,$O8,$T8),1)-2)*10)</f>
        <v>-21.5</v>
      </c>
      <c r="V8" s="53">
        <f>IF($O8="","",ROUND(($O8-$O$3)/1000,1)+(_xlfn.RANK.AVG($O8,($J8,$O8,$T8),1)-2)*10)</f>
        <v>0.5</v>
      </c>
      <c r="W8" s="54">
        <f>IF($T8="","",ROUND(($T8-$T$3)/1000,1)+(_xlfn.RANK.AVG($T8,($J8,$O8,$T8),1)-2)*10)</f>
        <v>21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5</v>
      </c>
      <c r="BT8" s="30" t="s">
        <v>202</v>
      </c>
      <c r="BU8" s="39" t="s">
        <v>197</v>
      </c>
      <c r="BV8" s="40" t="s">
        <v>82</v>
      </c>
      <c r="BW8" s="40" t="s">
        <v>203</v>
      </c>
      <c r="BX8" s="40" t="s">
        <v>79</v>
      </c>
      <c r="BY8" s="40" t="s">
        <v>80</v>
      </c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194</v>
      </c>
      <c r="F9" s="8" t="s">
        <v>200</v>
      </c>
      <c r="G9" s="9">
        <v>9000</v>
      </c>
      <c r="H9" s="9"/>
      <c r="I9" s="47">
        <v>4000</v>
      </c>
      <c r="J9" s="21">
        <f t="shared" si="2"/>
        <v>26500</v>
      </c>
      <c r="K9" s="8" t="s">
        <v>201</v>
      </c>
      <c r="L9" s="9">
        <v>-3000</v>
      </c>
      <c r="M9" s="9"/>
      <c r="N9" s="47">
        <v>-2000</v>
      </c>
      <c r="O9" s="21">
        <f t="shared" si="3"/>
        <v>20500</v>
      </c>
      <c r="P9" s="8" t="s">
        <v>201</v>
      </c>
      <c r="Q9" s="9">
        <v>-6000</v>
      </c>
      <c r="R9" s="9"/>
      <c r="S9" s="47">
        <v>-2000</v>
      </c>
      <c r="T9" s="21">
        <f t="shared" si="4"/>
        <v>28000</v>
      </c>
      <c r="U9" s="52">
        <f>IF($J9="","",ROUND(($J9-$J$3)/1000,1)+(_xlfn.RANK.AVG($J9,($J9,$O9,$T9),1)-2)*10)</f>
        <v>1.5</v>
      </c>
      <c r="V9" s="53">
        <f>IF($O9="","",ROUND(($O9-$O$3)/1000,1)+(_xlfn.RANK.AVG($O9,($J9,$O9,$T9),1)-2)*10)</f>
        <v>-14.5</v>
      </c>
      <c r="W9" s="54">
        <f>IF($T9="","",ROUND(($T9-$T$3)/1000,1)+(_xlfn.RANK.AVG($T9,($J9,$O9,$T9),1)-2)*10)</f>
        <v>13</v>
      </c>
      <c r="Y9" s="8"/>
      <c r="Z9" s="33"/>
      <c r="AA9" s="26"/>
      <c r="AB9" s="26">
        <v>1</v>
      </c>
      <c r="AC9" s="26">
        <v>7</v>
      </c>
      <c r="AD9" s="30" t="s">
        <v>202</v>
      </c>
      <c r="AE9" s="39" t="s">
        <v>86</v>
      </c>
      <c r="AF9" s="40" t="s">
        <v>86</v>
      </c>
      <c r="AG9" s="40" t="s">
        <v>86</v>
      </c>
      <c r="AH9" s="40" t="s">
        <v>104</v>
      </c>
      <c r="AI9" s="40" t="s">
        <v>203</v>
      </c>
      <c r="AJ9" s="40" t="s">
        <v>79</v>
      </c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>
        <v>1</v>
      </c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199</v>
      </c>
      <c r="F10" s="8" t="s">
        <v>200</v>
      </c>
      <c r="G10" s="9">
        <v>8000</v>
      </c>
      <c r="H10" s="9"/>
      <c r="I10" s="47">
        <v>0</v>
      </c>
      <c r="J10" s="21">
        <f t="shared" si="2"/>
        <v>34500</v>
      </c>
      <c r="K10" s="8" t="s">
        <v>201</v>
      </c>
      <c r="L10" s="9">
        <v>-4000</v>
      </c>
      <c r="M10" s="9"/>
      <c r="N10" s="47">
        <v>0</v>
      </c>
      <c r="O10" s="21">
        <f t="shared" si="3"/>
        <v>16500</v>
      </c>
      <c r="P10" s="8" t="s">
        <v>201</v>
      </c>
      <c r="Q10" s="9">
        <v>-4000</v>
      </c>
      <c r="R10" s="9"/>
      <c r="S10" s="47">
        <v>0</v>
      </c>
      <c r="T10" s="21">
        <f t="shared" si="4"/>
        <v>24000</v>
      </c>
      <c r="U10" s="52">
        <f>IF($J10="","",ROUND(($J10-$J$3)/1000,1)+(_xlfn.RANK.AVG($J10,($J10,$O10,$T10),1)-2)*10)</f>
        <v>19.5</v>
      </c>
      <c r="V10" s="53">
        <f>IF($O10="","",ROUND(($O10-$O$3)/1000,1)+(_xlfn.RANK.AVG($O10,($J10,$O10,$T10),1)-2)*10)</f>
        <v>-18.5</v>
      </c>
      <c r="W10" s="54">
        <f>IF($T10="","",ROUND(($T10-$T$3)/1000,1)+(_xlfn.RANK.AVG($T10,($J10,$O10,$T10),1)-2)*10)</f>
        <v>-1</v>
      </c>
      <c r="Y10" s="8"/>
      <c r="Z10" s="33"/>
      <c r="AA10" s="26">
        <v>1</v>
      </c>
      <c r="AB10" s="26"/>
      <c r="AC10" s="26">
        <v>4</v>
      </c>
      <c r="AD10" s="30">
        <v>30</v>
      </c>
      <c r="AE10" s="39" t="s">
        <v>197</v>
      </c>
      <c r="AF10" s="40" t="s">
        <v>82</v>
      </c>
      <c r="AG10" s="40" t="s">
        <v>79</v>
      </c>
      <c r="AH10" s="40" t="s">
        <v>80</v>
      </c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199</v>
      </c>
      <c r="F11" s="8" t="s">
        <v>200</v>
      </c>
      <c r="G11" s="9">
        <v>4000</v>
      </c>
      <c r="H11" s="9">
        <v>1000</v>
      </c>
      <c r="I11" s="47">
        <v>1000</v>
      </c>
      <c r="J11" s="21">
        <f t="shared" si="2"/>
        <v>40500</v>
      </c>
      <c r="K11" s="8" t="s">
        <v>201</v>
      </c>
      <c r="L11" s="9">
        <v>-2000</v>
      </c>
      <c r="M11" s="9"/>
      <c r="N11" s="47">
        <v>-500</v>
      </c>
      <c r="O11" s="21">
        <f t="shared" si="3"/>
        <v>14000</v>
      </c>
      <c r="P11" s="8" t="s">
        <v>201</v>
      </c>
      <c r="Q11" s="9">
        <v>-2000</v>
      </c>
      <c r="R11" s="9">
        <v>-1000</v>
      </c>
      <c r="S11" s="47">
        <v>-500</v>
      </c>
      <c r="T11" s="21">
        <f t="shared" si="4"/>
        <v>20500</v>
      </c>
      <c r="U11" s="52">
        <f>IF($J11="","",ROUND(($J11-$J$3)/1000,1)+(_xlfn.RANK.AVG($J11,($J11,$O11,$T11),1)-2)*10)</f>
        <v>25.5</v>
      </c>
      <c r="V11" s="53">
        <f>IF($O11="","",ROUND(($O11-$O$3)/1000,1)+(_xlfn.RANK.AVG($O11,($J11,$O11,$T11),1)-2)*10)</f>
        <v>-21</v>
      </c>
      <c r="W11" s="54">
        <f>IF($T11="","",ROUND(($T11-$T$3)/1000,1)+(_xlfn.RANK.AVG($T11,($J11,$O11,$T11),1)-2)*10)</f>
        <v>-4.5</v>
      </c>
      <c r="Y11" s="8"/>
      <c r="Z11" s="33"/>
      <c r="AA11" s="26"/>
      <c r="AB11" s="26"/>
      <c r="AC11" s="26">
        <v>3</v>
      </c>
      <c r="AD11" s="30">
        <v>30</v>
      </c>
      <c r="AE11" s="39" t="s">
        <v>84</v>
      </c>
      <c r="AF11" s="40" t="s">
        <v>79</v>
      </c>
      <c r="AG11" s="40" t="s">
        <v>82</v>
      </c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>
        <v>1</v>
      </c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199</v>
      </c>
      <c r="F12" s="8" t="s">
        <v>196</v>
      </c>
      <c r="G12" s="9">
        <v>-9000</v>
      </c>
      <c r="H12" s="9">
        <v>-1000</v>
      </c>
      <c r="I12" s="47">
        <v>-2000</v>
      </c>
      <c r="J12" s="21">
        <f t="shared" si="2"/>
        <v>28500</v>
      </c>
      <c r="K12" s="8"/>
      <c r="L12" s="9"/>
      <c r="M12" s="9"/>
      <c r="N12" s="47"/>
      <c r="O12" s="21">
        <f t="shared" si="3"/>
        <v>14000</v>
      </c>
      <c r="P12" s="8" t="s">
        <v>195</v>
      </c>
      <c r="Q12" s="9">
        <v>9000</v>
      </c>
      <c r="R12" s="9">
        <v>1000</v>
      </c>
      <c r="S12" s="47">
        <v>2000</v>
      </c>
      <c r="T12" s="21">
        <f t="shared" si="4"/>
        <v>32500</v>
      </c>
      <c r="U12" s="52">
        <f>IF($J12="","",ROUND(($J12-$J$3)/1000,1)+(_xlfn.RANK.AVG($J12,($J12,$O12,$T12),1)-2)*10)</f>
        <v>3.5</v>
      </c>
      <c r="V12" s="53">
        <f>IF($O12="","",ROUND(($O12-$O$3)/1000,1)+(_xlfn.RANK.AVG($O12,($J12,$O12,$T12),1)-2)*10)</f>
        <v>-21</v>
      </c>
      <c r="W12" s="54">
        <f>IF($T12="","",ROUND(($T12-$T$3)/1000,1)+(_xlfn.RANK.AVG($T12,($J12,$O12,$T12),1)-2)*10)</f>
        <v>17.5</v>
      </c>
      <c r="Y12" s="8"/>
      <c r="Z12" s="33"/>
      <c r="AA12" s="26">
        <v>1</v>
      </c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>
        <v>1</v>
      </c>
      <c r="BS12" s="26">
        <v>7</v>
      </c>
      <c r="BT12" s="30" t="s">
        <v>202</v>
      </c>
      <c r="BU12" s="39" t="s">
        <v>86</v>
      </c>
      <c r="BV12" s="40" t="s">
        <v>79</v>
      </c>
      <c r="BW12" s="40" t="s">
        <v>79</v>
      </c>
      <c r="BX12" s="40" t="s">
        <v>79</v>
      </c>
      <c r="BY12" s="40" t="s">
        <v>79</v>
      </c>
      <c r="BZ12" s="40" t="s">
        <v>79</v>
      </c>
      <c r="CA12" s="40" t="s">
        <v>79</v>
      </c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204</v>
      </c>
      <c r="F13" s="8" t="s">
        <v>201</v>
      </c>
      <c r="G13" s="9">
        <v>-500</v>
      </c>
      <c r="H13" s="9"/>
      <c r="I13" s="47">
        <v>0</v>
      </c>
      <c r="J13" s="21">
        <f t="shared" si="2"/>
        <v>28000</v>
      </c>
      <c r="K13" s="8" t="s">
        <v>201</v>
      </c>
      <c r="L13" s="9">
        <v>-1000</v>
      </c>
      <c r="M13" s="9"/>
      <c r="N13" s="47">
        <v>0</v>
      </c>
      <c r="O13" s="21">
        <f t="shared" si="3"/>
        <v>13000</v>
      </c>
      <c r="P13" s="8" t="s">
        <v>200</v>
      </c>
      <c r="Q13" s="9">
        <v>1500</v>
      </c>
      <c r="R13" s="9"/>
      <c r="S13" s="47">
        <v>0</v>
      </c>
      <c r="T13" s="21">
        <f t="shared" si="4"/>
        <v>34000</v>
      </c>
      <c r="U13" s="52">
        <f>IF($J13="","",ROUND(($J13-$J$3)/1000,1)+(_xlfn.RANK.AVG($J13,($J13,$O13,$T13),1)-2)*10)</f>
        <v>3</v>
      </c>
      <c r="V13" s="53">
        <f>IF($O13="","",ROUND(($O13-$O$3)/1000,1)+(_xlfn.RANK.AVG($O13,($J13,$O13,$T13),1)-2)*10)</f>
        <v>-22</v>
      </c>
      <c r="W13" s="54">
        <f>IF($T13="","",ROUND(($T13-$T$3)/1000,1)+(_xlfn.RANK.AVG($T13,($J13,$O13,$T13),1)-2)*10)</f>
        <v>19</v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>
        <v>1</v>
      </c>
      <c r="BS13" s="26">
        <v>2</v>
      </c>
      <c r="BT13" s="30">
        <v>30</v>
      </c>
      <c r="BU13" s="39" t="s">
        <v>86</v>
      </c>
      <c r="BV13" s="40" t="s">
        <v>93</v>
      </c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194</v>
      </c>
      <c r="F14" s="8" t="s">
        <v>196</v>
      </c>
      <c r="G14" s="9">
        <v>-6000</v>
      </c>
      <c r="H14" s="9">
        <v>-1000</v>
      </c>
      <c r="I14" s="47">
        <v>0</v>
      </c>
      <c r="J14" s="21">
        <f t="shared" si="2"/>
        <v>21000</v>
      </c>
      <c r="K14" s="8" t="s">
        <v>195</v>
      </c>
      <c r="L14" s="9">
        <v>6000</v>
      </c>
      <c r="M14" s="9">
        <v>1000</v>
      </c>
      <c r="N14" s="47">
        <v>0</v>
      </c>
      <c r="O14" s="21">
        <f t="shared" si="3"/>
        <v>20000</v>
      </c>
      <c r="P14" s="8"/>
      <c r="Q14" s="9"/>
      <c r="R14" s="9"/>
      <c r="S14" s="47"/>
      <c r="T14" s="21">
        <f t="shared" si="4"/>
        <v>34000</v>
      </c>
      <c r="U14" s="52">
        <f>IF($J14="","",ROUND(($J14-$J$3)/1000,1)+(_xlfn.RANK.AVG($J14,($J14,$O14,$T14),1)-2)*10)</f>
        <v>-4</v>
      </c>
      <c r="V14" s="53">
        <f>IF($O14="","",ROUND(($O14-$O$3)/1000,1)+(_xlfn.RANK.AVG($O14,($J14,$O14,$T14),1)-2)*10)</f>
        <v>-15</v>
      </c>
      <c r="W14" s="54">
        <f>IF($T14="","",ROUND(($T14-$T$3)/1000,1)+(_xlfn.RANK.AVG($T14,($J14,$O14,$T14),1)-2)*10)</f>
        <v>19</v>
      </c>
      <c r="Y14" s="8"/>
      <c r="Z14" s="33"/>
      <c r="AA14" s="26">
        <v>1</v>
      </c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>
        <v>1</v>
      </c>
      <c r="AW14" s="26"/>
      <c r="AX14" s="26">
        <v>4</v>
      </c>
      <c r="AY14" s="30">
        <v>40</v>
      </c>
      <c r="AZ14" s="39" t="s">
        <v>197</v>
      </c>
      <c r="BA14" s="40" t="s">
        <v>83</v>
      </c>
      <c r="BB14" s="40" t="s">
        <v>79</v>
      </c>
      <c r="BC14" s="40" t="s">
        <v>203</v>
      </c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199</v>
      </c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3646D7E-C29C-4B72-8890-21F05277989C}">
      <formula1>$U$2:$W$2</formula1>
    </dataValidation>
    <dataValidation type="list" showInputMessage="1" showErrorMessage="1" sqref="K4:K30 P4:P30 F4:F30" xr:uid="{51448B42-7846-4563-B504-ABF042FA8FDA}">
      <formula1>"ロン,ツモ,放銃,ツモ支払,流局,チョンボ"</formula1>
    </dataValidation>
    <dataValidation type="list" allowBlank="1" showInputMessage="1" sqref="F1:T1" xr:uid="{E3840A48-A651-47B8-A49D-B2557F3A24F9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2020-05-30T08:43:44Z</dcterms:modified>
</cp:coreProperties>
</file>