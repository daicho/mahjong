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松喜屋\対局\"/>
    </mc:Choice>
  </mc:AlternateContent>
  <xr:revisionPtr revIDLastSave="0" documentId="13_ncr:1_{6935104B-6B86-4FF8-8D76-10D21BB38AFD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7" r:id="rId2"/>
    <sheet name="Sheet3" sheetId="28" r:id="rId3"/>
    <sheet name="役一覧" sheetId="15" state="hidden" r:id="rId4"/>
    <sheet name="点数表(親ロン)" sheetId="20" state="hidden" r:id="rId5"/>
    <sheet name="点数表(親ツモ)" sheetId="21" state="hidden" r:id="rId6"/>
    <sheet name="点数表(子→親)" sheetId="22" state="hidden" r:id="rId7"/>
    <sheet name="点数表(子ロン)" sheetId="23" state="hidden" r:id="rId8"/>
    <sheet name="点数表(子ツモ)" sheetId="24" state="hidden" r:id="rId9"/>
    <sheet name="点数表(子→子)" sheetId="25" state="hidden" r:id="rId10"/>
    <sheet name="点数表(親→子)" sheetId="2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8" l="1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D16" i="28"/>
  <c r="D15" i="28"/>
  <c r="C15" i="28"/>
  <c r="C16" i="28" s="1"/>
  <c r="D14" i="28"/>
  <c r="C14" i="28"/>
  <c r="D11" i="28"/>
  <c r="D12" i="28" s="1"/>
  <c r="D13" i="28" s="1"/>
  <c r="C11" i="28"/>
  <c r="C12" i="28" s="1"/>
  <c r="C13" i="28" s="1"/>
  <c r="D10" i="28"/>
  <c r="C10" i="28"/>
  <c r="D9" i="28"/>
  <c r="D8" i="28"/>
  <c r="D7" i="28"/>
  <c r="C7" i="28"/>
  <c r="C8" i="28" s="1"/>
  <c r="C9" i="28" s="1"/>
  <c r="D6" i="28"/>
  <c r="T5" i="28"/>
  <c r="O5" i="28"/>
  <c r="D5" i="28"/>
  <c r="C5" i="28"/>
  <c r="C6" i="28" s="1"/>
  <c r="B5" i="28"/>
  <c r="B6" i="28" s="1"/>
  <c r="T4" i="28"/>
  <c r="O4" i="28"/>
  <c r="J4" i="28"/>
  <c r="U4" i="28" s="1"/>
  <c r="W3" i="28"/>
  <c r="V3" i="28"/>
  <c r="U3" i="28"/>
  <c r="W2" i="28"/>
  <c r="V2" i="28"/>
  <c r="U2" i="28"/>
  <c r="BO1" i="28"/>
  <c r="AT1" i="28"/>
  <c r="Y1" i="28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 s="1"/>
  <c r="D16" i="27"/>
  <c r="C16" i="27"/>
  <c r="B16" i="27"/>
  <c r="A16" i="27" s="1"/>
  <c r="D15" i="27"/>
  <c r="C15" i="27"/>
  <c r="B15" i="27"/>
  <c r="A15" i="27" s="1"/>
  <c r="D14" i="27"/>
  <c r="C14" i="27"/>
  <c r="B14" i="27"/>
  <c r="A14" i="27" s="1"/>
  <c r="D13" i="27"/>
  <c r="C13" i="27"/>
  <c r="D12" i="27"/>
  <c r="D11" i="27"/>
  <c r="C11" i="27"/>
  <c r="C12" i="27" s="1"/>
  <c r="D10" i="27"/>
  <c r="C10" i="27"/>
  <c r="D9" i="27"/>
  <c r="C9" i="27"/>
  <c r="D8" i="27"/>
  <c r="C8" i="27"/>
  <c r="D7" i="27"/>
  <c r="T5" i="27"/>
  <c r="T6" i="27" s="1"/>
  <c r="D5" i="27"/>
  <c r="D6" i="27" s="1"/>
  <c r="C5" i="27"/>
  <c r="C6" i="27" s="1"/>
  <c r="C7" i="27" s="1"/>
  <c r="B5" i="27"/>
  <c r="B6" i="27" s="1"/>
  <c r="T4" i="27"/>
  <c r="O4" i="27"/>
  <c r="O5" i="27" s="1"/>
  <c r="J4" i="27"/>
  <c r="W3" i="27"/>
  <c r="V3" i="27"/>
  <c r="U3" i="27"/>
  <c r="W2" i="27"/>
  <c r="V2" i="27"/>
  <c r="U2" i="27"/>
  <c r="BO1" i="27"/>
  <c r="AT1" i="27"/>
  <c r="Y1" i="27"/>
  <c r="V4" i="28" l="1"/>
  <c r="W4" i="28"/>
  <c r="B7" i="28"/>
  <c r="A6" i="28"/>
  <c r="J5" i="28"/>
  <c r="O6" i="28"/>
  <c r="A5" i="28"/>
  <c r="T6" i="28"/>
  <c r="A5" i="27"/>
  <c r="W4" i="27"/>
  <c r="U4" i="27"/>
  <c r="V4" i="27"/>
  <c r="T7" i="27"/>
  <c r="B7" i="27"/>
  <c r="O6" i="27"/>
  <c r="A6" i="27"/>
  <c r="J5" i="27"/>
  <c r="W5" i="27"/>
  <c r="W3" i="19"/>
  <c r="V3" i="19"/>
  <c r="U3" i="19"/>
  <c r="B8" i="28" l="1"/>
  <c r="A7" i="28"/>
  <c r="T7" i="28"/>
  <c r="O7" i="28"/>
  <c r="U5" i="28"/>
  <c r="J6" i="28"/>
  <c r="W6" i="28" s="1"/>
  <c r="W5" i="28"/>
  <c r="V5" i="28"/>
  <c r="B8" i="27"/>
  <c r="U5" i="27"/>
  <c r="J6" i="27"/>
  <c r="T8" i="27"/>
  <c r="V6" i="27"/>
  <c r="O7" i="27"/>
  <c r="V5" i="27"/>
  <c r="A7" i="27"/>
  <c r="A8" i="27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D13" i="19"/>
  <c r="C13" i="19"/>
  <c r="B13" i="19"/>
  <c r="A13" i="19" s="1"/>
  <c r="D12" i="19"/>
  <c r="C12" i="19"/>
  <c r="B12" i="19"/>
  <c r="A12" i="19"/>
  <c r="D11" i="19"/>
  <c r="C11" i="19"/>
  <c r="B11" i="19"/>
  <c r="A11" i="19" s="1"/>
  <c r="D10" i="19"/>
  <c r="C10" i="19"/>
  <c r="B10" i="19"/>
  <c r="A10" i="19" s="1"/>
  <c r="D9" i="19"/>
  <c r="C9" i="19"/>
  <c r="B9" i="19"/>
  <c r="A9" i="19" s="1"/>
  <c r="D8" i="19"/>
  <c r="C8" i="19"/>
  <c r="B8" i="19"/>
  <c r="A8" i="19" s="1"/>
  <c r="D7" i="19"/>
  <c r="C7" i="19"/>
  <c r="B7" i="19"/>
  <c r="A7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A8" i="28" l="1"/>
  <c r="T8" i="28"/>
  <c r="B9" i="28"/>
  <c r="U6" i="28"/>
  <c r="J7" i="28"/>
  <c r="W7" i="28" s="1"/>
  <c r="V6" i="28"/>
  <c r="O8" i="28"/>
  <c r="V7" i="28"/>
  <c r="B9" i="27"/>
  <c r="O8" i="27"/>
  <c r="T9" i="27"/>
  <c r="U6" i="27"/>
  <c r="J7" i="27"/>
  <c r="W6" i="27"/>
  <c r="U4" i="19"/>
  <c r="V4" i="19"/>
  <c r="T5" i="19"/>
  <c r="T6" i="19" s="1"/>
  <c r="T7" i="19" s="1"/>
  <c r="T8" i="19" s="1"/>
  <c r="T9" i="19" s="1"/>
  <c r="T10" i="19" s="1"/>
  <c r="T11" i="19" s="1"/>
  <c r="T12" i="19" s="1"/>
  <c r="T13" i="19" s="1"/>
  <c r="W4" i="19"/>
  <c r="J5" i="19"/>
  <c r="J6" i="19" s="1"/>
  <c r="O5" i="19"/>
  <c r="O6" i="19" s="1"/>
  <c r="O7" i="19" s="1"/>
  <c r="O8" i="19" s="1"/>
  <c r="O9" i="19" s="1"/>
  <c r="O10" i="19" s="1"/>
  <c r="O11" i="19" s="1"/>
  <c r="O12" i="19" s="1"/>
  <c r="O13" i="19" s="1"/>
  <c r="W6" i="19" l="1"/>
  <c r="V6" i="19"/>
  <c r="U6" i="19"/>
  <c r="J7" i="19"/>
  <c r="T9" i="28"/>
  <c r="O9" i="28"/>
  <c r="B10" i="28"/>
  <c r="U7" i="28"/>
  <c r="J8" i="28"/>
  <c r="W8" i="28" s="1"/>
  <c r="A9" i="28"/>
  <c r="B10" i="27"/>
  <c r="A9" i="27"/>
  <c r="U7" i="27"/>
  <c r="J8" i="27"/>
  <c r="W7" i="27"/>
  <c r="V8" i="27"/>
  <c r="O9" i="27"/>
  <c r="T10" i="27"/>
  <c r="V7" i="27"/>
  <c r="W5" i="19"/>
  <c r="V5" i="19"/>
  <c r="U5" i="19"/>
  <c r="J8" i="19" l="1"/>
  <c r="V7" i="19"/>
  <c r="W7" i="19"/>
  <c r="U7" i="19"/>
  <c r="A10" i="28"/>
  <c r="V8" i="28"/>
  <c r="U8" i="28"/>
  <c r="J9" i="28"/>
  <c r="W9" i="28"/>
  <c r="T10" i="28"/>
  <c r="B11" i="28"/>
  <c r="A11" i="28"/>
  <c r="V9" i="28"/>
  <c r="O10" i="28"/>
  <c r="A10" i="27"/>
  <c r="T11" i="27"/>
  <c r="B11" i="27"/>
  <c r="O10" i="27"/>
  <c r="U8" i="27"/>
  <c r="J9" i="27"/>
  <c r="V9" i="27" s="1"/>
  <c r="W8" i="27"/>
  <c r="J9" i="19" l="1"/>
  <c r="U8" i="19"/>
  <c r="W8" i="19"/>
  <c r="V8" i="19"/>
  <c r="U9" i="28"/>
  <c r="J10" i="28"/>
  <c r="W10" i="28" s="1"/>
  <c r="V10" i="28"/>
  <c r="O11" i="28"/>
  <c r="B12" i="28"/>
  <c r="A12" i="28"/>
  <c r="T11" i="28"/>
  <c r="T12" i="27"/>
  <c r="J10" i="27"/>
  <c r="U9" i="27"/>
  <c r="W9" i="27"/>
  <c r="B12" i="27"/>
  <c r="O11" i="27"/>
  <c r="A11" i="27"/>
  <c r="J10" i="19" l="1"/>
  <c r="V9" i="19"/>
  <c r="W9" i="19"/>
  <c r="U9" i="19"/>
  <c r="U10" i="28"/>
  <c r="J11" i="28"/>
  <c r="W11" i="28"/>
  <c r="T12" i="28"/>
  <c r="B13" i="28"/>
  <c r="A13" i="28"/>
  <c r="O12" i="28"/>
  <c r="A12" i="27"/>
  <c r="V10" i="27"/>
  <c r="T13" i="27"/>
  <c r="T14" i="27" s="1"/>
  <c r="T15" i="27" s="1"/>
  <c r="T16" i="27" s="1"/>
  <c r="O12" i="27"/>
  <c r="U10" i="27"/>
  <c r="J11" i="27"/>
  <c r="W10" i="27"/>
  <c r="B13" i="27"/>
  <c r="A13" i="27" s="1"/>
  <c r="J11" i="19" l="1"/>
  <c r="U10" i="19"/>
  <c r="V10" i="19"/>
  <c r="W10" i="19"/>
  <c r="U11" i="28"/>
  <c r="J12" i="28"/>
  <c r="V11" i="28"/>
  <c r="O13" i="28"/>
  <c r="B14" i="28"/>
  <c r="A14" i="28"/>
  <c r="T13" i="28"/>
  <c r="O13" i="27"/>
  <c r="O14" i="27" s="1"/>
  <c r="O15" i="27" s="1"/>
  <c r="O16" i="27" s="1"/>
  <c r="J12" i="27"/>
  <c r="V12" i="27" s="1"/>
  <c r="U11" i="27"/>
  <c r="W11" i="27"/>
  <c r="V11" i="27"/>
  <c r="J12" i="19" l="1"/>
  <c r="V11" i="19"/>
  <c r="U11" i="19"/>
  <c r="W11" i="19"/>
  <c r="U12" i="28"/>
  <c r="J13" i="28"/>
  <c r="W13" i="28"/>
  <c r="T14" i="28"/>
  <c r="W12" i="28"/>
  <c r="B15" i="28"/>
  <c r="A15" i="28"/>
  <c r="O14" i="28"/>
  <c r="V12" i="28"/>
  <c r="U12" i="27"/>
  <c r="J13" i="27"/>
  <c r="J14" i="27" s="1"/>
  <c r="W12" i="27"/>
  <c r="U12" i="19" l="1"/>
  <c r="J13" i="19"/>
  <c r="V12" i="19"/>
  <c r="W12" i="19"/>
  <c r="J15" i="27"/>
  <c r="U14" i="27"/>
  <c r="V14" i="27"/>
  <c r="W14" i="27"/>
  <c r="U13" i="28"/>
  <c r="J14" i="28"/>
  <c r="V14" i="28"/>
  <c r="O15" i="28"/>
  <c r="V13" i="28"/>
  <c r="B16" i="28"/>
  <c r="A16" i="28"/>
  <c r="T15" i="28"/>
  <c r="U13" i="27"/>
  <c r="W13" i="27"/>
  <c r="V13" i="27"/>
  <c r="U13" i="19" l="1"/>
  <c r="V13" i="19"/>
  <c r="W13" i="19"/>
  <c r="U15" i="27"/>
  <c r="J16" i="27"/>
  <c r="V15" i="27"/>
  <c r="W15" i="27"/>
  <c r="U14" i="28"/>
  <c r="J15" i="28"/>
  <c r="W15" i="28"/>
  <c r="T16" i="28"/>
  <c r="W14" i="28"/>
  <c r="O16" i="28"/>
  <c r="V15" i="28"/>
  <c r="U16" i="27" l="1"/>
  <c r="V16" i="27"/>
  <c r="W16" i="27"/>
  <c r="U15" i="28"/>
  <c r="J16" i="28"/>
  <c r="U16" i="28" s="1"/>
  <c r="V16" i="28"/>
  <c r="W16" i="28" l="1"/>
</calcChain>
</file>

<file path=xl/sharedStrings.xml><?xml version="1.0" encoding="utf-8"?>
<sst xmlns="http://schemas.openxmlformats.org/spreadsheetml/2006/main" count="997" uniqueCount="209">
  <si>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</si>
  <si>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</si>
  <si>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</si>
  <si>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</si>
  <si>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</si>
  <si>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</si>
  <si>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</si>
  <si>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</si>
  <si>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</si>
  <si>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</si>
  <si>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</si>
  <si>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</si>
  <si>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</si>
  <si>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</si>
  <si>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</si>
  <si>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</si>
  <si>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</si>
  <si>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</si>
  <si>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</si>
  <si>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</si>
  <si>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</si>
  <si>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</si>
  <si>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</si>
  <si>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</si>
  <si>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</si>
  <si>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</si>
  <si>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</si>
  <si>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</si>
  <si>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</si>
  <si>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</si>
  <si>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</si>
  <si>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</si>
  <si>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</si>
  <si>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</si>
  <si>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</si>
  <si>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</si>
  <si>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</si>
  <si>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</si>
  <si>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</si>
  <si>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</si>
  <si>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</si>
  <si>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</si>
  <si>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</si>
  <si>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</si>
  <si>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</si>
  <si>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</si>
  <si>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</si>
  <si>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</si>
  <si>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</si>
  <si>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</si>
  <si>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</si>
  <si>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</si>
  <si>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</si>
  <si>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</si>
  <si>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</si>
  <si>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</si>
  <si>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</si>
  <si>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</si>
  <si>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</si>
  <si>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</si>
  <si>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</si>
  <si>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</si>
  <si>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</si>
  <si>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</si>
  <si>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</si>
  <si>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</si>
  <si>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</si>
  <si>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</si>
  <si>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</si>
  <si>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</si>
  <si>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</si>
  <si>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</si>
  <si>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</si>
  <si>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</si>
  <si>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</si>
  <si>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</si>
  <si>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</si>
  <si>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</si>
  <si>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</si>
  <si>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</si>
  <si>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</si>
  <si>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</si>
  <si>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</si>
  <si>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</si>
  <si>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</si>
  <si>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</si>
  <si>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</si>
  <si>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</si>
  <si>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</si>
  <si>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</si>
  <si>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</si>
  <si>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</si>
  <si>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</si>
  <si>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</si>
  <si>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</si>
  <si>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</si>
  <si>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</si>
  <si>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</si>
  <si>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</si>
  <si>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</si>
  <si>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</si>
  <si>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</si>
  <si>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</si>
  <si>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</si>
  <si>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</si>
  <si>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</si>
  <si>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</si>
  <si>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</si>
  <si>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</si>
  <si>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</si>
  <si>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</si>
  <si>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</si>
  <si>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</si>
  <si>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</si>
  <si>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</si>
  <si>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</si>
  <si>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</si>
  <si>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</si>
  <si>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</si>
  <si>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</si>
  <si>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</si>
  <si>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</si>
  <si>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</si>
  <si>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</si>
  <si>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</si>
  <si>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</si>
  <si>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</si>
  <si>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</si>
  <si>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</si>
  <si>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</si>
  <si>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</si>
  <si>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</si>
  <si>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</si>
  <si>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</si>
  <si>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</si>
  <si>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</si>
  <si>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</si>
  <si>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</si>
  <si>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</si>
  <si>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</si>
  <si>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</si>
  <si>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</si>
  <si>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</si>
  <si>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</si>
  <si>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</si>
  <si>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</si>
  <si>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</si>
  <si>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</si>
  <si>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</si>
  <si>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</si>
  <si>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</si>
  <si>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</si>
  <si>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</si>
  <si>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</si>
  <si>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</si>
  <si>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</si>
  <si>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</si>
  <si>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</si>
  <si>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</si>
  <si>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</si>
  <si>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</si>
  <si>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</si>
  <si>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</si>
  <si>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</si>
  <si>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</si>
  <si>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</si>
  <si>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</si>
  <si>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</si>
  <si>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</si>
  <si>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</si>
  <si>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</si>
  <si>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</si>
  <si>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</si>
  <si>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</si>
  <si>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</si>
  <si>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</si>
  <si>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</si>
  <si>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</si>
  <si>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</si>
  <si>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</si>
  <si>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</si>
  <si>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</si>
  <si>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</si>
  <si>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</si>
  <si>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</si>
  <si>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</si>
  <si>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</si>
  <si>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</si>
  <si>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</si>
  <si>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</si>
  <si>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</si>
  <si>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パパ</t>
    <phoneticPr fontId="1"/>
  </si>
  <si>
    <t>だいち</t>
    <phoneticPr fontId="1"/>
  </si>
  <si>
    <t>あやめ</t>
    <phoneticPr fontId="1"/>
  </si>
  <si>
    <t>あやめ</t>
  </si>
  <si>
    <t>ツモ支払</t>
  </si>
  <si>
    <t>ツモ</t>
  </si>
  <si>
    <t>01</t>
  </si>
  <si>
    <t>52</t>
  </si>
  <si>
    <t>T</t>
  </si>
  <si>
    <t>N</t>
  </si>
  <si>
    <t>流局</t>
    <phoneticPr fontId="1"/>
  </si>
  <si>
    <t>放銃</t>
  </si>
  <si>
    <t>ロン</t>
  </si>
  <si>
    <t>パパ</t>
  </si>
  <si>
    <t>02</t>
  </si>
  <si>
    <t>だいち</t>
  </si>
  <si>
    <t>*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</si>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</sst>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2" t="str">
        <f>$F$1</f>
        <v>パパ</v>
      </c>
      <c r="V2" s="63" t="str">
        <f>$K$1</f>
        <v>だいち</v>
      </c>
      <c r="W2" s="16" t="str">
        <f>$P$1</f>
        <v>あやめ</v>
      </c>
      <c r="Y2" s="58" t="s">
        <v>23</v>
      </c>
      <c r="Z2" s="59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58" t="s">
        <v>23</v>
      </c>
      <c r="AU2" s="59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58" t="s">
        <v>23</v>
      </c>
      <c r="BP2" s="59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195</v>
      </c>
      <c r="G4" s="9">
        <v>-2000</v>
      </c>
      <c r="H4" s="9"/>
      <c r="I4" s="47">
        <v>0</v>
      </c>
      <c r="J4" s="21">
        <f>IF(COUNTA($F4,$K4,$P4)&gt;0,J3+SUM(G4:I4),"")</f>
        <v>23000</v>
      </c>
      <c r="K4" s="8" t="s">
        <v>195</v>
      </c>
      <c r="L4" s="9">
        <v>-2000</v>
      </c>
      <c r="M4" s="9"/>
      <c r="N4" s="47">
        <v>0</v>
      </c>
      <c r="O4" s="21">
        <f>IF(COUNTA($F4,$K4,$P4)&gt;0,O3+SUM(L4:N4),"")</f>
        <v>23000</v>
      </c>
      <c r="P4" s="8" t="s">
        <v>196</v>
      </c>
      <c r="Q4" s="9">
        <v>4000</v>
      </c>
      <c r="R4" s="9"/>
      <c r="S4" s="47">
        <v>0</v>
      </c>
      <c r="T4" s="21">
        <f>IF(COUNTA($F4,$K4,$P4)&gt;0,T3+SUM(Q4:S4),"")</f>
        <v>29000</v>
      </c>
      <c r="U4" s="52">
        <f>IF($J4="","",ROUND(($J4-$J$3)/1000,1)+(_xlfn.RANK.AVG($J4,($J4,$O4,$T4),1)-2)*10)</f>
        <v>-7</v>
      </c>
      <c r="V4" s="53">
        <f>IF($O4="","",ROUND(($O4-$O$3)/1000,1)+(_xlfn.RANK.AVG($O4,($J4,$O4,$T4),1)-2)*10)</f>
        <v>-7</v>
      </c>
      <c r="W4" s="54">
        <f>IF($T4="","",ROUND(($T4-$T$3)/1000,1)+(_xlfn.RANK.AVG($T4,($J4,$O4,$T4),1)-2)*10)</f>
        <v>14</v>
      </c>
      <c r="Y4" s="8"/>
      <c r="Z4" s="33"/>
      <c r="AA4" s="26"/>
      <c r="AB4" s="26">
        <v>1</v>
      </c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>
        <v>1</v>
      </c>
      <c r="BR4" s="26"/>
      <c r="BS4" s="26">
        <v>3</v>
      </c>
      <c r="BT4" s="30">
        <v>30</v>
      </c>
      <c r="BU4" s="39" t="s">
        <v>197</v>
      </c>
      <c r="BV4" s="40" t="s">
        <v>82</v>
      </c>
      <c r="BW4" s="40" t="s">
        <v>198</v>
      </c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201</v>
      </c>
      <c r="G5" s="9">
        <v>1000</v>
      </c>
      <c r="H5" s="9">
        <v>-1000</v>
      </c>
      <c r="I5" s="47"/>
      <c r="J5" s="21">
        <f t="shared" ref="J5:J30" si="2">IF(COUNTA($F5,$K5,$P5)&gt;0,J4+SUM(G5:I5),"")</f>
        <v>23000</v>
      </c>
      <c r="K5" s="8" t="s">
        <v>201</v>
      </c>
      <c r="L5" s="9">
        <v>-2000</v>
      </c>
      <c r="M5" s="9"/>
      <c r="N5" s="47"/>
      <c r="O5" s="21">
        <f t="shared" ref="O5:O30" si="3">IF(COUNTA($F5,$K5,$P5)&gt;0,O4+SUM(L5:N5),"")</f>
        <v>21000</v>
      </c>
      <c r="P5" s="8" t="s">
        <v>201</v>
      </c>
      <c r="Q5" s="9">
        <v>1000</v>
      </c>
      <c r="R5" s="9">
        <v>-1000</v>
      </c>
      <c r="S5" s="47"/>
      <c r="T5" s="21">
        <f t="shared" ref="T5:T30" si="4">IF(COUNTA($F5,$K5,$P5)&gt;0,T4+SUM(Q5:S5),"")</f>
        <v>29000</v>
      </c>
      <c r="U5" s="52">
        <f>IF($J5="","",ROUND(($J5-$J$3)/1000,1)+(_xlfn.RANK.AVG($J5,($J5,$O5,$T5),1)-2)*10)</f>
        <v>-2</v>
      </c>
      <c r="V5" s="53">
        <f>IF($O5="","",ROUND(($O5-$O$3)/1000,1)+(_xlfn.RANK.AVG($O5,($J5,$O5,$T5),1)-2)*10)</f>
        <v>-14</v>
      </c>
      <c r="W5" s="54">
        <f>IF($T5="","",ROUND(($T5-$T$3)/1000,1)+(_xlfn.RANK.AVG($T5,($J5,$O5,$T5),1)-2)*10)</f>
        <v>14</v>
      </c>
      <c r="Y5" s="8" t="s">
        <v>199</v>
      </c>
      <c r="Z5" s="33"/>
      <c r="AA5" s="26">
        <v>1</v>
      </c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 t="s">
        <v>200</v>
      </c>
      <c r="AU5" s="33"/>
      <c r="AV5" s="26"/>
      <c r="AW5" s="26"/>
      <c r="AX5" s="26"/>
      <c r="AY5" s="30"/>
      <c r="AZ5" s="39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 t="s">
        <v>199</v>
      </c>
      <c r="BP5" s="33"/>
      <c r="BQ5" s="26">
        <v>1</v>
      </c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">
        <v>194</v>
      </c>
      <c r="F6" s="8" t="s">
        <v>202</v>
      </c>
      <c r="G6" s="9">
        <v>-2600</v>
      </c>
      <c r="H6" s="9"/>
      <c r="I6" s="47">
        <v>-2000</v>
      </c>
      <c r="J6" s="21">
        <f t="shared" si="2"/>
        <v>18400</v>
      </c>
      <c r="K6" s="8"/>
      <c r="L6" s="9"/>
      <c r="M6" s="9"/>
      <c r="N6" s="47"/>
      <c r="O6" s="21">
        <f t="shared" si="3"/>
        <v>21000</v>
      </c>
      <c r="P6" s="8" t="s">
        <v>203</v>
      </c>
      <c r="Q6" s="9">
        <v>2600</v>
      </c>
      <c r="R6" s="9">
        <v>2000</v>
      </c>
      <c r="S6" s="47">
        <v>2000</v>
      </c>
      <c r="T6" s="21">
        <f t="shared" si="4"/>
        <v>35600</v>
      </c>
      <c r="U6" s="52">
        <f>IF($J6="","",ROUND(($J6-$J$3)/1000,1)+(_xlfn.RANK.AVG($J6,($J6,$O6,$T6),1)-2)*10)</f>
        <v>-16.600000000000001</v>
      </c>
      <c r="V6" s="53">
        <f>IF($O6="","",ROUND(($O6-$O$3)/1000,1)+(_xlfn.RANK.AVG($O6,($J6,$O6,$T6),1)-2)*10)</f>
        <v>-4</v>
      </c>
      <c r="W6" s="54">
        <f>IF($T6="","",ROUND(($T6-$T$3)/1000,1)+(_xlfn.RANK.AVG($T6,($J6,$O6,$T6),1)-2)*10)</f>
        <v>20.6</v>
      </c>
      <c r="Y6" s="8"/>
      <c r="Z6" s="33"/>
      <c r="AA6" s="26"/>
      <c r="AB6" s="26">
        <v>1</v>
      </c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/>
      <c r="BS6" s="26">
        <v>2</v>
      </c>
      <c r="BT6" s="30">
        <v>40</v>
      </c>
      <c r="BU6" s="39" t="s">
        <v>86</v>
      </c>
      <c r="BV6" s="40" t="s">
        <v>198</v>
      </c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194</v>
      </c>
      <c r="F7" s="8" t="s">
        <v>196</v>
      </c>
      <c r="G7" s="9">
        <v>6000</v>
      </c>
      <c r="H7" s="9"/>
      <c r="I7" s="47">
        <v>3000</v>
      </c>
      <c r="J7" s="21">
        <f t="shared" si="2"/>
        <v>27400</v>
      </c>
      <c r="K7" s="8" t="s">
        <v>195</v>
      </c>
      <c r="L7" s="9">
        <v>-2000</v>
      </c>
      <c r="M7" s="9"/>
      <c r="N7" s="47">
        <v>-1500</v>
      </c>
      <c r="O7" s="21">
        <f t="shared" si="3"/>
        <v>17500</v>
      </c>
      <c r="P7" s="8" t="s">
        <v>195</v>
      </c>
      <c r="Q7" s="9">
        <v>-4000</v>
      </c>
      <c r="R7" s="9"/>
      <c r="S7" s="47">
        <v>-1500</v>
      </c>
      <c r="T7" s="21">
        <f t="shared" si="4"/>
        <v>30100</v>
      </c>
      <c r="U7" s="52">
        <f>IF($J7="","",ROUND(($J7-$J$3)/1000,1)+(_xlfn.RANK.AVG($J7,($J7,$O7,$T7),1)-2)*10)</f>
        <v>2.4</v>
      </c>
      <c r="V7" s="53">
        <f>IF($O7="","",ROUND(($O7-$O$3)/1000,1)+(_xlfn.RANK.AVG($O7,($J7,$O7,$T7),1)-2)*10)</f>
        <v>-17.5</v>
      </c>
      <c r="W7" s="54">
        <f>IF($T7="","",ROUND(($T7-$T$3)/1000,1)+(_xlfn.RANK.AVG($T7,($J7,$O7,$T7),1)-2)*10)</f>
        <v>15.1</v>
      </c>
      <c r="Y7" s="8"/>
      <c r="Z7" s="33"/>
      <c r="AA7" s="26">
        <v>1</v>
      </c>
      <c r="AB7" s="26"/>
      <c r="AC7" s="26">
        <v>4</v>
      </c>
      <c r="AD7" s="30">
        <v>30</v>
      </c>
      <c r="AE7" s="39" t="s">
        <v>197</v>
      </c>
      <c r="AF7" s="40" t="s">
        <v>82</v>
      </c>
      <c r="AG7" s="40" t="s">
        <v>198</v>
      </c>
      <c r="AH7" s="40" t="s">
        <v>79</v>
      </c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/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204</v>
      </c>
      <c r="F8" s="8" t="s">
        <v>202</v>
      </c>
      <c r="G8" s="9">
        <v>-6000</v>
      </c>
      <c r="H8" s="9"/>
      <c r="I8" s="47">
        <v>0</v>
      </c>
      <c r="J8" s="21">
        <f t="shared" si="2"/>
        <v>21400</v>
      </c>
      <c r="K8" s="8"/>
      <c r="L8" s="9"/>
      <c r="M8" s="9"/>
      <c r="N8" s="47"/>
      <c r="O8" s="21">
        <f t="shared" si="3"/>
        <v>17500</v>
      </c>
      <c r="P8" s="8" t="s">
        <v>203</v>
      </c>
      <c r="Q8" s="9">
        <v>6000</v>
      </c>
      <c r="R8" s="9"/>
      <c r="S8" s="47">
        <v>0</v>
      </c>
      <c r="T8" s="21">
        <f t="shared" si="4"/>
        <v>36100</v>
      </c>
      <c r="U8" s="52">
        <f>IF($J8="","",ROUND(($J8-$J$3)/1000,1)+(_xlfn.RANK.AVG($J8,($J8,$O8,$T8),1)-2)*10)</f>
        <v>-3.6</v>
      </c>
      <c r="V8" s="53">
        <f>IF($O8="","",ROUND(($O8-$O$3)/1000,1)+(_xlfn.RANK.AVG($O8,($J8,$O8,$T8),1)-2)*10)</f>
        <v>-17.5</v>
      </c>
      <c r="W8" s="54">
        <f>IF($T8="","",ROUND(($T8-$T$3)/1000,1)+(_xlfn.RANK.AVG($T8,($J8,$O8,$T8),1)-2)*10)</f>
        <v>21.1</v>
      </c>
      <c r="Y8" s="8"/>
      <c r="Z8" s="33"/>
      <c r="AA8" s="26"/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>
        <v>1</v>
      </c>
      <c r="BR8" s="26"/>
      <c r="BS8" s="26">
        <v>4</v>
      </c>
      <c r="BT8" s="30">
        <v>40</v>
      </c>
      <c r="BU8" s="39" t="s">
        <v>197</v>
      </c>
      <c r="BV8" s="40" t="s">
        <v>205</v>
      </c>
      <c r="BW8" s="40" t="s">
        <v>79</v>
      </c>
      <c r="BX8" s="40" t="s">
        <v>198</v>
      </c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206</v>
      </c>
      <c r="F9" s="8" t="s">
        <v>203</v>
      </c>
      <c r="G9" s="9">
        <v>6000</v>
      </c>
      <c r="H9" s="9"/>
      <c r="I9" s="47">
        <v>0</v>
      </c>
      <c r="J9" s="21">
        <f t="shared" si="2"/>
        <v>27400</v>
      </c>
      <c r="K9" s="8" t="s">
        <v>202</v>
      </c>
      <c r="L9" s="9">
        <v>-6000</v>
      </c>
      <c r="M9" s="9"/>
      <c r="N9" s="47">
        <v>0</v>
      </c>
      <c r="O9" s="21">
        <f t="shared" si="3"/>
        <v>11500</v>
      </c>
      <c r="P9" s="8"/>
      <c r="Q9" s="9"/>
      <c r="R9" s="9"/>
      <c r="S9" s="47"/>
      <c r="T9" s="21">
        <f t="shared" si="4"/>
        <v>36100</v>
      </c>
      <c r="U9" s="52">
        <f>IF($J9="","",ROUND(($J9-$J$3)/1000,1)+(_xlfn.RANK.AVG($J9,($J9,$O9,$T9),1)-2)*10)</f>
        <v>2.4</v>
      </c>
      <c r="V9" s="53">
        <f>IF($O9="","",ROUND(($O9-$O$3)/1000,1)+(_xlfn.RANK.AVG($O9,($J9,$O9,$T9),1)-2)*10)</f>
        <v>-23.5</v>
      </c>
      <c r="W9" s="54">
        <f>IF($T9="","",ROUND(($T9-$T$3)/1000,1)+(_xlfn.RANK.AVG($T9,($J9,$O9,$T9),1)-2)*10)</f>
        <v>21.1</v>
      </c>
      <c r="Y9" s="8"/>
      <c r="Z9" s="33"/>
      <c r="AA9" s="26">
        <v>1</v>
      </c>
      <c r="AB9" s="26"/>
      <c r="AC9" s="26">
        <v>5</v>
      </c>
      <c r="AD9" s="30" t="s">
        <v>207</v>
      </c>
      <c r="AE9" s="39" t="s">
        <v>197</v>
      </c>
      <c r="AF9" s="40" t="s">
        <v>83</v>
      </c>
      <c r="AG9" s="40" t="s">
        <v>79</v>
      </c>
      <c r="AH9" s="40" t="s">
        <v>198</v>
      </c>
      <c r="AI9" s="40" t="s">
        <v>198</v>
      </c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194</v>
      </c>
      <c r="F10" s="8" t="s">
        <v>195</v>
      </c>
      <c r="G10" s="9">
        <v>-3000</v>
      </c>
      <c r="H10" s="9"/>
      <c r="I10" s="47">
        <v>0</v>
      </c>
      <c r="J10" s="21">
        <f t="shared" si="2"/>
        <v>24400</v>
      </c>
      <c r="K10" s="8" t="s">
        <v>196</v>
      </c>
      <c r="L10" s="9">
        <v>9000</v>
      </c>
      <c r="M10" s="9"/>
      <c r="N10" s="47">
        <v>0</v>
      </c>
      <c r="O10" s="21">
        <f t="shared" si="3"/>
        <v>20500</v>
      </c>
      <c r="P10" s="8" t="s">
        <v>195</v>
      </c>
      <c r="Q10" s="9">
        <v>-6000</v>
      </c>
      <c r="R10" s="9"/>
      <c r="S10" s="47">
        <v>0</v>
      </c>
      <c r="T10" s="21">
        <f t="shared" si="4"/>
        <v>30100</v>
      </c>
      <c r="U10" s="52">
        <f>IF($J10="","",ROUND(($J10-$J$3)/1000,1)+(_xlfn.RANK.AVG($J10,($J10,$O10,$T10),1)-2)*10)</f>
        <v>-0.6</v>
      </c>
      <c r="V10" s="53">
        <f>IF($O10="","",ROUND(($O10-$O$3)/1000,1)+(_xlfn.RANK.AVG($O10,($J10,$O10,$T10),1)-2)*10)</f>
        <v>-14.5</v>
      </c>
      <c r="W10" s="54">
        <f>IF($T10="","",ROUND(($T10-$T$3)/1000,1)+(_xlfn.RANK.AVG($T10,($J10,$O10,$T10),1)-2)*10)</f>
        <v>15.1</v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>
        <v>6</v>
      </c>
      <c r="AY10" s="30" t="s">
        <v>207</v>
      </c>
      <c r="AZ10" s="39" t="s">
        <v>82</v>
      </c>
      <c r="BA10" s="40" t="s">
        <v>101</v>
      </c>
      <c r="BB10" s="40" t="s">
        <v>198</v>
      </c>
      <c r="BC10" s="40" t="s">
        <v>79</v>
      </c>
      <c r="BD10" s="40" t="s">
        <v>79</v>
      </c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204</v>
      </c>
      <c r="F11" s="8" t="s">
        <v>203</v>
      </c>
      <c r="G11" s="9">
        <v>12000</v>
      </c>
      <c r="H11" s="9"/>
      <c r="I11" s="47">
        <v>0</v>
      </c>
      <c r="J11" s="21">
        <f t="shared" si="2"/>
        <v>36400</v>
      </c>
      <c r="K11" s="8"/>
      <c r="L11" s="9"/>
      <c r="M11" s="9"/>
      <c r="N11" s="47"/>
      <c r="O11" s="21">
        <f t="shared" si="3"/>
        <v>20500</v>
      </c>
      <c r="P11" s="8" t="s">
        <v>202</v>
      </c>
      <c r="Q11" s="9">
        <v>-12000</v>
      </c>
      <c r="R11" s="9"/>
      <c r="S11" s="47">
        <v>0</v>
      </c>
      <c r="T11" s="21">
        <f t="shared" si="4"/>
        <v>18100</v>
      </c>
      <c r="U11" s="52">
        <f>IF($J11="","",ROUND(($J11-$J$3)/1000,1)+(_xlfn.RANK.AVG($J11,($J11,$O11,$T11),1)-2)*10)</f>
        <v>21.4</v>
      </c>
      <c r="V11" s="53">
        <f>IF($O11="","",ROUND(($O11-$O$3)/1000,1)+(_xlfn.RANK.AVG($O11,($J11,$O11,$T11),1)-2)*10)</f>
        <v>-4.5</v>
      </c>
      <c r="W11" s="54">
        <f>IF($T11="","",ROUND(($T11-$T$3)/1000,1)+(_xlfn.RANK.AVG($T11,($J11,$O11,$T11),1)-2)*10)</f>
        <v>-16.899999999999999</v>
      </c>
      <c r="Y11" s="8"/>
      <c r="Z11" s="33"/>
      <c r="AA11" s="26"/>
      <c r="AB11" s="26">
        <v>1</v>
      </c>
      <c r="AC11" s="26">
        <v>6</v>
      </c>
      <c r="AD11" s="30" t="s">
        <v>207</v>
      </c>
      <c r="AE11" s="39" t="s">
        <v>86</v>
      </c>
      <c r="AF11" s="40" t="s">
        <v>104</v>
      </c>
      <c r="AG11" s="40" t="s">
        <v>79</v>
      </c>
      <c r="AH11" s="40" t="s">
        <v>79</v>
      </c>
      <c r="AI11" s="40" t="s">
        <v>79</v>
      </c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204</v>
      </c>
      <c r="F12" s="8"/>
      <c r="G12" s="9"/>
      <c r="H12" s="9">
        <v>-1000</v>
      </c>
      <c r="I12" s="47"/>
      <c r="J12" s="21">
        <f t="shared" si="2"/>
        <v>35400</v>
      </c>
      <c r="K12" s="8" t="s">
        <v>203</v>
      </c>
      <c r="L12" s="9">
        <v>1200</v>
      </c>
      <c r="M12" s="9">
        <v>1000</v>
      </c>
      <c r="N12" s="47">
        <v>1000</v>
      </c>
      <c r="O12" s="21">
        <f t="shared" si="3"/>
        <v>23700</v>
      </c>
      <c r="P12" s="8" t="s">
        <v>202</v>
      </c>
      <c r="Q12" s="9">
        <v>-1200</v>
      </c>
      <c r="R12" s="9"/>
      <c r="S12" s="47">
        <v>-1000</v>
      </c>
      <c r="T12" s="21">
        <f t="shared" si="4"/>
        <v>15900</v>
      </c>
      <c r="U12" s="52">
        <f>IF($J12="","",ROUND(($J12-$J$3)/1000,1)+(_xlfn.RANK.AVG($J12,($J12,$O12,$T12),1)-2)*10)</f>
        <v>20.399999999999999</v>
      </c>
      <c r="V12" s="53">
        <f>IF($O12="","",ROUND(($O12-$O$3)/1000,1)+(_xlfn.RANK.AVG($O12,($J12,$O12,$T12),1)-2)*10)</f>
        <v>-1.3</v>
      </c>
      <c r="W12" s="54">
        <f>IF($T12="","",ROUND(($T12-$T$3)/1000,1)+(_xlfn.RANK.AVG($T12,($J12,$O12,$T12),1)-2)*10)</f>
        <v>-19.100000000000001</v>
      </c>
      <c r="Y12" s="8"/>
      <c r="Z12" s="33"/>
      <c r="AA12" s="26">
        <v>1</v>
      </c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>
        <v>2</v>
      </c>
      <c r="AY12" s="30">
        <v>25</v>
      </c>
      <c r="AZ12" s="39" t="s">
        <v>101</v>
      </c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206</v>
      </c>
      <c r="F13" s="8" t="s">
        <v>201</v>
      </c>
      <c r="G13" s="9">
        <v>-1000</v>
      </c>
      <c r="H13" s="9">
        <v>1000</v>
      </c>
      <c r="I13" s="47"/>
      <c r="J13" s="21">
        <f t="shared" si="2"/>
        <v>35400</v>
      </c>
      <c r="K13" s="8" t="s">
        <v>201</v>
      </c>
      <c r="L13" s="9">
        <v>-1000</v>
      </c>
      <c r="M13" s="9"/>
      <c r="N13" s="47"/>
      <c r="O13" s="21">
        <f t="shared" si="3"/>
        <v>22700</v>
      </c>
      <c r="P13" s="8" t="s">
        <v>201</v>
      </c>
      <c r="Q13" s="9">
        <v>2000</v>
      </c>
      <c r="R13" s="9">
        <v>-1000</v>
      </c>
      <c r="S13" s="47"/>
      <c r="T13" s="21">
        <f t="shared" si="4"/>
        <v>16900</v>
      </c>
      <c r="U13" s="52">
        <f>IF($J13="","",ROUND(($J13-$J$3)/1000,1)+(_xlfn.RANK.AVG($J13,($J13,$O13,$T13),1)-2)*10)</f>
        <v>20.399999999999999</v>
      </c>
      <c r="V13" s="53">
        <f>IF($O13="","",ROUND(($O13-$O$3)/1000,1)+(_xlfn.RANK.AVG($O13,($J13,$O13,$T13),1)-2)*10)</f>
        <v>-2.2999999999999998</v>
      </c>
      <c r="W13" s="54">
        <f>IF($T13="","",ROUND(($T13-$T$3)/1000,1)+(_xlfn.RANK.AVG($T13,($J13,$O13,$T13),1)-2)*10)</f>
        <v>-18.100000000000001</v>
      </c>
      <c r="Y13" s="8" t="s">
        <v>200</v>
      </c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 t="s">
        <v>200</v>
      </c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 t="s">
        <v>199</v>
      </c>
      <c r="BP13" s="33"/>
      <c r="BQ13" s="26">
        <v>1</v>
      </c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6058A6B-3F07-4510-B9B1-6D1761C7A42E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1A91-7A49-4597-8071-F2D208BE27C7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195</v>
      </c>
      <c r="G4" s="9">
        <v>-6000</v>
      </c>
      <c r="H4" s="9"/>
      <c r="I4" s="47">
        <v>0</v>
      </c>
      <c r="J4" s="21">
        <f>IF(COUNTA($F4,$K4,$P4)&gt;0,J3+SUM(G4:I4),"")</f>
        <v>19000</v>
      </c>
      <c r="K4" s="8" t="s">
        <v>196</v>
      </c>
      <c r="L4" s="9">
        <v>12000</v>
      </c>
      <c r="M4" s="9"/>
      <c r="N4" s="47">
        <v>0</v>
      </c>
      <c r="O4" s="21">
        <f>IF(COUNTA($F4,$K4,$P4)&gt;0,O3+SUM(L4:N4),"")</f>
        <v>37000</v>
      </c>
      <c r="P4" s="8" t="s">
        <v>195</v>
      </c>
      <c r="Q4" s="9">
        <v>-6000</v>
      </c>
      <c r="R4" s="9"/>
      <c r="S4" s="47">
        <v>0</v>
      </c>
      <c r="T4" s="21">
        <f>IF(COUNTA($F4,$K4,$P4)&gt;0,T3+SUM(Q4:S4),"")</f>
        <v>19000</v>
      </c>
      <c r="U4" s="52">
        <f>IF($J4="","",ROUND(($J4-$J$3)/1000,1)+(_xlfn.RANK.AVG($J4,($J4,$O4,$T4),1)-2)*10)</f>
        <v>-11</v>
      </c>
      <c r="V4" s="53">
        <f>IF($O4="","",ROUND(($O4-$O$3)/1000,1)+(_xlfn.RANK.AVG($O4,($J4,$O4,$T4),1)-2)*10)</f>
        <v>22</v>
      </c>
      <c r="W4" s="54">
        <f>IF($T4="","",ROUND(($T4-$T$3)/1000,1)+(_xlfn.RANK.AVG($T4,($J4,$O4,$T4),1)-2)*10)</f>
        <v>-11</v>
      </c>
      <c r="Y4" s="8"/>
      <c r="Z4" s="33"/>
      <c r="AA4" s="26"/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>
        <v>1</v>
      </c>
      <c r="AW4" s="26"/>
      <c r="AX4" s="26">
        <v>6</v>
      </c>
      <c r="AY4" s="30" t="s">
        <v>207</v>
      </c>
      <c r="AZ4" s="39" t="s">
        <v>197</v>
      </c>
      <c r="BA4" s="40" t="s">
        <v>82</v>
      </c>
      <c r="BB4" s="40" t="s">
        <v>80</v>
      </c>
      <c r="BC4" s="40" t="s">
        <v>80</v>
      </c>
      <c r="BD4" s="40" t="s">
        <v>80</v>
      </c>
      <c r="BE4" s="40" t="s">
        <v>205</v>
      </c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206</v>
      </c>
      <c r="F5" s="8"/>
      <c r="G5" s="9"/>
      <c r="H5" s="9"/>
      <c r="I5" s="47"/>
      <c r="J5" s="21">
        <f t="shared" ref="J5:J30" si="2">IF(COUNTA($F5,$K5,$P5)&gt;0,J4+SUM(G5:I5),"")</f>
        <v>19000</v>
      </c>
      <c r="K5" s="8" t="s">
        <v>203</v>
      </c>
      <c r="L5" s="9">
        <v>8000</v>
      </c>
      <c r="M5" s="9"/>
      <c r="N5" s="47">
        <v>1000</v>
      </c>
      <c r="O5" s="21">
        <f t="shared" ref="O5:O30" si="3">IF(COUNTA($F5,$K5,$P5)&gt;0,O4+SUM(L5:N5),"")</f>
        <v>46000</v>
      </c>
      <c r="P5" s="8" t="s">
        <v>202</v>
      </c>
      <c r="Q5" s="9">
        <v>-8000</v>
      </c>
      <c r="R5" s="9"/>
      <c r="S5" s="47">
        <v>-1000</v>
      </c>
      <c r="T5" s="21">
        <f t="shared" ref="T5:T30" si="4">IF(COUNTA($F5,$K5,$P5)&gt;0,T4+SUM(Q5:S5),"")</f>
        <v>10000</v>
      </c>
      <c r="U5" s="52">
        <f>IF($J5="","",ROUND(($J5-$J$3)/1000,1)+(_xlfn.RANK.AVG($J5,($J5,$O5,$T5),1)-2)*10)</f>
        <v>-6</v>
      </c>
      <c r="V5" s="53">
        <f>IF($O5="","",ROUND(($O5-$O$3)/1000,1)+(_xlfn.RANK.AVG($O5,($J5,$O5,$T5),1)-2)*10)</f>
        <v>31</v>
      </c>
      <c r="W5" s="54">
        <f>IF($T5="","",ROUND(($T5-$T$3)/1000,1)+(_xlfn.RANK.AVG($T5,($J5,$O5,$T5),1)-2)*10)</f>
        <v>-25</v>
      </c>
      <c r="Y5" s="8"/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/>
      <c r="AX5" s="26">
        <v>4</v>
      </c>
      <c r="AY5" s="30">
        <v>40</v>
      </c>
      <c r="AZ5" s="39" t="s">
        <v>92</v>
      </c>
      <c r="BA5" s="40" t="s">
        <v>79</v>
      </c>
      <c r="BB5" s="40" t="s">
        <v>198</v>
      </c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206</v>
      </c>
      <c r="F6" s="8" t="s">
        <v>202</v>
      </c>
      <c r="G6" s="9">
        <v>-6000</v>
      </c>
      <c r="H6" s="9"/>
      <c r="I6" s="47">
        <v>-2000</v>
      </c>
      <c r="J6" s="21">
        <f t="shared" si="2"/>
        <v>11000</v>
      </c>
      <c r="K6" s="8"/>
      <c r="L6" s="9"/>
      <c r="M6" s="9"/>
      <c r="N6" s="47"/>
      <c r="O6" s="21">
        <f t="shared" si="3"/>
        <v>46000</v>
      </c>
      <c r="P6" s="8" t="s">
        <v>203</v>
      </c>
      <c r="Q6" s="9">
        <v>6000</v>
      </c>
      <c r="R6" s="9"/>
      <c r="S6" s="47">
        <v>2000</v>
      </c>
      <c r="T6" s="21">
        <f t="shared" si="4"/>
        <v>18000</v>
      </c>
      <c r="U6" s="52">
        <f>IF($J6="","",ROUND(($J6-$J$3)/1000,1)+(_xlfn.RANK.AVG($J6,($J6,$O6,$T6),1)-2)*10)</f>
        <v>-24</v>
      </c>
      <c r="V6" s="53">
        <f>IF($O6="","",ROUND(($O6-$O$3)/1000,1)+(_xlfn.RANK.AVG($O6,($J6,$O6,$T6),1)-2)*10)</f>
        <v>31</v>
      </c>
      <c r="W6" s="54">
        <f>IF($T6="","",ROUND(($T6-$T$3)/1000,1)+(_xlfn.RANK.AVG($T6,($J6,$O6,$T6),1)-2)*10)</f>
        <v>-7</v>
      </c>
      <c r="Y6" s="8"/>
      <c r="Z6" s="33"/>
      <c r="AA6" s="26"/>
      <c r="AB6" s="26">
        <v>1</v>
      </c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>
        <v>1</v>
      </c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>
        <v>1</v>
      </c>
      <c r="BR6" s="26"/>
      <c r="BS6" s="26">
        <v>4</v>
      </c>
      <c r="BT6" s="30">
        <v>30</v>
      </c>
      <c r="BU6" s="39" t="s">
        <v>197</v>
      </c>
      <c r="BV6" s="40" t="s">
        <v>83</v>
      </c>
      <c r="BW6" s="40" t="s">
        <v>79</v>
      </c>
      <c r="BX6" s="40" t="s">
        <v>198</v>
      </c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194</v>
      </c>
      <c r="F7" s="8" t="s">
        <v>195</v>
      </c>
      <c r="G7" s="9">
        <v>-500</v>
      </c>
      <c r="H7" s="9">
        <v>-1000</v>
      </c>
      <c r="I7" s="47">
        <v>0</v>
      </c>
      <c r="J7" s="21">
        <f t="shared" si="2"/>
        <v>9500</v>
      </c>
      <c r="K7" s="8" t="s">
        <v>195</v>
      </c>
      <c r="L7" s="9">
        <v>-500</v>
      </c>
      <c r="M7" s="9"/>
      <c r="N7" s="47">
        <v>0</v>
      </c>
      <c r="O7" s="21">
        <f t="shared" si="3"/>
        <v>45500</v>
      </c>
      <c r="P7" s="8" t="s">
        <v>196</v>
      </c>
      <c r="Q7" s="9">
        <v>1000</v>
      </c>
      <c r="R7" s="9">
        <v>1000</v>
      </c>
      <c r="S7" s="47">
        <v>0</v>
      </c>
      <c r="T7" s="21">
        <f t="shared" si="4"/>
        <v>20000</v>
      </c>
      <c r="U7" s="52">
        <f>IF($J7="","",ROUND(($J7-$J$3)/1000,1)+(_xlfn.RANK.AVG($J7,($J7,$O7,$T7),1)-2)*10)</f>
        <v>-25.5</v>
      </c>
      <c r="V7" s="53">
        <f>IF($O7="","",ROUND(($O7-$O$3)/1000,1)+(_xlfn.RANK.AVG($O7,($J7,$O7,$T7),1)-2)*10)</f>
        <v>30.5</v>
      </c>
      <c r="W7" s="54">
        <f>IF($T7="","",ROUND(($T7-$T$3)/1000,1)+(_xlfn.RANK.AVG($T7,($J7,$O7,$T7),1)-2)*10)</f>
        <v>-5</v>
      </c>
      <c r="Y7" s="8"/>
      <c r="Z7" s="33"/>
      <c r="AA7" s="26">
        <v>1</v>
      </c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>
        <v>1</v>
      </c>
      <c r="BS7" s="26">
        <v>1</v>
      </c>
      <c r="BT7" s="30">
        <v>30</v>
      </c>
      <c r="BU7" s="39" t="s">
        <v>86</v>
      </c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194</v>
      </c>
      <c r="F8" s="8" t="s">
        <v>195</v>
      </c>
      <c r="G8" s="9">
        <v>-4000</v>
      </c>
      <c r="H8" s="9"/>
      <c r="I8" s="47">
        <v>-500</v>
      </c>
      <c r="J8" s="21">
        <f t="shared" si="2"/>
        <v>5000</v>
      </c>
      <c r="K8" s="8" t="s">
        <v>195</v>
      </c>
      <c r="L8" s="9">
        <v>-4000</v>
      </c>
      <c r="M8" s="9"/>
      <c r="N8" s="47">
        <v>-500</v>
      </c>
      <c r="O8" s="21">
        <f t="shared" si="3"/>
        <v>41000</v>
      </c>
      <c r="P8" s="8" t="s">
        <v>196</v>
      </c>
      <c r="Q8" s="9">
        <v>8000</v>
      </c>
      <c r="R8" s="9"/>
      <c r="S8" s="47">
        <v>1000</v>
      </c>
      <c r="T8" s="21">
        <f t="shared" si="4"/>
        <v>29000</v>
      </c>
      <c r="U8" s="52">
        <f>IF($J8="","",ROUND(($J8-$J$3)/1000,1)+(_xlfn.RANK.AVG($J8,($J8,$O8,$T8),1)-2)*10)</f>
        <v>-30</v>
      </c>
      <c r="V8" s="53">
        <f>IF($O8="","",ROUND(($O8-$O$3)/1000,1)+(_xlfn.RANK.AVG($O8,($J8,$O8,$T8),1)-2)*10)</f>
        <v>26</v>
      </c>
      <c r="W8" s="54">
        <f>IF($T8="","",ROUND(($T8-$T$3)/1000,1)+(_xlfn.RANK.AVG($T8,($J8,$O8,$T8),1)-2)*10)</f>
        <v>4</v>
      </c>
      <c r="Y8" s="8"/>
      <c r="Z8" s="33"/>
      <c r="AA8" s="26"/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>
        <v>1</v>
      </c>
      <c r="BR8" s="26"/>
      <c r="BS8" s="26">
        <v>5</v>
      </c>
      <c r="BT8" s="30" t="s">
        <v>207</v>
      </c>
      <c r="BU8" s="39" t="s">
        <v>197</v>
      </c>
      <c r="BV8" s="40" t="s">
        <v>82</v>
      </c>
      <c r="BW8" s="40" t="s">
        <v>80</v>
      </c>
      <c r="BX8" s="40" t="s">
        <v>80</v>
      </c>
      <c r="BY8" s="40" t="s">
        <v>198</v>
      </c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2</v>
      </c>
      <c r="D9" s="18">
        <f t="shared" si="1"/>
        <v>0</v>
      </c>
      <c r="E9" s="4" t="s">
        <v>194</v>
      </c>
      <c r="F9" s="8" t="s">
        <v>195</v>
      </c>
      <c r="G9" s="9">
        <v>-2000</v>
      </c>
      <c r="H9" s="9">
        <v>-1000</v>
      </c>
      <c r="I9" s="47">
        <v>-1000</v>
      </c>
      <c r="J9" s="21">
        <f t="shared" si="2"/>
        <v>1000</v>
      </c>
      <c r="K9" s="8" t="s">
        <v>196</v>
      </c>
      <c r="L9" s="9">
        <v>6000</v>
      </c>
      <c r="M9" s="9">
        <v>1000</v>
      </c>
      <c r="N9" s="47">
        <v>2000</v>
      </c>
      <c r="O9" s="21">
        <f t="shared" si="3"/>
        <v>50000</v>
      </c>
      <c r="P9" s="8" t="s">
        <v>195</v>
      </c>
      <c r="Q9" s="9">
        <v>-4000</v>
      </c>
      <c r="R9" s="9"/>
      <c r="S9" s="47">
        <v>-1000</v>
      </c>
      <c r="T9" s="21">
        <f t="shared" si="4"/>
        <v>24000</v>
      </c>
      <c r="U9" s="52">
        <f>IF($J9="","",ROUND(($J9-$J$3)/1000,1)+(_xlfn.RANK.AVG($J9,($J9,$O9,$T9),1)-2)*10)</f>
        <v>-34</v>
      </c>
      <c r="V9" s="53">
        <f>IF($O9="","",ROUND(($O9-$O$3)/1000,1)+(_xlfn.RANK.AVG($O9,($J9,$O9,$T9),1)-2)*10)</f>
        <v>35</v>
      </c>
      <c r="W9" s="54">
        <f>IF($T9="","",ROUND(($T9-$T$3)/1000,1)+(_xlfn.RANK.AVG($T9,($J9,$O9,$T9),1)-2)*10)</f>
        <v>-1</v>
      </c>
      <c r="Y9" s="8"/>
      <c r="Z9" s="33"/>
      <c r="AA9" s="26">
        <v>1</v>
      </c>
      <c r="AB9" s="26"/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>
        <v>1</v>
      </c>
      <c r="AW9" s="26"/>
      <c r="AX9" s="26">
        <v>4</v>
      </c>
      <c r="AY9" s="30">
        <v>40</v>
      </c>
      <c r="AZ9" s="39" t="s">
        <v>197</v>
      </c>
      <c r="BA9" s="40" t="s">
        <v>82</v>
      </c>
      <c r="BB9" s="40" t="s">
        <v>198</v>
      </c>
      <c r="BC9" s="40" t="s">
        <v>205</v>
      </c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204</v>
      </c>
      <c r="F10" s="8" t="s">
        <v>196</v>
      </c>
      <c r="G10" s="9">
        <v>16000</v>
      </c>
      <c r="H10" s="9"/>
      <c r="I10" s="47">
        <v>0</v>
      </c>
      <c r="J10" s="21">
        <f t="shared" si="2"/>
        <v>17000</v>
      </c>
      <c r="K10" s="8" t="s">
        <v>195</v>
      </c>
      <c r="L10" s="9">
        <v>-8000</v>
      </c>
      <c r="M10" s="9"/>
      <c r="N10" s="47">
        <v>0</v>
      </c>
      <c r="O10" s="21">
        <f t="shared" si="3"/>
        <v>42000</v>
      </c>
      <c r="P10" s="8" t="s">
        <v>195</v>
      </c>
      <c r="Q10" s="9">
        <v>-8000</v>
      </c>
      <c r="R10" s="9"/>
      <c r="S10" s="47">
        <v>0</v>
      </c>
      <c r="T10" s="21">
        <f t="shared" si="4"/>
        <v>16000</v>
      </c>
      <c r="U10" s="52">
        <f>IF($J10="","",ROUND(($J10-$J$3)/1000,1)+(_xlfn.RANK.AVG($J10,($J10,$O10,$T10),1)-2)*10)</f>
        <v>-8</v>
      </c>
      <c r="V10" s="53">
        <f>IF($O10="","",ROUND(($O10-$O$3)/1000,1)+(_xlfn.RANK.AVG($O10,($J10,$O10,$T10),1)-2)*10)</f>
        <v>27</v>
      </c>
      <c r="W10" s="54">
        <f>IF($T10="","",ROUND(($T10-$T$3)/1000,1)+(_xlfn.RANK.AVG($T10,($J10,$O10,$T10),1)-2)*10)</f>
        <v>-19</v>
      </c>
      <c r="Y10" s="8"/>
      <c r="Z10" s="33"/>
      <c r="AA10" s="26">
        <v>1</v>
      </c>
      <c r="AB10" s="26"/>
      <c r="AC10" s="26">
        <v>8</v>
      </c>
      <c r="AD10" s="30" t="s">
        <v>207</v>
      </c>
      <c r="AE10" s="39" t="s">
        <v>197</v>
      </c>
      <c r="AF10" s="40" t="s">
        <v>82</v>
      </c>
      <c r="AG10" s="40" t="s">
        <v>92</v>
      </c>
      <c r="AH10" s="40" t="s">
        <v>79</v>
      </c>
      <c r="AI10" s="40" t="s">
        <v>198</v>
      </c>
      <c r="AJ10" s="40" t="s">
        <v>80</v>
      </c>
      <c r="AK10" s="40" t="s">
        <v>80</v>
      </c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>
        <v>1</v>
      </c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204</v>
      </c>
      <c r="F11" s="8" t="s">
        <v>208</v>
      </c>
      <c r="G11" s="9">
        <v>1000</v>
      </c>
      <c r="H11" s="9"/>
      <c r="I11" s="47"/>
      <c r="J11" s="21">
        <f t="shared" si="2"/>
        <v>18000</v>
      </c>
      <c r="K11" s="8" t="s">
        <v>208</v>
      </c>
      <c r="L11" s="9">
        <v>1000</v>
      </c>
      <c r="M11" s="9"/>
      <c r="N11" s="47"/>
      <c r="O11" s="21">
        <f t="shared" si="3"/>
        <v>43000</v>
      </c>
      <c r="P11" s="8" t="s">
        <v>208</v>
      </c>
      <c r="Q11" s="9">
        <v>-2000</v>
      </c>
      <c r="R11" s="9"/>
      <c r="S11" s="47"/>
      <c r="T11" s="21">
        <f t="shared" si="4"/>
        <v>14000</v>
      </c>
      <c r="U11" s="52">
        <f>IF($J11="","",ROUND(($J11-$J$3)/1000,1)+(_xlfn.RANK.AVG($J11,($J11,$O11,$T11),1)-2)*10)</f>
        <v>-7</v>
      </c>
      <c r="V11" s="53">
        <f>IF($O11="","",ROUND(($O11-$O$3)/1000,1)+(_xlfn.RANK.AVG($O11,($J11,$O11,$T11),1)-2)*10)</f>
        <v>28</v>
      </c>
      <c r="W11" s="54">
        <f>IF($T11="","",ROUND(($T11-$T$3)/1000,1)+(_xlfn.RANK.AVG($T11,($J11,$O11,$T11),1)-2)*10)</f>
        <v>-21</v>
      </c>
      <c r="Y11" s="8" t="s">
        <v>199</v>
      </c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 t="s">
        <v>199</v>
      </c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 t="s">
        <v>200</v>
      </c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>東</v>
      </c>
      <c r="B12" s="18">
        <f t="shared" si="5"/>
        <v>3</v>
      </c>
      <c r="C12" s="18">
        <f t="shared" si="6"/>
        <v>2</v>
      </c>
      <c r="D12" s="18">
        <f t="shared" si="1"/>
        <v>0</v>
      </c>
      <c r="E12" s="4" t="s">
        <v>204</v>
      </c>
      <c r="F12" s="8" t="s">
        <v>208</v>
      </c>
      <c r="G12" s="9">
        <v>-1000</v>
      </c>
      <c r="H12" s="9"/>
      <c r="I12" s="47"/>
      <c r="J12" s="21">
        <f t="shared" si="2"/>
        <v>17000</v>
      </c>
      <c r="K12" s="8" t="s">
        <v>208</v>
      </c>
      <c r="L12" s="9">
        <v>-1000</v>
      </c>
      <c r="M12" s="9"/>
      <c r="N12" s="47"/>
      <c r="O12" s="21">
        <f t="shared" si="3"/>
        <v>42000</v>
      </c>
      <c r="P12" s="8" t="s">
        <v>208</v>
      </c>
      <c r="Q12" s="9">
        <v>2000</v>
      </c>
      <c r="R12" s="9">
        <v>-1000</v>
      </c>
      <c r="S12" s="47"/>
      <c r="T12" s="21">
        <f t="shared" si="4"/>
        <v>15000</v>
      </c>
      <c r="U12" s="52">
        <f>IF($J12="","",ROUND(($J12-$J$3)/1000,1)+(_xlfn.RANK.AVG($J12,($J12,$O12,$T12),1)-2)*10)</f>
        <v>-8</v>
      </c>
      <c r="V12" s="53">
        <f>IF($O12="","",ROUND(($O12-$O$3)/1000,1)+(_xlfn.RANK.AVG($O12,($J12,$O12,$T12),1)-2)*10)</f>
        <v>27</v>
      </c>
      <c r="W12" s="54">
        <f>IF($T12="","",ROUND(($T12-$T$3)/1000,1)+(_xlfn.RANK.AVG($T12,($J12,$O12,$T12),1)-2)*10)</f>
        <v>-20</v>
      </c>
      <c r="Y12" s="8" t="s">
        <v>200</v>
      </c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 t="s">
        <v>200</v>
      </c>
      <c r="AU12" s="33"/>
      <c r="AV12" s="26"/>
      <c r="AW12" s="26">
        <v>1</v>
      </c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 t="s">
        <v>199</v>
      </c>
      <c r="BP12" s="33"/>
      <c r="BQ12" s="26">
        <v>1</v>
      </c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>南</v>
      </c>
      <c r="B13" s="18">
        <f t="shared" si="5"/>
        <v>1</v>
      </c>
      <c r="C13" s="18">
        <f t="shared" si="6"/>
        <v>3</v>
      </c>
      <c r="D13" s="18">
        <f t="shared" si="1"/>
        <v>1</v>
      </c>
      <c r="E13" s="4" t="s">
        <v>206</v>
      </c>
      <c r="F13" s="8" t="s">
        <v>202</v>
      </c>
      <c r="G13" s="9">
        <v>-6000</v>
      </c>
      <c r="H13" s="9">
        <v>-1000</v>
      </c>
      <c r="I13" s="47">
        <v>-3000</v>
      </c>
      <c r="J13" s="21">
        <f t="shared" si="2"/>
        <v>7000</v>
      </c>
      <c r="K13" s="8"/>
      <c r="L13" s="9"/>
      <c r="M13" s="9"/>
      <c r="N13" s="47"/>
      <c r="O13" s="21">
        <f t="shared" si="3"/>
        <v>42000</v>
      </c>
      <c r="P13" s="8" t="s">
        <v>203</v>
      </c>
      <c r="Q13" s="9">
        <v>6000</v>
      </c>
      <c r="R13" s="9">
        <v>2000</v>
      </c>
      <c r="S13" s="47">
        <v>3000</v>
      </c>
      <c r="T13" s="21">
        <f t="shared" si="4"/>
        <v>26000</v>
      </c>
      <c r="U13" s="52">
        <f>IF($J13="","",ROUND(($J13-$J$3)/1000,1)+(_xlfn.RANK.AVG($J13,($J13,$O13,$T13),1)-2)*10)</f>
        <v>-28</v>
      </c>
      <c r="V13" s="53">
        <f>IF($O13="","",ROUND(($O13-$O$3)/1000,1)+(_xlfn.RANK.AVG($O13,($J13,$O13,$T13),1)-2)*10)</f>
        <v>27</v>
      </c>
      <c r="W13" s="54">
        <f>IF($T13="","",ROUND(($T13-$T$3)/1000,1)+(_xlfn.RANK.AVG($T13,($J13,$O13,$T13),1)-2)*10)</f>
        <v>1</v>
      </c>
      <c r="Y13" s="8"/>
      <c r="Z13" s="33"/>
      <c r="AA13" s="26">
        <v>1</v>
      </c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>
        <v>1</v>
      </c>
      <c r="BS13" s="26">
        <v>4</v>
      </c>
      <c r="BT13" s="30">
        <v>30</v>
      </c>
      <c r="BU13" s="39" t="s">
        <v>86</v>
      </c>
      <c r="BV13" s="40" t="s">
        <v>198</v>
      </c>
      <c r="BW13" s="40" t="s">
        <v>79</v>
      </c>
      <c r="BX13" s="40" t="s">
        <v>79</v>
      </c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">
        <v>194</v>
      </c>
      <c r="F14" s="8" t="s">
        <v>203</v>
      </c>
      <c r="G14" s="9">
        <v>9000</v>
      </c>
      <c r="H14" s="9"/>
      <c r="I14" s="47">
        <v>0</v>
      </c>
      <c r="J14" s="21">
        <f t="shared" si="2"/>
        <v>16000</v>
      </c>
      <c r="K14" s="8"/>
      <c r="L14" s="9"/>
      <c r="M14" s="9"/>
      <c r="N14" s="47"/>
      <c r="O14" s="21">
        <f t="shared" si="3"/>
        <v>42000</v>
      </c>
      <c r="P14" s="8" t="s">
        <v>202</v>
      </c>
      <c r="Q14" s="9">
        <v>-9000</v>
      </c>
      <c r="R14" s="9"/>
      <c r="S14" s="47">
        <v>0</v>
      </c>
      <c r="T14" s="21">
        <f t="shared" si="4"/>
        <v>17000</v>
      </c>
      <c r="U14" s="52">
        <f>IF($J14="","",ROUND(($J14-$J$3)/1000,1)+(_xlfn.RANK.AVG($J14,($J14,$O14,$T14),1)-2)*10)</f>
        <v>-19</v>
      </c>
      <c r="V14" s="53">
        <f>IF($O14="","",ROUND(($O14-$O$3)/1000,1)+(_xlfn.RANK.AVG($O14,($J14,$O14,$T14),1)-2)*10)</f>
        <v>27</v>
      </c>
      <c r="W14" s="54">
        <f>IF($T14="","",ROUND(($T14-$T$3)/1000,1)+(_xlfn.RANK.AVG($T14,($J14,$O14,$T14),1)-2)*10)</f>
        <v>-8</v>
      </c>
      <c r="Y14" s="8"/>
      <c r="Z14" s="33"/>
      <c r="AA14" s="26">
        <v>1</v>
      </c>
      <c r="AB14" s="26"/>
      <c r="AC14" s="26">
        <v>7</v>
      </c>
      <c r="AD14" s="30" t="s">
        <v>207</v>
      </c>
      <c r="AE14" s="39" t="s">
        <v>197</v>
      </c>
      <c r="AF14" s="40" t="s">
        <v>205</v>
      </c>
      <c r="AG14" s="40" t="s">
        <v>86</v>
      </c>
      <c r="AH14" s="40" t="s">
        <v>98</v>
      </c>
      <c r="AI14" s="40" t="s">
        <v>198</v>
      </c>
      <c r="AJ14" s="40" t="s">
        <v>198</v>
      </c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204</v>
      </c>
      <c r="F15" s="8" t="s">
        <v>196</v>
      </c>
      <c r="G15" s="9">
        <v>4000</v>
      </c>
      <c r="H15" s="9"/>
      <c r="I15" s="47">
        <v>0</v>
      </c>
      <c r="J15" s="21">
        <f t="shared" si="2"/>
        <v>20000</v>
      </c>
      <c r="K15" s="8" t="s">
        <v>195</v>
      </c>
      <c r="L15" s="9">
        <v>-2000</v>
      </c>
      <c r="M15" s="9"/>
      <c r="N15" s="47">
        <v>0</v>
      </c>
      <c r="O15" s="21">
        <f t="shared" si="3"/>
        <v>40000</v>
      </c>
      <c r="P15" s="8" t="s">
        <v>195</v>
      </c>
      <c r="Q15" s="9">
        <v>-2000</v>
      </c>
      <c r="R15" s="9"/>
      <c r="S15" s="47">
        <v>0</v>
      </c>
      <c r="T15" s="21">
        <f t="shared" si="4"/>
        <v>15000</v>
      </c>
      <c r="U15" s="52">
        <f>IF($J15="","",ROUND(($J15-$J$3)/1000,1)+(_xlfn.RANK.AVG($J15,($J15,$O15,$T15),1)-2)*10)</f>
        <v>-5</v>
      </c>
      <c r="V15" s="53">
        <f>IF($O15="","",ROUND(($O15-$O$3)/1000,1)+(_xlfn.RANK.AVG($O15,($J15,$O15,$T15),1)-2)*10)</f>
        <v>25</v>
      </c>
      <c r="W15" s="54">
        <f>IF($T15="","",ROUND(($T15-$T$3)/1000,1)+(_xlfn.RANK.AVG($T15,($J15,$O15,$T15),1)-2)*10)</f>
        <v>-20</v>
      </c>
      <c r="Y15" s="8"/>
      <c r="Z15" s="33"/>
      <c r="AA15" s="26"/>
      <c r="AB15" s="26">
        <v>1</v>
      </c>
      <c r="AC15" s="26">
        <v>3</v>
      </c>
      <c r="AD15" s="30">
        <v>30</v>
      </c>
      <c r="AE15" s="39" t="s">
        <v>86</v>
      </c>
      <c r="AF15" s="40" t="s">
        <v>104</v>
      </c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>南</v>
      </c>
      <c r="B16" s="18">
        <f t="shared" si="5"/>
        <v>3</v>
      </c>
      <c r="C16" s="18">
        <f t="shared" si="6"/>
        <v>1</v>
      </c>
      <c r="D16" s="18">
        <f t="shared" si="1"/>
        <v>0</v>
      </c>
      <c r="E16" s="4" t="s">
        <v>204</v>
      </c>
      <c r="F16" s="8"/>
      <c r="G16" s="9"/>
      <c r="H16" s="9"/>
      <c r="I16" s="47"/>
      <c r="J16" s="21">
        <f t="shared" si="2"/>
        <v>20000</v>
      </c>
      <c r="K16" s="8" t="s">
        <v>203</v>
      </c>
      <c r="L16" s="9">
        <v>6000</v>
      </c>
      <c r="M16" s="9"/>
      <c r="N16" s="47">
        <v>1000</v>
      </c>
      <c r="O16" s="21">
        <f t="shared" si="3"/>
        <v>47000</v>
      </c>
      <c r="P16" s="8" t="s">
        <v>202</v>
      </c>
      <c r="Q16" s="9">
        <v>-6000</v>
      </c>
      <c r="R16" s="9"/>
      <c r="S16" s="47">
        <v>-1000</v>
      </c>
      <c r="T16" s="21">
        <f t="shared" si="4"/>
        <v>8000</v>
      </c>
      <c r="U16" s="52">
        <f>IF($J16="","",ROUND(($J16-$J$3)/1000,1)+(_xlfn.RANK.AVG($J16,($J16,$O16,$T16),1)-2)*10)</f>
        <v>-5</v>
      </c>
      <c r="V16" s="53">
        <f>IF($O16="","",ROUND(($O16-$O$3)/1000,1)+(_xlfn.RANK.AVG($O16,($J16,$O16,$T16),1)-2)*10)</f>
        <v>32</v>
      </c>
      <c r="W16" s="54">
        <f>IF($T16="","",ROUND(($T16-$T$3)/1000,1)+(_xlfn.RANK.AVG($T16,($J16,$O16,$T16),1)-2)*10)</f>
        <v>-27</v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>
        <v>1</v>
      </c>
      <c r="AW16" s="26"/>
      <c r="AX16" s="26">
        <v>4</v>
      </c>
      <c r="AY16" s="30">
        <v>40</v>
      </c>
      <c r="AZ16" s="39" t="s">
        <v>197</v>
      </c>
      <c r="BA16" s="40" t="s">
        <v>198</v>
      </c>
      <c r="BB16" s="40" t="s">
        <v>79</v>
      </c>
      <c r="BC16" s="40" t="s">
        <v>79</v>
      </c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>
        <v>1</v>
      </c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C35EC0CD-4069-4370-A3B7-207D5817B7DE}">
      <formula1>"パパ,だいち,あやめ,"</formula1>
    </dataValidation>
    <dataValidation type="list" showInputMessage="1" showErrorMessage="1" sqref="K4:K30 P4:P30 F4:F30" xr:uid="{592361E8-A5CC-4903-A4F2-B8235AF3E4B3}">
      <formula1>"ロン,ツモ,放銃,ツモ支払,流局,チョンボ"</formula1>
    </dataValidation>
    <dataValidation type="list" allowBlank="1" showInputMessage="1" showErrorMessage="1" sqref="E4:E30" xr:uid="{726628C0-695A-4473-BD2E-F0CB300A791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2C4DE-8874-4BFF-8C4C-789BFE0F891B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203</v>
      </c>
      <c r="G4" s="9">
        <v>9000</v>
      </c>
      <c r="H4" s="9"/>
      <c r="I4" s="47">
        <v>0</v>
      </c>
      <c r="J4" s="21">
        <f>IF(COUNTA($F4,$K4,$P4)&gt;0,J3+SUM(G4:I4),"")</f>
        <v>34000</v>
      </c>
      <c r="K4" s="8"/>
      <c r="L4" s="9"/>
      <c r="M4" s="9"/>
      <c r="N4" s="47"/>
      <c r="O4" s="21">
        <f>IF(COUNTA($F4,$K4,$P4)&gt;0,O3+SUM(L4:N4),"")</f>
        <v>25000</v>
      </c>
      <c r="P4" s="8" t="s">
        <v>202</v>
      </c>
      <c r="Q4" s="9">
        <v>-9000</v>
      </c>
      <c r="R4" s="9"/>
      <c r="S4" s="47">
        <v>0</v>
      </c>
      <c r="T4" s="21">
        <f>IF(COUNTA($F4,$K4,$P4)&gt;0,T3+SUM(Q4:S4),"")</f>
        <v>16000</v>
      </c>
      <c r="U4" s="52">
        <f>IF($J4="","",ROUND(($J4-$J$3)/1000,1)+(_xlfn.RANK.AVG($J4,($J4,$O4,$T4),1)-2)*10)</f>
        <v>19</v>
      </c>
      <c r="V4" s="53">
        <f>IF($O4="","",ROUND(($O4-$O$3)/1000,1)+(_xlfn.RANK.AVG($O4,($J4,$O4,$T4),1)-2)*10)</f>
        <v>0</v>
      </c>
      <c r="W4" s="54">
        <f>IF($T4="","",ROUND(($T4-$T$3)/1000,1)+(_xlfn.RANK.AVG($T4,($J4,$O4,$T4),1)-2)*10)</f>
        <v>-19</v>
      </c>
      <c r="Y4" s="8"/>
      <c r="Z4" s="33"/>
      <c r="AA4" s="26"/>
      <c r="AB4" s="26"/>
      <c r="AC4" s="26">
        <v>7</v>
      </c>
      <c r="AD4" s="30" t="s">
        <v>207</v>
      </c>
      <c r="AE4" s="39" t="s">
        <v>100</v>
      </c>
      <c r="AF4" s="40" t="s">
        <v>104</v>
      </c>
      <c r="AG4" s="40" t="s">
        <v>101</v>
      </c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196</v>
      </c>
      <c r="G5" s="9">
        <v>6000</v>
      </c>
      <c r="H5" s="9">
        <v>1000</v>
      </c>
      <c r="I5" s="47">
        <v>0</v>
      </c>
      <c r="J5" s="21">
        <f t="shared" ref="J5:J30" si="2">IF(COUNTA($F5,$K5,$P5)&gt;0,J4+SUM(G5:I5),"")</f>
        <v>41000</v>
      </c>
      <c r="K5" s="8" t="s">
        <v>195</v>
      </c>
      <c r="L5" s="9">
        <v>-2000</v>
      </c>
      <c r="M5" s="9"/>
      <c r="N5" s="47">
        <v>0</v>
      </c>
      <c r="O5" s="21">
        <f t="shared" ref="O5:O30" si="3">IF(COUNTA($F5,$K5,$P5)&gt;0,O4+SUM(L5:N5),"")</f>
        <v>23000</v>
      </c>
      <c r="P5" s="8" t="s">
        <v>195</v>
      </c>
      <c r="Q5" s="9">
        <v>-4000</v>
      </c>
      <c r="R5" s="9">
        <v>-1000</v>
      </c>
      <c r="S5" s="47">
        <v>0</v>
      </c>
      <c r="T5" s="21">
        <f t="shared" ref="T5:T30" si="4">IF(COUNTA($F5,$K5,$P5)&gt;0,T4+SUM(Q5:S5),"")</f>
        <v>11000</v>
      </c>
      <c r="U5" s="52">
        <f>IF($J5="","",ROUND(($J5-$J$3)/1000,1)+(_xlfn.RANK.AVG($J5,($J5,$O5,$T5),1)-2)*10)</f>
        <v>26</v>
      </c>
      <c r="V5" s="53">
        <f>IF($O5="","",ROUND(($O5-$O$3)/1000,1)+(_xlfn.RANK.AVG($O5,($J5,$O5,$T5),1)-2)*10)</f>
        <v>-2</v>
      </c>
      <c r="W5" s="54">
        <f>IF($T5="","",ROUND(($T5-$T$3)/1000,1)+(_xlfn.RANK.AVG($T5,($J5,$O5,$T5),1)-2)*10)</f>
        <v>-24</v>
      </c>
      <c r="Y5" s="8"/>
      <c r="Z5" s="33"/>
      <c r="AA5" s="26">
        <v>1</v>
      </c>
      <c r="AB5" s="26"/>
      <c r="AC5" s="26">
        <v>5</v>
      </c>
      <c r="AD5" s="30" t="s">
        <v>207</v>
      </c>
      <c r="AE5" s="39" t="s">
        <v>197</v>
      </c>
      <c r="AF5" s="40" t="s">
        <v>82</v>
      </c>
      <c r="AG5" s="40" t="s">
        <v>79</v>
      </c>
      <c r="AH5" s="40" t="s">
        <v>80</v>
      </c>
      <c r="AI5" s="40" t="s">
        <v>198</v>
      </c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/>
      <c r="AX5" s="26"/>
      <c r="AY5" s="30"/>
      <c r="AZ5" s="39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>
        <v>1</v>
      </c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204</v>
      </c>
      <c r="F6" s="8" t="s">
        <v>195</v>
      </c>
      <c r="G6" s="9">
        <v>-2000</v>
      </c>
      <c r="H6" s="9">
        <v>-1000</v>
      </c>
      <c r="I6" s="47">
        <v>0</v>
      </c>
      <c r="J6" s="21">
        <f t="shared" si="2"/>
        <v>38000</v>
      </c>
      <c r="K6" s="8" t="s">
        <v>196</v>
      </c>
      <c r="L6" s="9">
        <v>3000</v>
      </c>
      <c r="M6" s="9">
        <v>1000</v>
      </c>
      <c r="N6" s="47">
        <v>0</v>
      </c>
      <c r="O6" s="21">
        <f t="shared" si="3"/>
        <v>27000</v>
      </c>
      <c r="P6" s="8" t="s">
        <v>195</v>
      </c>
      <c r="Q6" s="9">
        <v>-1000</v>
      </c>
      <c r="R6" s="9"/>
      <c r="S6" s="47">
        <v>0</v>
      </c>
      <c r="T6" s="21">
        <f t="shared" si="4"/>
        <v>10000</v>
      </c>
      <c r="U6" s="52">
        <f>IF($J6="","",ROUND(($J6-$J$3)/1000,1)+(_xlfn.RANK.AVG($J6,($J6,$O6,$T6),1)-2)*10)</f>
        <v>23</v>
      </c>
      <c r="V6" s="53">
        <f>IF($O6="","",ROUND(($O6-$O$3)/1000,1)+(_xlfn.RANK.AVG($O6,($J6,$O6,$T6),1)-2)*10)</f>
        <v>2</v>
      </c>
      <c r="W6" s="54">
        <f>IF($T6="","",ROUND(($T6-$T$3)/1000,1)+(_xlfn.RANK.AVG($T6,($J6,$O6,$T6),1)-2)*10)</f>
        <v>-25</v>
      </c>
      <c r="Y6" s="8"/>
      <c r="Z6" s="33"/>
      <c r="AA6" s="26">
        <v>1</v>
      </c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>
        <v>3</v>
      </c>
      <c r="AY6" s="30">
        <v>30</v>
      </c>
      <c r="AZ6" s="39" t="s">
        <v>82</v>
      </c>
      <c r="BA6" s="40" t="s">
        <v>198</v>
      </c>
      <c r="BB6" s="40" t="s">
        <v>198</v>
      </c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>
        <v>1</v>
      </c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206</v>
      </c>
      <c r="F7" s="8" t="s">
        <v>203</v>
      </c>
      <c r="G7" s="9">
        <v>2000</v>
      </c>
      <c r="H7" s="9"/>
      <c r="I7" s="47">
        <v>0</v>
      </c>
      <c r="J7" s="21">
        <f t="shared" si="2"/>
        <v>40000</v>
      </c>
      <c r="K7" s="8"/>
      <c r="L7" s="9"/>
      <c r="M7" s="9"/>
      <c r="N7" s="47"/>
      <c r="O7" s="21">
        <f t="shared" si="3"/>
        <v>27000</v>
      </c>
      <c r="P7" s="8" t="s">
        <v>202</v>
      </c>
      <c r="Q7" s="9">
        <v>-2000</v>
      </c>
      <c r="R7" s="9"/>
      <c r="S7" s="47">
        <v>0</v>
      </c>
      <c r="T7" s="21">
        <f t="shared" si="4"/>
        <v>8000</v>
      </c>
      <c r="U7" s="52">
        <f>IF($J7="","",ROUND(($J7-$J$3)/1000,1)+(_xlfn.RANK.AVG($J7,($J7,$O7,$T7),1)-2)*10)</f>
        <v>25</v>
      </c>
      <c r="V7" s="53">
        <f>IF($O7="","",ROUND(($O7-$O$3)/1000,1)+(_xlfn.RANK.AVG($O7,($J7,$O7,$T7),1)-2)*10)</f>
        <v>2</v>
      </c>
      <c r="W7" s="54">
        <f>IF($T7="","",ROUND(($T7-$T$3)/1000,1)+(_xlfn.RANK.AVG($T7,($J7,$O7,$T7),1)-2)*10)</f>
        <v>-27</v>
      </c>
      <c r="Y7" s="8"/>
      <c r="Z7" s="33"/>
      <c r="AA7" s="26"/>
      <c r="AB7" s="26"/>
      <c r="AC7" s="26">
        <v>2</v>
      </c>
      <c r="AD7" s="30">
        <v>40</v>
      </c>
      <c r="AE7" s="39" t="s">
        <v>86</v>
      </c>
      <c r="AF7" s="40" t="s">
        <v>198</v>
      </c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>
        <v>1</v>
      </c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/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194</v>
      </c>
      <c r="F8" s="8" t="s">
        <v>195</v>
      </c>
      <c r="G8" s="9">
        <v>-3000</v>
      </c>
      <c r="H8" s="9"/>
      <c r="I8" s="47">
        <v>0</v>
      </c>
      <c r="J8" s="21">
        <f t="shared" si="2"/>
        <v>37000</v>
      </c>
      <c r="K8" s="8" t="s">
        <v>196</v>
      </c>
      <c r="L8" s="9">
        <v>9000</v>
      </c>
      <c r="M8" s="9"/>
      <c r="N8" s="47">
        <v>0</v>
      </c>
      <c r="O8" s="21">
        <f t="shared" si="3"/>
        <v>36000</v>
      </c>
      <c r="P8" s="8" t="s">
        <v>195</v>
      </c>
      <c r="Q8" s="9">
        <v>-6000</v>
      </c>
      <c r="R8" s="9"/>
      <c r="S8" s="47">
        <v>0</v>
      </c>
      <c r="T8" s="21">
        <f t="shared" si="4"/>
        <v>2000</v>
      </c>
      <c r="U8" s="52">
        <f>IF($J8="","",ROUND(($J8-$J$3)/1000,1)+(_xlfn.RANK.AVG($J8,($J8,$O8,$T8),1)-2)*10)</f>
        <v>22</v>
      </c>
      <c r="V8" s="53">
        <f>IF($O8="","",ROUND(($O8-$O$3)/1000,1)+(_xlfn.RANK.AVG($O8,($J8,$O8,$T8),1)-2)*10)</f>
        <v>11</v>
      </c>
      <c r="W8" s="54">
        <f>IF($T8="","",ROUND(($T8-$T$3)/1000,1)+(_xlfn.RANK.AVG($T8,($J8,$O8,$T8),1)-2)*10)</f>
        <v>-33</v>
      </c>
      <c r="Y8" s="8"/>
      <c r="Z8" s="33"/>
      <c r="AA8" s="26"/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>
        <v>1</v>
      </c>
      <c r="AW8" s="26"/>
      <c r="AX8" s="26">
        <v>6</v>
      </c>
      <c r="AY8" s="30" t="s">
        <v>207</v>
      </c>
      <c r="AZ8" s="39" t="s">
        <v>197</v>
      </c>
      <c r="BA8" s="40" t="s">
        <v>82</v>
      </c>
      <c r="BB8" s="40" t="s">
        <v>83</v>
      </c>
      <c r="BC8" s="40" t="s">
        <v>198</v>
      </c>
      <c r="BD8" s="40" t="s">
        <v>198</v>
      </c>
      <c r="BE8" s="40" t="s">
        <v>80</v>
      </c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/>
      <c r="BR8" s="26">
        <v>1</v>
      </c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204</v>
      </c>
      <c r="F9" s="8" t="s">
        <v>196</v>
      </c>
      <c r="G9" s="9">
        <v>8000</v>
      </c>
      <c r="H9" s="9"/>
      <c r="I9" s="47">
        <v>0</v>
      </c>
      <c r="J9" s="21">
        <f t="shared" si="2"/>
        <v>45000</v>
      </c>
      <c r="K9" s="8" t="s">
        <v>195</v>
      </c>
      <c r="L9" s="9">
        <v>-4000</v>
      </c>
      <c r="M9" s="9"/>
      <c r="N9" s="47">
        <v>0</v>
      </c>
      <c r="O9" s="21">
        <f t="shared" si="3"/>
        <v>32000</v>
      </c>
      <c r="P9" s="8" t="s">
        <v>195</v>
      </c>
      <c r="Q9" s="9">
        <v>-4000</v>
      </c>
      <c r="R9" s="9"/>
      <c r="S9" s="47">
        <v>0</v>
      </c>
      <c r="T9" s="21">
        <f t="shared" si="4"/>
        <v>-2000</v>
      </c>
      <c r="U9" s="52">
        <f>IF($J9="","",ROUND(($J9-$J$3)/1000,1)+(_xlfn.RANK.AVG($J9,($J9,$O9,$T9),1)-2)*10)</f>
        <v>30</v>
      </c>
      <c r="V9" s="53">
        <f>IF($O9="","",ROUND(($O9-$O$3)/1000,1)+(_xlfn.RANK.AVG($O9,($J9,$O9,$T9),1)-2)*10)</f>
        <v>7</v>
      </c>
      <c r="W9" s="54">
        <f>IF($T9="","",ROUND(($T9-$T$3)/1000,1)+(_xlfn.RANK.AVG($T9,($J9,$O9,$T9),1)-2)*10)</f>
        <v>-37</v>
      </c>
      <c r="Y9" s="8"/>
      <c r="Z9" s="33"/>
      <c r="AA9" s="26"/>
      <c r="AB9" s="26">
        <v>1</v>
      </c>
      <c r="AC9" s="26">
        <v>5</v>
      </c>
      <c r="AD9" s="30" t="s">
        <v>207</v>
      </c>
      <c r="AE9" s="39" t="s">
        <v>86</v>
      </c>
      <c r="AF9" s="40" t="s">
        <v>79</v>
      </c>
      <c r="AG9" s="40" t="s">
        <v>79</v>
      </c>
      <c r="AH9" s="40" t="s">
        <v>79</v>
      </c>
      <c r="AI9" s="40" t="s">
        <v>198</v>
      </c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204</v>
      </c>
      <c r="F10" s="8"/>
      <c r="G10" s="9"/>
      <c r="H10" s="9"/>
      <c r="I10" s="47"/>
      <c r="J10" s="21" t="str">
        <f t="shared" si="2"/>
        <v/>
      </c>
      <c r="K10" s="8"/>
      <c r="L10" s="9"/>
      <c r="M10" s="9"/>
      <c r="N10" s="47"/>
      <c r="O10" s="21" t="str">
        <f t="shared" si="3"/>
        <v/>
      </c>
      <c r="P10" s="8"/>
      <c r="Q10" s="9"/>
      <c r="R10" s="9"/>
      <c r="S10" s="47"/>
      <c r="T10" s="21" t="str">
        <f t="shared" si="4"/>
        <v/>
      </c>
      <c r="U10" s="52" t="str">
        <f>IF($J10="","",ROUND(($J10-$J$3)/1000,1)+(_xlfn.RANK.AVG($J10,($J10,$O10,$T10),1)-2)*10)</f>
        <v/>
      </c>
      <c r="V10" s="53" t="str">
        <f>IF($O10="","",ROUND(($O10-$O$3)/1000,1)+(_xlfn.RANK.AVG($O10,($J10,$O10,$T10),1)-2)*10)</f>
        <v/>
      </c>
      <c r="W10" s="54" t="str">
        <f>IF($T10="","",ROUND(($T10-$T$3)/1000,1)+(_xlfn.RANK.AVG($T10,($J10,$O10,$T10),1)-2)*10)</f>
        <v/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7"/>
      <c r="J11" s="21" t="str">
        <f t="shared" si="2"/>
        <v/>
      </c>
      <c r="K11" s="8"/>
      <c r="L11" s="9"/>
      <c r="M11" s="9"/>
      <c r="N11" s="47"/>
      <c r="O11" s="21" t="str">
        <f t="shared" si="3"/>
        <v/>
      </c>
      <c r="P11" s="8"/>
      <c r="Q11" s="9"/>
      <c r="R11" s="9"/>
      <c r="S11" s="47"/>
      <c r="T11" s="21" t="str">
        <f t="shared" si="4"/>
        <v/>
      </c>
      <c r="U11" s="52" t="str">
        <f>IF($J11="","",ROUND(($J11-$J$3)/1000,1)+(_xlfn.RANK.AVG($J11,($J11,$O11,$T11),1)-2)*10)</f>
        <v/>
      </c>
      <c r="V11" s="53" t="str">
        <f>IF($O11="","",ROUND(($O11-$O$3)/1000,1)+(_xlfn.RANK.AVG($O11,($J11,$O11,$T11),1)-2)*10)</f>
        <v/>
      </c>
      <c r="W11" s="54" t="str">
        <f>IF($T11="","",ROUND(($T11-$T$3)/1000,1)+(_xlfn.RANK.AVG($T11,($J11,$O11,$T11),1)-2)*10)</f>
        <v/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251B007-1BCE-475C-BAA3-AD7BF1462161}">
      <formula1>$U$2:$W$2</formula1>
    </dataValidation>
    <dataValidation type="list" showInputMessage="1" showErrorMessage="1" sqref="K4:K30 P4:P30 F4:F30" xr:uid="{6D09EF37-6AAD-42A8-BF47-B26DF0D9FFD7}">
      <formula1>"ロン,ツモ,放銃,ツモ支払,流局,チョンボ"</formula1>
    </dataValidation>
    <dataValidation type="list" allowBlank="1" showInputMessage="1" sqref="F1:T1" xr:uid="{F1735D5E-FE61-4066-94EF-8E58AF6E4E18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>
      <selection sqref="A1:A2"/>
    </sheetView>
  </sheetViews>
  <sheetFormatPr defaultRowHeight="18" x14ac:dyDescent="0.45"/>
  <cols>
    <col min="1" max="1" width="9" style="35" customWidth="1"/>
    <col min="2" max="2" width="6.5" style="35" customWidth="1"/>
    <col min="3" max="3" width="19.19921875" style="15" bestFit="1" customWidth="1"/>
    <col min="4" max="5" width="6.5" style="15" customWidth="1"/>
  </cols>
  <sheetData>
    <row r="1" spans="1:5" x14ac:dyDescent="0.45">
      <c r="A1" s="35" t="s">
        <v>27</v>
      </c>
      <c r="B1" s="35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5" t="s">
        <v>77</v>
      </c>
      <c r="B2" s="35" t="s">
        <v>139</v>
      </c>
      <c r="C2" s="15" t="s">
        <v>132</v>
      </c>
      <c r="D2" s="15">
        <v>1</v>
      </c>
    </row>
    <row r="3" spans="1:5" x14ac:dyDescent="0.45">
      <c r="A3" s="35" t="s">
        <v>78</v>
      </c>
      <c r="B3" s="35" t="s">
        <v>148</v>
      </c>
      <c r="C3" s="15" t="s">
        <v>31</v>
      </c>
      <c r="D3" s="15">
        <v>1</v>
      </c>
    </row>
    <row r="4" spans="1:5" x14ac:dyDescent="0.45">
      <c r="A4" s="35" t="s">
        <v>79</v>
      </c>
      <c r="B4" s="35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5" t="s">
        <v>80</v>
      </c>
      <c r="B5" s="35" t="s">
        <v>142</v>
      </c>
      <c r="C5" s="15" t="s">
        <v>33</v>
      </c>
      <c r="D5" s="15">
        <v>1</v>
      </c>
    </row>
    <row r="6" spans="1:5" x14ac:dyDescent="0.45">
      <c r="A6" s="35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5" t="s">
        <v>82</v>
      </c>
      <c r="B7" s="35" t="s">
        <v>140</v>
      </c>
      <c r="C7" s="15" t="s">
        <v>35</v>
      </c>
      <c r="D7" s="15">
        <v>1</v>
      </c>
    </row>
    <row r="8" spans="1:5" x14ac:dyDescent="0.45">
      <c r="A8" s="35" t="s">
        <v>83</v>
      </c>
      <c r="B8" s="35" t="s">
        <v>144</v>
      </c>
      <c r="C8" s="15" t="s">
        <v>36</v>
      </c>
      <c r="D8" s="15">
        <v>1</v>
      </c>
    </row>
    <row r="9" spans="1:5" x14ac:dyDescent="0.45">
      <c r="A9" s="35" t="s">
        <v>84</v>
      </c>
      <c r="B9" s="35" t="s">
        <v>146</v>
      </c>
      <c r="C9" s="15" t="s">
        <v>37</v>
      </c>
      <c r="D9" s="15">
        <v>1</v>
      </c>
    </row>
    <row r="10" spans="1:5" x14ac:dyDescent="0.45">
      <c r="A10" s="35" t="s">
        <v>85</v>
      </c>
      <c r="B10" s="35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5" t="s">
        <v>86</v>
      </c>
      <c r="B11" s="35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5" t="s">
        <v>87</v>
      </c>
      <c r="B12" s="35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5" t="s">
        <v>88</v>
      </c>
      <c r="B13" s="35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5" t="s">
        <v>89</v>
      </c>
      <c r="B14" s="35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5" t="s">
        <v>90</v>
      </c>
      <c r="B15" s="35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5" t="s">
        <v>91</v>
      </c>
      <c r="B16" s="35" t="s">
        <v>157</v>
      </c>
      <c r="C16" s="15" t="s">
        <v>43</v>
      </c>
      <c r="D16" s="15">
        <v>2</v>
      </c>
    </row>
    <row r="17" spans="1:5" x14ac:dyDescent="0.45">
      <c r="A17" s="35" t="s">
        <v>92</v>
      </c>
      <c r="B17" s="35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5" t="s">
        <v>93</v>
      </c>
      <c r="B18" s="35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5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5" t="s">
        <v>95</v>
      </c>
      <c r="B20" s="35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5" t="s">
        <v>96</v>
      </c>
      <c r="B21" s="35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5" t="s">
        <v>97</v>
      </c>
      <c r="B22" s="35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5" t="s">
        <v>98</v>
      </c>
      <c r="B23" s="35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5" t="s">
        <v>99</v>
      </c>
      <c r="B24" s="35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5" t="s">
        <v>100</v>
      </c>
      <c r="B25" s="35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5" t="s">
        <v>101</v>
      </c>
      <c r="B26" s="35" t="s">
        <v>154</v>
      </c>
      <c r="C26" s="15" t="s">
        <v>52</v>
      </c>
      <c r="D26" s="15">
        <v>2</v>
      </c>
    </row>
    <row r="27" spans="1:5" x14ac:dyDescent="0.45">
      <c r="A27" s="35" t="s">
        <v>102</v>
      </c>
      <c r="B27" s="35" t="s">
        <v>164</v>
      </c>
      <c r="C27" s="15" t="s">
        <v>53</v>
      </c>
      <c r="D27" s="15">
        <v>3</v>
      </c>
    </row>
    <row r="28" spans="1:5" x14ac:dyDescent="0.45">
      <c r="A28" s="35" t="s">
        <v>103</v>
      </c>
      <c r="B28" s="35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5" t="s">
        <v>104</v>
      </c>
      <c r="B29" s="35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5" t="s">
        <v>105</v>
      </c>
      <c r="B30" s="35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5" t="s">
        <v>106</v>
      </c>
      <c r="B31" s="35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5" t="s">
        <v>107</v>
      </c>
      <c r="B32" s="35" t="s">
        <v>169</v>
      </c>
      <c r="C32" s="15" t="s">
        <v>57</v>
      </c>
      <c r="D32" s="15">
        <v>13</v>
      </c>
    </row>
    <row r="33" spans="1:5" x14ac:dyDescent="0.45">
      <c r="A33" s="35" t="s">
        <v>108</v>
      </c>
      <c r="B33" s="35" t="s">
        <v>170</v>
      </c>
      <c r="C33" s="15" t="s">
        <v>58</v>
      </c>
      <c r="D33" s="15">
        <v>13</v>
      </c>
    </row>
    <row r="34" spans="1:5" x14ac:dyDescent="0.45">
      <c r="A34" s="35" t="s">
        <v>109</v>
      </c>
      <c r="B34" s="35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5" t="s">
        <v>110</v>
      </c>
      <c r="B35" s="35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5" t="s">
        <v>111</v>
      </c>
      <c r="B36" s="35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5" t="s">
        <v>112</v>
      </c>
      <c r="B37" s="35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5" t="s">
        <v>113</v>
      </c>
      <c r="B38" s="35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5" t="s">
        <v>114</v>
      </c>
      <c r="B39" s="35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5" t="s">
        <v>115</v>
      </c>
      <c r="B40" s="35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5" t="s">
        <v>116</v>
      </c>
      <c r="B41" s="35" t="s">
        <v>178</v>
      </c>
      <c r="C41" s="15" t="s">
        <v>66</v>
      </c>
      <c r="D41" s="15">
        <v>13</v>
      </c>
    </row>
    <row r="42" spans="1:5" x14ac:dyDescent="0.45">
      <c r="A42" s="35" t="s">
        <v>117</v>
      </c>
      <c r="B42" s="35" t="s">
        <v>179</v>
      </c>
      <c r="C42" s="15" t="s">
        <v>67</v>
      </c>
      <c r="D42" s="15">
        <v>13</v>
      </c>
    </row>
    <row r="43" spans="1:5" x14ac:dyDescent="0.45">
      <c r="A43" s="35" t="s">
        <v>118</v>
      </c>
      <c r="B43" s="35" t="s">
        <v>180</v>
      </c>
      <c r="C43" s="15" t="s">
        <v>68</v>
      </c>
      <c r="D43" s="15">
        <v>13</v>
      </c>
    </row>
    <row r="44" spans="1:5" x14ac:dyDescent="0.45">
      <c r="A44" s="35" t="s">
        <v>119</v>
      </c>
      <c r="B44" s="35" t="s">
        <v>181</v>
      </c>
      <c r="C44" s="15" t="s">
        <v>69</v>
      </c>
      <c r="D44" s="15">
        <v>13</v>
      </c>
    </row>
    <row r="45" spans="1:5" x14ac:dyDescent="0.45">
      <c r="A45" s="35" t="s">
        <v>120</v>
      </c>
      <c r="B45" s="35" t="s">
        <v>182</v>
      </c>
      <c r="C45" s="15" t="s">
        <v>70</v>
      </c>
      <c r="D45" s="15">
        <v>26</v>
      </c>
    </row>
    <row r="46" spans="1:5" x14ac:dyDescent="0.45">
      <c r="A46" s="35" t="s">
        <v>121</v>
      </c>
      <c r="B46" s="35" t="s">
        <v>183</v>
      </c>
      <c r="C46" s="15" t="s">
        <v>71</v>
      </c>
      <c r="D46" s="15">
        <v>26</v>
      </c>
    </row>
    <row r="47" spans="1:5" x14ac:dyDescent="0.45">
      <c r="A47" s="35" t="s">
        <v>122</v>
      </c>
      <c r="B47" s="35" t="s">
        <v>184</v>
      </c>
      <c r="C47" s="15" t="s">
        <v>72</v>
      </c>
      <c r="D47" s="15">
        <v>26</v>
      </c>
    </row>
    <row r="48" spans="1:5" x14ac:dyDescent="0.45">
      <c r="A48" s="35" t="s">
        <v>123</v>
      </c>
      <c r="B48" s="35" t="s">
        <v>185</v>
      </c>
      <c r="C48" s="15" t="s">
        <v>73</v>
      </c>
      <c r="D48" s="15">
        <v>13</v>
      </c>
    </row>
    <row r="49" spans="1:5" x14ac:dyDescent="0.45">
      <c r="A49" s="35" t="s">
        <v>124</v>
      </c>
      <c r="B49" s="35" t="s">
        <v>186</v>
      </c>
      <c r="C49" s="15" t="s">
        <v>74</v>
      </c>
      <c r="D49" s="15">
        <v>13</v>
      </c>
    </row>
    <row r="50" spans="1:5" x14ac:dyDescent="0.45">
      <c r="A50" s="35" t="s">
        <v>125</v>
      </c>
      <c r="C50" s="15" t="s">
        <v>75</v>
      </c>
      <c r="D50" s="15">
        <v>13</v>
      </c>
    </row>
    <row r="51" spans="1:5" x14ac:dyDescent="0.45">
      <c r="A51" s="35" t="s">
        <v>126</v>
      </c>
      <c r="B51" s="35" t="s">
        <v>187</v>
      </c>
      <c r="C51" s="15" t="s">
        <v>76</v>
      </c>
      <c r="D51" s="15">
        <v>13</v>
      </c>
    </row>
    <row r="52" spans="1:5" x14ac:dyDescent="0.45">
      <c r="A52" s="35" t="s">
        <v>134</v>
      </c>
      <c r="B52" s="35" t="s">
        <v>158</v>
      </c>
      <c r="C52" s="15" t="s">
        <v>135</v>
      </c>
      <c r="D52" s="15">
        <v>2</v>
      </c>
    </row>
    <row r="53" spans="1:5" x14ac:dyDescent="0.45">
      <c r="A53" s="35" t="s">
        <v>136</v>
      </c>
      <c r="B53" s="35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5" t="s">
        <v>188</v>
      </c>
      <c r="B54" s="35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59181-8EAA-4829-BFE2-9AA8C3BB3993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E3">
        <v>2600</v>
      </c>
      <c r="F3">
        <v>5200</v>
      </c>
    </row>
    <row r="4" spans="1:13" x14ac:dyDescent="0.45">
      <c r="A4" s="15">
        <v>25</v>
      </c>
      <c r="D4">
        <v>1600</v>
      </c>
      <c r="E4">
        <v>3200</v>
      </c>
      <c r="F4">
        <v>6400</v>
      </c>
    </row>
    <row r="5" spans="1:13" x14ac:dyDescent="0.45">
      <c r="A5" s="15">
        <v>30</v>
      </c>
      <c r="C5">
        <v>1000</v>
      </c>
      <c r="D5">
        <v>2000</v>
      </c>
      <c r="E5">
        <v>3900</v>
      </c>
      <c r="F5">
        <v>7700</v>
      </c>
    </row>
    <row r="6" spans="1:13" x14ac:dyDescent="0.45">
      <c r="A6" s="15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5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5">
        <v>60</v>
      </c>
      <c r="C8">
        <v>2000</v>
      </c>
      <c r="D8">
        <v>3900</v>
      </c>
      <c r="E8">
        <v>7700</v>
      </c>
      <c r="F8">
        <v>8000</v>
      </c>
    </row>
    <row r="9" spans="1:13" x14ac:dyDescent="0.45">
      <c r="A9" s="15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5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5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5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5">
        <v>110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BCAB4-34E3-412D-BFCF-0ED76F7503F8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B3" t="s">
        <v>10</v>
      </c>
      <c r="C3" t="s">
        <v>10</v>
      </c>
      <c r="D3">
        <v>1400</v>
      </c>
      <c r="E3">
        <v>2600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1000</v>
      </c>
      <c r="D5">
        <v>2000</v>
      </c>
      <c r="E5">
        <v>4000</v>
      </c>
      <c r="F5">
        <v>7800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1400</v>
      </c>
      <c r="D6">
        <v>2600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2000</v>
      </c>
      <c r="D8">
        <v>4000</v>
      </c>
      <c r="E8">
        <v>7800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2400</v>
      </c>
      <c r="D9">
        <v>4600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2600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3000</v>
      </c>
      <c r="D11">
        <v>5800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B19D6-1610-4D98-B8F2-E1C26B431862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-3900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5">
        <v>60</v>
      </c>
      <c r="C8">
        <v>-1000</v>
      </c>
      <c r="D8">
        <v>-2000</v>
      </c>
      <c r="E8">
        <v>-3900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8E591-88A3-418E-A84A-2B3F199A9AEF}">
  <sheetPr codeName="Sheet3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C3" t="s">
        <v>10</v>
      </c>
      <c r="D3" t="s">
        <v>10</v>
      </c>
      <c r="E3">
        <v>2000</v>
      </c>
      <c r="F3">
        <v>3900</v>
      </c>
    </row>
    <row r="4" spans="1:13" x14ac:dyDescent="0.45">
      <c r="A4" s="15">
        <v>25</v>
      </c>
      <c r="C4" t="s">
        <v>10</v>
      </c>
      <c r="D4">
        <v>1200</v>
      </c>
      <c r="E4">
        <v>2400</v>
      </c>
      <c r="F4">
        <v>4800</v>
      </c>
    </row>
    <row r="5" spans="1:13" x14ac:dyDescent="0.45">
      <c r="A5" s="15">
        <v>30</v>
      </c>
      <c r="C5">
        <v>800</v>
      </c>
      <c r="D5">
        <v>1500</v>
      </c>
      <c r="E5">
        <v>2900</v>
      </c>
      <c r="F5">
        <v>5800</v>
      </c>
    </row>
    <row r="6" spans="1:13" x14ac:dyDescent="0.45">
      <c r="A6" s="15">
        <v>40</v>
      </c>
      <c r="C6">
        <v>1000</v>
      </c>
      <c r="D6">
        <v>2000</v>
      </c>
      <c r="E6">
        <v>3900</v>
      </c>
      <c r="F6">
        <v>6000</v>
      </c>
    </row>
    <row r="7" spans="1:13" x14ac:dyDescent="0.45">
      <c r="A7" s="15">
        <v>50</v>
      </c>
      <c r="C7">
        <v>1200</v>
      </c>
      <c r="D7">
        <v>2400</v>
      </c>
      <c r="E7">
        <v>4800</v>
      </c>
      <c r="F7">
        <v>6000</v>
      </c>
    </row>
    <row r="8" spans="1:13" x14ac:dyDescent="0.45">
      <c r="A8" s="15">
        <v>60</v>
      </c>
      <c r="C8">
        <v>1500</v>
      </c>
      <c r="D8">
        <v>2900</v>
      </c>
      <c r="E8">
        <v>5800</v>
      </c>
      <c r="F8">
        <v>6000</v>
      </c>
    </row>
    <row r="9" spans="1:13" x14ac:dyDescent="0.45">
      <c r="A9" s="15">
        <v>70</v>
      </c>
      <c r="C9">
        <v>1700</v>
      </c>
      <c r="D9">
        <v>3400</v>
      </c>
      <c r="E9">
        <v>6000</v>
      </c>
      <c r="F9">
        <v>6000</v>
      </c>
    </row>
    <row r="10" spans="1:13" x14ac:dyDescent="0.45">
      <c r="A10" s="15">
        <v>80</v>
      </c>
      <c r="C10">
        <v>2000</v>
      </c>
      <c r="D10">
        <v>3900</v>
      </c>
      <c r="E10">
        <v>6000</v>
      </c>
      <c r="F10">
        <v>6000</v>
      </c>
    </row>
    <row r="11" spans="1:13" x14ac:dyDescent="0.45">
      <c r="A11" s="15">
        <v>90</v>
      </c>
      <c r="C11">
        <v>2200</v>
      </c>
      <c r="D11">
        <v>4400</v>
      </c>
      <c r="E11">
        <v>6000</v>
      </c>
      <c r="F11">
        <v>6000</v>
      </c>
    </row>
    <row r="12" spans="1:13" x14ac:dyDescent="0.45">
      <c r="A12" s="15">
        <v>100</v>
      </c>
      <c r="C12">
        <v>2400</v>
      </c>
      <c r="D12">
        <v>4800</v>
      </c>
      <c r="E12">
        <v>6000</v>
      </c>
      <c r="F12">
        <v>6000</v>
      </c>
    </row>
    <row r="13" spans="1:13" x14ac:dyDescent="0.45">
      <c r="A13" s="15">
        <v>110</v>
      </c>
      <c r="C13" t="s">
        <v>10</v>
      </c>
      <c r="D13">
        <v>5300</v>
      </c>
      <c r="E13">
        <v>6000</v>
      </c>
      <c r="F13">
        <v>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4B001-8D41-4655-BECF-CACBCAC92F4B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B3" t="s">
        <v>10</v>
      </c>
      <c r="C3" t="s">
        <v>10</v>
      </c>
      <c r="D3">
        <v>1100</v>
      </c>
      <c r="E3">
        <v>2000</v>
      </c>
      <c r="F3">
        <v>3900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2400</v>
      </c>
      <c r="F4">
        <v>4800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800</v>
      </c>
      <c r="D5">
        <v>1500</v>
      </c>
      <c r="E5">
        <v>3000</v>
      </c>
      <c r="F5">
        <v>5900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1100</v>
      </c>
      <c r="D6">
        <v>2000</v>
      </c>
      <c r="E6">
        <v>3900</v>
      </c>
      <c r="F6">
        <v>6000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1200</v>
      </c>
      <c r="D7">
        <v>2400</v>
      </c>
      <c r="E7">
        <v>4800</v>
      </c>
      <c r="F7">
        <v>6000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1500</v>
      </c>
      <c r="D8">
        <v>3000</v>
      </c>
      <c r="E8">
        <v>5900</v>
      </c>
      <c r="F8">
        <v>6000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1800</v>
      </c>
      <c r="D9">
        <v>3500</v>
      </c>
      <c r="E9">
        <v>6000</v>
      </c>
      <c r="F9">
        <v>6000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2000</v>
      </c>
      <c r="D10">
        <v>3900</v>
      </c>
      <c r="E10">
        <v>6000</v>
      </c>
      <c r="F10">
        <v>6000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2300</v>
      </c>
      <c r="D11">
        <v>4400</v>
      </c>
      <c r="E11">
        <v>6000</v>
      </c>
      <c r="F11">
        <v>6000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2400</v>
      </c>
      <c r="D12">
        <v>4800</v>
      </c>
      <c r="E12">
        <v>6000</v>
      </c>
      <c r="F12">
        <v>6000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5400</v>
      </c>
      <c r="E13">
        <v>6000</v>
      </c>
      <c r="F13">
        <v>6000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9FBAC-0286-4F4E-94EB-4EF8D88919BA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5">
        <v>20</v>
      </c>
      <c r="C3" t="s">
        <v>10</v>
      </c>
      <c r="D3">
        <v>-400</v>
      </c>
      <c r="E3">
        <v>-700</v>
      </c>
      <c r="F3">
        <v>-1300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-800</v>
      </c>
      <c r="F4">
        <v>-1600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-300</v>
      </c>
      <c r="D5">
        <v>-500</v>
      </c>
      <c r="E5">
        <v>-1000</v>
      </c>
      <c r="F5">
        <v>-2000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-400</v>
      </c>
      <c r="D6">
        <v>-700</v>
      </c>
      <c r="E6">
        <v>-1300</v>
      </c>
      <c r="F6">
        <v>-2000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-400</v>
      </c>
      <c r="D7">
        <v>-800</v>
      </c>
      <c r="E7">
        <v>-1600</v>
      </c>
      <c r="F7">
        <v>-2000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-500</v>
      </c>
      <c r="D8">
        <v>-1000</v>
      </c>
      <c r="E8">
        <v>-2000</v>
      </c>
      <c r="F8">
        <v>-2000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-600</v>
      </c>
      <c r="D9">
        <v>-1200</v>
      </c>
      <c r="E9">
        <v>-2000</v>
      </c>
      <c r="F9">
        <v>-2000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-700</v>
      </c>
      <c r="D10">
        <v>-1300</v>
      </c>
      <c r="E10">
        <v>-2000</v>
      </c>
      <c r="F10">
        <v>-2000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-800</v>
      </c>
      <c r="D11">
        <v>-1500</v>
      </c>
      <c r="E11">
        <v>-2000</v>
      </c>
      <c r="F11">
        <v>-2000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-800</v>
      </c>
      <c r="D12">
        <v>-1600</v>
      </c>
      <c r="E12">
        <v>-2000</v>
      </c>
      <c r="F12">
        <v>-2000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-1800</v>
      </c>
      <c r="E13">
        <v>-2000</v>
      </c>
      <c r="F13">
        <v>-2000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1C909-9FD0-430A-982E-B8BC83DB0BD1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-3900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-1000</v>
      </c>
      <c r="D8">
        <v>-2000</v>
      </c>
      <c r="E8">
        <v>-3900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2020-05-30T08:38:41Z</dcterms:modified>
</cp:coreProperties>
</file>