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対局\"/>
    </mc:Choice>
  </mc:AlternateContent>
  <xr:revisionPtr revIDLastSave="0" documentId="13_ncr:1_{309001EA-DA27-446E-9E4E-A8791B42EC88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7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7" l="1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O13" i="27"/>
  <c r="J13" i="27"/>
  <c r="D13" i="27"/>
  <c r="C13" i="27"/>
  <c r="B13" i="27"/>
  <c r="A13" i="27" s="1"/>
  <c r="T12" i="27"/>
  <c r="O12" i="27"/>
  <c r="J12" i="27"/>
  <c r="D12" i="27"/>
  <c r="C12" i="27"/>
  <c r="B12" i="27"/>
  <c r="A12" i="27" s="1"/>
  <c r="T11" i="27"/>
  <c r="O11" i="27"/>
  <c r="J11" i="27"/>
  <c r="U11" i="27" s="1"/>
  <c r="D11" i="27"/>
  <c r="C11" i="27"/>
  <c r="B11" i="27"/>
  <c r="A11" i="27" s="1"/>
  <c r="T10" i="27"/>
  <c r="O10" i="27"/>
  <c r="V10" i="27" s="1"/>
  <c r="J10" i="27"/>
  <c r="D10" i="27"/>
  <c r="C10" i="27"/>
  <c r="B10" i="27"/>
  <c r="A10" i="27"/>
  <c r="D9" i="27"/>
  <c r="C9" i="27"/>
  <c r="D8" i="27"/>
  <c r="C8" i="27"/>
  <c r="D7" i="27"/>
  <c r="C7" i="27"/>
  <c r="D6" i="27"/>
  <c r="C6" i="27"/>
  <c r="T5" i="27"/>
  <c r="T6" i="27" s="1"/>
  <c r="O5" i="27"/>
  <c r="D5" i="27"/>
  <c r="C5" i="27"/>
  <c r="B5" i="27"/>
  <c r="B6" i="27" s="1"/>
  <c r="T4" i="27"/>
  <c r="O4" i="27"/>
  <c r="J4" i="27"/>
  <c r="J5" i="27" s="1"/>
  <c r="W3" i="27"/>
  <c r="V3" i="27"/>
  <c r="U3" i="27"/>
  <c r="W2" i="27"/>
  <c r="V2" i="27"/>
  <c r="U2" i="27"/>
  <c r="BO1" i="27"/>
  <c r="AT1" i="27"/>
  <c r="Y1" i="27"/>
  <c r="V13" i="27" l="1"/>
  <c r="W13" i="27"/>
  <c r="U13" i="27"/>
  <c r="W12" i="27"/>
  <c r="U12" i="27"/>
  <c r="V12" i="27"/>
  <c r="W11" i="27"/>
  <c r="V11" i="27"/>
  <c r="W10" i="27"/>
  <c r="U10" i="27"/>
  <c r="V4" i="27"/>
  <c r="W4" i="27"/>
  <c r="U4" i="27"/>
  <c r="T7" i="27"/>
  <c r="B7" i="27"/>
  <c r="A7" i="27" s="1"/>
  <c r="W5" i="27"/>
  <c r="U5" i="27"/>
  <c r="J6" i="27"/>
  <c r="V5" i="27"/>
  <c r="A6" i="27"/>
  <c r="O6" i="27"/>
  <c r="A5" i="27"/>
  <c r="W3" i="19"/>
  <c r="V3" i="19"/>
  <c r="U3" i="19"/>
  <c r="W6" i="27" l="1"/>
  <c r="U6" i="27"/>
  <c r="J7" i="27"/>
  <c r="B8" i="27"/>
  <c r="A8" i="27"/>
  <c r="V6" i="27"/>
  <c r="O7" i="27"/>
  <c r="T8" i="27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7" l="1"/>
  <c r="U7" i="27"/>
  <c r="J8" i="27"/>
  <c r="W7" i="27"/>
  <c r="O8" i="27"/>
  <c r="W8" i="27" s="1"/>
  <c r="V7" i="27"/>
  <c r="B9" i="27"/>
  <c r="A9" i="27" s="1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9" i="27" l="1"/>
  <c r="V8" i="27"/>
  <c r="U8" i="27"/>
  <c r="J9" i="27"/>
  <c r="W5" i="19"/>
  <c r="V5" i="19"/>
  <c r="U5" i="19"/>
  <c r="U9" i="27" l="1"/>
  <c r="V9" i="27"/>
  <c r="W9" i="27"/>
</calcChain>
</file>

<file path=xl/sharedStrings.xml><?xml version="1.0" encoding="utf-8"?>
<sst xmlns="http://schemas.openxmlformats.org/spreadsheetml/2006/main" count="856" uniqueCount="208">
  <si>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</si>
  <si>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</si>
  <si>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</si>
  <si>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</si>
  <si>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</si>
  <si>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</si>
  <si>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</si>
  <si>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</si>
  <si>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</si>
  <si>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</si>
  <si>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</si>
  <si>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</si>
  <si>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</si>
  <si>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</si>
  <si>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</si>
  <si>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</si>
  <si>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</si>
  <si>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</si>
  <si>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</si>
  <si>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</si>
  <si>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</si>
  <si>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</si>
  <si>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</si>
  <si>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</si>
  <si>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</si>
  <si>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</si>
  <si>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</si>
  <si>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</si>
  <si>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</si>
  <si>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</si>
  <si>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</si>
  <si>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</si>
  <si>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</si>
  <si>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</si>
  <si>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</si>
  <si>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</si>
  <si>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</si>
  <si>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</si>
  <si>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</si>
  <si>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</si>
  <si>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</si>
  <si>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</si>
  <si>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</si>
  <si>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</si>
  <si>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</si>
  <si>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</si>
  <si>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</si>
  <si>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</si>
  <si>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</si>
  <si>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</si>
  <si>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</si>
  <si>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</si>
  <si>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</si>
  <si>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</si>
  <si>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</si>
  <si>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</si>
  <si>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</si>
  <si>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</si>
  <si>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</si>
  <si>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</si>
  <si>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</si>
  <si>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</si>
  <si>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</si>
  <si>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</si>
  <si>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</si>
  <si>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</si>
  <si>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</si>
  <si>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</si>
  <si>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</si>
  <si>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</si>
  <si>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</si>
  <si>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</si>
  <si>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</si>
  <si>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</si>
  <si>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</si>
  <si>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</si>
  <si>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</si>
  <si>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</si>
  <si>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</si>
  <si>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</si>
  <si>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</si>
  <si>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</si>
  <si>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</si>
  <si>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</si>
  <si>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</si>
  <si>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</si>
  <si>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</si>
  <si>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</si>
  <si>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</si>
  <si>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</si>
  <si>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</si>
  <si>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</si>
  <si>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</si>
  <si>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</si>
  <si>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</si>
  <si>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</si>
  <si>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</si>
  <si>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</si>
  <si>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</si>
  <si>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</si>
  <si>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</si>
  <si>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</si>
  <si>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</si>
  <si>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</si>
  <si>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</si>
  <si>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</si>
  <si>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</si>
  <si>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</si>
  <si>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</si>
  <si>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</si>
  <si>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</si>
  <si>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</si>
  <si>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</si>
  <si>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</si>
  <si>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</si>
  <si>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</si>
  <si>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</si>
  <si>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</si>
  <si>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</si>
  <si>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</si>
  <si>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</si>
  <si>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</si>
  <si>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</si>
  <si>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</si>
  <si>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</si>
  <si>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</si>
  <si>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</si>
  <si>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</si>
  <si>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</si>
  <si>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</si>
  <si>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</si>
  <si>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</si>
  <si>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</si>
  <si>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</si>
  <si>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</si>
  <si>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</si>
  <si>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</si>
  <si>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</si>
  <si>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</si>
  <si>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</si>
  <si>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</si>
  <si>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</si>
  <si>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</si>
  <si>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</si>
  <si>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</si>
  <si>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</si>
  <si>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</si>
  <si>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</si>
  <si>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</si>
  <si>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</si>
  <si>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</si>
  <si>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</si>
  <si>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</si>
  <si>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</si>
  <si>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</si>
  <si>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</si>
  <si>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</si>
  <si>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</si>
  <si>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</si>
  <si>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</si>
  <si>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</si>
  <si>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</si>
  <si>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</si>
  <si>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</si>
  <si>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</si>
  <si>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</si>
  <si>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</si>
  <si>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</si>
  <si>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</si>
  <si>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</si>
  <si>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</si>
  <si>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</si>
  <si>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</si>
  <si>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</si>
  <si>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</si>
  <si>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</si>
  <si>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</si>
  <si>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</si>
  <si>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</si>
  <si>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</si>
  <si>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</si>
  <si>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</si>
  <si>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</si>
  <si>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</si>
  <si>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</si>
  <si>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</si>
  <si>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</si>
  <si>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</si>
  <si>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</si>
  <si>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</si>
  <si>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</si>
  <si>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</si>
  <si>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</si>
  <si>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</si>
  <si>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あやめ</t>
  </si>
  <si>
    <t>ロン</t>
  </si>
  <si>
    <t>放銃</t>
  </si>
  <si>
    <t>パパ</t>
  </si>
  <si>
    <t>ツモ支払</t>
  </si>
  <si>
    <t>ツモ</t>
  </si>
  <si>
    <t>01</t>
  </si>
  <si>
    <t>だいち</t>
  </si>
  <si>
    <t>52</t>
  </si>
  <si>
    <t>*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</si>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</sst>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パパ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あやめ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70" t="s">
        <v>20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70" t="s">
        <v>20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7"/>
      <c r="J4" s="21">
        <f>IF(COUNTA($F4,$K4,$P4)&gt;0,J3+SUM(G4:I4),"")</f>
        <v>25000</v>
      </c>
      <c r="K4" s="8" t="s">
        <v>195</v>
      </c>
      <c r="L4" s="9">
        <v>1000</v>
      </c>
      <c r="M4" s="9"/>
      <c r="N4" s="47">
        <v>0</v>
      </c>
      <c r="O4" s="21">
        <f>IF(COUNTA($F4,$K4,$P4)&gt;0,O3+SUM(L4:N4),"")</f>
        <v>26000</v>
      </c>
      <c r="P4" s="8" t="s">
        <v>196</v>
      </c>
      <c r="Q4" s="9">
        <v>-1000</v>
      </c>
      <c r="R4" s="9"/>
      <c r="S4" s="47">
        <v>0</v>
      </c>
      <c r="T4" s="21">
        <f>IF(COUNTA($F4,$K4,$P4)&gt;0,T3+SUM(Q4:S4),"")</f>
        <v>24000</v>
      </c>
      <c r="U4" s="52">
        <f>IF($J4="","",ROUND(($J4-$J$3)/1000,1)+(_xlfn.RANK.AVG($J4,($J4,$O4,$T4),1)-2)*10)</f>
        <v>0</v>
      </c>
      <c r="V4" s="53">
        <f>IF($O4="","",ROUND(($O4-$O$3)/1000,1)+(_xlfn.RANK.AVG($O4,($J4,$O4,$T4),1)-2)*10)</f>
        <v>11</v>
      </c>
      <c r="W4" s="54">
        <f>IF($T4="","",ROUND(($T4-$T$3)/1000,1)+(_xlfn.RANK.AVG($T4,($J4,$O4,$T4),1)-2)*10)</f>
        <v>-11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>
        <v>1</v>
      </c>
      <c r="AY4" s="30">
        <v>40</v>
      </c>
      <c r="AZ4" s="39" t="s">
        <v>86</v>
      </c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>
        <v>1</v>
      </c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197</v>
      </c>
      <c r="F5" s="8" t="s">
        <v>198</v>
      </c>
      <c r="G5" s="9">
        <v>-2000</v>
      </c>
      <c r="H5" s="9"/>
      <c r="I5" s="47">
        <v>0</v>
      </c>
      <c r="J5" s="21">
        <f t="shared" ref="J5:J30" si="2">IF(COUNTA($F5,$K5,$P5)&gt;0,J4+SUM(G5:I5),"")</f>
        <v>23000</v>
      </c>
      <c r="K5" s="8" t="s">
        <v>199</v>
      </c>
      <c r="L5" s="9">
        <v>3000</v>
      </c>
      <c r="M5" s="9"/>
      <c r="N5" s="47">
        <v>0</v>
      </c>
      <c r="O5" s="21">
        <f t="shared" ref="O5:O30" si="3">IF(COUNTA($F5,$K5,$P5)&gt;0,O4+SUM(L5:N5),"")</f>
        <v>29000</v>
      </c>
      <c r="P5" s="8" t="s">
        <v>198</v>
      </c>
      <c r="Q5" s="9">
        <v>-1000</v>
      </c>
      <c r="R5" s="9"/>
      <c r="S5" s="47">
        <v>0</v>
      </c>
      <c r="T5" s="21">
        <f t="shared" ref="T5:T30" si="4">IF(COUNTA($F5,$K5,$P5)&gt;0,T4+SUM(Q5:S5),"")</f>
        <v>23000</v>
      </c>
      <c r="U5" s="52">
        <f>IF($J5="","",ROUND(($J5-$J$3)/1000,1)+(_xlfn.RANK.AVG($J5,($J5,$O5,$T5),1)-2)*10)</f>
        <v>-7</v>
      </c>
      <c r="V5" s="53">
        <f>IF($O5="","",ROUND(($O5-$O$3)/1000,1)+(_xlfn.RANK.AVG($O5,($J5,$O5,$T5),1)-2)*10)</f>
        <v>14</v>
      </c>
      <c r="W5" s="54">
        <f>IF($T5="","",ROUND(($T5-$T$3)/1000,1)+(_xlfn.RANK.AVG($T5,($J5,$O5,$T5),1)-2)*10)</f>
        <v>-7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>
        <v>1</v>
      </c>
      <c r="AW5" s="26"/>
      <c r="AX5" s="26">
        <v>3</v>
      </c>
      <c r="AY5" s="30">
        <v>30</v>
      </c>
      <c r="AZ5" s="39" t="s">
        <v>200</v>
      </c>
      <c r="BA5" s="40" t="s">
        <v>82</v>
      </c>
      <c r="BB5" s="40" t="s">
        <v>80</v>
      </c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201</v>
      </c>
      <c r="F6" s="8" t="s">
        <v>196</v>
      </c>
      <c r="G6" s="9">
        <v>-6000</v>
      </c>
      <c r="H6" s="9">
        <v>-1000</v>
      </c>
      <c r="I6" s="47">
        <v>0</v>
      </c>
      <c r="J6" s="21">
        <f t="shared" si="2"/>
        <v>16000</v>
      </c>
      <c r="K6" s="8"/>
      <c r="L6" s="9"/>
      <c r="M6" s="9">
        <v>-1000</v>
      </c>
      <c r="N6" s="47"/>
      <c r="O6" s="21">
        <f t="shared" si="3"/>
        <v>28000</v>
      </c>
      <c r="P6" s="8" t="s">
        <v>195</v>
      </c>
      <c r="Q6" s="9">
        <v>6000</v>
      </c>
      <c r="R6" s="9">
        <v>2000</v>
      </c>
      <c r="S6" s="47">
        <v>0</v>
      </c>
      <c r="T6" s="21">
        <f t="shared" si="4"/>
        <v>31000</v>
      </c>
      <c r="U6" s="52">
        <f>IF($J6="","",ROUND(($J6-$J$3)/1000,1)+(_xlfn.RANK.AVG($J6,($J6,$O6,$T6),1)-2)*10)</f>
        <v>-19</v>
      </c>
      <c r="V6" s="53">
        <f>IF($O6="","",ROUND(($O6-$O$3)/1000,1)+(_xlfn.RANK.AVG($O6,($J6,$O6,$T6),1)-2)*10)</f>
        <v>3</v>
      </c>
      <c r="W6" s="54">
        <f>IF($T6="","",ROUND(($T6-$T$3)/1000,1)+(_xlfn.RANK.AVG($T6,($J6,$O6,$T6),1)-2)*10)</f>
        <v>16</v>
      </c>
      <c r="Y6" s="8"/>
      <c r="Z6" s="33"/>
      <c r="AA6" s="26">
        <v>1</v>
      </c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>
        <v>1</v>
      </c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>
        <v>1</v>
      </c>
      <c r="BR6" s="26"/>
      <c r="BS6" s="26">
        <v>4</v>
      </c>
      <c r="BT6" s="30">
        <v>40</v>
      </c>
      <c r="BU6" s="39" t="s">
        <v>200</v>
      </c>
      <c r="BV6" s="40" t="s">
        <v>86</v>
      </c>
      <c r="BW6" s="40" t="s">
        <v>79</v>
      </c>
      <c r="BX6" s="40" t="s">
        <v>202</v>
      </c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194</v>
      </c>
      <c r="F7" s="8" t="s">
        <v>199</v>
      </c>
      <c r="G7" s="9">
        <v>9000</v>
      </c>
      <c r="H7" s="9"/>
      <c r="I7" s="47">
        <v>0</v>
      </c>
      <c r="J7" s="21">
        <f t="shared" si="2"/>
        <v>25000</v>
      </c>
      <c r="K7" s="8" t="s">
        <v>198</v>
      </c>
      <c r="L7" s="9">
        <v>-3000</v>
      </c>
      <c r="M7" s="9"/>
      <c r="N7" s="47">
        <v>0</v>
      </c>
      <c r="O7" s="21">
        <f t="shared" si="3"/>
        <v>25000</v>
      </c>
      <c r="P7" s="8" t="s">
        <v>198</v>
      </c>
      <c r="Q7" s="9">
        <v>-6000</v>
      </c>
      <c r="R7" s="9"/>
      <c r="S7" s="47">
        <v>0</v>
      </c>
      <c r="T7" s="21">
        <f t="shared" si="4"/>
        <v>25000</v>
      </c>
      <c r="U7" s="52">
        <f>IF($J7="","",ROUND(($J7-$J$3)/1000,1)+(_xlfn.RANK.AVG($J7,($J7,$O7,$T7),1)-2)*10)</f>
        <v>0</v>
      </c>
      <c r="V7" s="53">
        <f>IF($O7="","",ROUND(($O7-$O$3)/1000,1)+(_xlfn.RANK.AVG($O7,($J7,$O7,$T7),1)-2)*10)</f>
        <v>0</v>
      </c>
      <c r="W7" s="54">
        <f>IF($T7="","",ROUND(($T7-$T$3)/1000,1)+(_xlfn.RANK.AVG($T7,($J7,$O7,$T7),1)-2)*10)</f>
        <v>0</v>
      </c>
      <c r="Y7" s="8"/>
      <c r="Z7" s="33"/>
      <c r="AA7" s="26">
        <v>1</v>
      </c>
      <c r="AB7" s="26"/>
      <c r="AC7" s="26">
        <v>6</v>
      </c>
      <c r="AD7" s="30" t="s">
        <v>203</v>
      </c>
      <c r="AE7" s="39" t="s">
        <v>200</v>
      </c>
      <c r="AF7" s="40" t="s">
        <v>83</v>
      </c>
      <c r="AG7" s="40" t="s">
        <v>82</v>
      </c>
      <c r="AH7" s="40" t="s">
        <v>80</v>
      </c>
      <c r="AI7" s="40" t="s">
        <v>80</v>
      </c>
      <c r="AJ7" s="40" t="s">
        <v>202</v>
      </c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197</v>
      </c>
      <c r="F8" s="8" t="s">
        <v>196</v>
      </c>
      <c r="G8" s="9">
        <v>-6000</v>
      </c>
      <c r="H8" s="9"/>
      <c r="I8" s="47">
        <v>0</v>
      </c>
      <c r="J8" s="21">
        <f t="shared" si="2"/>
        <v>19000</v>
      </c>
      <c r="K8" s="8"/>
      <c r="L8" s="9"/>
      <c r="M8" s="9"/>
      <c r="N8" s="47"/>
      <c r="O8" s="21">
        <f t="shared" si="3"/>
        <v>25000</v>
      </c>
      <c r="P8" s="8" t="s">
        <v>195</v>
      </c>
      <c r="Q8" s="9">
        <v>6000</v>
      </c>
      <c r="R8" s="9"/>
      <c r="S8" s="47">
        <v>0</v>
      </c>
      <c r="T8" s="21">
        <f t="shared" si="4"/>
        <v>31000</v>
      </c>
      <c r="U8" s="52">
        <f>IF($J8="","",ROUND(($J8-$J$3)/1000,1)+(_xlfn.RANK.AVG($J8,($J8,$O8,$T8),1)-2)*10)</f>
        <v>-16</v>
      </c>
      <c r="V8" s="53">
        <f>IF($O8="","",ROUND(($O8-$O$3)/1000,1)+(_xlfn.RANK.AVG($O8,($J8,$O8,$T8),1)-2)*10)</f>
        <v>0</v>
      </c>
      <c r="W8" s="54">
        <f>IF($T8="","",ROUND(($T8-$T$3)/1000,1)+(_xlfn.RANK.AVG($T8,($J8,$O8,$T8),1)-2)*10)</f>
        <v>16</v>
      </c>
      <c r="Y8" s="8"/>
      <c r="Z8" s="33"/>
      <c r="AA8" s="26"/>
      <c r="AB8" s="26"/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>
        <v>1</v>
      </c>
      <c r="BR8" s="26"/>
      <c r="BS8" s="26">
        <v>5</v>
      </c>
      <c r="BT8" s="30" t="s">
        <v>203</v>
      </c>
      <c r="BU8" s="39" t="s">
        <v>200</v>
      </c>
      <c r="BV8" s="40" t="s">
        <v>204</v>
      </c>
      <c r="BW8" s="40" t="s">
        <v>84</v>
      </c>
      <c r="BX8" s="40" t="s">
        <v>79</v>
      </c>
      <c r="BY8" s="40" t="s">
        <v>79</v>
      </c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201</v>
      </c>
      <c r="F9" s="8" t="s">
        <v>199</v>
      </c>
      <c r="G9" s="9">
        <v>12000</v>
      </c>
      <c r="H9" s="9">
        <v>2000</v>
      </c>
      <c r="I9" s="47">
        <v>0</v>
      </c>
      <c r="J9" s="21">
        <f t="shared" si="2"/>
        <v>33000</v>
      </c>
      <c r="K9" s="8" t="s">
        <v>198</v>
      </c>
      <c r="L9" s="9">
        <v>-8000</v>
      </c>
      <c r="M9" s="9">
        <v>-1000</v>
      </c>
      <c r="N9" s="47">
        <v>0</v>
      </c>
      <c r="O9" s="21">
        <f t="shared" si="3"/>
        <v>16000</v>
      </c>
      <c r="P9" s="8" t="s">
        <v>198</v>
      </c>
      <c r="Q9" s="9">
        <v>-4000</v>
      </c>
      <c r="R9" s="9">
        <v>-1000</v>
      </c>
      <c r="S9" s="47">
        <v>0</v>
      </c>
      <c r="T9" s="21">
        <f t="shared" si="4"/>
        <v>26000</v>
      </c>
      <c r="U9" s="52">
        <f>IF($J9="","",ROUND(($J9-$J$3)/1000,1)+(_xlfn.RANK.AVG($J9,($J9,$O9,$T9),1)-2)*10)</f>
        <v>18</v>
      </c>
      <c r="V9" s="53">
        <f>IF($O9="","",ROUND(($O9-$O$3)/1000,1)+(_xlfn.RANK.AVG($O9,($J9,$O9,$T9),1)-2)*10)</f>
        <v>-19</v>
      </c>
      <c r="W9" s="54">
        <f>IF($T9="","",ROUND(($T9-$T$3)/1000,1)+(_xlfn.RANK.AVG($T9,($J9,$O9,$T9),1)-2)*10)</f>
        <v>1</v>
      </c>
      <c r="Y9" s="8"/>
      <c r="Z9" s="33"/>
      <c r="AA9" s="26">
        <v>1</v>
      </c>
      <c r="AB9" s="26"/>
      <c r="AC9" s="26">
        <v>8</v>
      </c>
      <c r="AD9" s="30" t="s">
        <v>203</v>
      </c>
      <c r="AE9" s="39" t="s">
        <v>200</v>
      </c>
      <c r="AF9" s="40" t="s">
        <v>82</v>
      </c>
      <c r="AG9" s="40" t="s">
        <v>204</v>
      </c>
      <c r="AH9" s="40" t="s">
        <v>104</v>
      </c>
      <c r="AI9" s="40" t="s">
        <v>86</v>
      </c>
      <c r="AJ9" s="40" t="s">
        <v>202</v>
      </c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>
        <v>1</v>
      </c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>
        <v>1</v>
      </c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7"/>
      <c r="J10" s="21" t="str">
        <f t="shared" si="2"/>
        <v/>
      </c>
      <c r="K10" s="8"/>
      <c r="L10" s="9"/>
      <c r="M10" s="9"/>
      <c r="N10" s="47"/>
      <c r="O10" s="21" t="str">
        <f t="shared" si="3"/>
        <v/>
      </c>
      <c r="P10" s="8"/>
      <c r="Q10" s="9"/>
      <c r="R10" s="9"/>
      <c r="S10" s="47"/>
      <c r="T10" s="21" t="str">
        <f t="shared" si="4"/>
        <v/>
      </c>
      <c r="U10" s="52" t="str">
        <f>IF($J10="","",ROUND(($J10-$J$3)/1000,1)+(_xlfn.RANK.AVG($J10,($J10,$O10,$T10),1)-2)*10)</f>
        <v/>
      </c>
      <c r="V10" s="53" t="str">
        <f>IF($O10="","",ROUND(($O10-$O$3)/1000,1)+(_xlfn.RANK.AVG($O10,($J10,$O10,$T10),1)-2)*10)</f>
        <v/>
      </c>
      <c r="W10" s="54" t="str">
        <f>IF($T10="","",ROUND(($T10-$T$3)/1000,1)+(_xlfn.RANK.AVG($T10,($J10,$O10,$T10),1)-2)*10)</f>
        <v/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0658B7F-C33F-4BBB-BA6D-7C8AD66397E8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0FB57-5A8A-479E-99C9-7FD20D320EB5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パパ</v>
      </c>
      <c r="Z1" s="75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75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あやめ</v>
      </c>
      <c r="BP1" s="75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70" t="s">
        <v>20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70" t="s">
        <v>20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70" t="s">
        <v>20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196</v>
      </c>
      <c r="G4" s="9">
        <v>-8000</v>
      </c>
      <c r="H4" s="9"/>
      <c r="I4" s="47">
        <v>0</v>
      </c>
      <c r="J4" s="21">
        <f>IF(COUNTA($F4,$K4,$P4)&gt;0,J3+SUM(G4:I4),"")</f>
        <v>17000</v>
      </c>
      <c r="K4" s="8"/>
      <c r="L4" s="9"/>
      <c r="M4" s="9"/>
      <c r="N4" s="47"/>
      <c r="O4" s="21">
        <f>IF(COUNTA($F4,$K4,$P4)&gt;0,O3+SUM(L4:N4),"")</f>
        <v>25000</v>
      </c>
      <c r="P4" s="8" t="s">
        <v>195</v>
      </c>
      <c r="Q4" s="9">
        <v>8000</v>
      </c>
      <c r="R4" s="9"/>
      <c r="S4" s="47">
        <v>0</v>
      </c>
      <c r="T4" s="21">
        <f>IF(COUNTA($F4,$K4,$P4)&gt;0,T3+SUM(Q4:S4),"")</f>
        <v>33000</v>
      </c>
      <c r="U4" s="52">
        <f>IF($J4="","",ROUND(($J4-$J$3)/1000,1)+(_xlfn.RANK.AVG($J4,($J4,$O4,$T4),1)-2)*10)</f>
        <v>-18</v>
      </c>
      <c r="V4" s="53">
        <f>IF($O4="","",ROUND(($O4-$O$3)/1000,1)+(_xlfn.RANK.AVG($O4,($J4,$O4,$T4),1)-2)*10)</f>
        <v>0</v>
      </c>
      <c r="W4" s="54">
        <f>IF($T4="","",ROUND(($T4-$T$3)/1000,1)+(_xlfn.RANK.AVG($T4,($J4,$O4,$T4),1)-2)*10)</f>
        <v>18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/>
      <c r="AW4" s="26"/>
      <c r="AX4" s="26"/>
      <c r="AY4" s="30"/>
      <c r="AZ4" s="39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>
        <v>1</v>
      </c>
      <c r="BR4" s="26"/>
      <c r="BS4" s="26">
        <v>4</v>
      </c>
      <c r="BT4" s="30">
        <v>30</v>
      </c>
      <c r="BU4" s="39" t="s">
        <v>200</v>
      </c>
      <c r="BV4" s="40" t="s">
        <v>83</v>
      </c>
      <c r="BW4" s="40" t="s">
        <v>204</v>
      </c>
      <c r="BX4" s="40" t="s">
        <v>79</v>
      </c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199</v>
      </c>
      <c r="G5" s="9">
        <v>9000</v>
      </c>
      <c r="H5" s="9"/>
      <c r="I5" s="47">
        <v>1000</v>
      </c>
      <c r="J5" s="21">
        <f t="shared" ref="J5:J30" si="2">IF(COUNTA($F5,$K5,$P5)&gt;0,J4+SUM(G5:I5),"")</f>
        <v>27000</v>
      </c>
      <c r="K5" s="8" t="s">
        <v>198</v>
      </c>
      <c r="L5" s="9">
        <v>-3000</v>
      </c>
      <c r="M5" s="9"/>
      <c r="N5" s="47">
        <v>-500</v>
      </c>
      <c r="O5" s="21">
        <f t="shared" ref="O5:O30" si="3">IF(COUNTA($F5,$K5,$P5)&gt;0,O4+SUM(L5:N5),"")</f>
        <v>21500</v>
      </c>
      <c r="P5" s="8" t="s">
        <v>198</v>
      </c>
      <c r="Q5" s="9">
        <v>-6000</v>
      </c>
      <c r="R5" s="9"/>
      <c r="S5" s="47">
        <v>-500</v>
      </c>
      <c r="T5" s="21">
        <f t="shared" ref="T5:T30" si="4">IF(COUNTA($F5,$K5,$P5)&gt;0,T4+SUM(Q5:S5),"")</f>
        <v>26500</v>
      </c>
      <c r="U5" s="52">
        <f>IF($J5="","",ROUND(($J5-$J$3)/1000,1)+(_xlfn.RANK.AVG($J5,($J5,$O5,$T5),1)-2)*10)</f>
        <v>12</v>
      </c>
      <c r="V5" s="53">
        <f>IF($O5="","",ROUND(($O5-$O$3)/1000,1)+(_xlfn.RANK.AVG($O5,($J5,$O5,$T5),1)-2)*10)</f>
        <v>-13.5</v>
      </c>
      <c r="W5" s="54">
        <f>IF($T5="","",ROUND(($T5-$T$3)/1000,1)+(_xlfn.RANK.AVG($T5,($J5,$O5,$T5),1)-2)*10)</f>
        <v>1.5</v>
      </c>
      <c r="Y5" s="8"/>
      <c r="Z5" s="33"/>
      <c r="AA5" s="26">
        <v>1</v>
      </c>
      <c r="AB5" s="26"/>
      <c r="AC5" s="26">
        <v>7</v>
      </c>
      <c r="AD5" s="30" t="s">
        <v>203</v>
      </c>
      <c r="AE5" s="39" t="s">
        <v>200</v>
      </c>
      <c r="AF5" s="40" t="s">
        <v>82</v>
      </c>
      <c r="AG5" s="40" t="s">
        <v>101</v>
      </c>
      <c r="AH5" s="40" t="s">
        <v>202</v>
      </c>
      <c r="AI5" s="40" t="s">
        <v>80</v>
      </c>
      <c r="AJ5" s="40" t="s">
        <v>80</v>
      </c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/>
      <c r="AW5" s="26"/>
      <c r="AX5" s="26"/>
      <c r="AY5" s="30"/>
      <c r="AZ5" s="39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197</v>
      </c>
      <c r="F6" s="8" t="s">
        <v>198</v>
      </c>
      <c r="G6" s="9">
        <v>-4000</v>
      </c>
      <c r="H6" s="9"/>
      <c r="I6" s="47">
        <v>0</v>
      </c>
      <c r="J6" s="21">
        <f t="shared" si="2"/>
        <v>23000</v>
      </c>
      <c r="K6" s="8" t="s">
        <v>199</v>
      </c>
      <c r="L6" s="9">
        <v>6000</v>
      </c>
      <c r="M6" s="9">
        <v>1000</v>
      </c>
      <c r="N6" s="47">
        <v>0</v>
      </c>
      <c r="O6" s="21">
        <f t="shared" si="3"/>
        <v>28500</v>
      </c>
      <c r="P6" s="8" t="s">
        <v>198</v>
      </c>
      <c r="Q6" s="9">
        <v>-2000</v>
      </c>
      <c r="R6" s="9">
        <v>-1000</v>
      </c>
      <c r="S6" s="47">
        <v>0</v>
      </c>
      <c r="T6" s="21">
        <f t="shared" si="4"/>
        <v>23500</v>
      </c>
      <c r="U6" s="52">
        <f>IF($J6="","",ROUND(($J6-$J$3)/1000,1)+(_xlfn.RANK.AVG($J6,($J6,$O6,$T6),1)-2)*10)</f>
        <v>-12</v>
      </c>
      <c r="V6" s="53">
        <f>IF($O6="","",ROUND(($O6-$O$3)/1000,1)+(_xlfn.RANK.AVG($O6,($J6,$O6,$T6),1)-2)*10)</f>
        <v>13.5</v>
      </c>
      <c r="W6" s="54">
        <f>IF($T6="","",ROUND(($T6-$T$3)/1000,1)+(_xlfn.RANK.AVG($T6,($J6,$O6,$T6),1)-2)*10)</f>
        <v>-1.5</v>
      </c>
      <c r="Y6" s="8"/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>
        <v>1</v>
      </c>
      <c r="AW6" s="26"/>
      <c r="AX6" s="26">
        <v>4</v>
      </c>
      <c r="AY6" s="30">
        <v>30</v>
      </c>
      <c r="AZ6" s="39" t="s">
        <v>200</v>
      </c>
      <c r="BA6" s="40" t="s">
        <v>82</v>
      </c>
      <c r="BB6" s="40" t="s">
        <v>204</v>
      </c>
      <c r="BC6" s="40" t="s">
        <v>84</v>
      </c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>
        <v>1</v>
      </c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201</v>
      </c>
      <c r="F7" s="8" t="s">
        <v>199</v>
      </c>
      <c r="G7" s="9">
        <v>6000</v>
      </c>
      <c r="H7" s="9">
        <v>1000</v>
      </c>
      <c r="I7" s="47">
        <v>0</v>
      </c>
      <c r="J7" s="21">
        <f t="shared" si="2"/>
        <v>30000</v>
      </c>
      <c r="K7" s="8" t="s">
        <v>198</v>
      </c>
      <c r="L7" s="9">
        <v>-4000</v>
      </c>
      <c r="M7" s="9">
        <v>-1000</v>
      </c>
      <c r="N7" s="47">
        <v>0</v>
      </c>
      <c r="O7" s="21">
        <f t="shared" si="3"/>
        <v>23500</v>
      </c>
      <c r="P7" s="8" t="s">
        <v>198</v>
      </c>
      <c r="Q7" s="9">
        <v>-2000</v>
      </c>
      <c r="R7" s="9"/>
      <c r="S7" s="47">
        <v>0</v>
      </c>
      <c r="T7" s="21">
        <f t="shared" si="4"/>
        <v>21500</v>
      </c>
      <c r="U7" s="52">
        <f>IF($J7="","",ROUND(($J7-$J$3)/1000,1)+(_xlfn.RANK.AVG($J7,($J7,$O7,$T7),1)-2)*10)</f>
        <v>15</v>
      </c>
      <c r="V7" s="53">
        <f>IF($O7="","",ROUND(($O7-$O$3)/1000,1)+(_xlfn.RANK.AVG($O7,($J7,$O7,$T7),1)-2)*10)</f>
        <v>-1.5</v>
      </c>
      <c r="W7" s="54">
        <f>IF($T7="","",ROUND(($T7-$T$3)/1000,1)+(_xlfn.RANK.AVG($T7,($J7,$O7,$T7),1)-2)*10)</f>
        <v>-13.5</v>
      </c>
      <c r="Y7" s="8"/>
      <c r="Z7" s="33"/>
      <c r="AA7" s="26">
        <v>1</v>
      </c>
      <c r="AB7" s="26"/>
      <c r="AC7" s="26">
        <v>4</v>
      </c>
      <c r="AD7" s="30">
        <v>30</v>
      </c>
      <c r="AE7" s="39" t="s">
        <v>200</v>
      </c>
      <c r="AF7" s="40" t="s">
        <v>82</v>
      </c>
      <c r="AG7" s="40" t="s">
        <v>80</v>
      </c>
      <c r="AH7" s="40" t="s">
        <v>202</v>
      </c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>
        <v>1</v>
      </c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>
        <v>1</v>
      </c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194</v>
      </c>
      <c r="F8" s="8"/>
      <c r="G8" s="9"/>
      <c r="H8" s="9"/>
      <c r="I8" s="47"/>
      <c r="J8" s="21">
        <f t="shared" si="2"/>
        <v>30000</v>
      </c>
      <c r="K8" s="8" t="s">
        <v>196</v>
      </c>
      <c r="L8" s="9">
        <v>-3900</v>
      </c>
      <c r="M8" s="9"/>
      <c r="N8" s="47">
        <v>0</v>
      </c>
      <c r="O8" s="21">
        <f t="shared" si="3"/>
        <v>19600</v>
      </c>
      <c r="P8" s="8" t="s">
        <v>195</v>
      </c>
      <c r="Q8" s="9">
        <v>3900</v>
      </c>
      <c r="R8" s="9"/>
      <c r="S8" s="47">
        <v>0</v>
      </c>
      <c r="T8" s="21">
        <f t="shared" si="4"/>
        <v>25400</v>
      </c>
      <c r="U8" s="52">
        <f>IF($J8="","",ROUND(($J8-$J$3)/1000,1)+(_xlfn.RANK.AVG($J8,($J8,$O8,$T8),1)-2)*10)</f>
        <v>15</v>
      </c>
      <c r="V8" s="53">
        <f>IF($O8="","",ROUND(($O8-$O$3)/1000,1)+(_xlfn.RANK.AVG($O8,($J8,$O8,$T8),1)-2)*10)</f>
        <v>-15.4</v>
      </c>
      <c r="W8" s="54">
        <f>IF($T8="","",ROUND(($T8-$T$3)/1000,1)+(_xlfn.RANK.AVG($T8,($J8,$O8,$T8),1)-2)*10)</f>
        <v>0.4</v>
      </c>
      <c r="Y8" s="8"/>
      <c r="Z8" s="33"/>
      <c r="AA8" s="26"/>
      <c r="AB8" s="26">
        <v>1</v>
      </c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>
        <v>1</v>
      </c>
      <c r="BS8" s="26">
        <v>3</v>
      </c>
      <c r="BT8" s="30">
        <v>30</v>
      </c>
      <c r="BU8" s="39" t="s">
        <v>86</v>
      </c>
      <c r="BV8" s="40" t="s">
        <v>98</v>
      </c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194</v>
      </c>
      <c r="F9" s="8" t="s">
        <v>198</v>
      </c>
      <c r="G9" s="9">
        <v>-3000</v>
      </c>
      <c r="H9" s="9">
        <v>-1000</v>
      </c>
      <c r="I9" s="47">
        <v>-500</v>
      </c>
      <c r="J9" s="21">
        <f t="shared" si="2"/>
        <v>25500</v>
      </c>
      <c r="K9" s="8" t="s">
        <v>199</v>
      </c>
      <c r="L9" s="9">
        <v>9000</v>
      </c>
      <c r="M9" s="9">
        <v>1000</v>
      </c>
      <c r="N9" s="47">
        <v>1000</v>
      </c>
      <c r="O9" s="21">
        <f t="shared" si="3"/>
        <v>30600</v>
      </c>
      <c r="P9" s="8" t="s">
        <v>198</v>
      </c>
      <c r="Q9" s="9">
        <v>-6000</v>
      </c>
      <c r="R9" s="9"/>
      <c r="S9" s="47">
        <v>-500</v>
      </c>
      <c r="T9" s="21">
        <f t="shared" si="4"/>
        <v>18900</v>
      </c>
      <c r="U9" s="52">
        <f>IF($J9="","",ROUND(($J9-$J$3)/1000,1)+(_xlfn.RANK.AVG($J9,($J9,$O9,$T9),1)-2)*10)</f>
        <v>0.5</v>
      </c>
      <c r="V9" s="53">
        <f>IF($O9="","",ROUND(($O9-$O$3)/1000,1)+(_xlfn.RANK.AVG($O9,($J9,$O9,$T9),1)-2)*10)</f>
        <v>15.6</v>
      </c>
      <c r="W9" s="54">
        <f>IF($T9="","",ROUND(($T9-$T$3)/1000,1)+(_xlfn.RANK.AVG($T9,($J9,$O9,$T9),1)-2)*10)</f>
        <v>-16.100000000000001</v>
      </c>
      <c r="Y9" s="8"/>
      <c r="Z9" s="33"/>
      <c r="AA9" s="26">
        <v>1</v>
      </c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>
        <v>1</v>
      </c>
      <c r="AW9" s="26"/>
      <c r="AX9" s="26">
        <v>6</v>
      </c>
      <c r="AY9" s="30" t="s">
        <v>203</v>
      </c>
      <c r="AZ9" s="39" t="s">
        <v>200</v>
      </c>
      <c r="BA9" s="40" t="s">
        <v>82</v>
      </c>
      <c r="BB9" s="40" t="s">
        <v>86</v>
      </c>
      <c r="BC9" s="40" t="s">
        <v>96</v>
      </c>
      <c r="BD9" s="40" t="s">
        <v>79</v>
      </c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197</v>
      </c>
      <c r="F10" s="8" t="s">
        <v>199</v>
      </c>
      <c r="G10" s="9">
        <v>12000</v>
      </c>
      <c r="H10" s="9"/>
      <c r="I10" s="47">
        <v>0</v>
      </c>
      <c r="J10" s="21">
        <f t="shared" si="2"/>
        <v>37500</v>
      </c>
      <c r="K10" s="8" t="s">
        <v>198</v>
      </c>
      <c r="L10" s="9">
        <v>-6000</v>
      </c>
      <c r="M10" s="9"/>
      <c r="N10" s="47">
        <v>0</v>
      </c>
      <c r="O10" s="21">
        <f t="shared" si="3"/>
        <v>24600</v>
      </c>
      <c r="P10" s="8" t="s">
        <v>198</v>
      </c>
      <c r="Q10" s="9">
        <v>-6000</v>
      </c>
      <c r="R10" s="9"/>
      <c r="S10" s="47">
        <v>0</v>
      </c>
      <c r="T10" s="21">
        <f t="shared" si="4"/>
        <v>12900</v>
      </c>
      <c r="U10" s="52">
        <f>IF($J10="","",ROUND(($J10-$J$3)/1000,1)+(_xlfn.RANK.AVG($J10,($J10,$O10,$T10),1)-2)*10)</f>
        <v>22.5</v>
      </c>
      <c r="V10" s="53">
        <f>IF($O10="","",ROUND(($O10-$O$3)/1000,1)+(_xlfn.RANK.AVG($O10,($J10,$O10,$T10),1)-2)*10)</f>
        <v>-0.4</v>
      </c>
      <c r="W10" s="54">
        <f>IF($T10="","",ROUND(($T10-$T$3)/1000,1)+(_xlfn.RANK.AVG($T10,($J10,$O10,$T10),1)-2)*10)</f>
        <v>-22.1</v>
      </c>
      <c r="Y10" s="8"/>
      <c r="Z10" s="33"/>
      <c r="AA10" s="26">
        <v>1</v>
      </c>
      <c r="AB10" s="26"/>
      <c r="AC10" s="26">
        <v>6</v>
      </c>
      <c r="AD10" s="30" t="s">
        <v>203</v>
      </c>
      <c r="AE10" s="39" t="s">
        <v>200</v>
      </c>
      <c r="AF10" s="40" t="s">
        <v>82</v>
      </c>
      <c r="AG10" s="40" t="s">
        <v>86</v>
      </c>
      <c r="AH10" s="40" t="s">
        <v>79</v>
      </c>
      <c r="AI10" s="40" t="s">
        <v>79</v>
      </c>
      <c r="AJ10" s="40" t="s">
        <v>79</v>
      </c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197</v>
      </c>
      <c r="F11" s="8" t="s">
        <v>195</v>
      </c>
      <c r="G11" s="9">
        <v>8000</v>
      </c>
      <c r="H11" s="9">
        <v>1000</v>
      </c>
      <c r="I11" s="47">
        <v>1000</v>
      </c>
      <c r="J11" s="21">
        <f t="shared" si="2"/>
        <v>47500</v>
      </c>
      <c r="K11" s="8"/>
      <c r="L11" s="9"/>
      <c r="M11" s="9">
        <v>-1000</v>
      </c>
      <c r="N11" s="47"/>
      <c r="O11" s="21">
        <f t="shared" si="3"/>
        <v>23600</v>
      </c>
      <c r="P11" s="8" t="s">
        <v>196</v>
      </c>
      <c r="Q11" s="9">
        <v>-8000</v>
      </c>
      <c r="R11" s="9"/>
      <c r="S11" s="47">
        <v>-1000</v>
      </c>
      <c r="T11" s="21">
        <f t="shared" si="4"/>
        <v>3900</v>
      </c>
      <c r="U11" s="52">
        <f>IF($J11="","",ROUND(($J11-$J$3)/1000,1)+(_xlfn.RANK.AVG($J11,($J11,$O11,$T11),1)-2)*10)</f>
        <v>32.5</v>
      </c>
      <c r="V11" s="53">
        <f>IF($O11="","",ROUND(($O11-$O$3)/1000,1)+(_xlfn.RANK.AVG($O11,($J11,$O11,$T11),1)-2)*10)</f>
        <v>-1.4</v>
      </c>
      <c r="W11" s="54">
        <f>IF($T11="","",ROUND(($T11-$T$3)/1000,1)+(_xlfn.RANK.AVG($T11,($J11,$O11,$T11),1)-2)*10)</f>
        <v>-31.1</v>
      </c>
      <c r="Y11" s="8"/>
      <c r="Z11" s="33"/>
      <c r="AA11" s="26"/>
      <c r="AB11" s="26">
        <v>1</v>
      </c>
      <c r="AC11" s="26">
        <v>4</v>
      </c>
      <c r="AD11" s="30">
        <v>30</v>
      </c>
      <c r="AE11" s="39" t="s">
        <v>86</v>
      </c>
      <c r="AF11" s="40" t="s">
        <v>104</v>
      </c>
      <c r="AG11" s="40" t="s">
        <v>79</v>
      </c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>
        <v>1</v>
      </c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197</v>
      </c>
      <c r="F12" s="8" t="s">
        <v>207</v>
      </c>
      <c r="G12" s="9">
        <v>-1000</v>
      </c>
      <c r="H12" s="9"/>
      <c r="I12" s="47"/>
      <c r="J12" s="21">
        <f t="shared" si="2"/>
        <v>46500</v>
      </c>
      <c r="K12" s="8" t="s">
        <v>207</v>
      </c>
      <c r="L12" s="9">
        <v>-1000</v>
      </c>
      <c r="M12" s="9"/>
      <c r="N12" s="47"/>
      <c r="O12" s="21">
        <f t="shared" si="3"/>
        <v>22600</v>
      </c>
      <c r="P12" s="8" t="s">
        <v>207</v>
      </c>
      <c r="Q12" s="9">
        <v>2000</v>
      </c>
      <c r="R12" s="9">
        <v>-1000</v>
      </c>
      <c r="S12" s="47"/>
      <c r="T12" s="21">
        <f t="shared" si="4"/>
        <v>4900</v>
      </c>
      <c r="U12" s="52">
        <f>IF($J12="","",ROUND(($J12-$J$3)/1000,1)+(_xlfn.RANK.AVG($J12,($J12,$O12,$T12),1)-2)*10)</f>
        <v>31.5</v>
      </c>
      <c r="V12" s="53">
        <f>IF($O12="","",ROUND(($O12-$O$3)/1000,1)+(_xlfn.RANK.AVG($O12,($J12,$O12,$T12),1)-2)*10)</f>
        <v>-2.4</v>
      </c>
      <c r="W12" s="54">
        <f>IF($T12="","",ROUND(($T12-$T$3)/1000,1)+(_xlfn.RANK.AVG($T12,($J12,$O12,$T12),1)-2)*10)</f>
        <v>-30.1</v>
      </c>
      <c r="Y12" s="8" t="s">
        <v>205</v>
      </c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 t="s">
        <v>205</v>
      </c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 t="s">
        <v>206</v>
      </c>
      <c r="BP12" s="33"/>
      <c r="BQ12" s="26">
        <v>1</v>
      </c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3</v>
      </c>
      <c r="D13" s="18">
        <f t="shared" si="1"/>
        <v>1</v>
      </c>
      <c r="E13" s="4" t="s">
        <v>201</v>
      </c>
      <c r="F13" s="8" t="s">
        <v>196</v>
      </c>
      <c r="G13" s="9">
        <v>-9000</v>
      </c>
      <c r="H13" s="9"/>
      <c r="I13" s="47">
        <v>-3000</v>
      </c>
      <c r="J13" s="21">
        <f t="shared" si="2"/>
        <v>34500</v>
      </c>
      <c r="K13" s="8"/>
      <c r="L13" s="9"/>
      <c r="M13" s="9"/>
      <c r="N13" s="47"/>
      <c r="O13" s="21">
        <f t="shared" si="3"/>
        <v>22600</v>
      </c>
      <c r="P13" s="8" t="s">
        <v>195</v>
      </c>
      <c r="Q13" s="9">
        <v>9000</v>
      </c>
      <c r="R13" s="9">
        <v>1000</v>
      </c>
      <c r="S13" s="47">
        <v>3000</v>
      </c>
      <c r="T13" s="21">
        <f t="shared" si="4"/>
        <v>17900</v>
      </c>
      <c r="U13" s="52">
        <f>IF($J13="","",ROUND(($J13-$J$3)/1000,1)+(_xlfn.RANK.AVG($J13,($J13,$O13,$T13),1)-2)*10)</f>
        <v>19.5</v>
      </c>
      <c r="V13" s="53">
        <f>IF($O13="","",ROUND(($O13-$O$3)/1000,1)+(_xlfn.RANK.AVG($O13,($J13,$O13,$T13),1)-2)*10)</f>
        <v>-2.4</v>
      </c>
      <c r="W13" s="54">
        <f>IF($T13="","",ROUND(($T13-$T$3)/1000,1)+(_xlfn.RANK.AVG($T13,($J13,$O13,$T13),1)-2)*10)</f>
        <v>-17.100000000000001</v>
      </c>
      <c r="Y13" s="8"/>
      <c r="Z13" s="33"/>
      <c r="AA13" s="26"/>
      <c r="AB13" s="26">
        <v>1</v>
      </c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>
        <v>1</v>
      </c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>
        <v>1</v>
      </c>
      <c r="BS13" s="26">
        <v>7</v>
      </c>
      <c r="BT13" s="30" t="s">
        <v>203</v>
      </c>
      <c r="BU13" s="39" t="s">
        <v>98</v>
      </c>
      <c r="BV13" s="40" t="s">
        <v>100</v>
      </c>
      <c r="BW13" s="40" t="s">
        <v>86</v>
      </c>
      <c r="BX13" s="40" t="s">
        <v>86</v>
      </c>
      <c r="BY13" s="40" t="s">
        <v>86</v>
      </c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194</v>
      </c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740CC9BF-C065-48F6-BD0A-C289155D35DE}">
      <formula1>"パパ,だいち,あやめ,"</formula1>
    </dataValidation>
    <dataValidation type="list" showInputMessage="1" showErrorMessage="1" sqref="K4:K30 P4:P30 F4:F30" xr:uid="{B21D55DD-1EA8-4135-B789-E8D88C9EF8D4}">
      <formula1>"ロン,ツモ,放銃,ツモ支払,流局,チョンボ"</formula1>
    </dataValidation>
    <dataValidation type="list" allowBlank="1" showInputMessage="1" showErrorMessage="1" sqref="E4:E30" xr:uid="{35DE8634-0427-4287-836D-1B855320C1F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-4000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6000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6000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6000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6000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-4000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-4000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2020-05-30T11:53:04Z</dcterms:modified>
</cp:coreProperties>
</file>