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6C1769F9-B9E6-4B9F-A336-0D594C1331EE}" xr6:coauthVersionLast="45" xr6:coauthVersionMax="45" xr10:uidLastSave="{00000000-0000-0000-0000-000000000000}"/>
  <bookViews>
    <workbookView xWindow="-108" yWindow="-108" windowWidth="23256" windowHeight="12720" xr2:uid="{104DD447-7576-4543-B2BB-CF60142807AB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6" i="1" l="1"/>
  <c r="D6" i="1"/>
  <c r="E6" i="1"/>
  <c r="B2" i="1" l="1"/>
  <c r="B3" i="1" l="1"/>
  <c r="D7" i="1"/>
  <c r="C7" i="1"/>
  <c r="E7" i="1"/>
  <c r="E5" i="1" l="1"/>
  <c r="C5" i="1"/>
  <c r="D5" i="1"/>
  <c r="D8" i="1"/>
  <c r="E8" i="1"/>
  <c r="C8" i="1"/>
</calcChain>
</file>

<file path=xl/sharedStrings.xml><?xml version="1.0" encoding="utf-8"?>
<sst xmlns="http://schemas.openxmlformats.org/spreadsheetml/2006/main" count="4" uniqueCount="4">
  <si>
    <t>順位</t>
    <rPh sb="0" eb="2">
      <t>ジュンイ</t>
    </rPh>
    <phoneticPr fontId="1"/>
  </si>
  <si>
    <t>名前</t>
    <rPh sb="0" eb="2">
      <t>ナマエ</t>
    </rPh>
    <phoneticPr fontId="1"/>
  </si>
  <si>
    <t>点数</t>
    <rPh sb="0" eb="2">
      <t>テンスウ</t>
    </rPh>
    <phoneticPr fontId="1"/>
  </si>
  <si>
    <t>スコア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</si>
</sst>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4" fillId="0" borderId="10" xfId="0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176" fontId="3" fillId="0" borderId="7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177" fontId="3" fillId="0" borderId="9" xfId="0" applyNumberFormat="1" applyFont="1" applyBorder="1" applyAlignment="1">
      <alignment horizontal="center" vertical="center" shrinkToFit="1"/>
    </xf>
    <xf numFmtId="177" fontId="3" fillId="0" borderId="5" xfId="0" applyNumberFormat="1" applyFont="1" applyBorder="1" applyAlignment="1">
      <alignment horizontal="center" vertical="center" shrinkToFit="1"/>
    </xf>
    <xf numFmtId="177" fontId="3" fillId="0" borderId="6" xfId="0" applyNumberFormat="1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79" zoomScaleNormal="85" workbookViewId="0"/>
  </sheetViews>
  <sheetFormatPr defaultRowHeight="18" x14ac:dyDescent="0.45"/>
  <cols>
    <col min="1" max="1" width="1" customWidth="1"/>
    <col min="2" max="2" width="23.5" customWidth="1"/>
    <col min="3" max="5" width="70.59765625" customWidth="1"/>
  </cols>
  <sheetData>
    <row r="1" spans="2:5" ht="13.5" customHeight="1" x14ac:dyDescent="0.45"/>
    <row r="2" spans="2:5" ht="123.75" customHeight="1" x14ac:dyDescent="0.45">
      <c r="B2" s="17" t="str">
        <f ca="1">MJINFO(MJFILE(),1)&amp;MJINFO(MJFILE(),2)&amp;"局"</f>
        <v>東1局</v>
      </c>
      <c r="C2" s="17"/>
      <c r="D2" s="17"/>
      <c r="E2" s="17"/>
    </row>
    <row r="3" spans="2:5" ht="76.5" customHeight="1" x14ac:dyDescent="0.45">
      <c r="B3" s="16" t="str">
        <f ca="1">""&amp;MJINFO(MJFILE(),3)&amp;"本場 供託"&amp;MJINFO(MJFILE(),4)</f>
        <v>3本場 供託0</v>
      </c>
      <c r="C3" s="16"/>
      <c r="D3" s="16"/>
      <c r="E3" s="16"/>
    </row>
    <row r="4" spans="2:5" ht="18.600000000000001" thickBot="1" x14ac:dyDescent="0.5"/>
    <row r="5" spans="2:5" ht="97.5" customHeight="1" x14ac:dyDescent="0.45">
      <c r="B5" s="1" t="s">
        <v>0</v>
      </c>
      <c r="C5" s="7">
        <f ca="1">_xlfn.RANK.EQ(C$7,$C$7:$E$7)</f>
        <v>1</v>
      </c>
      <c r="D5" s="8">
        <f ca="1">_xlfn.RANK.EQ(D$7,$C$7:$E$7)</f>
        <v>3</v>
      </c>
      <c r="E5" s="9">
        <f ca="1">_xlfn.RANK.EQ(E$7,$C$7:$E$7)</f>
        <v>2</v>
      </c>
    </row>
    <row r="6" spans="2:5" ht="154.5" customHeight="1" x14ac:dyDescent="0.45">
      <c r="B6" s="2" t="s">
        <v>1</v>
      </c>
      <c r="C6" s="3" t="str">
        <f ca="1">NAME(MJFILE(),0)</f>
        <v>ただ</v>
      </c>
      <c r="D6" s="4" t="str">
        <f ca="1">NAME(MJFILE(),1)</f>
        <v>だいち</v>
      </c>
      <c r="E6" s="5" t="str">
        <f ca="1">NAME(MJFILE(),2)</f>
        <v>まっつん</v>
      </c>
    </row>
    <row r="7" spans="2:5" ht="154.5" customHeight="1" x14ac:dyDescent="0.45">
      <c r="B7" s="2" t="s">
        <v>2</v>
      </c>
      <c r="C7" s="10">
        <f ca="1">point(MJFILE(),0)</f>
        <v>54500</v>
      </c>
      <c r="D7" s="11">
        <f ca="1">point(MJFILE(),1)</f>
        <v>16500</v>
      </c>
      <c r="E7" s="12">
        <f ca="1">point(MJFILE(),2)</f>
        <v>34000</v>
      </c>
    </row>
    <row r="8" spans="2:5" ht="97.5" customHeight="1" thickBot="1" x14ac:dyDescent="0.5">
      <c r="B8" s="6" t="s">
        <v>3</v>
      </c>
      <c r="C8" s="13">
        <f ca="1">score(MJFILE(),0)</f>
        <v>29.5</v>
      </c>
      <c r="D8" s="14">
        <f ca="1">score(MJFILE(),1)</f>
        <v>-28.5</v>
      </c>
      <c r="E8" s="15">
        <f ca="1">score(MJFILE(),2)</f>
        <v>-1</v>
      </c>
    </row>
  </sheetData>
  <mergeCells count="2">
    <mergeCell ref="B3:E3"/>
    <mergeCell ref="B2:E2"/>
  </mergeCells>
  <phoneticPr fontId="1"/>
  <conditionalFormatting sqref="C5:E8">
    <cfRule type="expression" dxfId="0" priority="1">
      <formula>MJINFO(MJFILE(),5)=C$6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2020-10-21T06:10:29Z</dcterms:modified>
</cp:coreProperties>
</file>