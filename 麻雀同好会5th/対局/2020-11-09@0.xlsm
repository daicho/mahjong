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B07AF4E3-62A6-4C65-84AA-710DDCF8B412}" xr6:coauthVersionLast="45" xr6:coauthVersionMax="45" xr10:uidLastSave="{00000000-0000-0000-0000-000000000000}"/>
  <bookViews>
    <workbookView xWindow="-108" yWindow="-108" windowWidth="23256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3" r:id="rId4"/>
    <sheet name="Sheet5" sheetId="24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4" l="1"/>
  <c r="E12" i="24"/>
  <c r="E11" i="24"/>
  <c r="E10" i="24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 s="1"/>
  <c r="T12" i="24"/>
  <c r="O12" i="24"/>
  <c r="V12" i="24" s="1"/>
  <c r="J12" i="24"/>
  <c r="D12" i="24"/>
  <c r="C12" i="24"/>
  <c r="B12" i="24"/>
  <c r="A12" i="24" s="1"/>
  <c r="T11" i="24"/>
  <c r="O11" i="24"/>
  <c r="J11" i="24"/>
  <c r="U11" i="24" s="1"/>
  <c r="D11" i="24"/>
  <c r="C11" i="24"/>
  <c r="B11" i="24"/>
  <c r="A11" i="24" s="1"/>
  <c r="C10" i="24"/>
  <c r="D8" i="24"/>
  <c r="C8" i="24"/>
  <c r="D7" i="24"/>
  <c r="C7" i="24"/>
  <c r="J6" i="24"/>
  <c r="J7" i="24" s="1"/>
  <c r="J5" i="24"/>
  <c r="D5" i="24"/>
  <c r="T4" i="24"/>
  <c r="T5" i="24" s="1"/>
  <c r="O4" i="24"/>
  <c r="O5" i="24" s="1"/>
  <c r="J4" i="24"/>
  <c r="E4" i="24"/>
  <c r="W3" i="24"/>
  <c r="V3" i="24"/>
  <c r="U3" i="24"/>
  <c r="W2" i="24"/>
  <c r="V2" i="24"/>
  <c r="U2" i="24"/>
  <c r="BO1" i="24"/>
  <c r="AT1" i="24"/>
  <c r="Y1" i="24"/>
  <c r="D11" i="23"/>
  <c r="E10" i="23"/>
  <c r="D10" i="23" s="1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 s="1"/>
  <c r="D7" i="23"/>
  <c r="T5" i="23"/>
  <c r="O5" i="23"/>
  <c r="O6" i="23" s="1"/>
  <c r="T4" i="23"/>
  <c r="O4" i="23"/>
  <c r="J4" i="23"/>
  <c r="J5" i="23" s="1"/>
  <c r="E4" i="23"/>
  <c r="W3" i="23"/>
  <c r="V3" i="23"/>
  <c r="U3" i="23"/>
  <c r="W2" i="23"/>
  <c r="V2" i="23"/>
  <c r="U2" i="23"/>
  <c r="BO1" i="23"/>
  <c r="AT1" i="23"/>
  <c r="Y1" i="23"/>
  <c r="W12" i="24" l="1"/>
  <c r="U12" i="24"/>
  <c r="V11" i="24"/>
  <c r="W11" i="24"/>
  <c r="U5" i="24"/>
  <c r="O6" i="24"/>
  <c r="V5" i="24"/>
  <c r="T6" i="24"/>
  <c r="W5" i="24"/>
  <c r="J8" i="24"/>
  <c r="B5" i="24"/>
  <c r="B6" i="24" s="1"/>
  <c r="C5" i="24"/>
  <c r="D10" i="24"/>
  <c r="U4" i="24"/>
  <c r="C6" i="24"/>
  <c r="V4" i="24"/>
  <c r="D6" i="24"/>
  <c r="C9" i="24"/>
  <c r="W4" i="24"/>
  <c r="D9" i="24"/>
  <c r="C5" i="23"/>
  <c r="C6" i="23" s="1"/>
  <c r="C7" i="23" s="1"/>
  <c r="W5" i="23"/>
  <c r="V4" i="23"/>
  <c r="W4" i="23"/>
  <c r="O7" i="23"/>
  <c r="J6" i="23"/>
  <c r="U5" i="23"/>
  <c r="T6" i="23"/>
  <c r="D5" i="23"/>
  <c r="D6" i="23" s="1"/>
  <c r="C8" i="23"/>
  <c r="C9" i="23" s="1"/>
  <c r="C10" i="23" s="1"/>
  <c r="C11" i="23" s="1"/>
  <c r="B5" i="23"/>
  <c r="A5" i="23" s="1"/>
  <c r="V5" i="23"/>
  <c r="D8" i="23"/>
  <c r="D9" i="23" s="1"/>
  <c r="U4" i="23"/>
  <c r="E11" i="21"/>
  <c r="E10" i="21"/>
  <c r="D10" i="21" s="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D11" i="21"/>
  <c r="D9" i="21"/>
  <c r="T7" i="21"/>
  <c r="T8" i="21" s="1"/>
  <c r="C7" i="21"/>
  <c r="D7" i="21"/>
  <c r="T6" i="21"/>
  <c r="O6" i="21"/>
  <c r="O7" i="21" s="1"/>
  <c r="D6" i="21"/>
  <c r="T5" i="21"/>
  <c r="O5" i="21"/>
  <c r="J5" i="21"/>
  <c r="D5" i="21"/>
  <c r="T4" i="21"/>
  <c r="O4" i="21"/>
  <c r="J4" i="21"/>
  <c r="E4" i="21"/>
  <c r="C5" i="21" s="1"/>
  <c r="C6" i="21" s="1"/>
  <c r="W3" i="21"/>
  <c r="V3" i="21"/>
  <c r="U3" i="21"/>
  <c r="W2" i="21"/>
  <c r="V2" i="21"/>
  <c r="U2" i="21"/>
  <c r="BO1" i="21"/>
  <c r="AT1" i="21"/>
  <c r="Y1" i="21"/>
  <c r="B7" i="24" l="1"/>
  <c r="A7" i="24" s="1"/>
  <c r="J9" i="24"/>
  <c r="O7" i="24"/>
  <c r="V6" i="24"/>
  <c r="U6" i="24"/>
  <c r="A5" i="24"/>
  <c r="A6" i="24"/>
  <c r="T7" i="24"/>
  <c r="W6" i="24"/>
  <c r="B6" i="23"/>
  <c r="B7" i="23" s="1"/>
  <c r="B8" i="23" s="1"/>
  <c r="T7" i="23"/>
  <c r="W6" i="23"/>
  <c r="J7" i="23"/>
  <c r="V7" i="23" s="1"/>
  <c r="U6" i="23"/>
  <c r="V6" i="23"/>
  <c r="O8" i="23"/>
  <c r="C10" i="21"/>
  <c r="V4" i="21"/>
  <c r="W4" i="21"/>
  <c r="W5" i="21"/>
  <c r="U4" i="21"/>
  <c r="O8" i="21"/>
  <c r="T9" i="21"/>
  <c r="B5" i="21"/>
  <c r="A5" i="21" s="1"/>
  <c r="C8" i="21"/>
  <c r="D8" i="21"/>
  <c r="C11" i="21"/>
  <c r="C9" i="21"/>
  <c r="C12" i="21"/>
  <c r="U5" i="21"/>
  <c r="J6" i="21"/>
  <c r="V5" i="21"/>
  <c r="B8" i="24" l="1"/>
  <c r="J10" i="24"/>
  <c r="O8" i="24"/>
  <c r="V7" i="24"/>
  <c r="U7" i="24"/>
  <c r="W7" i="24"/>
  <c r="T8" i="24"/>
  <c r="A6" i="23"/>
  <c r="A7" i="23" s="1"/>
  <c r="A8" i="23" s="1"/>
  <c r="O9" i="23"/>
  <c r="J8" i="23"/>
  <c r="V8" i="23" s="1"/>
  <c r="U7" i="23"/>
  <c r="B9" i="23"/>
  <c r="T8" i="23"/>
  <c r="W7" i="23"/>
  <c r="B6" i="21"/>
  <c r="A6" i="21" s="1"/>
  <c r="U6" i="21"/>
  <c r="W6" i="21"/>
  <c r="J7" i="21"/>
  <c r="V6" i="21"/>
  <c r="O9" i="21"/>
  <c r="T10" i="21"/>
  <c r="B9" i="24" l="1"/>
  <c r="A9" i="24" s="1"/>
  <c r="T9" i="24"/>
  <c r="W8" i="24"/>
  <c r="A8" i="24"/>
  <c r="O9" i="24"/>
  <c r="V8" i="24"/>
  <c r="U8" i="24"/>
  <c r="T9" i="23"/>
  <c r="W8" i="23"/>
  <c r="B10" i="23"/>
  <c r="A9" i="23"/>
  <c r="O10" i="23"/>
  <c r="J9" i="23"/>
  <c r="U8" i="23"/>
  <c r="B7" i="21"/>
  <c r="A7" i="21" s="1"/>
  <c r="T11" i="21"/>
  <c r="O10" i="21"/>
  <c r="J8" i="21"/>
  <c r="U7" i="21"/>
  <c r="V7" i="21"/>
  <c r="W7" i="21"/>
  <c r="B10" i="24" l="1"/>
  <c r="A10" i="24" s="1"/>
  <c r="V9" i="24"/>
  <c r="O10" i="24"/>
  <c r="U9" i="24"/>
  <c r="T10" i="24"/>
  <c r="W10" i="24" s="1"/>
  <c r="W9" i="24"/>
  <c r="V9" i="23"/>
  <c r="W9" i="23"/>
  <c r="T10" i="23"/>
  <c r="J10" i="23"/>
  <c r="U9" i="23"/>
  <c r="O11" i="23"/>
  <c r="B11" i="23"/>
  <c r="A10" i="23"/>
  <c r="B8" i="21"/>
  <c r="A8" i="21" s="1"/>
  <c r="J9" i="21"/>
  <c r="U8" i="21"/>
  <c r="W8" i="21"/>
  <c r="V8" i="21"/>
  <c r="O11" i="21"/>
  <c r="T12" i="21"/>
  <c r="V10" i="24" l="1"/>
  <c r="U10" i="24"/>
  <c r="A11" i="23"/>
  <c r="W10" i="23"/>
  <c r="T11" i="23"/>
  <c r="V10" i="23"/>
  <c r="J11" i="23"/>
  <c r="U10" i="23"/>
  <c r="B9" i="21"/>
  <c r="A9" i="21" s="1"/>
  <c r="O12" i="21"/>
  <c r="J10" i="21"/>
  <c r="U9" i="21"/>
  <c r="W9" i="21"/>
  <c r="V9" i="21"/>
  <c r="W11" i="23" l="1"/>
  <c r="U11" i="23"/>
  <c r="V11" i="23"/>
  <c r="B10" i="21"/>
  <c r="J11" i="21"/>
  <c r="U10" i="21"/>
  <c r="W10" i="21"/>
  <c r="V10" i="21"/>
  <c r="B11" i="21" l="1"/>
  <c r="A11" i="21" s="1"/>
  <c r="A10" i="21"/>
  <c r="U11" i="21"/>
  <c r="J12" i="21"/>
  <c r="W11" i="21"/>
  <c r="V11" i="21"/>
  <c r="U12" i="21" l="1"/>
  <c r="W12" i="21"/>
  <c r="V12" i="21"/>
  <c r="B12" i="21"/>
  <c r="A12" i="21" s="1"/>
  <c r="E12" i="20" l="1"/>
  <c r="E11" i="20"/>
  <c r="E10" i="20"/>
  <c r="E9" i="20"/>
  <c r="E8" i="20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J12" i="20"/>
  <c r="D12" i="20"/>
  <c r="C12" i="20"/>
  <c r="B12" i="20"/>
  <c r="A12" i="20" s="1"/>
  <c r="C11" i="20"/>
  <c r="D11" i="20"/>
  <c r="D10" i="20"/>
  <c r="C10" i="20"/>
  <c r="C7" i="20"/>
  <c r="D7" i="20"/>
  <c r="O6" i="20"/>
  <c r="O7" i="20" s="1"/>
  <c r="O5" i="20"/>
  <c r="J5" i="20"/>
  <c r="T4" i="20"/>
  <c r="T5" i="20" s="1"/>
  <c r="O4" i="20"/>
  <c r="V4" i="20" s="1"/>
  <c r="J4" i="20"/>
  <c r="E4" i="20"/>
  <c r="C5" i="20" s="1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U12" i="20" l="1"/>
  <c r="W12" i="20"/>
  <c r="V12" i="20"/>
  <c r="C6" i="20"/>
  <c r="U4" i="20"/>
  <c r="V5" i="20"/>
  <c r="W5" i="20"/>
  <c r="T6" i="20"/>
  <c r="O8" i="20"/>
  <c r="B5" i="20"/>
  <c r="D5" i="20"/>
  <c r="C8" i="20"/>
  <c r="B6" i="20"/>
  <c r="D8" i="20"/>
  <c r="C9" i="20"/>
  <c r="W4" i="20"/>
  <c r="B7" i="20"/>
  <c r="B8" i="20" s="1"/>
  <c r="D9" i="20"/>
  <c r="U5" i="20"/>
  <c r="J6" i="20"/>
  <c r="V6" i="20" s="1"/>
  <c r="E4" i="19"/>
  <c r="A6" i="20" l="1"/>
  <c r="A7" i="20" s="1"/>
  <c r="A8" i="20" s="1"/>
  <c r="B9" i="20"/>
  <c r="O9" i="20"/>
  <c r="W6" i="20"/>
  <c r="T7" i="20"/>
  <c r="A5" i="20"/>
  <c r="J7" i="20"/>
  <c r="U6" i="20"/>
  <c r="W3" i="19"/>
  <c r="V3" i="19"/>
  <c r="U3" i="19"/>
  <c r="A9" i="20" l="1"/>
  <c r="T8" i="20"/>
  <c r="W7" i="20"/>
  <c r="O10" i="20"/>
  <c r="J8" i="20"/>
  <c r="U7" i="20"/>
  <c r="V7" i="20"/>
  <c r="B10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1" i="20" l="1"/>
  <c r="A11" i="20" s="1"/>
  <c r="T9" i="20"/>
  <c r="W8" i="20"/>
  <c r="A10" i="20"/>
  <c r="J9" i="20"/>
  <c r="U8" i="20"/>
  <c r="V8" i="20"/>
  <c r="O11" i="20"/>
  <c r="W11" i="19"/>
  <c r="V11" i="19"/>
  <c r="U10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10" i="20" l="1"/>
  <c r="W9" i="20"/>
  <c r="J10" i="20"/>
  <c r="U9" i="20"/>
  <c r="V9" i="20"/>
  <c r="W5" i="19"/>
  <c r="V5" i="19"/>
  <c r="U5" i="19"/>
  <c r="T11" i="20" l="1"/>
  <c r="W10" i="20"/>
  <c r="J11" i="20"/>
  <c r="U10" i="20"/>
  <c r="V10" i="20"/>
  <c r="U11" i="20" l="1"/>
  <c r="V11" i="20"/>
  <c r="W11" i="20"/>
</calcChain>
</file>

<file path=xl/sharedStrings.xml><?xml version="1.0" encoding="utf-8"?>
<sst xmlns="http://schemas.openxmlformats.org/spreadsheetml/2006/main" count="980" uniqueCount="207">
  <si>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</si>
  <si>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</si>
  <si>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</si>
  <si>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</si>
  <si>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</si>
  <si>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</si>
  <si>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</si>
  <si>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</si>
  <si>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</si>
  <si>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</si>
  <si>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</si>
  <si>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</si>
  <si>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</si>
  <si>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</si>
  <si>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</si>
  <si>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</si>
  <si>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</si>
  <si>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</si>
  <si>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</si>
  <si>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</si>
  <si>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</si>
  <si>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</si>
  <si>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</si>
  <si>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</si>
  <si>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</si>
  <si>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</si>
  <si>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</si>
  <si>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</si>
  <si>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</si>
  <si>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</si>
  <si>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</si>
  <si>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</si>
  <si>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</si>
  <si>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</si>
  <si>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</si>
  <si>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</si>
  <si>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</si>
  <si>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</si>
  <si>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</si>
  <si>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</si>
  <si>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</si>
  <si>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</si>
  <si>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</si>
  <si>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</si>
  <si>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</si>
  <si>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</si>
  <si>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</si>
  <si>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</si>
  <si>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</si>
  <si>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</si>
  <si>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</si>
  <si>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</si>
  <si>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</si>
  <si>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</si>
  <si>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</si>
  <si>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</si>
  <si>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</si>
  <si>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</si>
  <si>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</si>
  <si>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</si>
  <si>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</si>
  <si>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</si>
  <si>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</si>
  <si>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</si>
  <si>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</si>
  <si>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</si>
  <si>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</si>
  <si>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</si>
  <si>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</si>
  <si>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</si>
  <si>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</si>
  <si>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</si>
  <si>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</si>
  <si>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</si>
  <si>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</si>
  <si>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</si>
  <si>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</si>
  <si>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</si>
  <si>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</si>
  <si>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</si>
  <si>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</si>
  <si>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</si>
  <si>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</si>
  <si>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</si>
  <si>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</si>
  <si>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</si>
  <si>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</si>
  <si>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</si>
  <si>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</si>
  <si>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</si>
  <si>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</si>
  <si>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</si>
  <si>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</si>
  <si>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</si>
  <si>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</si>
  <si>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</si>
  <si>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</si>
  <si>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</si>
  <si>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</si>
  <si>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</si>
  <si>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</si>
  <si>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</si>
  <si>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</si>
  <si>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</si>
  <si>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</si>
  <si>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</si>
  <si>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</si>
  <si>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</si>
  <si>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</si>
  <si>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</si>
  <si>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</si>
  <si>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</si>
  <si>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</si>
  <si>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</si>
  <si>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</si>
  <si>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</si>
  <si>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</si>
  <si>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</si>
  <si>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</si>
  <si>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</si>
  <si>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</si>
  <si>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</si>
  <si>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</si>
  <si>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</si>
  <si>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</si>
  <si>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</si>
  <si>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</si>
  <si>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</si>
  <si>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</si>
  <si>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</si>
  <si>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</si>
  <si>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</si>
  <si>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</si>
  <si>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</si>
  <si>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</si>
  <si>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</si>
  <si>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</si>
  <si>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</si>
  <si>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</si>
  <si>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</si>
  <si>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</si>
  <si>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</si>
  <si>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</si>
  <si>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</si>
  <si>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</si>
  <si>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</si>
  <si>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</si>
  <si>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</si>
  <si>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</si>
  <si>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</si>
  <si>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</si>
  <si>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</si>
  <si>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</si>
  <si>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</si>
  <si>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</si>
  <si>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</si>
  <si>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</si>
  <si>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</si>
  <si>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</si>
  <si>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</si>
  <si>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</si>
  <si>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</si>
  <si>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</si>
  <si>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</si>
  <si>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</si>
  <si>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</si>
  <si>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</si>
  <si>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</si>
  <si>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</si>
  <si>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</si>
  <si>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</si>
  <si>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</si>
  <si>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</si>
  <si>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</si>
  <si>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</si>
  <si>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</si>
  <si>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</si>
  <si>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</si>
  <si>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</si>
  <si>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</si>
  <si>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</si>
  <si>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</si>
  <si>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</si>
  <si>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</si>
  <si>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</si>
  <si>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</si>
  <si>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</si>
  <si>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</si>
  <si>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</si>
  <si>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</si>
  <si>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</si>
  <si>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</si>
  <si>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れんたろう</t>
    <phoneticPr fontId="1"/>
  </si>
  <si>
    <t>たかの</t>
    <phoneticPr fontId="1"/>
  </si>
  <si>
    <t>放銃</t>
  </si>
  <si>
    <t>ロン</t>
  </si>
  <si>
    <t>01</t>
  </si>
  <si>
    <t>ツモ</t>
  </si>
  <si>
    <t>ツモ支払</t>
  </si>
  <si>
    <t>*</t>
  </si>
  <si>
    <t>52</t>
  </si>
  <si>
    <t>N</t>
  </si>
  <si>
    <t>T</t>
  </si>
  <si>
    <t>流局</t>
    <phoneticPr fontId="1"/>
  </si>
  <si>
    <t>02</t>
  </si>
  <si>
    <t>いちかわ</t>
    <phoneticPr fontId="1"/>
  </si>
  <si>
    <t>たか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</si>
</sst>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-6400</v>
      </c>
      <c r="H4" s="9"/>
      <c r="I4" s="48">
        <v>0</v>
      </c>
      <c r="J4" s="21">
        <f>IF(COUNTA($F4,$K4,$P4)&gt;0,J3+SUM(G4:I4),"")</f>
        <v>28600</v>
      </c>
      <c r="K4" s="8" t="s">
        <v>195</v>
      </c>
      <c r="L4" s="9">
        <v>6400</v>
      </c>
      <c r="M4" s="9"/>
      <c r="N4" s="48">
        <v>0</v>
      </c>
      <c r="O4" s="21">
        <f>IF(COUNTA($F4,$K4,$P4)&gt;0,O3+SUM(L4:N4),"")</f>
        <v>41400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-16.399999999999999</v>
      </c>
      <c r="V4" s="54">
        <f>IF($O4="","",ROUND(($O4-$O$3)/1000,1)+(_xlfn.RANK.AVG($O4,($J4,$O4,$T4),1)-2)*10)</f>
        <v>16.399999999999999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25</v>
      </c>
      <c r="AZ4" s="40" t="s">
        <v>196</v>
      </c>
      <c r="BA4" s="41" t="s">
        <v>82</v>
      </c>
      <c r="BB4" s="41" t="s">
        <v>101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197</v>
      </c>
      <c r="G5" s="9">
        <v>8000</v>
      </c>
      <c r="H5" s="9"/>
      <c r="I5" s="48">
        <v>0</v>
      </c>
      <c r="J5" s="21">
        <f t="shared" ref="J5:J30" si="2">IF(COUNTA($F5,$K5,$P5)&gt;0,J4+SUM(G5:I5),"")</f>
        <v>36600</v>
      </c>
      <c r="K5" s="8" t="s">
        <v>198</v>
      </c>
      <c r="L5" s="9">
        <v>-5000</v>
      </c>
      <c r="M5" s="9"/>
      <c r="N5" s="48">
        <v>0</v>
      </c>
      <c r="O5" s="21">
        <f t="shared" ref="O5:O30" si="3">IF(COUNTA($F5,$K5,$P5)&gt;0,O4+SUM(L5:N5),"")</f>
        <v>36400</v>
      </c>
      <c r="P5" s="8" t="s">
        <v>198</v>
      </c>
      <c r="Q5" s="9">
        <v>-3000</v>
      </c>
      <c r="R5" s="9"/>
      <c r="S5" s="48">
        <v>0</v>
      </c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11.6</v>
      </c>
      <c r="V5" s="54">
        <f>IF($O5="","",ROUND(($O5-$O$3)/1000,1)+(_xlfn.RANK.AVG($O5,($J5,$O5,$T5),1)-2)*10)</f>
        <v>1.4</v>
      </c>
      <c r="W5" s="55">
        <f>IF($T5="","",ROUND(($T5-$T$3)/1000,1)+(_xlfn.RANK.AVG($T5,($J5,$O5,$T5),1)-2)*10)</f>
        <v>-13</v>
      </c>
      <c r="Y5" s="8"/>
      <c r="Z5" s="34"/>
      <c r="AA5" s="26"/>
      <c r="AB5" s="26"/>
      <c r="AC5" s="26">
        <v>5</v>
      </c>
      <c r="AD5" s="30" t="s">
        <v>199</v>
      </c>
      <c r="AE5" s="40" t="s">
        <v>196</v>
      </c>
      <c r="AF5" s="41" t="s">
        <v>84</v>
      </c>
      <c r="AG5" s="41" t="s">
        <v>200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198</v>
      </c>
      <c r="G6" s="9">
        <v>-3000</v>
      </c>
      <c r="H6" s="9"/>
      <c r="I6" s="48">
        <v>0</v>
      </c>
      <c r="J6" s="21">
        <f t="shared" si="2"/>
        <v>33600</v>
      </c>
      <c r="K6" s="8" t="s">
        <v>197</v>
      </c>
      <c r="L6" s="9">
        <v>8000</v>
      </c>
      <c r="M6" s="9">
        <v>1000</v>
      </c>
      <c r="N6" s="48">
        <v>0</v>
      </c>
      <c r="O6" s="21">
        <f t="shared" si="3"/>
        <v>45400</v>
      </c>
      <c r="P6" s="8" t="s">
        <v>198</v>
      </c>
      <c r="Q6" s="9">
        <v>-5000</v>
      </c>
      <c r="R6" s="9">
        <v>-1000</v>
      </c>
      <c r="S6" s="48">
        <v>0</v>
      </c>
      <c r="T6" s="21">
        <f t="shared" si="4"/>
        <v>26000</v>
      </c>
      <c r="U6" s="53">
        <f>IF($J6="","",ROUND(($J6-$J$3)/1000,1)+(_xlfn.RANK.AVG($J6,($J6,$O6,$T6),1)-2)*10)</f>
        <v>-1.4</v>
      </c>
      <c r="V6" s="54">
        <f>IF($O6="","",ROUND(($O6-$O$3)/1000,1)+(_xlfn.RANK.AVG($O6,($J6,$O6,$T6),1)-2)*10)</f>
        <v>20.399999999999999</v>
      </c>
      <c r="W6" s="55">
        <f>IF($T6="","",ROUND(($T6-$T$3)/1000,1)+(_xlfn.RANK.AVG($T6,($J6,$O6,$T6),1)-2)*10)</f>
        <v>-19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199</v>
      </c>
      <c r="AZ6" s="40" t="s">
        <v>86</v>
      </c>
      <c r="BA6" s="41" t="s">
        <v>79</v>
      </c>
      <c r="BB6" s="41" t="s">
        <v>79</v>
      </c>
      <c r="BC6" s="41" t="s">
        <v>79</v>
      </c>
      <c r="BD6" s="41" t="s">
        <v>200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198</v>
      </c>
      <c r="G7" s="9">
        <v>-7500</v>
      </c>
      <c r="H7" s="9">
        <v>-1000</v>
      </c>
      <c r="I7" s="48">
        <v>0</v>
      </c>
      <c r="J7" s="21">
        <f t="shared" si="2"/>
        <v>25100</v>
      </c>
      <c r="K7" s="8" t="s">
        <v>197</v>
      </c>
      <c r="L7" s="9">
        <v>12000</v>
      </c>
      <c r="M7" s="9">
        <v>1000</v>
      </c>
      <c r="N7" s="48">
        <v>0</v>
      </c>
      <c r="O7" s="21">
        <f t="shared" si="3"/>
        <v>58400</v>
      </c>
      <c r="P7" s="8" t="s">
        <v>198</v>
      </c>
      <c r="Q7" s="9">
        <v>-4500</v>
      </c>
      <c r="R7" s="9"/>
      <c r="S7" s="48">
        <v>0</v>
      </c>
      <c r="T7" s="21">
        <f t="shared" si="4"/>
        <v>21500</v>
      </c>
      <c r="U7" s="53">
        <f>IF($J7="","",ROUND(($J7-$J$3)/1000,1)+(_xlfn.RANK.AVG($J7,($J7,$O7,$T7),1)-2)*10)</f>
        <v>-9.9</v>
      </c>
      <c r="V7" s="54">
        <f>IF($O7="","",ROUND(($O7-$O$3)/1000,1)+(_xlfn.RANK.AVG($O7,($J7,$O7,$T7),1)-2)*10)</f>
        <v>33.4</v>
      </c>
      <c r="W7" s="55">
        <f>IF($T7="","",ROUND(($T7-$T$3)/1000,1)+(_xlfn.RANK.AVG($T7,($J7,$O7,$T7),1)-2)*10)</f>
        <v>-23.5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6</v>
      </c>
      <c r="AY7" s="30" t="s">
        <v>199</v>
      </c>
      <c r="AZ7" s="40" t="s">
        <v>196</v>
      </c>
      <c r="BA7" s="41" t="s">
        <v>101</v>
      </c>
      <c r="BB7" s="41" t="s">
        <v>200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れんたろう</v>
      </c>
      <c r="F8" s="8" t="s">
        <v>198</v>
      </c>
      <c r="G8" s="9">
        <v>-6000</v>
      </c>
      <c r="H8" s="9">
        <v>-2000</v>
      </c>
      <c r="I8" s="48">
        <v>0</v>
      </c>
      <c r="J8" s="21">
        <f t="shared" si="2"/>
        <v>17100</v>
      </c>
      <c r="K8" s="8" t="s">
        <v>197</v>
      </c>
      <c r="L8" s="9">
        <v>12000</v>
      </c>
      <c r="M8" s="9">
        <v>3000</v>
      </c>
      <c r="N8" s="48">
        <v>0</v>
      </c>
      <c r="O8" s="21">
        <f t="shared" si="3"/>
        <v>73400</v>
      </c>
      <c r="P8" s="8" t="s">
        <v>198</v>
      </c>
      <c r="Q8" s="9">
        <v>-6000</v>
      </c>
      <c r="R8" s="9">
        <v>-1000</v>
      </c>
      <c r="S8" s="48">
        <v>0</v>
      </c>
      <c r="T8" s="21">
        <f t="shared" si="4"/>
        <v>14500</v>
      </c>
      <c r="U8" s="53">
        <f>IF($J8="","",ROUND(($J8-$J$3)/1000,1)+(_xlfn.RANK.AVG($J8,($J8,$O8,$T8),1)-2)*10)</f>
        <v>-17.899999999999999</v>
      </c>
      <c r="V8" s="54">
        <f>IF($O8="","",ROUND(($O8-$O$3)/1000,1)+(_xlfn.RANK.AVG($O8,($J8,$O8,$T8),1)-2)*10)</f>
        <v>48.4</v>
      </c>
      <c r="W8" s="55">
        <f>IF($T8="","",ROUND(($T8-$T$3)/1000,1)+(_xlfn.RANK.AVG($T8,($J8,$O8,$T8),1)-2)*10)</f>
        <v>-30.5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199</v>
      </c>
      <c r="AZ8" s="40" t="s">
        <v>196</v>
      </c>
      <c r="BA8" s="41" t="s">
        <v>82</v>
      </c>
      <c r="BB8" s="41" t="s">
        <v>85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れんたろう</v>
      </c>
      <c r="F9" s="8" t="s">
        <v>198</v>
      </c>
      <c r="G9" s="9">
        <v>-1100</v>
      </c>
      <c r="H9" s="9"/>
      <c r="I9" s="48">
        <v>-500</v>
      </c>
      <c r="J9" s="21">
        <f t="shared" si="2"/>
        <v>15500</v>
      </c>
      <c r="K9" s="8" t="s">
        <v>198</v>
      </c>
      <c r="L9" s="9">
        <v>-1700</v>
      </c>
      <c r="M9" s="9"/>
      <c r="N9" s="48">
        <v>-500</v>
      </c>
      <c r="O9" s="21">
        <f t="shared" si="3"/>
        <v>71200</v>
      </c>
      <c r="P9" s="8" t="s">
        <v>197</v>
      </c>
      <c r="Q9" s="9">
        <v>2800</v>
      </c>
      <c r="R9" s="9"/>
      <c r="S9" s="48">
        <v>1000</v>
      </c>
      <c r="T9" s="21">
        <f t="shared" si="4"/>
        <v>18300</v>
      </c>
      <c r="U9" s="53">
        <f>IF($J9="","",ROUND(($J9-$J$3)/1000,1)+(_xlfn.RANK.AVG($J9,($J9,$O9,$T9),1)-2)*10)</f>
        <v>-29.5</v>
      </c>
      <c r="V9" s="54">
        <f>IF($O9="","",ROUND(($O9-$O$3)/1000,1)+(_xlfn.RANK.AVG($O9,($J9,$O9,$T9),1)-2)*10)</f>
        <v>46.2</v>
      </c>
      <c r="W9" s="55">
        <f>IF($T9="","",ROUND(($T9-$T$3)/1000,1)+(_xlfn.RANK.AVG($T9,($J9,$O9,$T9),1)-2)*10)</f>
        <v>-16.7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40</v>
      </c>
      <c r="BU9" s="40" t="s">
        <v>82</v>
      </c>
      <c r="BV9" s="41" t="s">
        <v>84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たかの</v>
      </c>
      <c r="F10" s="8" t="s">
        <v>198</v>
      </c>
      <c r="G10" s="9">
        <v>-3000</v>
      </c>
      <c r="H10" s="9">
        <v>-1000</v>
      </c>
      <c r="I10" s="48">
        <v>0</v>
      </c>
      <c r="J10" s="21">
        <f t="shared" si="2"/>
        <v>11500</v>
      </c>
      <c r="K10" s="8" t="s">
        <v>198</v>
      </c>
      <c r="L10" s="9">
        <v>-3000</v>
      </c>
      <c r="M10" s="9"/>
      <c r="N10" s="48">
        <v>0</v>
      </c>
      <c r="O10" s="21">
        <f t="shared" si="3"/>
        <v>68200</v>
      </c>
      <c r="P10" s="8" t="s">
        <v>197</v>
      </c>
      <c r="Q10" s="9">
        <v>6000</v>
      </c>
      <c r="R10" s="9">
        <v>1000</v>
      </c>
      <c r="S10" s="48">
        <v>0</v>
      </c>
      <c r="T10" s="21">
        <f t="shared" si="4"/>
        <v>25300</v>
      </c>
      <c r="U10" s="53">
        <f>IF($J10="","",ROUND(($J10-$J$3)/1000,1)+(_xlfn.RANK.AVG($J10,($J10,$O10,$T10),1)-2)*10)</f>
        <v>-33.5</v>
      </c>
      <c r="V10" s="54">
        <f>IF($O10="","",ROUND(($O10-$O$3)/1000,1)+(_xlfn.RANK.AVG($O10,($J10,$O10,$T10),1)-2)*10)</f>
        <v>43.2</v>
      </c>
      <c r="W10" s="55">
        <f>IF($T10="","",ROUND(($T10-$T$3)/1000,1)+(_xlfn.RANK.AVG($T10,($J10,$O10,$T10),1)-2)*10)</f>
        <v>-9.6999999999999993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30</v>
      </c>
      <c r="BU10" s="40" t="s">
        <v>196</v>
      </c>
      <c r="BV10" s="41" t="s">
        <v>82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たかの</v>
      </c>
      <c r="F11" s="8" t="s">
        <v>195</v>
      </c>
      <c r="G11" s="9">
        <v>7700</v>
      </c>
      <c r="H11" s="9">
        <v>2000</v>
      </c>
      <c r="I11" s="48">
        <v>1000</v>
      </c>
      <c r="J11" s="21">
        <f t="shared" si="2"/>
        <v>22200</v>
      </c>
      <c r="K11" s="8"/>
      <c r="L11" s="9"/>
      <c r="M11" s="9">
        <v>-1000</v>
      </c>
      <c r="N11" s="48"/>
      <c r="O11" s="21">
        <f t="shared" si="3"/>
        <v>67200</v>
      </c>
      <c r="P11" s="8" t="s">
        <v>194</v>
      </c>
      <c r="Q11" s="9">
        <v>-7700</v>
      </c>
      <c r="R11" s="9">
        <v>-1000</v>
      </c>
      <c r="S11" s="48">
        <v>-1000</v>
      </c>
      <c r="T11" s="21">
        <f t="shared" si="4"/>
        <v>15600</v>
      </c>
      <c r="U11" s="53">
        <f>IF($J11="","",ROUND(($J11-$J$3)/1000,1)+(_xlfn.RANK.AVG($J11,($J11,$O11,$T11),1)-2)*10)</f>
        <v>-12.8</v>
      </c>
      <c r="V11" s="54">
        <f>IF($O11="","",ROUND(($O11-$O$3)/1000,1)+(_xlfn.RANK.AVG($O11,($J11,$O11,$T11),1)-2)*10)</f>
        <v>42.2</v>
      </c>
      <c r="W11" s="55">
        <f>IF($T11="","",ROUND(($T11-$T$3)/1000,1)+(_xlfn.RANK.AVG($T11,($J11,$O11,$T11),1)-2)*10)</f>
        <v>-29.4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86</v>
      </c>
      <c r="AF11" s="41" t="s">
        <v>79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76DD476-7338-46E5-8EDE-4471B36B36B4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56956-255F-4AB2-9934-B84DC6AE4D2A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195</v>
      </c>
      <c r="G4" s="9">
        <v>24000</v>
      </c>
      <c r="H4" s="9"/>
      <c r="I4" s="48">
        <v>0</v>
      </c>
      <c r="J4" s="21">
        <f>IF(COUNTA($F4,$K4,$P4)&gt;0,J3+SUM(G4:I4),"")</f>
        <v>59000</v>
      </c>
      <c r="K4" s="8" t="s">
        <v>194</v>
      </c>
      <c r="L4" s="9">
        <v>-24000</v>
      </c>
      <c r="M4" s="9"/>
      <c r="N4" s="48">
        <v>0</v>
      </c>
      <c r="O4" s="21">
        <f>IF(COUNTA($F4,$K4,$P4)&gt;0,O3+SUM(L4:N4),"")</f>
        <v>11000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34</v>
      </c>
      <c r="V4" s="54">
        <f>IF($O4="","",ROUND(($O4-$O$3)/1000,1)+(_xlfn.RANK.AVG($O4,($J4,$O4,$T4),1)-2)*10)</f>
        <v>-34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10</v>
      </c>
      <c r="AD4" s="30" t="s">
        <v>199</v>
      </c>
      <c r="AE4" s="40" t="s">
        <v>196</v>
      </c>
      <c r="AF4" s="41" t="s">
        <v>86</v>
      </c>
      <c r="AG4" s="41" t="s">
        <v>86</v>
      </c>
      <c r="AH4" s="41" t="s">
        <v>98</v>
      </c>
      <c r="AI4" s="41" t="s">
        <v>96</v>
      </c>
      <c r="AJ4" s="41" t="s">
        <v>79</v>
      </c>
      <c r="AK4" s="41" t="s">
        <v>79</v>
      </c>
      <c r="AL4" s="41" t="s">
        <v>79</v>
      </c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たかの</v>
      </c>
      <c r="F5" s="8" t="s">
        <v>195</v>
      </c>
      <c r="G5" s="9">
        <v>3900</v>
      </c>
      <c r="H5" s="9"/>
      <c r="I5" s="48">
        <v>1000</v>
      </c>
      <c r="J5" s="21">
        <f t="shared" ref="J5:J30" si="2">IF(COUNTA($F5,$K5,$P5)&gt;0,J4+SUM(G5:I5),"")</f>
        <v>63900</v>
      </c>
      <c r="K5" s="8"/>
      <c r="L5" s="9"/>
      <c r="M5" s="9"/>
      <c r="N5" s="48"/>
      <c r="O5" s="21">
        <f t="shared" ref="O5:O30" si="3">IF(COUNTA($F5,$K5,$P5)&gt;0,O4+SUM(L5:N5),"")</f>
        <v>11000</v>
      </c>
      <c r="P5" s="8" t="s">
        <v>194</v>
      </c>
      <c r="Q5" s="9">
        <v>-3900</v>
      </c>
      <c r="R5" s="9"/>
      <c r="S5" s="48">
        <v>-1000</v>
      </c>
      <c r="T5" s="21">
        <f t="shared" ref="T5:T30" si="4">IF(COUNTA($F5,$K5,$P5)&gt;0,T4+SUM(Q5:S5),"")</f>
        <v>30100</v>
      </c>
      <c r="U5" s="53">
        <f>IF($J5="","",ROUND(($J5-$J$3)/1000,1)+(_xlfn.RANK.AVG($J5,($J5,$O5,$T5),1)-2)*10)</f>
        <v>38.9</v>
      </c>
      <c r="V5" s="54">
        <f>IF($O5="","",ROUND(($O5-$O$3)/1000,1)+(_xlfn.RANK.AVG($O5,($J5,$O5,$T5),1)-2)*10)</f>
        <v>-34</v>
      </c>
      <c r="W5" s="55">
        <f>IF($T5="","",ROUND(($T5-$T$3)/1000,1)+(_xlfn.RANK.AVG($T5,($J5,$O5,$T5),1)-2)*10)</f>
        <v>-4.9000000000000004</v>
      </c>
      <c r="Y5" s="8"/>
      <c r="Z5" s="34"/>
      <c r="AA5" s="26"/>
      <c r="AB5" s="26">
        <v>1</v>
      </c>
      <c r="AC5" s="26">
        <v>2</v>
      </c>
      <c r="AD5" s="30">
        <v>40</v>
      </c>
      <c r="AE5" s="40" t="s">
        <v>98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たかの</v>
      </c>
      <c r="F6" s="8" t="s">
        <v>194</v>
      </c>
      <c r="G6" s="9">
        <v>-8000</v>
      </c>
      <c r="H6" s="9"/>
      <c r="I6" s="48">
        <v>-2000</v>
      </c>
      <c r="J6" s="21">
        <f t="shared" si="2"/>
        <v>53900</v>
      </c>
      <c r="K6" s="8"/>
      <c r="L6" s="9"/>
      <c r="M6" s="9"/>
      <c r="N6" s="48"/>
      <c r="O6" s="21">
        <f t="shared" si="3"/>
        <v>11000</v>
      </c>
      <c r="P6" s="8" t="s">
        <v>195</v>
      </c>
      <c r="Q6" s="9">
        <v>8000</v>
      </c>
      <c r="R6" s="9"/>
      <c r="S6" s="48">
        <v>2000</v>
      </c>
      <c r="T6" s="21">
        <f t="shared" si="4"/>
        <v>40100</v>
      </c>
      <c r="U6" s="53">
        <f>IF($J6="","",ROUND(($J6-$J$3)/1000,1)+(_xlfn.RANK.AVG($J6,($J6,$O6,$T6),1)-2)*10)</f>
        <v>28.9</v>
      </c>
      <c r="V6" s="54">
        <f>IF($O6="","",ROUND(($O6-$O$3)/1000,1)+(_xlfn.RANK.AVG($O6,($J6,$O6,$T6),1)-2)*10)</f>
        <v>-34</v>
      </c>
      <c r="W6" s="55">
        <f>IF($T6="","",ROUND(($T6-$T$3)/1000,1)+(_xlfn.RANK.AVG($T6,($J6,$O6,$T6),1)-2)*10)</f>
        <v>5.0999999999999996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196</v>
      </c>
      <c r="BV6" s="41" t="s">
        <v>80</v>
      </c>
      <c r="BW6" s="41" t="s">
        <v>80</v>
      </c>
      <c r="BX6" s="41" t="s">
        <v>80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だいち</v>
      </c>
      <c r="F7" s="8" t="s">
        <v>194</v>
      </c>
      <c r="G7" s="9">
        <v>-2000</v>
      </c>
      <c r="H7" s="9"/>
      <c r="I7" s="48">
        <v>0</v>
      </c>
      <c r="J7" s="21">
        <f t="shared" si="2"/>
        <v>51900</v>
      </c>
      <c r="K7" s="8" t="s">
        <v>195</v>
      </c>
      <c r="L7" s="9">
        <v>2000</v>
      </c>
      <c r="M7" s="9"/>
      <c r="N7" s="48">
        <v>0</v>
      </c>
      <c r="O7" s="21">
        <f t="shared" si="3"/>
        <v>13000</v>
      </c>
      <c r="P7" s="8"/>
      <c r="Q7" s="9"/>
      <c r="R7" s="9"/>
      <c r="S7" s="48"/>
      <c r="T7" s="21">
        <f t="shared" si="4"/>
        <v>40100</v>
      </c>
      <c r="U7" s="53">
        <f>IF($J7="","",ROUND(($J7-$J$3)/1000,1)+(_xlfn.RANK.AVG($J7,($J7,$O7,$T7),1)-2)*10)</f>
        <v>26.9</v>
      </c>
      <c r="V7" s="54">
        <f>IF($O7="","",ROUND(($O7-$O$3)/1000,1)+(_xlfn.RANK.AVG($O7,($J7,$O7,$T7),1)-2)*10)</f>
        <v>-32</v>
      </c>
      <c r="W7" s="55">
        <f>IF($T7="","",ROUND(($T7-$T$3)/1000,1)+(_xlfn.RANK.AVG($T7,($J7,$O7,$T7),1)-2)*10)</f>
        <v>5.0999999999999996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40</v>
      </c>
      <c r="AZ7" s="40" t="s">
        <v>84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tr">
        <f>IF($K$1="","",$K$1)</f>
        <v>だいち</v>
      </c>
      <c r="F8" s="8" t="s">
        <v>197</v>
      </c>
      <c r="G8" s="9">
        <v>5300</v>
      </c>
      <c r="H8" s="9">
        <v>1000</v>
      </c>
      <c r="I8" s="48">
        <v>1000</v>
      </c>
      <c r="J8" s="21">
        <f t="shared" si="2"/>
        <v>59200</v>
      </c>
      <c r="K8" s="8" t="s">
        <v>198</v>
      </c>
      <c r="L8" s="9">
        <v>-3300</v>
      </c>
      <c r="M8" s="9">
        <v>-1000</v>
      </c>
      <c r="N8" s="48">
        <v>-500</v>
      </c>
      <c r="O8" s="21">
        <f t="shared" si="3"/>
        <v>8200</v>
      </c>
      <c r="P8" s="8" t="s">
        <v>198</v>
      </c>
      <c r="Q8" s="9">
        <v>-2000</v>
      </c>
      <c r="R8" s="9"/>
      <c r="S8" s="48">
        <v>-500</v>
      </c>
      <c r="T8" s="21">
        <f t="shared" si="4"/>
        <v>37600</v>
      </c>
      <c r="U8" s="53">
        <f>IF($J8="","",ROUND(($J8-$J$3)/1000,1)+(_xlfn.RANK.AVG($J8,($J8,$O8,$T8),1)-2)*10)</f>
        <v>34.200000000000003</v>
      </c>
      <c r="V8" s="54">
        <f>IF($O8="","",ROUND(($O8-$O$3)/1000,1)+(_xlfn.RANK.AVG($O8,($J8,$O8,$T8),1)-2)*10)</f>
        <v>-36.799999999999997</v>
      </c>
      <c r="W8" s="55">
        <f>IF($T8="","",ROUND(($T8-$T$3)/1000,1)+(_xlfn.RANK.AVG($T8,($J8,$O8,$T8),1)-2)*10)</f>
        <v>2.6</v>
      </c>
      <c r="Y8" s="8"/>
      <c r="Z8" s="34"/>
      <c r="AA8" s="26">
        <v>1</v>
      </c>
      <c r="AB8" s="26"/>
      <c r="AC8" s="26">
        <v>4</v>
      </c>
      <c r="AD8" s="30">
        <v>20</v>
      </c>
      <c r="AE8" s="40" t="s">
        <v>196</v>
      </c>
      <c r="AF8" s="41" t="s">
        <v>82</v>
      </c>
      <c r="AG8" s="41" t="s">
        <v>83</v>
      </c>
      <c r="AH8" s="41" t="s">
        <v>200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197</v>
      </c>
      <c r="G9" s="9">
        <v>1200</v>
      </c>
      <c r="H9" s="9">
        <v>1000</v>
      </c>
      <c r="I9" s="48">
        <v>0</v>
      </c>
      <c r="J9" s="21">
        <f t="shared" si="2"/>
        <v>61400</v>
      </c>
      <c r="K9" s="8" t="s">
        <v>198</v>
      </c>
      <c r="L9" s="9">
        <v>-500</v>
      </c>
      <c r="M9" s="9">
        <v>-1000</v>
      </c>
      <c r="N9" s="48">
        <v>0</v>
      </c>
      <c r="O9" s="21">
        <f t="shared" si="3"/>
        <v>6700</v>
      </c>
      <c r="P9" s="8" t="s">
        <v>198</v>
      </c>
      <c r="Q9" s="9">
        <v>-700</v>
      </c>
      <c r="R9" s="9"/>
      <c r="S9" s="48">
        <v>0</v>
      </c>
      <c r="T9" s="21">
        <f t="shared" si="4"/>
        <v>36900</v>
      </c>
      <c r="U9" s="53">
        <f>IF($J9="","",ROUND(($J9-$J$3)/1000,1)+(_xlfn.RANK.AVG($J9,($J9,$O9,$T9),1)-2)*10)</f>
        <v>36.4</v>
      </c>
      <c r="V9" s="54">
        <f>IF($O9="","",ROUND(($O9-$O$3)/1000,1)+(_xlfn.RANK.AVG($O9,($J9,$O9,$T9),1)-2)*10)</f>
        <v>-38.299999999999997</v>
      </c>
      <c r="W9" s="55">
        <f>IF($T9="","",ROUND(($T9-$T$3)/1000,1)+(_xlfn.RANK.AVG($T9,($J9,$O9,$T9),1)-2)*10)</f>
        <v>1.9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たかの</v>
      </c>
      <c r="F10" s="8" t="s">
        <v>203</v>
      </c>
      <c r="G10" s="9">
        <v>-3000</v>
      </c>
      <c r="H10" s="9"/>
      <c r="I10" s="48"/>
      <c r="J10" s="21">
        <f t="shared" si="2"/>
        <v>58400</v>
      </c>
      <c r="K10" s="8" t="s">
        <v>203</v>
      </c>
      <c r="L10" s="9">
        <v>1500</v>
      </c>
      <c r="M10" s="9">
        <v>-1000</v>
      </c>
      <c r="N10" s="48"/>
      <c r="O10" s="21">
        <f t="shared" si="3"/>
        <v>7200</v>
      </c>
      <c r="P10" s="8" t="s">
        <v>203</v>
      </c>
      <c r="Q10" s="9">
        <v>1500</v>
      </c>
      <c r="R10" s="9">
        <v>-1000</v>
      </c>
      <c r="S10" s="48"/>
      <c r="T10" s="21">
        <f t="shared" si="4"/>
        <v>37400</v>
      </c>
      <c r="U10" s="53">
        <f>IF($J10="","",ROUND(($J10-$J$3)/1000,1)+(_xlfn.RANK.AVG($J10,($J10,$O10,$T10),1)-2)*10)</f>
        <v>33.4</v>
      </c>
      <c r="V10" s="54">
        <f>IF($O10="","",ROUND(($O10-$O$3)/1000,1)+(_xlfn.RANK.AVG($O10,($J10,$O10,$T10),1)-2)*10)</f>
        <v>-37.799999999999997</v>
      </c>
      <c r="W10" s="55">
        <f>IF($T10="","",ROUND(($T10-$T$3)/1000,1)+(_xlfn.RANK.AVG($T10,($J10,$O10,$T10),1)-2)*10)</f>
        <v>2.4</v>
      </c>
      <c r="Y10" s="8" t="s">
        <v>201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202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2</v>
      </c>
      <c r="E11" s="4" t="str">
        <f>IF($K$1="","",$K$1)</f>
        <v>だいち</v>
      </c>
      <c r="F11" s="8" t="s">
        <v>195</v>
      </c>
      <c r="G11" s="9">
        <v>2000</v>
      </c>
      <c r="H11" s="9">
        <v>4000</v>
      </c>
      <c r="I11" s="48">
        <v>1000</v>
      </c>
      <c r="J11" s="21">
        <f t="shared" si="2"/>
        <v>65400</v>
      </c>
      <c r="K11" s="8" t="s">
        <v>194</v>
      </c>
      <c r="L11" s="9">
        <v>-2000</v>
      </c>
      <c r="M11" s="9">
        <v>-2000</v>
      </c>
      <c r="N11" s="48">
        <v>-1000</v>
      </c>
      <c r="O11" s="21">
        <f t="shared" si="3"/>
        <v>2200</v>
      </c>
      <c r="P11" s="8"/>
      <c r="Q11" s="9"/>
      <c r="R11" s="9"/>
      <c r="S11" s="48"/>
      <c r="T11" s="21">
        <f t="shared" si="4"/>
        <v>37400</v>
      </c>
      <c r="U11" s="53">
        <f>IF($J11="","",ROUND(($J11-$J$3)/1000,1)+(_xlfn.RANK.AVG($J11,($J11,$O11,$T11),1)-2)*10)</f>
        <v>40.4</v>
      </c>
      <c r="V11" s="54">
        <f>IF($O11="","",ROUND(($O11-$O$3)/1000,1)+(_xlfn.RANK.AVG($O11,($J11,$O11,$T11),1)-2)*10)</f>
        <v>-42.8</v>
      </c>
      <c r="W11" s="55">
        <f>IF($T11="","",ROUND(($T11-$T$3)/1000,1)+(_xlfn.RANK.AVG($T11,($J11,$O11,$T11),1)-2)*10)</f>
        <v>2.4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86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203</v>
      </c>
      <c r="G12" s="9">
        <v>1500</v>
      </c>
      <c r="H12" s="9">
        <v>2000</v>
      </c>
      <c r="I12" s="48"/>
      <c r="J12" s="21">
        <f t="shared" si="2"/>
        <v>68900</v>
      </c>
      <c r="K12" s="8" t="s">
        <v>203</v>
      </c>
      <c r="L12" s="9">
        <v>-3000</v>
      </c>
      <c r="M12" s="9"/>
      <c r="N12" s="48"/>
      <c r="O12" s="21">
        <f t="shared" si="3"/>
        <v>-800</v>
      </c>
      <c r="P12" s="8" t="s">
        <v>203</v>
      </c>
      <c r="Q12" s="9">
        <v>1500</v>
      </c>
      <c r="R12" s="9">
        <v>-2000</v>
      </c>
      <c r="S12" s="48"/>
      <c r="T12" s="21">
        <f t="shared" si="4"/>
        <v>36900</v>
      </c>
      <c r="U12" s="53">
        <f>IF($J12="","",ROUND(($J12-$J$3)/1000,1)+(_xlfn.RANK.AVG($J12,($J12,$O12,$T12),1)-2)*10)</f>
        <v>43.9</v>
      </c>
      <c r="V12" s="54">
        <f>IF($O12="","",ROUND(($O12-$O$3)/1000,1)+(_xlfn.RANK.AVG($O12,($J12,$O12,$T12),1)-2)*10)</f>
        <v>-45.8</v>
      </c>
      <c r="W12" s="55">
        <f>IF($T12="","",ROUND(($T12-$T$3)/1000,1)+(_xlfn.RANK.AVG($T12,($J12,$O12,$T12),1)-2)*10)</f>
        <v>1.9</v>
      </c>
      <c r="Y12" s="8" t="s">
        <v>202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201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202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DD39470E-E728-4477-B0AC-05531F30D324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C57547D-E183-4473-8AAC-5D23C5ECE84C}">
      <formula1>"ロン,ツモ,放銃,ツモ支払,流局,チョンボ"</formula1>
    </dataValidation>
    <dataValidation type="list" allowBlank="1" showInputMessage="1" showErrorMessage="1" sqref="E4:E30" xr:uid="{B948BBD1-8D86-4304-926A-407944C9AE4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B6ABB-4EFD-40D0-9A98-1F8C02AF82C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-7700</v>
      </c>
      <c r="H4" s="9">
        <v>-1000</v>
      </c>
      <c r="I4" s="48">
        <v>0</v>
      </c>
      <c r="J4" s="21">
        <f>IF(COUNTA($F4,$K4,$P4)&gt;0,J3+SUM(G4:I4),"")</f>
        <v>26300</v>
      </c>
      <c r="K4" s="8" t="s">
        <v>195</v>
      </c>
      <c r="L4" s="9">
        <v>7700</v>
      </c>
      <c r="M4" s="9">
        <v>1000</v>
      </c>
      <c r="N4" s="48">
        <v>0</v>
      </c>
      <c r="O4" s="21">
        <f>IF(COUNTA($F4,$K4,$P4)&gt;0,O3+SUM(L4:N4),"")</f>
        <v>43700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-18.7</v>
      </c>
      <c r="V4" s="54">
        <f>IF($O4="","",ROUND(($O4-$O$3)/1000,1)+(_xlfn.RANK.AVG($O4,($J4,$O4,$T4),1)-2)*10)</f>
        <v>18.7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196</v>
      </c>
      <c r="BA4" s="41" t="s">
        <v>83</v>
      </c>
      <c r="BB4" s="41" t="s">
        <v>200</v>
      </c>
      <c r="BC4" s="41" t="s">
        <v>80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198</v>
      </c>
      <c r="G5" s="9">
        <v>-4500</v>
      </c>
      <c r="H5" s="9"/>
      <c r="I5" s="48">
        <v>0</v>
      </c>
      <c r="J5" s="21">
        <f t="shared" ref="J5:J30" si="2">IF(COUNTA($F5,$K5,$P5)&gt;0,J4+SUM(G5:I5),"")</f>
        <v>21800</v>
      </c>
      <c r="K5" s="8" t="s">
        <v>198</v>
      </c>
      <c r="L5" s="9">
        <v>-7500</v>
      </c>
      <c r="M5" s="9"/>
      <c r="N5" s="48">
        <v>0</v>
      </c>
      <c r="O5" s="21">
        <f t="shared" ref="O5:O30" si="3">IF(COUNTA($F5,$K5,$P5)&gt;0,O4+SUM(L5:N5),"")</f>
        <v>36200</v>
      </c>
      <c r="P5" s="8" t="s">
        <v>197</v>
      </c>
      <c r="Q5" s="9">
        <v>12000</v>
      </c>
      <c r="R5" s="9"/>
      <c r="S5" s="48">
        <v>0</v>
      </c>
      <c r="T5" s="21">
        <f t="shared" ref="T5:T30" si="4">IF(COUNTA($F5,$K5,$P5)&gt;0,T4+SUM(Q5:S5),"")</f>
        <v>47000</v>
      </c>
      <c r="U5" s="53">
        <f>IF($J5="","",ROUND(($J5-$J$3)/1000,1)+(_xlfn.RANK.AVG($J5,($J5,$O5,$T5),1)-2)*10)</f>
        <v>-23.2</v>
      </c>
      <c r="V5" s="54">
        <f>IF($O5="","",ROUND(($O5-$O$3)/1000,1)+(_xlfn.RANK.AVG($O5,($J5,$O5,$T5),1)-2)*10)</f>
        <v>1.2</v>
      </c>
      <c r="W5" s="55">
        <f>IF($T5="","",ROUND(($T5-$T$3)/1000,1)+(_xlfn.RANK.AVG($T5,($J5,$O5,$T5),1)-2)*10)</f>
        <v>22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6</v>
      </c>
      <c r="BT5" s="30" t="s">
        <v>199</v>
      </c>
      <c r="BU5" s="40" t="s">
        <v>104</v>
      </c>
      <c r="BV5" s="41" t="s">
        <v>89</v>
      </c>
      <c r="BW5" s="41" t="s">
        <v>86</v>
      </c>
      <c r="BX5" s="41" t="s">
        <v>86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198</v>
      </c>
      <c r="G6" s="9">
        <v>-9000</v>
      </c>
      <c r="H6" s="9"/>
      <c r="I6" s="48">
        <v>0</v>
      </c>
      <c r="J6" s="21">
        <f t="shared" si="2"/>
        <v>12800</v>
      </c>
      <c r="K6" s="8" t="s">
        <v>198</v>
      </c>
      <c r="L6" s="9">
        <v>-9000</v>
      </c>
      <c r="M6" s="9"/>
      <c r="N6" s="48">
        <v>0</v>
      </c>
      <c r="O6" s="21">
        <f t="shared" si="3"/>
        <v>27200</v>
      </c>
      <c r="P6" s="8" t="s">
        <v>197</v>
      </c>
      <c r="Q6" s="9">
        <v>18000</v>
      </c>
      <c r="R6" s="9"/>
      <c r="S6" s="48">
        <v>0</v>
      </c>
      <c r="T6" s="21">
        <f t="shared" si="4"/>
        <v>65000</v>
      </c>
      <c r="U6" s="53">
        <f>IF($J6="","",ROUND(($J6-$J$3)/1000,1)+(_xlfn.RANK.AVG($J6,($J6,$O6,$T6),1)-2)*10)</f>
        <v>-32.200000000000003</v>
      </c>
      <c r="V6" s="54">
        <f>IF($O6="","",ROUND(($O6-$O$3)/1000,1)+(_xlfn.RANK.AVG($O6,($J6,$O6,$T6),1)-2)*10)</f>
        <v>-7.8</v>
      </c>
      <c r="W6" s="55">
        <f>IF($T6="","",ROUND(($T6-$T$3)/1000,1)+(_xlfn.RANK.AVG($T6,($J6,$O6,$T6),1)-2)*10)</f>
        <v>40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7</v>
      </c>
      <c r="BT6" s="30" t="s">
        <v>199</v>
      </c>
      <c r="BU6" s="40" t="s">
        <v>196</v>
      </c>
      <c r="BV6" s="41" t="s">
        <v>82</v>
      </c>
      <c r="BW6" s="41" t="s">
        <v>204</v>
      </c>
      <c r="BX6" s="41" t="s">
        <v>79</v>
      </c>
      <c r="BY6" s="41" t="s">
        <v>79</v>
      </c>
      <c r="BZ6" s="41" t="s">
        <v>79</v>
      </c>
      <c r="CA6" s="41" t="s">
        <v>200</v>
      </c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195</v>
      </c>
      <c r="G7" s="9">
        <v>16000</v>
      </c>
      <c r="H7" s="9"/>
      <c r="I7" s="48">
        <v>1000</v>
      </c>
      <c r="J7" s="21">
        <f t="shared" si="2"/>
        <v>29800</v>
      </c>
      <c r="K7" s="8" t="s">
        <v>194</v>
      </c>
      <c r="L7" s="9">
        <v>-16000</v>
      </c>
      <c r="M7" s="9"/>
      <c r="N7" s="48">
        <v>-1000</v>
      </c>
      <c r="O7" s="21">
        <f t="shared" si="3"/>
        <v>10200</v>
      </c>
      <c r="P7" s="8"/>
      <c r="Q7" s="9"/>
      <c r="R7" s="9"/>
      <c r="S7" s="48"/>
      <c r="T7" s="21">
        <f t="shared" si="4"/>
        <v>65000</v>
      </c>
      <c r="U7" s="53">
        <f>IF($J7="","",ROUND(($J7-$J$3)/1000,1)+(_xlfn.RANK.AVG($J7,($J7,$O7,$T7),1)-2)*10)</f>
        <v>-5.2</v>
      </c>
      <c r="V7" s="54">
        <f>IF($O7="","",ROUND(($O7-$O$3)/1000,1)+(_xlfn.RANK.AVG($O7,($J7,$O7,$T7),1)-2)*10)</f>
        <v>-34.799999999999997</v>
      </c>
      <c r="W7" s="55">
        <f>IF($T7="","",ROUND(($T7-$T$3)/1000,1)+(_xlfn.RANK.AVG($T7,($J7,$O7,$T7),1)-2)*10)</f>
        <v>40</v>
      </c>
      <c r="Y7" s="8"/>
      <c r="Z7" s="34"/>
      <c r="AA7" s="26"/>
      <c r="AB7" s="26">
        <v>1</v>
      </c>
      <c r="AC7" s="26">
        <v>8</v>
      </c>
      <c r="AD7" s="30" t="s">
        <v>199</v>
      </c>
      <c r="AE7" s="40" t="s">
        <v>104</v>
      </c>
      <c r="AF7" s="41" t="s">
        <v>86</v>
      </c>
      <c r="AG7" s="41" t="s">
        <v>86</v>
      </c>
      <c r="AH7" s="41" t="s">
        <v>98</v>
      </c>
      <c r="AI7" s="41" t="s">
        <v>96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/>
      <c r="G8" s="9"/>
      <c r="H8" s="9">
        <v>-1000</v>
      </c>
      <c r="I8" s="48"/>
      <c r="J8" s="21">
        <f t="shared" si="2"/>
        <v>28800</v>
      </c>
      <c r="K8" s="8" t="s">
        <v>195</v>
      </c>
      <c r="L8" s="9">
        <v>8000</v>
      </c>
      <c r="M8" s="9">
        <v>1000</v>
      </c>
      <c r="N8" s="48">
        <v>0</v>
      </c>
      <c r="O8" s="21">
        <f t="shared" si="3"/>
        <v>19200</v>
      </c>
      <c r="P8" s="8" t="s">
        <v>194</v>
      </c>
      <c r="Q8" s="9">
        <v>-8000</v>
      </c>
      <c r="R8" s="9"/>
      <c r="S8" s="48">
        <v>0</v>
      </c>
      <c r="T8" s="21">
        <f t="shared" si="4"/>
        <v>57000</v>
      </c>
      <c r="U8" s="53">
        <f>IF($J8="","",ROUND(($J8-$J$3)/1000,1)+(_xlfn.RANK.AVG($J8,($J8,$O8,$T8),1)-2)*10)</f>
        <v>-6.2</v>
      </c>
      <c r="V8" s="54">
        <f>IF($O8="","",ROUND(($O8-$O$3)/1000,1)+(_xlfn.RANK.AVG($O8,($J8,$O8,$T8),1)-2)*10)</f>
        <v>-25.8</v>
      </c>
      <c r="W8" s="55">
        <f>IF($T8="","",ROUND(($T8-$T$3)/1000,1)+(_xlfn.RANK.AVG($T8,($J8,$O8,$T8),1)-2)*10)</f>
        <v>32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196</v>
      </c>
      <c r="BA8" s="41" t="s">
        <v>79</v>
      </c>
      <c r="BB8" s="41" t="s">
        <v>79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 t="s">
        <v>194</v>
      </c>
      <c r="G9" s="9">
        <v>-7700</v>
      </c>
      <c r="H9" s="9"/>
      <c r="I9" s="48">
        <v>0</v>
      </c>
      <c r="J9" s="21">
        <f t="shared" si="2"/>
        <v>21100</v>
      </c>
      <c r="K9" s="8" t="s">
        <v>195</v>
      </c>
      <c r="L9" s="9">
        <v>7700</v>
      </c>
      <c r="M9" s="9">
        <v>1000</v>
      </c>
      <c r="N9" s="48">
        <v>0</v>
      </c>
      <c r="O9" s="21">
        <f t="shared" si="3"/>
        <v>27900</v>
      </c>
      <c r="P9" s="8"/>
      <c r="Q9" s="9"/>
      <c r="R9" s="9">
        <v>-1000</v>
      </c>
      <c r="S9" s="48"/>
      <c r="T9" s="21">
        <f t="shared" si="4"/>
        <v>56000</v>
      </c>
      <c r="U9" s="53">
        <f>IF($J9="","",ROUND(($J9-$J$3)/1000,1)+(_xlfn.RANK.AVG($J9,($J9,$O9,$T9),1)-2)*10)</f>
        <v>-23.9</v>
      </c>
      <c r="V9" s="54">
        <f>IF($O9="","",ROUND(($O9-$O$3)/1000,1)+(_xlfn.RANK.AVG($O9,($J9,$O9,$T9),1)-2)*10)</f>
        <v>-7.1</v>
      </c>
      <c r="W9" s="55">
        <f>IF($T9="","",ROUND(($T9-$T$3)/1000,1)+(_xlfn.RANK.AVG($T9,($J9,$O9,$T9),1)-2)*10)</f>
        <v>31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196</v>
      </c>
      <c r="BA9" s="41" t="s">
        <v>200</v>
      </c>
      <c r="BB9" s="41" t="s">
        <v>200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たかの</v>
      </c>
      <c r="F10" s="8" t="s">
        <v>195</v>
      </c>
      <c r="G10" s="9">
        <v>16000</v>
      </c>
      <c r="H10" s="9">
        <v>1000</v>
      </c>
      <c r="I10" s="48">
        <v>1000</v>
      </c>
      <c r="J10" s="21">
        <f t="shared" si="2"/>
        <v>39100</v>
      </c>
      <c r="K10" s="8" t="s">
        <v>194</v>
      </c>
      <c r="L10" s="9">
        <v>-16000</v>
      </c>
      <c r="M10" s="9">
        <v>-1000</v>
      </c>
      <c r="N10" s="48">
        <v>-1000</v>
      </c>
      <c r="O10" s="21">
        <f t="shared" si="3"/>
        <v>9900</v>
      </c>
      <c r="P10" s="8"/>
      <c r="Q10" s="9"/>
      <c r="R10" s="9"/>
      <c r="S10" s="48"/>
      <c r="T10" s="21">
        <f t="shared" si="4"/>
        <v>56000</v>
      </c>
      <c r="U10" s="53">
        <f>IF($J10="","",ROUND(($J10-$J$3)/1000,1)+(_xlfn.RANK.AVG($J10,($J10,$O10,$T10),1)-2)*10)</f>
        <v>4.0999999999999996</v>
      </c>
      <c r="V10" s="54">
        <f>IF($O10="","",ROUND(($O10-$O$3)/1000,1)+(_xlfn.RANK.AVG($O10,($J10,$O10,$T10),1)-2)*10)</f>
        <v>-35.1</v>
      </c>
      <c r="W10" s="55">
        <f>IF($T10="","",ROUND(($T10-$T$3)/1000,1)+(_xlfn.RANK.AVG($T10,($J10,$O10,$T10),1)-2)*10)</f>
        <v>31</v>
      </c>
      <c r="Y10" s="8"/>
      <c r="Z10" s="34"/>
      <c r="AA10" s="26">
        <v>1</v>
      </c>
      <c r="AB10" s="26"/>
      <c r="AC10" s="26">
        <v>10</v>
      </c>
      <c r="AD10" s="30" t="s">
        <v>199</v>
      </c>
      <c r="AE10" s="40" t="s">
        <v>196</v>
      </c>
      <c r="AF10" s="41" t="s">
        <v>204</v>
      </c>
      <c r="AG10" s="41" t="s">
        <v>104</v>
      </c>
      <c r="AH10" s="41" t="s">
        <v>84</v>
      </c>
      <c r="AI10" s="41" t="s">
        <v>79</v>
      </c>
      <c r="AJ10" s="41" t="s">
        <v>79</v>
      </c>
      <c r="AK10" s="41" t="s">
        <v>79</v>
      </c>
      <c r="AL10" s="41" t="s">
        <v>86</v>
      </c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203</v>
      </c>
      <c r="G11" s="9">
        <v>0</v>
      </c>
      <c r="H11" s="9"/>
      <c r="I11" s="48"/>
      <c r="J11" s="21">
        <f t="shared" si="2"/>
        <v>39100</v>
      </c>
      <c r="K11" s="8" t="s">
        <v>203</v>
      </c>
      <c r="L11" s="9">
        <v>0</v>
      </c>
      <c r="M11" s="9"/>
      <c r="N11" s="48"/>
      <c r="O11" s="21">
        <f t="shared" si="3"/>
        <v>9900</v>
      </c>
      <c r="P11" s="8" t="s">
        <v>203</v>
      </c>
      <c r="Q11" s="9">
        <v>0</v>
      </c>
      <c r="R11" s="9"/>
      <c r="S11" s="48"/>
      <c r="T11" s="21">
        <f t="shared" si="4"/>
        <v>56000</v>
      </c>
      <c r="U11" s="53">
        <f>IF($J11="","",ROUND(($J11-$J$3)/1000,1)+(_xlfn.RANK.AVG($J11,($J11,$O11,$T11),1)-2)*10)</f>
        <v>4.0999999999999996</v>
      </c>
      <c r="V11" s="54">
        <f>IF($O11="","",ROUND(($O11-$O$3)/1000,1)+(_xlfn.RANK.AVG($O11,($J11,$O11,$T11),1)-2)*10)</f>
        <v>-35.1</v>
      </c>
      <c r="W11" s="55">
        <f>IF($T11="","",ROUND(($T11-$T$3)/1000,1)+(_xlfn.RANK.AVG($T11,($J11,$O11,$T11),1)-2)*10)</f>
        <v>31</v>
      </c>
      <c r="Y11" s="8" t="s">
        <v>201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201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201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F54C2ED1-23B5-430D-B98A-9A51FCDA51F7}">
      <formula1>$U$2:$W$2</formula1>
    </dataValidation>
    <dataValidation type="list" showInputMessage="1" showErrorMessage="1" sqref="K4:K30 P4:P30 F4:F30" xr:uid="{2481662F-518D-4FF3-9BB8-B7DC453267B2}">
      <formula1>"ロン,ツモ,放銃,ツモ支払,流局,チョンボ"</formula1>
    </dataValidation>
    <dataValidation type="list" allowBlank="1" showInputMessage="1" sqref="F1:T1" xr:uid="{0CD89DF2-EA6A-4C69-ABF3-85F5278A3BB0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AB2E-29B7-4086-9066-4375257EC788}">
  <sheetPr codeName="Sheet13">
    <pageSetUpPr fitToPage="1"/>
  </sheetPr>
  <dimension ref="A1:CI30"/>
  <sheetViews>
    <sheetView topLeftCell="C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いちかわ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いちかわ</v>
      </c>
      <c r="V2" s="70" t="str">
        <f>$K$1</f>
        <v>たか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194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IF($J4="","",ROUND(($J4-$J$3)/1000,1)+(_xlfn.RANK.AVG($J4,($J4,$O4,$T4),1)-2)*10)</f>
        <v>-17.7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4</v>
      </c>
      <c r="BT4" s="30">
        <v>30</v>
      </c>
      <c r="BU4" s="40" t="s">
        <v>86</v>
      </c>
      <c r="BV4" s="41" t="s">
        <v>79</v>
      </c>
      <c r="BW4" s="41" t="s">
        <v>79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</v>
      </c>
      <c r="F5" s="8" t="s">
        <v>203</v>
      </c>
      <c r="G5" s="9">
        <v>1500</v>
      </c>
      <c r="H5" s="9"/>
      <c r="I5" s="48"/>
      <c r="J5" s="21">
        <f t="shared" ref="J5:J30" si="2">IF(COUNTA($F5,$K5,$P5)&gt;0,J4+SUM(G5:I5),"")</f>
        <v>28800</v>
      </c>
      <c r="K5" s="8" t="s">
        <v>203</v>
      </c>
      <c r="L5" s="9">
        <v>-3000</v>
      </c>
      <c r="M5" s="9"/>
      <c r="N5" s="48"/>
      <c r="O5" s="21">
        <f t="shared" ref="O5:O30" si="3">IF(COUNTA($F5,$K5,$P5)&gt;0,O4+SUM(L5:N5),"")</f>
        <v>32000</v>
      </c>
      <c r="P5" s="8" t="s">
        <v>203</v>
      </c>
      <c r="Q5" s="9">
        <v>1500</v>
      </c>
      <c r="R5" s="9"/>
      <c r="S5" s="48"/>
      <c r="T5" s="21">
        <f t="shared" ref="T5:T30" si="4">IF(COUNTA($F5,$K5,$P5)&gt;0,T4+SUM(Q5:S5),"")</f>
        <v>44200</v>
      </c>
      <c r="U5" s="53">
        <f>IF($J5="","",ROUND(($J5-$J$3)/1000,1)+(_xlfn.RANK.AVG($J5,($J5,$O5,$T5),1)-2)*10)</f>
        <v>-16.2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19.2</v>
      </c>
      <c r="Y5" s="8" t="s">
        <v>202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れんたろう</v>
      </c>
      <c r="F6" s="8"/>
      <c r="G6" s="9"/>
      <c r="H6" s="9"/>
      <c r="I6" s="48"/>
      <c r="J6" s="21">
        <f t="shared" si="2"/>
        <v>28800</v>
      </c>
      <c r="K6" s="8" t="s">
        <v>195</v>
      </c>
      <c r="L6" s="9">
        <v>8000</v>
      </c>
      <c r="M6" s="9"/>
      <c r="N6" s="48">
        <v>1000</v>
      </c>
      <c r="O6" s="21">
        <f t="shared" si="3"/>
        <v>41000</v>
      </c>
      <c r="P6" s="8" t="s">
        <v>194</v>
      </c>
      <c r="Q6" s="9">
        <v>-8000</v>
      </c>
      <c r="R6" s="9"/>
      <c r="S6" s="48">
        <v>-1000</v>
      </c>
      <c r="T6" s="21">
        <f t="shared" si="4"/>
        <v>35200</v>
      </c>
      <c r="U6" s="53">
        <f>IF($J6="","",ROUND(($J6-$J$3)/1000,1)+(_xlfn.RANK.AVG($J6,($J6,$O6,$T6),1)-2)*10)</f>
        <v>-16.2</v>
      </c>
      <c r="V6" s="54">
        <f>IF($O6="","",ROUND(($O6-$O$3)/1000,1)+(_xlfn.RANK.AVG($O6,($J6,$O6,$T6),1)-2)*10)</f>
        <v>16</v>
      </c>
      <c r="W6" s="55">
        <f>IF($T6="","",ROUND(($T6-$T$3)/1000,1)+(_xlfn.RANK.AVG($T6,($J6,$O6,$T6),1)-2)*10)</f>
        <v>0.2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199</v>
      </c>
      <c r="AZ6" s="40" t="s">
        <v>196</v>
      </c>
      <c r="BA6" s="41" t="s">
        <v>204</v>
      </c>
      <c r="BB6" s="41" t="s">
        <v>86</v>
      </c>
      <c r="BC6" s="41" t="s">
        <v>200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いちかわ</v>
      </c>
      <c r="F7" s="8" t="s">
        <v>198</v>
      </c>
      <c r="G7" s="9">
        <v>-700</v>
      </c>
      <c r="H7" s="9"/>
      <c r="I7" s="48">
        <v>0</v>
      </c>
      <c r="J7" s="21">
        <f t="shared" si="2"/>
        <v>28100</v>
      </c>
      <c r="K7" s="8" t="s">
        <v>197</v>
      </c>
      <c r="L7" s="9">
        <v>1200</v>
      </c>
      <c r="M7" s="9">
        <v>1000</v>
      </c>
      <c r="N7" s="48">
        <v>0</v>
      </c>
      <c r="O7" s="21">
        <f t="shared" si="3"/>
        <v>43200</v>
      </c>
      <c r="P7" s="8" t="s">
        <v>198</v>
      </c>
      <c r="Q7" s="9">
        <v>-500</v>
      </c>
      <c r="R7" s="9">
        <v>-1000</v>
      </c>
      <c r="S7" s="48">
        <v>0</v>
      </c>
      <c r="T7" s="21">
        <f t="shared" si="4"/>
        <v>33700</v>
      </c>
      <c r="U7" s="53">
        <f>IF($J7="","",ROUND(($J7-$J$3)/1000,1)+(_xlfn.RANK.AVG($J7,($J7,$O7,$T7),1)-2)*10)</f>
        <v>-16.899999999999999</v>
      </c>
      <c r="V7" s="54">
        <f>IF($O7="","",ROUND(($O7-$O$3)/1000,1)+(_xlfn.RANK.AVG($O7,($J7,$O7,$T7),1)-2)*10)</f>
        <v>18.2</v>
      </c>
      <c r="W7" s="55">
        <f>IF($T7="","",ROUND(($T7-$T$3)/1000,1)+(_xlfn.RANK.AVG($T7,($J7,$O7,$T7),1)-2)*10)</f>
        <v>-1.3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30</v>
      </c>
      <c r="AZ7" s="40" t="s">
        <v>82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</v>
      </c>
      <c r="F8" s="8" t="s">
        <v>203</v>
      </c>
      <c r="G8" s="9">
        <v>-1500</v>
      </c>
      <c r="H8" s="9"/>
      <c r="I8" s="48"/>
      <c r="J8" s="21">
        <f t="shared" si="2"/>
        <v>26600</v>
      </c>
      <c r="K8" s="8" t="s">
        <v>203</v>
      </c>
      <c r="L8" s="9">
        <v>3000</v>
      </c>
      <c r="M8" s="9">
        <v>-1000</v>
      </c>
      <c r="N8" s="48"/>
      <c r="O8" s="21">
        <f t="shared" si="3"/>
        <v>45200</v>
      </c>
      <c r="P8" s="8" t="s">
        <v>203</v>
      </c>
      <c r="Q8" s="9">
        <v>-1500</v>
      </c>
      <c r="R8" s="9"/>
      <c r="S8" s="48"/>
      <c r="T8" s="21">
        <f t="shared" si="4"/>
        <v>32200</v>
      </c>
      <c r="U8" s="53">
        <f>IF($J8="","",ROUND(($J8-$J$3)/1000,1)+(_xlfn.RANK.AVG($J8,($J8,$O8,$T8),1)-2)*10)</f>
        <v>-18.399999999999999</v>
      </c>
      <c r="V8" s="54">
        <f>IF($O8="","",ROUND(($O8-$O$3)/1000,1)+(_xlfn.RANK.AVG($O8,($J8,$O8,$T8),1)-2)*10)</f>
        <v>20.2</v>
      </c>
      <c r="W8" s="55">
        <f>IF($T8="","",ROUND(($T8-$T$3)/1000,1)+(_xlfn.RANK.AVG($T8,($J8,$O8,$T8),1)-2)*10)</f>
        <v>-2.8</v>
      </c>
      <c r="Y8" s="8" t="s">
        <v>201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201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tr">
        <f>IF($K$1="","",$K$1)</f>
        <v>たか</v>
      </c>
      <c r="F9" s="8" t="s">
        <v>194</v>
      </c>
      <c r="G9" s="9">
        <v>-12000</v>
      </c>
      <c r="H9" s="9"/>
      <c r="I9" s="48">
        <v>-1000</v>
      </c>
      <c r="J9" s="21">
        <f t="shared" si="2"/>
        <v>13600</v>
      </c>
      <c r="K9" s="8"/>
      <c r="L9" s="9"/>
      <c r="M9" s="9"/>
      <c r="N9" s="48"/>
      <c r="O9" s="21">
        <f t="shared" si="3"/>
        <v>45200</v>
      </c>
      <c r="P9" s="8" t="s">
        <v>195</v>
      </c>
      <c r="Q9" s="9">
        <v>12000</v>
      </c>
      <c r="R9" s="9">
        <v>1000</v>
      </c>
      <c r="S9" s="48">
        <v>1000</v>
      </c>
      <c r="T9" s="21">
        <f t="shared" si="4"/>
        <v>46200</v>
      </c>
      <c r="U9" s="53">
        <f>IF($J9="","",ROUND(($J9-$J$3)/1000,1)+(_xlfn.RANK.AVG($J9,($J9,$O9,$T9),1)-2)*10)</f>
        <v>-31.4</v>
      </c>
      <c r="V9" s="54">
        <f>IF($O9="","",ROUND(($O9-$O$3)/1000,1)+(_xlfn.RANK.AVG($O9,($J9,$O9,$T9),1)-2)*10)</f>
        <v>10.199999999999999</v>
      </c>
      <c r="W9" s="55">
        <f>IF($T9="","",ROUND(($T9-$T$3)/1000,1)+(_xlfn.RANK.AVG($T9,($J9,$O9,$T9),1)-2)*10)</f>
        <v>21.2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199</v>
      </c>
      <c r="BU9" s="40" t="s">
        <v>196</v>
      </c>
      <c r="BV9" s="41" t="s">
        <v>204</v>
      </c>
      <c r="BW9" s="41" t="s">
        <v>86</v>
      </c>
      <c r="BX9" s="41" t="s">
        <v>86</v>
      </c>
      <c r="BY9" s="41" t="s">
        <v>79</v>
      </c>
      <c r="BZ9" s="41" t="s">
        <v>79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195</v>
      </c>
      <c r="G10" s="9">
        <v>12000</v>
      </c>
      <c r="H10" s="9">
        <v>1000</v>
      </c>
      <c r="I10" s="48">
        <v>0</v>
      </c>
      <c r="J10" s="21">
        <f t="shared" si="2"/>
        <v>26600</v>
      </c>
      <c r="K10" s="8" t="s">
        <v>194</v>
      </c>
      <c r="L10" s="9">
        <v>-12000</v>
      </c>
      <c r="M10" s="9"/>
      <c r="N10" s="48">
        <v>0</v>
      </c>
      <c r="O10" s="21">
        <f t="shared" si="3"/>
        <v>33200</v>
      </c>
      <c r="P10" s="8"/>
      <c r="Q10" s="9"/>
      <c r="R10" s="9">
        <v>-1000</v>
      </c>
      <c r="S10" s="48"/>
      <c r="T10" s="21">
        <f t="shared" si="4"/>
        <v>45200</v>
      </c>
      <c r="U10" s="53">
        <f>IF($J10="","",ROUND(($J10-$J$3)/1000,1)+(_xlfn.RANK.AVG($J10,($J10,$O10,$T10),1)-2)*10)</f>
        <v>-18.399999999999999</v>
      </c>
      <c r="V10" s="54">
        <f>IF($O10="","",ROUND(($O10-$O$3)/1000,1)+(_xlfn.RANK.AVG($O10,($J10,$O10,$T10),1)-2)*10)</f>
        <v>-1.8</v>
      </c>
      <c r="W10" s="55">
        <f>IF($T10="","",ROUND(($T10-$T$3)/1000,1)+(_xlfn.RANK.AVG($T10,($J10,$O10,$T10),1)-2)*10)</f>
        <v>20.2</v>
      </c>
      <c r="Y10" s="8"/>
      <c r="Z10" s="34"/>
      <c r="AA10" s="26">
        <v>1</v>
      </c>
      <c r="AB10" s="26"/>
      <c r="AC10" s="26">
        <v>6</v>
      </c>
      <c r="AD10" s="30" t="s">
        <v>199</v>
      </c>
      <c r="AE10" s="40" t="s">
        <v>196</v>
      </c>
      <c r="AF10" s="41" t="s">
        <v>83</v>
      </c>
      <c r="AG10" s="41" t="s">
        <v>84</v>
      </c>
      <c r="AH10" s="41" t="s">
        <v>79</v>
      </c>
      <c r="AI10" s="41" t="s">
        <v>79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902877D-CA65-48D6-A37A-9662CCE9F78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F0A75F11-1E7C-4B51-9E8B-013AAE9DBF6A}">
      <formula1>"ロン,ツモ,放銃,ツモ支払,流局,チョンボ"</formula1>
    </dataValidation>
    <dataValidation type="list" allowBlank="1" showInputMessage="1" showErrorMessage="1" sqref="E4:E30" xr:uid="{FD646323-BF3A-49BE-97C3-B921BA5FEB5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EEAED-59B3-4C5E-B404-807EAC505479}">
  <sheetPr codeName="Sheet14">
    <pageSetUpPr fitToPage="1"/>
  </sheetPr>
  <dimension ref="A1:CI30"/>
  <sheetViews>
    <sheetView tabSelected="1" topLeftCell="C1" zoomScaleNormal="100" workbookViewId="0">
      <selection activeCell="C1" sqref="C1:C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たか</v>
      </c>
      <c r="W2" s="16" t="str">
        <f>$P$1</f>
        <v>いちかわ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-2600</v>
      </c>
      <c r="H4" s="9"/>
      <c r="I4" s="48">
        <v>0</v>
      </c>
      <c r="J4" s="21">
        <f>IF(COUNTA($F4,$K4,$P4)&gt;0,J3+SUM(G4:I4),"")</f>
        <v>32400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2600</v>
      </c>
      <c r="R4" s="9"/>
      <c r="S4" s="48">
        <v>0</v>
      </c>
      <c r="T4" s="21">
        <f>IF(COUNTA($F4,$K4,$P4)&gt;0,T3+SUM(Q4:S4),"")</f>
        <v>37600</v>
      </c>
      <c r="U4" s="53">
        <f>IF($J4="","",ROUND(($J4-$J$3)/1000,1)+(_xlfn.RANK.AVG($J4,($J4,$O4,$T4),1)-2)*10)</f>
        <v>-12.6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40</v>
      </c>
      <c r="BU4" s="40" t="s">
        <v>86</v>
      </c>
      <c r="BV4" s="41" t="s">
        <v>200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</v>
      </c>
      <c r="F5" s="8" t="s">
        <v>203</v>
      </c>
      <c r="G5" s="9">
        <v>0</v>
      </c>
      <c r="H5" s="9"/>
      <c r="I5" s="48"/>
      <c r="J5" s="21">
        <f t="shared" ref="J5:J30" si="2">IF(COUNTA($F5,$K5,$P5)&gt;0,J4+SUM(G5:I5),"")</f>
        <v>32400</v>
      </c>
      <c r="K5" s="8" t="s">
        <v>203</v>
      </c>
      <c r="L5" s="9">
        <v>0</v>
      </c>
      <c r="M5" s="9"/>
      <c r="N5" s="48"/>
      <c r="O5" s="21">
        <f t="shared" ref="O5:O30" si="3">IF(COUNTA($F5,$K5,$P5)&gt;0,O4+SUM(L5:N5),"")</f>
        <v>35000</v>
      </c>
      <c r="P5" s="8" t="s">
        <v>203</v>
      </c>
      <c r="Q5" s="9">
        <v>0</v>
      </c>
      <c r="R5" s="9"/>
      <c r="S5" s="48"/>
      <c r="T5" s="21">
        <f t="shared" ref="T5:T30" si="4">IF(COUNTA($F5,$K5,$P5)&gt;0,T4+SUM(Q5:S5),"")</f>
        <v>37600</v>
      </c>
      <c r="U5" s="53">
        <f>IF($J5="","",ROUND(($J5-$J$3)/1000,1)+(_xlfn.RANK.AVG($J5,($J5,$O5,$T5),1)-2)*10)</f>
        <v>-12.6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12.6</v>
      </c>
      <c r="Y5" s="8" t="s">
        <v>201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201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いちかわ</v>
      </c>
      <c r="F6" s="8" t="s">
        <v>203</v>
      </c>
      <c r="G6" s="9">
        <v>1500</v>
      </c>
      <c r="H6" s="9">
        <v>-1000</v>
      </c>
      <c r="I6" s="48"/>
      <c r="J6" s="21">
        <f t="shared" si="2"/>
        <v>32900</v>
      </c>
      <c r="K6" s="8" t="s">
        <v>203</v>
      </c>
      <c r="L6" s="9">
        <v>-3000</v>
      </c>
      <c r="M6" s="9"/>
      <c r="N6" s="48"/>
      <c r="O6" s="21">
        <f t="shared" si="3"/>
        <v>32000</v>
      </c>
      <c r="P6" s="8" t="s">
        <v>203</v>
      </c>
      <c r="Q6" s="9">
        <v>1500</v>
      </c>
      <c r="R6" s="9"/>
      <c r="S6" s="48"/>
      <c r="T6" s="21">
        <f t="shared" si="4"/>
        <v>39100</v>
      </c>
      <c r="U6" s="53">
        <f>IF($J6="","",ROUND(($J6-$J$3)/1000,1)+(_xlfn.RANK.AVG($J6,($J6,$O6,$T6),1)-2)*10)</f>
        <v>-2.1</v>
      </c>
      <c r="V6" s="54">
        <f>IF($O6="","",ROUND(($O6-$O$3)/1000,1)+(_xlfn.RANK.AVG($O6,($J6,$O6,$T6),1)-2)*10)</f>
        <v>-13</v>
      </c>
      <c r="W6" s="55">
        <f>IF($T6="","",ROUND(($T6-$T$3)/1000,1)+(_xlfn.RANK.AVG($T6,($J6,$O6,$T6),1)-2)*10)</f>
        <v>14.1</v>
      </c>
      <c r="Y6" s="8" t="s">
        <v>202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201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tr">
        <f>IF($P$1="","",$P$1)</f>
        <v>いちかわ</v>
      </c>
      <c r="F7" s="8" t="s">
        <v>194</v>
      </c>
      <c r="G7" s="9">
        <v>-2900</v>
      </c>
      <c r="H7" s="9">
        <v>-1000</v>
      </c>
      <c r="I7" s="48">
        <v>-2000</v>
      </c>
      <c r="J7" s="21">
        <f t="shared" si="2"/>
        <v>27000</v>
      </c>
      <c r="K7" s="8"/>
      <c r="L7" s="9"/>
      <c r="M7" s="9"/>
      <c r="N7" s="48"/>
      <c r="O7" s="21">
        <f t="shared" si="3"/>
        <v>32000</v>
      </c>
      <c r="P7" s="8" t="s">
        <v>195</v>
      </c>
      <c r="Q7" s="9">
        <v>2900</v>
      </c>
      <c r="R7" s="9">
        <v>2000</v>
      </c>
      <c r="S7" s="48">
        <v>2000</v>
      </c>
      <c r="T7" s="21">
        <f t="shared" si="4"/>
        <v>46000</v>
      </c>
      <c r="U7" s="53">
        <f>IF($J7="","",ROUND(($J7-$J$3)/1000,1)+(_xlfn.RANK.AVG($J7,($J7,$O7,$T7),1)-2)*10)</f>
        <v>-18</v>
      </c>
      <c r="V7" s="54">
        <f>IF($O7="","",ROUND(($O7-$O$3)/1000,1)+(_xlfn.RANK.AVG($O7,($J7,$O7,$T7),1)-2)*10)</f>
        <v>-3</v>
      </c>
      <c r="W7" s="55">
        <f>IF($T7="","",ROUND(($T7-$T$3)/1000,1)+(_xlfn.RANK.AVG($T7,($J7,$O7,$T7),1)-2)*10)</f>
        <v>21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tr">
        <f>IF($P$1="","",$P$1)</f>
        <v>いちかわ</v>
      </c>
      <c r="F8" s="8" t="s">
        <v>195</v>
      </c>
      <c r="G8" s="9">
        <v>1000</v>
      </c>
      <c r="H8" s="9"/>
      <c r="I8" s="48">
        <v>3000</v>
      </c>
      <c r="J8" s="21">
        <f t="shared" si="2"/>
        <v>31000</v>
      </c>
      <c r="K8" s="8" t="s">
        <v>194</v>
      </c>
      <c r="L8" s="9">
        <v>-1000</v>
      </c>
      <c r="M8" s="9"/>
      <c r="N8" s="48">
        <v>-3000</v>
      </c>
      <c r="O8" s="21">
        <f t="shared" si="3"/>
        <v>28000</v>
      </c>
      <c r="P8" s="8"/>
      <c r="Q8" s="9"/>
      <c r="R8" s="9"/>
      <c r="S8" s="48"/>
      <c r="T8" s="21">
        <f t="shared" si="4"/>
        <v>46000</v>
      </c>
      <c r="U8" s="53">
        <f>IF($J8="","",ROUND(($J8-$J$3)/1000,1)+(_xlfn.RANK.AVG($J8,($J8,$O8,$T8),1)-2)*10)</f>
        <v>-4</v>
      </c>
      <c r="V8" s="54">
        <f>IF($O8="","",ROUND(($O8-$O$3)/1000,1)+(_xlfn.RANK.AVG($O8,($J8,$O8,$T8),1)-2)*10)</f>
        <v>-17</v>
      </c>
      <c r="W8" s="55">
        <f>IF($T8="","",ROUND(($T8-$T$3)/1000,1)+(_xlfn.RANK.AVG($T8,($J8,$O8,$T8),1)-2)*10)</f>
        <v>21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203</v>
      </c>
      <c r="G9" s="9">
        <v>1500</v>
      </c>
      <c r="H9" s="9"/>
      <c r="I9" s="48"/>
      <c r="J9" s="21">
        <f t="shared" si="2"/>
        <v>32500</v>
      </c>
      <c r="K9" s="8" t="s">
        <v>203</v>
      </c>
      <c r="L9" s="9">
        <v>-3000</v>
      </c>
      <c r="M9" s="9"/>
      <c r="N9" s="48"/>
      <c r="O9" s="21">
        <f t="shared" si="3"/>
        <v>25000</v>
      </c>
      <c r="P9" s="8" t="s">
        <v>203</v>
      </c>
      <c r="Q9" s="9">
        <v>1500</v>
      </c>
      <c r="R9" s="9">
        <v>-1000</v>
      </c>
      <c r="S9" s="48"/>
      <c r="T9" s="21">
        <f t="shared" si="4"/>
        <v>46500</v>
      </c>
      <c r="U9" s="53">
        <f>IF($J9="","",ROUND(($J9-$J$3)/1000,1)+(_xlfn.RANK.AVG($J9,($J9,$O9,$T9),1)-2)*10)</f>
        <v>-2.5</v>
      </c>
      <c r="V9" s="54">
        <f>IF($O9="","",ROUND(($O9-$O$3)/1000,1)+(_xlfn.RANK.AVG($O9,($J9,$O9,$T9),1)-2)*10)</f>
        <v>-20</v>
      </c>
      <c r="W9" s="55">
        <f>IF($T9="","",ROUND(($T9-$T$3)/1000,1)+(_xlfn.RANK.AVG($T9,($J9,$O9,$T9),1)-2)*10)</f>
        <v>21.5</v>
      </c>
      <c r="Y9" s="8" t="s">
        <v>202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201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IF($F$1="","",$F$1)</f>
        <v>れんたろう</v>
      </c>
      <c r="F10" s="8" t="s">
        <v>198</v>
      </c>
      <c r="G10" s="9">
        <v>-5000</v>
      </c>
      <c r="H10" s="9">
        <v>-1000</v>
      </c>
      <c r="I10" s="48">
        <v>-500</v>
      </c>
      <c r="J10" s="21">
        <f t="shared" si="2"/>
        <v>26000</v>
      </c>
      <c r="K10" s="8" t="s">
        <v>198</v>
      </c>
      <c r="L10" s="9">
        <v>-3000</v>
      </c>
      <c r="M10" s="9">
        <v>-1000</v>
      </c>
      <c r="N10" s="48">
        <v>-500</v>
      </c>
      <c r="O10" s="21">
        <f t="shared" si="3"/>
        <v>20500</v>
      </c>
      <c r="P10" s="8" t="s">
        <v>197</v>
      </c>
      <c r="Q10" s="9">
        <v>8000</v>
      </c>
      <c r="R10" s="9">
        <v>3000</v>
      </c>
      <c r="S10" s="48">
        <v>1000</v>
      </c>
      <c r="T10" s="21">
        <f t="shared" si="4"/>
        <v>58500</v>
      </c>
      <c r="U10" s="53">
        <f>IF($J10="","",ROUND(($J10-$J$3)/1000,1)+(_xlfn.RANK.AVG($J10,($J10,$O10,$T10),1)-2)*10)</f>
        <v>-9</v>
      </c>
      <c r="V10" s="54">
        <f>IF($O10="","",ROUND(($O10-$O$3)/1000,1)+(_xlfn.RANK.AVG($O10,($J10,$O10,$T10),1)-2)*10)</f>
        <v>-24.5</v>
      </c>
      <c r="W10" s="55">
        <f>IF($T10="","",ROUND(($T10-$T$3)/1000,1)+(_xlfn.RANK.AVG($T10,($J10,$O10,$T10),1)-2)*10)</f>
        <v>33.5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199</v>
      </c>
      <c r="BU10" s="40" t="s">
        <v>196</v>
      </c>
      <c r="BV10" s="41" t="s">
        <v>82</v>
      </c>
      <c r="BW10" s="41" t="s">
        <v>83</v>
      </c>
      <c r="BX10" s="41" t="s">
        <v>80</v>
      </c>
      <c r="BY10" s="41" t="s">
        <v>200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たか</v>
      </c>
      <c r="F11" s="8" t="s">
        <v>197</v>
      </c>
      <c r="G11" s="9">
        <v>6400</v>
      </c>
      <c r="H11" s="9">
        <v>1000</v>
      </c>
      <c r="I11" s="48">
        <v>0</v>
      </c>
      <c r="J11" s="21">
        <f t="shared" si="2"/>
        <v>33400</v>
      </c>
      <c r="K11" s="8" t="s">
        <v>198</v>
      </c>
      <c r="L11" s="9">
        <v>-4000</v>
      </c>
      <c r="M11" s="9">
        <v>-1000</v>
      </c>
      <c r="N11" s="48">
        <v>0</v>
      </c>
      <c r="O11" s="21">
        <f t="shared" si="3"/>
        <v>15500</v>
      </c>
      <c r="P11" s="8" t="s">
        <v>198</v>
      </c>
      <c r="Q11" s="9">
        <v>-2400</v>
      </c>
      <c r="R11" s="9"/>
      <c r="S11" s="48">
        <v>0</v>
      </c>
      <c r="T11" s="21">
        <f t="shared" si="4"/>
        <v>56100</v>
      </c>
      <c r="U11" s="53">
        <f>IF($J11="","",ROUND(($J11-$J$3)/1000,1)+(_xlfn.RANK.AVG($J11,($J11,$O11,$T11),1)-2)*10)</f>
        <v>-1.6</v>
      </c>
      <c r="V11" s="54">
        <f>IF($O11="","",ROUND(($O11-$O$3)/1000,1)+(_xlfn.RANK.AVG($O11,($J11,$O11,$T11),1)-2)*10)</f>
        <v>-29.5</v>
      </c>
      <c r="W11" s="55">
        <f>IF($T11="","",ROUND(($T11-$T$3)/1000,1)+(_xlfn.RANK.AVG($T11,($J11,$O11,$T11),1)-2)*10)</f>
        <v>31.1</v>
      </c>
      <c r="Y11" s="8"/>
      <c r="Z11" s="34"/>
      <c r="AA11" s="26"/>
      <c r="AB11" s="26"/>
      <c r="AC11" s="26">
        <v>4</v>
      </c>
      <c r="AD11" s="30">
        <v>25</v>
      </c>
      <c r="AE11" s="40" t="s">
        <v>82</v>
      </c>
      <c r="AF11" s="41" t="s">
        <v>101</v>
      </c>
      <c r="AG11" s="41" t="s">
        <v>200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いちかわ</v>
      </c>
      <c r="F12" s="8" t="s">
        <v>198</v>
      </c>
      <c r="G12" s="9">
        <v>-800</v>
      </c>
      <c r="H12" s="9"/>
      <c r="I12" s="48">
        <v>0</v>
      </c>
      <c r="J12" s="21">
        <f t="shared" si="2"/>
        <v>32600</v>
      </c>
      <c r="K12" s="8" t="s">
        <v>198</v>
      </c>
      <c r="L12" s="9">
        <v>-800</v>
      </c>
      <c r="M12" s="9"/>
      <c r="N12" s="48">
        <v>0</v>
      </c>
      <c r="O12" s="21">
        <f t="shared" si="3"/>
        <v>14700</v>
      </c>
      <c r="P12" s="8" t="s">
        <v>197</v>
      </c>
      <c r="Q12" s="9">
        <v>1600</v>
      </c>
      <c r="R12" s="9"/>
      <c r="S12" s="48">
        <v>0</v>
      </c>
      <c r="T12" s="21">
        <f t="shared" si="4"/>
        <v>57700</v>
      </c>
      <c r="U12" s="53">
        <f>IF($J12="","",ROUND(($J12-$J$3)/1000,1)+(_xlfn.RANK.AVG($J12,($J12,$O12,$T12),1)-2)*10)</f>
        <v>-2.4</v>
      </c>
      <c r="V12" s="54">
        <f>IF($O12="","",ROUND(($O12-$O$3)/1000,1)+(_xlfn.RANK.AVG($O12,($J12,$O12,$T12),1)-2)*10)</f>
        <v>-30.3</v>
      </c>
      <c r="W12" s="55">
        <f>IF($T12="","",ROUND(($T12-$T$3)/1000,1)+(_xlfn.RANK.AVG($T12,($J12,$O12,$T12),1)-2)*10)</f>
        <v>32.700000000000003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1</v>
      </c>
      <c r="BT12" s="30">
        <v>30</v>
      </c>
      <c r="BU12" s="40" t="s">
        <v>82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いちかわ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BFEC550-D02F-4332-9D86-12F38C605517}">
      <formula1>$U$2:$W$2</formula1>
    </dataValidation>
    <dataValidation type="list" showInputMessage="1" showErrorMessage="1" sqref="K4:K30 P4:P30 F4:F30" xr:uid="{DD018567-98BC-42FC-8BF0-CAD103B6F41A}">
      <formula1>"ロン,ツモ,放銃,ツモ支払,流局,チョンボ"</formula1>
    </dataValidation>
    <dataValidation type="list" allowBlank="1" showInputMessage="1" sqref="F1:T1" xr:uid="{19B9838E-6BB5-4BDA-AF98-A2041211B601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2020-11-09T10:51:56Z</dcterms:modified>
</cp:coreProperties>
</file>