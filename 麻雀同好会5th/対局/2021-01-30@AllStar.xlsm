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9C6932AA-8F5F-43F3-B8E1-42EB6CC62CE4}" xr6:coauthVersionLast="45" xr6:coauthVersionMax="45" xr10:uidLastSave="{00000000-0000-0000-0000-000000000000}"/>
  <bookViews>
    <workbookView xWindow="-120" yWindow="-120" windowWidth="29040" windowHeight="15990" activeTab="7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5" r:id="rId6"/>
    <sheet name="Sheet7" sheetId="26" r:id="rId7"/>
    <sheet name="Sheet8" sheetId="27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D10" i="27" s="1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 s="1"/>
  <c r="T11" i="27"/>
  <c r="O11" i="27"/>
  <c r="J11" i="27"/>
  <c r="U11" i="27" s="1"/>
  <c r="D11" i="27"/>
  <c r="C11" i="27"/>
  <c r="B11" i="27"/>
  <c r="A11" i="27" s="1"/>
  <c r="T10" i="27"/>
  <c r="O10" i="27"/>
  <c r="V10" i="27" s="1"/>
  <c r="J10" i="27"/>
  <c r="U10" i="27" s="1"/>
  <c r="C9" i="27"/>
  <c r="D9" i="27"/>
  <c r="C7" i="27"/>
  <c r="D6" i="27"/>
  <c r="T5" i="27"/>
  <c r="T6" i="27" s="1"/>
  <c r="D5" i="27"/>
  <c r="C5" i="27"/>
  <c r="B5" i="27"/>
  <c r="A5" i="27" s="1"/>
  <c r="T4" i="27"/>
  <c r="O4" i="27"/>
  <c r="O5" i="27" s="1"/>
  <c r="J4" i="27"/>
  <c r="J5" i="27" s="1"/>
  <c r="W3" i="27"/>
  <c r="V3" i="27"/>
  <c r="U3" i="27"/>
  <c r="W2" i="27"/>
  <c r="V2" i="27"/>
  <c r="U2" i="27"/>
  <c r="BO1" i="27"/>
  <c r="AT1" i="27"/>
  <c r="Y1" i="27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W11" i="26" s="1"/>
  <c r="O11" i="26"/>
  <c r="V11" i="26" s="1"/>
  <c r="J11" i="26"/>
  <c r="U11" i="26" s="1"/>
  <c r="D11" i="26"/>
  <c r="C11" i="26"/>
  <c r="B11" i="26"/>
  <c r="A11" i="26"/>
  <c r="D9" i="26"/>
  <c r="C8" i="26"/>
  <c r="D8" i="26"/>
  <c r="O7" i="26"/>
  <c r="O8" i="26" s="1"/>
  <c r="D7" i="26"/>
  <c r="O6" i="26"/>
  <c r="J6" i="26"/>
  <c r="D6" i="26"/>
  <c r="O5" i="26"/>
  <c r="J5" i="26"/>
  <c r="C6" i="26"/>
  <c r="C7" i="26" s="1"/>
  <c r="T4" i="26"/>
  <c r="T5" i="26" s="1"/>
  <c r="O4" i="26"/>
  <c r="J4" i="26"/>
  <c r="W3" i="26"/>
  <c r="V3" i="26"/>
  <c r="U3" i="26"/>
  <c r="W2" i="26"/>
  <c r="V2" i="26"/>
  <c r="U2" i="26"/>
  <c r="BO1" i="26"/>
  <c r="AT1" i="26"/>
  <c r="Y1" i="26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1" i="25"/>
  <c r="D11" i="25"/>
  <c r="D10" i="25"/>
  <c r="C10" i="25"/>
  <c r="D9" i="25"/>
  <c r="T7" i="25"/>
  <c r="T8" i="25" s="1"/>
  <c r="C7" i="25"/>
  <c r="D7" i="25"/>
  <c r="T6" i="25"/>
  <c r="O6" i="25"/>
  <c r="O7" i="25" s="1"/>
  <c r="B6" i="25"/>
  <c r="D6" i="25"/>
  <c r="C6" i="25"/>
  <c r="T5" i="25"/>
  <c r="O5" i="25"/>
  <c r="J5" i="25"/>
  <c r="D5" i="25"/>
  <c r="C5" i="25"/>
  <c r="B5" i="25"/>
  <c r="A5" i="25" s="1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V11" i="27" l="1"/>
  <c r="W11" i="27"/>
  <c r="W10" i="27"/>
  <c r="B10" i="27"/>
  <c r="A10" i="27" s="1"/>
  <c r="C10" i="27"/>
  <c r="W4" i="27"/>
  <c r="O6" i="27"/>
  <c r="V5" i="27"/>
  <c r="J6" i="27"/>
  <c r="U5" i="27"/>
  <c r="T7" i="27"/>
  <c r="D7" i="27"/>
  <c r="W5" i="27"/>
  <c r="C8" i="27"/>
  <c r="B6" i="27"/>
  <c r="A6" i="27" s="1"/>
  <c r="D8" i="27"/>
  <c r="U4" i="27"/>
  <c r="C6" i="27"/>
  <c r="V4" i="27"/>
  <c r="B7" i="27"/>
  <c r="D10" i="26"/>
  <c r="U5" i="26"/>
  <c r="W5" i="26"/>
  <c r="V5" i="26"/>
  <c r="T6" i="26"/>
  <c r="U6" i="26" s="1"/>
  <c r="O9" i="26"/>
  <c r="V6" i="26"/>
  <c r="B5" i="26"/>
  <c r="C5" i="26"/>
  <c r="D5" i="26"/>
  <c r="J7" i="26"/>
  <c r="U4" i="26"/>
  <c r="V4" i="26"/>
  <c r="C9" i="26"/>
  <c r="C10" i="26" s="1"/>
  <c r="W4" i="26"/>
  <c r="V5" i="25"/>
  <c r="W4" i="25"/>
  <c r="U4" i="25"/>
  <c r="O8" i="25"/>
  <c r="T9" i="25"/>
  <c r="W5" i="25"/>
  <c r="B8" i="25"/>
  <c r="B9" i="25" s="1"/>
  <c r="A6" i="25"/>
  <c r="C8" i="25"/>
  <c r="D8" i="25"/>
  <c r="C9" i="25"/>
  <c r="B7" i="25"/>
  <c r="C12" i="25"/>
  <c r="U5" i="25"/>
  <c r="J6" i="25"/>
  <c r="J7" i="27" l="1"/>
  <c r="U6" i="27"/>
  <c r="O7" i="27"/>
  <c r="V6" i="27"/>
  <c r="W6" i="27"/>
  <c r="T8" i="27"/>
  <c r="A7" i="27"/>
  <c r="B8" i="27"/>
  <c r="O10" i="26"/>
  <c r="J8" i="26"/>
  <c r="T7" i="26"/>
  <c r="W6" i="26"/>
  <c r="A5" i="26"/>
  <c r="V7" i="26"/>
  <c r="B6" i="26"/>
  <c r="A8" i="25"/>
  <c r="A7" i="25"/>
  <c r="B10" i="25"/>
  <c r="W6" i="25"/>
  <c r="J7" i="25"/>
  <c r="U6" i="25"/>
  <c r="O9" i="25"/>
  <c r="A9" i="25"/>
  <c r="V6" i="25"/>
  <c r="T10" i="25"/>
  <c r="A8" i="27" l="1"/>
  <c r="J8" i="27"/>
  <c r="U7" i="27"/>
  <c r="W7" i="27"/>
  <c r="T9" i="27"/>
  <c r="O8" i="27"/>
  <c r="V7" i="27"/>
  <c r="B9" i="27"/>
  <c r="A9" i="27" s="1"/>
  <c r="B7" i="26"/>
  <c r="A7" i="26" s="1"/>
  <c r="A6" i="26"/>
  <c r="J9" i="26"/>
  <c r="T8" i="26"/>
  <c r="U8" i="26" s="1"/>
  <c r="W7" i="26"/>
  <c r="U7" i="26"/>
  <c r="B11" i="25"/>
  <c r="O10" i="25"/>
  <c r="J8" i="25"/>
  <c r="U7" i="25"/>
  <c r="V7" i="25"/>
  <c r="W7" i="25"/>
  <c r="T11" i="25"/>
  <c r="A10" i="25"/>
  <c r="J9" i="27" l="1"/>
  <c r="U8" i="27"/>
  <c r="O9" i="27"/>
  <c r="V8" i="27"/>
  <c r="W8" i="27"/>
  <c r="V8" i="26"/>
  <c r="B8" i="26"/>
  <c r="T9" i="26"/>
  <c r="W8" i="26"/>
  <c r="J10" i="26"/>
  <c r="V9" i="26"/>
  <c r="A11" i="25"/>
  <c r="O11" i="25"/>
  <c r="U8" i="25"/>
  <c r="J9" i="25"/>
  <c r="W8" i="25"/>
  <c r="V8" i="25"/>
  <c r="T12" i="25"/>
  <c r="B12" i="25"/>
  <c r="A12" i="25" s="1"/>
  <c r="U9" i="27" l="1"/>
  <c r="W9" i="27"/>
  <c r="V9" i="27"/>
  <c r="T10" i="26"/>
  <c r="W10" i="26" s="1"/>
  <c r="W9" i="26"/>
  <c r="B9" i="26"/>
  <c r="A9" i="26" s="1"/>
  <c r="A8" i="26"/>
  <c r="U9" i="26"/>
  <c r="U10" i="26"/>
  <c r="O12" i="25"/>
  <c r="J10" i="25"/>
  <c r="U9" i="25"/>
  <c r="W9" i="25"/>
  <c r="V9" i="25"/>
  <c r="V10" i="26" l="1"/>
  <c r="B10" i="26"/>
  <c r="A10" i="26" s="1"/>
  <c r="J11" i="25"/>
  <c r="U10" i="25"/>
  <c r="W10" i="25"/>
  <c r="V10" i="25"/>
  <c r="J12" i="25" l="1"/>
  <c r="U11" i="25"/>
  <c r="W11" i="25"/>
  <c r="V11" i="25"/>
  <c r="U12" i="25" l="1"/>
  <c r="W12" i="25"/>
  <c r="V12" i="25"/>
  <c r="E12" i="23" l="1"/>
  <c r="E11" i="23"/>
  <c r="E10" i="23"/>
  <c r="E9" i="23"/>
  <c r="E8" i="23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C12" i="23"/>
  <c r="D12" i="23"/>
  <c r="D10" i="23"/>
  <c r="C6" i="23"/>
  <c r="D6" i="23"/>
  <c r="O5" i="23"/>
  <c r="O6" i="23" s="1"/>
  <c r="D5" i="23"/>
  <c r="C5" i="23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C13" i="22"/>
  <c r="E12" i="22"/>
  <c r="D12" i="22" s="1"/>
  <c r="E11" i="22"/>
  <c r="E10" i="22"/>
  <c r="E9" i="22"/>
  <c r="E8" i="22"/>
  <c r="E7" i="22"/>
  <c r="D7" i="22" s="1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U13" i="22" s="1"/>
  <c r="T12" i="22"/>
  <c r="O12" i="22"/>
  <c r="J12" i="22"/>
  <c r="B12" i="22"/>
  <c r="D11" i="22"/>
  <c r="C11" i="22"/>
  <c r="D10" i="22"/>
  <c r="D9" i="22"/>
  <c r="C8" i="22"/>
  <c r="D8" i="22"/>
  <c r="O7" i="22"/>
  <c r="O8" i="22" s="1"/>
  <c r="C7" i="22"/>
  <c r="O6" i="22"/>
  <c r="J6" i="22"/>
  <c r="D6" i="22"/>
  <c r="O5" i="22"/>
  <c r="J5" i="22"/>
  <c r="B5" i="22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D12" i="21"/>
  <c r="E11" i="21"/>
  <c r="E10" i="21"/>
  <c r="E9" i="21"/>
  <c r="E8" i="2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T11" i="21"/>
  <c r="O11" i="21"/>
  <c r="V11" i="21" s="1"/>
  <c r="J11" i="21"/>
  <c r="D11" i="21"/>
  <c r="C11" i="21"/>
  <c r="B11" i="21"/>
  <c r="A11" i="21"/>
  <c r="D9" i="21"/>
  <c r="D7" i="21"/>
  <c r="J6" i="21"/>
  <c r="J7" i="21" s="1"/>
  <c r="D6" i="21"/>
  <c r="J5" i="21"/>
  <c r="C6" i="21"/>
  <c r="C7" i="21" s="1"/>
  <c r="T4" i="21"/>
  <c r="T5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E10" i="20"/>
  <c r="E9" i="20"/>
  <c r="E8" i="20"/>
  <c r="E7" i="20"/>
  <c r="E6" i="20"/>
  <c r="E5" i="20"/>
  <c r="V4" i="23" l="1"/>
  <c r="W13" i="22"/>
  <c r="V13" i="22"/>
  <c r="T6" i="23"/>
  <c r="O7" i="23"/>
  <c r="C11" i="23"/>
  <c r="U4" i="23"/>
  <c r="J5" i="23"/>
  <c r="W5" i="23" s="1"/>
  <c r="D11" i="23"/>
  <c r="W4" i="23"/>
  <c r="D9" i="23"/>
  <c r="C7" i="23"/>
  <c r="C8" i="23" s="1"/>
  <c r="C9" i="23" s="1"/>
  <c r="C10" i="23" s="1"/>
  <c r="B5" i="23"/>
  <c r="D7" i="23"/>
  <c r="B13" i="22"/>
  <c r="A13" i="22" s="1"/>
  <c r="D13" i="22"/>
  <c r="U12" i="22"/>
  <c r="W12" i="22"/>
  <c r="V12" i="22"/>
  <c r="A12" i="22"/>
  <c r="C12" i="22"/>
  <c r="T6" i="22"/>
  <c r="W5" i="22"/>
  <c r="V5" i="22"/>
  <c r="U5" i="22"/>
  <c r="A5" i="22"/>
  <c r="O9" i="22"/>
  <c r="C10" i="22"/>
  <c r="C5" i="22"/>
  <c r="D5" i="22"/>
  <c r="J7" i="22"/>
  <c r="B6" i="22"/>
  <c r="U4" i="22"/>
  <c r="C6" i="22"/>
  <c r="V4" i="22"/>
  <c r="C9" i="22"/>
  <c r="W4" i="22"/>
  <c r="B12" i="21"/>
  <c r="A12" i="21" s="1"/>
  <c r="C12" i="21"/>
  <c r="U11" i="21"/>
  <c r="W11" i="21"/>
  <c r="J8" i="21"/>
  <c r="O6" i="21"/>
  <c r="U5" i="21"/>
  <c r="V5" i="21"/>
  <c r="T6" i="21"/>
  <c r="W5" i="21"/>
  <c r="C8" i="21"/>
  <c r="C9" i="21" s="1"/>
  <c r="C10" i="21" s="1"/>
  <c r="C5" i="21"/>
  <c r="D10" i="21"/>
  <c r="B5" i="21"/>
  <c r="D5" i="21"/>
  <c r="U6" i="21"/>
  <c r="U4" i="21"/>
  <c r="V4" i="21"/>
  <c r="B6" i="21"/>
  <c r="B7" i="21" s="1"/>
  <c r="W4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O7" i="20"/>
  <c r="O8" i="20" s="1"/>
  <c r="D7" i="20"/>
  <c r="C7" i="20"/>
  <c r="O6" i="20"/>
  <c r="J6" i="20"/>
  <c r="J7" i="20" s="1"/>
  <c r="D6" i="20"/>
  <c r="O5" i="20"/>
  <c r="J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V5" i="23" l="1"/>
  <c r="B6" i="23"/>
  <c r="T7" i="23"/>
  <c r="A5" i="23"/>
  <c r="J6" i="23"/>
  <c r="U5" i="23"/>
  <c r="O8" i="23"/>
  <c r="O10" i="22"/>
  <c r="T7" i="22"/>
  <c r="W6" i="22"/>
  <c r="B7" i="22"/>
  <c r="A7" i="22" s="1"/>
  <c r="V6" i="22"/>
  <c r="A6" i="22"/>
  <c r="J8" i="22"/>
  <c r="U7" i="22"/>
  <c r="U6" i="22"/>
  <c r="B8" i="21"/>
  <c r="A8" i="21" s="1"/>
  <c r="J9" i="21"/>
  <c r="A5" i="21"/>
  <c r="A6" i="21" s="1"/>
  <c r="A7" i="21" s="1"/>
  <c r="T7" i="21"/>
  <c r="W6" i="21"/>
  <c r="V6" i="21"/>
  <c r="O7" i="21"/>
  <c r="V5" i="20"/>
  <c r="J8" i="20"/>
  <c r="U5" i="20"/>
  <c r="T6" i="20"/>
  <c r="U6" i="20" s="1"/>
  <c r="W5" i="20"/>
  <c r="O9" i="20"/>
  <c r="B5" i="20"/>
  <c r="A5" i="20" s="1"/>
  <c r="C10" i="20"/>
  <c r="C5" i="20"/>
  <c r="D5" i="20"/>
  <c r="C8" i="20"/>
  <c r="C9" i="20" s="1"/>
  <c r="C6" i="20"/>
  <c r="U4" i="20"/>
  <c r="V4" i="20"/>
  <c r="W4" i="20"/>
  <c r="D9" i="20"/>
  <c r="E4" i="19"/>
  <c r="T8" i="23" l="1"/>
  <c r="B7" i="23"/>
  <c r="A6" i="23"/>
  <c r="O9" i="23"/>
  <c r="J7" i="23"/>
  <c r="W7" i="23" s="1"/>
  <c r="U6" i="23"/>
  <c r="V6" i="23"/>
  <c r="W6" i="23"/>
  <c r="J9" i="22"/>
  <c r="V8" i="22"/>
  <c r="O11" i="22"/>
  <c r="B8" i="22"/>
  <c r="W7" i="22"/>
  <c r="T8" i="22"/>
  <c r="U8" i="22" s="1"/>
  <c r="V7" i="22"/>
  <c r="W7" i="21"/>
  <c r="T8" i="21"/>
  <c r="B9" i="21"/>
  <c r="A9" i="21" s="1"/>
  <c r="J10" i="21"/>
  <c r="O8" i="21"/>
  <c r="V7" i="21"/>
  <c r="U7" i="21"/>
  <c r="J9" i="20"/>
  <c r="B6" i="20"/>
  <c r="O10" i="20"/>
  <c r="T7" i="20"/>
  <c r="W6" i="20"/>
  <c r="V6" i="20"/>
  <c r="W3" i="19"/>
  <c r="V3" i="19"/>
  <c r="U3" i="19"/>
  <c r="B8" i="23" l="1"/>
  <c r="T9" i="23"/>
  <c r="J8" i="23"/>
  <c r="U7" i="23"/>
  <c r="V7" i="23"/>
  <c r="O10" i="23"/>
  <c r="A7" i="23"/>
  <c r="T9" i="22"/>
  <c r="U9" i="22" s="1"/>
  <c r="W8" i="22"/>
  <c r="J10" i="22"/>
  <c r="B9" i="22"/>
  <c r="A8" i="22"/>
  <c r="T9" i="21"/>
  <c r="W8" i="21"/>
  <c r="O9" i="21"/>
  <c r="V8" i="21"/>
  <c r="U8" i="21"/>
  <c r="B10" i="21"/>
  <c r="A10" i="21" s="1"/>
  <c r="J10" i="20"/>
  <c r="T8" i="20"/>
  <c r="W7" i="20"/>
  <c r="V7" i="20"/>
  <c r="U7" i="20"/>
  <c r="O11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3" l="1"/>
  <c r="B9" i="23"/>
  <c r="A8" i="23"/>
  <c r="O11" i="23"/>
  <c r="J9" i="23"/>
  <c r="W9" i="23" s="1"/>
  <c r="U8" i="23"/>
  <c r="V8" i="23"/>
  <c r="W8" i="23"/>
  <c r="W9" i="22"/>
  <c r="T10" i="22"/>
  <c r="J11" i="22"/>
  <c r="B10" i="22"/>
  <c r="A10" i="22" s="1"/>
  <c r="A9" i="22"/>
  <c r="V9" i="22"/>
  <c r="T10" i="21"/>
  <c r="W9" i="21"/>
  <c r="O10" i="21"/>
  <c r="V9" i="21"/>
  <c r="U9" i="21"/>
  <c r="B8" i="20"/>
  <c r="J11" i="20"/>
  <c r="T9" i="20"/>
  <c r="W8" i="20"/>
  <c r="U8" i="20"/>
  <c r="V8" i="20"/>
  <c r="A7" i="20"/>
  <c r="U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3" l="1"/>
  <c r="J10" i="23"/>
  <c r="U9" i="23"/>
  <c r="V9" i="23"/>
  <c r="T11" i="23"/>
  <c r="O12" i="23"/>
  <c r="B10" i="23"/>
  <c r="A10" i="23" s="1"/>
  <c r="T11" i="22"/>
  <c r="W11" i="22" s="1"/>
  <c r="W10" i="22"/>
  <c r="B11" i="22"/>
  <c r="A11" i="22" s="1"/>
  <c r="V10" i="22"/>
  <c r="U10" i="22"/>
  <c r="W10" i="21"/>
  <c r="V10" i="21"/>
  <c r="U10" i="21"/>
  <c r="B9" i="20"/>
  <c r="A8" i="20"/>
  <c r="T10" i="20"/>
  <c r="W9" i="20"/>
  <c r="V9" i="20"/>
  <c r="U9" i="20"/>
  <c r="W5" i="19"/>
  <c r="V5" i="19"/>
  <c r="U5" i="19"/>
  <c r="J11" i="23" l="1"/>
  <c r="W11" i="23" s="1"/>
  <c r="U10" i="23"/>
  <c r="V10" i="23"/>
  <c r="B11" i="23"/>
  <c r="W10" i="23"/>
  <c r="T12" i="23"/>
  <c r="V11" i="22"/>
  <c r="U11" i="22"/>
  <c r="B10" i="20"/>
  <c r="A9" i="20"/>
  <c r="T11" i="20"/>
  <c r="W10" i="20"/>
  <c r="U10" i="20"/>
  <c r="V10" i="20"/>
  <c r="B12" i="23" l="1"/>
  <c r="A12" i="23" s="1"/>
  <c r="A11" i="23"/>
  <c r="J12" i="23"/>
  <c r="U11" i="23"/>
  <c r="V11" i="23"/>
  <c r="A10" i="20"/>
  <c r="B11" i="20"/>
  <c r="A11" i="20" s="1"/>
  <c r="W11" i="20"/>
  <c r="V11" i="20"/>
  <c r="U11" i="20"/>
  <c r="W12" i="23" l="1"/>
  <c r="U12" i="23"/>
  <c r="V12" i="23"/>
</calcChain>
</file>

<file path=xl/sharedStrings.xml><?xml version="1.0" encoding="utf-8"?>
<sst xmlns="http://schemas.openxmlformats.org/spreadsheetml/2006/main" count="1264" uniqueCount="209">
  <si>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</si>
  <si>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</si>
  <si>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</si>
  <si>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</si>
  <si>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</si>
  <si>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</si>
  <si>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</si>
  <si>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</si>
  <si>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</si>
  <si>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</si>
  <si>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</si>
  <si>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</si>
  <si>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</si>
  <si>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</si>
  <si>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</si>
  <si>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</si>
  <si>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</si>
  <si>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</si>
  <si>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</si>
  <si>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</si>
  <si>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</si>
  <si>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</si>
  <si>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</si>
  <si>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</si>
  <si>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</si>
  <si>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</si>
  <si>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</si>
  <si>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</si>
  <si>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</si>
  <si>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</si>
  <si>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</si>
  <si>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</si>
  <si>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</si>
  <si>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</si>
  <si>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</si>
  <si>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</si>
  <si>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</si>
  <si>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</si>
  <si>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</si>
  <si>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</si>
  <si>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</si>
  <si>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</si>
  <si>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</si>
  <si>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</si>
  <si>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</si>
  <si>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</si>
  <si>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</si>
  <si>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</si>
  <si>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</si>
  <si>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</si>
  <si>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</si>
  <si>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</si>
  <si>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</si>
  <si>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</si>
  <si>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</si>
  <si>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</si>
  <si>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</si>
  <si>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</si>
  <si>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</si>
  <si>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</si>
  <si>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</si>
  <si>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</si>
  <si>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</si>
  <si>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</si>
  <si>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</si>
  <si>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</si>
  <si>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</si>
  <si>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</si>
  <si>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</si>
  <si>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</si>
  <si>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</si>
  <si>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</si>
  <si>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</si>
  <si>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</si>
  <si>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</si>
  <si>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</si>
  <si>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</si>
  <si>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</si>
  <si>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</si>
  <si>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</si>
  <si>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</si>
  <si>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</si>
  <si>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</si>
  <si>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</si>
  <si>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</si>
  <si>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</si>
  <si>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</si>
  <si>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</si>
  <si>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</si>
  <si>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</si>
  <si>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</si>
  <si>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</si>
  <si>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</si>
  <si>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</si>
  <si>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</si>
  <si>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</si>
  <si>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</si>
  <si>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</si>
  <si>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</si>
  <si>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</si>
  <si>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</si>
  <si>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</si>
  <si>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</si>
  <si>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</si>
  <si>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</si>
  <si>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</si>
  <si>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</si>
  <si>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</si>
  <si>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</si>
  <si>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</si>
  <si>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</si>
  <si>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</si>
  <si>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</si>
  <si>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</si>
  <si>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</si>
  <si>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</si>
  <si>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</si>
  <si>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</si>
  <si>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</si>
  <si>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</si>
  <si>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</si>
  <si>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</si>
  <si>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</si>
  <si>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</si>
  <si>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</si>
  <si>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</si>
  <si>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</si>
  <si>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</si>
  <si>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</si>
  <si>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</si>
  <si>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</si>
  <si>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</si>
  <si>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</si>
  <si>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</si>
  <si>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</si>
  <si>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</si>
  <si>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</si>
  <si>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</si>
  <si>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</si>
  <si>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</si>
  <si>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</si>
  <si>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</si>
  <si>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</si>
  <si>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</si>
  <si>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</si>
  <si>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</si>
  <si>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</si>
  <si>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</si>
  <si>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</si>
  <si>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</si>
  <si>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</si>
  <si>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</si>
  <si>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</si>
  <si>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</si>
  <si>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</si>
  <si>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</si>
  <si>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</si>
  <si>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</si>
  <si>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</si>
  <si>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</si>
  <si>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</si>
  <si>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</si>
  <si>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</si>
  <si>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</si>
  <si>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</si>
  <si>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</si>
  <si>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</si>
  <si>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</si>
  <si>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</si>
  <si>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</si>
  <si>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</si>
  <si>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</si>
  <si>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</si>
  <si>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</si>
  <si>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</si>
  <si>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</si>
  <si>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</si>
  <si>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</si>
  <si>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</si>
  <si>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</si>
  <si>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</si>
  <si>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</si>
  <si>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</si>
  <si>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</si>
  <si>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</si>
  <si>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</si>
  <si>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</si>
  <si>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</si>
  <si>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</si>
  <si>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</si>
  <si>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</si>
  <si>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</si>
  <si>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りくと</t>
    <phoneticPr fontId="1"/>
  </si>
  <si>
    <t>だいち</t>
    <phoneticPr fontId="1"/>
  </si>
  <si>
    <t>N</t>
  </si>
  <si>
    <t>T</t>
  </si>
  <si>
    <t>流局</t>
    <phoneticPr fontId="1"/>
  </si>
  <si>
    <t>ツモ</t>
  </si>
  <si>
    <t>ツモ支払</t>
  </si>
  <si>
    <t>*</t>
  </si>
  <si>
    <t>52</t>
  </si>
  <si>
    <t>01</t>
  </si>
  <si>
    <t>02</t>
  </si>
  <si>
    <t>ロン</t>
  </si>
  <si>
    <t>放銃</t>
  </si>
  <si>
    <t>りくと</t>
  </si>
  <si>
    <t>流局</t>
    <phoneticPr fontId="1"/>
  </si>
  <si>
    <t>ただ</t>
  </si>
  <si>
    <t>だいち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</si>
</sst>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りくと</v>
      </c>
      <c r="F5" s="8" t="s">
        <v>197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47500</v>
      </c>
      <c r="K5" s="8" t="s">
        <v>198</v>
      </c>
      <c r="L5" s="9">
        <v>-7500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-4500</v>
      </c>
      <c r="R5" s="9"/>
      <c r="S5" s="48">
        <v>-500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22.5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-3</v>
      </c>
      <c r="Y5" s="8"/>
      <c r="Z5" s="34"/>
      <c r="AA5" s="26"/>
      <c r="AB5" s="26">
        <v>1</v>
      </c>
      <c r="AC5" s="26">
        <v>6</v>
      </c>
      <c r="AD5" s="30" t="s">
        <v>199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 t="s">
        <v>200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-3000</v>
      </c>
      <c r="H6" s="9"/>
      <c r="I6" s="48">
        <v>0</v>
      </c>
      <c r="J6" s="21">
        <f t="shared" si="2"/>
        <v>44500</v>
      </c>
      <c r="K6" s="8" t="s">
        <v>197</v>
      </c>
      <c r="L6" s="9">
        <v>8000</v>
      </c>
      <c r="M6" s="9"/>
      <c r="N6" s="48">
        <v>0</v>
      </c>
      <c r="O6" s="21">
        <f t="shared" si="3"/>
        <v>33500</v>
      </c>
      <c r="P6" s="8" t="s">
        <v>198</v>
      </c>
      <c r="Q6" s="9">
        <v>-5000</v>
      </c>
      <c r="R6" s="9"/>
      <c r="S6" s="48">
        <v>0</v>
      </c>
      <c r="T6" s="21">
        <f t="shared" si="4"/>
        <v>27000</v>
      </c>
      <c r="U6" s="53">
        <f>IF($J6="","",ROUND(($J6-$J$3)/1000,1)+(_xlfn.RANK.AVG($J6,($J6,$O6,$T6),1)-2)*10)</f>
        <v>19.5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-18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201</v>
      </c>
      <c r="BA6" s="41" t="s">
        <v>82</v>
      </c>
      <c r="BB6" s="41" t="s">
        <v>202</v>
      </c>
      <c r="BC6" s="41" t="s">
        <v>83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197</v>
      </c>
      <c r="G7" s="9">
        <v>12000</v>
      </c>
      <c r="H7" s="9"/>
      <c r="I7" s="48">
        <v>0</v>
      </c>
      <c r="J7" s="21">
        <f t="shared" si="2"/>
        <v>56500</v>
      </c>
      <c r="K7" s="8" t="s">
        <v>198</v>
      </c>
      <c r="L7" s="9">
        <v>-6000</v>
      </c>
      <c r="M7" s="9"/>
      <c r="N7" s="48">
        <v>0</v>
      </c>
      <c r="O7" s="21">
        <f t="shared" si="3"/>
        <v>27500</v>
      </c>
      <c r="P7" s="8" t="s">
        <v>198</v>
      </c>
      <c r="Q7" s="9">
        <v>-6000</v>
      </c>
      <c r="R7" s="9"/>
      <c r="S7" s="48">
        <v>0</v>
      </c>
      <c r="T7" s="21">
        <f t="shared" si="4"/>
        <v>21000</v>
      </c>
      <c r="U7" s="53">
        <f>IF($J7="","",ROUND(($J7-$J$3)/1000,1)+(_xlfn.RANK.AVG($J7,($J7,$O7,$T7),1)-2)*10)</f>
        <v>31.5</v>
      </c>
      <c r="V7" s="54">
        <f>IF($O7="","",ROUND(($O7-$O$3)/1000,1)+(_xlfn.RANK.AVG($O7,($J7,$O7,$T7),1)-2)*10)</f>
        <v>-7.5</v>
      </c>
      <c r="W7" s="55">
        <f>IF($T7="","",ROUND(($T7-$T$3)/1000,1)+(_xlfn.RANK.AVG($T7,($J7,$O7,$T7),1)-2)*10)</f>
        <v>-24</v>
      </c>
      <c r="Y7" s="8"/>
      <c r="Z7" s="34"/>
      <c r="AA7" s="26"/>
      <c r="AB7" s="26">
        <v>1</v>
      </c>
      <c r="AC7" s="26">
        <v>5</v>
      </c>
      <c r="AD7" s="30" t="s">
        <v>199</v>
      </c>
      <c r="AE7" s="40" t="s">
        <v>104</v>
      </c>
      <c r="AF7" s="41" t="s">
        <v>86</v>
      </c>
      <c r="AG7" s="41" t="s">
        <v>98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203</v>
      </c>
      <c r="G8" s="9">
        <v>3900</v>
      </c>
      <c r="H8" s="9">
        <v>1000</v>
      </c>
      <c r="I8" s="48">
        <v>1000</v>
      </c>
      <c r="J8" s="21">
        <f t="shared" si="2"/>
        <v>62400</v>
      </c>
      <c r="K8" s="8"/>
      <c r="L8" s="9"/>
      <c r="M8" s="9"/>
      <c r="N8" s="48"/>
      <c r="O8" s="21">
        <f t="shared" si="3"/>
        <v>27500</v>
      </c>
      <c r="P8" s="8" t="s">
        <v>204</v>
      </c>
      <c r="Q8" s="9">
        <v>-3900</v>
      </c>
      <c r="R8" s="9">
        <v>-1000</v>
      </c>
      <c r="S8" s="48">
        <v>-1000</v>
      </c>
      <c r="T8" s="21">
        <f t="shared" si="4"/>
        <v>15100</v>
      </c>
      <c r="U8" s="53">
        <f>IF($J8="","",ROUND(($J8-$J$3)/1000,1)+(_xlfn.RANK.AVG($J8,($J8,$O8,$T8),1)-2)*10)</f>
        <v>37.4</v>
      </c>
      <c r="V8" s="54">
        <f>IF($O8="","",ROUND(($O8-$O$3)/1000,1)+(_xlfn.RANK.AVG($O8,($J8,$O8,$T8),1)-2)*10)</f>
        <v>-7.5</v>
      </c>
      <c r="W8" s="55">
        <f>IF($T8="","",ROUND(($T8-$T$3)/1000,1)+(_xlfn.RANK.AVG($T8,($J8,$O8,$T8),1)-2)*10)</f>
        <v>-29.9</v>
      </c>
      <c r="Y8" s="8"/>
      <c r="Z8" s="34"/>
      <c r="AA8" s="26"/>
      <c r="AB8" s="26"/>
      <c r="AC8" s="26">
        <v>2</v>
      </c>
      <c r="AD8" s="30">
        <v>40</v>
      </c>
      <c r="AE8" s="40" t="s">
        <v>85</v>
      </c>
      <c r="AF8" s="41" t="s">
        <v>84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198</v>
      </c>
      <c r="G9" s="9">
        <v>-5000</v>
      </c>
      <c r="H9" s="9"/>
      <c r="I9" s="48">
        <v>-1000</v>
      </c>
      <c r="J9" s="21">
        <f t="shared" si="2"/>
        <v>56400</v>
      </c>
      <c r="K9" s="8" t="s">
        <v>198</v>
      </c>
      <c r="L9" s="9">
        <v>-3000</v>
      </c>
      <c r="M9" s="9"/>
      <c r="N9" s="48">
        <v>-1000</v>
      </c>
      <c r="O9" s="21">
        <f t="shared" si="3"/>
        <v>23500</v>
      </c>
      <c r="P9" s="8" t="s">
        <v>197</v>
      </c>
      <c r="Q9" s="9">
        <v>8000</v>
      </c>
      <c r="R9" s="9"/>
      <c r="S9" s="48">
        <v>2000</v>
      </c>
      <c r="T9" s="21">
        <f t="shared" si="4"/>
        <v>25100</v>
      </c>
      <c r="U9" s="53">
        <f>IF($J9="","",ROUND(($J9-$J$3)/1000,1)+(_xlfn.RANK.AVG($J9,($J9,$O9,$T9),1)-2)*10)</f>
        <v>31.4</v>
      </c>
      <c r="V9" s="54">
        <f>IF($O9="","",ROUND(($O9-$O$3)/1000,1)+(_xlfn.RANK.AVG($O9,($J9,$O9,$T9),1)-2)*10)</f>
        <v>-21.5</v>
      </c>
      <c r="W9" s="55">
        <f>IF($T9="","",ROUND(($T9-$T$3)/1000,1)+(_xlfn.RANK.AVG($T9,($J9,$O9,$T9),1)-2)*10)</f>
        <v>-9.9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104</v>
      </c>
      <c r="BV9" s="41" t="s">
        <v>86</v>
      </c>
      <c r="BW9" s="41" t="s">
        <v>200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198</v>
      </c>
      <c r="G10" s="9">
        <v>-1500</v>
      </c>
      <c r="H10" s="9"/>
      <c r="I10" s="48">
        <v>0</v>
      </c>
      <c r="J10" s="21">
        <f t="shared" si="2"/>
        <v>54900</v>
      </c>
      <c r="K10" s="8" t="s">
        <v>198</v>
      </c>
      <c r="L10" s="9">
        <v>-2500</v>
      </c>
      <c r="M10" s="9"/>
      <c r="N10" s="48">
        <v>0</v>
      </c>
      <c r="O10" s="21">
        <f t="shared" si="3"/>
        <v>21000</v>
      </c>
      <c r="P10" s="8" t="s">
        <v>197</v>
      </c>
      <c r="Q10" s="9">
        <v>4000</v>
      </c>
      <c r="R10" s="9"/>
      <c r="S10" s="48">
        <v>0</v>
      </c>
      <c r="T10" s="21">
        <f t="shared" si="4"/>
        <v>29100</v>
      </c>
      <c r="U10" s="53">
        <f>IF($J10="","",ROUND(($J10-$J$3)/1000,1)+(_xlfn.RANK.AVG($J10,($J10,$O10,$T10),1)-2)*10)</f>
        <v>29.9</v>
      </c>
      <c r="V10" s="54">
        <f>IF($O10="","",ROUND(($O10-$O$3)/1000,1)+(_xlfn.RANK.AVG($O10,($J10,$O10,$T10),1)-2)*10)</f>
        <v>-24</v>
      </c>
      <c r="W10" s="55">
        <f>IF($T10="","",ROUND(($T10-$T$3)/1000,1)+(_xlfn.RANK.AVG($T10,($J10,$O10,$T10),1)-2)*10)</f>
        <v>-5.9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92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-3000</v>
      </c>
      <c r="H11" s="9"/>
      <c r="I11" s="48">
        <v>0</v>
      </c>
      <c r="J11" s="21">
        <f t="shared" si="2"/>
        <v>51900</v>
      </c>
      <c r="K11" s="8" t="s">
        <v>197</v>
      </c>
      <c r="L11" s="9">
        <v>8000</v>
      </c>
      <c r="M11" s="9">
        <v>1000</v>
      </c>
      <c r="N11" s="48">
        <v>0</v>
      </c>
      <c r="O11" s="21">
        <f t="shared" si="3"/>
        <v>30000</v>
      </c>
      <c r="P11" s="8" t="s">
        <v>198</v>
      </c>
      <c r="Q11" s="9">
        <v>-5000</v>
      </c>
      <c r="R11" s="9">
        <v>-1000</v>
      </c>
      <c r="S11" s="48">
        <v>0</v>
      </c>
      <c r="T11" s="21">
        <f t="shared" si="4"/>
        <v>23100</v>
      </c>
      <c r="U11" s="53">
        <f>IF($J11="","",ROUND(($J11-$J$3)/1000,1)+(_xlfn.RANK.AVG($J11,($J11,$O11,$T11),1)-2)*10)</f>
        <v>26.9</v>
      </c>
      <c r="V11" s="54">
        <f>IF($O11="","",ROUND(($O11-$O$3)/1000,1)+(_xlfn.RANK.AVG($O11,($J11,$O11,$T11),1)-2)*10)</f>
        <v>-5</v>
      </c>
      <c r="W11" s="55">
        <f>IF($T11="","",ROUND(($T11-$T$3)/1000,1)+(_xlfn.RANK.AVG($T11,($J11,$O11,$T11),1)-2)*10)</f>
        <v>-21.9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201</v>
      </c>
      <c r="BA11" s="41" t="s">
        <v>82</v>
      </c>
      <c r="BB11" s="41" t="s">
        <v>79</v>
      </c>
      <c r="BC11" s="41" t="s">
        <v>79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D79D07B-0308-4634-B0B7-E2BCA5C2E458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5170-D213-4C10-A060-E6EF3AF7646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203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204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201</v>
      </c>
      <c r="AF4" s="41" t="s">
        <v>202</v>
      </c>
      <c r="AG4" s="41" t="s">
        <v>200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3900</v>
      </c>
      <c r="H5" s="9"/>
      <c r="I5" s="48">
        <v>0</v>
      </c>
      <c r="J5" s="21">
        <f t="shared" ref="J5:J30" si="2">IF(COUNTA($F5,$K5,$P5)&gt;0,J4+SUM(G5:I5),"")</f>
        <v>46900</v>
      </c>
      <c r="K5" s="8"/>
      <c r="L5" s="9"/>
      <c r="M5" s="9"/>
      <c r="N5" s="48"/>
      <c r="O5" s="21">
        <f t="shared" ref="O5:O30" si="3">IF(COUNTA($F5,$K5,$P5)&gt;0,O4+SUM(L5:N5),"")</f>
        <v>27000</v>
      </c>
      <c r="P5" s="8" t="s">
        <v>204</v>
      </c>
      <c r="Q5" s="9">
        <v>-3900</v>
      </c>
      <c r="R5" s="9"/>
      <c r="S5" s="48">
        <v>0</v>
      </c>
      <c r="T5" s="21">
        <f t="shared" ref="T5:T30" si="4">IF(COUNTA($F5,$K5,$P5)&gt;0,T4+SUM(Q5:S5),"")</f>
        <v>31100</v>
      </c>
      <c r="U5" s="53">
        <f>IF($J5="","",ROUND(($J5-$J$3)/1000,1)+(_xlfn.RANK.AVG($J5,($J5,$O5,$T5),1)-2)*10)</f>
        <v>21.9</v>
      </c>
      <c r="V5" s="54">
        <f>IF($O5="","",ROUND(($O5-$O$3)/1000,1)+(_xlfn.RANK.AVG($O5,($J5,$O5,$T5),1)-2)*10)</f>
        <v>-18</v>
      </c>
      <c r="W5" s="55">
        <f>IF($T5="","",ROUND(($T5-$T$3)/1000,1)+(_xlfn.RANK.AVG($T5,($J5,$O5,$T5),1)-2)*10)</f>
        <v>-3.9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ただ</v>
      </c>
      <c r="F6" s="8" t="s">
        <v>203</v>
      </c>
      <c r="G6" s="9">
        <v>5800</v>
      </c>
      <c r="H6" s="9"/>
      <c r="I6" s="48">
        <v>0</v>
      </c>
      <c r="J6" s="21">
        <f t="shared" si="2"/>
        <v>52700</v>
      </c>
      <c r="K6" s="8" t="s">
        <v>204</v>
      </c>
      <c r="L6" s="9">
        <v>-5800</v>
      </c>
      <c r="M6" s="9"/>
      <c r="N6" s="48">
        <v>0</v>
      </c>
      <c r="O6" s="21">
        <f t="shared" si="3"/>
        <v>21200</v>
      </c>
      <c r="P6" s="8"/>
      <c r="Q6" s="9"/>
      <c r="R6" s="9"/>
      <c r="S6" s="48"/>
      <c r="T6" s="21">
        <f t="shared" si="4"/>
        <v>31100</v>
      </c>
      <c r="U6" s="53">
        <f>IF($J6="","",ROUND(($J6-$J$3)/1000,1)+(_xlfn.RANK.AVG($J6,($J6,$O6,$T6),1)-2)*10)</f>
        <v>27.7</v>
      </c>
      <c r="V6" s="54">
        <f>IF($O6="","",ROUND(($O6-$O$3)/1000,1)+(_xlfn.RANK.AVG($O6,($J6,$O6,$T6),1)-2)*10)</f>
        <v>-23.8</v>
      </c>
      <c r="W6" s="55">
        <f>IF($T6="","",ROUND(($T6-$T$3)/1000,1)+(_xlfn.RANK.AVG($T6,($J6,$O6,$T6),1)-2)*10)</f>
        <v>-3.9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201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ただ</v>
      </c>
      <c r="F7" s="8" t="s">
        <v>203</v>
      </c>
      <c r="G7" s="9">
        <v>3900</v>
      </c>
      <c r="H7" s="9"/>
      <c r="I7" s="48">
        <v>1000</v>
      </c>
      <c r="J7" s="21">
        <f t="shared" si="2"/>
        <v>57600</v>
      </c>
      <c r="K7" s="8" t="s">
        <v>204</v>
      </c>
      <c r="L7" s="9">
        <v>-3900</v>
      </c>
      <c r="M7" s="9"/>
      <c r="N7" s="48">
        <v>-1000</v>
      </c>
      <c r="O7" s="21">
        <f t="shared" si="3"/>
        <v>16300</v>
      </c>
      <c r="P7" s="8"/>
      <c r="Q7" s="9"/>
      <c r="R7" s="9"/>
      <c r="S7" s="48"/>
      <c r="T7" s="21">
        <f t="shared" si="4"/>
        <v>31100</v>
      </c>
      <c r="U7" s="53">
        <f>IF($J7="","",ROUND(($J7-$J$3)/1000,1)+(_xlfn.RANK.AVG($J7,($J7,$O7,$T7),1)-2)*10)</f>
        <v>32.6</v>
      </c>
      <c r="V7" s="54">
        <f>IF($O7="","",ROUND(($O7-$O$3)/1000,1)+(_xlfn.RANK.AVG($O7,($J7,$O7,$T7),1)-2)*10)</f>
        <v>-28.7</v>
      </c>
      <c r="W7" s="55">
        <f>IF($T7="","",ROUND(($T7-$T$3)/1000,1)+(_xlfn.RANK.AVG($T7,($J7,$O7,$T7),1)-2)*10)</f>
        <v>-3.9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86</v>
      </c>
      <c r="AF7" s="41" t="s">
        <v>201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IF($F$1="","",$F$1)</f>
        <v>ただ</v>
      </c>
      <c r="F8" s="8" t="s">
        <v>203</v>
      </c>
      <c r="G8" s="9">
        <v>2900</v>
      </c>
      <c r="H8" s="9"/>
      <c r="I8" s="48">
        <v>2000</v>
      </c>
      <c r="J8" s="21">
        <f t="shared" si="2"/>
        <v>62500</v>
      </c>
      <c r="K8" s="8" t="s">
        <v>204</v>
      </c>
      <c r="L8" s="9">
        <v>-2900</v>
      </c>
      <c r="M8" s="9"/>
      <c r="N8" s="48">
        <v>-2000</v>
      </c>
      <c r="O8" s="21">
        <f t="shared" si="3"/>
        <v>11400</v>
      </c>
      <c r="P8" s="8"/>
      <c r="Q8" s="9"/>
      <c r="R8" s="9"/>
      <c r="S8" s="48"/>
      <c r="T8" s="21">
        <f t="shared" si="4"/>
        <v>31100</v>
      </c>
      <c r="U8" s="53">
        <f>IF($J8="","",ROUND(($J8-$J$3)/1000,1)+(_xlfn.RANK.AVG($J8,($J8,$O8,$T8),1)-2)*10)</f>
        <v>37.5</v>
      </c>
      <c r="V8" s="54">
        <f>IF($O8="","",ROUND(($O8-$O$3)/1000,1)+(_xlfn.RANK.AVG($O8,($J8,$O8,$T8),1)-2)*10)</f>
        <v>-33.6</v>
      </c>
      <c r="W8" s="55">
        <f>IF($T8="","",ROUND(($T8-$T$3)/1000,1)+(_xlfn.RANK.AVG($T8,($J8,$O8,$T8),1)-2)*10)</f>
        <v>-3.9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IF($F$1="","",$F$1)</f>
        <v>ただ</v>
      </c>
      <c r="F9" s="8" t="s">
        <v>197</v>
      </c>
      <c r="G9" s="9">
        <v>18000</v>
      </c>
      <c r="H9" s="9"/>
      <c r="I9" s="48">
        <v>3000</v>
      </c>
      <c r="J9" s="21">
        <f t="shared" si="2"/>
        <v>83500</v>
      </c>
      <c r="K9" s="8" t="s">
        <v>198</v>
      </c>
      <c r="L9" s="9">
        <v>-9000</v>
      </c>
      <c r="M9" s="9"/>
      <c r="N9" s="48">
        <v>-1500</v>
      </c>
      <c r="O9" s="21">
        <f t="shared" si="3"/>
        <v>900</v>
      </c>
      <c r="P9" s="8" t="s">
        <v>198</v>
      </c>
      <c r="Q9" s="9">
        <v>-9000</v>
      </c>
      <c r="R9" s="9"/>
      <c r="S9" s="48">
        <v>-1500</v>
      </c>
      <c r="T9" s="21">
        <f t="shared" si="4"/>
        <v>20600</v>
      </c>
      <c r="U9" s="53">
        <f>IF($J9="","",ROUND(($J9-$J$3)/1000,1)+(_xlfn.RANK.AVG($J9,($J9,$O9,$T9),1)-2)*10)</f>
        <v>58.5</v>
      </c>
      <c r="V9" s="54">
        <f>IF($O9="","",ROUND(($O9-$O$3)/1000,1)+(_xlfn.RANK.AVG($O9,($J9,$O9,$T9),1)-2)*10)</f>
        <v>-44.1</v>
      </c>
      <c r="W9" s="55">
        <f>IF($T9="","",ROUND(($T9-$T$3)/1000,1)+(_xlfn.RANK.AVG($T9,($J9,$O9,$T9),1)-2)*10)</f>
        <v>-14.4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201</v>
      </c>
      <c r="AF9" s="41" t="s">
        <v>82</v>
      </c>
      <c r="AG9" s="41" t="s">
        <v>202</v>
      </c>
      <c r="AH9" s="41" t="s">
        <v>83</v>
      </c>
      <c r="AI9" s="41" t="s">
        <v>200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tr">
        <f>IF($F$1="","",$F$1)</f>
        <v>ただ</v>
      </c>
      <c r="F10" s="8" t="s">
        <v>206</v>
      </c>
      <c r="G10" s="9">
        <v>-1500</v>
      </c>
      <c r="H10" s="9"/>
      <c r="I10" s="48"/>
      <c r="J10" s="21">
        <f t="shared" si="2"/>
        <v>82000</v>
      </c>
      <c r="K10" s="8" t="s">
        <v>206</v>
      </c>
      <c r="L10" s="9">
        <v>-1500</v>
      </c>
      <c r="M10" s="9"/>
      <c r="N10" s="48"/>
      <c r="O10" s="21">
        <f t="shared" si="3"/>
        <v>-600</v>
      </c>
      <c r="P10" s="8" t="s">
        <v>206</v>
      </c>
      <c r="Q10" s="9">
        <v>3000</v>
      </c>
      <c r="R10" s="9"/>
      <c r="S10" s="48"/>
      <c r="T10" s="21">
        <f t="shared" si="4"/>
        <v>23600</v>
      </c>
      <c r="U10" s="53">
        <f>IF($J10="","",ROUND(($J10-$J$3)/1000,1)+(_xlfn.RANK.AVG($J10,($J10,$O10,$T10),1)-2)*10)</f>
        <v>57</v>
      </c>
      <c r="V10" s="54">
        <f>IF($O10="","",ROUND(($O10-$O$3)/1000,1)+(_xlfn.RANK.AVG($O10,($J10,$O10,$T10),1)-2)*10)</f>
        <v>-45.6</v>
      </c>
      <c r="W10" s="55">
        <f>IF($T10="","",ROUND(($T10-$T$3)/1000,1)+(_xlfn.RANK.AVG($T10,($J10,$O10,$T10),1)-2)*10)</f>
        <v>-11.4</v>
      </c>
      <c r="Y10" s="8" t="s">
        <v>194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showInputMessage="1" showErrorMessage="1" sqref="K4:K30 P4:P30 F4:F30" xr:uid="{92962610-3FCD-4625-8455-D44E553C7317}">
      <formula1>"ロン,ツモ,放銃,ツモ支払,流局,チョンボ"</formula1>
    </dataValidation>
    <dataValidation type="list" allowBlank="1" showInputMessage="1" showErrorMessage="1" sqref="E4:E30" xr:uid="{F19D5D4A-48F5-47C7-8FB0-96A74903456F}">
      <formula1>$U$2:$W$2</formula1>
    </dataValidation>
    <dataValidation type="list" allowBlank="1" showInputMessage="1" sqref="F1:T1" xr:uid="{CA793504-ED7D-4F03-8CFA-8F48721AB523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A8082-0B8A-48F9-939B-449A554E517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1300</v>
      </c>
      <c r="M4" s="9"/>
      <c r="N4" s="48">
        <v>0</v>
      </c>
      <c r="O4" s="21">
        <f>IF(COUNTA($F4,$K4,$P4)&gt;0,O3+SUM(L4:N4),"")</f>
        <v>36300</v>
      </c>
      <c r="P4" s="8" t="s">
        <v>204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11.3</v>
      </c>
      <c r="W4" s="55">
        <f>IF($T4="","",ROUND(($T4-$T$3)/1000,1)+(_xlfn.RANK.AVG($T4,($J4,$O4,$T4),1)-2)*10)</f>
        <v>-11.3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201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33800</v>
      </c>
      <c r="P5" s="8" t="s">
        <v>198</v>
      </c>
      <c r="Q5" s="9">
        <v>-1500</v>
      </c>
      <c r="R5" s="9"/>
      <c r="S5" s="48">
        <v>0</v>
      </c>
      <c r="T5" s="21">
        <f t="shared" ref="T5:T30" si="4">IF(COUNTA($F5,$K5,$P5)&gt;0,T4+SUM(Q5:S5),"")</f>
        <v>32200</v>
      </c>
      <c r="U5" s="53">
        <f>IF($J5="","",ROUND(($J5-$J$3)/1000,1)+(_xlfn.RANK.AVG($J5,($J5,$O5,$T5),1)-2)*10)</f>
        <v>14</v>
      </c>
      <c r="V5" s="54">
        <f>IF($O5="","",ROUND(($O5-$O$3)/1000,1)+(_xlfn.RANK.AVG($O5,($J5,$O5,$T5),1)-2)*10)</f>
        <v>-1.2</v>
      </c>
      <c r="W5" s="55">
        <f>IF($T5="","",ROUND(($T5-$T$3)/1000,1)+(_xlfn.RANK.AVG($T5,($J5,$O5,$T5),1)-2)*10)</f>
        <v>-12.8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86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204</v>
      </c>
      <c r="G6" s="9">
        <v>-2000</v>
      </c>
      <c r="H6" s="9">
        <v>-1000</v>
      </c>
      <c r="I6" s="48">
        <v>0</v>
      </c>
      <c r="J6" s="21">
        <f t="shared" si="2"/>
        <v>36000</v>
      </c>
      <c r="K6" s="8" t="s">
        <v>203</v>
      </c>
      <c r="L6" s="9">
        <v>2000</v>
      </c>
      <c r="M6" s="9">
        <v>1000</v>
      </c>
      <c r="N6" s="48">
        <v>0</v>
      </c>
      <c r="O6" s="21">
        <f t="shared" si="3"/>
        <v>36800</v>
      </c>
      <c r="P6" s="8"/>
      <c r="Q6" s="9"/>
      <c r="R6" s="9"/>
      <c r="S6" s="48"/>
      <c r="T6" s="21">
        <f t="shared" si="4"/>
        <v>32200</v>
      </c>
      <c r="U6" s="53">
        <f>IF($J6="","",ROUND(($J6-$J$3)/1000,1)+(_xlfn.RANK.AVG($J6,($J6,$O6,$T6),1)-2)*10)</f>
        <v>1</v>
      </c>
      <c r="V6" s="54">
        <f>IF($O6="","",ROUND(($O6-$O$3)/1000,1)+(_xlfn.RANK.AVG($O6,($J6,$O6,$T6),1)-2)*10)</f>
        <v>11.8</v>
      </c>
      <c r="W6" s="55">
        <f>IF($T6="","",ROUND(($T6-$T$3)/1000,1)+(_xlfn.RANK.AVG($T6,($J6,$O6,$T6),1)-2)*10)</f>
        <v>-12.8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83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203</v>
      </c>
      <c r="G7" s="9">
        <v>4800</v>
      </c>
      <c r="H7" s="9"/>
      <c r="I7" s="48">
        <v>0</v>
      </c>
      <c r="J7" s="21">
        <f t="shared" si="2"/>
        <v>40800</v>
      </c>
      <c r="K7" s="8"/>
      <c r="L7" s="9"/>
      <c r="M7" s="9"/>
      <c r="N7" s="48"/>
      <c r="O7" s="21">
        <f t="shared" si="3"/>
        <v>36800</v>
      </c>
      <c r="P7" s="8" t="s">
        <v>204</v>
      </c>
      <c r="Q7" s="9">
        <v>-4800</v>
      </c>
      <c r="R7" s="9"/>
      <c r="S7" s="48">
        <v>0</v>
      </c>
      <c r="T7" s="21">
        <f t="shared" si="4"/>
        <v>27400</v>
      </c>
      <c r="U7" s="53">
        <f>IF($J7="","",ROUND(($J7-$J$3)/1000,1)+(_xlfn.RANK.AVG($J7,($J7,$O7,$T7),1)-2)*10)</f>
        <v>15.8</v>
      </c>
      <c r="V7" s="54">
        <f>IF($O7="","",ROUND(($O7-$O$3)/1000,1)+(_xlfn.RANK.AVG($O7,($J7,$O7,$T7),1)-2)*10)</f>
        <v>1.8</v>
      </c>
      <c r="W7" s="55">
        <f>IF($T7="","",ROUND(($T7-$T$3)/1000,1)+(_xlfn.RANK.AVG($T7,($J7,$O7,$T7),1)-2)*10)</f>
        <v>-17.600000000000001</v>
      </c>
      <c r="Y7" s="8"/>
      <c r="Z7" s="34"/>
      <c r="AA7" s="26">
        <v>1</v>
      </c>
      <c r="AB7" s="26"/>
      <c r="AC7" s="26">
        <v>3</v>
      </c>
      <c r="AD7" s="30">
        <v>25</v>
      </c>
      <c r="AE7" s="40" t="s">
        <v>201</v>
      </c>
      <c r="AF7" s="41" t="s">
        <v>101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196</v>
      </c>
      <c r="G8" s="9">
        <v>1500</v>
      </c>
      <c r="H8" s="9"/>
      <c r="I8" s="48"/>
      <c r="J8" s="21">
        <f t="shared" si="2"/>
        <v>42300</v>
      </c>
      <c r="K8" s="8" t="s">
        <v>196</v>
      </c>
      <c r="L8" s="9">
        <v>-3000</v>
      </c>
      <c r="M8" s="9"/>
      <c r="N8" s="48"/>
      <c r="O8" s="21">
        <f t="shared" si="3"/>
        <v>33800</v>
      </c>
      <c r="P8" s="8" t="s">
        <v>196</v>
      </c>
      <c r="Q8" s="9">
        <v>1500</v>
      </c>
      <c r="R8" s="9"/>
      <c r="S8" s="48"/>
      <c r="T8" s="21">
        <f t="shared" si="4"/>
        <v>28900</v>
      </c>
      <c r="U8" s="53">
        <f>IF($J8="","",ROUND(($J8-$J$3)/1000,1)+(_xlfn.RANK.AVG($J8,($J8,$O8,$T8),1)-2)*10)</f>
        <v>17.3</v>
      </c>
      <c r="V8" s="54">
        <f>IF($O8="","",ROUND(($O8-$O$3)/1000,1)+(_xlfn.RANK.AVG($O8,($J8,$O8,$T8),1)-2)*10)</f>
        <v>-1.2</v>
      </c>
      <c r="W8" s="55">
        <f>IF($T8="","",ROUND(($T8-$T$3)/1000,1)+(_xlfn.RANK.AVG($T8,($J8,$O8,$T8),1)-2)*10)</f>
        <v>-16.100000000000001</v>
      </c>
      <c r="Y8" s="8" t="s">
        <v>195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198</v>
      </c>
      <c r="G9" s="9">
        <v>-5000</v>
      </c>
      <c r="H9" s="9"/>
      <c r="I9" s="48">
        <v>-1000</v>
      </c>
      <c r="J9" s="21">
        <f t="shared" si="2"/>
        <v>36300</v>
      </c>
      <c r="K9" s="8" t="s">
        <v>197</v>
      </c>
      <c r="L9" s="9">
        <v>8000</v>
      </c>
      <c r="M9" s="9"/>
      <c r="N9" s="48">
        <v>2000</v>
      </c>
      <c r="O9" s="21">
        <f t="shared" si="3"/>
        <v>43800</v>
      </c>
      <c r="P9" s="8" t="s">
        <v>198</v>
      </c>
      <c r="Q9" s="9">
        <v>-3000</v>
      </c>
      <c r="R9" s="9"/>
      <c r="S9" s="48">
        <v>-1000</v>
      </c>
      <c r="T9" s="21">
        <f t="shared" si="4"/>
        <v>24900</v>
      </c>
      <c r="U9" s="53">
        <f>IF($J9="","",ROUND(($J9-$J$3)/1000,1)+(_xlfn.RANK.AVG($J9,($J9,$O9,$T9),1)-2)*10)</f>
        <v>1.3</v>
      </c>
      <c r="V9" s="54">
        <f>IF($O9="","",ROUND(($O9-$O$3)/1000,1)+(_xlfn.RANK.AVG($O9,($J9,$O9,$T9),1)-2)*10)</f>
        <v>18.8</v>
      </c>
      <c r="W9" s="55">
        <f>IF($T9="","",ROUND(($T9-$T$3)/1000,1)+(_xlfn.RANK.AVG($T9,($J9,$O9,$T9),1)-2)*10)</f>
        <v>-20.100000000000001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201</v>
      </c>
      <c r="BA9" s="41" t="s">
        <v>82</v>
      </c>
      <c r="BB9" s="41" t="s">
        <v>84</v>
      </c>
      <c r="BC9" s="41" t="s">
        <v>200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/>
      <c r="G10" s="9"/>
      <c r="H10" s="9">
        <v>-1000</v>
      </c>
      <c r="I10" s="48"/>
      <c r="J10" s="21">
        <f t="shared" si="2"/>
        <v>35300</v>
      </c>
      <c r="K10" s="8" t="s">
        <v>204</v>
      </c>
      <c r="L10" s="9">
        <v>-32000</v>
      </c>
      <c r="M10" s="9"/>
      <c r="N10" s="48">
        <v>0</v>
      </c>
      <c r="O10" s="21">
        <f t="shared" si="3"/>
        <v>11800</v>
      </c>
      <c r="P10" s="8" t="s">
        <v>203</v>
      </c>
      <c r="Q10" s="9">
        <v>32000</v>
      </c>
      <c r="R10" s="9">
        <v>1000</v>
      </c>
      <c r="S10" s="48">
        <v>0</v>
      </c>
      <c r="T10" s="21">
        <f t="shared" si="4"/>
        <v>57900</v>
      </c>
      <c r="U10" s="53">
        <f>IF($J10="","",ROUND(($J10-$J$3)/1000,1)+(_xlfn.RANK.AVG($J10,($J10,$O10,$T10),1)-2)*10)</f>
        <v>0.3</v>
      </c>
      <c r="V10" s="54">
        <f>IF($O10="","",ROUND(($O10-$O$3)/1000,1)+(_xlfn.RANK.AVG($O10,($J10,$O10,$T10),1)-2)*10)</f>
        <v>-33.200000000000003</v>
      </c>
      <c r="W10" s="55">
        <f>IF($T10="","",ROUND(($T10-$T$3)/1000,1)+(_xlfn.RANK.AVG($T10,($J10,$O10,$T10),1)-2)*10)</f>
        <v>32.9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13</v>
      </c>
      <c r="BT10" s="30" t="s">
        <v>199</v>
      </c>
      <c r="BU10" s="40" t="s">
        <v>107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197</v>
      </c>
      <c r="G11" s="9">
        <v>8000</v>
      </c>
      <c r="H11" s="9"/>
      <c r="I11" s="48">
        <v>0</v>
      </c>
      <c r="J11" s="21">
        <f t="shared" si="2"/>
        <v>43300</v>
      </c>
      <c r="K11" s="8" t="s">
        <v>198</v>
      </c>
      <c r="L11" s="9">
        <v>-3000</v>
      </c>
      <c r="M11" s="9"/>
      <c r="N11" s="48">
        <v>0</v>
      </c>
      <c r="O11" s="21">
        <f t="shared" si="3"/>
        <v>8800</v>
      </c>
      <c r="P11" s="8" t="s">
        <v>198</v>
      </c>
      <c r="Q11" s="9">
        <v>-5000</v>
      </c>
      <c r="R11" s="9"/>
      <c r="S11" s="48">
        <v>0</v>
      </c>
      <c r="T11" s="21">
        <f t="shared" si="4"/>
        <v>52900</v>
      </c>
      <c r="U11" s="53">
        <f>IF($J11="","",ROUND(($J11-$J$3)/1000,1)+(_xlfn.RANK.AVG($J11,($J11,$O11,$T11),1)-2)*10)</f>
        <v>8.3000000000000007</v>
      </c>
      <c r="V11" s="54">
        <f>IF($O11="","",ROUND(($O11-$O$3)/1000,1)+(_xlfn.RANK.AVG($O11,($J11,$O11,$T11),1)-2)*10)</f>
        <v>-36.200000000000003</v>
      </c>
      <c r="W11" s="55">
        <f>IF($T11="","",ROUND(($T11-$T$3)/1000,1)+(_xlfn.RANK.AVG($T11,($J11,$O11,$T11),1)-2)*10)</f>
        <v>27.9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201</v>
      </c>
      <c r="AF11" s="41" t="s">
        <v>82</v>
      </c>
      <c r="AG11" s="41" t="s">
        <v>83</v>
      </c>
      <c r="AH11" s="41" t="s">
        <v>84</v>
      </c>
      <c r="AI11" s="41" t="s">
        <v>80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AB4B238A-1D0E-499F-B61E-9B52978B5A22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7E831903-36DC-4800-8D16-D3474C55E7B9}">
      <formula1>$U$2:$W$2</formula1>
    </dataValidation>
    <dataValidation type="list" showInputMessage="1" showErrorMessage="1" sqref="K4:K30 P4:P30 F4:F30" xr:uid="{BC73A638-67F0-4D20-8E86-E0B7CDD2D77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AC06-DCB8-4FBC-87AA-F1B30E8D616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198</v>
      </c>
      <c r="G4" s="9">
        <v>-18000</v>
      </c>
      <c r="H4" s="9"/>
      <c r="I4" s="48">
        <v>0</v>
      </c>
      <c r="J4" s="21">
        <f>IF(COUNTA($F4,$K4,$P4)&gt;0,J3+SUM(G4:I4),"")</f>
        <v>17000</v>
      </c>
      <c r="K4" s="8" t="s">
        <v>197</v>
      </c>
      <c r="L4" s="9">
        <v>36000</v>
      </c>
      <c r="M4" s="9"/>
      <c r="N4" s="48">
        <v>0</v>
      </c>
      <c r="O4" s="21">
        <f>IF(COUNTA($F4,$K4,$P4)&gt;0,O3+SUM(L4:N4),"")</f>
        <v>71000</v>
      </c>
      <c r="P4" s="8" t="s">
        <v>198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46</v>
      </c>
      <c r="W4" s="55">
        <f>IF($T4="","",ROUND(($T4-$T$3)/1000,1)+(_xlfn.RANK.AVG($T4,($J4,$O4,$T4),1)-2)*10)</f>
        <v>-23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11</v>
      </c>
      <c r="AY4" s="30" t="s">
        <v>199</v>
      </c>
      <c r="AZ4" s="40" t="s">
        <v>201</v>
      </c>
      <c r="BA4" s="41" t="s">
        <v>82</v>
      </c>
      <c r="BB4" s="41" t="s">
        <v>202</v>
      </c>
      <c r="BC4" s="41" t="s">
        <v>104</v>
      </c>
      <c r="BD4" s="41" t="s">
        <v>92</v>
      </c>
      <c r="BE4" s="41" t="s">
        <v>84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198</v>
      </c>
      <c r="G5" s="9">
        <v>-800</v>
      </c>
      <c r="H5" s="9"/>
      <c r="I5" s="48">
        <v>-500</v>
      </c>
      <c r="J5" s="21">
        <f t="shared" ref="J5:J30" si="2">IF(COUNTA($F5,$K5,$P5)&gt;0,J4+SUM(G5:I5),"")</f>
        <v>15700</v>
      </c>
      <c r="K5" s="8" t="s">
        <v>198</v>
      </c>
      <c r="L5" s="9">
        <v>-1300</v>
      </c>
      <c r="M5" s="9"/>
      <c r="N5" s="48">
        <v>-500</v>
      </c>
      <c r="O5" s="21">
        <f t="shared" ref="O5:O30" si="3">IF(COUNTA($F5,$K5,$P5)&gt;0,O4+SUM(L5:N5),"")</f>
        <v>69200</v>
      </c>
      <c r="P5" s="8" t="s">
        <v>197</v>
      </c>
      <c r="Q5" s="9">
        <v>2100</v>
      </c>
      <c r="R5" s="9"/>
      <c r="S5" s="48">
        <v>1000</v>
      </c>
      <c r="T5" s="21">
        <f t="shared" ref="T5:T30" si="4">IF(COUNTA($F5,$K5,$P5)&gt;0,T4+SUM(Q5:S5),"")</f>
        <v>20100</v>
      </c>
      <c r="U5" s="53">
        <f>IF($J5="","",ROUND(($J5-$J$3)/1000,1)+(_xlfn.RANK.AVG($J5,($J5,$O5,$T5),1)-2)*10)</f>
        <v>-29.3</v>
      </c>
      <c r="V5" s="54">
        <f>IF($O5="","",ROUND(($O5-$O$3)/1000,1)+(_xlfn.RANK.AVG($O5,($J5,$O5,$T5),1)-2)*10)</f>
        <v>44.2</v>
      </c>
      <c r="W5" s="55">
        <f>IF($T5="","",ROUND(($T5-$T$3)/1000,1)+(_xlfn.RANK.AVG($T5,($J5,$O5,$T5),1)-2)*10)</f>
        <v>-14.9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203</v>
      </c>
      <c r="G6" s="9">
        <v>1300</v>
      </c>
      <c r="H6" s="9">
        <v>1000</v>
      </c>
      <c r="I6" s="48">
        <v>0</v>
      </c>
      <c r="J6" s="21">
        <f t="shared" si="2"/>
        <v>18000</v>
      </c>
      <c r="K6" s="8" t="s">
        <v>204</v>
      </c>
      <c r="L6" s="9">
        <v>-1300</v>
      </c>
      <c r="M6" s="9"/>
      <c r="N6" s="48">
        <v>0</v>
      </c>
      <c r="O6" s="21">
        <f t="shared" si="3"/>
        <v>67900</v>
      </c>
      <c r="P6" s="8"/>
      <c r="Q6" s="9"/>
      <c r="R6" s="9">
        <v>-1000</v>
      </c>
      <c r="S6" s="48"/>
      <c r="T6" s="21">
        <f t="shared" si="4"/>
        <v>19100</v>
      </c>
      <c r="U6" s="53">
        <f>IF($J6="","",ROUND(($J6-$J$3)/1000,1)+(_xlfn.RANK.AVG($J6,($J6,$O6,$T6),1)-2)*10)</f>
        <v>-27</v>
      </c>
      <c r="V6" s="54">
        <f>IF($O6="","",ROUND(($O6-$O$3)/1000,1)+(_xlfn.RANK.AVG($O6,($J6,$O6,$T6),1)-2)*10)</f>
        <v>42.9</v>
      </c>
      <c r="W6" s="55">
        <f>IF($T6="","",ROUND(($T6-$T$3)/1000,1)+(_xlfn.RANK.AVG($T6,($J6,$O6,$T6),1)-2)*10)</f>
        <v>-15.9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203</v>
      </c>
      <c r="G7" s="9">
        <v>7700</v>
      </c>
      <c r="H7" s="9">
        <v>1000</v>
      </c>
      <c r="I7" s="48">
        <v>0</v>
      </c>
      <c r="J7" s="21">
        <f t="shared" si="2"/>
        <v>26700</v>
      </c>
      <c r="K7" s="8" t="s">
        <v>204</v>
      </c>
      <c r="L7" s="9">
        <v>-7700</v>
      </c>
      <c r="M7" s="9">
        <v>-1000</v>
      </c>
      <c r="N7" s="48">
        <v>0</v>
      </c>
      <c r="O7" s="21">
        <f t="shared" si="3"/>
        <v>59200</v>
      </c>
      <c r="P7" s="8"/>
      <c r="Q7" s="9"/>
      <c r="R7" s="9"/>
      <c r="S7" s="48"/>
      <c r="T7" s="21">
        <f t="shared" si="4"/>
        <v>19100</v>
      </c>
      <c r="U7" s="53">
        <f>IF($J7="","",ROUND(($J7-$J$3)/1000,1)+(_xlfn.RANK.AVG($J7,($J7,$O7,$T7),1)-2)*10)</f>
        <v>-8.3000000000000007</v>
      </c>
      <c r="V7" s="54">
        <f>IF($O7="","",ROUND(($O7-$O$3)/1000,1)+(_xlfn.RANK.AVG($O7,($J7,$O7,$T7),1)-2)*10)</f>
        <v>34.200000000000003</v>
      </c>
      <c r="W7" s="55">
        <f>IF($T7="","",ROUND(($T7-$T$3)/1000,1)+(_xlfn.RANK.AVG($T7,($J7,$O7,$T7),1)-2)*10)</f>
        <v>-25.9</v>
      </c>
      <c r="Y7" s="8"/>
      <c r="Z7" s="34"/>
      <c r="AA7" s="26"/>
      <c r="AB7" s="26">
        <v>1</v>
      </c>
      <c r="AC7" s="26">
        <v>3</v>
      </c>
      <c r="AD7" s="30">
        <v>40</v>
      </c>
      <c r="AE7" s="40" t="s">
        <v>86</v>
      </c>
      <c r="AF7" s="41" t="s">
        <v>98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6000</v>
      </c>
      <c r="H8" s="9"/>
      <c r="I8" s="48">
        <v>1000</v>
      </c>
      <c r="J8" s="21">
        <f t="shared" si="2"/>
        <v>33700</v>
      </c>
      <c r="K8" s="8" t="s">
        <v>198</v>
      </c>
      <c r="L8" s="9">
        <v>-3000</v>
      </c>
      <c r="M8" s="9"/>
      <c r="N8" s="48">
        <v>-500</v>
      </c>
      <c r="O8" s="21">
        <f t="shared" si="3"/>
        <v>55700</v>
      </c>
      <c r="P8" s="8" t="s">
        <v>198</v>
      </c>
      <c r="Q8" s="9">
        <v>-3000</v>
      </c>
      <c r="R8" s="9"/>
      <c r="S8" s="48">
        <v>-500</v>
      </c>
      <c r="T8" s="21">
        <f t="shared" si="4"/>
        <v>15600</v>
      </c>
      <c r="U8" s="53">
        <f>IF($J8="","",ROUND(($J8-$J$3)/1000,1)+(_xlfn.RANK.AVG($J8,($J8,$O8,$T8),1)-2)*10)</f>
        <v>-1.3</v>
      </c>
      <c r="V8" s="54">
        <f>IF($O8="","",ROUND(($O8-$O$3)/1000,1)+(_xlfn.RANK.AVG($O8,($J8,$O8,$T8),1)-2)*10)</f>
        <v>30.7</v>
      </c>
      <c r="W8" s="55">
        <f>IF($T8="","",ROUND(($T8-$T$3)/1000,1)+(_xlfn.RANK.AVG($T8,($J8,$O8,$T8),1)-2)*10)</f>
        <v>-29.4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201</v>
      </c>
      <c r="AF8" s="41" t="s">
        <v>82</v>
      </c>
      <c r="AG8" s="41" t="s">
        <v>202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197</v>
      </c>
      <c r="G9" s="9">
        <v>11600</v>
      </c>
      <c r="H9" s="9">
        <v>1000</v>
      </c>
      <c r="I9" s="48">
        <v>2000</v>
      </c>
      <c r="J9" s="21">
        <f t="shared" si="2"/>
        <v>48300</v>
      </c>
      <c r="K9" s="8" t="s">
        <v>198</v>
      </c>
      <c r="L9" s="9">
        <v>-5800</v>
      </c>
      <c r="M9" s="9"/>
      <c r="N9" s="48">
        <v>-1000</v>
      </c>
      <c r="O9" s="21">
        <f t="shared" si="3"/>
        <v>48900</v>
      </c>
      <c r="P9" s="8" t="s">
        <v>198</v>
      </c>
      <c r="Q9" s="9">
        <v>-5800</v>
      </c>
      <c r="R9" s="9">
        <v>-1000</v>
      </c>
      <c r="S9" s="48">
        <v>-1000</v>
      </c>
      <c r="T9" s="21">
        <f t="shared" si="4"/>
        <v>7800</v>
      </c>
      <c r="U9" s="53">
        <f>IF($J9="","",ROUND(($J9-$J$3)/1000,1)+(_xlfn.RANK.AVG($J9,($J9,$O9,$T9),1)-2)*10)</f>
        <v>13.3</v>
      </c>
      <c r="V9" s="54">
        <f>IF($O9="","",ROUND(($O9-$O$3)/1000,1)+(_xlfn.RANK.AVG($O9,($J9,$O9,$T9),1)-2)*10)</f>
        <v>23.9</v>
      </c>
      <c r="W9" s="55">
        <f>IF($T9="","",ROUND(($T9-$T$3)/1000,1)+(_xlfn.RANK.AVG($T9,($J9,$O9,$T9),1)-2)*10)</f>
        <v>-37.200000000000003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201</v>
      </c>
      <c r="AF9" s="41" t="s">
        <v>82</v>
      </c>
      <c r="AG9" s="41" t="s">
        <v>85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IF($F$1="","",$F$1)</f>
        <v>ただ</v>
      </c>
      <c r="F10" s="8" t="s">
        <v>198</v>
      </c>
      <c r="G10" s="9">
        <v>-2500</v>
      </c>
      <c r="H10" s="9"/>
      <c r="I10" s="48">
        <v>-1500</v>
      </c>
      <c r="J10" s="21">
        <f t="shared" si="2"/>
        <v>44300</v>
      </c>
      <c r="K10" s="8" t="s">
        <v>197</v>
      </c>
      <c r="L10" s="9">
        <v>4000</v>
      </c>
      <c r="M10" s="9"/>
      <c r="N10" s="48">
        <v>3000</v>
      </c>
      <c r="O10" s="21">
        <f t="shared" si="3"/>
        <v>55900</v>
      </c>
      <c r="P10" s="8" t="s">
        <v>198</v>
      </c>
      <c r="Q10" s="9">
        <v>-1500</v>
      </c>
      <c r="R10" s="9"/>
      <c r="S10" s="48">
        <v>-1500</v>
      </c>
      <c r="T10" s="21">
        <f t="shared" si="4"/>
        <v>4800</v>
      </c>
      <c r="U10" s="53">
        <f>IF($J10="","",ROUND(($J10-$J$3)/1000,1)+(_xlfn.RANK.AVG($J10,($J10,$O10,$T10),1)-2)*10)</f>
        <v>9.3000000000000007</v>
      </c>
      <c r="V10" s="54">
        <f>IF($O10="","",ROUND(($O10-$O$3)/1000,1)+(_xlfn.RANK.AVG($O10,($J10,$O10,$T10),1)-2)*10)</f>
        <v>30.9</v>
      </c>
      <c r="W10" s="55">
        <f>IF($T10="","",ROUND(($T10-$T$3)/1000,1)+(_xlfn.RANK.AVG($T10,($J10,$O10,$T10),1)-2)*10)</f>
        <v>-40.200000000000003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30</v>
      </c>
      <c r="AZ10" s="40" t="s">
        <v>82</v>
      </c>
      <c r="BA10" s="41" t="s">
        <v>86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IF($K$1="","",$K$1)</f>
        <v>りくと</v>
      </c>
      <c r="F11" s="8" t="s">
        <v>198</v>
      </c>
      <c r="G11" s="9">
        <v>-4500</v>
      </c>
      <c r="H11" s="9">
        <v>-1000</v>
      </c>
      <c r="I11" s="48">
        <v>0</v>
      </c>
      <c r="J11" s="21">
        <f t="shared" si="2"/>
        <v>38800</v>
      </c>
      <c r="K11" s="8" t="s">
        <v>198</v>
      </c>
      <c r="L11" s="9">
        <v>-7500</v>
      </c>
      <c r="M11" s="9"/>
      <c r="N11" s="48">
        <v>0</v>
      </c>
      <c r="O11" s="21">
        <f t="shared" si="3"/>
        <v>48400</v>
      </c>
      <c r="P11" s="8" t="s">
        <v>197</v>
      </c>
      <c r="Q11" s="9">
        <v>12000</v>
      </c>
      <c r="R11" s="9">
        <v>1000</v>
      </c>
      <c r="S11" s="48">
        <v>0</v>
      </c>
      <c r="T11" s="21">
        <f t="shared" si="4"/>
        <v>17800</v>
      </c>
      <c r="U11" s="53">
        <f>IF($J11="","",ROUND(($J11-$J$3)/1000,1)+(_xlfn.RANK.AVG($J11,($J11,$O11,$T11),1)-2)*10)</f>
        <v>3.8</v>
      </c>
      <c r="V11" s="54">
        <f>IF($O11="","",ROUND(($O11-$O$3)/1000,1)+(_xlfn.RANK.AVG($O11,($J11,$O11,$T11),1)-2)*10)</f>
        <v>23.4</v>
      </c>
      <c r="W11" s="55">
        <f>IF($T11="","",ROUND(($T11-$T$3)/1000,1)+(_xlfn.RANK.AVG($T11,($J11,$O11,$T11),1)-2)*10)</f>
        <v>-27.2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201</v>
      </c>
      <c r="BV11" s="41" t="s">
        <v>82</v>
      </c>
      <c r="BW11" s="41" t="s">
        <v>83</v>
      </c>
      <c r="BX11" s="41" t="s">
        <v>79</v>
      </c>
      <c r="BY11" s="41" t="s">
        <v>79</v>
      </c>
      <c r="BZ11" s="41" t="s">
        <v>80</v>
      </c>
      <c r="CA11" s="41" t="s">
        <v>80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197</v>
      </c>
      <c r="G12" s="9">
        <v>2100</v>
      </c>
      <c r="H12" s="9"/>
      <c r="I12" s="48">
        <v>0</v>
      </c>
      <c r="J12" s="21">
        <f t="shared" si="2"/>
        <v>40900</v>
      </c>
      <c r="K12" s="8" t="s">
        <v>198</v>
      </c>
      <c r="L12" s="9">
        <v>-800</v>
      </c>
      <c r="M12" s="9"/>
      <c r="N12" s="48">
        <v>0</v>
      </c>
      <c r="O12" s="21">
        <f t="shared" si="3"/>
        <v>47600</v>
      </c>
      <c r="P12" s="8" t="s">
        <v>198</v>
      </c>
      <c r="Q12" s="9">
        <v>-1300</v>
      </c>
      <c r="R12" s="9"/>
      <c r="S12" s="48">
        <v>0</v>
      </c>
      <c r="T12" s="21">
        <f t="shared" si="4"/>
        <v>16500</v>
      </c>
      <c r="U12" s="53">
        <f>IF($J12="","",ROUND(($J12-$J$3)/1000,1)+(_xlfn.RANK.AVG($J12,($J12,$O12,$T12),1)-2)*10)</f>
        <v>5.9</v>
      </c>
      <c r="V12" s="54">
        <f>IF($O12="","",ROUND(($O12-$O$3)/1000,1)+(_xlfn.RANK.AVG($O12,($J12,$O12,$T12),1)-2)*10)</f>
        <v>22.6</v>
      </c>
      <c r="W12" s="55">
        <f>IF($T12="","",ROUND(($T12-$T$3)/1000,1)+(_xlfn.RANK.AVG($T12,($J12,$O12,$T12),1)-2)*10)</f>
        <v>-28.5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207</v>
      </c>
      <c r="F13" s="8" t="s">
        <v>198</v>
      </c>
      <c r="G13" s="9">
        <v>-3300</v>
      </c>
      <c r="H13" s="9"/>
      <c r="I13" s="48">
        <v>0</v>
      </c>
      <c r="J13" s="21">
        <f t="shared" si="2"/>
        <v>37600</v>
      </c>
      <c r="K13" s="8" t="s">
        <v>198</v>
      </c>
      <c r="L13" s="9">
        <v>-2000</v>
      </c>
      <c r="M13" s="9"/>
      <c r="N13" s="48">
        <v>0</v>
      </c>
      <c r="O13" s="21">
        <f t="shared" si="3"/>
        <v>45600</v>
      </c>
      <c r="P13" s="8" t="s">
        <v>197</v>
      </c>
      <c r="Q13" s="9">
        <v>5300</v>
      </c>
      <c r="R13" s="9"/>
      <c r="S13" s="48">
        <v>0</v>
      </c>
      <c r="T13" s="21">
        <f t="shared" si="4"/>
        <v>21800</v>
      </c>
      <c r="U13" s="53">
        <f>IF($J13="","",ROUND(($J13-$J$3)/1000,1)+(_xlfn.RANK.AVG($J13,($J13,$O13,$T13),1)-2)*10)</f>
        <v>2.6</v>
      </c>
      <c r="V13" s="54">
        <f>IF($O13="","",ROUND(($O13-$O$3)/1000,1)+(_xlfn.RANK.AVG($O13,($J13,$O13,$T13),1)-2)*10)</f>
        <v>20.6</v>
      </c>
      <c r="W13" s="55">
        <f>IF($T13="","",ROUND(($T13-$T$3)/1000,1)+(_xlfn.RANK.AVG($T13,($J13,$O13,$T13),1)-2)*10)</f>
        <v>-23.2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40</v>
      </c>
      <c r="BU13" s="40" t="s">
        <v>82</v>
      </c>
      <c r="BV13" s="41" t="s">
        <v>86</v>
      </c>
      <c r="BW13" s="41" t="s">
        <v>200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showInputMessage="1" showErrorMessage="1" sqref="K4:K30 P4:P30 F4:F30" xr:uid="{586291B1-0A23-4A22-8B96-9465BD906853}">
      <formula1>"ロン,ツモ,放銃,ツモ支払,流局,チョンボ"</formula1>
    </dataValidation>
    <dataValidation type="list" allowBlank="1" showInputMessage="1" showErrorMessage="1" sqref="E4:E30" xr:uid="{3E830CBC-3353-4CF5-A5CC-3D7AFD547D4A}">
      <formula1>$U$2:$W$2</formula1>
    </dataValidation>
    <dataValidation type="list" allowBlank="1" showInputMessage="1" sqref="F1:T1" xr:uid="{FB68565A-BD1C-47D0-BF60-CCA72F26967C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8442-DC69-498F-939C-847FFF48264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201</v>
      </c>
      <c r="BA4" s="41" t="s">
        <v>82</v>
      </c>
      <c r="BB4" s="41" t="s">
        <v>85</v>
      </c>
      <c r="BC4" s="41" t="s">
        <v>84</v>
      </c>
      <c r="BD4" s="41" t="s">
        <v>79</v>
      </c>
      <c r="BE4" s="41" t="s">
        <v>79</v>
      </c>
      <c r="BF4" s="41" t="s">
        <v>200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204</v>
      </c>
      <c r="G5" s="9">
        <v>-12000</v>
      </c>
      <c r="H5" s="9"/>
      <c r="I5" s="48">
        <v>0</v>
      </c>
      <c r="J5" s="21">
        <f t="shared" ref="J5:J30" si="2">IF(COUNTA($F5,$K5,$P5)&gt;0,J4+SUM(G5:I5),"")</f>
        <v>15500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203</v>
      </c>
      <c r="Q5" s="9">
        <v>12000</v>
      </c>
      <c r="R5" s="9"/>
      <c r="S5" s="48">
        <v>0</v>
      </c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-29.5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201</v>
      </c>
      <c r="BV5" s="41" t="s">
        <v>86</v>
      </c>
      <c r="BW5" s="41" t="s">
        <v>80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-5800</v>
      </c>
      <c r="H6" s="9"/>
      <c r="I6" s="48">
        <v>0</v>
      </c>
      <c r="J6" s="21">
        <f t="shared" si="2"/>
        <v>9700</v>
      </c>
      <c r="K6" s="8" t="s">
        <v>198</v>
      </c>
      <c r="L6" s="9">
        <v>-5800</v>
      </c>
      <c r="M6" s="9"/>
      <c r="N6" s="48">
        <v>0</v>
      </c>
      <c r="O6" s="21">
        <f t="shared" si="3"/>
        <v>41200</v>
      </c>
      <c r="P6" s="8" t="s">
        <v>197</v>
      </c>
      <c r="Q6" s="9">
        <v>11600</v>
      </c>
      <c r="R6" s="9"/>
      <c r="S6" s="48">
        <v>0</v>
      </c>
      <c r="T6" s="21">
        <f t="shared" si="4"/>
        <v>54100</v>
      </c>
      <c r="U6" s="53">
        <f>IF($J6="","",ROUND(($J6-$J$3)/1000,1)+(_xlfn.RANK.AVG($J6,($J6,$O6,$T6),1)-2)*10)</f>
        <v>-35.299999999999997</v>
      </c>
      <c r="V6" s="54">
        <f>IF($O6="","",ROUND(($O6-$O$3)/1000,1)+(_xlfn.RANK.AVG($O6,($J6,$O6,$T6),1)-2)*10)</f>
        <v>6.2</v>
      </c>
      <c r="W6" s="55">
        <f>IF($T6="","",ROUND(($T6-$T$3)/1000,1)+(_xlfn.RANK.AVG($T6,($J6,$O6,$T6),1)-2)*10)</f>
        <v>29.1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201</v>
      </c>
      <c r="BV6" s="41" t="s">
        <v>82</v>
      </c>
      <c r="BW6" s="41" t="s">
        <v>79</v>
      </c>
      <c r="BX6" s="41" t="s">
        <v>200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-5800</v>
      </c>
      <c r="H7" s="9"/>
      <c r="I7" s="48">
        <v>-500</v>
      </c>
      <c r="J7" s="21">
        <f t="shared" si="2"/>
        <v>3400</v>
      </c>
      <c r="K7" s="8" t="s">
        <v>198</v>
      </c>
      <c r="L7" s="9">
        <v>-5800</v>
      </c>
      <c r="M7" s="9"/>
      <c r="N7" s="48">
        <v>-500</v>
      </c>
      <c r="O7" s="21">
        <f t="shared" si="3"/>
        <v>34900</v>
      </c>
      <c r="P7" s="8" t="s">
        <v>197</v>
      </c>
      <c r="Q7" s="9">
        <v>11600</v>
      </c>
      <c r="R7" s="9"/>
      <c r="S7" s="48">
        <v>1000</v>
      </c>
      <c r="T7" s="21">
        <f t="shared" si="4"/>
        <v>66700</v>
      </c>
      <c r="U7" s="53">
        <f>IF($J7="","",ROUND(($J7-$J$3)/1000,1)+(_xlfn.RANK.AVG($J7,($J7,$O7,$T7),1)-2)*10)</f>
        <v>-41.6</v>
      </c>
      <c r="V7" s="54">
        <f>IF($O7="","",ROUND(($O7-$O$3)/1000,1)+(_xlfn.RANK.AVG($O7,($J7,$O7,$T7),1)-2)*10)</f>
        <v>-0.1</v>
      </c>
      <c r="W7" s="55">
        <f>IF($T7="","",ROUND(($T7-$T$3)/1000,1)+(_xlfn.RANK.AVG($T7,($J7,$O7,$T7),1)-2)*10)</f>
        <v>41.7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201</v>
      </c>
      <c r="BV7" s="41" t="s">
        <v>82</v>
      </c>
      <c r="BW7" s="41" t="s">
        <v>80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203</v>
      </c>
      <c r="G8" s="9">
        <v>8000</v>
      </c>
      <c r="H8" s="9"/>
      <c r="I8" s="48">
        <v>2000</v>
      </c>
      <c r="J8" s="21">
        <f t="shared" si="2"/>
        <v>13400</v>
      </c>
      <c r="K8" s="8"/>
      <c r="L8" s="9"/>
      <c r="M8" s="9"/>
      <c r="N8" s="48"/>
      <c r="O8" s="21">
        <f t="shared" si="3"/>
        <v>34900</v>
      </c>
      <c r="P8" s="8" t="s">
        <v>204</v>
      </c>
      <c r="Q8" s="9">
        <v>-8000</v>
      </c>
      <c r="R8" s="9"/>
      <c r="S8" s="48">
        <v>-2000</v>
      </c>
      <c r="T8" s="21">
        <f t="shared" si="4"/>
        <v>56700</v>
      </c>
      <c r="U8" s="53">
        <f>IF($J8="","",ROUND(($J8-$J$3)/1000,1)+(_xlfn.RANK.AVG($J8,($J8,$O8,$T8),1)-2)*10)</f>
        <v>-31.6</v>
      </c>
      <c r="V8" s="54">
        <f>IF($O8="","",ROUND(($O8-$O$3)/1000,1)+(_xlfn.RANK.AVG($O8,($J8,$O8,$T8),1)-2)*10)</f>
        <v>-0.1</v>
      </c>
      <c r="W8" s="55">
        <f>IF($T8="","",ROUND(($T8-$T$3)/1000,1)+(_xlfn.RANK.AVG($T8,($J8,$O8,$T8),1)-2)*10)</f>
        <v>31.7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201</v>
      </c>
      <c r="AF8" s="41" t="s">
        <v>202</v>
      </c>
      <c r="AG8" s="41" t="s">
        <v>86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198</v>
      </c>
      <c r="G9" s="9">
        <v>-3300</v>
      </c>
      <c r="H9" s="9"/>
      <c r="I9" s="48">
        <v>0</v>
      </c>
      <c r="J9" s="21">
        <f t="shared" si="2"/>
        <v>10100</v>
      </c>
      <c r="K9" s="8" t="s">
        <v>198</v>
      </c>
      <c r="L9" s="9">
        <v>-2000</v>
      </c>
      <c r="M9" s="9"/>
      <c r="N9" s="48">
        <v>0</v>
      </c>
      <c r="O9" s="21">
        <f t="shared" si="3"/>
        <v>32900</v>
      </c>
      <c r="P9" s="8" t="s">
        <v>197</v>
      </c>
      <c r="Q9" s="9">
        <v>5300</v>
      </c>
      <c r="R9" s="9"/>
      <c r="S9" s="48">
        <v>0</v>
      </c>
      <c r="T9" s="21">
        <f t="shared" si="4"/>
        <v>62000</v>
      </c>
      <c r="U9" s="53">
        <f>IF($J9="","",ROUND(($J9-$J$3)/1000,1)+(_xlfn.RANK.AVG($J9,($J9,$O9,$T9),1)-2)*10)</f>
        <v>-34.9</v>
      </c>
      <c r="V9" s="54">
        <f>IF($O9="","",ROUND(($O9-$O$3)/1000,1)+(_xlfn.RANK.AVG($O9,($J9,$O9,$T9),1)-2)*10)</f>
        <v>-2.1</v>
      </c>
      <c r="W9" s="55">
        <f>IF($T9="","",ROUND(($T9-$T$3)/1000,1)+(_xlfn.RANK.AVG($T9,($J9,$O9,$T9),1)-2)*10)</f>
        <v>37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20</v>
      </c>
      <c r="BU9" s="40" t="s">
        <v>201</v>
      </c>
      <c r="BV9" s="41" t="s">
        <v>82</v>
      </c>
      <c r="BW9" s="41" t="s">
        <v>83</v>
      </c>
      <c r="BX9" s="41" t="s">
        <v>84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/>
      <c r="G10" s="9"/>
      <c r="H10" s="9"/>
      <c r="I10" s="48"/>
      <c r="J10" s="21">
        <f t="shared" si="2"/>
        <v>10100</v>
      </c>
      <c r="K10" s="8" t="s">
        <v>203</v>
      </c>
      <c r="L10" s="9">
        <v>9600</v>
      </c>
      <c r="M10" s="9">
        <v>1000</v>
      </c>
      <c r="N10" s="48">
        <v>0</v>
      </c>
      <c r="O10" s="21">
        <f t="shared" si="3"/>
        <v>43500</v>
      </c>
      <c r="P10" s="8" t="s">
        <v>204</v>
      </c>
      <c r="Q10" s="9">
        <v>-9600</v>
      </c>
      <c r="R10" s="9">
        <v>-1000</v>
      </c>
      <c r="S10" s="48">
        <v>0</v>
      </c>
      <c r="T10" s="21">
        <f t="shared" si="4"/>
        <v>51400</v>
      </c>
      <c r="U10" s="53">
        <f>IF($J10="","",ROUND(($J10-$J$3)/1000,1)+(_xlfn.RANK.AVG($J10,($J10,$O10,$T10),1)-2)*10)</f>
        <v>-34.9</v>
      </c>
      <c r="V10" s="54">
        <f>IF($O10="","",ROUND(($O10-$O$3)/1000,1)+(_xlfn.RANK.AVG($O10,($J10,$O10,$T10),1)-2)*10)</f>
        <v>8.5</v>
      </c>
      <c r="W10" s="55">
        <f>IF($T10="","",ROUND(($T10-$T$3)/1000,1)+(_xlfn.RANK.AVG($T10,($J10,$O10,$T10),1)-2)*10)</f>
        <v>26.4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りくと</v>
      </c>
      <c r="F11" s="8" t="s">
        <v>203</v>
      </c>
      <c r="G11" s="9">
        <v>2000</v>
      </c>
      <c r="H11" s="9"/>
      <c r="I11" s="48">
        <v>1000</v>
      </c>
      <c r="J11" s="21">
        <f t="shared" si="2"/>
        <v>13100</v>
      </c>
      <c r="K11" s="8"/>
      <c r="L11" s="9"/>
      <c r="M11" s="9"/>
      <c r="N11" s="48"/>
      <c r="O11" s="21">
        <f t="shared" si="3"/>
        <v>43500</v>
      </c>
      <c r="P11" s="8" t="s">
        <v>204</v>
      </c>
      <c r="Q11" s="9">
        <v>-2000</v>
      </c>
      <c r="R11" s="9"/>
      <c r="S11" s="48">
        <v>-1000</v>
      </c>
      <c r="T11" s="21">
        <f t="shared" si="4"/>
        <v>48400</v>
      </c>
      <c r="U11" s="53">
        <f>IF($J11="","",ROUND(($J11-$J$3)/1000,1)+(_xlfn.RANK.AVG($J11,($J11,$O11,$T11),1)-2)*10)</f>
        <v>-31.9</v>
      </c>
      <c r="V11" s="54">
        <f>IF($O11="","",ROUND(($O11-$O$3)/1000,1)+(_xlfn.RANK.AVG($O11,($J11,$O11,$T11),1)-2)*10)</f>
        <v>8.5</v>
      </c>
      <c r="W11" s="55">
        <f>IF($T11="","",ROUND(($T11-$T$3)/1000,1)+(_xlfn.RANK.AVG($T11,($J11,$O11,$T11),1)-2)*10)</f>
        <v>23.4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200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204</v>
      </c>
      <c r="G12" s="9">
        <v>-12000</v>
      </c>
      <c r="H12" s="9"/>
      <c r="I12" s="48">
        <v>0</v>
      </c>
      <c r="J12" s="21">
        <f t="shared" si="2"/>
        <v>1100</v>
      </c>
      <c r="K12" s="8"/>
      <c r="L12" s="9"/>
      <c r="M12" s="9"/>
      <c r="N12" s="48"/>
      <c r="O12" s="21">
        <f t="shared" si="3"/>
        <v>43500</v>
      </c>
      <c r="P12" s="8" t="s">
        <v>203</v>
      </c>
      <c r="Q12" s="9">
        <v>12000</v>
      </c>
      <c r="R12" s="9"/>
      <c r="S12" s="48">
        <v>0</v>
      </c>
      <c r="T12" s="21">
        <f t="shared" si="4"/>
        <v>60400</v>
      </c>
      <c r="U12" s="53">
        <f>IF($J12="","",ROUND(($J12-$J$3)/1000,1)+(_xlfn.RANK.AVG($J12,($J12,$O12,$T12),1)-2)*10)</f>
        <v>-43.9</v>
      </c>
      <c r="V12" s="54">
        <f>IF($O12="","",ROUND(($O12-$O$3)/1000,1)+(_xlfn.RANK.AVG($O12,($J12,$O12,$T12),1)-2)*10)</f>
        <v>8.5</v>
      </c>
      <c r="W12" s="55">
        <f>IF($T12="","",ROUND(($T12-$T$3)/1000,1)+(_xlfn.RANK.AVG($T12,($J12,$O12,$T12),1)-2)*10)</f>
        <v>35.4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70</v>
      </c>
      <c r="BU12" s="40" t="s">
        <v>201</v>
      </c>
      <c r="BV12" s="41" t="s">
        <v>80</v>
      </c>
      <c r="BW12" s="41" t="s">
        <v>200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81B6BE36-B5C8-4990-9B1A-5382CBA36626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5B1F6CE6-3B35-445C-A9FF-C607CA077477}">
      <formula1>$U$2:$W$2</formula1>
    </dataValidation>
    <dataValidation type="list" showInputMessage="1" showErrorMessage="1" sqref="K4:K30 P4:P30 F4:F30" xr:uid="{45D9B04D-5F9C-4F98-979C-699D0AD0CE3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32BD-AE95-461D-899F-548DC00AD730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/>
      <c r="G4" s="9"/>
      <c r="H4" s="9"/>
      <c r="I4" s="48"/>
      <c r="J4" s="21">
        <f>IF(COUNTA($F4,$K4,$P4)&gt;0,J3+SUM(G4:I4),"")</f>
        <v>35000</v>
      </c>
      <c r="K4" s="8" t="s">
        <v>204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203</v>
      </c>
      <c r="Q4" s="9">
        <v>5800</v>
      </c>
      <c r="R4" s="9"/>
      <c r="S4" s="48">
        <v>0</v>
      </c>
      <c r="T4" s="21">
        <f>IF(COUNTA($F4,$K4,$P4)&gt;0,T3+SUM(Q4:S4),"")</f>
        <v>40800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15.8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7700</v>
      </c>
      <c r="H5" s="9"/>
      <c r="I5" s="48">
        <v>1000</v>
      </c>
      <c r="J5" s="21">
        <f t="shared" ref="J5:J30" si="2">IF(COUNTA($F5,$K5,$P5)&gt;0,J4+SUM(G5:I5),"")</f>
        <v>43700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204</v>
      </c>
      <c r="Q5" s="9">
        <v>-7700</v>
      </c>
      <c r="R5" s="9"/>
      <c r="S5" s="48">
        <v>-1000</v>
      </c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18.7</v>
      </c>
      <c r="V5" s="54">
        <f>IF($O5="","",ROUND(($O5-$O$3)/1000,1)+(_xlfn.RANK.AVG($O5,($J5,$O5,$T5),1)-2)*10)</f>
        <v>-15.8</v>
      </c>
      <c r="W5" s="55">
        <f>IF($T5="","",ROUND(($T5-$T$3)/1000,1)+(_xlfn.RANK.AVG($T5,($J5,$O5,$T5),1)-2)*10)</f>
        <v>-2.9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ただ</v>
      </c>
      <c r="F6" s="8" t="s">
        <v>196</v>
      </c>
      <c r="G6" s="9">
        <v>3000</v>
      </c>
      <c r="H6" s="9"/>
      <c r="I6" s="48"/>
      <c r="J6" s="21">
        <f t="shared" si="2"/>
        <v>46700</v>
      </c>
      <c r="K6" s="8" t="s">
        <v>196</v>
      </c>
      <c r="L6" s="9">
        <v>-1500</v>
      </c>
      <c r="M6" s="9"/>
      <c r="N6" s="48"/>
      <c r="O6" s="21">
        <f t="shared" si="3"/>
        <v>27700</v>
      </c>
      <c r="P6" s="8" t="s">
        <v>196</v>
      </c>
      <c r="Q6" s="9">
        <v>-1500</v>
      </c>
      <c r="R6" s="9"/>
      <c r="S6" s="48"/>
      <c r="T6" s="21">
        <f t="shared" si="4"/>
        <v>30600</v>
      </c>
      <c r="U6" s="53">
        <f>IF($J6="","",ROUND(($J6-$J$3)/1000,1)+(_xlfn.RANK.AVG($J6,($J6,$O6,$T6),1)-2)*10)</f>
        <v>21.7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-4.4000000000000004</v>
      </c>
      <c r="Y6" s="8" t="s">
        <v>195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ただ</v>
      </c>
      <c r="F7" s="8" t="s">
        <v>203</v>
      </c>
      <c r="G7" s="9">
        <v>18000</v>
      </c>
      <c r="H7" s="9"/>
      <c r="I7" s="48">
        <v>1000</v>
      </c>
      <c r="J7" s="21">
        <f t="shared" si="2"/>
        <v>65700</v>
      </c>
      <c r="K7" s="8"/>
      <c r="L7" s="9"/>
      <c r="M7" s="9"/>
      <c r="N7" s="48"/>
      <c r="O7" s="21">
        <f t="shared" si="3"/>
        <v>27700</v>
      </c>
      <c r="P7" s="8" t="s">
        <v>204</v>
      </c>
      <c r="Q7" s="9">
        <v>-18000</v>
      </c>
      <c r="R7" s="9"/>
      <c r="S7" s="48">
        <v>-1000</v>
      </c>
      <c r="T7" s="21">
        <f t="shared" si="4"/>
        <v>11600</v>
      </c>
      <c r="U7" s="53">
        <f>IF($J7="","",ROUND(($J7-$J$3)/1000,1)+(_xlfn.RANK.AVG($J7,($J7,$O7,$T7),1)-2)*10)</f>
        <v>40.700000000000003</v>
      </c>
      <c r="V7" s="54">
        <f>IF($O7="","",ROUND(($O7-$O$3)/1000,1)+(_xlfn.RANK.AVG($O7,($J7,$O7,$T7),1)-2)*10)</f>
        <v>-7.3</v>
      </c>
      <c r="W7" s="55">
        <f>IF($T7="","",ROUND(($T7-$T$3)/1000,1)+(_xlfn.RANK.AVG($T7,($J7,$O7,$T7),1)-2)*10)</f>
        <v>-33.4</v>
      </c>
      <c r="Y7" s="8"/>
      <c r="Z7" s="34"/>
      <c r="AA7" s="26"/>
      <c r="AB7" s="26"/>
      <c r="AC7" s="26">
        <v>6</v>
      </c>
      <c r="AD7" s="30" t="s">
        <v>199</v>
      </c>
      <c r="AE7" s="40" t="s">
        <v>86</v>
      </c>
      <c r="AF7" s="41" t="s">
        <v>86</v>
      </c>
      <c r="AG7" s="41" t="s">
        <v>200</v>
      </c>
      <c r="AH7" s="41" t="s">
        <v>79</v>
      </c>
      <c r="AI7" s="41" t="s">
        <v>79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IF($F$1="","",$F$1)</f>
        <v>ただ</v>
      </c>
      <c r="F8" s="8" t="s">
        <v>203</v>
      </c>
      <c r="G8" s="9">
        <v>18000</v>
      </c>
      <c r="H8" s="9">
        <v>1000</v>
      </c>
      <c r="I8" s="48">
        <v>2000</v>
      </c>
      <c r="J8" s="21">
        <f t="shared" si="2"/>
        <v>86700</v>
      </c>
      <c r="K8" s="8" t="s">
        <v>204</v>
      </c>
      <c r="L8" s="9">
        <v>-18000</v>
      </c>
      <c r="M8" s="9"/>
      <c r="N8" s="48">
        <v>-2000</v>
      </c>
      <c r="O8" s="21">
        <f t="shared" si="3"/>
        <v>7700</v>
      </c>
      <c r="P8" s="8"/>
      <c r="Q8" s="9"/>
      <c r="R8" s="9">
        <v>-1000</v>
      </c>
      <c r="S8" s="48"/>
      <c r="T8" s="21">
        <f t="shared" si="4"/>
        <v>10600</v>
      </c>
      <c r="U8" s="53">
        <f>IF($J8="","",ROUND(($J8-$J$3)/1000,1)+(_xlfn.RANK.AVG($J8,($J8,$O8,$T8),1)-2)*10)</f>
        <v>61.7</v>
      </c>
      <c r="V8" s="54">
        <f>IF($O8="","",ROUND(($O8-$O$3)/1000,1)+(_xlfn.RANK.AVG($O8,($J8,$O8,$T8),1)-2)*10)</f>
        <v>-37.299999999999997</v>
      </c>
      <c r="W8" s="55">
        <f>IF($T8="","",ROUND(($T8-$T$3)/1000,1)+(_xlfn.RANK.AVG($T8,($J8,$O8,$T8),1)-2)*10)</f>
        <v>-24.4</v>
      </c>
      <c r="Y8" s="8"/>
      <c r="Z8" s="34"/>
      <c r="AA8" s="26"/>
      <c r="AB8" s="26"/>
      <c r="AC8" s="26">
        <v>6</v>
      </c>
      <c r="AD8" s="30" t="s">
        <v>199</v>
      </c>
      <c r="AE8" s="40" t="s">
        <v>85</v>
      </c>
      <c r="AF8" s="41" t="s">
        <v>84</v>
      </c>
      <c r="AG8" s="41" t="s">
        <v>83</v>
      </c>
      <c r="AH8" s="41" t="s">
        <v>79</v>
      </c>
      <c r="AI8" s="41" t="s">
        <v>79</v>
      </c>
      <c r="AJ8" s="41" t="s">
        <v>200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IF($F$1="","",$F$1)</f>
        <v>ただ</v>
      </c>
      <c r="F9" s="8" t="s">
        <v>196</v>
      </c>
      <c r="G9" s="9">
        <v>3000</v>
      </c>
      <c r="H9" s="9">
        <v>-1000</v>
      </c>
      <c r="I9" s="48"/>
      <c r="J9" s="21">
        <f t="shared" si="2"/>
        <v>88700</v>
      </c>
      <c r="K9" s="8" t="s">
        <v>196</v>
      </c>
      <c r="L9" s="9">
        <v>-1500</v>
      </c>
      <c r="M9" s="9"/>
      <c r="N9" s="48"/>
      <c r="O9" s="21">
        <f t="shared" si="3"/>
        <v>6200</v>
      </c>
      <c r="P9" s="8" t="s">
        <v>196</v>
      </c>
      <c r="Q9" s="9">
        <v>-1500</v>
      </c>
      <c r="R9" s="9"/>
      <c r="S9" s="48"/>
      <c r="T9" s="21">
        <f t="shared" si="4"/>
        <v>9100</v>
      </c>
      <c r="U9" s="53">
        <f>IF($J9="","",ROUND(($J9-$J$3)/1000,1)+(_xlfn.RANK.AVG($J9,($J9,$O9,$T9),1)-2)*10)</f>
        <v>63.7</v>
      </c>
      <c r="V9" s="54">
        <f>IF($O9="","",ROUND(($O9-$O$3)/1000,1)+(_xlfn.RANK.AVG($O9,($J9,$O9,$T9),1)-2)*10)</f>
        <v>-38.799999999999997</v>
      </c>
      <c r="W9" s="55">
        <f>IF($T9="","",ROUND(($T9-$T$3)/1000,1)+(_xlfn.RANK.AVG($T9,($J9,$O9,$T9),1)-2)*10)</f>
        <v>-25.9</v>
      </c>
      <c r="Y9" s="8" t="s">
        <v>195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1</v>
      </c>
      <c r="E10" s="4" t="str">
        <f>IF($F$1="","",$F$1)</f>
        <v>ただ</v>
      </c>
      <c r="F10" s="8" t="s">
        <v>203</v>
      </c>
      <c r="G10" s="9">
        <v>12000</v>
      </c>
      <c r="H10" s="9"/>
      <c r="I10" s="48"/>
      <c r="J10" s="21">
        <f t="shared" si="2"/>
        <v>100700</v>
      </c>
      <c r="K10" s="8" t="s">
        <v>204</v>
      </c>
      <c r="L10" s="9">
        <v>-24000</v>
      </c>
      <c r="M10" s="9"/>
      <c r="N10" s="48">
        <v>-4000</v>
      </c>
      <c r="O10" s="21">
        <f t="shared" si="3"/>
        <v>-21800</v>
      </c>
      <c r="P10" s="8" t="s">
        <v>203</v>
      </c>
      <c r="Q10" s="9">
        <v>12000</v>
      </c>
      <c r="R10" s="9">
        <v>1000</v>
      </c>
      <c r="S10" s="48">
        <v>4000</v>
      </c>
      <c r="T10" s="21">
        <f t="shared" si="4"/>
        <v>26100</v>
      </c>
      <c r="U10" s="53">
        <f>IF($J10="","",ROUND(($J10-$J$3)/1000,1)+(_xlfn.RANK.AVG($J10,($J10,$O10,$T10),1)-2)*10)</f>
        <v>75.7</v>
      </c>
      <c r="V10" s="54">
        <f>IF($O10="","",ROUND(($O10-$O$3)/1000,1)+(_xlfn.RANK.AVG($O10,($J10,$O10,$T10),1)-2)*10)</f>
        <v>-66.8</v>
      </c>
      <c r="W10" s="55">
        <f>IF($T10="","",ROUND(($T10-$T$3)/1000,1)+(_xlfn.RANK.AVG($T10,($J10,$O10,$T10),1)-2)*10)</f>
        <v>-8.9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201</v>
      </c>
      <c r="AF10" s="41" t="s">
        <v>202</v>
      </c>
      <c r="AG10" s="41" t="s">
        <v>80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199</v>
      </c>
      <c r="BU10" s="40" t="s">
        <v>96</v>
      </c>
      <c r="BV10" s="41" t="s">
        <v>98</v>
      </c>
      <c r="BW10" s="41" t="s">
        <v>86</v>
      </c>
      <c r="BX10" s="41" t="s">
        <v>200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75B46F73-9299-4018-BBEE-3D96F5DA0D3C}">
      <formula1>"ロン,ツモ,放銃,ツモ支払,流局,チョンボ"</formula1>
    </dataValidation>
    <dataValidation type="list" allowBlank="1" showInputMessage="1" showErrorMessage="1" sqref="E4:E30" xr:uid="{B67BE220-1B6C-4E45-A575-8268E1FC5D4A}">
      <formula1>$U$2:$W$2</formula1>
    </dataValidation>
    <dataValidation type="list" allowBlank="1" showInputMessage="1" sqref="F1:T1" xr:uid="{481B9F85-F8DF-4B29-89AA-563A35677BE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15CF-6B47-4452-ABF8-A03E71EBF4FF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204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1300</v>
      </c>
      <c r="R4" s="9">
        <v>1000</v>
      </c>
      <c r="S4" s="48">
        <v>0</v>
      </c>
      <c r="T4" s="21">
        <f>IF(COUNTA($F4,$K4,$P4)&gt;0,T3+SUM(Q4:S4),"")</f>
        <v>37300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201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45700</v>
      </c>
      <c r="K5" s="8" t="s">
        <v>198</v>
      </c>
      <c r="L5" s="9">
        <v>-7500</v>
      </c>
      <c r="M5" s="9">
        <v>-1000</v>
      </c>
      <c r="N5" s="48">
        <v>0</v>
      </c>
      <c r="O5" s="21">
        <f t="shared" ref="O5:O30" si="3">IF(COUNTA($F5,$K5,$P5)&gt;0,O4+SUM(L5:N5),"")</f>
        <v>26500</v>
      </c>
      <c r="P5" s="8" t="s">
        <v>198</v>
      </c>
      <c r="Q5" s="9">
        <v>-4500</v>
      </c>
      <c r="R5" s="9"/>
      <c r="S5" s="48">
        <v>0</v>
      </c>
      <c r="T5" s="21">
        <f t="shared" ref="T5:T30" si="4">IF(COUNTA($F5,$K5,$P5)&gt;0,T4+SUM(Q5:S5),"")</f>
        <v>32800</v>
      </c>
      <c r="U5" s="53">
        <f>IF($J5="","",ROUND(($J5-$J$3)/1000,1)+(_xlfn.RANK.AVG($J5,($J5,$O5,$T5),1)-2)*10)</f>
        <v>20.7</v>
      </c>
      <c r="V5" s="54">
        <f>IF($O5="","",ROUND(($O5-$O$3)/1000,1)+(_xlfn.RANK.AVG($O5,($J5,$O5,$T5),1)-2)*10)</f>
        <v>-18.5</v>
      </c>
      <c r="W5" s="55">
        <f>IF($T5="","",ROUND(($T5-$T$3)/1000,1)+(_xlfn.RANK.AVG($T5,($J5,$O5,$T5),1)-2)*10)</f>
        <v>-2.2000000000000002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201</v>
      </c>
      <c r="AF5" s="41" t="s">
        <v>82</v>
      </c>
      <c r="AG5" s="41" t="s">
        <v>79</v>
      </c>
      <c r="AH5" s="41" t="s">
        <v>79</v>
      </c>
      <c r="AI5" s="41" t="s">
        <v>200</v>
      </c>
      <c r="AJ5" s="41" t="s">
        <v>200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5300</v>
      </c>
      <c r="H6" s="9"/>
      <c r="I6" s="48">
        <v>0</v>
      </c>
      <c r="J6" s="21">
        <f t="shared" si="2"/>
        <v>51000</v>
      </c>
      <c r="K6" s="8" t="s">
        <v>198</v>
      </c>
      <c r="L6" s="9">
        <v>-2000</v>
      </c>
      <c r="M6" s="9"/>
      <c r="N6" s="48">
        <v>0</v>
      </c>
      <c r="O6" s="21">
        <f t="shared" si="3"/>
        <v>24500</v>
      </c>
      <c r="P6" s="8" t="s">
        <v>198</v>
      </c>
      <c r="Q6" s="9">
        <v>-3300</v>
      </c>
      <c r="R6" s="9"/>
      <c r="S6" s="48">
        <v>0</v>
      </c>
      <c r="T6" s="21">
        <f t="shared" si="4"/>
        <v>29500</v>
      </c>
      <c r="U6" s="53">
        <f>IF($J6="","",ROUND(($J6-$J$3)/1000,1)+(_xlfn.RANK.AVG($J6,($J6,$O6,$T6),1)-2)*10)</f>
        <v>26</v>
      </c>
      <c r="V6" s="54">
        <f>IF($O6="","",ROUND(($O6-$O$3)/1000,1)+(_xlfn.RANK.AVG($O6,($J6,$O6,$T6),1)-2)*10)</f>
        <v>-20.5</v>
      </c>
      <c r="W6" s="55">
        <f>IF($T6="","",ROUND(($T6-$T$3)/1000,1)+(_xlfn.RANK.AVG($T6,($J6,$O6,$T6),1)-2)*10)</f>
        <v>-5.5</v>
      </c>
      <c r="Y6" s="8"/>
      <c r="Z6" s="34"/>
      <c r="AA6" s="26"/>
      <c r="AB6" s="26"/>
      <c r="AC6" s="26">
        <v>4</v>
      </c>
      <c r="AD6" s="30">
        <v>20</v>
      </c>
      <c r="AE6" s="40" t="s">
        <v>82</v>
      </c>
      <c r="AF6" s="41" t="s">
        <v>83</v>
      </c>
      <c r="AG6" s="41" t="s">
        <v>84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-8000</v>
      </c>
      <c r="H7" s="9"/>
      <c r="I7" s="48">
        <v>0</v>
      </c>
      <c r="J7" s="21">
        <f t="shared" si="2"/>
        <v>43000</v>
      </c>
      <c r="K7" s="8" t="s">
        <v>203</v>
      </c>
      <c r="L7" s="9">
        <v>8000</v>
      </c>
      <c r="M7" s="9"/>
      <c r="N7" s="48">
        <v>0</v>
      </c>
      <c r="O7" s="21">
        <f t="shared" si="3"/>
        <v>32500</v>
      </c>
      <c r="P7" s="8"/>
      <c r="Q7" s="9"/>
      <c r="R7" s="9"/>
      <c r="S7" s="48"/>
      <c r="T7" s="21">
        <f t="shared" si="4"/>
        <v>29500</v>
      </c>
      <c r="U7" s="53">
        <f>IF($J7="","",ROUND(($J7-$J$3)/1000,1)+(_xlfn.RANK.AVG($J7,($J7,$O7,$T7),1)-2)*10)</f>
        <v>18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-15.5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201</v>
      </c>
      <c r="BA7" s="41" t="s">
        <v>202</v>
      </c>
      <c r="BB7" s="41" t="s">
        <v>92</v>
      </c>
      <c r="BC7" s="41" t="s">
        <v>84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203</v>
      </c>
      <c r="G8" s="9">
        <v>16000</v>
      </c>
      <c r="H8" s="9"/>
      <c r="I8" s="48">
        <v>0</v>
      </c>
      <c r="J8" s="21">
        <f t="shared" si="2"/>
        <v>59000</v>
      </c>
      <c r="K8" s="8"/>
      <c r="L8" s="9"/>
      <c r="M8" s="9"/>
      <c r="N8" s="48"/>
      <c r="O8" s="21">
        <f t="shared" si="3"/>
        <v>32500</v>
      </c>
      <c r="P8" s="8" t="s">
        <v>204</v>
      </c>
      <c r="Q8" s="9">
        <v>-16000</v>
      </c>
      <c r="R8" s="9"/>
      <c r="S8" s="48">
        <v>0</v>
      </c>
      <c r="T8" s="21">
        <f t="shared" si="4"/>
        <v>13500</v>
      </c>
      <c r="U8" s="53">
        <f>IF($J8="","",ROUND(($J8-$J$3)/1000,1)+(_xlfn.RANK.AVG($J8,($J8,$O8,$T8),1)-2)*10)</f>
        <v>34</v>
      </c>
      <c r="V8" s="54">
        <f>IF($O8="","",ROUND(($O8-$O$3)/1000,1)+(_xlfn.RANK.AVG($O8,($J8,$O8,$T8),1)-2)*10)</f>
        <v>-2.5</v>
      </c>
      <c r="W8" s="55">
        <f>IF($T8="","",ROUND(($T8-$T$3)/1000,1)+(_xlfn.RANK.AVG($T8,($J8,$O8,$T8),1)-2)*10)</f>
        <v>-31.5</v>
      </c>
      <c r="Y8" s="8"/>
      <c r="Z8" s="34"/>
      <c r="AA8" s="26"/>
      <c r="AB8" s="26"/>
      <c r="AC8" s="26">
        <v>8</v>
      </c>
      <c r="AD8" s="30" t="s">
        <v>199</v>
      </c>
      <c r="AE8" s="40" t="s">
        <v>86</v>
      </c>
      <c r="AF8" s="41" t="s">
        <v>98</v>
      </c>
      <c r="AG8" s="41" t="s">
        <v>104</v>
      </c>
      <c r="AH8" s="41" t="s">
        <v>96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198</v>
      </c>
      <c r="G9" s="9">
        <v>-4500</v>
      </c>
      <c r="H9" s="9"/>
      <c r="I9" s="48">
        <v>0</v>
      </c>
      <c r="J9" s="21">
        <f t="shared" si="2"/>
        <v>54500</v>
      </c>
      <c r="K9" s="8" t="s">
        <v>197</v>
      </c>
      <c r="L9" s="9">
        <v>12000</v>
      </c>
      <c r="M9" s="9"/>
      <c r="N9" s="48">
        <v>0</v>
      </c>
      <c r="O9" s="21">
        <f t="shared" si="3"/>
        <v>44500</v>
      </c>
      <c r="P9" s="8" t="s">
        <v>198</v>
      </c>
      <c r="Q9" s="9">
        <v>-7500</v>
      </c>
      <c r="R9" s="9"/>
      <c r="S9" s="48">
        <v>0</v>
      </c>
      <c r="T9" s="21">
        <f t="shared" si="4"/>
        <v>6000</v>
      </c>
      <c r="U9" s="53">
        <f>IF($J9="","",ROUND(($J9-$J$3)/1000,1)+(_xlfn.RANK.AVG($J9,($J9,$O9,$T9),1)-2)*10)</f>
        <v>29.5</v>
      </c>
      <c r="V9" s="54">
        <f>IF($O9="","",ROUND(($O9-$O$3)/1000,1)+(_xlfn.RANK.AVG($O9,($J9,$O9,$T9),1)-2)*10)</f>
        <v>9.5</v>
      </c>
      <c r="W9" s="55">
        <f>IF($T9="","",ROUND(($T9-$T$3)/1000,1)+(_xlfn.RANK.AVG($T9,($J9,$O9,$T9),1)-2)*10)</f>
        <v>-39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201</v>
      </c>
      <c r="BA9" s="41" t="s">
        <v>82</v>
      </c>
      <c r="BB9" s="41" t="s">
        <v>101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B5D7DB9-CC2C-4AB7-B9A2-AAAFCF4C3912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A7F593A5-334F-4B6A-9AC8-3F4F1665B57F}">
      <formula1>$U$2:$W$2</formula1>
    </dataValidation>
    <dataValidation type="list" showInputMessage="1" showErrorMessage="1" sqref="K4:K30 P4:P30 F4:F30" xr:uid="{ADC5458D-162F-46A1-9AE4-9B2E3892C00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A3929-02E6-4A61-B20F-AD80B36115D6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203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/>
      <c r="L4" s="9"/>
      <c r="M4" s="9"/>
      <c r="N4" s="48"/>
      <c r="O4" s="21">
        <f>IF(COUNTA($F4,$K4,$P4)&gt;0,O3+SUM(L4:N4),"")</f>
        <v>35000</v>
      </c>
      <c r="P4" s="8" t="s">
        <v>204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200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196</v>
      </c>
      <c r="G5" s="9">
        <v>1500</v>
      </c>
      <c r="H5" s="9">
        <v>-1000</v>
      </c>
      <c r="I5" s="48"/>
      <c r="J5" s="21">
        <f t="shared" ref="J5:J30" si="2">IF(COUNTA($F5,$K5,$P5)&gt;0,J4+SUM(G5:I5),"")</f>
        <v>37500</v>
      </c>
      <c r="K5" s="8" t="s">
        <v>196</v>
      </c>
      <c r="L5" s="9">
        <v>-3000</v>
      </c>
      <c r="M5" s="9"/>
      <c r="N5" s="48"/>
      <c r="O5" s="21">
        <f t="shared" ref="O5:O30" si="3">IF(COUNTA($F5,$K5,$P5)&gt;0,O4+SUM(L5:N5),"")</f>
        <v>32000</v>
      </c>
      <c r="P5" s="8" t="s">
        <v>196</v>
      </c>
      <c r="Q5" s="9">
        <v>1500</v>
      </c>
      <c r="R5" s="9">
        <v>-1000</v>
      </c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12.5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-1.5</v>
      </c>
      <c r="Y5" s="8" t="s">
        <v>195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194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195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IF($F$1="","",$F$1)</f>
        <v>ただ</v>
      </c>
      <c r="F6" s="8" t="s">
        <v>196</v>
      </c>
      <c r="G6" s="9">
        <v>-1500</v>
      </c>
      <c r="H6" s="9"/>
      <c r="I6" s="48"/>
      <c r="J6" s="21">
        <f t="shared" si="2"/>
        <v>36000</v>
      </c>
      <c r="K6" s="8" t="s">
        <v>196</v>
      </c>
      <c r="L6" s="9">
        <v>-1500</v>
      </c>
      <c r="M6" s="9"/>
      <c r="N6" s="48"/>
      <c r="O6" s="21">
        <f t="shared" si="3"/>
        <v>30500</v>
      </c>
      <c r="P6" s="8" t="s">
        <v>196</v>
      </c>
      <c r="Q6" s="9">
        <v>3000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11</v>
      </c>
      <c r="V6" s="54">
        <f>IF($O6="","",ROUND(($O6-$O$3)/1000,1)+(_xlfn.RANK.AVG($O6,($J6,$O6,$T6),1)-2)*10)</f>
        <v>-14.5</v>
      </c>
      <c r="W6" s="55">
        <f>IF($T6="","",ROUND(($T6-$T$3)/1000,1)+(_xlfn.RANK.AVG($T6,($J6,$O6,$T6),1)-2)*10)</f>
        <v>0.5</v>
      </c>
      <c r="Y6" s="8" t="s">
        <v>194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195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3</v>
      </c>
      <c r="E7" s="4" t="str">
        <f>IF($K$1="","",$K$1)</f>
        <v>りくと</v>
      </c>
      <c r="F7" s="8"/>
      <c r="G7" s="9"/>
      <c r="H7" s="9"/>
      <c r="I7" s="48"/>
      <c r="J7" s="21">
        <f t="shared" si="2"/>
        <v>36000</v>
      </c>
      <c r="K7" s="8" t="s">
        <v>203</v>
      </c>
      <c r="L7" s="9">
        <v>12000</v>
      </c>
      <c r="M7" s="9">
        <v>3000</v>
      </c>
      <c r="N7" s="48">
        <v>2000</v>
      </c>
      <c r="O7" s="21">
        <f t="shared" si="3"/>
        <v>47500</v>
      </c>
      <c r="P7" s="8" t="s">
        <v>204</v>
      </c>
      <c r="Q7" s="9">
        <v>-12000</v>
      </c>
      <c r="R7" s="9"/>
      <c r="S7" s="48">
        <v>-2000</v>
      </c>
      <c r="T7" s="21">
        <f t="shared" si="4"/>
        <v>21500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22.5</v>
      </c>
      <c r="W7" s="55">
        <f>IF($T7="","",ROUND(($T7-$T$3)/1000,1)+(_xlfn.RANK.AVG($T7,($J7,$O7,$T7),1)-2)*10)</f>
        <v>-23.5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201</v>
      </c>
      <c r="BA7" s="41" t="s">
        <v>86</v>
      </c>
      <c r="BB7" s="41" t="s">
        <v>80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tr">
        <f>IF($K$1="","",$K$1)</f>
        <v>りくと</v>
      </c>
      <c r="F8" s="8" t="s">
        <v>204</v>
      </c>
      <c r="G8" s="9">
        <v>-2600</v>
      </c>
      <c r="H8" s="9">
        <v>-1000</v>
      </c>
      <c r="I8" s="48">
        <v>-3000</v>
      </c>
      <c r="J8" s="21">
        <f t="shared" si="2"/>
        <v>29400</v>
      </c>
      <c r="K8" s="8"/>
      <c r="L8" s="9"/>
      <c r="M8" s="9"/>
      <c r="N8" s="48"/>
      <c r="O8" s="21">
        <f t="shared" si="3"/>
        <v>47500</v>
      </c>
      <c r="P8" s="8" t="s">
        <v>203</v>
      </c>
      <c r="Q8" s="9">
        <v>2600</v>
      </c>
      <c r="R8" s="9">
        <v>1000</v>
      </c>
      <c r="S8" s="48">
        <v>3000</v>
      </c>
      <c r="T8" s="21">
        <f t="shared" si="4"/>
        <v>28100</v>
      </c>
      <c r="U8" s="53">
        <f>IF($J8="","",ROUND(($J8-$J$3)/1000,1)+(_xlfn.RANK.AVG($J8,($J8,$O8,$T8),1)-2)*10)</f>
        <v>-5.6</v>
      </c>
      <c r="V8" s="54">
        <f>IF($O8="","",ROUND(($O8-$O$3)/1000,1)+(_xlfn.RANK.AVG($O8,($J8,$O8,$T8),1)-2)*10)</f>
        <v>22.5</v>
      </c>
      <c r="W8" s="55">
        <f>IF($T8="","",ROUND(($T8-$T$3)/1000,1)+(_xlfn.RANK.AVG($T8,($J8,$O8,$T8),1)-2)*10)</f>
        <v>-16.899999999999999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84</v>
      </c>
      <c r="BV8" s="41" t="s">
        <v>200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204</v>
      </c>
      <c r="G9" s="9">
        <v>-1300</v>
      </c>
      <c r="H9" s="9"/>
      <c r="I9" s="48">
        <v>0</v>
      </c>
      <c r="J9" s="21">
        <f t="shared" si="2"/>
        <v>28100</v>
      </c>
      <c r="K9" s="8" t="s">
        <v>203</v>
      </c>
      <c r="L9" s="9">
        <v>1300</v>
      </c>
      <c r="M9" s="9"/>
      <c r="N9" s="48">
        <v>0</v>
      </c>
      <c r="O9" s="21">
        <f t="shared" si="3"/>
        <v>48800</v>
      </c>
      <c r="P9" s="8"/>
      <c r="Q9" s="9"/>
      <c r="R9" s="9"/>
      <c r="S9" s="48"/>
      <c r="T9" s="21">
        <f t="shared" si="4"/>
        <v>28100</v>
      </c>
      <c r="U9" s="53">
        <f>IF($J9="","",ROUND(($J9-$J$3)/1000,1)+(_xlfn.RANK.AVG($J9,($J9,$O9,$T9),1)-2)*10)</f>
        <v>-11.9</v>
      </c>
      <c r="V9" s="54">
        <f>IF($O9="","",ROUND(($O9-$O$3)/1000,1)+(_xlfn.RANK.AVG($O9,($J9,$O9,$T9),1)-2)*10)</f>
        <v>23.8</v>
      </c>
      <c r="W9" s="55">
        <f>IF($T9="","",ROUND(($T9-$T$3)/1000,1)+(_xlfn.RANK.AVG($T9,($J9,$O9,$T9),1)-2)*10)</f>
        <v>-11.9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84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/>
      <c r="G10" s="9"/>
      <c r="H10" s="9"/>
      <c r="I10" s="48"/>
      <c r="J10" s="21">
        <f t="shared" si="2"/>
        <v>28100</v>
      </c>
      <c r="K10" s="8" t="s">
        <v>204</v>
      </c>
      <c r="L10" s="9">
        <v>-1300</v>
      </c>
      <c r="M10" s="9">
        <v>-1000</v>
      </c>
      <c r="N10" s="48">
        <v>0</v>
      </c>
      <c r="O10" s="21">
        <f t="shared" si="3"/>
        <v>46500</v>
      </c>
      <c r="P10" s="8" t="s">
        <v>203</v>
      </c>
      <c r="Q10" s="9">
        <v>1300</v>
      </c>
      <c r="R10" s="9">
        <v>1000</v>
      </c>
      <c r="S10" s="48">
        <v>0</v>
      </c>
      <c r="T10" s="21">
        <f t="shared" si="4"/>
        <v>30400</v>
      </c>
      <c r="U10" s="53">
        <f>IF($J10="","",ROUND(($J10-$J$3)/1000,1)+(_xlfn.RANK.AVG($J10,($J10,$O10,$T10),1)-2)*10)</f>
        <v>-16.899999999999999</v>
      </c>
      <c r="V10" s="54">
        <f>IF($O10="","",ROUND(($O10-$O$3)/1000,1)+(_xlfn.RANK.AVG($O10,($J10,$O10,$T10),1)-2)*10)</f>
        <v>21.5</v>
      </c>
      <c r="W10" s="55">
        <f>IF($T10="","",ROUND(($T10-$T$3)/1000,1)+(_xlfn.RANK.AVG($T10,($J10,$O10,$T10),1)-2)*10)</f>
        <v>-4.5999999999999996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</v>
      </c>
      <c r="BT10" s="30">
        <v>40</v>
      </c>
      <c r="BU10" s="40" t="s">
        <v>201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りくと</v>
      </c>
      <c r="F11" s="8" t="s">
        <v>196</v>
      </c>
      <c r="G11" s="9">
        <v>1500</v>
      </c>
      <c r="H11" s="9">
        <v>-1000</v>
      </c>
      <c r="I11" s="48"/>
      <c r="J11" s="21">
        <f t="shared" si="2"/>
        <v>28600</v>
      </c>
      <c r="K11" s="8" t="s">
        <v>196</v>
      </c>
      <c r="L11" s="9">
        <v>-3000</v>
      </c>
      <c r="M11" s="9">
        <v>1000</v>
      </c>
      <c r="N11" s="48"/>
      <c r="O11" s="21">
        <f t="shared" si="3"/>
        <v>44500</v>
      </c>
      <c r="P11" s="8" t="s">
        <v>196</v>
      </c>
      <c r="Q11" s="9">
        <v>1500</v>
      </c>
      <c r="R11" s="9"/>
      <c r="S11" s="48"/>
      <c r="T11" s="21">
        <f t="shared" si="4"/>
        <v>31900</v>
      </c>
      <c r="U11" s="53">
        <f>IF($J11="","",ROUND(($J11-$J$3)/1000,1)+(_xlfn.RANK.AVG($J11,($J11,$O11,$T11),1)-2)*10)</f>
        <v>-16.399999999999999</v>
      </c>
      <c r="V11" s="54">
        <f>IF($O11="","",ROUND(($O11-$O$3)/1000,1)+(_xlfn.RANK.AVG($O11,($J11,$O11,$T11),1)-2)*10)</f>
        <v>19.5</v>
      </c>
      <c r="W11" s="55">
        <f>IF($T11="","",ROUND(($T11-$T$3)/1000,1)+(_xlfn.RANK.AVG($T11,($J11,$O11,$T11),1)-2)*10)</f>
        <v>-3.1</v>
      </c>
      <c r="Y11" s="8" t="s">
        <v>195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195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52ACF106-D6EA-48BE-808C-5132922A7616}">
      <formula1>"ロン,ツモ,放銃,ツモ支払,流局,チョンボ"</formula1>
    </dataValidation>
    <dataValidation type="list" allowBlank="1" showInputMessage="1" showErrorMessage="1" sqref="E4:E30" xr:uid="{0CAFAC2D-8C8A-4A18-BA29-D688EF99D49E}">
      <formula1>$U$2:$W$2</formula1>
    </dataValidation>
    <dataValidation type="list" allowBlank="1" showInputMessage="1" sqref="F1:T1" xr:uid="{207E3178-02F5-411B-973C-C0568C63EA3D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2021-01-30T11:26:54Z</dcterms:modified>
</cp:coreProperties>
</file>