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BD9984A8-FDC4-4C35-B558-71B1379FFC64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20" l="1"/>
  <c r="E13" i="20"/>
  <c r="E12" i="20"/>
  <c r="E11" i="20"/>
  <c r="E10" i="20"/>
  <c r="E9" i="20"/>
  <c r="E8" i="20"/>
  <c r="D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V13" i="20" s="1"/>
  <c r="J13" i="20"/>
  <c r="D13" i="20"/>
  <c r="C13" i="20"/>
  <c r="B13" i="20"/>
  <c r="A13" i="20" s="1"/>
  <c r="T12" i="20"/>
  <c r="W12" i="20" s="1"/>
  <c r="O12" i="20"/>
  <c r="V12" i="20" s="1"/>
  <c r="J12" i="20"/>
  <c r="D12" i="20"/>
  <c r="C12" i="20"/>
  <c r="B12" i="20"/>
  <c r="A12" i="20"/>
  <c r="D11" i="20"/>
  <c r="D7" i="20"/>
  <c r="C6" i="20"/>
  <c r="D6" i="20"/>
  <c r="O5" i="20"/>
  <c r="O6" i="20" s="1"/>
  <c r="B5" i="20"/>
  <c r="T4" i="20"/>
  <c r="T5" i="20" s="1"/>
  <c r="O4" i="20"/>
  <c r="J4" i="20"/>
  <c r="J5" i="20" s="1"/>
  <c r="E4" i="20"/>
  <c r="W3" i="20"/>
  <c r="V3" i="20"/>
  <c r="U3" i="20"/>
  <c r="W2" i="20"/>
  <c r="V2" i="20"/>
  <c r="U2" i="20"/>
  <c r="BO1" i="20"/>
  <c r="AT1" i="20"/>
  <c r="Y1" i="20"/>
  <c r="U13" i="20" l="1"/>
  <c r="W13" i="20"/>
  <c r="U12" i="20"/>
  <c r="V4" i="20"/>
  <c r="T6" i="20"/>
  <c r="W5" i="20"/>
  <c r="J6" i="20"/>
  <c r="U5" i="20"/>
  <c r="O7" i="20"/>
  <c r="C5" i="20"/>
  <c r="D5" i="20"/>
  <c r="B6" i="20"/>
  <c r="C11" i="20"/>
  <c r="U4" i="20"/>
  <c r="W4" i="20"/>
  <c r="D9" i="20"/>
  <c r="D10" i="20" s="1"/>
  <c r="A5" i="20"/>
  <c r="C7" i="20"/>
  <c r="C8" i="20" s="1"/>
  <c r="C9" i="20" s="1"/>
  <c r="C10" i="20" s="1"/>
  <c r="V5" i="20"/>
  <c r="O8" i="20" l="1"/>
  <c r="T7" i="20"/>
  <c r="W6" i="20"/>
  <c r="A6" i="20"/>
  <c r="B7" i="20"/>
  <c r="J7" i="20"/>
  <c r="U6" i="20"/>
  <c r="V6" i="20"/>
  <c r="A7" i="20" l="1"/>
  <c r="J8" i="20"/>
  <c r="U7" i="20"/>
  <c r="B8" i="20"/>
  <c r="A8" i="20" s="1"/>
  <c r="O9" i="20"/>
  <c r="T8" i="20"/>
  <c r="W7" i="20"/>
  <c r="V7" i="20"/>
  <c r="J9" i="20" l="1"/>
  <c r="U8" i="20"/>
  <c r="T9" i="20"/>
  <c r="W8" i="20"/>
  <c r="V8" i="20"/>
  <c r="O10" i="20"/>
  <c r="V9" i="20"/>
  <c r="B9" i="20"/>
  <c r="B10" i="20" l="1"/>
  <c r="A10" i="20" s="1"/>
  <c r="J10" i="20"/>
  <c r="U9" i="20"/>
  <c r="A9" i="20"/>
  <c r="O11" i="20"/>
  <c r="W9" i="20"/>
  <c r="T10" i="20"/>
  <c r="V10" i="20" s="1"/>
  <c r="T11" i="20" l="1"/>
  <c r="W10" i="20"/>
  <c r="B11" i="20"/>
  <c r="A11" i="20" s="1"/>
  <c r="J11" i="20"/>
  <c r="U11" i="20" s="1"/>
  <c r="U10" i="20"/>
  <c r="W11" i="20" l="1"/>
  <c r="V11" i="20"/>
  <c r="E11" i="19" l="1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11" i="19" l="1"/>
  <c r="U10" i="19"/>
  <c r="U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<sst xmlns="http://schemas.openxmlformats.org/spreadsheetml/2006/main" count="688" uniqueCount="205">
  <si>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</si>
  <si>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</si>
  <si>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</si>
  <si>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</si>
  <si>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</si>
  <si>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</si>
  <si>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</si>
  <si>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</si>
  <si>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</si>
  <si>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</si>
  <si>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</si>
  <si>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</si>
  <si>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</si>
  <si>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</si>
  <si>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</si>
  <si>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</si>
  <si>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</si>
  <si>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</si>
  <si>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</si>
  <si>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</si>
  <si>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</si>
  <si>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</si>
  <si>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</si>
  <si>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</si>
  <si>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</si>
  <si>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</si>
  <si>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</si>
  <si>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</si>
  <si>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</si>
  <si>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</si>
  <si>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</si>
  <si>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</si>
  <si>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</si>
  <si>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</si>
  <si>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</si>
  <si>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</si>
  <si>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</si>
  <si>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</si>
  <si>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</si>
  <si>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</si>
  <si>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</si>
  <si>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</si>
  <si>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</si>
  <si>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</si>
  <si>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</si>
  <si>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</si>
  <si>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</si>
  <si>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</si>
  <si>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</si>
  <si>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</si>
  <si>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</si>
  <si>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</si>
  <si>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</si>
  <si>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</si>
  <si>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</si>
  <si>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</si>
  <si>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</si>
  <si>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</si>
  <si>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</si>
  <si>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</si>
  <si>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</si>
  <si>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</si>
  <si>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</si>
  <si>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</si>
  <si>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</si>
  <si>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</si>
  <si>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</si>
  <si>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</si>
  <si>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</si>
  <si>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</si>
  <si>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</si>
  <si>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</si>
  <si>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</si>
  <si>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</si>
  <si>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</si>
  <si>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</si>
  <si>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</si>
  <si>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</si>
  <si>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</si>
  <si>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</si>
  <si>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</si>
  <si>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</si>
  <si>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</si>
  <si>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</si>
  <si>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</si>
  <si>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</si>
  <si>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</si>
  <si>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</si>
  <si>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</si>
  <si>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</si>
  <si>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</si>
  <si>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</si>
  <si>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</si>
  <si>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</si>
  <si>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</si>
  <si>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</si>
  <si>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</si>
  <si>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</si>
  <si>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</si>
  <si>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</si>
  <si>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</si>
  <si>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</si>
  <si>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</si>
  <si>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</si>
  <si>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</si>
  <si>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</si>
  <si>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</si>
  <si>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</si>
  <si>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</si>
  <si>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</si>
  <si>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</si>
  <si>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</si>
  <si>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</si>
  <si>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</si>
  <si>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</si>
  <si>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</si>
  <si>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</si>
  <si>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</si>
  <si>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</si>
  <si>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</si>
  <si>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</si>
  <si>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</si>
  <si>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</si>
  <si>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</si>
  <si>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</si>
  <si>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</si>
  <si>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</si>
  <si>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</si>
  <si>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</si>
  <si>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</si>
  <si>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</si>
  <si>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</si>
  <si>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</si>
  <si>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</si>
  <si>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</si>
  <si>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</si>
  <si>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</si>
  <si>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</si>
  <si>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</si>
  <si>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</si>
  <si>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</si>
  <si>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</si>
  <si>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</si>
  <si>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</si>
  <si>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</si>
  <si>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</si>
  <si>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</si>
  <si>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</si>
  <si>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</si>
  <si>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</si>
  <si>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</si>
  <si>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</si>
  <si>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</si>
  <si>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</si>
  <si>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</si>
  <si>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</si>
  <si>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</si>
  <si>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</si>
  <si>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</si>
  <si>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</si>
  <si>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</si>
  <si>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</si>
  <si>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</si>
  <si>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</si>
  <si>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</si>
  <si>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</si>
  <si>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</si>
  <si>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</si>
  <si>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</si>
  <si>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</si>
  <si>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</si>
  <si>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</si>
  <si>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</si>
  <si>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</si>
  <si>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</si>
  <si>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</si>
  <si>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</si>
  <si>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</si>
  <si>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</si>
  <si>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</si>
  <si>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</si>
  <si>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</si>
  <si>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</si>
  <si>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</si>
  <si>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</si>
  <si>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</si>
  <si>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</si>
  <si>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</si>
  <si>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</si>
  <si>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</si>
  <si>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</si>
  <si>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</si>
  <si>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りくと</t>
  </si>
  <si>
    <t>まっつん</t>
  </si>
  <si>
    <t>ツモ支払</t>
  </si>
  <si>
    <t>ツモ</t>
  </si>
  <si>
    <t>*</t>
  </si>
  <si>
    <t>01</t>
  </si>
  <si>
    <t>02</t>
  </si>
  <si>
    <t>52</t>
  </si>
  <si>
    <t>ロン</t>
  </si>
  <si>
    <t>放銃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</si>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</sst>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りくと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-10000</v>
      </c>
      <c r="H4" s="9">
        <v>-1000</v>
      </c>
      <c r="I4" s="48">
        <v>0</v>
      </c>
      <c r="J4" s="21">
        <f>IF(COUNTA($F4,$K4,$P4)&gt;0,J3+SUM(G4:I4),"")</f>
        <v>24000</v>
      </c>
      <c r="K4" s="8" t="s">
        <v>194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195</v>
      </c>
      <c r="Q4" s="9">
        <v>16000</v>
      </c>
      <c r="R4" s="9">
        <v>1000</v>
      </c>
      <c r="S4" s="48">
        <v>0</v>
      </c>
      <c r="T4" s="21">
        <f>IF(COUNTA($F4,$K4,$P4)&gt;0,T3+SUM(Q4:S4),"")</f>
        <v>52000</v>
      </c>
      <c r="U4" s="53">
        <f>IF($J4="","",ROUND(($J4-$J$3)/1000,1)+(_xlfn.RANK.AVG($J4,($J4,$O4,$T4),1)-2)*10)</f>
        <v>-21</v>
      </c>
      <c r="V4" s="54">
        <f>IF($O4="","",ROUND(($O4-$O$3)/1000,1)+(_xlfn.RANK.AVG($O4,($J4,$O4,$T4),1)-2)*10)</f>
        <v>-6</v>
      </c>
      <c r="W4" s="55">
        <f>IF($T4="","",ROUND(($T4-$T$3)/1000,1)+(_xlfn.RANK.AVG($T4,($J4,$O4,$T4),1)-2)*10)</f>
        <v>27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196</v>
      </c>
      <c r="BU4" s="40" t="s">
        <v>197</v>
      </c>
      <c r="BV4" s="41" t="s">
        <v>82</v>
      </c>
      <c r="BW4" s="41" t="s">
        <v>198</v>
      </c>
      <c r="BX4" s="41" t="s">
        <v>83</v>
      </c>
      <c r="BY4" s="41" t="s">
        <v>92</v>
      </c>
      <c r="BZ4" s="41" t="s">
        <v>199</v>
      </c>
      <c r="CA4" s="41" t="s">
        <v>80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200</v>
      </c>
      <c r="G5" s="9">
        <v>3900</v>
      </c>
      <c r="H5" s="9"/>
      <c r="I5" s="48">
        <v>0</v>
      </c>
      <c r="J5" s="21">
        <f t="shared" ref="J5:J30" si="2">IF(COUNTA($F5,$K5,$P5)&gt;0,J4+SUM(G5:I5),"")</f>
        <v>27900</v>
      </c>
      <c r="K5" s="8"/>
      <c r="L5" s="9"/>
      <c r="M5" s="9"/>
      <c r="N5" s="48"/>
      <c r="O5" s="21">
        <f t="shared" ref="O5:O30" si="3">IF(COUNTA($F5,$K5,$P5)&gt;0,O4+SUM(L5:N5),"")</f>
        <v>29000</v>
      </c>
      <c r="P5" s="8" t="s">
        <v>201</v>
      </c>
      <c r="Q5" s="9">
        <v>-3900</v>
      </c>
      <c r="R5" s="9"/>
      <c r="S5" s="48">
        <v>0</v>
      </c>
      <c r="T5" s="21">
        <f t="shared" ref="T5:T30" si="4">IF(COUNTA($F5,$K5,$P5)&gt;0,T4+SUM(Q5:S5),"")</f>
        <v>48100</v>
      </c>
      <c r="U5" s="53">
        <f>IF($J5="","",ROUND(($J5-$J$3)/1000,1)+(_xlfn.RANK.AVG($J5,($J5,$O5,$T5),1)-2)*10)</f>
        <v>-17.100000000000001</v>
      </c>
      <c r="V5" s="54">
        <f>IF($O5="","",ROUND(($O5-$O$3)/1000,1)+(_xlfn.RANK.AVG($O5,($J5,$O5,$T5),1)-2)*10)</f>
        <v>-6</v>
      </c>
      <c r="W5" s="55">
        <f>IF($T5="","",ROUND(($T5-$T$3)/1000,1)+(_xlfn.RANK.AVG($T5,($J5,$O5,$T5),1)-2)*10)</f>
        <v>23.1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79</v>
      </c>
      <c r="AG5" s="41" t="s">
        <v>199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200</v>
      </c>
      <c r="G6" s="9">
        <v>6400</v>
      </c>
      <c r="H6" s="9"/>
      <c r="I6" s="48">
        <v>0</v>
      </c>
      <c r="J6" s="21">
        <f t="shared" si="2"/>
        <v>34300</v>
      </c>
      <c r="K6" s="8"/>
      <c r="L6" s="9"/>
      <c r="M6" s="9"/>
      <c r="N6" s="48"/>
      <c r="O6" s="21">
        <f t="shared" si="3"/>
        <v>29000</v>
      </c>
      <c r="P6" s="8" t="s">
        <v>201</v>
      </c>
      <c r="Q6" s="9">
        <v>-6400</v>
      </c>
      <c r="R6" s="9"/>
      <c r="S6" s="48">
        <v>0</v>
      </c>
      <c r="T6" s="21">
        <f t="shared" si="4"/>
        <v>41700</v>
      </c>
      <c r="U6" s="53">
        <f>IF($J6="","",ROUND(($J6-$J$3)/1000,1)+(_xlfn.RANK.AVG($J6,($J6,$O6,$T6),1)-2)*10)</f>
        <v>-0.7</v>
      </c>
      <c r="V6" s="54">
        <f>IF($O6="","",ROUND(($O6-$O$3)/1000,1)+(_xlfn.RANK.AVG($O6,($J6,$O6,$T6),1)-2)*10)</f>
        <v>-16</v>
      </c>
      <c r="W6" s="55">
        <f>IF($T6="","",ROUND(($T6-$T$3)/1000,1)+(_xlfn.RANK.AVG($T6,($J6,$O6,$T6),1)-2)*10)</f>
        <v>16.7</v>
      </c>
      <c r="Y6" s="8"/>
      <c r="Z6" s="34"/>
      <c r="AA6" s="26"/>
      <c r="AB6" s="26"/>
      <c r="AC6" s="26">
        <v>4</v>
      </c>
      <c r="AD6" s="30">
        <v>25</v>
      </c>
      <c r="AE6" s="40" t="s">
        <v>101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200</v>
      </c>
      <c r="G7" s="9">
        <v>12000</v>
      </c>
      <c r="H7" s="9">
        <v>1000</v>
      </c>
      <c r="I7" s="48">
        <v>0</v>
      </c>
      <c r="J7" s="21">
        <f t="shared" si="2"/>
        <v>47300</v>
      </c>
      <c r="K7" s="8"/>
      <c r="L7" s="9"/>
      <c r="M7" s="9"/>
      <c r="N7" s="48"/>
      <c r="O7" s="21">
        <f t="shared" si="3"/>
        <v>29000</v>
      </c>
      <c r="P7" s="8" t="s">
        <v>201</v>
      </c>
      <c r="Q7" s="9">
        <v>-12000</v>
      </c>
      <c r="R7" s="9">
        <v>-1000</v>
      </c>
      <c r="S7" s="48">
        <v>0</v>
      </c>
      <c r="T7" s="21">
        <f t="shared" si="4"/>
        <v>28700</v>
      </c>
      <c r="U7" s="53">
        <f>IF($J7="","",ROUND(($J7-$J$3)/1000,1)+(_xlfn.RANK.AVG($J7,($J7,$O7,$T7),1)-2)*10)</f>
        <v>22.3</v>
      </c>
      <c r="V7" s="54">
        <f>IF($O7="","",ROUND(($O7-$O$3)/1000,1)+(_xlfn.RANK.AVG($O7,($J7,$O7,$T7),1)-2)*10)</f>
        <v>-6</v>
      </c>
      <c r="W7" s="55">
        <f>IF($T7="","",ROUND(($T7-$T$3)/1000,1)+(_xlfn.RANK.AVG($T7,($J7,$O7,$T7),1)-2)*10)</f>
        <v>-16.3</v>
      </c>
      <c r="Y7" s="8"/>
      <c r="Z7" s="34"/>
      <c r="AA7" s="26"/>
      <c r="AB7" s="26">
        <v>1</v>
      </c>
      <c r="AC7" s="26">
        <v>5</v>
      </c>
      <c r="AD7" s="30" t="s">
        <v>196</v>
      </c>
      <c r="AE7" s="40" t="s">
        <v>86</v>
      </c>
      <c r="AF7" s="41" t="s">
        <v>79</v>
      </c>
      <c r="AG7" s="41" t="s">
        <v>79</v>
      </c>
      <c r="AH7" s="41" t="s">
        <v>79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だいち</v>
      </c>
      <c r="F8" s="8" t="s">
        <v>200</v>
      </c>
      <c r="G8" s="9">
        <v>7700</v>
      </c>
      <c r="H8" s="9"/>
      <c r="I8" s="48">
        <v>1000</v>
      </c>
      <c r="J8" s="21">
        <f t="shared" si="2"/>
        <v>56000</v>
      </c>
      <c r="K8" s="8" t="s">
        <v>201</v>
      </c>
      <c r="L8" s="9">
        <v>-7700</v>
      </c>
      <c r="M8" s="9"/>
      <c r="N8" s="48">
        <v>-1000</v>
      </c>
      <c r="O8" s="21">
        <f t="shared" si="3"/>
        <v>20300</v>
      </c>
      <c r="P8" s="8"/>
      <c r="Q8" s="9"/>
      <c r="R8" s="9"/>
      <c r="S8" s="48"/>
      <c r="T8" s="21">
        <f t="shared" si="4"/>
        <v>28700</v>
      </c>
      <c r="U8" s="53">
        <f>IF($J8="","",ROUND(($J8-$J$3)/1000,1)+(_xlfn.RANK.AVG($J8,($J8,$O8,$T8),1)-2)*10)</f>
        <v>31</v>
      </c>
      <c r="V8" s="54">
        <f>IF($O8="","",ROUND(($O8-$O$3)/1000,1)+(_xlfn.RANK.AVG($O8,($J8,$O8,$T8),1)-2)*10)</f>
        <v>-24.7</v>
      </c>
      <c r="W8" s="55">
        <f>IF($T8="","",ROUND(($T8-$T$3)/1000,1)+(_xlfn.RANK.AVG($T8,($J8,$O8,$T8),1)-2)*10)</f>
        <v>-6.3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197</v>
      </c>
      <c r="AF8" s="41" t="s">
        <v>198</v>
      </c>
      <c r="AG8" s="41" t="s">
        <v>86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だいち</v>
      </c>
      <c r="F9" s="8" t="s">
        <v>204</v>
      </c>
      <c r="G9" s="9">
        <v>-1500</v>
      </c>
      <c r="H9" s="9"/>
      <c r="I9" s="48"/>
      <c r="J9" s="21">
        <f t="shared" si="2"/>
        <v>54500</v>
      </c>
      <c r="K9" s="8" t="s">
        <v>204</v>
      </c>
      <c r="L9" s="9">
        <v>3000</v>
      </c>
      <c r="M9" s="9">
        <v>-1000</v>
      </c>
      <c r="N9" s="48"/>
      <c r="O9" s="21">
        <f t="shared" si="3"/>
        <v>22300</v>
      </c>
      <c r="P9" s="8" t="s">
        <v>204</v>
      </c>
      <c r="Q9" s="9">
        <v>-1500</v>
      </c>
      <c r="R9" s="9"/>
      <c r="S9" s="48"/>
      <c r="T9" s="21">
        <f t="shared" si="4"/>
        <v>27200</v>
      </c>
      <c r="U9" s="53">
        <f>IF($J9="","",ROUND(($J9-$J$3)/1000,1)+(_xlfn.RANK.AVG($J9,($J9,$O9,$T9),1)-2)*10)</f>
        <v>29.5</v>
      </c>
      <c r="V9" s="54">
        <f>IF($O9="","",ROUND(($O9-$O$3)/1000,1)+(_xlfn.RANK.AVG($O9,($J9,$O9,$T9),1)-2)*10)</f>
        <v>-22.7</v>
      </c>
      <c r="W9" s="55">
        <f>IF($T9="","",ROUND(($T9-$T$3)/1000,1)+(_xlfn.RANK.AVG($T9,($J9,$O9,$T9),1)-2)*10)</f>
        <v>-7.8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3</v>
      </c>
      <c r="D10" s="18">
        <f t="shared" si="1"/>
        <v>1</v>
      </c>
      <c r="E10" s="4" t="str">
        <f>IF($K$1="","",$K$1)</f>
        <v>りくと</v>
      </c>
      <c r="F10" s="8" t="s">
        <v>200</v>
      </c>
      <c r="G10" s="9">
        <v>6400</v>
      </c>
      <c r="H10" s="9">
        <v>3000</v>
      </c>
      <c r="I10" s="48">
        <v>3000</v>
      </c>
      <c r="J10" s="21">
        <f t="shared" si="2"/>
        <v>66900</v>
      </c>
      <c r="K10" s="8" t="s">
        <v>201</v>
      </c>
      <c r="L10" s="9">
        <v>-6400</v>
      </c>
      <c r="M10" s="9">
        <v>-1000</v>
      </c>
      <c r="N10" s="48">
        <v>-3000</v>
      </c>
      <c r="O10" s="21">
        <f t="shared" si="3"/>
        <v>11900</v>
      </c>
      <c r="P10" s="8"/>
      <c r="Q10" s="9"/>
      <c r="R10" s="9">
        <v>-1000</v>
      </c>
      <c r="S10" s="48"/>
      <c r="T10" s="21">
        <f t="shared" si="4"/>
        <v>26200</v>
      </c>
      <c r="U10" s="53">
        <f>IF($J10="","",ROUND(($J10-$J$3)/1000,1)+(_xlfn.RANK.AVG($J10,($J10,$O10,$T10),1)-2)*10)</f>
        <v>41.9</v>
      </c>
      <c r="V10" s="54">
        <f>IF($O10="","",ROUND(($O10-$O$3)/1000,1)+(_xlfn.RANK.AVG($O10,($J10,$O10,$T10),1)-2)*10)</f>
        <v>-33.1</v>
      </c>
      <c r="W10" s="55">
        <f>IF($T10="","",ROUND(($T10-$T$3)/1000,1)+(_xlfn.RANK.AVG($T10,($J10,$O10,$T10),1)-2)*10)</f>
        <v>-8.8000000000000007</v>
      </c>
      <c r="Y10" s="8"/>
      <c r="Z10" s="34"/>
      <c r="AA10" s="26"/>
      <c r="AB10" s="26"/>
      <c r="AC10" s="26">
        <v>4</v>
      </c>
      <c r="AD10" s="30">
        <v>25</v>
      </c>
      <c r="AE10" s="40" t="s">
        <v>101</v>
      </c>
      <c r="AF10" s="41" t="s">
        <v>79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まっつん</v>
      </c>
      <c r="F11" s="8" t="s">
        <v>195</v>
      </c>
      <c r="G11" s="9">
        <v>8000</v>
      </c>
      <c r="H11" s="9"/>
      <c r="I11" s="48">
        <v>0</v>
      </c>
      <c r="J11" s="21">
        <f t="shared" si="2"/>
        <v>74900</v>
      </c>
      <c r="K11" s="8" t="s">
        <v>194</v>
      </c>
      <c r="L11" s="9">
        <v>-3000</v>
      </c>
      <c r="M11" s="9"/>
      <c r="N11" s="48">
        <v>0</v>
      </c>
      <c r="O11" s="21">
        <f t="shared" si="3"/>
        <v>8900</v>
      </c>
      <c r="P11" s="8" t="s">
        <v>194</v>
      </c>
      <c r="Q11" s="9">
        <v>-5000</v>
      </c>
      <c r="R11" s="9"/>
      <c r="S11" s="48">
        <v>0</v>
      </c>
      <c r="T11" s="21">
        <f t="shared" si="4"/>
        <v>21200</v>
      </c>
      <c r="U11" s="53">
        <f>IF($J11="","",ROUND(($J11-$J$3)/1000,1)+(_xlfn.RANK.AVG($J11,($J11,$O11,$T11),1)-2)*10)</f>
        <v>49.9</v>
      </c>
      <c r="V11" s="54">
        <f>IF($O11="","",ROUND(($O11-$O$3)/1000,1)+(_xlfn.RANK.AVG($O11,($J11,$O11,$T11),1)-2)*10)</f>
        <v>-36.1</v>
      </c>
      <c r="W11" s="55">
        <f>IF($T11="","",ROUND(($T11-$T$3)/1000,1)+(_xlfn.RANK.AVG($T11,($J11,$O11,$T11),1)-2)*10)</f>
        <v>-13.8</v>
      </c>
      <c r="Y11" s="8"/>
      <c r="Z11" s="34"/>
      <c r="AA11" s="26"/>
      <c r="AB11" s="26"/>
      <c r="AC11" s="26">
        <v>4</v>
      </c>
      <c r="AD11" s="30">
        <v>60</v>
      </c>
      <c r="AE11" s="40" t="s">
        <v>82</v>
      </c>
      <c r="AF11" s="41" t="s">
        <v>84</v>
      </c>
      <c r="AG11" s="41" t="s">
        <v>86</v>
      </c>
      <c r="AH11" s="41" t="s">
        <v>199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6B33547-A41C-4FD5-9A09-BC526605DADC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1880F-9294-4F09-9EBE-943A82D47E18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200</v>
      </c>
      <c r="G4" s="9">
        <v>9600</v>
      </c>
      <c r="H4" s="9"/>
      <c r="I4" s="48">
        <v>0</v>
      </c>
      <c r="J4" s="21">
        <f>IF(COUNTA($F4,$K4,$P4)&gt;0,J3+SUM(G4:I4),"")</f>
        <v>44600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-9600</v>
      </c>
      <c r="R4" s="9"/>
      <c r="S4" s="48">
        <v>0</v>
      </c>
      <c r="T4" s="21">
        <f>IF(COUNTA($F4,$K4,$P4)&gt;0,T3+SUM(Q4:S4),"")</f>
        <v>25400</v>
      </c>
      <c r="U4" s="53">
        <f>IF($J4="","",ROUND(($J4-$J$3)/1000,1)+(_xlfn.RANK.AVG($J4,($J4,$O4,$T4),1)-2)*10)</f>
        <v>19.600000000000001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-19.600000000000001</v>
      </c>
      <c r="Y4" s="8"/>
      <c r="Z4" s="34"/>
      <c r="AA4" s="26">
        <v>1</v>
      </c>
      <c r="AB4" s="26"/>
      <c r="AC4" s="26">
        <v>4</v>
      </c>
      <c r="AD4" s="30">
        <v>25</v>
      </c>
      <c r="AE4" s="40" t="s">
        <v>197</v>
      </c>
      <c r="AF4" s="41" t="s">
        <v>101</v>
      </c>
      <c r="AG4" s="41" t="s">
        <v>199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195</v>
      </c>
      <c r="G5" s="9">
        <v>3000</v>
      </c>
      <c r="H5" s="9"/>
      <c r="I5" s="48">
        <v>1000</v>
      </c>
      <c r="J5" s="21">
        <f t="shared" ref="J5:J30" si="2">IF(COUNTA($F5,$K5,$P5)&gt;0,J4+SUM(G5:I5),"")</f>
        <v>48600</v>
      </c>
      <c r="K5" s="8" t="s">
        <v>194</v>
      </c>
      <c r="L5" s="9">
        <v>-1500</v>
      </c>
      <c r="M5" s="9"/>
      <c r="N5" s="48">
        <v>-500</v>
      </c>
      <c r="O5" s="21">
        <f t="shared" ref="O5:O30" si="3">IF(COUNTA($F5,$K5,$P5)&gt;0,O4+SUM(L5:N5),"")</f>
        <v>33000</v>
      </c>
      <c r="P5" s="8" t="s">
        <v>194</v>
      </c>
      <c r="Q5" s="9">
        <v>-1500</v>
      </c>
      <c r="R5" s="9"/>
      <c r="S5" s="48">
        <v>-500</v>
      </c>
      <c r="T5" s="21">
        <f t="shared" ref="T5:T30" si="4">IF(COUNTA($F5,$K5,$P5)&gt;0,T4+SUM(Q5:S5),"")</f>
        <v>23400</v>
      </c>
      <c r="U5" s="53">
        <f>IF($J5="","",ROUND(($J5-$J$3)/1000,1)+(_xlfn.RANK.AVG($J5,($J5,$O5,$T5),1)-2)*10)</f>
        <v>23.6</v>
      </c>
      <c r="V5" s="54">
        <f>IF($O5="","",ROUND(($O5-$O$3)/1000,1)+(_xlfn.RANK.AVG($O5,($J5,$O5,$T5),1)-2)*10)</f>
        <v>-2</v>
      </c>
      <c r="W5" s="55">
        <f>IF($T5="","",ROUND(($T5-$T$3)/1000,1)+(_xlfn.RANK.AVG($T5,($J5,$O5,$T5),1)-2)*10)</f>
        <v>-21.6</v>
      </c>
      <c r="Y5" s="8"/>
      <c r="Z5" s="34"/>
      <c r="AA5" s="26"/>
      <c r="AB5" s="26"/>
      <c r="AC5" s="26">
        <v>2</v>
      </c>
      <c r="AD5" s="30">
        <v>30</v>
      </c>
      <c r="AE5" s="40" t="s">
        <v>82</v>
      </c>
      <c r="AF5" s="41" t="s">
        <v>199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200</v>
      </c>
      <c r="G6" s="9">
        <v>12000</v>
      </c>
      <c r="H6" s="9"/>
      <c r="I6" s="48">
        <v>2000</v>
      </c>
      <c r="J6" s="21">
        <f t="shared" si="2"/>
        <v>62600</v>
      </c>
      <c r="K6" s="8"/>
      <c r="L6" s="9"/>
      <c r="M6" s="9"/>
      <c r="N6" s="48"/>
      <c r="O6" s="21">
        <f t="shared" si="3"/>
        <v>33000</v>
      </c>
      <c r="P6" s="8" t="s">
        <v>201</v>
      </c>
      <c r="Q6" s="9">
        <v>-12000</v>
      </c>
      <c r="R6" s="9"/>
      <c r="S6" s="48">
        <v>-2000</v>
      </c>
      <c r="T6" s="21">
        <f t="shared" si="4"/>
        <v>9400</v>
      </c>
      <c r="U6" s="53">
        <f>IF($J6="","",ROUND(($J6-$J$3)/1000,1)+(_xlfn.RANK.AVG($J6,($J6,$O6,$T6),1)-2)*10)</f>
        <v>37.6</v>
      </c>
      <c r="V6" s="54">
        <f>IF($O6="","",ROUND(($O6-$O$3)/1000,1)+(_xlfn.RANK.AVG($O6,($J6,$O6,$T6),1)-2)*10)</f>
        <v>-2</v>
      </c>
      <c r="W6" s="55">
        <f>IF($T6="","",ROUND(($T6-$T$3)/1000,1)+(_xlfn.RANK.AVG($T6,($J6,$O6,$T6),1)-2)*10)</f>
        <v>-35.6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86</v>
      </c>
      <c r="AF6" s="41" t="s">
        <v>79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だいち</v>
      </c>
      <c r="F7" s="8" t="s">
        <v>201</v>
      </c>
      <c r="G7" s="9">
        <v>-16000</v>
      </c>
      <c r="H7" s="9"/>
      <c r="I7" s="48">
        <v>-3000</v>
      </c>
      <c r="J7" s="21">
        <f t="shared" si="2"/>
        <v>43600</v>
      </c>
      <c r="K7" s="8" t="s">
        <v>200</v>
      </c>
      <c r="L7" s="9">
        <v>16000</v>
      </c>
      <c r="M7" s="9"/>
      <c r="N7" s="48">
        <v>3000</v>
      </c>
      <c r="O7" s="21">
        <f t="shared" si="3"/>
        <v>52000</v>
      </c>
      <c r="P7" s="8"/>
      <c r="Q7" s="9"/>
      <c r="R7" s="9"/>
      <c r="S7" s="48"/>
      <c r="T7" s="21">
        <f t="shared" si="4"/>
        <v>9400</v>
      </c>
      <c r="U7" s="53">
        <f>IF($J7="","",ROUND(($J7-$J$3)/1000,1)+(_xlfn.RANK.AVG($J7,($J7,$O7,$T7),1)-2)*10)</f>
        <v>8.6</v>
      </c>
      <c r="V7" s="54">
        <f>IF($O7="","",ROUND(($O7-$O$3)/1000,1)+(_xlfn.RANK.AVG($O7,($J7,$O7,$T7),1)-2)*10)</f>
        <v>27</v>
      </c>
      <c r="W7" s="55">
        <f>IF($T7="","",ROUND(($T7-$T$3)/1000,1)+(_xlfn.RANK.AVG($T7,($J7,$O7,$T7),1)-2)*10)</f>
        <v>-35.6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8</v>
      </c>
      <c r="AY7" s="30" t="s">
        <v>196</v>
      </c>
      <c r="AZ7" s="40" t="s">
        <v>197</v>
      </c>
      <c r="BA7" s="41" t="s">
        <v>198</v>
      </c>
      <c r="BB7" s="41" t="s">
        <v>84</v>
      </c>
      <c r="BC7" s="41" t="s">
        <v>79</v>
      </c>
      <c r="BD7" s="41" t="s">
        <v>79</v>
      </c>
      <c r="BE7" s="41" t="s">
        <v>199</v>
      </c>
      <c r="BF7" s="41" t="s">
        <v>199</v>
      </c>
      <c r="BG7" s="41" t="s">
        <v>85</v>
      </c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201</v>
      </c>
      <c r="G8" s="9">
        <v>-3900</v>
      </c>
      <c r="H8" s="9"/>
      <c r="I8" s="48">
        <v>0</v>
      </c>
      <c r="J8" s="21">
        <f t="shared" si="2"/>
        <v>39700</v>
      </c>
      <c r="K8" s="8"/>
      <c r="L8" s="9"/>
      <c r="M8" s="9"/>
      <c r="N8" s="48"/>
      <c r="O8" s="21">
        <f t="shared" si="3"/>
        <v>52000</v>
      </c>
      <c r="P8" s="8" t="s">
        <v>200</v>
      </c>
      <c r="Q8" s="9">
        <v>3900</v>
      </c>
      <c r="R8" s="9"/>
      <c r="S8" s="48">
        <v>0</v>
      </c>
      <c r="T8" s="21">
        <f t="shared" si="4"/>
        <v>13300</v>
      </c>
      <c r="U8" s="53">
        <f>IF($J8="","",ROUND(($J8-$J$3)/1000,1)+(_xlfn.RANK.AVG($J8,($J8,$O8,$T8),1)-2)*10)</f>
        <v>4.7</v>
      </c>
      <c r="V8" s="54">
        <f>IF($O8="","",ROUND(($O8-$O$3)/1000,1)+(_xlfn.RANK.AVG($O8,($J8,$O8,$T8),1)-2)*10)</f>
        <v>27</v>
      </c>
      <c r="W8" s="55">
        <f>IF($T8="","",ROUND(($T8-$T$3)/1000,1)+(_xlfn.RANK.AVG($T8,($J8,$O8,$T8),1)-2)*10)</f>
        <v>-31.7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86</v>
      </c>
      <c r="BW8" s="41" t="s">
        <v>86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まっつん</v>
      </c>
      <c r="F9" s="8"/>
      <c r="G9" s="9"/>
      <c r="H9" s="9"/>
      <c r="I9" s="48"/>
      <c r="J9" s="21">
        <f t="shared" si="2"/>
        <v>39700</v>
      </c>
      <c r="K9" s="8" t="s">
        <v>201</v>
      </c>
      <c r="L9" s="9">
        <v>-12000</v>
      </c>
      <c r="M9" s="9"/>
      <c r="N9" s="48">
        <v>0</v>
      </c>
      <c r="O9" s="21">
        <f t="shared" si="3"/>
        <v>40000</v>
      </c>
      <c r="P9" s="8" t="s">
        <v>200</v>
      </c>
      <c r="Q9" s="9">
        <v>12000</v>
      </c>
      <c r="R9" s="9"/>
      <c r="S9" s="48">
        <v>0</v>
      </c>
      <c r="T9" s="21">
        <f t="shared" si="4"/>
        <v>25300</v>
      </c>
      <c r="U9" s="53">
        <f>IF($J9="","",ROUND(($J9-$J$3)/1000,1)+(_xlfn.RANK.AVG($J9,($J9,$O9,$T9),1)-2)*10)</f>
        <v>4.7</v>
      </c>
      <c r="V9" s="54">
        <f>IF($O9="","",ROUND(($O9-$O$3)/1000,1)+(_xlfn.RANK.AVG($O9,($J9,$O9,$T9),1)-2)*10)</f>
        <v>15</v>
      </c>
      <c r="W9" s="55">
        <f>IF($T9="","",ROUND(($T9-$T$3)/1000,1)+(_xlfn.RANK.AVG($T9,($J9,$O9,$T9),1)-2)*10)</f>
        <v>-19.7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196</v>
      </c>
      <c r="BU9" s="40" t="s">
        <v>101</v>
      </c>
      <c r="BV9" s="41" t="s">
        <v>79</v>
      </c>
      <c r="BW9" s="41" t="s">
        <v>79</v>
      </c>
      <c r="BX9" s="41" t="s">
        <v>197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まっつん</v>
      </c>
      <c r="F10" s="8" t="s">
        <v>201</v>
      </c>
      <c r="G10" s="9">
        <v>-12000</v>
      </c>
      <c r="H10" s="9"/>
      <c r="I10" s="48">
        <v>-1000</v>
      </c>
      <c r="J10" s="21">
        <f t="shared" si="2"/>
        <v>26700</v>
      </c>
      <c r="K10" s="8" t="s">
        <v>200</v>
      </c>
      <c r="L10" s="9">
        <v>12000</v>
      </c>
      <c r="M10" s="9"/>
      <c r="N10" s="48">
        <v>1000</v>
      </c>
      <c r="O10" s="21">
        <f t="shared" si="3"/>
        <v>53000</v>
      </c>
      <c r="P10" s="8"/>
      <c r="Q10" s="9"/>
      <c r="R10" s="9"/>
      <c r="S10" s="48"/>
      <c r="T10" s="21">
        <f t="shared" si="4"/>
        <v>25300</v>
      </c>
      <c r="U10" s="53">
        <f>IF($J10="","",ROUND(($J10-$J$3)/1000,1)+(_xlfn.RANK.AVG($J10,($J10,$O10,$T10),1)-2)*10)</f>
        <v>-8.3000000000000007</v>
      </c>
      <c r="V10" s="54">
        <f>IF($O10="","",ROUND(($O10-$O$3)/1000,1)+(_xlfn.RANK.AVG($O10,($J10,$O10,$T10),1)-2)*10)</f>
        <v>28</v>
      </c>
      <c r="W10" s="55">
        <f>IF($T10="","",ROUND(($T10-$T$3)/1000,1)+(_xlfn.RANK.AVG($T10,($J10,$O10,$T10),1)-2)*10)</f>
        <v>-19.7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6</v>
      </c>
      <c r="AY10" s="30" t="s">
        <v>196</v>
      </c>
      <c r="AZ10" s="40" t="s">
        <v>104</v>
      </c>
      <c r="BA10" s="41" t="s">
        <v>86</v>
      </c>
      <c r="BB10" s="41" t="s">
        <v>79</v>
      </c>
      <c r="BC10" s="41" t="s">
        <v>199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 t="s">
        <v>194</v>
      </c>
      <c r="G11" s="9">
        <v>-5000</v>
      </c>
      <c r="H11" s="9"/>
      <c r="I11" s="48">
        <v>0</v>
      </c>
      <c r="J11" s="21">
        <f t="shared" si="2"/>
        <v>21700</v>
      </c>
      <c r="K11" s="8" t="s">
        <v>194</v>
      </c>
      <c r="L11" s="9">
        <v>-3000</v>
      </c>
      <c r="M11" s="9"/>
      <c r="N11" s="48">
        <v>0</v>
      </c>
      <c r="O11" s="21">
        <f t="shared" si="3"/>
        <v>50000</v>
      </c>
      <c r="P11" s="8" t="s">
        <v>195</v>
      </c>
      <c r="Q11" s="9">
        <v>8000</v>
      </c>
      <c r="R11" s="9"/>
      <c r="S11" s="48">
        <v>0</v>
      </c>
      <c r="T11" s="21">
        <f t="shared" si="4"/>
        <v>33300</v>
      </c>
      <c r="U11" s="53">
        <f>IF($J11="","",ROUND(($J11-$J$3)/1000,1)+(_xlfn.RANK.AVG($J11,($J11,$O11,$T11),1)-2)*10)</f>
        <v>-23.3</v>
      </c>
      <c r="V11" s="54">
        <f>IF($O11="","",ROUND(($O11-$O$3)/1000,1)+(_xlfn.RANK.AVG($O11,($J11,$O11,$T11),1)-2)*10)</f>
        <v>25</v>
      </c>
      <c r="W11" s="55">
        <f>IF($T11="","",ROUND(($T11-$T$3)/1000,1)+(_xlfn.RANK.AVG($T11,($J11,$O11,$T11),1)-2)*10)</f>
        <v>-1.7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5</v>
      </c>
      <c r="BT11" s="30" t="s">
        <v>196</v>
      </c>
      <c r="BU11" s="40" t="s">
        <v>105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りくと</v>
      </c>
      <c r="F12" s="8" t="s">
        <v>201</v>
      </c>
      <c r="G12" s="9">
        <v>-1300</v>
      </c>
      <c r="H12" s="9"/>
      <c r="I12" s="48">
        <v>0</v>
      </c>
      <c r="J12" s="21">
        <f t="shared" si="2"/>
        <v>20400</v>
      </c>
      <c r="K12" s="8"/>
      <c r="L12" s="9"/>
      <c r="M12" s="9"/>
      <c r="N12" s="48"/>
      <c r="O12" s="21">
        <f t="shared" si="3"/>
        <v>50000</v>
      </c>
      <c r="P12" s="8" t="s">
        <v>200</v>
      </c>
      <c r="Q12" s="9">
        <v>1300</v>
      </c>
      <c r="R12" s="9"/>
      <c r="S12" s="48">
        <v>0</v>
      </c>
      <c r="T12" s="21">
        <f t="shared" si="4"/>
        <v>34600</v>
      </c>
      <c r="U12" s="53">
        <f>IF($J12="","",ROUND(($J12-$J$3)/1000,1)+(_xlfn.RANK.AVG($J12,($J12,$O12,$T12),1)-2)*10)</f>
        <v>-24.6</v>
      </c>
      <c r="V12" s="54">
        <f>IF($O12="","",ROUND(($O12-$O$3)/1000,1)+(_xlfn.RANK.AVG($O12,($J12,$O12,$T12),1)-2)*10)</f>
        <v>25</v>
      </c>
      <c r="W12" s="55">
        <f>IF($T12="","",ROUND(($T12-$T$3)/1000,1)+(_xlfn.RANK.AVG($T12,($J12,$O12,$T12),1)-2)*10)</f>
        <v>-0.4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1</v>
      </c>
      <c r="BT12" s="30">
        <v>40</v>
      </c>
      <c r="BU12" s="40" t="s">
        <v>197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まっつん</v>
      </c>
      <c r="F13" s="8"/>
      <c r="G13" s="9"/>
      <c r="H13" s="9"/>
      <c r="I13" s="48"/>
      <c r="J13" s="21">
        <f t="shared" si="2"/>
        <v>20400</v>
      </c>
      <c r="K13" s="8" t="s">
        <v>201</v>
      </c>
      <c r="L13" s="9">
        <v>-12000</v>
      </c>
      <c r="M13" s="9"/>
      <c r="N13" s="48">
        <v>0</v>
      </c>
      <c r="O13" s="21">
        <f t="shared" si="3"/>
        <v>38000</v>
      </c>
      <c r="P13" s="8" t="s">
        <v>200</v>
      </c>
      <c r="Q13" s="9">
        <v>12000</v>
      </c>
      <c r="R13" s="9"/>
      <c r="S13" s="48">
        <v>0</v>
      </c>
      <c r="T13" s="21">
        <f t="shared" si="4"/>
        <v>46600</v>
      </c>
      <c r="U13" s="53">
        <f>IF($J13="","",ROUND(($J13-$J$3)/1000,1)+(_xlfn.RANK.AVG($J13,($J13,$O13,$T13),1)-2)*10)</f>
        <v>-24.6</v>
      </c>
      <c r="V13" s="54">
        <f>IF($O13="","",ROUND(($O13-$O$3)/1000,1)+(_xlfn.RANK.AVG($O13,($J13,$O13,$T13),1)-2)*10)</f>
        <v>3</v>
      </c>
      <c r="W13" s="55">
        <f>IF($T13="","",ROUND(($T13-$T$3)/1000,1)+(_xlfn.RANK.AVG($T13,($J13,$O13,$T13),1)-2)*10)</f>
        <v>21.6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5</v>
      </c>
      <c r="BT13" s="30" t="s">
        <v>196</v>
      </c>
      <c r="BU13" s="40" t="s">
        <v>96</v>
      </c>
      <c r="BV13" s="41" t="s">
        <v>98</v>
      </c>
      <c r="BW13" s="41" t="s">
        <v>199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tr">
        <f>IF($P$1="","",$P$1)</f>
        <v>まっつん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32EF1BCB-9A74-43A1-8341-E0459C090AB5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4DDE938C-0CF2-4937-AA96-6B7B1CB86892}">
      <formula1>"ロン,ツモ,放銃,ツモ支払,流局,チョンボ"</formula1>
    </dataValidation>
    <dataValidation type="list" allowBlank="1" showInputMessage="1" showErrorMessage="1" sqref="E4:E30" xr:uid="{660EBE52-6D5A-4D6C-931D-2FB1C4669E7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2020-12-12T09:47:45Z</dcterms:modified>
</cp:coreProperties>
</file>