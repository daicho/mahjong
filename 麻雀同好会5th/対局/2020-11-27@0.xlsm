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5F4D7EE8-DA62-4167-AFFB-74E0750B7677}" xr6:coauthVersionLast="45" xr6:coauthVersionMax="45" xr10:uidLastSave="{00000000-0000-0000-0000-000000000000}"/>
  <bookViews>
    <workbookView xWindow="-120" yWindow="-120" windowWidth="29040" windowHeight="1599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21" l="1"/>
  <c r="E10" i="21"/>
  <c r="C10" i="21" s="1"/>
  <c r="E9" i="21"/>
  <c r="E8" i="21"/>
  <c r="C8" i="21" s="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9" i="21"/>
  <c r="C9" i="21"/>
  <c r="D8" i="21"/>
  <c r="D7" i="21"/>
  <c r="C7" i="21"/>
  <c r="T5" i="21"/>
  <c r="T6" i="21" s="1"/>
  <c r="O5" i="21"/>
  <c r="O6" i="21" s="1"/>
  <c r="B5" i="21"/>
  <c r="T4" i="21"/>
  <c r="W4" i="21" s="1"/>
  <c r="O4" i="21"/>
  <c r="J4" i="21"/>
  <c r="J5" i="21" s="1"/>
  <c r="E4" i="21"/>
  <c r="W3" i="21"/>
  <c r="V3" i="21"/>
  <c r="U3" i="21"/>
  <c r="W2" i="21"/>
  <c r="V2" i="21"/>
  <c r="U2" i="21"/>
  <c r="BO1" i="21"/>
  <c r="AT1" i="21"/>
  <c r="Y1" i="21"/>
  <c r="B12" i="20"/>
  <c r="A12" i="20" s="1"/>
  <c r="E10" i="20"/>
  <c r="E9" i="20"/>
  <c r="E8" i="20"/>
  <c r="C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T11" i="20"/>
  <c r="O11" i="20"/>
  <c r="V11" i="20" s="1"/>
  <c r="J11" i="20"/>
  <c r="D11" i="20"/>
  <c r="C11" i="20"/>
  <c r="B11" i="20"/>
  <c r="A11" i="20" s="1"/>
  <c r="J7" i="20"/>
  <c r="J8" i="20" s="1"/>
  <c r="J6" i="20"/>
  <c r="J5" i="20"/>
  <c r="B5" i="20"/>
  <c r="D5" i="20"/>
  <c r="T4" i="20"/>
  <c r="T5" i="20" s="1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D10" i="21" l="1"/>
  <c r="V4" i="21"/>
  <c r="T7" i="21"/>
  <c r="U5" i="21"/>
  <c r="J6" i="21"/>
  <c r="W6" i="21" s="1"/>
  <c r="O7" i="21"/>
  <c r="V6" i="21"/>
  <c r="C5" i="21"/>
  <c r="W5" i="21"/>
  <c r="B8" i="21"/>
  <c r="D5" i="21"/>
  <c r="B6" i="21"/>
  <c r="A6" i="21" s="1"/>
  <c r="B7" i="21"/>
  <c r="U4" i="21"/>
  <c r="C6" i="21"/>
  <c r="A5" i="21"/>
  <c r="V5" i="21"/>
  <c r="U11" i="20"/>
  <c r="W11" i="20"/>
  <c r="D8" i="20"/>
  <c r="O6" i="20"/>
  <c r="V5" i="20"/>
  <c r="U5" i="20"/>
  <c r="J9" i="20"/>
  <c r="T6" i="20"/>
  <c r="W5" i="20"/>
  <c r="A5" i="20"/>
  <c r="C10" i="20"/>
  <c r="C5" i="20"/>
  <c r="D10" i="20"/>
  <c r="U4" i="20"/>
  <c r="C6" i="20"/>
  <c r="C7" i="20" s="1"/>
  <c r="B6" i="20"/>
  <c r="A6" i="20" s="1"/>
  <c r="V4" i="20"/>
  <c r="D6" i="20"/>
  <c r="D7" i="20" s="1"/>
  <c r="C9" i="20"/>
  <c r="W4" i="20"/>
  <c r="D9" i="20"/>
  <c r="E4" i="19"/>
  <c r="T8" i="21" l="1"/>
  <c r="O8" i="21"/>
  <c r="B9" i="21"/>
  <c r="A7" i="21"/>
  <c r="A8" i="21" s="1"/>
  <c r="J7" i="21"/>
  <c r="W7" i="21" s="1"/>
  <c r="U6" i="21"/>
  <c r="J10" i="20"/>
  <c r="V6" i="20"/>
  <c r="U6" i="20"/>
  <c r="O7" i="20"/>
  <c r="T7" i="20"/>
  <c r="W6" i="20"/>
  <c r="B7" i="20"/>
  <c r="W3" i="19"/>
  <c r="V3" i="19"/>
  <c r="U3" i="19"/>
  <c r="A9" i="21" l="1"/>
  <c r="T9" i="21"/>
  <c r="B10" i="21"/>
  <c r="A10" i="21" s="1"/>
  <c r="O9" i="21"/>
  <c r="J8" i="21"/>
  <c r="W8" i="21" s="1"/>
  <c r="U7" i="21"/>
  <c r="V7" i="21"/>
  <c r="B8" i="20"/>
  <c r="W7" i="20"/>
  <c r="T8" i="20"/>
  <c r="A7" i="20"/>
  <c r="O8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8" i="21" l="1"/>
  <c r="J9" i="21"/>
  <c r="U8" i="21"/>
  <c r="O10" i="21"/>
  <c r="T10" i="21"/>
  <c r="W9" i="21"/>
  <c r="B9" i="20"/>
  <c r="A8" i="20"/>
  <c r="O9" i="20"/>
  <c r="V8" i="20"/>
  <c r="U8" i="20"/>
  <c r="T9" i="20"/>
  <c r="W8" i="20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1" l="1"/>
  <c r="U9" i="21"/>
  <c r="V9" i="21"/>
  <c r="B10" i="20"/>
  <c r="A10" i="20" s="1"/>
  <c r="A9" i="20"/>
  <c r="T10" i="20"/>
  <c r="W9" i="20"/>
  <c r="V9" i="20"/>
  <c r="O10" i="20"/>
  <c r="U9" i="20"/>
  <c r="W5" i="19"/>
  <c r="V5" i="19"/>
  <c r="U5" i="19"/>
  <c r="U10" i="21" l="1"/>
  <c r="W10" i="21"/>
  <c r="V10" i="21"/>
  <c r="V10" i="20"/>
  <c r="U10" i="20"/>
  <c r="W10" i="20"/>
</calcChain>
</file>

<file path=xl/sharedStrings.xml><?xml version="1.0" encoding="utf-8"?>
<sst xmlns="http://schemas.openxmlformats.org/spreadsheetml/2006/main" count="753" uniqueCount="207">
  <si>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</si>
  <si>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</si>
  <si>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</si>
  <si>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</si>
  <si>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</si>
  <si>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</si>
  <si>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</si>
  <si>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</si>
  <si>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</si>
  <si>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</si>
  <si>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</si>
  <si>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</si>
  <si>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</si>
  <si>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</si>
  <si>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</si>
  <si>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</si>
  <si>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</si>
  <si>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</si>
  <si>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</si>
  <si>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</si>
  <si>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</si>
  <si>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</si>
  <si>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</si>
  <si>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</si>
  <si>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</si>
  <si>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</si>
  <si>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</si>
  <si>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</si>
  <si>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</si>
  <si>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</si>
  <si>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</si>
  <si>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</si>
  <si>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</si>
  <si>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</si>
  <si>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</si>
  <si>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</si>
  <si>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</si>
  <si>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</si>
  <si>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</si>
  <si>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</si>
  <si>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</si>
  <si>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</si>
  <si>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</si>
  <si>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</si>
  <si>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</si>
  <si>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</si>
  <si>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</si>
  <si>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</si>
  <si>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</si>
  <si>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</si>
  <si>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</si>
  <si>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</si>
  <si>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</si>
  <si>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</si>
  <si>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</si>
  <si>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</si>
  <si>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</si>
  <si>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</si>
  <si>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</si>
  <si>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</si>
  <si>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</si>
  <si>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</si>
  <si>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</si>
  <si>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</si>
  <si>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</si>
  <si>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</si>
  <si>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</si>
  <si>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</si>
  <si>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</si>
  <si>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</si>
  <si>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</si>
  <si>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</si>
  <si>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</si>
  <si>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</si>
  <si>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</si>
  <si>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</si>
  <si>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</si>
  <si>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</si>
  <si>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</si>
  <si>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</si>
  <si>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</si>
  <si>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</si>
  <si>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</si>
  <si>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</si>
  <si>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</si>
  <si>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</si>
  <si>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</si>
  <si>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</si>
  <si>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</si>
  <si>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</si>
  <si>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</si>
  <si>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</si>
  <si>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</si>
  <si>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</si>
  <si>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</si>
  <si>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</si>
  <si>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</si>
  <si>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</si>
  <si>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</si>
  <si>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</si>
  <si>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</si>
  <si>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</si>
  <si>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</si>
  <si>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</si>
  <si>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</si>
  <si>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</si>
  <si>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</si>
  <si>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</si>
  <si>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</si>
  <si>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</si>
  <si>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</si>
  <si>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</si>
  <si>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</si>
  <si>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</si>
  <si>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</si>
  <si>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</si>
  <si>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</si>
  <si>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</si>
  <si>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</si>
  <si>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</si>
  <si>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</si>
  <si>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</si>
  <si>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</si>
  <si>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</si>
  <si>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</si>
  <si>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</si>
  <si>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</si>
  <si>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</si>
  <si>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</si>
  <si>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</si>
  <si>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</si>
  <si>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</si>
  <si>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</si>
  <si>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</si>
  <si>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</si>
  <si>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</si>
  <si>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</si>
  <si>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</si>
  <si>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</si>
  <si>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</si>
  <si>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</si>
  <si>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</si>
  <si>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</si>
  <si>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</si>
  <si>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</si>
  <si>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</si>
  <si>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</si>
  <si>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</si>
  <si>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</si>
  <si>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</si>
  <si>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</si>
  <si>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</si>
  <si>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</si>
  <si>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</si>
  <si>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</si>
  <si>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</si>
  <si>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</si>
  <si>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</si>
  <si>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</si>
  <si>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</si>
  <si>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</si>
  <si>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</si>
  <si>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</si>
  <si>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</si>
  <si>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</si>
  <si>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</si>
  <si>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</si>
  <si>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</si>
  <si>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</si>
  <si>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</si>
  <si>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</si>
  <si>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</si>
  <si>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</si>
  <si>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</si>
  <si>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</si>
  <si>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</si>
  <si>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</si>
  <si>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</si>
  <si>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</si>
  <si>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</si>
  <si>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</si>
  <si>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</si>
  <si>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</si>
  <si>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</si>
  <si>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</si>
  <si>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</si>
  <si>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</si>
  <si>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</si>
  <si>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</si>
  <si>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</si>
  <si>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</si>
  <si>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</si>
  <si>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れんたろう</t>
    <phoneticPr fontId="1"/>
  </si>
  <si>
    <t>だいち</t>
    <phoneticPr fontId="1"/>
  </si>
  <si>
    <t>ロン</t>
  </si>
  <si>
    <t>放銃</t>
  </si>
  <si>
    <t>52</t>
  </si>
  <si>
    <t>N</t>
  </si>
  <si>
    <t>T</t>
  </si>
  <si>
    <t>流局</t>
    <phoneticPr fontId="1"/>
  </si>
  <si>
    <t>*</t>
  </si>
  <si>
    <t>01</t>
  </si>
  <si>
    <t>ツモ</t>
  </si>
  <si>
    <t>ツモ支払</t>
  </si>
  <si>
    <t>02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</si>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</sst>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いちかわ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60</v>
      </c>
      <c r="AZ4" s="40" t="s">
        <v>86</v>
      </c>
      <c r="BA4" s="41" t="s">
        <v>86</v>
      </c>
      <c r="BB4" s="41" t="s">
        <v>104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195</v>
      </c>
      <c r="G5" s="9">
        <v>-2000</v>
      </c>
      <c r="H5" s="9"/>
      <c r="I5" s="48">
        <v>0</v>
      </c>
      <c r="J5" s="21">
        <f t="shared" ref="J5:J30" si="2">IF(COUNTA($F5,$K5,$P5)&gt;0,J4+SUM(G5:I5),"")</f>
        <v>33000</v>
      </c>
      <c r="K5" s="8"/>
      <c r="L5" s="9"/>
      <c r="M5" s="9"/>
      <c r="N5" s="48"/>
      <c r="O5" s="21">
        <f t="shared" ref="O5:O30" si="3">IF(COUNTA($F5,$K5,$P5)&gt;0,O4+SUM(L5:N5),"")</f>
        <v>43000</v>
      </c>
      <c r="P5" s="8" t="s">
        <v>194</v>
      </c>
      <c r="Q5" s="9">
        <v>2000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-2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-16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196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199</v>
      </c>
      <c r="G6" s="9">
        <v>-1500</v>
      </c>
      <c r="H6" s="9"/>
      <c r="I6" s="48"/>
      <c r="J6" s="21">
        <f t="shared" si="2"/>
        <v>31500</v>
      </c>
      <c r="K6" s="8" t="s">
        <v>199</v>
      </c>
      <c r="L6" s="9">
        <v>-1500</v>
      </c>
      <c r="M6" s="9"/>
      <c r="N6" s="48"/>
      <c r="O6" s="21">
        <f t="shared" si="3"/>
        <v>41500</v>
      </c>
      <c r="P6" s="8" t="s">
        <v>199</v>
      </c>
      <c r="Q6" s="9">
        <v>3000</v>
      </c>
      <c r="R6" s="9">
        <v>-1000</v>
      </c>
      <c r="S6" s="48"/>
      <c r="T6" s="21">
        <f t="shared" si="4"/>
        <v>31000</v>
      </c>
      <c r="U6" s="53">
        <f>IF($J6="","",ROUND(($J6-$J$3)/1000,1)+(_xlfn.RANK.AVG($J6,($J6,$O6,$T6),1)-2)*10)</f>
        <v>-3.5</v>
      </c>
      <c r="V6" s="54">
        <f>IF($O6="","",ROUND(($O6-$O$3)/1000,1)+(_xlfn.RANK.AVG($O6,($J6,$O6,$T6),1)-2)*10)</f>
        <v>16.5</v>
      </c>
      <c r="W6" s="55">
        <f>IF($T6="","",ROUND(($T6-$T$3)/1000,1)+(_xlfn.RANK.AVG($T6,($J6,$O6,$T6),1)-2)*10)</f>
        <v>-14</v>
      </c>
      <c r="Y6" s="8" t="s">
        <v>197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IF($P$1="","",$P$1)</f>
        <v>だいち</v>
      </c>
      <c r="F7" s="8" t="s">
        <v>195</v>
      </c>
      <c r="G7" s="9">
        <v>-8000</v>
      </c>
      <c r="H7" s="9"/>
      <c r="I7" s="48">
        <v>-1000</v>
      </c>
      <c r="J7" s="21">
        <f t="shared" si="2"/>
        <v>22500</v>
      </c>
      <c r="K7" s="8" t="s">
        <v>194</v>
      </c>
      <c r="L7" s="9">
        <v>8000</v>
      </c>
      <c r="M7" s="9">
        <v>2000</v>
      </c>
      <c r="N7" s="48">
        <v>1000</v>
      </c>
      <c r="O7" s="21">
        <f t="shared" si="3"/>
        <v>52500</v>
      </c>
      <c r="P7" s="8"/>
      <c r="Q7" s="9"/>
      <c r="R7" s="9">
        <v>-1000</v>
      </c>
      <c r="S7" s="48"/>
      <c r="T7" s="21">
        <f t="shared" si="4"/>
        <v>30000</v>
      </c>
      <c r="U7" s="53">
        <f>IF($J7="","",ROUND(($J7-$J$3)/1000,1)+(_xlfn.RANK.AVG($J7,($J7,$O7,$T7),1)-2)*10)</f>
        <v>-22.5</v>
      </c>
      <c r="V7" s="54">
        <f>IF($O7="","",ROUND(($O7-$O$3)/1000,1)+(_xlfn.RANK.AVG($O7,($J7,$O7,$T7),1)-2)*10)</f>
        <v>27.5</v>
      </c>
      <c r="W7" s="55">
        <f>IF($T7="","",ROUND(($T7-$T$3)/1000,1)+(_xlfn.RANK.AVG($T7,($J7,$O7,$T7),1)-2)*10)</f>
        <v>-5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200</v>
      </c>
      <c r="AZ7" s="40" t="s">
        <v>201</v>
      </c>
      <c r="BA7" s="41" t="s">
        <v>86</v>
      </c>
      <c r="BB7" s="41" t="s">
        <v>79</v>
      </c>
      <c r="BC7" s="41" t="s">
        <v>79</v>
      </c>
      <c r="BD7" s="41" t="s">
        <v>196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いちかわ</v>
      </c>
      <c r="F8" s="8" t="s">
        <v>199</v>
      </c>
      <c r="G8" s="9">
        <v>-3000</v>
      </c>
      <c r="H8" s="9"/>
      <c r="I8" s="48"/>
      <c r="J8" s="21">
        <f t="shared" si="2"/>
        <v>19500</v>
      </c>
      <c r="K8" s="8" t="s">
        <v>199</v>
      </c>
      <c r="L8" s="9">
        <v>1500</v>
      </c>
      <c r="M8" s="9"/>
      <c r="N8" s="48"/>
      <c r="O8" s="21">
        <f t="shared" si="3"/>
        <v>54000</v>
      </c>
      <c r="P8" s="8" t="s">
        <v>199</v>
      </c>
      <c r="Q8" s="9">
        <v>1500</v>
      </c>
      <c r="R8" s="9">
        <v>-1000</v>
      </c>
      <c r="S8" s="48"/>
      <c r="T8" s="21">
        <f t="shared" si="4"/>
        <v>30500</v>
      </c>
      <c r="U8" s="53">
        <f>IF($J8="","",ROUND(($J8-$J$3)/1000,1)+(_xlfn.RANK.AVG($J8,($J8,$O8,$T8),1)-2)*10)</f>
        <v>-25.5</v>
      </c>
      <c r="V8" s="54">
        <f>IF($O8="","",ROUND(($O8-$O$3)/1000,1)+(_xlfn.RANK.AVG($O8,($J8,$O8,$T8),1)-2)*10)</f>
        <v>29</v>
      </c>
      <c r="W8" s="55">
        <f>IF($T8="","",ROUND(($T8-$T$3)/1000,1)+(_xlfn.RANK.AVG($T8,($J8,$O8,$T8),1)-2)*10)</f>
        <v>-4.5</v>
      </c>
      <c r="Y8" s="8" t="s">
        <v>197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198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198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IF($K$1="","",$K$1)</f>
        <v>れんたろう</v>
      </c>
      <c r="F9" s="8" t="s">
        <v>202</v>
      </c>
      <c r="G9" s="9">
        <v>32000</v>
      </c>
      <c r="H9" s="9">
        <v>4000</v>
      </c>
      <c r="I9" s="48">
        <v>1000</v>
      </c>
      <c r="J9" s="21">
        <f t="shared" si="2"/>
        <v>56500</v>
      </c>
      <c r="K9" s="8" t="s">
        <v>203</v>
      </c>
      <c r="L9" s="9">
        <v>-20000</v>
      </c>
      <c r="M9" s="9">
        <v>-1000</v>
      </c>
      <c r="N9" s="48">
        <v>-500</v>
      </c>
      <c r="O9" s="21">
        <f t="shared" si="3"/>
        <v>32500</v>
      </c>
      <c r="P9" s="8" t="s">
        <v>203</v>
      </c>
      <c r="Q9" s="9">
        <v>-12000</v>
      </c>
      <c r="R9" s="9">
        <v>-2000</v>
      </c>
      <c r="S9" s="48">
        <v>-500</v>
      </c>
      <c r="T9" s="21">
        <f t="shared" si="4"/>
        <v>16000</v>
      </c>
      <c r="U9" s="53">
        <f>IF($J9="","",ROUND(($J9-$J$3)/1000,1)+(_xlfn.RANK.AVG($J9,($J9,$O9,$T9),1)-2)*10)</f>
        <v>31.5</v>
      </c>
      <c r="V9" s="54">
        <f>IF($O9="","",ROUND(($O9-$O$3)/1000,1)+(_xlfn.RANK.AVG($O9,($J9,$O9,$T9),1)-2)*10)</f>
        <v>-2.5</v>
      </c>
      <c r="W9" s="55">
        <f>IF($T9="","",ROUND(($T9-$T$3)/1000,1)+(_xlfn.RANK.AVG($T9,($J9,$O9,$T9),1)-2)*10)</f>
        <v>-29</v>
      </c>
      <c r="Y9" s="8"/>
      <c r="Z9" s="34"/>
      <c r="AA9" s="26">
        <v>1</v>
      </c>
      <c r="AB9" s="26"/>
      <c r="AC9" s="26">
        <v>13</v>
      </c>
      <c r="AD9" s="30" t="s">
        <v>200</v>
      </c>
      <c r="AE9" s="40" t="s">
        <v>108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202</v>
      </c>
      <c r="G10" s="9">
        <v>7700</v>
      </c>
      <c r="H10" s="9"/>
      <c r="I10" s="48">
        <v>0</v>
      </c>
      <c r="J10" s="21">
        <f t="shared" si="2"/>
        <v>64200</v>
      </c>
      <c r="K10" s="8" t="s">
        <v>203</v>
      </c>
      <c r="L10" s="9">
        <v>-2900</v>
      </c>
      <c r="M10" s="9"/>
      <c r="N10" s="48">
        <v>0</v>
      </c>
      <c r="O10" s="21">
        <f t="shared" si="3"/>
        <v>29600</v>
      </c>
      <c r="P10" s="8" t="s">
        <v>203</v>
      </c>
      <c r="Q10" s="9">
        <v>-4800</v>
      </c>
      <c r="R10" s="9"/>
      <c r="S10" s="48">
        <v>0</v>
      </c>
      <c r="T10" s="21">
        <f t="shared" si="4"/>
        <v>11200</v>
      </c>
      <c r="U10" s="53">
        <f>IF($J10="","",ROUND(($J10-$J$3)/1000,1)+(_xlfn.RANK.AVG($J10,($J10,$O10,$T10),1)-2)*10)</f>
        <v>39.200000000000003</v>
      </c>
      <c r="V10" s="54">
        <f>IF($O10="","",ROUND(($O10-$O$3)/1000,1)+(_xlfn.RANK.AVG($O10,($J10,$O10,$T10),1)-2)*10)</f>
        <v>-5.4</v>
      </c>
      <c r="W10" s="55">
        <f>IF($T10="","",ROUND(($T10-$T$3)/1000,1)+(_xlfn.RANK.AVG($T10,($J10,$O10,$T10),1)-2)*10)</f>
        <v>-33.799999999999997</v>
      </c>
      <c r="Y10" s="8"/>
      <c r="Z10" s="34"/>
      <c r="AA10" s="26"/>
      <c r="AB10" s="26">
        <v>1</v>
      </c>
      <c r="AC10" s="26">
        <v>3</v>
      </c>
      <c r="AD10" s="30">
        <v>60</v>
      </c>
      <c r="AE10" s="40" t="s">
        <v>104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F2764B6-48FE-42E5-BF3A-D2C1187B259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68119-8D95-4806-99CB-00FCFF2F171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いちかわ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202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203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203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200</v>
      </c>
      <c r="AE4" s="40" t="s">
        <v>201</v>
      </c>
      <c r="AF4" s="41" t="s">
        <v>82</v>
      </c>
      <c r="AG4" s="41" t="s">
        <v>83</v>
      </c>
      <c r="AH4" s="41" t="s">
        <v>79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195</v>
      </c>
      <c r="G5" s="9">
        <v>-16000</v>
      </c>
      <c r="H5" s="9"/>
      <c r="I5" s="48">
        <v>-1000</v>
      </c>
      <c r="J5" s="21">
        <f t="shared" ref="J5:J30" si="2">IF(COUNTA($F5,$K5,$P5)&gt;0,J4+SUM(G5:I5),"")</f>
        <v>30000</v>
      </c>
      <c r="K5" s="8"/>
      <c r="L5" s="9"/>
      <c r="M5" s="9"/>
      <c r="N5" s="48"/>
      <c r="O5" s="21">
        <f t="shared" ref="O5:O30" si="3">IF(COUNTA($F5,$K5,$P5)&gt;0,O4+SUM(L5:N5),"")</f>
        <v>29000</v>
      </c>
      <c r="P5" s="8" t="s">
        <v>194</v>
      </c>
      <c r="Q5" s="9">
        <v>16000</v>
      </c>
      <c r="R5" s="9"/>
      <c r="S5" s="48">
        <v>1000</v>
      </c>
      <c r="T5" s="21">
        <f t="shared" ref="T5:T30" si="4">IF(COUNTA($F5,$K5,$P5)&gt;0,T4+SUM(Q5:S5),"")</f>
        <v>46000</v>
      </c>
      <c r="U5" s="53">
        <f>IF($J5="","",ROUND(($J5-$J$3)/1000,1)+(_xlfn.RANK.AVG($J5,($J5,$O5,$T5),1)-2)*10)</f>
        <v>-5</v>
      </c>
      <c r="V5" s="54">
        <f>IF($O5="","",ROUND(($O5-$O$3)/1000,1)+(_xlfn.RANK.AVG($O5,($J5,$O5,$T5),1)-2)*10)</f>
        <v>-16</v>
      </c>
      <c r="W5" s="55">
        <f>IF($T5="","",ROUND(($T5-$T$3)/1000,1)+(_xlfn.RANK.AVG($T5,($J5,$O5,$T5),1)-2)*10)</f>
        <v>21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200</v>
      </c>
      <c r="BU5" s="40" t="s">
        <v>201</v>
      </c>
      <c r="BV5" s="41" t="s">
        <v>204</v>
      </c>
      <c r="BW5" s="41" t="s">
        <v>104</v>
      </c>
      <c r="BX5" s="41" t="s">
        <v>79</v>
      </c>
      <c r="BY5" s="41" t="s">
        <v>79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いちかわ</v>
      </c>
      <c r="F6" s="8" t="s">
        <v>195</v>
      </c>
      <c r="G6" s="9">
        <v>-1300</v>
      </c>
      <c r="H6" s="9"/>
      <c r="I6" s="48">
        <v>0</v>
      </c>
      <c r="J6" s="21">
        <f t="shared" si="2"/>
        <v>28700</v>
      </c>
      <c r="K6" s="8"/>
      <c r="L6" s="9"/>
      <c r="M6" s="9"/>
      <c r="N6" s="48"/>
      <c r="O6" s="21">
        <f t="shared" si="3"/>
        <v>29000</v>
      </c>
      <c r="P6" s="8" t="s">
        <v>194</v>
      </c>
      <c r="Q6" s="9">
        <v>1300</v>
      </c>
      <c r="R6" s="9"/>
      <c r="S6" s="48">
        <v>0</v>
      </c>
      <c r="T6" s="21">
        <f t="shared" si="4"/>
        <v>47300</v>
      </c>
      <c r="U6" s="53">
        <f>IF($J6="","",ROUND(($J6-$J$3)/1000,1)+(_xlfn.RANK.AVG($J6,($J6,$O6,$T6),1)-2)*10)</f>
        <v>-16.3</v>
      </c>
      <c r="V6" s="54">
        <f>IF($O6="","",ROUND(($O6-$O$3)/1000,1)+(_xlfn.RANK.AVG($O6,($J6,$O6,$T6),1)-2)*10)</f>
        <v>-6</v>
      </c>
      <c r="W6" s="55">
        <f>IF($T6="","",ROUND(($T6-$T$3)/1000,1)+(_xlfn.RANK.AVG($T6,($J6,$O6,$T6),1)-2)*10)</f>
        <v>22.3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40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194</v>
      </c>
      <c r="G7" s="9">
        <v>3900</v>
      </c>
      <c r="H7" s="9"/>
      <c r="I7" s="48">
        <v>0</v>
      </c>
      <c r="J7" s="21">
        <f t="shared" si="2"/>
        <v>32600</v>
      </c>
      <c r="K7" s="8" t="s">
        <v>195</v>
      </c>
      <c r="L7" s="9">
        <v>-3900</v>
      </c>
      <c r="M7" s="9"/>
      <c r="N7" s="48">
        <v>0</v>
      </c>
      <c r="O7" s="21">
        <f t="shared" si="3"/>
        <v>25100</v>
      </c>
      <c r="P7" s="8"/>
      <c r="Q7" s="9"/>
      <c r="R7" s="9"/>
      <c r="S7" s="48"/>
      <c r="T7" s="21">
        <f t="shared" si="4"/>
        <v>47300</v>
      </c>
      <c r="U7" s="53">
        <f>IF($J7="","",ROUND(($J7-$J$3)/1000,1)+(_xlfn.RANK.AVG($J7,($J7,$O7,$T7),1)-2)*10)</f>
        <v>-2.4</v>
      </c>
      <c r="V7" s="54">
        <f>IF($O7="","",ROUND(($O7-$O$3)/1000,1)+(_xlfn.RANK.AVG($O7,($J7,$O7,$T7),1)-2)*10)</f>
        <v>-19.899999999999999</v>
      </c>
      <c r="W7" s="55">
        <f>IF($T7="","",ROUND(($T7-$T$3)/1000,1)+(_xlfn.RANK.AVG($T7,($J7,$O7,$T7),1)-2)*10)</f>
        <v>22.3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196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/>
      <c r="G8" s="9"/>
      <c r="H8" s="9"/>
      <c r="I8" s="48"/>
      <c r="J8" s="21">
        <f t="shared" si="2"/>
        <v>32600</v>
      </c>
      <c r="K8" s="8" t="s">
        <v>194</v>
      </c>
      <c r="L8" s="9">
        <v>7700</v>
      </c>
      <c r="M8" s="9"/>
      <c r="N8" s="48">
        <v>0</v>
      </c>
      <c r="O8" s="21">
        <f t="shared" si="3"/>
        <v>32800</v>
      </c>
      <c r="P8" s="8" t="s">
        <v>195</v>
      </c>
      <c r="Q8" s="9">
        <v>-7700</v>
      </c>
      <c r="R8" s="9"/>
      <c r="S8" s="48">
        <v>0</v>
      </c>
      <c r="T8" s="21">
        <f t="shared" si="4"/>
        <v>39600</v>
      </c>
      <c r="U8" s="53">
        <f>IF($J8="","",ROUND(($J8-$J$3)/1000,1)+(_xlfn.RANK.AVG($J8,($J8,$O8,$T8),1)-2)*10)</f>
        <v>-12.4</v>
      </c>
      <c r="V8" s="54">
        <f>IF($O8="","",ROUND(($O8-$O$3)/1000,1)+(_xlfn.RANK.AVG($O8,($J8,$O8,$T8),1)-2)*10)</f>
        <v>-2.2000000000000002</v>
      </c>
      <c r="W8" s="55">
        <f>IF($T8="","",ROUND(($T8-$T$3)/1000,1)+(_xlfn.RANK.AVG($T8,($J8,$O8,$T8),1)-2)*10)</f>
        <v>14.6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104</v>
      </c>
      <c r="BA8" s="41" t="s">
        <v>86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いちかわ</v>
      </c>
      <c r="F9" s="8" t="s">
        <v>205</v>
      </c>
      <c r="G9" s="9">
        <v>3000</v>
      </c>
      <c r="H9" s="9"/>
      <c r="I9" s="48"/>
      <c r="J9" s="21">
        <f t="shared" si="2"/>
        <v>35600</v>
      </c>
      <c r="K9" s="8" t="s">
        <v>205</v>
      </c>
      <c r="L9" s="9">
        <v>-1500</v>
      </c>
      <c r="M9" s="9"/>
      <c r="N9" s="48"/>
      <c r="O9" s="21">
        <f t="shared" si="3"/>
        <v>31300</v>
      </c>
      <c r="P9" s="8" t="s">
        <v>205</v>
      </c>
      <c r="Q9" s="9">
        <v>-1500</v>
      </c>
      <c r="R9" s="9"/>
      <c r="S9" s="48"/>
      <c r="T9" s="21">
        <f t="shared" si="4"/>
        <v>38100</v>
      </c>
      <c r="U9" s="53">
        <f>IF($J9="","",ROUND(($J9-$J$3)/1000,1)+(_xlfn.RANK.AVG($J9,($J9,$O9,$T9),1)-2)*10)</f>
        <v>0.6</v>
      </c>
      <c r="V9" s="54">
        <f>IF($O9="","",ROUND(($O9-$O$3)/1000,1)+(_xlfn.RANK.AVG($O9,($J9,$O9,$T9),1)-2)*10)</f>
        <v>-13.7</v>
      </c>
      <c r="W9" s="55">
        <f>IF($T9="","",ROUND(($T9-$T$3)/1000,1)+(_xlfn.RANK.AVG($T9,($J9,$O9,$T9),1)-2)*10)</f>
        <v>13.1</v>
      </c>
      <c r="Y9" s="8" t="s">
        <v>198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だいち</v>
      </c>
      <c r="F10" s="8" t="s">
        <v>202</v>
      </c>
      <c r="G10" s="9">
        <v>8000</v>
      </c>
      <c r="H10" s="9"/>
      <c r="I10" s="48">
        <v>1000</v>
      </c>
      <c r="J10" s="21">
        <f t="shared" si="2"/>
        <v>44600</v>
      </c>
      <c r="K10" s="8" t="s">
        <v>203</v>
      </c>
      <c r="L10" s="9">
        <v>-3000</v>
      </c>
      <c r="M10" s="9"/>
      <c r="N10" s="48">
        <v>-500</v>
      </c>
      <c r="O10" s="21">
        <f t="shared" si="3"/>
        <v>27800</v>
      </c>
      <c r="P10" s="8" t="s">
        <v>203</v>
      </c>
      <c r="Q10" s="9">
        <v>-5000</v>
      </c>
      <c r="R10" s="9"/>
      <c r="S10" s="48">
        <v>-500</v>
      </c>
      <c r="T10" s="21">
        <f t="shared" si="4"/>
        <v>32600</v>
      </c>
      <c r="U10" s="53">
        <f>IF($J10="","",ROUND(($J10-$J$3)/1000,1)+(_xlfn.RANK.AVG($J10,($J10,$O10,$T10),1)-2)*10)</f>
        <v>19.600000000000001</v>
      </c>
      <c r="V10" s="54">
        <f>IF($O10="","",ROUND(($O10-$O$3)/1000,1)+(_xlfn.RANK.AVG($O10,($J10,$O10,$T10),1)-2)*10)</f>
        <v>-17.2</v>
      </c>
      <c r="W10" s="55">
        <f>IF($T10="","",ROUND(($T10-$T$3)/1000,1)+(_xlfn.RANK.AVG($T10,($J10,$O10,$T10),1)-2)*10)</f>
        <v>-2.4</v>
      </c>
      <c r="Y10" s="8"/>
      <c r="Z10" s="34"/>
      <c r="AA10" s="26"/>
      <c r="AB10" s="26"/>
      <c r="AC10" s="26">
        <v>4</v>
      </c>
      <c r="AD10" s="30">
        <v>40</v>
      </c>
      <c r="AE10" s="40" t="s">
        <v>82</v>
      </c>
      <c r="AF10" s="41" t="s">
        <v>84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A441F54F-88E8-48AA-A26B-4DC3A3429E6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8D7D739A-F163-4E23-9C02-ADCA39265E5D}">
      <formula1>"ロン,ツモ,放銃,ツモ支払,流局,チョンボ"</formula1>
    </dataValidation>
    <dataValidation type="list" allowBlank="1" showInputMessage="1" showErrorMessage="1" sqref="E4:E30" xr:uid="{C8880F39-71E5-46AC-B22B-148A0AECDD6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F311-5E46-4244-9D58-F9BE70F9E30D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いちかわ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いちかわ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203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202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203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-6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200</v>
      </c>
      <c r="AZ4" s="40" t="s">
        <v>206</v>
      </c>
      <c r="BA4" s="41" t="s">
        <v>82</v>
      </c>
      <c r="BB4" s="41" t="s">
        <v>204</v>
      </c>
      <c r="BC4" s="41" t="s">
        <v>84</v>
      </c>
      <c r="BD4" s="41" t="s">
        <v>196</v>
      </c>
      <c r="BE4" s="41" t="s">
        <v>196</v>
      </c>
      <c r="BF4" s="41" t="s">
        <v>86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7700</v>
      </c>
      <c r="H5" s="9">
        <v>1000</v>
      </c>
      <c r="I5" s="48">
        <v>0</v>
      </c>
      <c r="J5" s="21">
        <f t="shared" ref="J5:J30" si="2">IF(COUNTA($F5,$K5,$P5)&gt;0,J4+SUM(G5:I5),"")</f>
        <v>33700</v>
      </c>
      <c r="K5" s="8"/>
      <c r="L5" s="9"/>
      <c r="M5" s="9"/>
      <c r="N5" s="48"/>
      <c r="O5" s="21">
        <f t="shared" ref="O5:O30" si="3">IF(COUNTA($F5,$K5,$P5)&gt;0,O4+SUM(L5:N5),"")</f>
        <v>51000</v>
      </c>
      <c r="P5" s="8" t="s">
        <v>195</v>
      </c>
      <c r="Q5" s="9">
        <v>-7700</v>
      </c>
      <c r="R5" s="9">
        <v>-1000</v>
      </c>
      <c r="S5" s="48">
        <v>0</v>
      </c>
      <c r="T5" s="21">
        <f t="shared" ref="T5:T30" si="4">IF(COUNTA($F5,$K5,$P5)&gt;0,T4+SUM(Q5:S5),"")</f>
        <v>20300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26</v>
      </c>
      <c r="W5" s="55">
        <f>IF($T5="","",ROUND(($T5-$T$3)/1000,1)+(_xlfn.RANK.AVG($T5,($J5,$O5,$T5),1)-2)*10)</f>
        <v>-24.7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201</v>
      </c>
      <c r="AF5" s="41" t="s">
        <v>83</v>
      </c>
      <c r="AG5" s="41" t="s">
        <v>79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203</v>
      </c>
      <c r="G6" s="9">
        <v>-3000</v>
      </c>
      <c r="H6" s="9"/>
      <c r="I6" s="48">
        <v>0</v>
      </c>
      <c r="J6" s="21">
        <f t="shared" si="2"/>
        <v>30700</v>
      </c>
      <c r="K6" s="8" t="s">
        <v>203</v>
      </c>
      <c r="L6" s="9">
        <v>-3000</v>
      </c>
      <c r="M6" s="9"/>
      <c r="N6" s="48">
        <v>0</v>
      </c>
      <c r="O6" s="21">
        <f t="shared" si="3"/>
        <v>48000</v>
      </c>
      <c r="P6" s="8" t="s">
        <v>202</v>
      </c>
      <c r="Q6" s="9">
        <v>6000</v>
      </c>
      <c r="R6" s="9"/>
      <c r="S6" s="48">
        <v>0</v>
      </c>
      <c r="T6" s="21">
        <f t="shared" si="4"/>
        <v>26300</v>
      </c>
      <c r="U6" s="53">
        <f>IF($J6="","",ROUND(($J6-$J$3)/1000,1)+(_xlfn.RANK.AVG($J6,($J6,$O6,$T6),1)-2)*10)</f>
        <v>-4.3</v>
      </c>
      <c r="V6" s="54">
        <f>IF($O6="","",ROUND(($O6-$O$3)/1000,1)+(_xlfn.RANK.AVG($O6,($J6,$O6,$T6),1)-2)*10)</f>
        <v>23</v>
      </c>
      <c r="W6" s="55">
        <f>IF($T6="","",ROUND(($T6-$T$3)/1000,1)+(_xlfn.RANK.AVG($T6,($J6,$O6,$T6),1)-2)*10)</f>
        <v>-18.7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201</v>
      </c>
      <c r="BV6" s="41" t="s">
        <v>82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 t="s">
        <v>202</v>
      </c>
      <c r="G7" s="9">
        <v>2800</v>
      </c>
      <c r="H7" s="9"/>
      <c r="I7" s="48">
        <v>1000</v>
      </c>
      <c r="J7" s="21">
        <f t="shared" si="2"/>
        <v>34500</v>
      </c>
      <c r="K7" s="8" t="s">
        <v>203</v>
      </c>
      <c r="L7" s="9">
        <v>-1100</v>
      </c>
      <c r="M7" s="9"/>
      <c r="N7" s="48">
        <v>-500</v>
      </c>
      <c r="O7" s="21">
        <f t="shared" si="3"/>
        <v>46400</v>
      </c>
      <c r="P7" s="8" t="s">
        <v>203</v>
      </c>
      <c r="Q7" s="9">
        <v>-1700</v>
      </c>
      <c r="R7" s="9"/>
      <c r="S7" s="48">
        <v>-500</v>
      </c>
      <c r="T7" s="21">
        <f t="shared" si="4"/>
        <v>24100</v>
      </c>
      <c r="U7" s="53">
        <f>IF($J7="","",ROUND(($J7-$J$3)/1000,1)+(_xlfn.RANK.AVG($J7,($J7,$O7,$T7),1)-2)*10)</f>
        <v>-0.5</v>
      </c>
      <c r="V7" s="54">
        <f>IF($O7="","",ROUND(($O7-$O$3)/1000,1)+(_xlfn.RANK.AVG($O7,($J7,$O7,$T7),1)-2)*10)</f>
        <v>21.4</v>
      </c>
      <c r="W7" s="55">
        <f>IF($T7="","",ROUND(($T7-$T$3)/1000,1)+(_xlfn.RANK.AVG($T7,($J7,$O7,$T7),1)-2)*10)</f>
        <v>-20.9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86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いちかわ</v>
      </c>
      <c r="F8" s="8" t="s">
        <v>203</v>
      </c>
      <c r="G8" s="9">
        <v>-1300</v>
      </c>
      <c r="H8" s="9"/>
      <c r="I8" s="48">
        <v>0</v>
      </c>
      <c r="J8" s="21">
        <f t="shared" si="2"/>
        <v>33200</v>
      </c>
      <c r="K8" s="8" t="s">
        <v>202</v>
      </c>
      <c r="L8" s="9">
        <v>2100</v>
      </c>
      <c r="M8" s="9"/>
      <c r="N8" s="48">
        <v>0</v>
      </c>
      <c r="O8" s="21">
        <f t="shared" si="3"/>
        <v>48500</v>
      </c>
      <c r="P8" s="8" t="s">
        <v>203</v>
      </c>
      <c r="Q8" s="9">
        <v>-800</v>
      </c>
      <c r="R8" s="9"/>
      <c r="S8" s="48">
        <v>0</v>
      </c>
      <c r="T8" s="21">
        <f t="shared" si="4"/>
        <v>23300</v>
      </c>
      <c r="U8" s="53">
        <f>IF($J8="","",ROUND(($J8-$J$3)/1000,1)+(_xlfn.RANK.AVG($J8,($J8,$O8,$T8),1)-2)*10)</f>
        <v>-1.8</v>
      </c>
      <c r="V8" s="54">
        <f>IF($O8="","",ROUND(($O8-$O$3)/1000,1)+(_xlfn.RANK.AVG($O8,($J8,$O8,$T8),1)-2)*10)</f>
        <v>23.5</v>
      </c>
      <c r="W8" s="55">
        <f>IF($T8="","",ROUND(($T8-$T$3)/1000,1)+(_xlfn.RANK.AVG($T8,($J8,$O8,$T8),1)-2)*10)</f>
        <v>-21.7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82</v>
      </c>
      <c r="BA8" s="41" t="s">
        <v>196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203</v>
      </c>
      <c r="G9" s="9">
        <v>-3000</v>
      </c>
      <c r="H9" s="9"/>
      <c r="I9" s="48">
        <v>0</v>
      </c>
      <c r="J9" s="21">
        <f t="shared" si="2"/>
        <v>30200</v>
      </c>
      <c r="K9" s="8" t="s">
        <v>203</v>
      </c>
      <c r="L9" s="9">
        <v>-5000</v>
      </c>
      <c r="M9" s="9"/>
      <c r="N9" s="48">
        <v>0</v>
      </c>
      <c r="O9" s="21">
        <f t="shared" si="3"/>
        <v>43500</v>
      </c>
      <c r="P9" s="8" t="s">
        <v>202</v>
      </c>
      <c r="Q9" s="9">
        <v>8000</v>
      </c>
      <c r="R9" s="9"/>
      <c r="S9" s="48">
        <v>0</v>
      </c>
      <c r="T9" s="21">
        <f t="shared" si="4"/>
        <v>31300</v>
      </c>
      <c r="U9" s="53">
        <f>IF($J9="","",ROUND(($J9-$J$3)/1000,1)+(_xlfn.RANK.AVG($J9,($J9,$O9,$T9),1)-2)*10)</f>
        <v>-14.8</v>
      </c>
      <c r="V9" s="54">
        <f>IF($O9="","",ROUND(($O9-$O$3)/1000,1)+(_xlfn.RANK.AVG($O9,($J9,$O9,$T9),1)-2)*10)</f>
        <v>18.5</v>
      </c>
      <c r="W9" s="55">
        <f>IF($T9="","",ROUND(($T9-$T$3)/1000,1)+(_xlfn.RANK.AVG($T9,($J9,$O9,$T9),1)-2)*10)</f>
        <v>-3.7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201</v>
      </c>
      <c r="BV9" s="41" t="s">
        <v>82</v>
      </c>
      <c r="BW9" s="41" t="s">
        <v>87</v>
      </c>
      <c r="BX9" s="41" t="s">
        <v>83</v>
      </c>
      <c r="BY9" s="41" t="s">
        <v>196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8000</v>
      </c>
      <c r="H10" s="9"/>
      <c r="I10" s="48">
        <v>0</v>
      </c>
      <c r="J10" s="21">
        <f t="shared" si="2"/>
        <v>38200</v>
      </c>
      <c r="K10" s="8" t="s">
        <v>203</v>
      </c>
      <c r="L10" s="9">
        <v>-3000</v>
      </c>
      <c r="M10" s="9"/>
      <c r="N10" s="48">
        <v>0</v>
      </c>
      <c r="O10" s="21">
        <f t="shared" si="3"/>
        <v>40500</v>
      </c>
      <c r="P10" s="8" t="s">
        <v>203</v>
      </c>
      <c r="Q10" s="9">
        <v>-5000</v>
      </c>
      <c r="R10" s="9"/>
      <c r="S10" s="48">
        <v>0</v>
      </c>
      <c r="T10" s="21">
        <f t="shared" si="4"/>
        <v>26300</v>
      </c>
      <c r="U10" s="53">
        <f>IF($J10="","",ROUND(($J10-$J$3)/1000,1)+(_xlfn.RANK.AVG($J10,($J10,$O10,$T10),1)-2)*10)</f>
        <v>3.2</v>
      </c>
      <c r="V10" s="54">
        <f>IF($O10="","",ROUND(($O10-$O$3)/1000,1)+(_xlfn.RANK.AVG($O10,($J10,$O10,$T10),1)-2)*10)</f>
        <v>15.5</v>
      </c>
      <c r="W10" s="55">
        <f>IF($T10="","",ROUND(($T10-$T$3)/1000,1)+(_xlfn.RANK.AVG($T10,($J10,$O10,$T10),1)-2)*10)</f>
        <v>-18.7</v>
      </c>
      <c r="Y10" s="8"/>
      <c r="Z10" s="34"/>
      <c r="AA10" s="26"/>
      <c r="AB10" s="26"/>
      <c r="AC10" s="26">
        <v>4</v>
      </c>
      <c r="AD10" s="30">
        <v>40</v>
      </c>
      <c r="AE10" s="40" t="s">
        <v>82</v>
      </c>
      <c r="AF10" s="41" t="s">
        <v>85</v>
      </c>
      <c r="AG10" s="41" t="s">
        <v>96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いちかわ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81264FAE-A038-4156-836A-810B848CC61F}">
      <formula1>$U$2:$W$2</formula1>
    </dataValidation>
    <dataValidation type="list" showInputMessage="1" showErrorMessage="1" sqref="K4:K30 P4:P30 F4:F30" xr:uid="{EA7C6547-46A5-483E-87D9-861FBCAE59E6}">
      <formula1>"ロン,ツモ,放銃,ツモ支払,流局,チョンボ"</formula1>
    </dataValidation>
    <dataValidation type="list" allowBlank="1" showInputMessage="1" sqref="F1:T1" xr:uid="{044D8BFF-2342-4B5B-ACB8-9DE5B0BF91AB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2020-11-27T09:13:22Z</dcterms:modified>
</cp:coreProperties>
</file>