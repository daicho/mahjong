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07CEB91B-34F0-4E80-A9B6-B5EBDD403EF0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20" r:id="rId1"/>
    <sheet name="Sheet2" sheetId="21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9" i="21" l="1"/>
  <c r="W27" i="21"/>
  <c r="W21" i="21"/>
  <c r="W3" i="21"/>
  <c r="V3" i="21"/>
  <c r="U3" i="21"/>
  <c r="W28" i="20"/>
  <c r="W26" i="20"/>
  <c r="W24" i="20"/>
  <c r="V4" i="20"/>
  <c r="W3" i="20"/>
  <c r="V3" i="20"/>
  <c r="U3" i="20"/>
  <c r="T30" i="21"/>
  <c r="W30" i="21" s="1"/>
  <c r="O30" i="21"/>
  <c r="V30" i="21" s="1"/>
  <c r="J30" i="21"/>
  <c r="U30" i="21" s="1"/>
  <c r="D30" i="21"/>
  <c r="C30" i="21"/>
  <c r="B30" i="21"/>
  <c r="A30" i="21"/>
  <c r="T29" i="2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E14" i="21"/>
  <c r="D14" i="21" s="1"/>
  <c r="E13" i="21"/>
  <c r="E12" i="21"/>
  <c r="E11" i="21"/>
  <c r="E10" i="21"/>
  <c r="D10" i="21"/>
  <c r="E9" i="21"/>
  <c r="D9" i="21"/>
  <c r="C9" i="21"/>
  <c r="E8" i="21"/>
  <c r="D8" i="21" s="1"/>
  <c r="E7" i="21"/>
  <c r="D7" i="21"/>
  <c r="E6" i="21"/>
  <c r="D6" i="21"/>
  <c r="T5" i="21"/>
  <c r="E5" i="21"/>
  <c r="D5" i="21" s="1"/>
  <c r="C5" i="21"/>
  <c r="B5" i="21"/>
  <c r="A5" i="21"/>
  <c r="T4" i="21"/>
  <c r="O4" i="21"/>
  <c r="O5" i="21" s="1"/>
  <c r="J4" i="21"/>
  <c r="J5" i="21" s="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E22" i="20"/>
  <c r="D22" i="20"/>
  <c r="E21" i="20"/>
  <c r="E20" i="20"/>
  <c r="D20" i="20" s="1"/>
  <c r="E19" i="20"/>
  <c r="D19" i="20"/>
  <c r="E18" i="20"/>
  <c r="E17" i="20"/>
  <c r="D17" i="20"/>
  <c r="E16" i="20"/>
  <c r="E15" i="20"/>
  <c r="E14" i="20"/>
  <c r="D14" i="20"/>
  <c r="D15" i="20" s="1"/>
  <c r="D16" i="20" s="1"/>
  <c r="E13" i="20"/>
  <c r="D13" i="20"/>
  <c r="E12" i="20"/>
  <c r="D12" i="20" s="1"/>
  <c r="E11" i="20"/>
  <c r="E10" i="20"/>
  <c r="E9" i="20"/>
  <c r="E8" i="20"/>
  <c r="D8" i="20"/>
  <c r="D9" i="20" s="1"/>
  <c r="E7" i="20"/>
  <c r="D7" i="20"/>
  <c r="E6" i="20"/>
  <c r="D6" i="20"/>
  <c r="J5" i="20"/>
  <c r="E5" i="20"/>
  <c r="D5" i="20"/>
  <c r="T4" i="20"/>
  <c r="O4" i="20"/>
  <c r="U4" i="20" s="1"/>
  <c r="J4" i="20"/>
  <c r="W2" i="20"/>
  <c r="V2" i="20"/>
  <c r="U2" i="20"/>
  <c r="BO1" i="20"/>
  <c r="AT1" i="20"/>
  <c r="Y1" i="20"/>
  <c r="W4" i="20" l="1"/>
  <c r="W5" i="21"/>
  <c r="V4" i="21"/>
  <c r="W4" i="21"/>
  <c r="U5" i="21"/>
  <c r="V5" i="21"/>
  <c r="U4" i="21"/>
  <c r="C14" i="20"/>
  <c r="D11" i="21"/>
  <c r="D12" i="21" s="1"/>
  <c r="D13" i="21" s="1"/>
  <c r="C11" i="21"/>
  <c r="C12" i="21" s="1"/>
  <c r="C5" i="20"/>
  <c r="C6" i="20" s="1"/>
  <c r="C7" i="20" s="1"/>
  <c r="C8" i="20" s="1"/>
  <c r="C9" i="20" s="1"/>
  <c r="C10" i="20" s="1"/>
  <c r="C11" i="20" s="1"/>
  <c r="B5" i="20"/>
  <c r="A5" i="20"/>
  <c r="J6" i="21"/>
  <c r="J6" i="20"/>
  <c r="D10" i="20"/>
  <c r="D11" i="20" s="1"/>
  <c r="O6" i="21"/>
  <c r="C6" i="21"/>
  <c r="C7" i="21" s="1"/>
  <c r="B6" i="21"/>
  <c r="A6" i="21"/>
  <c r="C15" i="20"/>
  <c r="C16" i="20" s="1"/>
  <c r="D18" i="20"/>
  <c r="C18" i="20"/>
  <c r="T6" i="21"/>
  <c r="C14" i="21"/>
  <c r="O5" i="20"/>
  <c r="V5" i="20" s="1"/>
  <c r="T5" i="20"/>
  <c r="C19" i="20"/>
  <c r="C20" i="20" s="1"/>
  <c r="C21" i="20" s="1"/>
  <c r="C22" i="20" s="1"/>
  <c r="D21" i="20"/>
  <c r="C10" i="21"/>
  <c r="C12" i="20"/>
  <c r="C13" i="20" s="1"/>
  <c r="C17" i="20"/>
  <c r="C13" i="21"/>
  <c r="C8" i="21"/>
  <c r="U5" i="20" l="1"/>
  <c r="W5" i="20"/>
  <c r="V6" i="21"/>
  <c r="U6" i="21"/>
  <c r="W6" i="21"/>
  <c r="O7" i="21"/>
  <c r="B6" i="20"/>
  <c r="J7" i="20"/>
  <c r="J7" i="21"/>
  <c r="B7" i="21"/>
  <c r="T6" i="20"/>
  <c r="O6" i="20"/>
  <c r="U6" i="20" s="1"/>
  <c r="T7" i="21"/>
  <c r="V6" i="20" l="1"/>
  <c r="W6" i="20"/>
  <c r="W7" i="21"/>
  <c r="V7" i="21"/>
  <c r="U7" i="21"/>
  <c r="B7" i="20"/>
  <c r="J8" i="21"/>
  <c r="A6" i="20"/>
  <c r="T8" i="21"/>
  <c r="O7" i="20"/>
  <c r="W7" i="20" s="1"/>
  <c r="B8" i="21"/>
  <c r="J8" i="20"/>
  <c r="T7" i="20"/>
  <c r="A7" i="21"/>
  <c r="O8" i="21"/>
  <c r="U7" i="20" l="1"/>
  <c r="V7" i="20"/>
  <c r="W8" i="21"/>
  <c r="V8" i="21"/>
  <c r="U8" i="21"/>
  <c r="O8" i="20"/>
  <c r="W8" i="20" s="1"/>
  <c r="T9" i="21"/>
  <c r="B9" i="21"/>
  <c r="A9" i="21"/>
  <c r="J9" i="21"/>
  <c r="T8" i="20"/>
  <c r="J9" i="20"/>
  <c r="A8" i="21"/>
  <c r="B8" i="20"/>
  <c r="A8" i="20"/>
  <c r="O9" i="21"/>
  <c r="A7" i="20"/>
  <c r="U8" i="20" l="1"/>
  <c r="V8" i="20"/>
  <c r="V9" i="21"/>
  <c r="U9" i="21"/>
  <c r="W9" i="21"/>
  <c r="O10" i="21"/>
  <c r="J10" i="21"/>
  <c r="B9" i="20"/>
  <c r="A9" i="20"/>
  <c r="B10" i="21"/>
  <c r="A10" i="21" s="1"/>
  <c r="J10" i="20"/>
  <c r="T10" i="21"/>
  <c r="T9" i="20"/>
  <c r="O9" i="20"/>
  <c r="W9" i="20" l="1"/>
  <c r="U9" i="20"/>
  <c r="V9" i="20"/>
  <c r="W10" i="21"/>
  <c r="V10" i="21"/>
  <c r="U10" i="21"/>
  <c r="B10" i="20"/>
  <c r="A10" i="20" s="1"/>
  <c r="B11" i="21"/>
  <c r="A11" i="21"/>
  <c r="O10" i="20"/>
  <c r="V10" i="20" s="1"/>
  <c r="T10" i="20"/>
  <c r="W10" i="20" s="1"/>
  <c r="T11" i="21"/>
  <c r="J11" i="21"/>
  <c r="J11" i="20"/>
  <c r="O11" i="21"/>
  <c r="U10" i="20" l="1"/>
  <c r="W11" i="21"/>
  <c r="V11" i="21"/>
  <c r="U11" i="21"/>
  <c r="O12" i="21"/>
  <c r="J12" i="20"/>
  <c r="O11" i="20"/>
  <c r="T11" i="20"/>
  <c r="J12" i="21"/>
  <c r="B12" i="21"/>
  <c r="A12" i="21" s="1"/>
  <c r="T12" i="21"/>
  <c r="B11" i="20"/>
  <c r="W11" i="20" l="1"/>
  <c r="V11" i="20"/>
  <c r="U11" i="20"/>
  <c r="U12" i="21"/>
  <c r="W12" i="21"/>
  <c r="V12" i="21"/>
  <c r="B12" i="20"/>
  <c r="T12" i="20"/>
  <c r="V12" i="20" s="1"/>
  <c r="O13" i="21"/>
  <c r="A11" i="20"/>
  <c r="T13" i="21"/>
  <c r="O12" i="20"/>
  <c r="J13" i="21"/>
  <c r="B13" i="21"/>
  <c r="J13" i="20"/>
  <c r="W12" i="20" l="1"/>
  <c r="U12" i="20"/>
  <c r="W13" i="20"/>
  <c r="W13" i="21"/>
  <c r="V13" i="21"/>
  <c r="U13" i="21"/>
  <c r="B14" i="21"/>
  <c r="A14" i="21" s="1"/>
  <c r="T13" i="20"/>
  <c r="V13" i="20" s="1"/>
  <c r="O13" i="20"/>
  <c r="U13" i="20" s="1"/>
  <c r="B13" i="20"/>
  <c r="J14" i="20"/>
  <c r="A13" i="21"/>
  <c r="A12" i="20"/>
  <c r="U14" i="20" l="1"/>
  <c r="W14" i="20"/>
  <c r="V14" i="20"/>
  <c r="B14" i="20"/>
  <c r="O14" i="20"/>
  <c r="A13" i="20"/>
  <c r="T14" i="20"/>
  <c r="J15" i="20"/>
  <c r="W15" i="20" l="1"/>
  <c r="V15" i="20"/>
  <c r="U15" i="20"/>
  <c r="T15" i="20"/>
  <c r="O15" i="20"/>
  <c r="B15" i="20"/>
  <c r="A15" i="20" s="1"/>
  <c r="J16" i="20"/>
  <c r="A14" i="20"/>
  <c r="J17" i="20" l="1"/>
  <c r="T16" i="20"/>
  <c r="U16" i="20" s="1"/>
  <c r="B16" i="20"/>
  <c r="A16" i="20" s="1"/>
  <c r="O16" i="20"/>
  <c r="W16" i="20" l="1"/>
  <c r="V16" i="20"/>
  <c r="W17" i="20"/>
  <c r="O17" i="20"/>
  <c r="B17" i="20"/>
  <c r="T17" i="20"/>
  <c r="V17" i="20" s="1"/>
  <c r="J18" i="20"/>
  <c r="U17" i="20" l="1"/>
  <c r="T18" i="20"/>
  <c r="U18" i="20" s="1"/>
  <c r="B18" i="20"/>
  <c r="A17" i="20"/>
  <c r="J19" i="20"/>
  <c r="O18" i="20"/>
  <c r="W18" i="20" l="1"/>
  <c r="V18" i="20"/>
  <c r="V19" i="20"/>
  <c r="J20" i="20"/>
  <c r="B19" i="20"/>
  <c r="A18" i="20"/>
  <c r="T19" i="20"/>
  <c r="O19" i="20"/>
  <c r="U19" i="20" l="1"/>
  <c r="W19" i="20"/>
  <c r="J21" i="20"/>
  <c r="O20" i="20"/>
  <c r="T20" i="20"/>
  <c r="V20" i="20" s="1"/>
  <c r="B20" i="20"/>
  <c r="A19" i="20"/>
  <c r="W20" i="20" l="1"/>
  <c r="U20" i="20"/>
  <c r="B21" i="20"/>
  <c r="A21" i="20" s="1"/>
  <c r="A20" i="20"/>
  <c r="T21" i="20"/>
  <c r="W21" i="20" s="1"/>
  <c r="O21" i="20"/>
  <c r="J22" i="20"/>
  <c r="U21" i="20" l="1"/>
  <c r="V21" i="20"/>
  <c r="O22" i="20"/>
  <c r="T22" i="20"/>
  <c r="V22" i="20" s="1"/>
  <c r="B22" i="20"/>
  <c r="A22" i="20" s="1"/>
  <c r="W22" i="20" l="1"/>
  <c r="U22" i="20"/>
</calcChain>
</file>

<file path=xl/sharedStrings.xml><?xml version="1.0" encoding="utf-8"?>
<sst xmlns="http://schemas.openxmlformats.org/spreadsheetml/2006/main" count="771" uniqueCount="208">
  <si>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</si>
  <si>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</si>
  <si>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</si>
  <si>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</si>
  <si>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</si>
  <si>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</si>
  <si>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</si>
  <si>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</si>
  <si>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</si>
  <si>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</si>
  <si>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</si>
  <si>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</si>
  <si>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</si>
  <si>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</si>
  <si>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</si>
  <si>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</si>
  <si>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</si>
  <si>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</si>
  <si>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</si>
  <si>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</si>
  <si>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</si>
  <si>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</si>
  <si>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</si>
  <si>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</si>
  <si>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</si>
  <si>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</si>
  <si>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</si>
  <si>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</si>
  <si>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</si>
  <si>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</si>
  <si>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</si>
  <si>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</si>
  <si>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</si>
  <si>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</si>
  <si>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</si>
  <si>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</si>
  <si>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</si>
  <si>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</si>
  <si>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</si>
  <si>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</si>
  <si>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</si>
  <si>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</si>
  <si>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</si>
  <si>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</si>
  <si>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</si>
  <si>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</si>
  <si>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</si>
  <si>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</si>
  <si>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</si>
  <si>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</si>
  <si>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</si>
  <si>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</si>
  <si>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</si>
  <si>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</si>
  <si>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</si>
  <si>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</si>
  <si>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</si>
  <si>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</si>
  <si>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</si>
  <si>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</si>
  <si>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</si>
  <si>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</si>
  <si>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</si>
  <si>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</si>
  <si>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</si>
  <si>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</si>
  <si>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</si>
  <si>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</si>
  <si>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</si>
  <si>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</si>
  <si>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</si>
  <si>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</si>
  <si>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</si>
  <si>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</si>
  <si>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</si>
  <si>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</si>
  <si>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</si>
  <si>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</si>
  <si>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</si>
  <si>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</si>
  <si>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</si>
  <si>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</si>
  <si>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</si>
  <si>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</si>
  <si>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</si>
  <si>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</si>
  <si>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</si>
  <si>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</si>
  <si>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</si>
  <si>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</si>
  <si>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</si>
  <si>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</si>
  <si>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</si>
  <si>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</si>
  <si>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</si>
  <si>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</si>
  <si>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</si>
  <si>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</si>
  <si>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</si>
  <si>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</si>
  <si>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</si>
  <si>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</si>
  <si>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</si>
  <si>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</si>
  <si>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</si>
  <si>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</si>
  <si>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</si>
  <si>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</si>
  <si>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</si>
  <si>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</si>
  <si>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</si>
  <si>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</si>
  <si>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</si>
  <si>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</si>
  <si>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</si>
  <si>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</si>
  <si>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</si>
  <si>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</si>
  <si>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</si>
  <si>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</si>
  <si>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</si>
  <si>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</si>
  <si>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</si>
  <si>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</si>
  <si>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</si>
  <si>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</si>
  <si>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</si>
  <si>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</si>
  <si>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</si>
  <si>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</si>
  <si>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</si>
  <si>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</si>
  <si>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</si>
  <si>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</si>
  <si>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</si>
  <si>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</si>
  <si>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</si>
  <si>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</si>
  <si>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</si>
  <si>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</si>
  <si>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</si>
  <si>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</si>
  <si>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</si>
  <si>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</si>
  <si>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</si>
  <si>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</si>
  <si>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</si>
  <si>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</si>
  <si>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</si>
  <si>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</si>
  <si>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</si>
  <si>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</si>
  <si>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</si>
  <si>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</si>
  <si>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</si>
  <si>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</si>
  <si>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</si>
  <si>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</si>
  <si>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</si>
  <si>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</si>
  <si>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</si>
  <si>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</si>
  <si>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</si>
  <si>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</si>
  <si>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</si>
  <si>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</si>
  <si>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</si>
  <si>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</si>
  <si>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</si>
  <si>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</si>
  <si>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</si>
  <si>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</si>
  <si>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</si>
  <si>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</si>
  <si>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</si>
  <si>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</si>
  <si>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</si>
  <si>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</si>
  <si>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</si>
  <si>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</si>
  <si>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</si>
  <si>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</si>
  <si>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</si>
  <si>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</si>
  <si>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</si>
  <si>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</si>
  <si>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</si>
  <si>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</si>
  <si>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</si>
  <si>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</si>
  <si>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</si>
  <si>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</si>
  <si>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まっつん</t>
    <phoneticPr fontId="1"/>
  </si>
  <si>
    <t>いちかわ</t>
    <phoneticPr fontId="1"/>
  </si>
  <si>
    <t>れんたろう</t>
  </si>
  <si>
    <t>放銃</t>
  </si>
  <si>
    <t>ロン</t>
  </si>
  <si>
    <t>*</t>
  </si>
  <si>
    <t>01</t>
  </si>
  <si>
    <t>ツモ支払</t>
  </si>
  <si>
    <t>ツモ</t>
  </si>
  <si>
    <t>52</t>
  </si>
  <si>
    <t>流局</t>
    <phoneticPr fontId="1"/>
  </si>
  <si>
    <t>T</t>
  </si>
  <si>
    <t>N</t>
  </si>
  <si>
    <t>02</t>
  </si>
  <si>
    <t>たかの</t>
    <phoneticPr fontId="1"/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</si>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</sst>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E5F77-A605-4291-BE6C-D9491642EDD1}">
  <sheetPr codeName="Sheet2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191</v>
      </c>
      <c r="G1" s="60"/>
      <c r="H1" s="60"/>
      <c r="I1" s="61"/>
      <c r="J1" s="62"/>
      <c r="K1" s="59" t="s">
        <v>192</v>
      </c>
      <c r="L1" s="60"/>
      <c r="M1" s="60"/>
      <c r="N1" s="61"/>
      <c r="O1" s="62"/>
      <c r="P1" s="59" t="s">
        <v>193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れんたろう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まっつん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いちかわ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れんたろう</v>
      </c>
      <c r="V2" s="58" t="str">
        <f>$K$1</f>
        <v>まっつん</v>
      </c>
      <c r="W2" s="16" t="str">
        <f>$P$1</f>
        <v>いちかわ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195</v>
      </c>
      <c r="G4" s="9">
        <v>-8000</v>
      </c>
      <c r="H4" s="9"/>
      <c r="I4" s="9">
        <v>0</v>
      </c>
      <c r="J4" s="21">
        <f>IF(COUNTA($F4,$K4,$P4)&gt;0,J3+SUM(G4:I4),"")</f>
        <v>27000</v>
      </c>
      <c r="K4" s="8"/>
      <c r="L4" s="9"/>
      <c r="M4" s="9"/>
      <c r="N4" s="9"/>
      <c r="O4" s="21">
        <f>IF(COUNTA($F4,$K4,$P4)&gt;0,O3+SUM(L4:N4),"")</f>
        <v>35000</v>
      </c>
      <c r="P4" s="8" t="s">
        <v>196</v>
      </c>
      <c r="Q4" s="9">
        <v>8000</v>
      </c>
      <c r="R4" s="9"/>
      <c r="S4" s="9">
        <v>0</v>
      </c>
      <c r="T4" s="21">
        <f>IF(COUNTA($F4,$K4,$P4)&gt;0,T3+SUM(Q4:S4),"")</f>
        <v>43000</v>
      </c>
      <c r="U4" s="47">
        <f>IF($J4="","",ROUND(($J4-$J$3)/1000,1)+(_xlfn.RANK.AVG($J4,($J4,$O4,$T4),1)-2)*10)</f>
        <v>-18</v>
      </c>
      <c r="V4" s="48">
        <f>IF($O4="","",ROUND(($O4-$O$3)/1000,1)+(_xlfn.RANK.AVG($O4,($J4,$O4,$T4),1)-2)*10)</f>
        <v>0</v>
      </c>
      <c r="W4" s="49">
        <f>IF($T4="","",ROUND(($T4-$T$3)/1000,1)+(_xlfn.RANK.AVG($T4,($J4,$O4,$T4),1)-2)*10)</f>
        <v>18</v>
      </c>
      <c r="Y4" s="8"/>
      <c r="Z4" s="32"/>
      <c r="AA4" s="24"/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>
        <v>1</v>
      </c>
      <c r="BR4" s="24"/>
      <c r="BS4" s="24">
        <v>5</v>
      </c>
      <c r="BT4" s="28" t="s">
        <v>197</v>
      </c>
      <c r="BU4" s="38" t="s">
        <v>198</v>
      </c>
      <c r="BV4" s="39" t="s">
        <v>83</v>
      </c>
      <c r="BW4" s="39" t="s">
        <v>79</v>
      </c>
      <c r="BX4" s="39" t="s">
        <v>79</v>
      </c>
      <c r="BY4" s="39" t="s">
        <v>79</v>
      </c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199</v>
      </c>
      <c r="G5" s="9">
        <v>-4800</v>
      </c>
      <c r="H5" s="9">
        <v>-1000</v>
      </c>
      <c r="I5" s="9">
        <v>0</v>
      </c>
      <c r="J5" s="21">
        <f t="shared" ref="J5:J30" si="2">IF(COUNTA($F5,$K5,$P5)&gt;0,J4+SUM(G5:I5),"")</f>
        <v>21200</v>
      </c>
      <c r="K5" s="8" t="s">
        <v>200</v>
      </c>
      <c r="L5" s="9">
        <v>9600</v>
      </c>
      <c r="M5" s="9">
        <v>1000</v>
      </c>
      <c r="N5" s="9">
        <v>0</v>
      </c>
      <c r="O5" s="21">
        <f t="shared" ref="O5:O30" si="3">IF(COUNTA($F5,$K5,$P5)&gt;0,O4+SUM(L5:N5),"")</f>
        <v>45600</v>
      </c>
      <c r="P5" s="8" t="s">
        <v>199</v>
      </c>
      <c r="Q5" s="9">
        <v>-4800</v>
      </c>
      <c r="R5" s="9"/>
      <c r="S5" s="9">
        <v>0</v>
      </c>
      <c r="T5" s="21">
        <f t="shared" ref="T5:T30" si="4">IF(COUNTA($F5,$K5,$P5)&gt;0,T4+SUM(Q5:S5),"")</f>
        <v>38200</v>
      </c>
      <c r="U5" s="47">
        <f>IF($J5="","",ROUND(($J5-$J$3)/1000,1)+(_xlfn.RANK.AVG($J5,($J5,$O5,$T5),1)-2)*10)</f>
        <v>-23.8</v>
      </c>
      <c r="V5" s="48">
        <f>IF($O5="","",ROUND(($O5-$O$3)/1000,1)+(_xlfn.RANK.AVG($O5,($J5,$O5,$T5),1)-2)*10)</f>
        <v>20.6</v>
      </c>
      <c r="W5" s="49">
        <f>IF($T5="","",ROUND(($T5-$T$3)/1000,1)+(_xlfn.RANK.AVG($T5,($J5,$O5,$T5),1)-2)*10)</f>
        <v>3.2</v>
      </c>
      <c r="Y5" s="8"/>
      <c r="Z5" s="32"/>
      <c r="AA5" s="24">
        <v>1</v>
      </c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/>
      <c r="AX5" s="24">
        <v>3</v>
      </c>
      <c r="AY5" s="28">
        <v>50</v>
      </c>
      <c r="AZ5" s="38" t="s">
        <v>82</v>
      </c>
      <c r="BA5" s="39" t="s">
        <v>86</v>
      </c>
      <c r="BB5" s="39" t="s">
        <v>201</v>
      </c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/>
      <c r="BR5" s="24"/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まっつん</v>
      </c>
      <c r="F6" s="8" t="s">
        <v>195</v>
      </c>
      <c r="G6" s="9">
        <v>-12000</v>
      </c>
      <c r="H6" s="9">
        <v>-1000</v>
      </c>
      <c r="I6" s="9">
        <v>-1000</v>
      </c>
      <c r="J6" s="21">
        <f t="shared" si="2"/>
        <v>7200</v>
      </c>
      <c r="K6" s="8" t="s">
        <v>196</v>
      </c>
      <c r="L6" s="9">
        <v>12000</v>
      </c>
      <c r="M6" s="9">
        <v>1000</v>
      </c>
      <c r="N6" s="9">
        <v>1000</v>
      </c>
      <c r="O6" s="21">
        <f t="shared" si="3"/>
        <v>59600</v>
      </c>
      <c r="P6" s="8"/>
      <c r="Q6" s="9"/>
      <c r="R6" s="9"/>
      <c r="S6" s="9"/>
      <c r="T6" s="21">
        <f t="shared" si="4"/>
        <v>38200</v>
      </c>
      <c r="U6" s="47">
        <f>IF($J6="","",ROUND(($J6-$J$3)/1000,1)+(_xlfn.RANK.AVG($J6,($J6,$O6,$T6),1)-2)*10)</f>
        <v>-37.799999999999997</v>
      </c>
      <c r="V6" s="48">
        <f>IF($O6="","",ROUND(($O6-$O$3)/1000,1)+(_xlfn.RANK.AVG($O6,($J6,$O6,$T6),1)-2)*10)</f>
        <v>34.6</v>
      </c>
      <c r="W6" s="49">
        <f>IF($T6="","",ROUND(($T6-$T$3)/1000,1)+(_xlfn.RANK.AVG($T6,($J6,$O6,$T6),1)-2)*10)</f>
        <v>3.2</v>
      </c>
      <c r="Y6" s="8"/>
      <c r="Z6" s="32"/>
      <c r="AA6" s="24">
        <v>1</v>
      </c>
      <c r="AB6" s="24"/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>
        <v>1</v>
      </c>
      <c r="AW6" s="24"/>
      <c r="AX6" s="24">
        <v>5</v>
      </c>
      <c r="AY6" s="28" t="s">
        <v>197</v>
      </c>
      <c r="AZ6" s="38" t="s">
        <v>198</v>
      </c>
      <c r="BA6" s="39" t="s">
        <v>86</v>
      </c>
      <c r="BB6" s="39" t="s">
        <v>201</v>
      </c>
      <c r="BC6" s="39" t="s">
        <v>79</v>
      </c>
      <c r="BD6" s="39" t="s">
        <v>80</v>
      </c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まっつん</v>
      </c>
      <c r="F7" s="8" t="s">
        <v>202</v>
      </c>
      <c r="G7" s="9">
        <v>1500</v>
      </c>
      <c r="H7" s="9">
        <v>-1000</v>
      </c>
      <c r="I7" s="9"/>
      <c r="J7" s="21">
        <f t="shared" si="2"/>
        <v>7700</v>
      </c>
      <c r="K7" s="8" t="s">
        <v>202</v>
      </c>
      <c r="L7" s="9">
        <v>-3000</v>
      </c>
      <c r="M7" s="9"/>
      <c r="N7" s="9"/>
      <c r="O7" s="21">
        <f t="shared" si="3"/>
        <v>56600</v>
      </c>
      <c r="P7" s="8" t="s">
        <v>202</v>
      </c>
      <c r="Q7" s="9">
        <v>1500</v>
      </c>
      <c r="R7" s="9">
        <v>-1000</v>
      </c>
      <c r="S7" s="9"/>
      <c r="T7" s="21">
        <f t="shared" si="4"/>
        <v>38700</v>
      </c>
      <c r="U7" s="47">
        <f>IF($J7="","",ROUND(($J7-$J$3)/1000,1)+(_xlfn.RANK.AVG($J7,($J7,$O7,$T7),1)-2)*10)</f>
        <v>-37.299999999999997</v>
      </c>
      <c r="V7" s="48">
        <f>IF($O7="","",ROUND(($O7-$O$3)/1000,1)+(_xlfn.RANK.AVG($O7,($J7,$O7,$T7),1)-2)*10)</f>
        <v>31.6</v>
      </c>
      <c r="W7" s="49">
        <f>IF($T7="","",ROUND(($T7-$T$3)/1000,1)+(_xlfn.RANK.AVG($T7,($J7,$O7,$T7),1)-2)*10)</f>
        <v>3.7</v>
      </c>
      <c r="Y7" s="8" t="s">
        <v>203</v>
      </c>
      <c r="Z7" s="32"/>
      <c r="AA7" s="24">
        <v>1</v>
      </c>
      <c r="AB7" s="24"/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 t="s">
        <v>204</v>
      </c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 t="s">
        <v>203</v>
      </c>
      <c r="BP7" s="32"/>
      <c r="BQ7" s="24">
        <v>1</v>
      </c>
      <c r="BR7" s="24"/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2</v>
      </c>
      <c r="E8" s="4" t="str">
        <f>IF($P$1="","",$P$1)</f>
        <v>いちかわ</v>
      </c>
      <c r="F8" s="8" t="s">
        <v>202</v>
      </c>
      <c r="G8" s="9">
        <v>-1500</v>
      </c>
      <c r="H8" s="9"/>
      <c r="I8" s="9"/>
      <c r="J8" s="21">
        <f t="shared" si="2"/>
        <v>6200</v>
      </c>
      <c r="K8" s="8" t="s">
        <v>202</v>
      </c>
      <c r="L8" s="9">
        <v>-1500</v>
      </c>
      <c r="M8" s="9"/>
      <c r="N8" s="9"/>
      <c r="O8" s="21">
        <f t="shared" si="3"/>
        <v>55100</v>
      </c>
      <c r="P8" s="8" t="s">
        <v>202</v>
      </c>
      <c r="Q8" s="9">
        <v>3000</v>
      </c>
      <c r="R8" s="9">
        <v>-1000</v>
      </c>
      <c r="S8" s="9"/>
      <c r="T8" s="21">
        <f t="shared" si="4"/>
        <v>40700</v>
      </c>
      <c r="U8" s="47">
        <f>IF($J8="","",ROUND(($J8-$J$3)/1000,1)+(_xlfn.RANK.AVG($J8,($J8,$O8,$T8),1)-2)*10)</f>
        <v>-38.799999999999997</v>
      </c>
      <c r="V8" s="48">
        <f>IF($O8="","",ROUND(($O8-$O$3)/1000,1)+(_xlfn.RANK.AVG($O8,($J8,$O8,$T8),1)-2)*10)</f>
        <v>30.1</v>
      </c>
      <c r="W8" s="49">
        <f>IF($T8="","",ROUND(($T8-$T$3)/1000,1)+(_xlfn.RANK.AVG($T8,($J8,$O8,$T8),1)-2)*10)</f>
        <v>5.7</v>
      </c>
      <c r="Y8" s="8" t="s">
        <v>204</v>
      </c>
      <c r="Z8" s="32"/>
      <c r="AA8" s="24"/>
      <c r="AB8" s="24"/>
      <c r="AC8" s="24"/>
      <c r="AD8" s="28"/>
      <c r="AE8" s="38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 t="s">
        <v>204</v>
      </c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 t="s">
        <v>203</v>
      </c>
      <c r="BP8" s="32"/>
      <c r="BQ8" s="24">
        <v>1</v>
      </c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3</v>
      </c>
      <c r="E9" s="4" t="str">
        <f>IF($P$1="","",$P$1)</f>
        <v>いちかわ</v>
      </c>
      <c r="F9" s="8" t="s">
        <v>199</v>
      </c>
      <c r="G9" s="9">
        <v>-6000</v>
      </c>
      <c r="H9" s="9"/>
      <c r="I9" s="9">
        <v>-2000</v>
      </c>
      <c r="J9" s="21">
        <f t="shared" si="2"/>
        <v>-1800</v>
      </c>
      <c r="K9" s="8" t="s">
        <v>199</v>
      </c>
      <c r="L9" s="9">
        <v>-6000</v>
      </c>
      <c r="M9" s="9"/>
      <c r="N9" s="9">
        <v>-2000</v>
      </c>
      <c r="O9" s="21">
        <f t="shared" si="3"/>
        <v>47100</v>
      </c>
      <c r="P9" s="8" t="s">
        <v>200</v>
      </c>
      <c r="Q9" s="9">
        <v>12000</v>
      </c>
      <c r="R9" s="9">
        <v>3000</v>
      </c>
      <c r="S9" s="9">
        <v>4000</v>
      </c>
      <c r="T9" s="21">
        <f t="shared" si="4"/>
        <v>59700</v>
      </c>
      <c r="U9" s="47">
        <f>IF($J9="","",ROUND(($J9-$J$3)/1000,1)+(_xlfn.RANK.AVG($J9,($J9,$O9,$T9),1)-2)*10)</f>
        <v>-46.8</v>
      </c>
      <c r="V9" s="48">
        <f>IF($O9="","",ROUND(($O9-$O$3)/1000,1)+(_xlfn.RANK.AVG($O9,($J9,$O9,$T9),1)-2)*10)</f>
        <v>12.1</v>
      </c>
      <c r="W9" s="49">
        <f>IF($T9="","",ROUND(($T9-$T$3)/1000,1)+(_xlfn.RANK.AVG($T9,($J9,$O9,$T9),1)-2)*10)</f>
        <v>34.700000000000003</v>
      </c>
      <c r="Y9" s="8"/>
      <c r="Z9" s="32"/>
      <c r="AA9" s="24"/>
      <c r="AB9" s="24">
        <v>1</v>
      </c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>
        <v>1</v>
      </c>
      <c r="AX9" s="24"/>
      <c r="AY9" s="28"/>
      <c r="AZ9" s="38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/>
      <c r="BS9" s="24">
        <v>5</v>
      </c>
      <c r="BT9" s="28" t="s">
        <v>197</v>
      </c>
      <c r="BU9" s="38" t="s">
        <v>82</v>
      </c>
      <c r="BV9" s="39" t="s">
        <v>79</v>
      </c>
      <c r="BW9" s="39" t="s">
        <v>79</v>
      </c>
      <c r="BX9" s="39" t="s">
        <v>79</v>
      </c>
      <c r="BY9" s="39" t="s">
        <v>201</v>
      </c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tr">
        <f>IF($P$1="","",$P$1)</f>
        <v>いちかわ</v>
      </c>
      <c r="F10" s="8" t="s">
        <v>202</v>
      </c>
      <c r="G10" s="9">
        <v>1500</v>
      </c>
      <c r="H10" s="9">
        <v>-1000</v>
      </c>
      <c r="I10" s="9"/>
      <c r="J10" s="21">
        <f t="shared" si="2"/>
        <v>-1300</v>
      </c>
      <c r="K10" s="8" t="s">
        <v>202</v>
      </c>
      <c r="L10" s="9">
        <v>-3000</v>
      </c>
      <c r="M10" s="9"/>
      <c r="N10" s="9"/>
      <c r="O10" s="21">
        <f t="shared" si="3"/>
        <v>44100</v>
      </c>
      <c r="P10" s="8" t="s">
        <v>202</v>
      </c>
      <c r="Q10" s="9">
        <v>1500</v>
      </c>
      <c r="R10" s="9"/>
      <c r="S10" s="9"/>
      <c r="T10" s="21">
        <f t="shared" si="4"/>
        <v>61200</v>
      </c>
      <c r="U10" s="47">
        <f>IF($J10="","",ROUND(($J10-$J$3)/1000,1)+(_xlfn.RANK.AVG($J10,($J10,$O10,$T10),1)-2)*10)</f>
        <v>-46.3</v>
      </c>
      <c r="V10" s="48">
        <f>IF($O10="","",ROUND(($O10-$O$3)/1000,1)+(_xlfn.RANK.AVG($O10,($J10,$O10,$T10),1)-2)*10)</f>
        <v>9.1</v>
      </c>
      <c r="W10" s="49">
        <f>IF($T10="","",ROUND(($T10-$T$3)/1000,1)+(_xlfn.RANK.AVG($T10,($J10,$O10,$T10),1)-2)*10)</f>
        <v>36.200000000000003</v>
      </c>
      <c r="Y10" s="8" t="s">
        <v>203</v>
      </c>
      <c r="Z10" s="32"/>
      <c r="AA10" s="24">
        <v>1</v>
      </c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 t="s">
        <v>204</v>
      </c>
      <c r="AU10" s="32"/>
      <c r="AV10" s="24"/>
      <c r="AW10" s="24"/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 t="s">
        <v>203</v>
      </c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6</v>
      </c>
      <c r="D11" s="18">
        <f t="shared" si="1"/>
        <v>1</v>
      </c>
      <c r="E11" s="4" t="str">
        <f>IF($P$1="","",$P$1)</f>
        <v>いちかわ</v>
      </c>
      <c r="F11" s="8" t="s">
        <v>196</v>
      </c>
      <c r="G11" s="9">
        <v>5200</v>
      </c>
      <c r="H11" s="9">
        <v>2000</v>
      </c>
      <c r="I11" s="9">
        <v>6000</v>
      </c>
      <c r="J11" s="21">
        <f t="shared" si="2"/>
        <v>11900</v>
      </c>
      <c r="K11" s="8" t="s">
        <v>195</v>
      </c>
      <c r="L11" s="9">
        <v>-5200</v>
      </c>
      <c r="M11" s="9">
        <v>-1000</v>
      </c>
      <c r="N11" s="9">
        <v>-6000</v>
      </c>
      <c r="O11" s="21">
        <f t="shared" si="3"/>
        <v>31900</v>
      </c>
      <c r="P11" s="8"/>
      <c r="Q11" s="9"/>
      <c r="R11" s="9"/>
      <c r="S11" s="9"/>
      <c r="T11" s="21">
        <f t="shared" si="4"/>
        <v>61200</v>
      </c>
      <c r="U11" s="47">
        <f>IF($J11="","",ROUND(($J11-$J$3)/1000,1)+(_xlfn.RANK.AVG($J11,($J11,$O11,$T11),1)-2)*10)</f>
        <v>-33.1</v>
      </c>
      <c r="V11" s="48">
        <f>IF($O11="","",ROUND(($O11-$O$3)/1000,1)+(_xlfn.RANK.AVG($O11,($J11,$O11,$T11),1)-2)*10)</f>
        <v>-3.1</v>
      </c>
      <c r="W11" s="49">
        <f>IF($T11="","",ROUND(($T11-$T$3)/1000,1)+(_xlfn.RANK.AVG($T11,($J11,$O11,$T11),1)-2)*10)</f>
        <v>36.200000000000003</v>
      </c>
      <c r="Y11" s="8"/>
      <c r="Z11" s="32"/>
      <c r="AA11" s="24">
        <v>1</v>
      </c>
      <c r="AB11" s="24"/>
      <c r="AC11" s="24">
        <v>3</v>
      </c>
      <c r="AD11" s="28">
        <v>40</v>
      </c>
      <c r="AE11" s="38" t="s">
        <v>82</v>
      </c>
      <c r="AF11" s="39" t="s">
        <v>201</v>
      </c>
      <c r="AG11" s="39" t="s">
        <v>201</v>
      </c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>
        <v>1</v>
      </c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れんたろう</v>
      </c>
      <c r="F12" s="8" t="s">
        <v>196</v>
      </c>
      <c r="G12" s="9">
        <v>12000</v>
      </c>
      <c r="H12" s="9"/>
      <c r="I12" s="9">
        <v>0</v>
      </c>
      <c r="J12" s="21">
        <f t="shared" si="2"/>
        <v>23900</v>
      </c>
      <c r="K12" s="8"/>
      <c r="L12" s="9"/>
      <c r="M12" s="9"/>
      <c r="N12" s="9"/>
      <c r="O12" s="21">
        <f t="shared" si="3"/>
        <v>31900</v>
      </c>
      <c r="P12" s="8" t="s">
        <v>195</v>
      </c>
      <c r="Q12" s="9">
        <v>-12000</v>
      </c>
      <c r="R12" s="9"/>
      <c r="S12" s="9">
        <v>0</v>
      </c>
      <c r="T12" s="21">
        <f t="shared" si="4"/>
        <v>49200</v>
      </c>
      <c r="U12" s="47">
        <f>IF($J12="","",ROUND(($J12-$J$3)/1000,1)+(_xlfn.RANK.AVG($J12,($J12,$O12,$T12),1)-2)*10)</f>
        <v>-21.1</v>
      </c>
      <c r="V12" s="48">
        <f>IF($O12="","",ROUND(($O12-$O$3)/1000,1)+(_xlfn.RANK.AVG($O12,($J12,$O12,$T12),1)-2)*10)</f>
        <v>-3.1</v>
      </c>
      <c r="W12" s="49">
        <f>IF($T12="","",ROUND(($T12-$T$3)/1000,1)+(_xlfn.RANK.AVG($T12,($J12,$O12,$T12),1)-2)*10)</f>
        <v>24.2</v>
      </c>
      <c r="Y12" s="8"/>
      <c r="Z12" s="32"/>
      <c r="AA12" s="24"/>
      <c r="AB12" s="24"/>
      <c r="AC12" s="24">
        <v>5</v>
      </c>
      <c r="AD12" s="28" t="s">
        <v>197</v>
      </c>
      <c r="AE12" s="38" t="s">
        <v>104</v>
      </c>
      <c r="AF12" s="39" t="s">
        <v>84</v>
      </c>
      <c r="AG12" s="39" t="s">
        <v>86</v>
      </c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0</v>
      </c>
      <c r="E13" s="4" t="str">
        <f>IF($F$1="","",$F$1)</f>
        <v>れんたろう</v>
      </c>
      <c r="F13" s="8" t="s">
        <v>199</v>
      </c>
      <c r="G13" s="9">
        <v>-10000</v>
      </c>
      <c r="H13" s="9">
        <v>-1000</v>
      </c>
      <c r="I13" s="9">
        <v>-500</v>
      </c>
      <c r="J13" s="21">
        <f t="shared" si="2"/>
        <v>12400</v>
      </c>
      <c r="K13" s="8" t="s">
        <v>199</v>
      </c>
      <c r="L13" s="9">
        <v>-6000</v>
      </c>
      <c r="M13" s="9"/>
      <c r="N13" s="9">
        <v>-500</v>
      </c>
      <c r="O13" s="21">
        <f t="shared" si="3"/>
        <v>25400</v>
      </c>
      <c r="P13" s="8" t="s">
        <v>200</v>
      </c>
      <c r="Q13" s="9">
        <v>16000</v>
      </c>
      <c r="R13" s="9">
        <v>1000</v>
      </c>
      <c r="S13" s="9">
        <v>1000</v>
      </c>
      <c r="T13" s="21">
        <f t="shared" si="4"/>
        <v>67200</v>
      </c>
      <c r="U13" s="47">
        <f>IF($J13="","",ROUND(($J13-$J$3)/1000,1)+(_xlfn.RANK.AVG($J13,($J13,$O13,$T13),1)-2)*10)</f>
        <v>-32.6</v>
      </c>
      <c r="V13" s="48">
        <f>IF($O13="","",ROUND(($O13-$O$3)/1000,1)+(_xlfn.RANK.AVG($O13,($J13,$O13,$T13),1)-2)*10)</f>
        <v>-9.6</v>
      </c>
      <c r="W13" s="49">
        <f>IF($T13="","",ROUND(($T13-$T$3)/1000,1)+(_xlfn.RANK.AVG($T13,($J13,$O13,$T13),1)-2)*10)</f>
        <v>42.2</v>
      </c>
      <c r="Y13" s="8"/>
      <c r="Z13" s="32"/>
      <c r="AA13" s="24">
        <v>1</v>
      </c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>
        <v>1</v>
      </c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>
        <v>1</v>
      </c>
      <c r="BR13" s="24"/>
      <c r="BS13" s="24">
        <v>10</v>
      </c>
      <c r="BT13" s="28" t="s">
        <v>197</v>
      </c>
      <c r="BU13" s="38" t="s">
        <v>198</v>
      </c>
      <c r="BV13" s="39" t="s">
        <v>82</v>
      </c>
      <c r="BW13" s="39" t="s">
        <v>205</v>
      </c>
      <c r="BX13" s="39" t="s">
        <v>86</v>
      </c>
      <c r="BY13" s="39" t="s">
        <v>201</v>
      </c>
      <c r="BZ13" s="39" t="s">
        <v>201</v>
      </c>
      <c r="CA13" s="39" t="s">
        <v>79</v>
      </c>
      <c r="CB13" s="39" t="s">
        <v>79</v>
      </c>
      <c r="CC13" s="39" t="s">
        <v>79</v>
      </c>
      <c r="CD13" s="39" t="s">
        <v>80</v>
      </c>
      <c r="CE13" s="39"/>
      <c r="CF13" s="39"/>
      <c r="CG13" s="39"/>
      <c r="CH13" s="39"/>
      <c r="CI13" s="40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まっつん</v>
      </c>
      <c r="F14" s="8" t="s">
        <v>202</v>
      </c>
      <c r="G14" s="9">
        <v>1500</v>
      </c>
      <c r="H14" s="9"/>
      <c r="I14" s="9"/>
      <c r="J14" s="21">
        <f t="shared" si="2"/>
        <v>13900</v>
      </c>
      <c r="K14" s="8" t="s">
        <v>202</v>
      </c>
      <c r="L14" s="9">
        <v>1500</v>
      </c>
      <c r="M14" s="9">
        <v>-1000</v>
      </c>
      <c r="N14" s="9"/>
      <c r="O14" s="21">
        <f t="shared" si="3"/>
        <v>25900</v>
      </c>
      <c r="P14" s="8" t="s">
        <v>202</v>
      </c>
      <c r="Q14" s="9">
        <v>-3000</v>
      </c>
      <c r="R14" s="9"/>
      <c r="S14" s="9"/>
      <c r="T14" s="21">
        <f t="shared" si="4"/>
        <v>64200</v>
      </c>
      <c r="U14" s="47">
        <f>IF($J14="","",ROUND(($J14-$J$3)/1000,1)+(_xlfn.RANK.AVG($J14,($J14,$O14,$T14),1)-2)*10)</f>
        <v>-31.1</v>
      </c>
      <c r="V14" s="48">
        <f>IF($O14="","",ROUND(($O14-$O$3)/1000,1)+(_xlfn.RANK.AVG($O14,($J14,$O14,$T14),1)-2)*10)</f>
        <v>-9.1</v>
      </c>
      <c r="W14" s="49">
        <f>IF($T14="","",ROUND(($T14-$T$3)/1000,1)+(_xlfn.RANK.AVG($T14,($J14,$O14,$T14),1)-2)*10)</f>
        <v>39.200000000000003</v>
      </c>
      <c r="Y14" s="8" t="s">
        <v>203</v>
      </c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 t="s">
        <v>203</v>
      </c>
      <c r="AU14" s="32"/>
      <c r="AV14" s="24">
        <v>1</v>
      </c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 t="s">
        <v>204</v>
      </c>
      <c r="BP14" s="32"/>
      <c r="BQ14" s="24"/>
      <c r="BR14" s="24">
        <v>1</v>
      </c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1</v>
      </c>
      <c r="E15" s="4" t="str">
        <f>IF($K$1="","",$K$1)</f>
        <v>まっつん</v>
      </c>
      <c r="F15" s="8" t="s">
        <v>202</v>
      </c>
      <c r="G15" s="9">
        <v>-1500</v>
      </c>
      <c r="H15" s="9"/>
      <c r="I15" s="9"/>
      <c r="J15" s="21">
        <f t="shared" si="2"/>
        <v>12400</v>
      </c>
      <c r="K15" s="8" t="s">
        <v>202</v>
      </c>
      <c r="L15" s="9">
        <v>3000</v>
      </c>
      <c r="M15" s="9">
        <v>-1000</v>
      </c>
      <c r="N15" s="9"/>
      <c r="O15" s="21">
        <f t="shared" si="3"/>
        <v>27900</v>
      </c>
      <c r="P15" s="8" t="s">
        <v>202</v>
      </c>
      <c r="Q15" s="9">
        <v>-1500</v>
      </c>
      <c r="R15" s="9"/>
      <c r="S15" s="9"/>
      <c r="T15" s="21">
        <f t="shared" si="4"/>
        <v>62700</v>
      </c>
      <c r="U15" s="47">
        <f>IF($J15="","",ROUND(($J15-$J$3)/1000,1)+(_xlfn.RANK.AVG($J15,($J15,$O15,$T15),1)-2)*10)</f>
        <v>-32.6</v>
      </c>
      <c r="V15" s="48">
        <f>IF($O15="","",ROUND(($O15-$O$3)/1000,1)+(_xlfn.RANK.AVG($O15,($J15,$O15,$T15),1)-2)*10)</f>
        <v>-7.1</v>
      </c>
      <c r="W15" s="49">
        <f>IF($T15="","",ROUND(($T15-$T$3)/1000,1)+(_xlfn.RANK.AVG($T15,($J15,$O15,$T15),1)-2)*10)</f>
        <v>37.700000000000003</v>
      </c>
      <c r="Y15" s="8" t="s">
        <v>204</v>
      </c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 t="s">
        <v>203</v>
      </c>
      <c r="AU15" s="32"/>
      <c r="AV15" s="24">
        <v>1</v>
      </c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 t="s">
        <v>204</v>
      </c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2</v>
      </c>
      <c r="D16" s="18">
        <f t="shared" si="1"/>
        <v>2</v>
      </c>
      <c r="E16" s="4" t="str">
        <f>IF($K$1="","",$K$1)</f>
        <v>まっつん</v>
      </c>
      <c r="F16" s="8" t="s">
        <v>195</v>
      </c>
      <c r="G16" s="9">
        <v>-18000</v>
      </c>
      <c r="H16" s="9"/>
      <c r="I16" s="9">
        <v>-2000</v>
      </c>
      <c r="J16" s="21">
        <f t="shared" si="2"/>
        <v>-7600</v>
      </c>
      <c r="K16" s="8" t="s">
        <v>196</v>
      </c>
      <c r="L16" s="9">
        <v>18000</v>
      </c>
      <c r="M16" s="9">
        <v>2000</v>
      </c>
      <c r="N16" s="9">
        <v>2000</v>
      </c>
      <c r="O16" s="21">
        <f t="shared" si="3"/>
        <v>49900</v>
      </c>
      <c r="P16" s="8"/>
      <c r="Q16" s="9"/>
      <c r="R16" s="9"/>
      <c r="S16" s="9"/>
      <c r="T16" s="21">
        <f t="shared" si="4"/>
        <v>62700</v>
      </c>
      <c r="U16" s="47">
        <f>IF($J16="","",ROUND(($J16-$J$3)/1000,1)+(_xlfn.RANK.AVG($J16,($J16,$O16,$T16),1)-2)*10)</f>
        <v>-52.6</v>
      </c>
      <c r="V16" s="48">
        <f>IF($O16="","",ROUND(($O16-$O$3)/1000,1)+(_xlfn.RANK.AVG($O16,($J16,$O16,$T16),1)-2)*10)</f>
        <v>14.9</v>
      </c>
      <c r="W16" s="49">
        <f>IF($T16="","",ROUND(($T16-$T$3)/1000,1)+(_xlfn.RANK.AVG($T16,($J16,$O16,$T16),1)-2)*10)</f>
        <v>37.700000000000003</v>
      </c>
      <c r="Y16" s="8"/>
      <c r="Z16" s="32"/>
      <c r="AA16" s="24"/>
      <c r="AB16" s="24">
        <v>1</v>
      </c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>
        <v>1</v>
      </c>
      <c r="AX16" s="24">
        <v>7</v>
      </c>
      <c r="AY16" s="28" t="s">
        <v>197</v>
      </c>
      <c r="AZ16" s="38" t="s">
        <v>86</v>
      </c>
      <c r="BA16" s="39" t="s">
        <v>86</v>
      </c>
      <c r="BB16" s="39" t="s">
        <v>104</v>
      </c>
      <c r="BC16" s="39" t="s">
        <v>98</v>
      </c>
      <c r="BD16" s="39" t="s">
        <v>201</v>
      </c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3</v>
      </c>
      <c r="D17" s="18">
        <f t="shared" si="1"/>
        <v>0</v>
      </c>
      <c r="E17" s="4" t="str">
        <f>IF($K$1="","",$K$1)</f>
        <v>まっつん</v>
      </c>
      <c r="F17" s="8"/>
      <c r="G17" s="9"/>
      <c r="H17" s="9"/>
      <c r="I17" s="9"/>
      <c r="J17" s="21">
        <f t="shared" si="2"/>
        <v>-7600</v>
      </c>
      <c r="K17" s="8" t="s">
        <v>195</v>
      </c>
      <c r="L17" s="9">
        <v>-2600</v>
      </c>
      <c r="M17" s="9">
        <v>-1000</v>
      </c>
      <c r="N17" s="9">
        <v>-3000</v>
      </c>
      <c r="O17" s="21">
        <f t="shared" si="3"/>
        <v>43300</v>
      </c>
      <c r="P17" s="8" t="s">
        <v>196</v>
      </c>
      <c r="Q17" s="9">
        <v>2600</v>
      </c>
      <c r="R17" s="9">
        <v>1000</v>
      </c>
      <c r="S17" s="9">
        <v>3000</v>
      </c>
      <c r="T17" s="21">
        <f t="shared" si="4"/>
        <v>69300</v>
      </c>
      <c r="U17" s="47">
        <f>IF($J17="","",ROUND(($J17-$J$3)/1000,1)+(_xlfn.RANK.AVG($J17,($J17,$O17,$T17),1)-2)*10)</f>
        <v>-52.6</v>
      </c>
      <c r="V17" s="48">
        <f>IF($O17="","",ROUND(($O17-$O$3)/1000,1)+(_xlfn.RANK.AVG($O17,($J17,$O17,$T17),1)-2)*10)</f>
        <v>8.3000000000000007</v>
      </c>
      <c r="W17" s="49">
        <f>IF($T17="","",ROUND(($T17-$T$3)/1000,1)+(_xlfn.RANK.AVG($T17,($J17,$O17,$T17),1)-2)*10)</f>
        <v>44.3</v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>
        <v>1</v>
      </c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>
        <v>1</v>
      </c>
      <c r="BR17" s="24"/>
      <c r="BS17" s="24">
        <v>2</v>
      </c>
      <c r="BT17" s="28">
        <v>40</v>
      </c>
      <c r="BU17" s="38" t="s">
        <v>198</v>
      </c>
      <c r="BV17" s="39" t="s">
        <v>79</v>
      </c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tr">
        <f>IF($P$1="","",$P$1)</f>
        <v>いちかわ</v>
      </c>
      <c r="F18" s="8" t="s">
        <v>199</v>
      </c>
      <c r="G18" s="9">
        <v>-3900</v>
      </c>
      <c r="H18" s="9"/>
      <c r="I18" s="9">
        <v>0</v>
      </c>
      <c r="J18" s="21">
        <f t="shared" si="2"/>
        <v>-11500</v>
      </c>
      <c r="K18" s="8" t="s">
        <v>199</v>
      </c>
      <c r="L18" s="9">
        <v>-3900</v>
      </c>
      <c r="M18" s="9"/>
      <c r="N18" s="9">
        <v>0</v>
      </c>
      <c r="O18" s="21">
        <f t="shared" si="3"/>
        <v>39400</v>
      </c>
      <c r="P18" s="8" t="s">
        <v>200</v>
      </c>
      <c r="Q18" s="9">
        <v>7800</v>
      </c>
      <c r="R18" s="9"/>
      <c r="S18" s="9">
        <v>0</v>
      </c>
      <c r="T18" s="21">
        <f t="shared" si="4"/>
        <v>77100</v>
      </c>
      <c r="U18" s="47">
        <f>IF($J18="","",ROUND(($J18-$J$3)/1000,1)+(_xlfn.RANK.AVG($J18,($J18,$O18,$T18),1)-2)*10)</f>
        <v>-56.5</v>
      </c>
      <c r="V18" s="48">
        <f>IF($O18="","",ROUND(($O18-$O$3)/1000,1)+(_xlfn.RANK.AVG($O18,($J18,$O18,$T18),1)-2)*10)</f>
        <v>4.4000000000000004</v>
      </c>
      <c r="W18" s="49">
        <f>IF($T18="","",ROUND(($T18-$T$3)/1000,1)+(_xlfn.RANK.AVG($T18,($J18,$O18,$T18),1)-2)*10)</f>
        <v>52.1</v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>
        <v>1</v>
      </c>
      <c r="BS18" s="24">
        <v>3</v>
      </c>
      <c r="BT18" s="28">
        <v>40</v>
      </c>
      <c r="BU18" s="38" t="s">
        <v>86</v>
      </c>
      <c r="BV18" s="39" t="s">
        <v>86</v>
      </c>
      <c r="BW18" s="39" t="s">
        <v>201</v>
      </c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1</v>
      </c>
      <c r="D19" s="18">
        <f t="shared" si="1"/>
        <v>0</v>
      </c>
      <c r="E19" s="4" t="str">
        <f>IF($P$1="","",$P$1)</f>
        <v>いちかわ</v>
      </c>
      <c r="F19" s="8" t="s">
        <v>199</v>
      </c>
      <c r="G19" s="9">
        <v>-3000</v>
      </c>
      <c r="H19" s="9"/>
      <c r="I19" s="9">
        <v>-500</v>
      </c>
      <c r="J19" s="21">
        <f t="shared" si="2"/>
        <v>-15000</v>
      </c>
      <c r="K19" s="8" t="s">
        <v>199</v>
      </c>
      <c r="L19" s="9">
        <v>-3000</v>
      </c>
      <c r="M19" s="9"/>
      <c r="N19" s="9">
        <v>-500</v>
      </c>
      <c r="O19" s="21">
        <f t="shared" si="3"/>
        <v>35900</v>
      </c>
      <c r="P19" s="8" t="s">
        <v>200</v>
      </c>
      <c r="Q19" s="9">
        <v>6000</v>
      </c>
      <c r="R19" s="9"/>
      <c r="S19" s="9">
        <v>1000</v>
      </c>
      <c r="T19" s="21">
        <f t="shared" si="4"/>
        <v>84100</v>
      </c>
      <c r="U19" s="47">
        <f>IF($J19="","",ROUND(($J19-$J$3)/1000,1)+(_xlfn.RANK.AVG($J19,($J19,$O19,$T19),1)-2)*10)</f>
        <v>-60</v>
      </c>
      <c r="V19" s="48">
        <f>IF($O19="","",ROUND(($O19-$O$3)/1000,1)+(_xlfn.RANK.AVG($O19,($J19,$O19,$T19),1)-2)*10)</f>
        <v>0.9</v>
      </c>
      <c r="W19" s="49">
        <f>IF($T19="","",ROUND(($T19-$T$3)/1000,1)+(_xlfn.RANK.AVG($T19,($J19,$O19,$T19),1)-2)*10)</f>
        <v>59.1</v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>
        <v>3</v>
      </c>
      <c r="BT19" s="28">
        <v>30</v>
      </c>
      <c r="BU19" s="38" t="s">
        <v>82</v>
      </c>
      <c r="BV19" s="39" t="s">
        <v>85</v>
      </c>
      <c r="BW19" s="39" t="s">
        <v>201</v>
      </c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>南</v>
      </c>
      <c r="B20" s="18">
        <f t="shared" si="5"/>
        <v>3</v>
      </c>
      <c r="C20" s="18">
        <f t="shared" si="6"/>
        <v>2</v>
      </c>
      <c r="D20" s="18">
        <f t="shared" si="1"/>
        <v>0</v>
      </c>
      <c r="E20" s="4" t="str">
        <f>IF($P$1="","",$P$1)</f>
        <v>いちかわ</v>
      </c>
      <c r="F20" s="8" t="s">
        <v>199</v>
      </c>
      <c r="G20" s="9">
        <v>-3000</v>
      </c>
      <c r="H20" s="9"/>
      <c r="I20" s="9">
        <v>-1000</v>
      </c>
      <c r="J20" s="21">
        <f t="shared" si="2"/>
        <v>-19000</v>
      </c>
      <c r="K20" s="8" t="s">
        <v>199</v>
      </c>
      <c r="L20" s="9">
        <v>-3000</v>
      </c>
      <c r="M20" s="9"/>
      <c r="N20" s="9">
        <v>-1000</v>
      </c>
      <c r="O20" s="21">
        <f t="shared" si="3"/>
        <v>31900</v>
      </c>
      <c r="P20" s="8" t="s">
        <v>200</v>
      </c>
      <c r="Q20" s="9">
        <v>6000</v>
      </c>
      <c r="R20" s="9"/>
      <c r="S20" s="9">
        <v>2000</v>
      </c>
      <c r="T20" s="21">
        <f t="shared" si="4"/>
        <v>92100</v>
      </c>
      <c r="U20" s="47">
        <f>IF($J20="","",ROUND(($J20-$J$3)/1000,1)+(_xlfn.RANK.AVG($J20,($J20,$O20,$T20),1)-2)*10)</f>
        <v>-64</v>
      </c>
      <c r="V20" s="48">
        <f>IF($O20="","",ROUND(($O20-$O$3)/1000,1)+(_xlfn.RANK.AVG($O20,($J20,$O20,$T20),1)-2)*10)</f>
        <v>-3.1</v>
      </c>
      <c r="W20" s="49">
        <f>IF($T20="","",ROUND(($T20-$T$3)/1000,1)+(_xlfn.RANK.AVG($T20,($J20,$O20,$T20),1)-2)*10)</f>
        <v>67.099999999999994</v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>
        <v>1</v>
      </c>
      <c r="BR20" s="24"/>
      <c r="BS20" s="24">
        <v>3</v>
      </c>
      <c r="BT20" s="28">
        <v>30</v>
      </c>
      <c r="BU20" s="38" t="s">
        <v>198</v>
      </c>
      <c r="BV20" s="39" t="s">
        <v>82</v>
      </c>
      <c r="BW20" s="39" t="s">
        <v>84</v>
      </c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>南</v>
      </c>
      <c r="B21" s="18">
        <f t="shared" si="5"/>
        <v>3</v>
      </c>
      <c r="C21" s="18">
        <f t="shared" si="6"/>
        <v>3</v>
      </c>
      <c r="D21" s="18">
        <f t="shared" si="1"/>
        <v>0</v>
      </c>
      <c r="E21" s="4" t="str">
        <f>IF($P$1="","",$P$1)</f>
        <v>いちかわ</v>
      </c>
      <c r="F21" s="8" t="s">
        <v>195</v>
      </c>
      <c r="G21" s="9">
        <v>-11600</v>
      </c>
      <c r="H21" s="9"/>
      <c r="I21" s="9">
        <v>-3000</v>
      </c>
      <c r="J21" s="21">
        <f t="shared" si="2"/>
        <v>-33600</v>
      </c>
      <c r="K21" s="8"/>
      <c r="L21" s="9"/>
      <c r="M21" s="9"/>
      <c r="N21" s="9"/>
      <c r="O21" s="21">
        <f t="shared" si="3"/>
        <v>31900</v>
      </c>
      <c r="P21" s="8" t="s">
        <v>196</v>
      </c>
      <c r="Q21" s="9">
        <v>11600</v>
      </c>
      <c r="R21" s="9"/>
      <c r="S21" s="9">
        <v>3000</v>
      </c>
      <c r="T21" s="21">
        <f t="shared" si="4"/>
        <v>106700</v>
      </c>
      <c r="U21" s="47">
        <f>IF($J21="","",ROUND(($J21-$J$3)/1000,1)+(_xlfn.RANK.AVG($J21,($J21,$O21,$T21),1)-2)*10)</f>
        <v>-78.599999999999994</v>
      </c>
      <c r="V21" s="48">
        <f>IF($O21="","",ROUND(($O21-$O$3)/1000,1)+(_xlfn.RANK.AVG($O21,($J21,$O21,$T21),1)-2)*10)</f>
        <v>-3.1</v>
      </c>
      <c r="W21" s="49">
        <f>IF($T21="","",ROUND(($T21-$T$3)/1000,1)+(_xlfn.RANK.AVG($T21,($J21,$O21,$T21),1)-2)*10)</f>
        <v>81.7</v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>
        <v>1</v>
      </c>
      <c r="BR21" s="24"/>
      <c r="BS21" s="24">
        <v>4</v>
      </c>
      <c r="BT21" s="28">
        <v>30</v>
      </c>
      <c r="BU21" s="38" t="s">
        <v>198</v>
      </c>
      <c r="BV21" s="39" t="s">
        <v>205</v>
      </c>
      <c r="BW21" s="39" t="s">
        <v>83</v>
      </c>
      <c r="BX21" s="39" t="s">
        <v>80</v>
      </c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>南</v>
      </c>
      <c r="B22" s="18">
        <f t="shared" si="5"/>
        <v>3</v>
      </c>
      <c r="C22" s="18">
        <f t="shared" si="6"/>
        <v>4</v>
      </c>
      <c r="D22" s="18">
        <f t="shared" si="1"/>
        <v>0</v>
      </c>
      <c r="E22" s="4" t="str">
        <f>IF($P$1="","",$P$1)</f>
        <v>いちかわ</v>
      </c>
      <c r="F22" s="8" t="s">
        <v>196</v>
      </c>
      <c r="G22" s="9">
        <v>16000</v>
      </c>
      <c r="H22" s="9">
        <v>1000</v>
      </c>
      <c r="I22" s="9">
        <v>4000</v>
      </c>
      <c r="J22" s="21">
        <f t="shared" si="2"/>
        <v>-12600</v>
      </c>
      <c r="K22" s="8"/>
      <c r="L22" s="9"/>
      <c r="M22" s="9">
        <v>-1000</v>
      </c>
      <c r="N22" s="9"/>
      <c r="O22" s="21">
        <f t="shared" si="3"/>
        <v>30900</v>
      </c>
      <c r="P22" s="8" t="s">
        <v>195</v>
      </c>
      <c r="Q22" s="9">
        <v>-16000</v>
      </c>
      <c r="R22" s="9"/>
      <c r="S22" s="9">
        <v>-4000</v>
      </c>
      <c r="T22" s="21">
        <f t="shared" si="4"/>
        <v>86700</v>
      </c>
      <c r="U22" s="47">
        <f>IF($J22="","",ROUND(($J22-$J$3)/1000,1)+(_xlfn.RANK.AVG($J22,($J22,$O22,$T22),1)-2)*10)</f>
        <v>-57.6</v>
      </c>
      <c r="V22" s="48">
        <f>IF($O22="","",ROUND(($O22-$O$3)/1000,1)+(_xlfn.RANK.AVG($O22,($J22,$O22,$T22),1)-2)*10)</f>
        <v>-4.0999999999999996</v>
      </c>
      <c r="W22" s="49">
        <f>IF($T22="","",ROUND(($T22-$T$3)/1000,1)+(_xlfn.RANK.AVG($T22,($J22,$O22,$T22),1)-2)*10)</f>
        <v>61.7</v>
      </c>
      <c r="Y22" s="8"/>
      <c r="Z22" s="32"/>
      <c r="AA22" s="24">
        <v>1</v>
      </c>
      <c r="AB22" s="24"/>
      <c r="AC22" s="24">
        <v>8</v>
      </c>
      <c r="AD22" s="28" t="s">
        <v>197</v>
      </c>
      <c r="AE22" s="38" t="s">
        <v>198</v>
      </c>
      <c r="AF22" s="39" t="s">
        <v>104</v>
      </c>
      <c r="AG22" s="39" t="s">
        <v>101</v>
      </c>
      <c r="AH22" s="39" t="s">
        <v>80</v>
      </c>
      <c r="AI22" s="39" t="s">
        <v>80</v>
      </c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>
        <v>1</v>
      </c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7A5735C7-6A66-4FFE-81E8-84E6F2D67E56}">
      <formula1>$U$2:$W$2</formula1>
    </dataValidation>
    <dataValidation type="list" showInputMessage="1" showErrorMessage="1" sqref="K4:K30 P4:P30 F4:F30" xr:uid="{2559F063-60C1-4323-BE94-0DBFC59D87A9}">
      <formula1>"ロン,ツモ,放銃,ツモ支払,流局,チョンボ"</formula1>
    </dataValidation>
    <dataValidation type="list" allowBlank="1" showInputMessage="1" sqref="F1:T1" xr:uid="{DF935BB5-069C-4265-A493-8FBDC2F09DC9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C10E0-777F-4247-B0BA-A6E2F1B291E2}">
  <sheetPr codeName="Sheet2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206</v>
      </c>
      <c r="G1" s="60"/>
      <c r="H1" s="60"/>
      <c r="I1" s="61"/>
      <c r="J1" s="62"/>
      <c r="K1" s="59" t="s">
        <v>193</v>
      </c>
      <c r="L1" s="60"/>
      <c r="M1" s="60"/>
      <c r="N1" s="61"/>
      <c r="O1" s="62"/>
      <c r="P1" s="59" t="s">
        <v>191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たかの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いちかわ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れんたろう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たかの</v>
      </c>
      <c r="V2" s="58" t="str">
        <f>$K$1</f>
        <v>いちかわ</v>
      </c>
      <c r="W2" s="16" t="str">
        <f>$P$1</f>
        <v>れんたろう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200</v>
      </c>
      <c r="G4" s="9">
        <v>2200</v>
      </c>
      <c r="H4" s="9"/>
      <c r="I4" s="9">
        <v>0</v>
      </c>
      <c r="J4" s="21">
        <f>IF(COUNTA($F4,$K4,$P4)&gt;0,J3+SUM(G4:I4),"")</f>
        <v>37200</v>
      </c>
      <c r="K4" s="8" t="s">
        <v>199</v>
      </c>
      <c r="L4" s="9">
        <v>-1100</v>
      </c>
      <c r="M4" s="9"/>
      <c r="N4" s="9">
        <v>0</v>
      </c>
      <c r="O4" s="21">
        <f>IF(COUNTA($F4,$K4,$P4)&gt;0,O3+SUM(L4:N4),"")</f>
        <v>33900</v>
      </c>
      <c r="P4" s="8" t="s">
        <v>199</v>
      </c>
      <c r="Q4" s="9">
        <v>-1100</v>
      </c>
      <c r="R4" s="9"/>
      <c r="S4" s="9">
        <v>0</v>
      </c>
      <c r="T4" s="21">
        <f>IF(COUNTA($F4,$K4,$P4)&gt;0,T3+SUM(Q4:S4),"")</f>
        <v>33900</v>
      </c>
      <c r="U4" s="47">
        <f>IF($J4="","",ROUND(($J4-$J$3)/1000,1)+(_xlfn.RANK.AVG($J4,($J4,$O4,$T4),1)-2)*10)</f>
        <v>12.2</v>
      </c>
      <c r="V4" s="48">
        <f>IF($O4="","",ROUND(($O4-$O$3)/1000,1)+(_xlfn.RANK.AVG($O4,($J4,$O4,$T4),1)-2)*10)</f>
        <v>-6.1</v>
      </c>
      <c r="W4" s="49">
        <f>IF($T4="","",ROUND(($T4-$T$3)/1000,1)+(_xlfn.RANK.AVG($T4,($J4,$O4,$T4),1)-2)*10)</f>
        <v>-6.1</v>
      </c>
      <c r="Y4" s="8"/>
      <c r="Z4" s="32"/>
      <c r="AA4" s="24"/>
      <c r="AB4" s="24">
        <v>1</v>
      </c>
      <c r="AC4" s="24">
        <v>1</v>
      </c>
      <c r="AD4" s="28">
        <v>40</v>
      </c>
      <c r="AE4" s="38" t="s">
        <v>86</v>
      </c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/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196</v>
      </c>
      <c r="G5" s="9">
        <v>2900</v>
      </c>
      <c r="H5" s="9">
        <v>1000</v>
      </c>
      <c r="I5" s="9">
        <v>1000</v>
      </c>
      <c r="J5" s="21">
        <f t="shared" ref="J5:J30" si="2">IF(COUNTA($F5,$K5,$P5)&gt;0,J4+SUM(G5:I5),"")</f>
        <v>42100</v>
      </c>
      <c r="K5" s="8"/>
      <c r="L5" s="9"/>
      <c r="M5" s="9"/>
      <c r="N5" s="9"/>
      <c r="O5" s="21">
        <f t="shared" ref="O5:O30" si="3">IF(COUNTA($F5,$K5,$P5)&gt;0,O4+SUM(L5:N5),"")</f>
        <v>33900</v>
      </c>
      <c r="P5" s="8" t="s">
        <v>195</v>
      </c>
      <c r="Q5" s="9">
        <v>-2900</v>
      </c>
      <c r="R5" s="9">
        <v>-1000</v>
      </c>
      <c r="S5" s="9">
        <v>-1000</v>
      </c>
      <c r="T5" s="21">
        <f t="shared" ref="T5:T30" si="4">IF(COUNTA($F5,$K5,$P5)&gt;0,T4+SUM(Q5:S5),"")</f>
        <v>29000</v>
      </c>
      <c r="U5" s="47">
        <f>IF($J5="","",ROUND(($J5-$J$3)/1000,1)+(_xlfn.RANK.AVG($J5,($J5,$O5,$T5),1)-2)*10)</f>
        <v>17.100000000000001</v>
      </c>
      <c r="V5" s="48">
        <f>IF($O5="","",ROUND(($O5-$O$3)/1000,1)+(_xlfn.RANK.AVG($O5,($J5,$O5,$T5),1)-2)*10)</f>
        <v>-1.1000000000000001</v>
      </c>
      <c r="W5" s="49">
        <f>IF($T5="","",ROUND(($T5-$T$3)/1000,1)+(_xlfn.RANK.AVG($T5,($J5,$O5,$T5),1)-2)*10)</f>
        <v>-16</v>
      </c>
      <c r="Y5" s="8"/>
      <c r="Z5" s="32"/>
      <c r="AA5" s="24"/>
      <c r="AB5" s="24">
        <v>1</v>
      </c>
      <c r="AC5" s="24">
        <v>2</v>
      </c>
      <c r="AD5" s="28">
        <v>30</v>
      </c>
      <c r="AE5" s="38" t="s">
        <v>86</v>
      </c>
      <c r="AF5" s="39" t="s">
        <v>86</v>
      </c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>
        <v>1</v>
      </c>
      <c r="BR5" s="24"/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たかの</v>
      </c>
      <c r="F6" s="8" t="s">
        <v>196</v>
      </c>
      <c r="G6" s="9">
        <v>12000</v>
      </c>
      <c r="H6" s="9"/>
      <c r="I6" s="9">
        <v>2000</v>
      </c>
      <c r="J6" s="21">
        <f t="shared" si="2"/>
        <v>56100</v>
      </c>
      <c r="K6" s="8"/>
      <c r="L6" s="9"/>
      <c r="M6" s="9"/>
      <c r="N6" s="9"/>
      <c r="O6" s="21">
        <f t="shared" si="3"/>
        <v>33900</v>
      </c>
      <c r="P6" s="8" t="s">
        <v>195</v>
      </c>
      <c r="Q6" s="9">
        <v>-12000</v>
      </c>
      <c r="R6" s="9"/>
      <c r="S6" s="9">
        <v>-2000</v>
      </c>
      <c r="T6" s="21">
        <f t="shared" si="4"/>
        <v>15000</v>
      </c>
      <c r="U6" s="47">
        <f>IF($J6="","",ROUND(($J6-$J$3)/1000,1)+(_xlfn.RANK.AVG($J6,($J6,$O6,$T6),1)-2)*10)</f>
        <v>31.1</v>
      </c>
      <c r="V6" s="48">
        <f>IF($O6="","",ROUND(($O6-$O$3)/1000,1)+(_xlfn.RANK.AVG($O6,($J6,$O6,$T6),1)-2)*10)</f>
        <v>-1.1000000000000001</v>
      </c>
      <c r="W6" s="49">
        <f>IF($T6="","",ROUND(($T6-$T$3)/1000,1)+(_xlfn.RANK.AVG($T6,($J6,$O6,$T6),1)-2)*10)</f>
        <v>-30</v>
      </c>
      <c r="Y6" s="8"/>
      <c r="Z6" s="32"/>
      <c r="AA6" s="24"/>
      <c r="AB6" s="24"/>
      <c r="AC6" s="24">
        <v>4</v>
      </c>
      <c r="AD6" s="28">
        <v>40</v>
      </c>
      <c r="AE6" s="38" t="s">
        <v>84</v>
      </c>
      <c r="AF6" s="39" t="s">
        <v>201</v>
      </c>
      <c r="AG6" s="39" t="s">
        <v>79</v>
      </c>
      <c r="AH6" s="39" t="s">
        <v>79</v>
      </c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/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たかの</v>
      </c>
      <c r="F7" s="8" t="s">
        <v>195</v>
      </c>
      <c r="G7" s="9">
        <v>-32000</v>
      </c>
      <c r="H7" s="9">
        <v>-1000</v>
      </c>
      <c r="I7" s="9">
        <v>-3000</v>
      </c>
      <c r="J7" s="21">
        <f t="shared" si="2"/>
        <v>20100</v>
      </c>
      <c r="K7" s="8"/>
      <c r="L7" s="9"/>
      <c r="M7" s="9"/>
      <c r="N7" s="9"/>
      <c r="O7" s="21">
        <f t="shared" si="3"/>
        <v>33900</v>
      </c>
      <c r="P7" s="8" t="s">
        <v>196</v>
      </c>
      <c r="Q7" s="9">
        <v>32000</v>
      </c>
      <c r="R7" s="9">
        <v>1000</v>
      </c>
      <c r="S7" s="9">
        <v>3000</v>
      </c>
      <c r="T7" s="21">
        <f t="shared" si="4"/>
        <v>51000</v>
      </c>
      <c r="U7" s="47">
        <f>IF($J7="","",ROUND(($J7-$J$3)/1000,1)+(_xlfn.RANK.AVG($J7,($J7,$O7,$T7),1)-2)*10)</f>
        <v>-24.9</v>
      </c>
      <c r="V7" s="48">
        <f>IF($O7="","",ROUND(($O7-$O$3)/1000,1)+(_xlfn.RANK.AVG($O7,($J7,$O7,$T7),1)-2)*10)</f>
        <v>-1.1000000000000001</v>
      </c>
      <c r="W7" s="49">
        <f>IF($T7="","",ROUND(($T7-$T$3)/1000,1)+(_xlfn.RANK.AVG($T7,($J7,$O7,$T7),1)-2)*10)</f>
        <v>26</v>
      </c>
      <c r="Y7" s="8"/>
      <c r="Z7" s="32"/>
      <c r="AA7" s="24">
        <v>1</v>
      </c>
      <c r="AB7" s="24"/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>
        <v>1</v>
      </c>
      <c r="BR7" s="24"/>
      <c r="BS7" s="24">
        <v>14</v>
      </c>
      <c r="BT7" s="28" t="s">
        <v>197</v>
      </c>
      <c r="BU7" s="38" t="s">
        <v>198</v>
      </c>
      <c r="BV7" s="39" t="s">
        <v>205</v>
      </c>
      <c r="BW7" s="39" t="s">
        <v>86</v>
      </c>
      <c r="BX7" s="39" t="s">
        <v>86</v>
      </c>
      <c r="BY7" s="39" t="s">
        <v>79</v>
      </c>
      <c r="BZ7" s="39" t="s">
        <v>79</v>
      </c>
      <c r="CA7" s="39" t="s">
        <v>79</v>
      </c>
      <c r="CB7" s="39" t="s">
        <v>80</v>
      </c>
      <c r="CC7" s="39" t="s">
        <v>80</v>
      </c>
      <c r="CD7" s="39" t="s">
        <v>80</v>
      </c>
      <c r="CE7" s="39" t="s">
        <v>201</v>
      </c>
      <c r="CF7" s="39" t="s">
        <v>104</v>
      </c>
      <c r="CG7" s="39"/>
      <c r="CH7" s="39"/>
      <c r="CI7" s="40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いちかわ</v>
      </c>
      <c r="F8" s="8" t="s">
        <v>200</v>
      </c>
      <c r="G8" s="9">
        <v>2800</v>
      </c>
      <c r="H8" s="9">
        <v>1000</v>
      </c>
      <c r="I8" s="9">
        <v>0</v>
      </c>
      <c r="J8" s="21">
        <f t="shared" si="2"/>
        <v>23900</v>
      </c>
      <c r="K8" s="8" t="s">
        <v>199</v>
      </c>
      <c r="L8" s="9">
        <v>-1700</v>
      </c>
      <c r="M8" s="9"/>
      <c r="N8" s="9">
        <v>0</v>
      </c>
      <c r="O8" s="21">
        <f t="shared" si="3"/>
        <v>32200</v>
      </c>
      <c r="P8" s="8" t="s">
        <v>199</v>
      </c>
      <c r="Q8" s="9">
        <v>-1100</v>
      </c>
      <c r="R8" s="9">
        <v>-1000</v>
      </c>
      <c r="S8" s="9">
        <v>0</v>
      </c>
      <c r="T8" s="21">
        <f t="shared" si="4"/>
        <v>48900</v>
      </c>
      <c r="U8" s="47">
        <f>IF($J8="","",ROUND(($J8-$J$3)/1000,1)+(_xlfn.RANK.AVG($J8,($J8,$O8,$T8),1)-2)*10)</f>
        <v>-21.1</v>
      </c>
      <c r="V8" s="48">
        <f>IF($O8="","",ROUND(($O8-$O$3)/1000,1)+(_xlfn.RANK.AVG($O8,($J8,$O8,$T8),1)-2)*10)</f>
        <v>-2.8</v>
      </c>
      <c r="W8" s="49">
        <f>IF($T8="","",ROUND(($T8-$T$3)/1000,1)+(_xlfn.RANK.AVG($T8,($J8,$O8,$T8),1)-2)*10)</f>
        <v>23.9</v>
      </c>
      <c r="Y8" s="8"/>
      <c r="Z8" s="32"/>
      <c r="AA8" s="24"/>
      <c r="AB8" s="24">
        <v>1</v>
      </c>
      <c r="AC8" s="24">
        <v>2</v>
      </c>
      <c r="AD8" s="28">
        <v>40</v>
      </c>
      <c r="AE8" s="38" t="s">
        <v>86</v>
      </c>
      <c r="AF8" s="39" t="s">
        <v>86</v>
      </c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>
        <v>1</v>
      </c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199</v>
      </c>
      <c r="G9" s="9">
        <v>-3000</v>
      </c>
      <c r="H9" s="9"/>
      <c r="I9" s="9">
        <v>0</v>
      </c>
      <c r="J9" s="21">
        <f t="shared" si="2"/>
        <v>20900</v>
      </c>
      <c r="K9" s="8" t="s">
        <v>200</v>
      </c>
      <c r="L9" s="9">
        <v>8000</v>
      </c>
      <c r="M9" s="9">
        <v>1000</v>
      </c>
      <c r="N9" s="9">
        <v>0</v>
      </c>
      <c r="O9" s="21">
        <f t="shared" si="3"/>
        <v>41200</v>
      </c>
      <c r="P9" s="8" t="s">
        <v>199</v>
      </c>
      <c r="Q9" s="9">
        <v>-5000</v>
      </c>
      <c r="R9" s="9">
        <v>-1000</v>
      </c>
      <c r="S9" s="9">
        <v>0</v>
      </c>
      <c r="T9" s="21">
        <f t="shared" si="4"/>
        <v>42900</v>
      </c>
      <c r="U9" s="47">
        <f>IF($J9="","",ROUND(($J9-$J$3)/1000,1)+(_xlfn.RANK.AVG($J9,($J9,$O9,$T9),1)-2)*10)</f>
        <v>-24.1</v>
      </c>
      <c r="V9" s="48">
        <f>IF($O9="","",ROUND(($O9-$O$3)/1000,1)+(_xlfn.RANK.AVG($O9,($J9,$O9,$T9),1)-2)*10)</f>
        <v>6.2</v>
      </c>
      <c r="W9" s="49">
        <f>IF($T9="","",ROUND(($T9-$T$3)/1000,1)+(_xlfn.RANK.AVG($T9,($J9,$O9,$T9),1)-2)*10)</f>
        <v>17.899999999999999</v>
      </c>
      <c r="Y9" s="8"/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>
        <v>1</v>
      </c>
      <c r="AW9" s="24"/>
      <c r="AX9" s="24">
        <v>5</v>
      </c>
      <c r="AY9" s="28" t="s">
        <v>197</v>
      </c>
      <c r="AZ9" s="38" t="s">
        <v>198</v>
      </c>
      <c r="BA9" s="39" t="s">
        <v>83</v>
      </c>
      <c r="BB9" s="39" t="s">
        <v>82</v>
      </c>
      <c r="BC9" s="39" t="s">
        <v>201</v>
      </c>
      <c r="BD9" s="39" t="s">
        <v>80</v>
      </c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>
        <v>1</v>
      </c>
      <c r="BR9" s="24"/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たかの</v>
      </c>
      <c r="F10" s="8"/>
      <c r="G10" s="9"/>
      <c r="H10" s="9"/>
      <c r="I10" s="9"/>
      <c r="J10" s="21">
        <f t="shared" si="2"/>
        <v>20900</v>
      </c>
      <c r="K10" s="8" t="s">
        <v>196</v>
      </c>
      <c r="L10" s="9">
        <v>2600</v>
      </c>
      <c r="M10" s="9"/>
      <c r="N10" s="9">
        <v>0</v>
      </c>
      <c r="O10" s="21">
        <f t="shared" si="3"/>
        <v>43800</v>
      </c>
      <c r="P10" s="8" t="s">
        <v>195</v>
      </c>
      <c r="Q10" s="9">
        <v>-2600</v>
      </c>
      <c r="R10" s="9"/>
      <c r="S10" s="9">
        <v>0</v>
      </c>
      <c r="T10" s="21">
        <f t="shared" si="4"/>
        <v>40300</v>
      </c>
      <c r="U10" s="47">
        <f>IF($J10="","",ROUND(($J10-$J$3)/1000,1)+(_xlfn.RANK.AVG($J10,($J10,$O10,$T10),1)-2)*10)</f>
        <v>-24.1</v>
      </c>
      <c r="V10" s="48">
        <f>IF($O10="","",ROUND(($O10-$O$3)/1000,1)+(_xlfn.RANK.AVG($O10,($J10,$O10,$T10),1)-2)*10)</f>
        <v>18.8</v>
      </c>
      <c r="W10" s="49">
        <f>IF($T10="","",ROUND(($T10-$T$3)/1000,1)+(_xlfn.RANK.AVG($T10,($J10,$O10,$T10),1)-2)*10)</f>
        <v>5.3</v>
      </c>
      <c r="Y10" s="8"/>
      <c r="Z10" s="32"/>
      <c r="AA10" s="24"/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>
        <v>1</v>
      </c>
      <c r="AW10" s="24"/>
      <c r="AX10" s="24">
        <v>2</v>
      </c>
      <c r="AY10" s="28">
        <v>40</v>
      </c>
      <c r="AZ10" s="38" t="s">
        <v>198</v>
      </c>
      <c r="BA10" s="39" t="s">
        <v>201</v>
      </c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いちかわ</v>
      </c>
      <c r="F11" s="8" t="s">
        <v>202</v>
      </c>
      <c r="G11" s="9">
        <v>-1500</v>
      </c>
      <c r="H11" s="9"/>
      <c r="I11" s="9"/>
      <c r="J11" s="21">
        <f t="shared" si="2"/>
        <v>19400</v>
      </c>
      <c r="K11" s="8" t="s">
        <v>202</v>
      </c>
      <c r="L11" s="9">
        <v>3000</v>
      </c>
      <c r="M11" s="9">
        <v>-1000</v>
      </c>
      <c r="N11" s="9"/>
      <c r="O11" s="21">
        <f t="shared" si="3"/>
        <v>45800</v>
      </c>
      <c r="P11" s="8" t="s">
        <v>202</v>
      </c>
      <c r="Q11" s="9">
        <v>-1500</v>
      </c>
      <c r="R11" s="9"/>
      <c r="S11" s="9"/>
      <c r="T11" s="21">
        <f t="shared" si="4"/>
        <v>38800</v>
      </c>
      <c r="U11" s="47">
        <f>IF($J11="","",ROUND(($J11-$J$3)/1000,1)+(_xlfn.RANK.AVG($J11,($J11,$O11,$T11),1)-2)*10)</f>
        <v>-25.6</v>
      </c>
      <c r="V11" s="48">
        <f>IF($O11="","",ROUND(($O11-$O$3)/1000,1)+(_xlfn.RANK.AVG($O11,($J11,$O11,$T11),1)-2)*10)</f>
        <v>20.8</v>
      </c>
      <c r="W11" s="49">
        <f>IF($T11="","",ROUND(($T11-$T$3)/1000,1)+(_xlfn.RANK.AVG($T11,($J11,$O11,$T11),1)-2)*10)</f>
        <v>3.8</v>
      </c>
      <c r="Y11" s="8" t="s">
        <v>204</v>
      </c>
      <c r="Z11" s="32"/>
      <c r="AA11" s="24"/>
      <c r="AB11" s="24">
        <v>1</v>
      </c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 t="s">
        <v>203</v>
      </c>
      <c r="AU11" s="32"/>
      <c r="AV11" s="24">
        <v>1</v>
      </c>
      <c r="AW11" s="24"/>
      <c r="AX11" s="24"/>
      <c r="AY11" s="28"/>
      <c r="AZ11" s="38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 t="s">
        <v>204</v>
      </c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tr">
        <f>IF($K$1="","",$K$1)</f>
        <v>いちかわ</v>
      </c>
      <c r="F12" s="8" t="s">
        <v>202</v>
      </c>
      <c r="G12" s="9">
        <v>1500</v>
      </c>
      <c r="H12" s="9"/>
      <c r="I12" s="9"/>
      <c r="J12" s="21">
        <f t="shared" si="2"/>
        <v>20900</v>
      </c>
      <c r="K12" s="8" t="s">
        <v>202</v>
      </c>
      <c r="L12" s="9">
        <v>-3000</v>
      </c>
      <c r="M12" s="9"/>
      <c r="N12" s="9"/>
      <c r="O12" s="21">
        <f t="shared" si="3"/>
        <v>42800</v>
      </c>
      <c r="P12" s="8" t="s">
        <v>202</v>
      </c>
      <c r="Q12" s="9">
        <v>1500</v>
      </c>
      <c r="R12" s="9"/>
      <c r="S12" s="9"/>
      <c r="T12" s="21">
        <f t="shared" si="4"/>
        <v>40300</v>
      </c>
      <c r="U12" s="47">
        <f>IF($J12="","",ROUND(($J12-$J$3)/1000,1)+(_xlfn.RANK.AVG($J12,($J12,$O12,$T12),1)-2)*10)</f>
        <v>-24.1</v>
      </c>
      <c r="V12" s="48">
        <f>IF($O12="","",ROUND(($O12-$O$3)/1000,1)+(_xlfn.RANK.AVG($O12,($J12,$O12,$T12),1)-2)*10)</f>
        <v>17.8</v>
      </c>
      <c r="W12" s="49">
        <f>IF($T12="","",ROUND(($T12-$T$3)/1000,1)+(_xlfn.RANK.AVG($T12,($J12,$O12,$T12),1)-2)*10)</f>
        <v>5.3</v>
      </c>
      <c r="Y12" s="8" t="s">
        <v>203</v>
      </c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 t="s">
        <v>204</v>
      </c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 t="s">
        <v>203</v>
      </c>
      <c r="BP12" s="32"/>
      <c r="BQ12" s="24"/>
      <c r="BR12" s="24">
        <v>1</v>
      </c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1</v>
      </c>
      <c r="E13" s="4" t="str">
        <f>IF($P$1="","",$P$1)</f>
        <v>れんたろう</v>
      </c>
      <c r="F13" s="8" t="s">
        <v>195</v>
      </c>
      <c r="G13" s="9">
        <v>-2000</v>
      </c>
      <c r="H13" s="9"/>
      <c r="I13" s="9">
        <v>-2000</v>
      </c>
      <c r="J13" s="21">
        <f t="shared" si="2"/>
        <v>16900</v>
      </c>
      <c r="K13" s="8" t="s">
        <v>196</v>
      </c>
      <c r="L13" s="9">
        <v>2000</v>
      </c>
      <c r="M13" s="9">
        <v>1000</v>
      </c>
      <c r="N13" s="9">
        <v>2000</v>
      </c>
      <c r="O13" s="21">
        <f t="shared" si="3"/>
        <v>47800</v>
      </c>
      <c r="P13" s="8"/>
      <c r="Q13" s="9"/>
      <c r="R13" s="9"/>
      <c r="S13" s="9"/>
      <c r="T13" s="21">
        <f t="shared" si="4"/>
        <v>40300</v>
      </c>
      <c r="U13" s="47">
        <f>IF($J13="","",ROUND(($J13-$J$3)/1000,1)+(_xlfn.RANK.AVG($J13,($J13,$O13,$T13),1)-2)*10)</f>
        <v>-28.1</v>
      </c>
      <c r="V13" s="48">
        <f>IF($O13="","",ROUND(($O13-$O$3)/1000,1)+(_xlfn.RANK.AVG($O13,($J13,$O13,$T13),1)-2)*10)</f>
        <v>22.8</v>
      </c>
      <c r="W13" s="49">
        <f>IF($T13="","",ROUND(($T13-$T$3)/1000,1)+(_xlfn.RANK.AVG($T13,($J13,$O13,$T13),1)-2)*10)</f>
        <v>5.3</v>
      </c>
      <c r="Y13" s="8"/>
      <c r="Z13" s="32"/>
      <c r="AA13" s="24"/>
      <c r="AB13" s="24">
        <v>1</v>
      </c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>
        <v>1</v>
      </c>
      <c r="AX13" s="24">
        <v>2</v>
      </c>
      <c r="AY13" s="28">
        <v>30</v>
      </c>
      <c r="AZ13" s="38" t="s">
        <v>86</v>
      </c>
      <c r="BA13" s="39" t="s">
        <v>201</v>
      </c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たかの</v>
      </c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F8B07C3-D74D-4016-89A2-928DE2D1B0BE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CDA5DAA-3763-4114-B2AD-0F1346260213}">
      <formula1>"ロン,ツモ,放銃,ツモ支払,流局,チョンボ"</formula1>
    </dataValidation>
    <dataValidation type="list" allowBlank="1" showInputMessage="1" showErrorMessage="1" sqref="E4:E30" xr:uid="{ADBD959E-D262-470D-9645-315B6235003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4" customWidth="1"/>
    <col min="2" max="2" width="6.5" style="34" customWidth="1"/>
    <col min="3" max="3" width="19.25" style="15" bestFit="1" customWidth="1"/>
    <col min="4" max="5" width="6.5" style="15" customWidth="1"/>
  </cols>
  <sheetData>
    <row r="1" spans="1:5" x14ac:dyDescent="0.4">
      <c r="A1" s="34" t="s">
        <v>27</v>
      </c>
      <c r="B1" s="34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4" t="s">
        <v>77</v>
      </c>
      <c r="B2" s="34" t="s">
        <v>139</v>
      </c>
      <c r="C2" s="15" t="s">
        <v>132</v>
      </c>
      <c r="D2" s="15">
        <v>1</v>
      </c>
    </row>
    <row r="3" spans="1:5" x14ac:dyDescent="0.4">
      <c r="A3" s="34" t="s">
        <v>78</v>
      </c>
      <c r="B3" s="34" t="s">
        <v>148</v>
      </c>
      <c r="C3" s="15" t="s">
        <v>31</v>
      </c>
      <c r="D3" s="15">
        <v>1</v>
      </c>
    </row>
    <row r="4" spans="1:5" x14ac:dyDescent="0.4">
      <c r="A4" s="34" t="s">
        <v>79</v>
      </c>
      <c r="B4" s="34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4" t="s">
        <v>80</v>
      </c>
      <c r="B5" s="34" t="s">
        <v>142</v>
      </c>
      <c r="C5" s="15" t="s">
        <v>33</v>
      </c>
      <c r="D5" s="15">
        <v>1</v>
      </c>
    </row>
    <row r="6" spans="1:5" x14ac:dyDescent="0.4">
      <c r="A6" s="34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4" t="s">
        <v>82</v>
      </c>
      <c r="B7" s="34" t="s">
        <v>140</v>
      </c>
      <c r="C7" s="15" t="s">
        <v>35</v>
      </c>
      <c r="D7" s="15">
        <v>1</v>
      </c>
    </row>
    <row r="8" spans="1:5" x14ac:dyDescent="0.4">
      <c r="A8" s="34" t="s">
        <v>83</v>
      </c>
      <c r="B8" s="34" t="s">
        <v>144</v>
      </c>
      <c r="C8" s="15" t="s">
        <v>36</v>
      </c>
      <c r="D8" s="15">
        <v>1</v>
      </c>
    </row>
    <row r="9" spans="1:5" x14ac:dyDescent="0.4">
      <c r="A9" s="34" t="s">
        <v>84</v>
      </c>
      <c r="B9" s="34" t="s">
        <v>146</v>
      </c>
      <c r="C9" s="15" t="s">
        <v>37</v>
      </c>
      <c r="D9" s="15">
        <v>1</v>
      </c>
    </row>
    <row r="10" spans="1:5" x14ac:dyDescent="0.4">
      <c r="A10" s="34" t="s">
        <v>85</v>
      </c>
      <c r="B10" s="34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4" t="s">
        <v>86</v>
      </c>
      <c r="B11" s="34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4" t="s">
        <v>87</v>
      </c>
      <c r="B12" s="34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4" t="s">
        <v>88</v>
      </c>
      <c r="B13" s="34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4" t="s">
        <v>89</v>
      </c>
      <c r="B14" s="34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4" t="s">
        <v>90</v>
      </c>
      <c r="B15" s="34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4" t="s">
        <v>91</v>
      </c>
      <c r="B16" s="34" t="s">
        <v>157</v>
      </c>
      <c r="C16" s="15" t="s">
        <v>43</v>
      </c>
      <c r="D16" s="15">
        <v>2</v>
      </c>
    </row>
    <row r="17" spans="1:5" x14ac:dyDescent="0.4">
      <c r="A17" s="34" t="s">
        <v>92</v>
      </c>
      <c r="B17" s="34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4" t="s">
        <v>93</v>
      </c>
      <c r="B18" s="34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4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4" t="s">
        <v>95</v>
      </c>
      <c r="B20" s="34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4" t="s">
        <v>96</v>
      </c>
      <c r="B21" s="34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4" t="s">
        <v>97</v>
      </c>
      <c r="B22" s="34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4" t="s">
        <v>98</v>
      </c>
      <c r="B23" s="34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4" t="s">
        <v>99</v>
      </c>
      <c r="B24" s="34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4" t="s">
        <v>100</v>
      </c>
      <c r="B25" s="34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4" t="s">
        <v>101</v>
      </c>
      <c r="B26" s="34" t="s">
        <v>154</v>
      </c>
      <c r="C26" s="15" t="s">
        <v>52</v>
      </c>
      <c r="D26" s="15">
        <v>2</v>
      </c>
    </row>
    <row r="27" spans="1:5" x14ac:dyDescent="0.4">
      <c r="A27" s="34" t="s">
        <v>102</v>
      </c>
      <c r="B27" s="34" t="s">
        <v>164</v>
      </c>
      <c r="C27" s="15" t="s">
        <v>53</v>
      </c>
      <c r="D27" s="15">
        <v>3</v>
      </c>
    </row>
    <row r="28" spans="1:5" x14ac:dyDescent="0.4">
      <c r="A28" s="34" t="s">
        <v>103</v>
      </c>
      <c r="B28" s="34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4" t="s">
        <v>104</v>
      </c>
      <c r="B29" s="34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4" t="s">
        <v>105</v>
      </c>
      <c r="B30" s="34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4" t="s">
        <v>106</v>
      </c>
      <c r="B31" s="34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4" t="s">
        <v>107</v>
      </c>
      <c r="B32" s="34" t="s">
        <v>169</v>
      </c>
      <c r="C32" s="15" t="s">
        <v>57</v>
      </c>
      <c r="D32" s="15">
        <v>13</v>
      </c>
    </row>
    <row r="33" spans="1:5" x14ac:dyDescent="0.4">
      <c r="A33" s="34" t="s">
        <v>108</v>
      </c>
      <c r="B33" s="34" t="s">
        <v>170</v>
      </c>
      <c r="C33" s="15" t="s">
        <v>58</v>
      </c>
      <c r="D33" s="15">
        <v>13</v>
      </c>
    </row>
    <row r="34" spans="1:5" x14ac:dyDescent="0.4">
      <c r="A34" s="34" t="s">
        <v>109</v>
      </c>
      <c r="B34" s="34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4" t="s">
        <v>110</v>
      </c>
      <c r="B35" s="34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4" t="s">
        <v>111</v>
      </c>
      <c r="B36" s="34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4" t="s">
        <v>112</v>
      </c>
      <c r="B37" s="34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4" t="s">
        <v>113</v>
      </c>
      <c r="B38" s="34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4" t="s">
        <v>114</v>
      </c>
      <c r="B39" s="34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4" t="s">
        <v>115</v>
      </c>
      <c r="B40" s="34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4" t="s">
        <v>116</v>
      </c>
      <c r="B41" s="34" t="s">
        <v>178</v>
      </c>
      <c r="C41" s="15" t="s">
        <v>66</v>
      </c>
      <c r="D41" s="15">
        <v>13</v>
      </c>
    </row>
    <row r="42" spans="1:5" x14ac:dyDescent="0.4">
      <c r="A42" s="34" t="s">
        <v>117</v>
      </c>
      <c r="B42" s="34" t="s">
        <v>179</v>
      </c>
      <c r="C42" s="15" t="s">
        <v>67</v>
      </c>
      <c r="D42" s="15">
        <v>13</v>
      </c>
    </row>
    <row r="43" spans="1:5" x14ac:dyDescent="0.4">
      <c r="A43" s="34" t="s">
        <v>118</v>
      </c>
      <c r="B43" s="34" t="s">
        <v>180</v>
      </c>
      <c r="C43" s="15" t="s">
        <v>68</v>
      </c>
      <c r="D43" s="15">
        <v>13</v>
      </c>
    </row>
    <row r="44" spans="1:5" x14ac:dyDescent="0.4">
      <c r="A44" s="34" t="s">
        <v>119</v>
      </c>
      <c r="B44" s="34" t="s">
        <v>181</v>
      </c>
      <c r="C44" s="15" t="s">
        <v>69</v>
      </c>
      <c r="D44" s="15">
        <v>13</v>
      </c>
    </row>
    <row r="45" spans="1:5" x14ac:dyDescent="0.4">
      <c r="A45" s="34" t="s">
        <v>120</v>
      </c>
      <c r="B45" s="34" t="s">
        <v>182</v>
      </c>
      <c r="C45" s="15" t="s">
        <v>70</v>
      </c>
      <c r="D45" s="15">
        <v>26</v>
      </c>
    </row>
    <row r="46" spans="1:5" x14ac:dyDescent="0.4">
      <c r="A46" s="34" t="s">
        <v>121</v>
      </c>
      <c r="B46" s="34" t="s">
        <v>183</v>
      </c>
      <c r="C46" s="15" t="s">
        <v>71</v>
      </c>
      <c r="D46" s="15">
        <v>13</v>
      </c>
    </row>
    <row r="47" spans="1:5" x14ac:dyDescent="0.4">
      <c r="A47" s="34" t="s">
        <v>122</v>
      </c>
      <c r="B47" s="34" t="s">
        <v>184</v>
      </c>
      <c r="C47" s="15" t="s">
        <v>72</v>
      </c>
      <c r="D47" s="15">
        <v>26</v>
      </c>
    </row>
    <row r="48" spans="1:5" x14ac:dyDescent="0.4">
      <c r="A48" s="34" t="s">
        <v>123</v>
      </c>
      <c r="B48" s="34" t="s">
        <v>185</v>
      </c>
      <c r="C48" s="15" t="s">
        <v>73</v>
      </c>
      <c r="D48" s="15">
        <v>13</v>
      </c>
    </row>
    <row r="49" spans="1:5" x14ac:dyDescent="0.4">
      <c r="A49" s="34" t="s">
        <v>124</v>
      </c>
      <c r="B49" s="34" t="s">
        <v>186</v>
      </c>
      <c r="C49" s="15" t="s">
        <v>74</v>
      </c>
      <c r="D49" s="15">
        <v>13</v>
      </c>
    </row>
    <row r="50" spans="1:5" x14ac:dyDescent="0.4">
      <c r="A50" s="34" t="s">
        <v>125</v>
      </c>
      <c r="C50" s="15" t="s">
        <v>75</v>
      </c>
      <c r="D50" s="15">
        <v>13</v>
      </c>
    </row>
    <row r="51" spans="1:5" x14ac:dyDescent="0.4">
      <c r="A51" s="34" t="s">
        <v>126</v>
      </c>
      <c r="B51" s="34" t="s">
        <v>187</v>
      </c>
      <c r="C51" s="15" t="s">
        <v>76</v>
      </c>
      <c r="D51" s="15">
        <v>13</v>
      </c>
    </row>
    <row r="52" spans="1:5" x14ac:dyDescent="0.4">
      <c r="A52" s="34" t="s">
        <v>134</v>
      </c>
      <c r="B52" s="34" t="s">
        <v>158</v>
      </c>
      <c r="C52" s="15" t="s">
        <v>135</v>
      </c>
      <c r="D52" s="15">
        <v>2</v>
      </c>
    </row>
    <row r="53" spans="1:5" x14ac:dyDescent="0.4">
      <c r="A53" s="34" t="s">
        <v>136</v>
      </c>
      <c r="B53" s="34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4" t="s">
        <v>188</v>
      </c>
      <c r="B54" s="34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0"/>
    <col min="13" max="13" width="9" style="30" customWidth="1"/>
    <col min="14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E3" s="30">
        <v>3900</v>
      </c>
      <c r="F3" s="30">
        <v>7700</v>
      </c>
    </row>
    <row r="4" spans="1:13" x14ac:dyDescent="0.4">
      <c r="A4" s="15">
        <v>25</v>
      </c>
      <c r="D4" s="30">
        <v>2400</v>
      </c>
      <c r="E4" s="30">
        <v>4800</v>
      </c>
      <c r="F4" s="30">
        <v>9600</v>
      </c>
    </row>
    <row r="5" spans="1:13" x14ac:dyDescent="0.4">
      <c r="A5" s="15">
        <v>30</v>
      </c>
      <c r="C5" s="30">
        <v>1500</v>
      </c>
      <c r="D5" s="30">
        <v>2900</v>
      </c>
      <c r="E5" s="30">
        <v>5800</v>
      </c>
      <c r="F5" s="30">
        <v>11600</v>
      </c>
    </row>
    <row r="6" spans="1:13" x14ac:dyDescent="0.4">
      <c r="A6" s="15">
        <v>40</v>
      </c>
      <c r="C6" s="30">
        <v>2000</v>
      </c>
      <c r="D6" s="30">
        <v>3900</v>
      </c>
      <c r="E6" s="30">
        <v>7700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2900</v>
      </c>
      <c r="D8" s="30">
        <v>5800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3400</v>
      </c>
      <c r="D9" s="30">
        <v>6800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3900</v>
      </c>
      <c r="D10" s="30">
        <v>7700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4400</v>
      </c>
      <c r="D11" s="30">
        <v>8700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D13" s="30">
        <v>10600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C3" s="30" t="s">
        <v>10</v>
      </c>
      <c r="D3" s="30">
        <v>2200</v>
      </c>
      <c r="E3" s="30">
        <v>4000</v>
      </c>
      <c r="F3" s="30">
        <v>7800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4800</v>
      </c>
      <c r="F4" s="30">
        <v>9600</v>
      </c>
    </row>
    <row r="5" spans="1:13" x14ac:dyDescent="0.4">
      <c r="A5" s="15">
        <v>30</v>
      </c>
      <c r="C5" s="30">
        <v>1600</v>
      </c>
      <c r="D5" s="30">
        <v>3000</v>
      </c>
      <c r="E5" s="30">
        <v>6000</v>
      </c>
      <c r="F5" s="30">
        <v>11600</v>
      </c>
    </row>
    <row r="6" spans="1:13" x14ac:dyDescent="0.4">
      <c r="A6" s="15">
        <v>40</v>
      </c>
      <c r="C6" s="30">
        <v>2200</v>
      </c>
      <c r="D6" s="30">
        <v>4000</v>
      </c>
      <c r="E6" s="30">
        <v>7800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3000</v>
      </c>
      <c r="D8" s="30">
        <v>6000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3600</v>
      </c>
      <c r="D9" s="30">
        <v>7000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4000</v>
      </c>
      <c r="D10" s="30">
        <v>7800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4600</v>
      </c>
      <c r="D11" s="30">
        <v>8800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C13" s="30" t="s">
        <v>10</v>
      </c>
      <c r="D13" s="30">
        <v>10800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-6000</v>
      </c>
      <c r="H2" s="30">
        <v>-9000</v>
      </c>
      <c r="I2" s="30">
        <v>-12000</v>
      </c>
      <c r="J2" s="30">
        <v>-18000</v>
      </c>
      <c r="K2" s="30">
        <v>-24000</v>
      </c>
      <c r="L2" s="30">
        <v>-48000</v>
      </c>
      <c r="M2" s="30">
        <v>-72000</v>
      </c>
    </row>
    <row r="3" spans="1:13" x14ac:dyDescent="0.4">
      <c r="A3" s="15">
        <v>20</v>
      </c>
      <c r="C3" s="30" t="s">
        <v>10</v>
      </c>
      <c r="D3" s="30">
        <v>-1100</v>
      </c>
      <c r="E3" s="30">
        <v>-2000</v>
      </c>
      <c r="F3" s="30">
        <v>-3900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-2400</v>
      </c>
      <c r="F4" s="30">
        <v>-4800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-800</v>
      </c>
      <c r="D5" s="30">
        <v>-1500</v>
      </c>
      <c r="E5" s="30">
        <v>-3000</v>
      </c>
      <c r="F5" s="30">
        <v>-5800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-1100</v>
      </c>
      <c r="D6" s="30">
        <v>-2000</v>
      </c>
      <c r="E6" s="30">
        <v>-3900</v>
      </c>
      <c r="F6" s="30">
        <v>-6000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-1200</v>
      </c>
      <c r="D7" s="30">
        <v>-2400</v>
      </c>
      <c r="E7" s="30">
        <v>-4800</v>
      </c>
      <c r="F7" s="30">
        <v>-6000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-1500</v>
      </c>
      <c r="D8" s="30">
        <v>-3000</v>
      </c>
      <c r="E8" s="30">
        <v>-5800</v>
      </c>
      <c r="F8" s="30">
        <v>-6000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-1800</v>
      </c>
      <c r="D9" s="30">
        <v>-3500</v>
      </c>
      <c r="E9" s="30">
        <v>-6000</v>
      </c>
      <c r="F9" s="30">
        <v>-6000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-2000</v>
      </c>
      <c r="D10" s="30">
        <v>-3900</v>
      </c>
      <c r="E10" s="30">
        <v>-6000</v>
      </c>
      <c r="F10" s="30">
        <v>-6000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-2300</v>
      </c>
      <c r="D11" s="30">
        <v>-4400</v>
      </c>
      <c r="E11" s="30">
        <v>-6000</v>
      </c>
      <c r="F11" s="30">
        <v>-6000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-2400</v>
      </c>
      <c r="D12" s="30">
        <v>-4800</v>
      </c>
      <c r="E12" s="30">
        <v>-6000</v>
      </c>
      <c r="F12" s="30">
        <v>-6000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-5400</v>
      </c>
      <c r="E13" s="30">
        <v>-6000</v>
      </c>
      <c r="F13" s="30">
        <v>-6000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 t="s">
        <v>10</v>
      </c>
      <c r="E3" s="30">
        <v>2600</v>
      </c>
      <c r="F3" s="30">
        <v>5200</v>
      </c>
    </row>
    <row r="4" spans="1:13" x14ac:dyDescent="0.4">
      <c r="A4" s="15">
        <v>25</v>
      </c>
      <c r="C4" s="30" t="s">
        <v>10</v>
      </c>
      <c r="D4" s="30">
        <v>1600</v>
      </c>
      <c r="E4" s="30">
        <v>3200</v>
      </c>
      <c r="F4" s="30">
        <v>6400</v>
      </c>
    </row>
    <row r="5" spans="1:13" x14ac:dyDescent="0.4">
      <c r="A5" s="15">
        <v>30</v>
      </c>
      <c r="C5" s="30">
        <v>1000</v>
      </c>
      <c r="D5" s="30">
        <v>2000</v>
      </c>
      <c r="E5" s="30">
        <v>3900</v>
      </c>
      <c r="F5" s="30">
        <v>7700</v>
      </c>
    </row>
    <row r="6" spans="1:13" x14ac:dyDescent="0.4">
      <c r="A6" s="15">
        <v>40</v>
      </c>
      <c r="C6" s="30">
        <v>1300</v>
      </c>
      <c r="D6" s="30">
        <v>2600</v>
      </c>
      <c r="E6" s="30">
        <v>5200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2000</v>
      </c>
      <c r="D8" s="30">
        <v>3900</v>
      </c>
      <c r="E8" s="30">
        <v>7700</v>
      </c>
      <c r="F8" s="30">
        <v>8000</v>
      </c>
    </row>
    <row r="9" spans="1:13" x14ac:dyDescent="0.4">
      <c r="A9" s="15">
        <v>70</v>
      </c>
      <c r="C9" s="30">
        <v>2300</v>
      </c>
      <c r="D9" s="30">
        <v>4500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2600</v>
      </c>
      <c r="D10" s="30">
        <v>5200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2900</v>
      </c>
      <c r="D11" s="30">
        <v>5800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7100</v>
      </c>
      <c r="E13" s="30">
        <v>8000</v>
      </c>
      <c r="F13" s="3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>
        <v>1500</v>
      </c>
      <c r="E3" s="30">
        <v>2800</v>
      </c>
      <c r="F3" s="30">
        <v>5300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3200</v>
      </c>
      <c r="F4" s="30">
        <v>6400</v>
      </c>
    </row>
    <row r="5" spans="1:13" x14ac:dyDescent="0.4">
      <c r="A5" s="15">
        <v>30</v>
      </c>
      <c r="C5" s="30">
        <v>1200</v>
      </c>
      <c r="D5" s="30">
        <v>2100</v>
      </c>
      <c r="E5" s="30">
        <v>4000</v>
      </c>
      <c r="F5" s="30">
        <v>7700</v>
      </c>
    </row>
    <row r="6" spans="1:13" x14ac:dyDescent="0.4">
      <c r="A6" s="15">
        <v>40</v>
      </c>
      <c r="C6" s="30">
        <v>1500</v>
      </c>
      <c r="D6" s="30">
        <v>2800</v>
      </c>
      <c r="E6" s="30">
        <v>5300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2100</v>
      </c>
      <c r="D8" s="30">
        <v>4000</v>
      </c>
      <c r="E8" s="30">
        <v>7700</v>
      </c>
      <c r="F8" s="30">
        <v>8000</v>
      </c>
    </row>
    <row r="9" spans="1:13" x14ac:dyDescent="0.4">
      <c r="A9" s="15">
        <v>70</v>
      </c>
      <c r="C9" s="30">
        <v>2400</v>
      </c>
      <c r="D9" s="30">
        <v>4700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2800</v>
      </c>
      <c r="D10" s="30">
        <v>5300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3100</v>
      </c>
      <c r="D11" s="30">
        <v>6000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7200</v>
      </c>
      <c r="E13" s="30">
        <v>8000</v>
      </c>
      <c r="F13" s="30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-3000</v>
      </c>
      <c r="H2" s="30">
        <v>-4500</v>
      </c>
      <c r="I2" s="30">
        <v>-6000</v>
      </c>
      <c r="J2" s="30">
        <v>-9000</v>
      </c>
      <c r="K2" s="30">
        <v>-12000</v>
      </c>
      <c r="L2" s="30">
        <v>-24000</v>
      </c>
      <c r="M2" s="30">
        <v>-36000</v>
      </c>
    </row>
    <row r="3" spans="1:13" x14ac:dyDescent="0.4">
      <c r="A3" s="15">
        <v>20</v>
      </c>
      <c r="C3" s="30" t="s">
        <v>10</v>
      </c>
      <c r="D3" s="30">
        <v>-600</v>
      </c>
      <c r="E3" s="30">
        <v>-1100</v>
      </c>
      <c r="F3" s="30">
        <v>-2000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-1200</v>
      </c>
      <c r="F4" s="30">
        <v>-2400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-500</v>
      </c>
      <c r="D5" s="30">
        <v>-800</v>
      </c>
      <c r="E5" s="30">
        <v>-1500</v>
      </c>
      <c r="F5" s="30">
        <v>-2900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-600</v>
      </c>
      <c r="D6" s="30">
        <v>-1100</v>
      </c>
      <c r="E6" s="30">
        <v>-2000</v>
      </c>
      <c r="F6" s="30">
        <v>-3000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-600</v>
      </c>
      <c r="D7" s="30">
        <v>-1200</v>
      </c>
      <c r="E7" s="30">
        <v>-2400</v>
      </c>
      <c r="F7" s="30">
        <v>-3000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-800</v>
      </c>
      <c r="D8" s="30">
        <v>-1500</v>
      </c>
      <c r="E8" s="30">
        <v>-2900</v>
      </c>
      <c r="F8" s="30">
        <v>-3000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-900</v>
      </c>
      <c r="D9" s="30">
        <v>-1800</v>
      </c>
      <c r="E9" s="30">
        <v>-3000</v>
      </c>
      <c r="F9" s="30">
        <v>-3000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-1100</v>
      </c>
      <c r="D10" s="30">
        <v>-2000</v>
      </c>
      <c r="E10" s="30">
        <v>-3000</v>
      </c>
      <c r="F10" s="30">
        <v>-3000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-1200</v>
      </c>
      <c r="D11" s="30">
        <v>-2300</v>
      </c>
      <c r="E11" s="30">
        <v>-3000</v>
      </c>
      <c r="F11" s="30">
        <v>-3000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-1200</v>
      </c>
      <c r="D12" s="30">
        <v>-2400</v>
      </c>
      <c r="E12" s="30">
        <v>-3000</v>
      </c>
      <c r="F12" s="30">
        <v>-3000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-2700</v>
      </c>
      <c r="E13" s="30">
        <v>-3000</v>
      </c>
      <c r="F13" s="30">
        <v>-3000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-5000</v>
      </c>
      <c r="H2" s="30">
        <v>-7500</v>
      </c>
      <c r="I2" s="30">
        <v>-10000</v>
      </c>
      <c r="J2" s="30">
        <v>-15000</v>
      </c>
      <c r="K2" s="30">
        <v>-20000</v>
      </c>
      <c r="L2" s="30">
        <v>-40000</v>
      </c>
      <c r="M2" s="30">
        <v>-60000</v>
      </c>
    </row>
    <row r="3" spans="1:13" x14ac:dyDescent="0.4">
      <c r="A3" s="15">
        <v>20</v>
      </c>
      <c r="C3" s="30" t="s">
        <v>10</v>
      </c>
      <c r="D3" s="30">
        <v>-900</v>
      </c>
      <c r="E3" s="30">
        <v>-1700</v>
      </c>
      <c r="F3" s="30">
        <v>-3300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-2000</v>
      </c>
      <c r="F4" s="30">
        <v>-4000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-700</v>
      </c>
      <c r="D5" s="30">
        <v>-1300</v>
      </c>
      <c r="E5" s="30">
        <v>-2500</v>
      </c>
      <c r="F5" s="30">
        <v>-4800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-900</v>
      </c>
      <c r="D6" s="30">
        <v>-1700</v>
      </c>
      <c r="E6" s="30">
        <v>-3300</v>
      </c>
      <c r="F6" s="30">
        <v>-5000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-1000</v>
      </c>
      <c r="D7" s="30">
        <v>-2000</v>
      </c>
      <c r="E7" s="30">
        <v>-4000</v>
      </c>
      <c r="F7" s="30">
        <v>-5000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-1300</v>
      </c>
      <c r="D8" s="30">
        <v>-2500</v>
      </c>
      <c r="E8" s="30">
        <v>-4800</v>
      </c>
      <c r="F8" s="30">
        <v>-5000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-1500</v>
      </c>
      <c r="D9" s="30">
        <v>-2900</v>
      </c>
      <c r="E9" s="30">
        <v>-5000</v>
      </c>
      <c r="F9" s="30">
        <v>-5000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-1700</v>
      </c>
      <c r="D10" s="30">
        <v>-3300</v>
      </c>
      <c r="E10" s="30">
        <v>-5000</v>
      </c>
      <c r="F10" s="30">
        <v>-5000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-1900</v>
      </c>
      <c r="D11" s="30">
        <v>-3700</v>
      </c>
      <c r="E11" s="30">
        <v>-5000</v>
      </c>
      <c r="F11" s="30">
        <v>-5000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-2000</v>
      </c>
      <c r="D12" s="30">
        <v>-4000</v>
      </c>
      <c r="E12" s="30">
        <v>-5000</v>
      </c>
      <c r="F12" s="30">
        <v>-5000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-4500</v>
      </c>
      <c r="E13" s="30">
        <v>-5000</v>
      </c>
      <c r="F13" s="30">
        <v>-5000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2020-11-23T09:45:38Z</dcterms:modified>
</cp:coreProperties>
</file>