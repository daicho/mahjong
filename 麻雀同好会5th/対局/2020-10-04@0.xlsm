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6C6C0764-7C5B-47CE-8A31-F302B2050227}" xr6:coauthVersionLast="45" xr6:coauthVersionMax="45" xr10:uidLastSave="{00000000-0000-0000-0000-000000000000}"/>
  <bookViews>
    <workbookView xWindow="-108" yWindow="-108" windowWidth="23256" windowHeight="1272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" i="22" l="1"/>
  <c r="E16" i="22"/>
  <c r="C16" i="22" s="1"/>
  <c r="E15" i="22"/>
  <c r="E14" i="22"/>
  <c r="D14" i="22" s="1"/>
  <c r="E13" i="22"/>
  <c r="E12" i="22"/>
  <c r="C12" i="22" s="1"/>
  <c r="E11" i="22"/>
  <c r="E10" i="22"/>
  <c r="E9" i="22"/>
  <c r="E8" i="22"/>
  <c r="E7" i="22"/>
  <c r="E6" i="22"/>
  <c r="E5" i="22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O16" i="22"/>
  <c r="J16" i="22"/>
  <c r="D16" i="22"/>
  <c r="T15" i="22"/>
  <c r="W15" i="22" s="1"/>
  <c r="O15" i="22"/>
  <c r="V15" i="22" s="1"/>
  <c r="J15" i="22"/>
  <c r="D15" i="22"/>
  <c r="C15" i="22"/>
  <c r="B15" i="22"/>
  <c r="A15" i="22"/>
  <c r="T14" i="22"/>
  <c r="O14" i="22"/>
  <c r="J14" i="22"/>
  <c r="T13" i="22"/>
  <c r="O13" i="22"/>
  <c r="J13" i="22"/>
  <c r="D13" i="22"/>
  <c r="C13" i="22"/>
  <c r="B13" i="22"/>
  <c r="A13" i="22"/>
  <c r="T12" i="22"/>
  <c r="W12" i="22" s="1"/>
  <c r="O12" i="22"/>
  <c r="V12" i="22" s="1"/>
  <c r="J12" i="22"/>
  <c r="D12" i="22"/>
  <c r="D11" i="22"/>
  <c r="D9" i="22"/>
  <c r="D8" i="22"/>
  <c r="D7" i="22"/>
  <c r="D6" i="22"/>
  <c r="O5" i="22"/>
  <c r="O6" i="22" s="1"/>
  <c r="B5" i="22"/>
  <c r="C5" i="22"/>
  <c r="T4" i="22"/>
  <c r="T5" i="22" s="1"/>
  <c r="O4" i="22"/>
  <c r="J4" i="22"/>
  <c r="E4" i="22"/>
  <c r="W3" i="22"/>
  <c r="V3" i="22"/>
  <c r="U3" i="22"/>
  <c r="W2" i="22"/>
  <c r="V2" i="22"/>
  <c r="U2" i="22"/>
  <c r="BO1" i="22"/>
  <c r="AT1" i="22"/>
  <c r="Y1" i="22"/>
  <c r="U16" i="22" l="1"/>
  <c r="V16" i="22"/>
  <c r="W16" i="22"/>
  <c r="B16" i="22"/>
  <c r="A16" i="22" s="1"/>
  <c r="U15" i="22"/>
  <c r="U14" i="22"/>
  <c r="W14" i="22"/>
  <c r="V14" i="22"/>
  <c r="B14" i="22"/>
  <c r="A14" i="22" s="1"/>
  <c r="C14" i="22"/>
  <c r="W13" i="22"/>
  <c r="U13" i="22"/>
  <c r="V13" i="22"/>
  <c r="U12" i="22"/>
  <c r="B12" i="22"/>
  <c r="A12" i="22" s="1"/>
  <c r="D10" i="22"/>
  <c r="V4" i="22"/>
  <c r="A6" i="22"/>
  <c r="O7" i="22"/>
  <c r="T6" i="22"/>
  <c r="D5" i="22"/>
  <c r="C8" i="22"/>
  <c r="C9" i="22" s="1"/>
  <c r="C10" i="22" s="1"/>
  <c r="B8" i="22"/>
  <c r="C11" i="22"/>
  <c r="B6" i="22"/>
  <c r="U4" i="22"/>
  <c r="J5" i="22"/>
  <c r="V5" i="22" s="1"/>
  <c r="C6" i="22"/>
  <c r="B9" i="22"/>
  <c r="W4" i="22"/>
  <c r="B7" i="22"/>
  <c r="A5" i="22"/>
  <c r="C7" i="22"/>
  <c r="E11" i="21"/>
  <c r="E10" i="21"/>
  <c r="C10" i="21" s="1"/>
  <c r="E9" i="21"/>
  <c r="E8" i="21"/>
  <c r="D8" i="21" s="1"/>
  <c r="E7" i="21"/>
  <c r="E6" i="21"/>
  <c r="E5" i="21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 s="1"/>
  <c r="T11" i="21"/>
  <c r="O11" i="21"/>
  <c r="J11" i="21"/>
  <c r="D11" i="21"/>
  <c r="C11" i="21"/>
  <c r="B11" i="21"/>
  <c r="A11" i="21"/>
  <c r="C9" i="21"/>
  <c r="D9" i="21"/>
  <c r="J7" i="21"/>
  <c r="J8" i="21" s="1"/>
  <c r="D7" i="21"/>
  <c r="J6" i="21"/>
  <c r="C7" i="21"/>
  <c r="T5" i="21"/>
  <c r="T6" i="21" s="1"/>
  <c r="J5" i="21"/>
  <c r="B5" i="21"/>
  <c r="D5" i="21"/>
  <c r="T4" i="21"/>
  <c r="O4" i="21"/>
  <c r="O5" i="21" s="1"/>
  <c r="J4" i="21"/>
  <c r="E4" i="21"/>
  <c r="W3" i="21"/>
  <c r="V3" i="21"/>
  <c r="U3" i="21"/>
  <c r="W2" i="21"/>
  <c r="V2" i="21"/>
  <c r="U2" i="21"/>
  <c r="BO1" i="21"/>
  <c r="AT1" i="21"/>
  <c r="Y1" i="21"/>
  <c r="A7" i="22" l="1"/>
  <c r="A8" i="22"/>
  <c r="A9" i="22" s="1"/>
  <c r="B10" i="22"/>
  <c r="U5" i="22"/>
  <c r="J6" i="22"/>
  <c r="T7" i="22"/>
  <c r="W6" i="22"/>
  <c r="W5" i="22"/>
  <c r="O8" i="22"/>
  <c r="U11" i="21"/>
  <c r="V11" i="21"/>
  <c r="W11" i="21"/>
  <c r="C8" i="21"/>
  <c r="O6" i="21"/>
  <c r="V5" i="21"/>
  <c r="U5" i="21"/>
  <c r="J9" i="21"/>
  <c r="T7" i="21"/>
  <c r="W6" i="21"/>
  <c r="W4" i="21"/>
  <c r="B7" i="21"/>
  <c r="B8" i="21" s="1"/>
  <c r="C5" i="21"/>
  <c r="C6" i="21" s="1"/>
  <c r="W5" i="21"/>
  <c r="D10" i="21"/>
  <c r="B6" i="21"/>
  <c r="A6" i="21" s="1"/>
  <c r="U4" i="21"/>
  <c r="V4" i="21"/>
  <c r="D6" i="21"/>
  <c r="A5" i="21"/>
  <c r="D11" i="20"/>
  <c r="E10" i="20"/>
  <c r="E9" i="20"/>
  <c r="D9" i="20" s="1"/>
  <c r="E8" i="20"/>
  <c r="E7" i="20"/>
  <c r="E6" i="20"/>
  <c r="E5" i="20"/>
  <c r="D5" i="20" s="1"/>
  <c r="D6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0" i="20"/>
  <c r="D8" i="20"/>
  <c r="O7" i="20"/>
  <c r="O8" i="20" s="1"/>
  <c r="D7" i="20"/>
  <c r="O6" i="20"/>
  <c r="J6" i="20"/>
  <c r="J7" i="20" s="1"/>
  <c r="O5" i="20"/>
  <c r="J5" i="20"/>
  <c r="T4" i="20"/>
  <c r="T5" i="20" s="1"/>
  <c r="O4" i="20"/>
  <c r="J4" i="20"/>
  <c r="E4" i="20"/>
  <c r="W3" i="20"/>
  <c r="V3" i="20"/>
  <c r="U3" i="20"/>
  <c r="W2" i="20"/>
  <c r="V2" i="20"/>
  <c r="U2" i="20"/>
  <c r="BO1" i="20"/>
  <c r="AT1" i="20"/>
  <c r="Y1" i="20"/>
  <c r="E12" i="19"/>
  <c r="E11" i="19"/>
  <c r="E10" i="19"/>
  <c r="E9" i="19"/>
  <c r="E8" i="19"/>
  <c r="E7" i="19"/>
  <c r="E6" i="19"/>
  <c r="E5" i="19"/>
  <c r="T8" i="22" l="1"/>
  <c r="J7" i="22"/>
  <c r="W7" i="22" s="1"/>
  <c r="U6" i="22"/>
  <c r="V6" i="22"/>
  <c r="B11" i="22"/>
  <c r="A11" i="22" s="1"/>
  <c r="O9" i="22"/>
  <c r="A10" i="22"/>
  <c r="B9" i="21"/>
  <c r="T8" i="21"/>
  <c r="J10" i="21"/>
  <c r="A7" i="21"/>
  <c r="A8" i="21" s="1"/>
  <c r="V6" i="21"/>
  <c r="U6" i="21"/>
  <c r="O7" i="21"/>
  <c r="V4" i="20"/>
  <c r="J8" i="20"/>
  <c r="O9" i="20"/>
  <c r="C12" i="20"/>
  <c r="T6" i="20"/>
  <c r="W5" i="20"/>
  <c r="V5" i="20"/>
  <c r="U5" i="20"/>
  <c r="V6" i="20"/>
  <c r="C10" i="20"/>
  <c r="C11" i="20" s="1"/>
  <c r="C5" i="20"/>
  <c r="C9" i="20"/>
  <c r="U4" i="20"/>
  <c r="B5" i="20"/>
  <c r="W4" i="20"/>
  <c r="U6" i="20"/>
  <c r="E4" i="19"/>
  <c r="J8" i="22" l="1"/>
  <c r="U7" i="22"/>
  <c r="V7" i="22"/>
  <c r="O10" i="22"/>
  <c r="T9" i="22"/>
  <c r="W8" i="22"/>
  <c r="A9" i="21"/>
  <c r="W7" i="21"/>
  <c r="V7" i="21"/>
  <c r="O8" i="21"/>
  <c r="U7" i="21"/>
  <c r="T9" i="21"/>
  <c r="W8" i="21"/>
  <c r="B10" i="21"/>
  <c r="A10" i="21" s="1"/>
  <c r="C6" i="20"/>
  <c r="J9" i="20"/>
  <c r="A5" i="20"/>
  <c r="B6" i="20"/>
  <c r="W6" i="20"/>
  <c r="T7" i="20"/>
  <c r="O10" i="20"/>
  <c r="W3" i="19"/>
  <c r="V3" i="19"/>
  <c r="U3" i="19"/>
  <c r="T10" i="22" l="1"/>
  <c r="O11" i="22"/>
  <c r="J9" i="22"/>
  <c r="U8" i="22"/>
  <c r="V8" i="22"/>
  <c r="T10" i="21"/>
  <c r="O9" i="21"/>
  <c r="V8" i="21"/>
  <c r="U8" i="21"/>
  <c r="C7" i="20"/>
  <c r="B7" i="20"/>
  <c r="O11" i="20"/>
  <c r="J10" i="20"/>
  <c r="W7" i="20"/>
  <c r="T8" i="20"/>
  <c r="U7" i="20"/>
  <c r="V7" i="20"/>
  <c r="A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J10" i="22" l="1"/>
  <c r="U9" i="22"/>
  <c r="V9" i="22"/>
  <c r="W9" i="22"/>
  <c r="T11" i="22"/>
  <c r="W10" i="22"/>
  <c r="W9" i="21"/>
  <c r="V9" i="21"/>
  <c r="O10" i="21"/>
  <c r="U9" i="21"/>
  <c r="W10" i="21"/>
  <c r="C8" i="20"/>
  <c r="T9" i="20"/>
  <c r="W8" i="20"/>
  <c r="V8" i="20"/>
  <c r="U8" i="20"/>
  <c r="B8" i="20"/>
  <c r="O12" i="20"/>
  <c r="J11" i="20"/>
  <c r="A7" i="20"/>
  <c r="U12" i="19"/>
  <c r="V12" i="19"/>
  <c r="W12" i="19"/>
  <c r="W11" i="19"/>
  <c r="U11" i="19"/>
  <c r="V11" i="19"/>
  <c r="U10" i="19"/>
  <c r="V9" i="19"/>
  <c r="U9" i="19"/>
  <c r="W8" i="19"/>
  <c r="U6" i="19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J11" i="22" l="1"/>
  <c r="W11" i="22" s="1"/>
  <c r="U10" i="22"/>
  <c r="V10" i="22"/>
  <c r="V10" i="21"/>
  <c r="U10" i="21"/>
  <c r="B9" i="20"/>
  <c r="J12" i="20"/>
  <c r="A8" i="20"/>
  <c r="T10" i="20"/>
  <c r="W9" i="20"/>
  <c r="V9" i="20"/>
  <c r="U9" i="20"/>
  <c r="W5" i="19"/>
  <c r="V5" i="19"/>
  <c r="U5" i="19"/>
  <c r="U11" i="22" l="1"/>
  <c r="V11" i="22"/>
  <c r="T11" i="20"/>
  <c r="W10" i="20"/>
  <c r="V10" i="20"/>
  <c r="U10" i="20"/>
  <c r="B10" i="20"/>
  <c r="A9" i="20"/>
  <c r="B11" i="20" l="1"/>
  <c r="A10" i="20"/>
  <c r="T12" i="20"/>
  <c r="W11" i="20"/>
  <c r="U11" i="20"/>
  <c r="V11" i="20"/>
  <c r="W12" i="20" l="1"/>
  <c r="V12" i="20"/>
  <c r="U12" i="20"/>
  <c r="B12" i="20"/>
  <c r="A12" i="20" s="1"/>
  <c r="A11" i="20"/>
</calcChain>
</file>

<file path=xl/sharedStrings.xml><?xml version="1.0" encoding="utf-8"?>
<sst xmlns="http://schemas.openxmlformats.org/spreadsheetml/2006/main" count="875" uniqueCount="208">
  <si>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</si>
  <si>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</si>
  <si>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</si>
  <si>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</si>
  <si>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</si>
  <si>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</si>
  <si>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</si>
  <si>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</si>
  <si>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</si>
  <si>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</si>
  <si>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</si>
  <si>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</si>
  <si>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</si>
  <si>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</si>
  <si>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</si>
  <si>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</si>
  <si>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</si>
  <si>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</si>
  <si>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</si>
  <si>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</si>
  <si>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</si>
  <si>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</si>
  <si>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</si>
  <si>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</si>
  <si>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</si>
  <si>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</si>
  <si>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</si>
  <si>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</si>
  <si>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</si>
  <si>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</si>
  <si>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</si>
  <si>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</si>
  <si>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</si>
  <si>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</si>
  <si>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</si>
  <si>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</si>
  <si>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</si>
  <si>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</si>
  <si>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</si>
  <si>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</si>
  <si>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</si>
  <si>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</si>
  <si>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</si>
  <si>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</si>
  <si>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</si>
  <si>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</si>
  <si>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</si>
  <si>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</si>
  <si>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</si>
  <si>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</si>
  <si>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</si>
  <si>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</si>
  <si>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</si>
  <si>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</si>
  <si>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</si>
  <si>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</si>
  <si>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</si>
  <si>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</si>
  <si>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</si>
  <si>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</si>
  <si>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</si>
  <si>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</si>
  <si>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</si>
  <si>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</si>
  <si>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</si>
  <si>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</si>
  <si>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</si>
  <si>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</si>
  <si>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</si>
  <si>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</si>
  <si>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</si>
  <si>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</si>
  <si>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</si>
  <si>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</si>
  <si>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</si>
  <si>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</si>
  <si>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</si>
  <si>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</si>
  <si>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</si>
  <si>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</si>
  <si>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</si>
  <si>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</si>
  <si>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</si>
  <si>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</si>
  <si>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</si>
  <si>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</si>
  <si>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</si>
  <si>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</si>
  <si>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</si>
  <si>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</si>
  <si>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</si>
  <si>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</si>
  <si>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</si>
  <si>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</si>
  <si>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</si>
  <si>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</si>
  <si>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</si>
  <si>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</si>
  <si>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</si>
  <si>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</si>
  <si>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</si>
  <si>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</si>
  <si>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</si>
  <si>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</si>
  <si>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</si>
  <si>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</si>
  <si>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</si>
  <si>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</si>
  <si>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</si>
  <si>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</si>
  <si>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</si>
  <si>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</si>
  <si>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</si>
  <si>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</si>
  <si>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</si>
  <si>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</si>
  <si>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</si>
  <si>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</si>
  <si>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</si>
  <si>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</si>
  <si>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</si>
  <si>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</si>
  <si>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</si>
  <si>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</si>
  <si>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</si>
  <si>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</si>
  <si>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</si>
  <si>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</si>
  <si>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</si>
  <si>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</si>
  <si>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</si>
  <si>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</si>
  <si>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</si>
  <si>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</si>
  <si>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</si>
  <si>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</si>
  <si>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</si>
  <si>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</si>
  <si>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</si>
  <si>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</si>
  <si>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</si>
  <si>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</si>
  <si>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</si>
  <si>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</si>
  <si>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</si>
  <si>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</si>
  <si>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</si>
  <si>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</si>
  <si>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</si>
  <si>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</si>
  <si>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</si>
  <si>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</si>
  <si>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</si>
  <si>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</si>
  <si>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</si>
  <si>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</si>
  <si>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</si>
  <si>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</si>
  <si>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</si>
  <si>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</si>
  <si>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</si>
  <si>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</si>
  <si>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</si>
  <si>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</si>
  <si>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</si>
  <si>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</si>
  <si>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</si>
  <si>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</si>
  <si>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</si>
  <si>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</si>
  <si>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</si>
  <si>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</si>
  <si>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</si>
  <si>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</si>
  <si>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</si>
  <si>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</si>
  <si>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</si>
  <si>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</si>
  <si>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</si>
  <si>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</si>
  <si>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</si>
  <si>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</si>
  <si>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</si>
  <si>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</si>
  <si>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</si>
  <si>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</si>
  <si>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</si>
  <si>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</si>
  <si>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</si>
  <si>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</si>
  <si>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</si>
  <si>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  <phoneticPr fontId="1"/>
  </si>
  <si>
    <t>たか</t>
    <phoneticPr fontId="1"/>
  </si>
  <si>
    <t>いちかわ</t>
    <phoneticPr fontId="1"/>
  </si>
  <si>
    <t>T</t>
  </si>
  <si>
    <t>流局</t>
    <phoneticPr fontId="1"/>
  </si>
  <si>
    <t>ツモ</t>
  </si>
  <si>
    <t>ツモ支払</t>
  </si>
  <si>
    <t>放銃</t>
  </si>
  <si>
    <t>ロン</t>
  </si>
  <si>
    <t>*</t>
  </si>
  <si>
    <t>52</t>
  </si>
  <si>
    <t>01</t>
  </si>
  <si>
    <t>チョンボ</t>
  </si>
  <si>
    <t>ただ</t>
    <phoneticPr fontId="1"/>
  </si>
  <si>
    <t>N</t>
  </si>
  <si>
    <t>51</t>
  </si>
  <si>
    <t>だいち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</si>
</sst>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191</v>
      </c>
      <c r="G1" s="85"/>
      <c r="H1" s="85"/>
      <c r="I1" s="86"/>
      <c r="J1" s="87"/>
      <c r="K1" s="84" t="s">
        <v>192</v>
      </c>
      <c r="L1" s="85"/>
      <c r="M1" s="85"/>
      <c r="N1" s="86"/>
      <c r="O1" s="87"/>
      <c r="P1" s="84" t="s">
        <v>193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れんたろう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たか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いちかわ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たか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195</v>
      </c>
      <c r="G4" s="9">
        <v>0</v>
      </c>
      <c r="H4" s="9"/>
      <c r="I4" s="48"/>
      <c r="J4" s="21">
        <f>IF(COUNTA($F4,$K4,$P4)&gt;0,J3+SUM(G4:I4),"")</f>
        <v>35000</v>
      </c>
      <c r="K4" s="8" t="s">
        <v>195</v>
      </c>
      <c r="L4" s="9">
        <v>0</v>
      </c>
      <c r="M4" s="9"/>
      <c r="N4" s="48"/>
      <c r="O4" s="21">
        <f>IF(COUNTA($F4,$K4,$P4)&gt;0,O3+SUM(L4:N4),"")</f>
        <v>35000</v>
      </c>
      <c r="P4" s="8" t="s">
        <v>195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5</v>
      </c>
      <c r="V4" s="54">
        <f>IF($O4="","",ROUND(($O4-$O$3)/1000,1)+(_xlfn.RANK.AVG($O4,($J4,$O4,$T4),1)-2)*10)</f>
        <v>5</v>
      </c>
      <c r="W4" s="55">
        <f>IF($T4="","",ROUND(($T4-$T$3)/1000,1)+(_xlfn.RANK.AVG($T4,($J4,$O4,$T4),1)-2)*10)</f>
        <v>-11</v>
      </c>
      <c r="Y4" s="8" t="s">
        <v>194</v>
      </c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194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tr">
        <f>IF($F$1="","",$F$1)</f>
        <v>れんたろう</v>
      </c>
      <c r="F5" s="8" t="s">
        <v>196</v>
      </c>
      <c r="G5" s="9">
        <v>1600</v>
      </c>
      <c r="H5" s="9">
        <v>2000</v>
      </c>
      <c r="I5" s="48">
        <v>1000</v>
      </c>
      <c r="J5" s="21">
        <f t="shared" ref="J5:J30" si="2">IF(COUNTA($F5,$K5,$P5)&gt;0,J4+SUM(G5:I5),"")</f>
        <v>39600</v>
      </c>
      <c r="K5" s="8" t="s">
        <v>197</v>
      </c>
      <c r="L5" s="9">
        <v>-800</v>
      </c>
      <c r="M5" s="9"/>
      <c r="N5" s="48">
        <v>-500</v>
      </c>
      <c r="O5" s="21">
        <f t="shared" ref="O5:O30" si="3">IF(COUNTA($F5,$K5,$P5)&gt;0,O4+SUM(L5:N5),"")</f>
        <v>33700</v>
      </c>
      <c r="P5" s="8" t="s">
        <v>197</v>
      </c>
      <c r="Q5" s="9">
        <v>-800</v>
      </c>
      <c r="R5" s="9">
        <v>-1000</v>
      </c>
      <c r="S5" s="48">
        <v>-500</v>
      </c>
      <c r="T5" s="21">
        <f t="shared" ref="T5:T30" si="4">IF(COUNTA($F5,$K5,$P5)&gt;0,T4+SUM(Q5:S5),"")</f>
        <v>31700</v>
      </c>
      <c r="U5" s="53">
        <f>IF($J5="","",ROUND(($J5-$J$3)/1000,1)+(_xlfn.RANK.AVG($J5,($J5,$O5,$T5),1)-2)*10)</f>
        <v>14.6</v>
      </c>
      <c r="V5" s="54">
        <f>IF($O5="","",ROUND(($O5-$O$3)/1000,1)+(_xlfn.RANK.AVG($O5,($J5,$O5,$T5),1)-2)*10)</f>
        <v>-1.3</v>
      </c>
      <c r="W5" s="55">
        <f>IF($T5="","",ROUND(($T5-$T$3)/1000,1)+(_xlfn.RANK.AVG($T5,($J5,$O5,$T5),1)-2)*10)</f>
        <v>-13.3</v>
      </c>
      <c r="Y5" s="8"/>
      <c r="Z5" s="34"/>
      <c r="AA5" s="26"/>
      <c r="AB5" s="26"/>
      <c r="AC5" s="26">
        <v>1</v>
      </c>
      <c r="AD5" s="30">
        <v>30</v>
      </c>
      <c r="AE5" s="40" t="s">
        <v>85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tr">
        <f>IF($F$1="","",$F$1)</f>
        <v>れんたろう</v>
      </c>
      <c r="F6" s="8" t="s">
        <v>196</v>
      </c>
      <c r="G6" s="9">
        <v>6000</v>
      </c>
      <c r="H6" s="9"/>
      <c r="I6" s="48">
        <v>2000</v>
      </c>
      <c r="J6" s="21">
        <f t="shared" si="2"/>
        <v>47600</v>
      </c>
      <c r="K6" s="8" t="s">
        <v>197</v>
      </c>
      <c r="L6" s="9">
        <v>-3000</v>
      </c>
      <c r="M6" s="9"/>
      <c r="N6" s="48">
        <v>-1000</v>
      </c>
      <c r="O6" s="21">
        <f t="shared" si="3"/>
        <v>29700</v>
      </c>
      <c r="P6" s="8" t="s">
        <v>197</v>
      </c>
      <c r="Q6" s="9">
        <v>-3000</v>
      </c>
      <c r="R6" s="9"/>
      <c r="S6" s="48">
        <v>-1000</v>
      </c>
      <c r="T6" s="21">
        <f t="shared" si="4"/>
        <v>27700</v>
      </c>
      <c r="U6" s="53">
        <f>IF($J6="","",ROUND(($J6-$J$3)/1000,1)+(_xlfn.RANK.AVG($J6,($J6,$O6,$T6),1)-2)*10)</f>
        <v>22.6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-17.3</v>
      </c>
      <c r="Y6" s="8"/>
      <c r="Z6" s="34"/>
      <c r="AA6" s="26"/>
      <c r="AB6" s="26"/>
      <c r="AC6" s="26">
        <v>3</v>
      </c>
      <c r="AD6" s="30">
        <v>30</v>
      </c>
      <c r="AE6" s="40" t="s">
        <v>82</v>
      </c>
      <c r="AF6" s="41" t="s">
        <v>84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tr">
        <f>IF($F$1="","",$F$1)</f>
        <v>れんたろう</v>
      </c>
      <c r="F7" s="8" t="s">
        <v>198</v>
      </c>
      <c r="G7" s="9">
        <v>-12000</v>
      </c>
      <c r="H7" s="9"/>
      <c r="I7" s="48">
        <v>-3000</v>
      </c>
      <c r="J7" s="21">
        <f t="shared" si="2"/>
        <v>32600</v>
      </c>
      <c r="K7" s="8"/>
      <c r="L7" s="9"/>
      <c r="M7" s="9"/>
      <c r="N7" s="48"/>
      <c r="O7" s="21">
        <f t="shared" si="3"/>
        <v>29700</v>
      </c>
      <c r="P7" s="8" t="s">
        <v>199</v>
      </c>
      <c r="Q7" s="9">
        <v>12000</v>
      </c>
      <c r="R7" s="9"/>
      <c r="S7" s="48">
        <v>3000</v>
      </c>
      <c r="T7" s="21">
        <f t="shared" si="4"/>
        <v>42700</v>
      </c>
      <c r="U7" s="53">
        <f>IF($J7="","",ROUND(($J7-$J$3)/1000,1)+(_xlfn.RANK.AVG($J7,($J7,$O7,$T7),1)-2)*10)</f>
        <v>-2.4</v>
      </c>
      <c r="V7" s="54">
        <f>IF($O7="","",ROUND(($O7-$O$3)/1000,1)+(_xlfn.RANK.AVG($O7,($J7,$O7,$T7),1)-2)*10)</f>
        <v>-15.3</v>
      </c>
      <c r="W7" s="55">
        <f>IF($T7="","",ROUND(($T7-$T$3)/1000,1)+(_xlfn.RANK.AVG($T7,($J7,$O7,$T7),1)-2)*10)</f>
        <v>17.7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7</v>
      </c>
      <c r="BT7" s="30" t="s">
        <v>200</v>
      </c>
      <c r="BU7" s="40" t="s">
        <v>106</v>
      </c>
      <c r="BV7" s="41" t="s">
        <v>79</v>
      </c>
      <c r="BW7" s="41" t="s">
        <v>85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tr">
        <f>IF($K$1="","",$K$1)</f>
        <v>たか</v>
      </c>
      <c r="F8" s="8"/>
      <c r="G8" s="9"/>
      <c r="H8" s="9"/>
      <c r="I8" s="48"/>
      <c r="J8" s="21">
        <f t="shared" si="2"/>
        <v>32600</v>
      </c>
      <c r="K8" s="8" t="s">
        <v>198</v>
      </c>
      <c r="L8" s="9">
        <v>-8000</v>
      </c>
      <c r="M8" s="9">
        <v>-1000</v>
      </c>
      <c r="N8" s="48">
        <v>0</v>
      </c>
      <c r="O8" s="21">
        <f t="shared" si="3"/>
        <v>20700</v>
      </c>
      <c r="P8" s="8" t="s">
        <v>199</v>
      </c>
      <c r="Q8" s="9">
        <v>8000</v>
      </c>
      <c r="R8" s="9">
        <v>1000</v>
      </c>
      <c r="S8" s="48">
        <v>0</v>
      </c>
      <c r="T8" s="21">
        <f t="shared" si="4"/>
        <v>51700</v>
      </c>
      <c r="U8" s="53">
        <f>IF($J8="","",ROUND(($J8-$J$3)/1000,1)+(_xlfn.RANK.AVG($J8,($J8,$O8,$T8),1)-2)*10)</f>
        <v>-2.4</v>
      </c>
      <c r="V8" s="54">
        <f>IF($O8="","",ROUND(($O8-$O$3)/1000,1)+(_xlfn.RANK.AVG($O8,($J8,$O8,$T8),1)-2)*10)</f>
        <v>-24.3</v>
      </c>
      <c r="W8" s="55">
        <f>IF($T8="","",ROUND(($T8-$T$3)/1000,1)+(_xlfn.RANK.AVG($T8,($J8,$O8,$T8),1)-2)*10)</f>
        <v>26.7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4</v>
      </c>
      <c r="BT8" s="30">
        <v>60</v>
      </c>
      <c r="BU8" s="40" t="s">
        <v>104</v>
      </c>
      <c r="BV8" s="41" t="s">
        <v>86</v>
      </c>
      <c r="BW8" s="41" t="s">
        <v>86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tr">
        <f>IF($P$1="","",$P$1)</f>
        <v>いちかわ</v>
      </c>
      <c r="F9" s="8" t="s">
        <v>199</v>
      </c>
      <c r="G9" s="9">
        <v>5200</v>
      </c>
      <c r="H9" s="9"/>
      <c r="I9" s="48">
        <v>0</v>
      </c>
      <c r="J9" s="21">
        <f t="shared" si="2"/>
        <v>37800</v>
      </c>
      <c r="K9" s="8"/>
      <c r="L9" s="9"/>
      <c r="M9" s="9"/>
      <c r="N9" s="48"/>
      <c r="O9" s="21">
        <f t="shared" si="3"/>
        <v>20700</v>
      </c>
      <c r="P9" s="8" t="s">
        <v>198</v>
      </c>
      <c r="Q9" s="9">
        <v>-5200</v>
      </c>
      <c r="R9" s="9"/>
      <c r="S9" s="48">
        <v>0</v>
      </c>
      <c r="T9" s="21">
        <f t="shared" si="4"/>
        <v>46500</v>
      </c>
      <c r="U9" s="53">
        <f>IF($J9="","",ROUND(($J9-$J$3)/1000,1)+(_xlfn.RANK.AVG($J9,($J9,$O9,$T9),1)-2)*10)</f>
        <v>2.8</v>
      </c>
      <c r="V9" s="54">
        <f>IF($O9="","",ROUND(($O9-$O$3)/1000,1)+(_xlfn.RANK.AVG($O9,($J9,$O9,$T9),1)-2)*10)</f>
        <v>-24.3</v>
      </c>
      <c r="W9" s="55">
        <f>IF($T9="","",ROUND(($T9-$T$3)/1000,1)+(_xlfn.RANK.AVG($T9,($J9,$O9,$T9),1)-2)*10)</f>
        <v>21.5</v>
      </c>
      <c r="Y9" s="8"/>
      <c r="Z9" s="34"/>
      <c r="AA9" s="26"/>
      <c r="AB9" s="26">
        <v>1</v>
      </c>
      <c r="AC9" s="26">
        <v>3</v>
      </c>
      <c r="AD9" s="30">
        <v>40</v>
      </c>
      <c r="AE9" s="40" t="s">
        <v>86</v>
      </c>
      <c r="AF9" s="41" t="s">
        <v>104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tr">
        <f>IF($F$1="","",$F$1)</f>
        <v>れんたろう</v>
      </c>
      <c r="F10" s="8" t="s">
        <v>199</v>
      </c>
      <c r="G10" s="9">
        <v>5800</v>
      </c>
      <c r="H10" s="9">
        <v>1000</v>
      </c>
      <c r="I10" s="48">
        <v>0</v>
      </c>
      <c r="J10" s="21">
        <f t="shared" si="2"/>
        <v>44600</v>
      </c>
      <c r="K10" s="8" t="s">
        <v>198</v>
      </c>
      <c r="L10" s="9">
        <v>-5800</v>
      </c>
      <c r="M10" s="9">
        <v>-1000</v>
      </c>
      <c r="N10" s="48">
        <v>0</v>
      </c>
      <c r="O10" s="21">
        <f t="shared" si="3"/>
        <v>13900</v>
      </c>
      <c r="P10" s="8"/>
      <c r="Q10" s="9"/>
      <c r="R10" s="9"/>
      <c r="S10" s="48"/>
      <c r="T10" s="21">
        <f t="shared" si="4"/>
        <v>46500</v>
      </c>
      <c r="U10" s="53">
        <f>IF($J10="","",ROUND(($J10-$J$3)/1000,1)+(_xlfn.RANK.AVG($J10,($J10,$O10,$T10),1)-2)*10)</f>
        <v>9.6</v>
      </c>
      <c r="V10" s="54">
        <f>IF($O10="","",ROUND(($O10-$O$3)/1000,1)+(_xlfn.RANK.AVG($O10,($J10,$O10,$T10),1)-2)*10)</f>
        <v>-31.1</v>
      </c>
      <c r="W10" s="55">
        <f>IF($T10="","",ROUND(($T10-$T$3)/1000,1)+(_xlfn.RANK.AVG($T10,($J10,$O10,$T10),1)-2)*10)</f>
        <v>21.5</v>
      </c>
      <c r="Y10" s="8"/>
      <c r="Z10" s="34"/>
      <c r="AA10" s="26"/>
      <c r="AB10" s="26">
        <v>1</v>
      </c>
      <c r="AC10" s="26">
        <v>3</v>
      </c>
      <c r="AD10" s="30">
        <v>30</v>
      </c>
      <c r="AE10" s="40" t="s">
        <v>86</v>
      </c>
      <c r="AF10" s="41" t="s">
        <v>201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tr">
        <f>IF($F$1="","",$F$1)</f>
        <v>れんたろう</v>
      </c>
      <c r="F11" s="8" t="s">
        <v>199</v>
      </c>
      <c r="G11" s="9">
        <v>12000</v>
      </c>
      <c r="H11" s="9">
        <v>1000</v>
      </c>
      <c r="I11" s="48">
        <v>1000</v>
      </c>
      <c r="J11" s="21">
        <f t="shared" si="2"/>
        <v>58600</v>
      </c>
      <c r="K11" s="8" t="s">
        <v>198</v>
      </c>
      <c r="L11" s="9">
        <v>-12000</v>
      </c>
      <c r="M11" s="9"/>
      <c r="N11" s="48">
        <v>-1000</v>
      </c>
      <c r="O11" s="21">
        <f t="shared" si="3"/>
        <v>900</v>
      </c>
      <c r="P11" s="8"/>
      <c r="Q11" s="9"/>
      <c r="R11" s="9">
        <v>-1000</v>
      </c>
      <c r="S11" s="48"/>
      <c r="T11" s="21">
        <f t="shared" si="4"/>
        <v>45500</v>
      </c>
      <c r="U11" s="53">
        <f>IF($J11="","",ROUND(($J11-$J$3)/1000,1)+(_xlfn.RANK.AVG($J11,($J11,$O11,$T11),1)-2)*10)</f>
        <v>33.6</v>
      </c>
      <c r="V11" s="54">
        <f>IF($O11="","",ROUND(($O11-$O$3)/1000,1)+(_xlfn.RANK.AVG($O11,($J11,$O11,$T11),1)-2)*10)</f>
        <v>-44.1</v>
      </c>
      <c r="W11" s="55">
        <f>IF($T11="","",ROUND(($T11-$T$3)/1000,1)+(_xlfn.RANK.AVG($T11,($J11,$O11,$T11),1)-2)*10)</f>
        <v>10.5</v>
      </c>
      <c r="Y11" s="8"/>
      <c r="Z11" s="34"/>
      <c r="AA11" s="26"/>
      <c r="AB11" s="26"/>
      <c r="AC11" s="26">
        <v>5</v>
      </c>
      <c r="AD11" s="30" t="s">
        <v>200</v>
      </c>
      <c r="AE11" s="40" t="s">
        <v>79</v>
      </c>
      <c r="AF11" s="41" t="s">
        <v>79</v>
      </c>
      <c r="AG11" s="41" t="s">
        <v>101</v>
      </c>
      <c r="AH11" s="41" t="s">
        <v>201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tr">
        <f>IF($F$1="","",$F$1)</f>
        <v>れんたろう</v>
      </c>
      <c r="F12" s="8"/>
      <c r="G12" s="9"/>
      <c r="H12" s="9"/>
      <c r="I12" s="48"/>
      <c r="J12" s="21">
        <f t="shared" si="2"/>
        <v>58600</v>
      </c>
      <c r="K12" s="8" t="s">
        <v>198</v>
      </c>
      <c r="L12" s="9">
        <v>-7700</v>
      </c>
      <c r="M12" s="9"/>
      <c r="N12" s="48">
        <v>-2000</v>
      </c>
      <c r="O12" s="21">
        <f t="shared" si="3"/>
        <v>-8800</v>
      </c>
      <c r="P12" s="8" t="s">
        <v>199</v>
      </c>
      <c r="Q12" s="9">
        <v>7700</v>
      </c>
      <c r="R12" s="9"/>
      <c r="S12" s="48">
        <v>2000</v>
      </c>
      <c r="T12" s="21">
        <f t="shared" si="4"/>
        <v>55200</v>
      </c>
      <c r="U12" s="53">
        <f>IF($J12="","",ROUND(($J12-$J$3)/1000,1)+(_xlfn.RANK.AVG($J12,($J12,$O12,$T12),1)-2)*10)</f>
        <v>33.6</v>
      </c>
      <c r="V12" s="54">
        <f>IF($O12="","",ROUND(($O12-$O$3)/1000,1)+(_xlfn.RANK.AVG($O12,($J12,$O12,$T12),1)-2)*10)</f>
        <v>-53.8</v>
      </c>
      <c r="W12" s="55">
        <f>IF($T12="","",ROUND(($T12-$T$3)/1000,1)+(_xlfn.RANK.AVG($T12,($J12,$O12,$T12),1)-2)*10)</f>
        <v>20.2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>
        <v>1</v>
      </c>
      <c r="BR12" s="26"/>
      <c r="BS12" s="26">
        <v>4</v>
      </c>
      <c r="BT12" s="30">
        <v>30</v>
      </c>
      <c r="BU12" s="40" t="s">
        <v>202</v>
      </c>
      <c r="BV12" s="41" t="s">
        <v>83</v>
      </c>
      <c r="BW12" s="41" t="s">
        <v>80</v>
      </c>
      <c r="BX12" s="41" t="s">
        <v>80</v>
      </c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6C7718E-8A22-4691-A078-4BCA85656262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604CF-7485-44CE-AA5B-B4F98405D2E5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191</v>
      </c>
      <c r="G1" s="85"/>
      <c r="H1" s="85"/>
      <c r="I1" s="86"/>
      <c r="J1" s="87"/>
      <c r="K1" s="84" t="s">
        <v>193</v>
      </c>
      <c r="L1" s="85"/>
      <c r="M1" s="85"/>
      <c r="N1" s="86"/>
      <c r="O1" s="87"/>
      <c r="P1" s="84" t="s">
        <v>192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れんたろう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いちかわ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たか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いちかわ</v>
      </c>
      <c r="W2" s="16" t="str">
        <f>$P$1</f>
        <v>たか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れんたろう</v>
      </c>
      <c r="F4" s="8" t="s">
        <v>197</v>
      </c>
      <c r="G4" s="9">
        <v>-1700</v>
      </c>
      <c r="H4" s="9"/>
      <c r="I4" s="48">
        <v>0</v>
      </c>
      <c r="J4" s="21">
        <f>IF(COUNTA($F4,$K4,$P4)&gt;0,J3+SUM(G4:I4),"")</f>
        <v>33300</v>
      </c>
      <c r="K4" s="8" t="s">
        <v>196</v>
      </c>
      <c r="L4" s="9">
        <v>2800</v>
      </c>
      <c r="M4" s="9"/>
      <c r="N4" s="48">
        <v>0</v>
      </c>
      <c r="O4" s="21">
        <f>IF(COUNTA($F4,$K4,$P4)&gt;0,O3+SUM(L4:N4),"")</f>
        <v>37800</v>
      </c>
      <c r="P4" s="8" t="s">
        <v>197</v>
      </c>
      <c r="Q4" s="9">
        <v>-1100</v>
      </c>
      <c r="R4" s="9"/>
      <c r="S4" s="48">
        <v>0</v>
      </c>
      <c r="T4" s="21">
        <f>IF(COUNTA($F4,$K4,$P4)&gt;0,T3+SUM(Q4:S4),"")</f>
        <v>33900</v>
      </c>
      <c r="U4" s="53">
        <f>IF($J4="","",ROUND(($J4-$J$3)/1000,1)+(_xlfn.RANK.AVG($J4,($J4,$O4,$T4),1)-2)*10)</f>
        <v>-11.7</v>
      </c>
      <c r="V4" s="54">
        <f>IF($O4="","",ROUND(($O4-$O$3)/1000,1)+(_xlfn.RANK.AVG($O4,($J4,$O4,$T4),1)-2)*10)</f>
        <v>12.8</v>
      </c>
      <c r="W4" s="55">
        <f>IF($T4="","",ROUND(($T4-$T$3)/1000,1)+(_xlfn.RANK.AVG($T4,($J4,$O4,$T4),1)-2)*10)</f>
        <v>-1.1000000000000001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3</v>
      </c>
      <c r="AY4" s="30">
        <v>20</v>
      </c>
      <c r="AZ4" s="40" t="s">
        <v>202</v>
      </c>
      <c r="BA4" s="41" t="s">
        <v>83</v>
      </c>
      <c r="BB4" s="41" t="s">
        <v>82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203</v>
      </c>
      <c r="G5" s="9">
        <v>-10000</v>
      </c>
      <c r="H5" s="9">
        <v>-1000</v>
      </c>
      <c r="I5" s="48"/>
      <c r="J5" s="21">
        <f t="shared" ref="J5:J30" si="2">IF(COUNTA($F5,$K5,$P5)&gt;0,J4+SUM(G5:I5),"")</f>
        <v>22300</v>
      </c>
      <c r="K5" s="8" t="s">
        <v>203</v>
      </c>
      <c r="L5" s="9">
        <v>5000</v>
      </c>
      <c r="M5" s="9"/>
      <c r="N5" s="48"/>
      <c r="O5" s="21">
        <f t="shared" ref="O5:O30" si="3">IF(COUNTA($F5,$K5,$P5)&gt;0,O4+SUM(L5:N5),"")</f>
        <v>42800</v>
      </c>
      <c r="P5" s="8" t="s">
        <v>203</v>
      </c>
      <c r="Q5" s="9">
        <v>5000</v>
      </c>
      <c r="R5" s="9"/>
      <c r="S5" s="48"/>
      <c r="T5" s="21">
        <f t="shared" ref="T5:T30" si="4">IF(COUNTA($F5,$K5,$P5)&gt;0,T4+SUM(Q5:S5),"")</f>
        <v>38900</v>
      </c>
      <c r="U5" s="53">
        <f>IF($J5="","",ROUND(($J5-$J$3)/1000,1)+(_xlfn.RANK.AVG($J5,($J5,$O5,$T5),1)-2)*10)</f>
        <v>-22.7</v>
      </c>
      <c r="V5" s="54">
        <f>IF($O5="","",ROUND(($O5-$O$3)/1000,1)+(_xlfn.RANK.AVG($O5,($J5,$O5,$T5),1)-2)*10)</f>
        <v>17.8</v>
      </c>
      <c r="W5" s="55">
        <f>IF($T5="","",ROUND(($T5-$T$3)/1000,1)+(_xlfn.RANK.AVG($T5,($J5,$O5,$T5),1)-2)*10)</f>
        <v>3.9</v>
      </c>
      <c r="Y5" s="8"/>
      <c r="Z5" s="34">
        <v>1</v>
      </c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1</v>
      </c>
      <c r="E6" s="4" t="str">
        <f>IF($K$1="","",$K$1)</f>
        <v>いちかわ</v>
      </c>
      <c r="F6" s="8" t="s">
        <v>198</v>
      </c>
      <c r="G6" s="9">
        <v>-7700</v>
      </c>
      <c r="H6" s="9"/>
      <c r="I6" s="48">
        <v>0</v>
      </c>
      <c r="J6" s="21">
        <f t="shared" si="2"/>
        <v>14600</v>
      </c>
      <c r="K6" s="8"/>
      <c r="L6" s="9"/>
      <c r="M6" s="9"/>
      <c r="N6" s="48"/>
      <c r="O6" s="21">
        <f t="shared" si="3"/>
        <v>42800</v>
      </c>
      <c r="P6" s="8" t="s">
        <v>199</v>
      </c>
      <c r="Q6" s="9">
        <v>7700</v>
      </c>
      <c r="R6" s="9">
        <v>1000</v>
      </c>
      <c r="S6" s="48">
        <v>0</v>
      </c>
      <c r="T6" s="21">
        <f t="shared" si="4"/>
        <v>47600</v>
      </c>
      <c r="U6" s="53">
        <f>IF($J6="","",ROUND(($J6-$J$3)/1000,1)+(_xlfn.RANK.AVG($J6,($J6,$O6,$T6),1)-2)*10)</f>
        <v>-30.4</v>
      </c>
      <c r="V6" s="54">
        <f>IF($O6="","",ROUND(($O6-$O$3)/1000,1)+(_xlfn.RANK.AVG($O6,($J6,$O6,$T6),1)-2)*10)</f>
        <v>7.8</v>
      </c>
      <c r="W6" s="55">
        <f>IF($T6="","",ROUND(($T6-$T$3)/1000,1)+(_xlfn.RANK.AVG($T6,($J6,$O6,$T6),1)-2)*10)</f>
        <v>22.6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4</v>
      </c>
      <c r="BT6" s="30">
        <v>30</v>
      </c>
      <c r="BU6" s="40" t="s">
        <v>202</v>
      </c>
      <c r="BV6" s="41" t="s">
        <v>83</v>
      </c>
      <c r="BW6" s="41" t="s">
        <v>201</v>
      </c>
      <c r="BX6" s="41" t="s">
        <v>85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たか</v>
      </c>
      <c r="F7" s="8" t="s">
        <v>197</v>
      </c>
      <c r="G7" s="9">
        <v>-800</v>
      </c>
      <c r="H7" s="9"/>
      <c r="I7" s="48">
        <v>0</v>
      </c>
      <c r="J7" s="21">
        <f t="shared" si="2"/>
        <v>13800</v>
      </c>
      <c r="K7" s="8" t="s">
        <v>196</v>
      </c>
      <c r="L7" s="9">
        <v>2100</v>
      </c>
      <c r="M7" s="9"/>
      <c r="N7" s="48">
        <v>0</v>
      </c>
      <c r="O7" s="21">
        <f t="shared" si="3"/>
        <v>44900</v>
      </c>
      <c r="P7" s="8" t="s">
        <v>197</v>
      </c>
      <c r="Q7" s="9">
        <v>-1300</v>
      </c>
      <c r="R7" s="9"/>
      <c r="S7" s="48">
        <v>0</v>
      </c>
      <c r="T7" s="21">
        <f t="shared" si="4"/>
        <v>46300</v>
      </c>
      <c r="U7" s="53">
        <f>IF($J7="","",ROUND(($J7-$J$3)/1000,1)+(_xlfn.RANK.AVG($J7,($J7,$O7,$T7),1)-2)*10)</f>
        <v>-31.2</v>
      </c>
      <c r="V7" s="54">
        <f>IF($O7="","",ROUND(($O7-$O$3)/1000,1)+(_xlfn.RANK.AVG($O7,($J7,$O7,$T7),1)-2)*10)</f>
        <v>9.9</v>
      </c>
      <c r="W7" s="55">
        <f>IF($T7="","",ROUND(($T7-$T$3)/1000,1)+(_xlfn.RANK.AVG($T7,($J7,$O7,$T7),1)-2)*10)</f>
        <v>21.3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れんたろう</v>
      </c>
      <c r="F8" s="8" t="s">
        <v>197</v>
      </c>
      <c r="G8" s="9">
        <v>-1300</v>
      </c>
      <c r="H8" s="9"/>
      <c r="I8" s="48">
        <v>0</v>
      </c>
      <c r="J8" s="21">
        <f t="shared" si="2"/>
        <v>12500</v>
      </c>
      <c r="K8" s="8" t="s">
        <v>197</v>
      </c>
      <c r="L8" s="9">
        <v>-800</v>
      </c>
      <c r="M8" s="9"/>
      <c r="N8" s="48">
        <v>0</v>
      </c>
      <c r="O8" s="21">
        <f t="shared" si="3"/>
        <v>44100</v>
      </c>
      <c r="P8" s="8" t="s">
        <v>196</v>
      </c>
      <c r="Q8" s="9">
        <v>2100</v>
      </c>
      <c r="R8" s="9"/>
      <c r="S8" s="48">
        <v>0</v>
      </c>
      <c r="T8" s="21">
        <f t="shared" si="4"/>
        <v>48400</v>
      </c>
      <c r="U8" s="53">
        <f>IF($J8="","",ROUND(($J8-$J$3)/1000,1)+(_xlfn.RANK.AVG($J8,($J8,$O8,$T8),1)-2)*10)</f>
        <v>-32.5</v>
      </c>
      <c r="V8" s="54">
        <f>IF($O8="","",ROUND(($O8-$O$3)/1000,1)+(_xlfn.RANK.AVG($O8,($J8,$O8,$T8),1)-2)*10)</f>
        <v>9.1</v>
      </c>
      <c r="W8" s="55">
        <f>IF($T8="","",ROUND(($T8-$T$3)/1000,1)+(_xlfn.RANK.AVG($T8,($J8,$O8,$T8),1)-2)*10)</f>
        <v>23.4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2</v>
      </c>
      <c r="BT8" s="30">
        <v>30</v>
      </c>
      <c r="BU8" s="40" t="s">
        <v>82</v>
      </c>
      <c r="BV8" s="41" t="s">
        <v>79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tr">
        <f>IF($K$1="","",$K$1)</f>
        <v>いちかわ</v>
      </c>
      <c r="F9" s="8" t="s">
        <v>197</v>
      </c>
      <c r="G9" s="9">
        <v>-800</v>
      </c>
      <c r="H9" s="9"/>
      <c r="I9" s="48">
        <v>0</v>
      </c>
      <c r="J9" s="21">
        <f t="shared" si="2"/>
        <v>11700</v>
      </c>
      <c r="K9" s="8" t="s">
        <v>197</v>
      </c>
      <c r="L9" s="9">
        <v>-1300</v>
      </c>
      <c r="M9" s="9"/>
      <c r="N9" s="48">
        <v>0</v>
      </c>
      <c r="O9" s="21">
        <f t="shared" si="3"/>
        <v>42800</v>
      </c>
      <c r="P9" s="8" t="s">
        <v>196</v>
      </c>
      <c r="Q9" s="9">
        <v>2100</v>
      </c>
      <c r="R9" s="9"/>
      <c r="S9" s="48">
        <v>0</v>
      </c>
      <c r="T9" s="21">
        <f t="shared" si="4"/>
        <v>50500</v>
      </c>
      <c r="U9" s="53">
        <f>IF($J9="","",ROUND(($J9-$J$3)/1000,1)+(_xlfn.RANK.AVG($J9,($J9,$O9,$T9),1)-2)*10)</f>
        <v>-33.299999999999997</v>
      </c>
      <c r="V9" s="54">
        <f>IF($O9="","",ROUND(($O9-$O$3)/1000,1)+(_xlfn.RANK.AVG($O9,($J9,$O9,$T9),1)-2)*10)</f>
        <v>7.8</v>
      </c>
      <c r="W9" s="55">
        <f>IF($T9="","",ROUND(($T9-$T$3)/1000,1)+(_xlfn.RANK.AVG($T9,($J9,$O9,$T9),1)-2)*10)</f>
        <v>25.5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104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たか</v>
      </c>
      <c r="F10" s="8" t="s">
        <v>197</v>
      </c>
      <c r="G10" s="9">
        <v>-1100</v>
      </c>
      <c r="H10" s="9"/>
      <c r="I10" s="48">
        <v>0</v>
      </c>
      <c r="J10" s="21">
        <f t="shared" si="2"/>
        <v>10600</v>
      </c>
      <c r="K10" s="8" t="s">
        <v>196</v>
      </c>
      <c r="L10" s="9">
        <v>2800</v>
      </c>
      <c r="M10" s="9"/>
      <c r="N10" s="48">
        <v>0</v>
      </c>
      <c r="O10" s="21">
        <f t="shared" si="3"/>
        <v>45600</v>
      </c>
      <c r="P10" s="8" t="s">
        <v>197</v>
      </c>
      <c r="Q10" s="9">
        <v>-1700</v>
      </c>
      <c r="R10" s="9"/>
      <c r="S10" s="48">
        <v>0</v>
      </c>
      <c r="T10" s="21">
        <f t="shared" si="4"/>
        <v>48800</v>
      </c>
      <c r="U10" s="53">
        <f>IF($J10="","",ROUND(($J10-$J$3)/1000,1)+(_xlfn.RANK.AVG($J10,($J10,$O10,$T10),1)-2)*10)</f>
        <v>-34.4</v>
      </c>
      <c r="V10" s="54">
        <f>IF($O10="","",ROUND(($O10-$O$3)/1000,1)+(_xlfn.RANK.AVG($O10,($J10,$O10,$T10),1)-2)*10)</f>
        <v>10.6</v>
      </c>
      <c r="W10" s="55">
        <f>IF($T10="","",ROUND(($T10-$T$3)/1000,1)+(_xlfn.RANK.AVG($T10,($J10,$O10,$T10),1)-2)*10)</f>
        <v>23.8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3</v>
      </c>
      <c r="AY10" s="30">
        <v>20</v>
      </c>
      <c r="AZ10" s="40" t="s">
        <v>202</v>
      </c>
      <c r="BA10" s="41" t="s">
        <v>82</v>
      </c>
      <c r="BB10" s="41" t="s">
        <v>83</v>
      </c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showInputMessage="1" showErrorMessage="1" sqref="K4:K30 P4:P30 F4:F30" xr:uid="{6AA6C20B-06CB-4810-A7FA-2F8CCF2C214C}">
      <formula1>"ロン,ツモ,放銃,ツモ支払,流局,チョンボ"</formula1>
    </dataValidation>
    <dataValidation type="list" allowBlank="1" showInputMessage="1" showErrorMessage="1" sqref="E4:E30" xr:uid="{C479EAD1-C2F4-4659-BEC1-689C1DB1DFE3}">
      <formula1>$U$2:$W$2</formula1>
    </dataValidation>
    <dataValidation type="list" allowBlank="1" showInputMessage="1" sqref="F1:T1" xr:uid="{EC95BC79-B9E4-401F-AFD7-1F52D533D06F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B588D-98E4-4470-A187-DBCDCF24CB22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192</v>
      </c>
      <c r="G1" s="85"/>
      <c r="H1" s="85"/>
      <c r="I1" s="86"/>
      <c r="J1" s="87"/>
      <c r="K1" s="84" t="s">
        <v>204</v>
      </c>
      <c r="L1" s="85"/>
      <c r="M1" s="85"/>
      <c r="N1" s="86"/>
      <c r="O1" s="87"/>
      <c r="P1" s="84" t="s">
        <v>193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たか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ただ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いちかわ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たか</v>
      </c>
      <c r="V2" s="76" t="str">
        <f>$K$1</f>
        <v>ただ</v>
      </c>
      <c r="W2" s="16" t="str">
        <f>$P$1</f>
        <v>いちかわ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 t="s">
        <v>199</v>
      </c>
      <c r="Q4" s="9">
        <v>12000</v>
      </c>
      <c r="R4" s="9"/>
      <c r="S4" s="48">
        <v>0</v>
      </c>
      <c r="T4" s="21">
        <f>IF(COUNTA($F4,$K4,$P4)&gt;0,T3+SUM(Q4:S4),"")</f>
        <v>47000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22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6</v>
      </c>
      <c r="BT4" s="30" t="s">
        <v>200</v>
      </c>
      <c r="BU4" s="40" t="s">
        <v>86</v>
      </c>
      <c r="BV4" s="41" t="s">
        <v>79</v>
      </c>
      <c r="BW4" s="41" t="s">
        <v>79</v>
      </c>
      <c r="BX4" s="41" t="s">
        <v>79</v>
      </c>
      <c r="BY4" s="41" t="s">
        <v>98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ただ</v>
      </c>
      <c r="F5" s="8" t="s">
        <v>198</v>
      </c>
      <c r="G5" s="9">
        <v>-5800</v>
      </c>
      <c r="H5" s="9"/>
      <c r="I5" s="48">
        <v>0</v>
      </c>
      <c r="J5" s="21">
        <f t="shared" ref="J5:J30" si="2">IF(COUNTA($F5,$K5,$P5)&gt;0,J4+SUM(G5:I5),"")</f>
        <v>29200</v>
      </c>
      <c r="K5" s="8" t="s">
        <v>199</v>
      </c>
      <c r="L5" s="9">
        <v>5800</v>
      </c>
      <c r="M5" s="9"/>
      <c r="N5" s="48">
        <v>0</v>
      </c>
      <c r="O5" s="21">
        <f t="shared" ref="O5:O30" si="3">IF(COUNTA($F5,$K5,$P5)&gt;0,O4+SUM(L5:N5),"")</f>
        <v>28800</v>
      </c>
      <c r="P5" s="8"/>
      <c r="Q5" s="9"/>
      <c r="R5" s="9"/>
      <c r="S5" s="48"/>
      <c r="T5" s="21">
        <f t="shared" ref="T5:T30" si="4">IF(COUNTA($F5,$K5,$P5)&gt;0,T4+SUM(Q5:S5),"")</f>
        <v>47000</v>
      </c>
      <c r="U5" s="53">
        <f>IF($J5="","",ROUND(($J5-$J$3)/1000,1)+(_xlfn.RANK.AVG($J5,($J5,$O5,$T5),1)-2)*10)</f>
        <v>-5.8</v>
      </c>
      <c r="V5" s="54">
        <f>IF($O5="","",ROUND(($O5-$O$3)/1000,1)+(_xlfn.RANK.AVG($O5,($J5,$O5,$T5),1)-2)*10)</f>
        <v>-16.2</v>
      </c>
      <c r="W5" s="55">
        <f>IF($T5="","",ROUND(($T5-$T$3)/1000,1)+(_xlfn.RANK.AVG($T5,($J5,$O5,$T5),1)-2)*10)</f>
        <v>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104</v>
      </c>
      <c r="BA5" s="41" t="s">
        <v>201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tr">
        <f>IF($K$1="","",$K$1)</f>
        <v>ただ</v>
      </c>
      <c r="F6" s="8" t="s">
        <v>198</v>
      </c>
      <c r="G6" s="9">
        <v>-5200</v>
      </c>
      <c r="H6" s="9"/>
      <c r="I6" s="48">
        <v>-1000</v>
      </c>
      <c r="J6" s="21">
        <f t="shared" si="2"/>
        <v>23000</v>
      </c>
      <c r="K6" s="8"/>
      <c r="L6" s="9"/>
      <c r="M6" s="9"/>
      <c r="N6" s="48"/>
      <c r="O6" s="21">
        <f t="shared" si="3"/>
        <v>28800</v>
      </c>
      <c r="P6" s="8" t="s">
        <v>199</v>
      </c>
      <c r="Q6" s="9">
        <v>5200</v>
      </c>
      <c r="R6" s="9"/>
      <c r="S6" s="48">
        <v>1000</v>
      </c>
      <c r="T6" s="21">
        <f t="shared" si="4"/>
        <v>53200</v>
      </c>
      <c r="U6" s="53">
        <f>IF($J6="","",ROUND(($J6-$J$3)/1000,1)+(_xlfn.RANK.AVG($J6,($J6,$O6,$T6),1)-2)*10)</f>
        <v>-22</v>
      </c>
      <c r="V6" s="54">
        <f>IF($O6="","",ROUND(($O6-$O$3)/1000,1)+(_xlfn.RANK.AVG($O6,($J6,$O6,$T6),1)-2)*10)</f>
        <v>-6.2</v>
      </c>
      <c r="W6" s="55">
        <f>IF($T6="","",ROUND(($T6-$T$3)/1000,1)+(_xlfn.RANK.AVG($T6,($J6,$O6,$T6),1)-2)*10)</f>
        <v>28.2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202</v>
      </c>
      <c r="BV6" s="41" t="s">
        <v>85</v>
      </c>
      <c r="BW6" s="41" t="s">
        <v>201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tr">
        <f>IF($P$1="","",$P$1)</f>
        <v>いちかわ</v>
      </c>
      <c r="F7" s="8" t="s">
        <v>197</v>
      </c>
      <c r="G7" s="9">
        <v>-800</v>
      </c>
      <c r="H7" s="9"/>
      <c r="I7" s="48">
        <v>0</v>
      </c>
      <c r="J7" s="21">
        <f t="shared" si="2"/>
        <v>22200</v>
      </c>
      <c r="K7" s="8" t="s">
        <v>196</v>
      </c>
      <c r="L7" s="9">
        <v>2100</v>
      </c>
      <c r="M7" s="9"/>
      <c r="N7" s="48">
        <v>0</v>
      </c>
      <c r="O7" s="21">
        <f t="shared" si="3"/>
        <v>30900</v>
      </c>
      <c r="P7" s="8" t="s">
        <v>197</v>
      </c>
      <c r="Q7" s="9">
        <v>-1300</v>
      </c>
      <c r="R7" s="9"/>
      <c r="S7" s="48">
        <v>0</v>
      </c>
      <c r="T7" s="21">
        <f t="shared" si="4"/>
        <v>51900</v>
      </c>
      <c r="U7" s="53">
        <f>IF($J7="","",ROUND(($J7-$J$3)/1000,1)+(_xlfn.RANK.AVG($J7,($J7,$O7,$T7),1)-2)*10)</f>
        <v>-22.8</v>
      </c>
      <c r="V7" s="54">
        <f>IF($O7="","",ROUND(($O7-$O$3)/1000,1)+(_xlfn.RANK.AVG($O7,($J7,$O7,$T7),1)-2)*10)</f>
        <v>-4.0999999999999996</v>
      </c>
      <c r="W7" s="55">
        <f>IF($T7="","",ROUND(($T7-$T$3)/1000,1)+(_xlfn.RANK.AVG($T7,($J7,$O7,$T7),1)-2)*10)</f>
        <v>26.9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2</v>
      </c>
      <c r="AY7" s="30">
        <v>30</v>
      </c>
      <c r="AZ7" s="40" t="s">
        <v>202</v>
      </c>
      <c r="BA7" s="41" t="s">
        <v>82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</v>
      </c>
      <c r="F8" s="8" t="s">
        <v>195</v>
      </c>
      <c r="G8" s="9">
        <v>0</v>
      </c>
      <c r="H8" s="9"/>
      <c r="I8" s="48"/>
      <c r="J8" s="21">
        <f t="shared" si="2"/>
        <v>22200</v>
      </c>
      <c r="K8" s="8" t="s">
        <v>195</v>
      </c>
      <c r="L8" s="9">
        <v>0</v>
      </c>
      <c r="M8" s="9"/>
      <c r="N8" s="48"/>
      <c r="O8" s="21">
        <f t="shared" si="3"/>
        <v>30900</v>
      </c>
      <c r="P8" s="8" t="s">
        <v>195</v>
      </c>
      <c r="Q8" s="9">
        <v>0</v>
      </c>
      <c r="R8" s="9"/>
      <c r="S8" s="48"/>
      <c r="T8" s="21">
        <f t="shared" si="4"/>
        <v>51900</v>
      </c>
      <c r="U8" s="53">
        <f>IF($J8="","",ROUND(($J8-$J$3)/1000,1)+(_xlfn.RANK.AVG($J8,($J8,$O8,$T8),1)-2)*10)</f>
        <v>-22.8</v>
      </c>
      <c r="V8" s="54">
        <f>IF($O8="","",ROUND(($O8-$O$3)/1000,1)+(_xlfn.RANK.AVG($O8,($J8,$O8,$T8),1)-2)*10)</f>
        <v>-4.0999999999999996</v>
      </c>
      <c r="W8" s="55">
        <f>IF($T8="","",ROUND(($T8-$T$3)/1000,1)+(_xlfn.RANK.AVG($T8,($J8,$O8,$T8),1)-2)*10)</f>
        <v>26.9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205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tr">
        <f>IF($K$1="","",$K$1)</f>
        <v>ただ</v>
      </c>
      <c r="F9" s="8" t="s">
        <v>195</v>
      </c>
      <c r="G9" s="9">
        <v>-1500</v>
      </c>
      <c r="H9" s="9"/>
      <c r="I9" s="48"/>
      <c r="J9" s="21">
        <f t="shared" si="2"/>
        <v>20700</v>
      </c>
      <c r="K9" s="8" t="s">
        <v>195</v>
      </c>
      <c r="L9" s="9">
        <v>3000</v>
      </c>
      <c r="M9" s="9"/>
      <c r="N9" s="48"/>
      <c r="O9" s="21">
        <f t="shared" si="3"/>
        <v>33900</v>
      </c>
      <c r="P9" s="8" t="s">
        <v>195</v>
      </c>
      <c r="Q9" s="9">
        <v>-1500</v>
      </c>
      <c r="R9" s="9"/>
      <c r="S9" s="48"/>
      <c r="T9" s="21">
        <f t="shared" si="4"/>
        <v>50400</v>
      </c>
      <c r="U9" s="53">
        <f>IF($J9="","",ROUND(($J9-$J$3)/1000,1)+(_xlfn.RANK.AVG($J9,($J9,$O9,$T9),1)-2)*10)</f>
        <v>-24.3</v>
      </c>
      <c r="V9" s="54">
        <f>IF($O9="","",ROUND(($O9-$O$3)/1000,1)+(_xlfn.RANK.AVG($O9,($J9,$O9,$T9),1)-2)*10)</f>
        <v>-1.1000000000000001</v>
      </c>
      <c r="W9" s="55">
        <f>IF($T9="","",ROUND(($T9-$T$3)/1000,1)+(_xlfn.RANK.AVG($T9,($J9,$O9,$T9),1)-2)*10)</f>
        <v>25.4</v>
      </c>
      <c r="Y9" s="8" t="s">
        <v>205</v>
      </c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194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205</v>
      </c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tr">
        <f>IF($K$1="","",$K$1)</f>
        <v>ただ</v>
      </c>
      <c r="F10" s="8"/>
      <c r="G10" s="9"/>
      <c r="H10" s="9"/>
      <c r="I10" s="48"/>
      <c r="J10" s="21">
        <f t="shared" si="2"/>
        <v>20700</v>
      </c>
      <c r="K10" s="8" t="s">
        <v>198</v>
      </c>
      <c r="L10" s="9">
        <v>-2600</v>
      </c>
      <c r="M10" s="9"/>
      <c r="N10" s="48">
        <v>-2000</v>
      </c>
      <c r="O10" s="21">
        <f t="shared" si="3"/>
        <v>29300</v>
      </c>
      <c r="P10" s="8" t="s">
        <v>199</v>
      </c>
      <c r="Q10" s="9">
        <v>2600</v>
      </c>
      <c r="R10" s="9"/>
      <c r="S10" s="48">
        <v>2000</v>
      </c>
      <c r="T10" s="21">
        <f t="shared" si="4"/>
        <v>55000</v>
      </c>
      <c r="U10" s="53">
        <f>IF($J10="","",ROUND(($J10-$J$3)/1000,1)+(_xlfn.RANK.AVG($J10,($J10,$O10,$T10),1)-2)*10)</f>
        <v>-24.3</v>
      </c>
      <c r="V10" s="54">
        <f>IF($O10="","",ROUND(($O10-$O$3)/1000,1)+(_xlfn.RANK.AVG($O10,($J10,$O10,$T10),1)-2)*10)</f>
        <v>-5.7</v>
      </c>
      <c r="W10" s="55">
        <f>IF($T10="","",ROUND(($T10-$T$3)/1000,1)+(_xlfn.RANK.AVG($T10,($J10,$O10,$T10),1)-2)*10)</f>
        <v>30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40</v>
      </c>
      <c r="BU10" s="40" t="s">
        <v>79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tr">
        <f>IF($P$1="","",$P$1)</f>
        <v>いちかわ</v>
      </c>
      <c r="F11" s="8" t="s">
        <v>197</v>
      </c>
      <c r="G11" s="9">
        <v>-4500</v>
      </c>
      <c r="H11" s="9"/>
      <c r="I11" s="48">
        <v>0</v>
      </c>
      <c r="J11" s="21">
        <f t="shared" si="2"/>
        <v>16200</v>
      </c>
      <c r="K11" s="8" t="s">
        <v>196</v>
      </c>
      <c r="L11" s="9">
        <v>12000</v>
      </c>
      <c r="M11" s="9"/>
      <c r="N11" s="48">
        <v>0</v>
      </c>
      <c r="O11" s="21">
        <f t="shared" si="3"/>
        <v>41300</v>
      </c>
      <c r="P11" s="8" t="s">
        <v>197</v>
      </c>
      <c r="Q11" s="9">
        <v>-7500</v>
      </c>
      <c r="R11" s="9"/>
      <c r="S11" s="48">
        <v>0</v>
      </c>
      <c r="T11" s="21">
        <f t="shared" si="4"/>
        <v>47500</v>
      </c>
      <c r="U11" s="53">
        <f>IF($J11="","",ROUND(($J11-$J$3)/1000,1)+(_xlfn.RANK.AVG($J11,($J11,$O11,$T11),1)-2)*10)</f>
        <v>-28.8</v>
      </c>
      <c r="V11" s="54">
        <f>IF($O11="","",ROUND(($O11-$O$3)/1000,1)+(_xlfn.RANK.AVG($O11,($J11,$O11,$T11),1)-2)*10)</f>
        <v>6.3</v>
      </c>
      <c r="W11" s="55">
        <f>IF($T11="","",ROUND(($T11-$T$3)/1000,1)+(_xlfn.RANK.AVG($T11,($J11,$O11,$T11),1)-2)*10)</f>
        <v>22.5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7</v>
      </c>
      <c r="AY11" s="30" t="s">
        <v>200</v>
      </c>
      <c r="AZ11" s="40" t="s">
        <v>206</v>
      </c>
      <c r="BA11" s="41" t="s">
        <v>82</v>
      </c>
      <c r="BB11" s="41" t="s">
        <v>80</v>
      </c>
      <c r="BC11" s="41" t="s">
        <v>83</v>
      </c>
      <c r="BD11" s="41" t="s">
        <v>85</v>
      </c>
      <c r="BE11" s="41" t="s">
        <v>84</v>
      </c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483A1D96-EF36-4199-A7C8-3FEA48FB8B5C}">
      <formula1>$U$2:$W$2</formula1>
    </dataValidation>
    <dataValidation type="list" showInputMessage="1" showErrorMessage="1" sqref="K4:K30 P4:P30 F4:F30" xr:uid="{29F6183F-6FC1-41EC-A226-119B6F26D3ED}">
      <formula1>"ロン,ツモ,放銃,ツモ支払,流局,チョンボ"</formula1>
    </dataValidation>
    <dataValidation type="list" allowBlank="1" showInputMessage="1" sqref="F1:T1" xr:uid="{46D21FC4-94FA-47DA-843D-FD42F95CFED0}">
      <formula1>"だいち,れんたろう,たかの,まっつん,いちかわ,ただ,たか,のり,"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86DBF-DA81-4DA1-979A-78D21FA29AC7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9" t="s">
        <v>0</v>
      </c>
      <c r="B1" s="91" t="s">
        <v>2</v>
      </c>
      <c r="C1" s="91" t="s">
        <v>1</v>
      </c>
      <c r="D1" s="91" t="s">
        <v>21</v>
      </c>
      <c r="E1" s="93" t="s">
        <v>3</v>
      </c>
      <c r="F1" s="84" t="s">
        <v>204</v>
      </c>
      <c r="G1" s="85"/>
      <c r="H1" s="85"/>
      <c r="I1" s="86"/>
      <c r="J1" s="87"/>
      <c r="K1" s="84" t="s">
        <v>191</v>
      </c>
      <c r="L1" s="85"/>
      <c r="M1" s="85"/>
      <c r="N1" s="86"/>
      <c r="O1" s="87"/>
      <c r="P1" s="84" t="s">
        <v>207</v>
      </c>
      <c r="Q1" s="85"/>
      <c r="R1" s="85"/>
      <c r="S1" s="86"/>
      <c r="T1" s="87"/>
      <c r="U1" s="84" t="s">
        <v>6</v>
      </c>
      <c r="V1" s="85"/>
      <c r="W1" s="87"/>
      <c r="Y1" s="84" t="str">
        <f>F1</f>
        <v>ただ</v>
      </c>
      <c r="Z1" s="88"/>
      <c r="AA1" s="85"/>
      <c r="AB1" s="85"/>
      <c r="AC1" s="85"/>
      <c r="AD1" s="85"/>
      <c r="AE1" s="85"/>
      <c r="AF1" s="85"/>
      <c r="AG1" s="85"/>
      <c r="AH1" s="85"/>
      <c r="AI1" s="85"/>
      <c r="AJ1" s="85"/>
      <c r="AK1" s="85"/>
      <c r="AL1" s="85"/>
      <c r="AM1" s="85"/>
      <c r="AN1" s="85"/>
      <c r="AO1" s="85"/>
      <c r="AP1" s="85"/>
      <c r="AQ1" s="85"/>
      <c r="AR1" s="85"/>
      <c r="AS1" s="87"/>
      <c r="AT1" s="84" t="str">
        <f>K1</f>
        <v>れんたろう</v>
      </c>
      <c r="AU1" s="88"/>
      <c r="AV1" s="85"/>
      <c r="AW1" s="85"/>
      <c r="AX1" s="85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85"/>
      <c r="BM1" s="85"/>
      <c r="BN1" s="87"/>
      <c r="BO1" s="84" t="str">
        <f>P1</f>
        <v>だいち</v>
      </c>
      <c r="BP1" s="88"/>
      <c r="BQ1" s="85"/>
      <c r="BR1" s="85"/>
      <c r="BS1" s="85"/>
      <c r="BT1" s="85"/>
      <c r="BU1" s="85"/>
      <c r="BV1" s="85"/>
      <c r="BW1" s="85"/>
      <c r="BX1" s="85"/>
      <c r="BY1" s="85"/>
      <c r="BZ1" s="85"/>
      <c r="CA1" s="85"/>
      <c r="CB1" s="85"/>
      <c r="CC1" s="85"/>
      <c r="CD1" s="85"/>
      <c r="CE1" s="85"/>
      <c r="CF1" s="85"/>
      <c r="CG1" s="85"/>
      <c r="CH1" s="85"/>
      <c r="CI1" s="87"/>
    </row>
    <row r="2" spans="1:87" x14ac:dyDescent="0.45">
      <c r="A2" s="90"/>
      <c r="B2" s="92"/>
      <c r="C2" s="92"/>
      <c r="D2" s="92"/>
      <c r="E2" s="9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80" t="str">
        <f>$F$1</f>
        <v>ただ</v>
      </c>
      <c r="V2" s="81" t="str">
        <f>$K$1</f>
        <v>れんたろう</v>
      </c>
      <c r="W2" s="16" t="str">
        <f>$P$1</f>
        <v>だいち</v>
      </c>
      <c r="Y2" s="77" t="s">
        <v>23</v>
      </c>
      <c r="Z2" s="82" t="s">
        <v>26</v>
      </c>
      <c r="AA2" s="78" t="s">
        <v>24</v>
      </c>
      <c r="AB2" s="78" t="s">
        <v>127</v>
      </c>
      <c r="AC2" s="78" t="s">
        <v>18</v>
      </c>
      <c r="AD2" s="79" t="s">
        <v>19</v>
      </c>
      <c r="AE2" s="83" t="s">
        <v>20</v>
      </c>
      <c r="AF2" s="83"/>
      <c r="AG2" s="83"/>
      <c r="AH2" s="83"/>
      <c r="AI2" s="83"/>
      <c r="AJ2" s="83"/>
      <c r="AK2" s="83"/>
      <c r="AL2" s="83"/>
      <c r="AM2" s="83"/>
      <c r="AN2" s="83"/>
      <c r="AO2" s="83"/>
      <c r="AP2" s="83"/>
      <c r="AQ2" s="83"/>
      <c r="AR2" s="83"/>
      <c r="AS2" s="83"/>
      <c r="AT2" s="77" t="s">
        <v>23</v>
      </c>
      <c r="AU2" s="82" t="s">
        <v>26</v>
      </c>
      <c r="AV2" s="78" t="s">
        <v>24</v>
      </c>
      <c r="AW2" s="78" t="s">
        <v>128</v>
      </c>
      <c r="AX2" s="78" t="s">
        <v>18</v>
      </c>
      <c r="AY2" s="79" t="s">
        <v>19</v>
      </c>
      <c r="AZ2" s="83" t="s">
        <v>20</v>
      </c>
      <c r="BA2" s="83"/>
      <c r="BB2" s="83"/>
      <c r="BC2" s="83"/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77" t="s">
        <v>23</v>
      </c>
      <c r="BP2" s="82" t="s">
        <v>26</v>
      </c>
      <c r="BQ2" s="78" t="s">
        <v>24</v>
      </c>
      <c r="BR2" s="78" t="s">
        <v>128</v>
      </c>
      <c r="BS2" s="78" t="s">
        <v>18</v>
      </c>
      <c r="BT2" s="79" t="s">
        <v>19</v>
      </c>
      <c r="BU2" s="83" t="s">
        <v>20</v>
      </c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83"/>
      <c r="CG2" s="83"/>
      <c r="CH2" s="83"/>
      <c r="CI2" s="83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ただ</v>
      </c>
      <c r="F4" s="8" t="s">
        <v>199</v>
      </c>
      <c r="G4" s="9">
        <v>12000</v>
      </c>
      <c r="H4" s="9">
        <v>1000</v>
      </c>
      <c r="I4" s="48">
        <v>0</v>
      </c>
      <c r="J4" s="21">
        <f>IF(COUNTA($F4,$K4,$P4)&gt;0,J3+SUM(G4:I4),"")</f>
        <v>48000</v>
      </c>
      <c r="K4" s="8" t="s">
        <v>198</v>
      </c>
      <c r="L4" s="9">
        <v>-12000</v>
      </c>
      <c r="M4" s="9">
        <v>-1000</v>
      </c>
      <c r="N4" s="48">
        <v>0</v>
      </c>
      <c r="O4" s="21">
        <f>IF(COUNTA($F4,$K4,$P4)&gt;0,O3+SUM(L4:N4),"")</f>
        <v>22000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23</v>
      </c>
      <c r="V4" s="54">
        <f>IF($O4="","",ROUND(($O4-$O$3)/1000,1)+(_xlfn.RANK.AVG($O4,($J4,$O4,$T4),1)-2)*10)</f>
        <v>-23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4</v>
      </c>
      <c r="AD4" s="30">
        <v>40</v>
      </c>
      <c r="AE4" s="40" t="s">
        <v>202</v>
      </c>
      <c r="AF4" s="41" t="s">
        <v>79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tr">
        <f>IF($F$1="","",$F$1)</f>
        <v>ただ</v>
      </c>
      <c r="F5" s="8" t="s">
        <v>195</v>
      </c>
      <c r="G5" s="9">
        <v>1500</v>
      </c>
      <c r="H5" s="9"/>
      <c r="I5" s="48"/>
      <c r="J5" s="21">
        <f t="shared" ref="J5:J30" si="2">IF(COUNTA($F5,$K5,$P5)&gt;0,J4+SUM(G5:I5),"")</f>
        <v>49500</v>
      </c>
      <c r="K5" s="8" t="s">
        <v>195</v>
      </c>
      <c r="L5" s="9">
        <v>1500</v>
      </c>
      <c r="M5" s="9">
        <v>-1000</v>
      </c>
      <c r="N5" s="48"/>
      <c r="O5" s="21">
        <f t="shared" ref="O5:O30" si="3">IF(COUNTA($F5,$K5,$P5)&gt;0,O4+SUM(L5:N5),"")</f>
        <v>22500</v>
      </c>
      <c r="P5" s="8" t="s">
        <v>195</v>
      </c>
      <c r="Q5" s="9">
        <v>-3000</v>
      </c>
      <c r="R5" s="9"/>
      <c r="S5" s="48"/>
      <c r="T5" s="21">
        <f t="shared" ref="T5:T30" si="4">IF(COUNTA($F5,$K5,$P5)&gt;0,T4+SUM(Q5:S5),"")</f>
        <v>32000</v>
      </c>
      <c r="U5" s="53">
        <f>IF($J5="","",ROUND(($J5-$J$3)/1000,1)+(_xlfn.RANK.AVG($J5,($J5,$O5,$T5),1)-2)*10)</f>
        <v>24.5</v>
      </c>
      <c r="V5" s="54">
        <f>IF($O5="","",ROUND(($O5-$O$3)/1000,1)+(_xlfn.RANK.AVG($O5,($J5,$O5,$T5),1)-2)*10)</f>
        <v>-22.5</v>
      </c>
      <c r="W5" s="55">
        <f>IF($T5="","",ROUND(($T5-$T$3)/1000,1)+(_xlfn.RANK.AVG($T5,($J5,$O5,$T5),1)-2)*10)</f>
        <v>-3</v>
      </c>
      <c r="Y5" s="8" t="s">
        <v>194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194</v>
      </c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1</v>
      </c>
      <c r="E6" s="4" t="str">
        <f>IF($F$1="","",$F$1)</f>
        <v>ただ</v>
      </c>
      <c r="F6" s="8" t="s">
        <v>197</v>
      </c>
      <c r="G6" s="9">
        <v>-2500</v>
      </c>
      <c r="H6" s="9"/>
      <c r="I6" s="48">
        <v>-1000</v>
      </c>
      <c r="J6" s="21">
        <f t="shared" si="2"/>
        <v>46000</v>
      </c>
      <c r="K6" s="8" t="s">
        <v>197</v>
      </c>
      <c r="L6" s="9">
        <v>-1500</v>
      </c>
      <c r="M6" s="9"/>
      <c r="N6" s="48">
        <v>-1000</v>
      </c>
      <c r="O6" s="21">
        <f t="shared" si="3"/>
        <v>20000</v>
      </c>
      <c r="P6" s="8" t="s">
        <v>196</v>
      </c>
      <c r="Q6" s="9">
        <v>4000</v>
      </c>
      <c r="R6" s="9">
        <v>1000</v>
      </c>
      <c r="S6" s="48">
        <v>2000</v>
      </c>
      <c r="T6" s="21">
        <f t="shared" si="4"/>
        <v>39000</v>
      </c>
      <c r="U6" s="53">
        <f>IF($J6="","",ROUND(($J6-$J$3)/1000,1)+(_xlfn.RANK.AVG($J6,($J6,$O6,$T6),1)-2)*10)</f>
        <v>21</v>
      </c>
      <c r="V6" s="54">
        <f>IF($O6="","",ROUND(($O6-$O$3)/1000,1)+(_xlfn.RANK.AVG($O6,($J6,$O6,$T6),1)-2)*10)</f>
        <v>-25</v>
      </c>
      <c r="W6" s="55">
        <f>IF($T6="","",ROUND(($T6-$T$3)/1000,1)+(_xlfn.RANK.AVG($T6,($J6,$O6,$T6),1)-2)*10)</f>
        <v>4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86</v>
      </c>
      <c r="BW6" s="41" t="s">
        <v>201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tr">
        <f>IF($K$1="","",$K$1)</f>
        <v>れんたろう</v>
      </c>
      <c r="F7" s="8"/>
      <c r="G7" s="9"/>
      <c r="H7" s="9"/>
      <c r="I7" s="48"/>
      <c r="J7" s="21">
        <f t="shared" si="2"/>
        <v>46000</v>
      </c>
      <c r="K7" s="8" t="s">
        <v>199</v>
      </c>
      <c r="L7" s="9">
        <v>12000</v>
      </c>
      <c r="M7" s="9">
        <v>1000</v>
      </c>
      <c r="N7" s="48">
        <v>0</v>
      </c>
      <c r="O7" s="21">
        <f t="shared" si="3"/>
        <v>33000</v>
      </c>
      <c r="P7" s="8" t="s">
        <v>198</v>
      </c>
      <c r="Q7" s="9">
        <v>-12000</v>
      </c>
      <c r="R7" s="9">
        <v>-1000</v>
      </c>
      <c r="S7" s="48">
        <v>0</v>
      </c>
      <c r="T7" s="21">
        <f t="shared" si="4"/>
        <v>26000</v>
      </c>
      <c r="U7" s="53">
        <f>IF($J7="","",ROUND(($J7-$J$3)/1000,1)+(_xlfn.RANK.AVG($J7,($J7,$O7,$T7),1)-2)*10)</f>
        <v>21</v>
      </c>
      <c r="V7" s="54">
        <f>IF($O7="","",ROUND(($O7-$O$3)/1000,1)+(_xlfn.RANK.AVG($O7,($J7,$O7,$T7),1)-2)*10)</f>
        <v>-2</v>
      </c>
      <c r="W7" s="55">
        <f>IF($T7="","",ROUND(($T7-$T$3)/1000,1)+(_xlfn.RANK.AVG($T7,($J7,$O7,$T7),1)-2)*10)</f>
        <v>-19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5</v>
      </c>
      <c r="AY7" s="30" t="s">
        <v>200</v>
      </c>
      <c r="AZ7" s="40" t="s">
        <v>202</v>
      </c>
      <c r="BA7" s="41" t="s">
        <v>201</v>
      </c>
      <c r="BB7" s="41" t="s">
        <v>79</v>
      </c>
      <c r="BC7" s="41" t="s">
        <v>79</v>
      </c>
      <c r="BD7" s="41" t="s">
        <v>80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tr">
        <f>IF($K$1="","",$K$1)</f>
        <v>れんたろう</v>
      </c>
      <c r="F8" s="8"/>
      <c r="G8" s="9"/>
      <c r="H8" s="9"/>
      <c r="I8" s="48"/>
      <c r="J8" s="21">
        <f t="shared" si="2"/>
        <v>46000</v>
      </c>
      <c r="K8" s="8" t="s">
        <v>199</v>
      </c>
      <c r="L8" s="9">
        <v>2900</v>
      </c>
      <c r="M8" s="9"/>
      <c r="N8" s="48">
        <v>1000</v>
      </c>
      <c r="O8" s="21">
        <f t="shared" si="3"/>
        <v>36900</v>
      </c>
      <c r="P8" s="8" t="s">
        <v>198</v>
      </c>
      <c r="Q8" s="9">
        <v>-2900</v>
      </c>
      <c r="R8" s="9"/>
      <c r="S8" s="48">
        <v>-1000</v>
      </c>
      <c r="T8" s="21">
        <f t="shared" si="4"/>
        <v>22100</v>
      </c>
      <c r="U8" s="53">
        <f>IF($J8="","",ROUND(($J8-$J$3)/1000,1)+(_xlfn.RANK.AVG($J8,($J8,$O8,$T8),1)-2)*10)</f>
        <v>21</v>
      </c>
      <c r="V8" s="54">
        <f>IF($O8="","",ROUND(($O8-$O$3)/1000,1)+(_xlfn.RANK.AVG($O8,($J8,$O8,$T8),1)-2)*10)</f>
        <v>1.9</v>
      </c>
      <c r="W8" s="55">
        <f>IF($T8="","",ROUND(($T8-$T$3)/1000,1)+(_xlfn.RANK.AVG($T8,($J8,$O8,$T8),1)-2)*10)</f>
        <v>-22.9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201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2</v>
      </c>
      <c r="D9" s="18">
        <f t="shared" si="1"/>
        <v>0</v>
      </c>
      <c r="E9" s="4" t="str">
        <f>IF($K$1="","",$K$1)</f>
        <v>れんたろう</v>
      </c>
      <c r="F9" s="8" t="s">
        <v>199</v>
      </c>
      <c r="G9" s="9">
        <v>3900</v>
      </c>
      <c r="H9" s="9"/>
      <c r="I9" s="48">
        <v>2000</v>
      </c>
      <c r="J9" s="21">
        <f t="shared" si="2"/>
        <v>51900</v>
      </c>
      <c r="K9" s="8" t="s">
        <v>198</v>
      </c>
      <c r="L9" s="9">
        <v>-3900</v>
      </c>
      <c r="M9" s="9"/>
      <c r="N9" s="48">
        <v>-2000</v>
      </c>
      <c r="O9" s="21">
        <f t="shared" si="3"/>
        <v>31000</v>
      </c>
      <c r="P9" s="8"/>
      <c r="Q9" s="9"/>
      <c r="R9" s="9"/>
      <c r="S9" s="48"/>
      <c r="T9" s="21">
        <f t="shared" si="4"/>
        <v>22100</v>
      </c>
      <c r="U9" s="53">
        <f>IF($J9="","",ROUND(($J9-$J$3)/1000,1)+(_xlfn.RANK.AVG($J9,($J9,$O9,$T9),1)-2)*10)</f>
        <v>26.9</v>
      </c>
      <c r="V9" s="54">
        <f>IF($O9="","",ROUND(($O9-$O$3)/1000,1)+(_xlfn.RANK.AVG($O9,($J9,$O9,$T9),1)-2)*10)</f>
        <v>-4</v>
      </c>
      <c r="W9" s="55">
        <f>IF($T9="","",ROUND(($T9-$T$3)/1000,1)+(_xlfn.RANK.AVG($T9,($J9,$O9,$T9),1)-2)*10)</f>
        <v>-22.9</v>
      </c>
      <c r="Y9" s="8"/>
      <c r="Z9" s="34"/>
      <c r="AA9" s="26"/>
      <c r="AB9" s="26">
        <v>1</v>
      </c>
      <c r="AC9" s="26">
        <v>3</v>
      </c>
      <c r="AD9" s="30">
        <v>30</v>
      </c>
      <c r="AE9" s="40" t="s">
        <v>86</v>
      </c>
      <c r="AF9" s="41" t="s">
        <v>79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tr">
        <f>IF($P$1="","",$P$1)</f>
        <v>だいち</v>
      </c>
      <c r="F10" s="8" t="s">
        <v>196</v>
      </c>
      <c r="G10" s="9">
        <v>8000</v>
      </c>
      <c r="H10" s="9"/>
      <c r="I10" s="48">
        <v>0</v>
      </c>
      <c r="J10" s="21">
        <f t="shared" si="2"/>
        <v>59900</v>
      </c>
      <c r="K10" s="8" t="s">
        <v>197</v>
      </c>
      <c r="L10" s="9">
        <v>-3000</v>
      </c>
      <c r="M10" s="9"/>
      <c r="N10" s="48">
        <v>0</v>
      </c>
      <c r="O10" s="21">
        <f t="shared" si="3"/>
        <v>28000</v>
      </c>
      <c r="P10" s="8" t="s">
        <v>197</v>
      </c>
      <c r="Q10" s="9">
        <v>-5000</v>
      </c>
      <c r="R10" s="9"/>
      <c r="S10" s="48">
        <v>0</v>
      </c>
      <c r="T10" s="21">
        <f t="shared" si="4"/>
        <v>17100</v>
      </c>
      <c r="U10" s="53">
        <f>IF($J10="","",ROUND(($J10-$J$3)/1000,1)+(_xlfn.RANK.AVG($J10,($J10,$O10,$T10),1)-2)*10)</f>
        <v>34.9</v>
      </c>
      <c r="V10" s="54">
        <f>IF($O10="","",ROUND(($O10-$O$3)/1000,1)+(_xlfn.RANK.AVG($O10,($J10,$O10,$T10),1)-2)*10)</f>
        <v>-7</v>
      </c>
      <c r="W10" s="55">
        <f>IF($T10="","",ROUND(($T10-$T$3)/1000,1)+(_xlfn.RANK.AVG($T10,($J10,$O10,$T10),1)-2)*10)</f>
        <v>-27.9</v>
      </c>
      <c r="Y10" s="8"/>
      <c r="Z10" s="34"/>
      <c r="AA10" s="26">
        <v>1</v>
      </c>
      <c r="AB10" s="26"/>
      <c r="AC10" s="26">
        <v>5</v>
      </c>
      <c r="AD10" s="30" t="s">
        <v>200</v>
      </c>
      <c r="AE10" s="40" t="s">
        <v>202</v>
      </c>
      <c r="AF10" s="41" t="s">
        <v>82</v>
      </c>
      <c r="AG10" s="41" t="s">
        <v>79</v>
      </c>
      <c r="AH10" s="41" t="s">
        <v>80</v>
      </c>
      <c r="AI10" s="41" t="s">
        <v>201</v>
      </c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tr">
        <f>IF($F$1="","",$F$1)</f>
        <v>ただ</v>
      </c>
      <c r="F11" s="8" t="s">
        <v>199</v>
      </c>
      <c r="G11" s="9">
        <v>3900</v>
      </c>
      <c r="H11" s="9">
        <v>1000</v>
      </c>
      <c r="I11" s="48">
        <v>0</v>
      </c>
      <c r="J11" s="21">
        <f t="shared" si="2"/>
        <v>64800</v>
      </c>
      <c r="K11" s="8" t="s">
        <v>198</v>
      </c>
      <c r="L11" s="9">
        <v>-3900</v>
      </c>
      <c r="M11" s="9">
        <v>-1000</v>
      </c>
      <c r="N11" s="48">
        <v>0</v>
      </c>
      <c r="O11" s="21">
        <f t="shared" si="3"/>
        <v>23100</v>
      </c>
      <c r="P11" s="8"/>
      <c r="Q11" s="9"/>
      <c r="R11" s="9"/>
      <c r="S11" s="48"/>
      <c r="T11" s="21">
        <f t="shared" si="4"/>
        <v>17100</v>
      </c>
      <c r="U11" s="53">
        <f>IF($J11="","",ROUND(($J11-$J$3)/1000,1)+(_xlfn.RANK.AVG($J11,($J11,$O11,$T11),1)-2)*10)</f>
        <v>39.799999999999997</v>
      </c>
      <c r="V11" s="54">
        <f>IF($O11="","",ROUND(($O11-$O$3)/1000,1)+(_xlfn.RANK.AVG($O11,($J11,$O11,$T11),1)-2)*10)</f>
        <v>-11.9</v>
      </c>
      <c r="W11" s="55">
        <f>IF($T11="","",ROUND(($T11-$T$3)/1000,1)+(_xlfn.RANK.AVG($T11,($J11,$O11,$T11),1)-2)*10)</f>
        <v>-27.9</v>
      </c>
      <c r="Y11" s="8"/>
      <c r="Z11" s="34"/>
      <c r="AA11" s="26">
        <v>1</v>
      </c>
      <c r="AB11" s="26"/>
      <c r="AC11" s="26">
        <v>2</v>
      </c>
      <c r="AD11" s="30">
        <v>40</v>
      </c>
      <c r="AE11" s="40" t="s">
        <v>202</v>
      </c>
      <c r="AF11" s="41" t="s">
        <v>201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1</v>
      </c>
      <c r="D12" s="18">
        <f t="shared" si="1"/>
        <v>0</v>
      </c>
      <c r="E12" s="4" t="str">
        <f>IF($F$1="","",$F$1)</f>
        <v>ただ</v>
      </c>
      <c r="F12" s="8" t="s">
        <v>199</v>
      </c>
      <c r="G12" s="9">
        <v>2000</v>
      </c>
      <c r="H12" s="9"/>
      <c r="I12" s="48">
        <v>1000</v>
      </c>
      <c r="J12" s="21">
        <f t="shared" si="2"/>
        <v>67800</v>
      </c>
      <c r="K12" s="8" t="s">
        <v>198</v>
      </c>
      <c r="L12" s="9">
        <v>-2000</v>
      </c>
      <c r="M12" s="9"/>
      <c r="N12" s="48">
        <v>-1000</v>
      </c>
      <c r="O12" s="21">
        <f t="shared" si="3"/>
        <v>20100</v>
      </c>
      <c r="P12" s="8"/>
      <c r="Q12" s="9"/>
      <c r="R12" s="9"/>
      <c r="S12" s="48"/>
      <c r="T12" s="21">
        <f t="shared" si="4"/>
        <v>17100</v>
      </c>
      <c r="U12" s="53">
        <f>IF($J12="","",ROUND(($J12-$J$3)/1000,1)+(_xlfn.RANK.AVG($J12,($J12,$O12,$T12),1)-2)*10)</f>
        <v>42.8</v>
      </c>
      <c r="V12" s="54">
        <f>IF($O12="","",ROUND(($O12-$O$3)/1000,1)+(_xlfn.RANK.AVG($O12,($J12,$O12,$T12),1)-2)*10)</f>
        <v>-14.9</v>
      </c>
      <c r="W12" s="55">
        <f>IF($T12="","",ROUND(($T12-$T$3)/1000,1)+(_xlfn.RANK.AVG($T12,($J12,$O12,$T12),1)-2)*10)</f>
        <v>-27.9</v>
      </c>
      <c r="Y12" s="8"/>
      <c r="Z12" s="34"/>
      <c r="AA12" s="26"/>
      <c r="AB12" s="26"/>
      <c r="AC12" s="26">
        <v>1</v>
      </c>
      <c r="AD12" s="30">
        <v>40</v>
      </c>
      <c r="AE12" s="40" t="s">
        <v>84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2</v>
      </c>
      <c r="D13" s="18">
        <f t="shared" si="1"/>
        <v>0</v>
      </c>
      <c r="E13" s="4" t="str">
        <f>IF($F$1="","",$F$1)</f>
        <v>ただ</v>
      </c>
      <c r="F13" s="8" t="s">
        <v>198</v>
      </c>
      <c r="G13" s="9">
        <v>-3900</v>
      </c>
      <c r="H13" s="9"/>
      <c r="I13" s="48">
        <v>-2000</v>
      </c>
      <c r="J13" s="21">
        <f t="shared" si="2"/>
        <v>61900</v>
      </c>
      <c r="K13" s="8"/>
      <c r="L13" s="9"/>
      <c r="M13" s="9"/>
      <c r="N13" s="48"/>
      <c r="O13" s="21">
        <f t="shared" si="3"/>
        <v>20100</v>
      </c>
      <c r="P13" s="8" t="s">
        <v>199</v>
      </c>
      <c r="Q13" s="9">
        <v>3900</v>
      </c>
      <c r="R13" s="9"/>
      <c r="S13" s="48">
        <v>2000</v>
      </c>
      <c r="T13" s="21">
        <f t="shared" si="4"/>
        <v>23000</v>
      </c>
      <c r="U13" s="53">
        <f>IF($J13="","",ROUND(($J13-$J$3)/1000,1)+(_xlfn.RANK.AVG($J13,($J13,$O13,$T13),1)-2)*10)</f>
        <v>36.9</v>
      </c>
      <c r="V13" s="54">
        <f>IF($O13="","",ROUND(($O13-$O$3)/1000,1)+(_xlfn.RANK.AVG($O13,($J13,$O13,$T13),1)-2)*10)</f>
        <v>-24.9</v>
      </c>
      <c r="W13" s="55">
        <f>IF($T13="","",ROUND(($T13-$T$3)/1000,1)+(_xlfn.RANK.AVG($T13,($J13,$O13,$T13),1)-2)*10)</f>
        <v>-12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3</v>
      </c>
      <c r="BT13" s="30">
        <v>30</v>
      </c>
      <c r="BU13" s="40" t="s">
        <v>104</v>
      </c>
      <c r="BV13" s="41" t="s">
        <v>86</v>
      </c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0</v>
      </c>
      <c r="D14" s="18">
        <f t="shared" si="1"/>
        <v>0</v>
      </c>
      <c r="E14" s="4" t="str">
        <f>IF($K$1="","",$K$1)</f>
        <v>れんたろう</v>
      </c>
      <c r="F14" s="8" t="s">
        <v>197</v>
      </c>
      <c r="G14" s="9">
        <v>-800</v>
      </c>
      <c r="H14" s="9"/>
      <c r="I14" s="48">
        <v>0</v>
      </c>
      <c r="J14" s="21">
        <f t="shared" si="2"/>
        <v>61100</v>
      </c>
      <c r="K14" s="8" t="s">
        <v>197</v>
      </c>
      <c r="L14" s="9">
        <v>-1300</v>
      </c>
      <c r="M14" s="9"/>
      <c r="N14" s="48">
        <v>0</v>
      </c>
      <c r="O14" s="21">
        <f t="shared" si="3"/>
        <v>18800</v>
      </c>
      <c r="P14" s="8" t="s">
        <v>196</v>
      </c>
      <c r="Q14" s="9">
        <v>2100</v>
      </c>
      <c r="R14" s="9"/>
      <c r="S14" s="48">
        <v>0</v>
      </c>
      <c r="T14" s="21">
        <f t="shared" si="4"/>
        <v>25100</v>
      </c>
      <c r="U14" s="53">
        <f>IF($J14="","",ROUND(($J14-$J$3)/1000,1)+(_xlfn.RANK.AVG($J14,($J14,$O14,$T14),1)-2)*10)</f>
        <v>36.1</v>
      </c>
      <c r="V14" s="54">
        <f>IF($O14="","",ROUND(($O14-$O$3)/1000,1)+(_xlfn.RANK.AVG($O14,($J14,$O14,$T14),1)-2)*10)</f>
        <v>-26.2</v>
      </c>
      <c r="W14" s="55">
        <f>IF($T14="","",ROUND(($T14-$T$3)/1000,1)+(_xlfn.RANK.AVG($T14,($J14,$O14,$T14),1)-2)*10)</f>
        <v>-9.9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2</v>
      </c>
      <c r="BT14" s="30">
        <v>30</v>
      </c>
      <c r="BU14" s="40" t="s">
        <v>202</v>
      </c>
      <c r="BV14" s="41" t="s">
        <v>82</v>
      </c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tr">
        <f>IF($P$1="","",$P$1)</f>
        <v>だいち</v>
      </c>
      <c r="F15" s="8" t="s">
        <v>197</v>
      </c>
      <c r="G15" s="9">
        <v>-9000</v>
      </c>
      <c r="H15" s="9"/>
      <c r="I15" s="48">
        <v>0</v>
      </c>
      <c r="J15" s="21">
        <f t="shared" si="2"/>
        <v>52100</v>
      </c>
      <c r="K15" s="8" t="s">
        <v>197</v>
      </c>
      <c r="L15" s="9">
        <v>-9000</v>
      </c>
      <c r="M15" s="9"/>
      <c r="N15" s="48">
        <v>0</v>
      </c>
      <c r="O15" s="21">
        <f t="shared" si="3"/>
        <v>9800</v>
      </c>
      <c r="P15" s="8" t="s">
        <v>196</v>
      </c>
      <c r="Q15" s="9">
        <v>18000</v>
      </c>
      <c r="R15" s="9"/>
      <c r="S15" s="48">
        <v>0</v>
      </c>
      <c r="T15" s="21">
        <f t="shared" si="4"/>
        <v>43100</v>
      </c>
      <c r="U15" s="53">
        <f>IF($J15="","",ROUND(($J15-$J$3)/1000,1)+(_xlfn.RANK.AVG($J15,($J15,$O15,$T15),1)-2)*10)</f>
        <v>27.1</v>
      </c>
      <c r="V15" s="54">
        <f>IF($O15="","",ROUND(($O15-$O$3)/1000,1)+(_xlfn.RANK.AVG($O15,($J15,$O15,$T15),1)-2)*10)</f>
        <v>-35.200000000000003</v>
      </c>
      <c r="W15" s="55">
        <f>IF($T15="","",ROUND(($T15-$T$3)/1000,1)+(_xlfn.RANK.AVG($T15,($J15,$O15,$T15),1)-2)*10)</f>
        <v>8.1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>
        <v>1</v>
      </c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>
        <v>6</v>
      </c>
      <c r="BT15" s="30" t="s">
        <v>200</v>
      </c>
      <c r="BU15" s="40" t="s">
        <v>206</v>
      </c>
      <c r="BV15" s="41" t="s">
        <v>82</v>
      </c>
      <c r="BW15" s="41" t="s">
        <v>201</v>
      </c>
      <c r="BX15" s="41" t="s">
        <v>79</v>
      </c>
      <c r="BY15" s="41" t="s">
        <v>79</v>
      </c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南</v>
      </c>
      <c r="B16" s="18">
        <f t="shared" si="5"/>
        <v>3</v>
      </c>
      <c r="C16" s="18">
        <f t="shared" si="6"/>
        <v>1</v>
      </c>
      <c r="D16" s="18">
        <f t="shared" si="1"/>
        <v>0</v>
      </c>
      <c r="E16" s="4" t="str">
        <f>IF($P$1="","",$P$1)</f>
        <v>だいち</v>
      </c>
      <c r="F16" s="8" t="s">
        <v>195</v>
      </c>
      <c r="G16" s="9">
        <v>-1500</v>
      </c>
      <c r="H16" s="9">
        <v>1000</v>
      </c>
      <c r="I16" s="48"/>
      <c r="J16" s="21">
        <f t="shared" si="2"/>
        <v>51600</v>
      </c>
      <c r="K16" s="8" t="s">
        <v>195</v>
      </c>
      <c r="L16" s="9">
        <v>3000</v>
      </c>
      <c r="M16" s="9">
        <v>-1000</v>
      </c>
      <c r="N16" s="48"/>
      <c r="O16" s="21">
        <f t="shared" si="3"/>
        <v>11800</v>
      </c>
      <c r="P16" s="8" t="s">
        <v>195</v>
      </c>
      <c r="Q16" s="9">
        <v>-1500</v>
      </c>
      <c r="R16" s="9"/>
      <c r="S16" s="48"/>
      <c r="T16" s="21">
        <f t="shared" si="4"/>
        <v>41600</v>
      </c>
      <c r="U16" s="53">
        <f>IF($J16="","",ROUND(($J16-$J$3)/1000,1)+(_xlfn.RANK.AVG($J16,($J16,$O16,$T16),1)-2)*10)</f>
        <v>26.6</v>
      </c>
      <c r="V16" s="54">
        <f>IF($O16="","",ROUND(($O16-$O$3)/1000,1)+(_xlfn.RANK.AVG($O16,($J16,$O16,$T16),1)-2)*10)</f>
        <v>-33.200000000000003</v>
      </c>
      <c r="W16" s="55">
        <f>IF($T16="","",ROUND(($T16-$T$3)/1000,1)+(_xlfn.RANK.AVG($T16,($J16,$O16,$T16),1)-2)*10)</f>
        <v>6.6</v>
      </c>
      <c r="Y16" s="8" t="s">
        <v>205</v>
      </c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 t="s">
        <v>194</v>
      </c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 t="s">
        <v>205</v>
      </c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>西</v>
      </c>
      <c r="B17" s="18">
        <f t="shared" si="5"/>
        <v>1</v>
      </c>
      <c r="C17" s="18">
        <f t="shared" si="6"/>
        <v>2</v>
      </c>
      <c r="D17" s="18">
        <f t="shared" si="1"/>
        <v>0</v>
      </c>
      <c r="E17" s="4" t="str">
        <f>IF($F$1="","",$F$1)</f>
        <v>ただ</v>
      </c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9D9F2436-3379-4028-A106-B174F7D50A07}">
      <formula1>"だいち,れんたろう,たかの,まっつん,いちかわ,ただ,たか,のり,"</formula1>
    </dataValidation>
    <dataValidation type="list" showInputMessage="1" showErrorMessage="1" sqref="K4:K30 P4:P30 F4:F30" xr:uid="{9538A89D-40A5-400F-9C89-BF69F9D603BA}">
      <formula1>"ロン,ツモ,放銃,ツモ支払,流局,チョンボ"</formula1>
    </dataValidation>
    <dataValidation type="list" allowBlank="1" showInputMessage="1" showErrorMessage="1" sqref="E4:E30" xr:uid="{91777994-AF2E-4C60-97A0-E733BC12839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2020-10-04T09:00:22Z</dcterms:modified>
</cp:coreProperties>
</file>