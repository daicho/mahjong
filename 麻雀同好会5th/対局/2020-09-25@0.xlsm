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00F765EE-1D11-4649-8C89-21552B69EB95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D12" i="20" s="1"/>
  <c r="E11" i="20"/>
  <c r="E10" i="20"/>
  <c r="E9" i="20"/>
  <c r="E8" i="20"/>
  <c r="D8" i="20" s="1"/>
  <c r="E7" i="20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0" i="20"/>
  <c r="C10" i="20"/>
  <c r="C11" i="20" s="1"/>
  <c r="C9" i="20"/>
  <c r="D6" i="20"/>
  <c r="O5" i="20"/>
  <c r="O6" i="20" s="1"/>
  <c r="C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C8" i="20" l="1"/>
  <c r="V4" i="20"/>
  <c r="T6" i="20"/>
  <c r="O7" i="20"/>
  <c r="U4" i="20"/>
  <c r="J5" i="20"/>
  <c r="C6" i="20"/>
  <c r="D11" i="20"/>
  <c r="W4" i="20"/>
  <c r="D9" i="20"/>
  <c r="C12" i="20"/>
  <c r="A5" i="20"/>
  <c r="C7" i="20"/>
  <c r="B5" i="20"/>
  <c r="B6" i="20" s="1"/>
  <c r="D7" i="20"/>
  <c r="E4" i="19"/>
  <c r="B7" i="20" l="1"/>
  <c r="A6" i="20"/>
  <c r="T7" i="20"/>
  <c r="U5" i="20"/>
  <c r="J6" i="20"/>
  <c r="W5" i="20"/>
  <c r="V5" i="20"/>
  <c r="O8" i="20"/>
  <c r="W3" i="19"/>
  <c r="V3" i="19"/>
  <c r="U3" i="19"/>
  <c r="A7" i="20" l="1"/>
  <c r="O9" i="20"/>
  <c r="B8" i="20"/>
  <c r="A8" i="20" s="1"/>
  <c r="J7" i="20"/>
  <c r="W7" i="20" s="1"/>
  <c r="U6" i="20"/>
  <c r="V6" i="20"/>
  <c r="W6" i="20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0" l="1"/>
  <c r="O10" i="20"/>
  <c r="J8" i="20"/>
  <c r="W8" i="20" s="1"/>
  <c r="U7" i="20"/>
  <c r="V7" i="20"/>
  <c r="B9" i="20"/>
  <c r="W12" i="19"/>
  <c r="U12" i="19"/>
  <c r="V12" i="19"/>
  <c r="V11" i="19"/>
  <c r="W11" i="19"/>
  <c r="U10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0" l="1"/>
  <c r="T10" i="20"/>
  <c r="A9" i="20"/>
  <c r="J9" i="20"/>
  <c r="U8" i="20"/>
  <c r="V8" i="20"/>
  <c r="O11" i="20"/>
  <c r="W5" i="19"/>
  <c r="V5" i="19"/>
  <c r="U5" i="19"/>
  <c r="B11" i="20" l="1"/>
  <c r="O12" i="20"/>
  <c r="A10" i="20"/>
  <c r="J10" i="20"/>
  <c r="W10" i="20" s="1"/>
  <c r="U9" i="20"/>
  <c r="V9" i="20"/>
  <c r="W9" i="20"/>
  <c r="T11" i="20"/>
  <c r="B12" i="20" l="1"/>
  <c r="A12" i="20" s="1"/>
  <c r="A11" i="20"/>
  <c r="J11" i="20"/>
  <c r="U10" i="20"/>
  <c r="V10" i="20"/>
  <c r="T12" i="20"/>
  <c r="W11" i="20" l="1"/>
  <c r="U11" i="20"/>
  <c r="J12" i="20"/>
  <c r="V11" i="20"/>
  <c r="U12" i="20" l="1"/>
  <c r="V12" i="20"/>
  <c r="W12" i="20"/>
</calcChain>
</file>

<file path=xl/sharedStrings.xml><?xml version="1.0" encoding="utf-8"?>
<sst xmlns="http://schemas.openxmlformats.org/spreadsheetml/2006/main" count="689" uniqueCount="204">
  <si>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</si>
  <si>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</si>
  <si>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</si>
  <si>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</si>
  <si>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</si>
  <si>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</si>
  <si>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</si>
  <si>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</si>
  <si>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</si>
  <si>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</si>
  <si>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</si>
  <si>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</si>
  <si>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</si>
  <si>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</si>
  <si>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</si>
  <si>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</si>
  <si>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</si>
  <si>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</si>
  <si>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</si>
  <si>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</si>
  <si>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</si>
  <si>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</si>
  <si>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</si>
  <si>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</si>
  <si>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</si>
  <si>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</si>
  <si>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</si>
  <si>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</si>
  <si>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</si>
  <si>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</si>
  <si>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</si>
  <si>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</si>
  <si>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</si>
  <si>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</si>
  <si>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</si>
  <si>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</si>
  <si>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</si>
  <si>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</si>
  <si>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</si>
  <si>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</si>
  <si>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</si>
  <si>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</si>
  <si>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</si>
  <si>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</si>
  <si>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</si>
  <si>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</si>
  <si>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</si>
  <si>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</si>
  <si>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</si>
  <si>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</si>
  <si>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</si>
  <si>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</si>
  <si>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</si>
  <si>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</si>
  <si>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</si>
  <si>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</si>
  <si>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</si>
  <si>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</si>
  <si>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</si>
  <si>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</si>
  <si>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</si>
  <si>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</si>
  <si>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</si>
  <si>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</si>
  <si>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</si>
  <si>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</si>
  <si>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</si>
  <si>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</si>
  <si>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</si>
  <si>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</si>
  <si>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</si>
  <si>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</si>
  <si>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</si>
  <si>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</si>
  <si>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</si>
  <si>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</si>
  <si>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</si>
  <si>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</si>
  <si>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</si>
  <si>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</si>
  <si>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</si>
  <si>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</si>
  <si>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</si>
  <si>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</si>
  <si>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</si>
  <si>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</si>
  <si>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</si>
  <si>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</si>
  <si>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</si>
  <si>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</si>
  <si>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</si>
  <si>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</si>
  <si>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</si>
  <si>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</si>
  <si>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</si>
  <si>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</si>
  <si>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</si>
  <si>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</si>
  <si>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</si>
  <si>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</si>
  <si>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</si>
  <si>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</si>
  <si>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</si>
  <si>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</si>
  <si>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</si>
  <si>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</si>
  <si>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</si>
  <si>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</si>
  <si>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</si>
  <si>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</si>
  <si>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</si>
  <si>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</si>
  <si>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</si>
  <si>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</si>
  <si>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</si>
  <si>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</si>
  <si>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</si>
  <si>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</si>
  <si>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</si>
  <si>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</si>
  <si>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</si>
  <si>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</si>
  <si>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</si>
  <si>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</si>
  <si>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</si>
  <si>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</si>
  <si>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</si>
  <si>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</si>
  <si>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</si>
  <si>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</si>
  <si>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</si>
  <si>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</si>
  <si>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</si>
  <si>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</si>
  <si>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</si>
  <si>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</si>
  <si>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</si>
  <si>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</si>
  <si>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</si>
  <si>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</si>
  <si>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</si>
  <si>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</si>
  <si>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</si>
  <si>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</si>
  <si>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</si>
  <si>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</si>
  <si>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</si>
  <si>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</si>
  <si>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</si>
  <si>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</si>
  <si>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</si>
  <si>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</si>
  <si>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</si>
  <si>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</si>
  <si>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</si>
  <si>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</si>
  <si>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</si>
  <si>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</si>
  <si>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</si>
  <si>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</si>
  <si>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</si>
  <si>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</si>
  <si>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</si>
  <si>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</si>
  <si>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</si>
  <si>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</si>
  <si>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</si>
  <si>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</si>
  <si>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</si>
  <si>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</si>
  <si>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</si>
  <si>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</si>
  <si>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</si>
  <si>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</si>
  <si>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</si>
  <si>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</si>
  <si>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</si>
  <si>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</si>
  <si>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</si>
  <si>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</si>
  <si>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</si>
  <si>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</si>
  <si>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</si>
  <si>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</si>
  <si>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</si>
  <si>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</si>
  <si>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</si>
  <si>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</si>
  <si>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</si>
  <si>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</si>
  <si>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</si>
  <si>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</si>
  <si>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</si>
  <si>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たかの</t>
    <phoneticPr fontId="1"/>
  </si>
  <si>
    <t>ツモ支払</t>
  </si>
  <si>
    <t>ツモ</t>
  </si>
  <si>
    <t>*</t>
  </si>
  <si>
    <t>01</t>
  </si>
  <si>
    <t>02</t>
  </si>
  <si>
    <t>52</t>
  </si>
  <si>
    <t>放銃</t>
  </si>
  <si>
    <t>ロン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</si>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</sst>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-900</v>
      </c>
      <c r="H4" s="9">
        <v>-1000</v>
      </c>
      <c r="I4" s="48">
        <v>0</v>
      </c>
      <c r="J4" s="21">
        <f>IF(COUNTA($F4,$K4,$P4)&gt;0,J3+SUM(G4:I4),"")</f>
        <v>33100</v>
      </c>
      <c r="K4" s="8" t="s">
        <v>194</v>
      </c>
      <c r="L4" s="9">
        <v>-600</v>
      </c>
      <c r="M4" s="9">
        <v>-1000</v>
      </c>
      <c r="N4" s="48">
        <v>0</v>
      </c>
      <c r="O4" s="21">
        <f>IF(COUNTA($F4,$K4,$P4)&gt;0,O3+SUM(L4:N4),"")</f>
        <v>33400</v>
      </c>
      <c r="P4" s="8" t="s">
        <v>195</v>
      </c>
      <c r="Q4" s="9">
        <v>1500</v>
      </c>
      <c r="R4" s="9">
        <v>2000</v>
      </c>
      <c r="S4" s="48">
        <v>0</v>
      </c>
      <c r="T4" s="21">
        <f>IF(COUNTA($F4,$K4,$P4)&gt;0,T3+SUM(Q4:S4),"")</f>
        <v>38500</v>
      </c>
      <c r="U4" s="53">
        <f>IF($J4="","",ROUND(($J4-$J$3)/1000,1)+(_xlfn.RANK.AVG($J4,($J4,$O4,$T4),1)-2)*10)</f>
        <v>-11.9</v>
      </c>
      <c r="V4" s="54">
        <f>IF($O4="","",ROUND(($O4-$O$3)/1000,1)+(_xlfn.RANK.AVG($O4,($J4,$O4,$T4),1)-2)*10)</f>
        <v>-1.6</v>
      </c>
      <c r="W4" s="55">
        <f>IF($T4="","",ROUND(($T4-$T$3)/1000,1)+(_xlfn.RANK.AVG($T4,($J4,$O4,$T4),1)-2)*10)</f>
        <v>13.5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40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195</v>
      </c>
      <c r="G5" s="9">
        <v>12000</v>
      </c>
      <c r="H5" s="9"/>
      <c r="I5" s="48">
        <v>0</v>
      </c>
      <c r="J5" s="21">
        <f t="shared" ref="J5:J30" si="2">IF(COUNTA($F5,$K5,$P5)&gt;0,J4+SUM(G5:I5),"")</f>
        <v>45100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25900</v>
      </c>
      <c r="P5" s="8" t="s">
        <v>194</v>
      </c>
      <c r="Q5" s="9">
        <v>-4500</v>
      </c>
      <c r="R5" s="9"/>
      <c r="S5" s="48">
        <v>0</v>
      </c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20.100000000000001</v>
      </c>
      <c r="V5" s="54">
        <f>IF($O5="","",ROUND(($O5-$O$3)/1000,1)+(_xlfn.RANK.AVG($O5,($J5,$O5,$T5),1)-2)*10)</f>
        <v>-19.100000000000001</v>
      </c>
      <c r="W5" s="55">
        <f>IF($T5="","",ROUND(($T5-$T$3)/1000,1)+(_xlfn.RANK.AVG($T5,($J5,$O5,$T5),1)-2)*10)</f>
        <v>-1</v>
      </c>
      <c r="Y5" s="8"/>
      <c r="Z5" s="34"/>
      <c r="AA5" s="26"/>
      <c r="AB5" s="26">
        <v>1</v>
      </c>
      <c r="AC5" s="26">
        <v>7</v>
      </c>
      <c r="AD5" s="30" t="s">
        <v>196</v>
      </c>
      <c r="AE5" s="40" t="s">
        <v>98</v>
      </c>
      <c r="AF5" s="41" t="s">
        <v>96</v>
      </c>
      <c r="AG5" s="41" t="s">
        <v>86</v>
      </c>
      <c r="AH5" s="41" t="s">
        <v>86</v>
      </c>
      <c r="AI5" s="41" t="s">
        <v>86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194</v>
      </c>
      <c r="G6" s="9">
        <v>-9000</v>
      </c>
      <c r="H6" s="9"/>
      <c r="I6" s="48">
        <v>0</v>
      </c>
      <c r="J6" s="21">
        <f t="shared" si="2"/>
        <v>36100</v>
      </c>
      <c r="K6" s="8" t="s">
        <v>194</v>
      </c>
      <c r="L6" s="9">
        <v>-9000</v>
      </c>
      <c r="M6" s="9"/>
      <c r="N6" s="48">
        <v>0</v>
      </c>
      <c r="O6" s="21">
        <f t="shared" si="3"/>
        <v>16900</v>
      </c>
      <c r="P6" s="8" t="s">
        <v>195</v>
      </c>
      <c r="Q6" s="9">
        <v>18000</v>
      </c>
      <c r="R6" s="9"/>
      <c r="S6" s="48">
        <v>0</v>
      </c>
      <c r="T6" s="21">
        <f t="shared" si="4"/>
        <v>52000</v>
      </c>
      <c r="U6" s="53">
        <f>IF($J6="","",ROUND(($J6-$J$3)/1000,1)+(_xlfn.RANK.AVG($J6,($J6,$O6,$T6),1)-2)*10)</f>
        <v>1.1000000000000001</v>
      </c>
      <c r="V6" s="54">
        <f>IF($O6="","",ROUND(($O6-$O$3)/1000,1)+(_xlfn.RANK.AVG($O6,($J6,$O6,$T6),1)-2)*10)</f>
        <v>-28.1</v>
      </c>
      <c r="W6" s="55">
        <f>IF($T6="","",ROUND(($T6-$T$3)/1000,1)+(_xlfn.RANK.AVG($T6,($J6,$O6,$T6),1)-2)*10)</f>
        <v>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7</v>
      </c>
      <c r="BT6" s="30" t="s">
        <v>196</v>
      </c>
      <c r="BU6" s="40" t="s">
        <v>98</v>
      </c>
      <c r="BV6" s="41" t="s">
        <v>86</v>
      </c>
      <c r="BW6" s="41" t="s">
        <v>86</v>
      </c>
      <c r="BX6" s="41" t="s">
        <v>86</v>
      </c>
      <c r="BY6" s="41" t="s">
        <v>79</v>
      </c>
      <c r="BZ6" s="41" t="s">
        <v>79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たかの</v>
      </c>
      <c r="F7" s="8" t="s">
        <v>195</v>
      </c>
      <c r="G7" s="9">
        <v>12000</v>
      </c>
      <c r="H7" s="9">
        <v>1000</v>
      </c>
      <c r="I7" s="48">
        <v>1000</v>
      </c>
      <c r="J7" s="21">
        <f t="shared" si="2"/>
        <v>50100</v>
      </c>
      <c r="K7" s="8" t="s">
        <v>194</v>
      </c>
      <c r="L7" s="9">
        <v>-4500</v>
      </c>
      <c r="M7" s="9"/>
      <c r="N7" s="48">
        <v>-500</v>
      </c>
      <c r="O7" s="21">
        <f t="shared" si="3"/>
        <v>11900</v>
      </c>
      <c r="P7" s="8" t="s">
        <v>194</v>
      </c>
      <c r="Q7" s="9">
        <v>-7500</v>
      </c>
      <c r="R7" s="9">
        <v>-1000</v>
      </c>
      <c r="S7" s="48">
        <v>-500</v>
      </c>
      <c r="T7" s="21">
        <f t="shared" si="4"/>
        <v>43000</v>
      </c>
      <c r="U7" s="53">
        <f>IF($J7="","",ROUND(($J7-$J$3)/1000,1)+(_xlfn.RANK.AVG($J7,($J7,$O7,$T7),1)-2)*10)</f>
        <v>25.1</v>
      </c>
      <c r="V7" s="54">
        <f>IF($O7="","",ROUND(($O7-$O$3)/1000,1)+(_xlfn.RANK.AVG($O7,($J7,$O7,$T7),1)-2)*10)</f>
        <v>-33.1</v>
      </c>
      <c r="W7" s="55">
        <f>IF($T7="","",ROUND(($T7-$T$3)/1000,1)+(_xlfn.RANK.AVG($T7,($J7,$O7,$T7),1)-2)*10)</f>
        <v>8</v>
      </c>
      <c r="Y7" s="8"/>
      <c r="Z7" s="34"/>
      <c r="AA7" s="26">
        <v>1</v>
      </c>
      <c r="AB7" s="26"/>
      <c r="AC7" s="26">
        <v>6</v>
      </c>
      <c r="AD7" s="30" t="s">
        <v>196</v>
      </c>
      <c r="AE7" s="40" t="s">
        <v>197</v>
      </c>
      <c r="AF7" s="41" t="s">
        <v>82</v>
      </c>
      <c r="AG7" s="41" t="s">
        <v>198</v>
      </c>
      <c r="AH7" s="41" t="s">
        <v>79</v>
      </c>
      <c r="AI7" s="41" t="s">
        <v>199</v>
      </c>
      <c r="AJ7" s="41" t="s">
        <v>80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194</v>
      </c>
      <c r="G8" s="9">
        <v>-1300</v>
      </c>
      <c r="H8" s="9"/>
      <c r="I8" s="48">
        <v>0</v>
      </c>
      <c r="J8" s="21">
        <f t="shared" si="2"/>
        <v>48800</v>
      </c>
      <c r="K8" s="8" t="s">
        <v>194</v>
      </c>
      <c r="L8" s="9">
        <v>-800</v>
      </c>
      <c r="M8" s="9"/>
      <c r="N8" s="48">
        <v>0</v>
      </c>
      <c r="O8" s="21">
        <f t="shared" si="3"/>
        <v>11100</v>
      </c>
      <c r="P8" s="8" t="s">
        <v>195</v>
      </c>
      <c r="Q8" s="9">
        <v>2100</v>
      </c>
      <c r="R8" s="9"/>
      <c r="S8" s="48">
        <v>0</v>
      </c>
      <c r="T8" s="21">
        <f t="shared" si="4"/>
        <v>45100</v>
      </c>
      <c r="U8" s="53">
        <f>IF($J8="","",ROUND(($J8-$J$3)/1000,1)+(_xlfn.RANK.AVG($J8,($J8,$O8,$T8),1)-2)*10)</f>
        <v>23.8</v>
      </c>
      <c r="V8" s="54">
        <f>IF($O8="","",ROUND(($O8-$O$3)/1000,1)+(_xlfn.RANK.AVG($O8,($J8,$O8,$T8),1)-2)*10)</f>
        <v>-33.9</v>
      </c>
      <c r="W8" s="55">
        <f>IF($T8="","",ROUND(($T8-$T$3)/1000,1)+(_xlfn.RANK.AVG($T8,($J8,$O8,$T8),1)-2)*10)</f>
        <v>10.1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199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194</v>
      </c>
      <c r="G9" s="9">
        <v>-6000</v>
      </c>
      <c r="H9" s="9"/>
      <c r="I9" s="48">
        <v>0</v>
      </c>
      <c r="J9" s="21">
        <f t="shared" si="2"/>
        <v>42800</v>
      </c>
      <c r="K9" s="8" t="s">
        <v>195</v>
      </c>
      <c r="L9" s="9">
        <v>12000</v>
      </c>
      <c r="M9" s="9"/>
      <c r="N9" s="48">
        <v>0</v>
      </c>
      <c r="O9" s="21">
        <f t="shared" si="3"/>
        <v>23100</v>
      </c>
      <c r="P9" s="8" t="s">
        <v>194</v>
      </c>
      <c r="Q9" s="9">
        <v>-6000</v>
      </c>
      <c r="R9" s="9"/>
      <c r="S9" s="48">
        <v>0</v>
      </c>
      <c r="T9" s="21">
        <f t="shared" si="4"/>
        <v>39100</v>
      </c>
      <c r="U9" s="53">
        <f>IF($J9="","",ROUND(($J9-$J$3)/1000,1)+(_xlfn.RANK.AVG($J9,($J9,$O9,$T9),1)-2)*10)</f>
        <v>17.8</v>
      </c>
      <c r="V9" s="54">
        <f>IF($O9="","",ROUND(($O9-$O$3)/1000,1)+(_xlfn.RANK.AVG($O9,($J9,$O9,$T9),1)-2)*10)</f>
        <v>-21.9</v>
      </c>
      <c r="W9" s="55">
        <f>IF($T9="","",ROUND(($T9-$T$3)/1000,1)+(_xlfn.RANK.AVG($T9,($J9,$O9,$T9),1)-2)*10)</f>
        <v>4.0999999999999996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196</v>
      </c>
      <c r="AZ9" s="40" t="s">
        <v>98</v>
      </c>
      <c r="BA9" s="41" t="s">
        <v>96</v>
      </c>
      <c r="BB9" s="41" t="s">
        <v>86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200</v>
      </c>
      <c r="G10" s="9">
        <v>-3900</v>
      </c>
      <c r="H10" s="9"/>
      <c r="I10" s="48">
        <v>-1000</v>
      </c>
      <c r="J10" s="21">
        <f t="shared" si="2"/>
        <v>37900</v>
      </c>
      <c r="K10" s="8" t="s">
        <v>201</v>
      </c>
      <c r="L10" s="9">
        <v>3900</v>
      </c>
      <c r="M10" s="9"/>
      <c r="N10" s="48">
        <v>1000</v>
      </c>
      <c r="O10" s="21">
        <f t="shared" si="3"/>
        <v>28000</v>
      </c>
      <c r="P10" s="8"/>
      <c r="Q10" s="9"/>
      <c r="R10" s="9"/>
      <c r="S10" s="48"/>
      <c r="T10" s="21">
        <f t="shared" si="4"/>
        <v>39100</v>
      </c>
      <c r="U10" s="53">
        <f>IF($J10="","",ROUND(($J10-$J$3)/1000,1)+(_xlfn.RANK.AVG($J10,($J10,$O10,$T10),1)-2)*10)</f>
        <v>2.9</v>
      </c>
      <c r="V10" s="54">
        <f>IF($O10="","",ROUND(($O10-$O$3)/1000,1)+(_xlfn.RANK.AVG($O10,($J10,$O10,$T10),1)-2)*10)</f>
        <v>-17</v>
      </c>
      <c r="W10" s="55">
        <f>IF($T10="","",ROUND(($T10-$T$3)/1000,1)+(_xlfn.RANK.AVG($T10,($J10,$O10,$T10),1)-2)*10)</f>
        <v>14.1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197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/>
      <c r="G11" s="9"/>
      <c r="H11" s="9"/>
      <c r="I11" s="48"/>
      <c r="J11" s="21">
        <f t="shared" si="2"/>
        <v>37900</v>
      </c>
      <c r="K11" s="8" t="s">
        <v>200</v>
      </c>
      <c r="L11" s="9">
        <v>-12000</v>
      </c>
      <c r="M11" s="9"/>
      <c r="N11" s="48">
        <v>-2000</v>
      </c>
      <c r="O11" s="21">
        <f t="shared" si="3"/>
        <v>14000</v>
      </c>
      <c r="P11" s="8" t="s">
        <v>201</v>
      </c>
      <c r="Q11" s="9">
        <v>12000</v>
      </c>
      <c r="R11" s="9"/>
      <c r="S11" s="48">
        <v>2000</v>
      </c>
      <c r="T11" s="21">
        <f t="shared" si="4"/>
        <v>53100</v>
      </c>
      <c r="U11" s="53">
        <f>IF($J11="","",ROUND(($J11-$J$3)/1000,1)+(_xlfn.RANK.AVG($J11,($J11,$O11,$T11),1)-2)*10)</f>
        <v>2.9</v>
      </c>
      <c r="V11" s="54">
        <f>IF($O11="","",ROUND(($O11-$O$3)/1000,1)+(_xlfn.RANK.AVG($O11,($J11,$O11,$T11),1)-2)*10)</f>
        <v>-31</v>
      </c>
      <c r="W11" s="55">
        <f>IF($T11="","",ROUND(($T11-$T$3)/1000,1)+(_xlfn.RANK.AVG($T11,($J11,$O11,$T11),1)-2)*10)</f>
        <v>28.1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196</v>
      </c>
      <c r="BU11" s="40" t="s">
        <v>197</v>
      </c>
      <c r="BV11" s="41" t="s">
        <v>79</v>
      </c>
      <c r="BW11" s="41" t="s">
        <v>79</v>
      </c>
      <c r="BX11" s="41" t="s">
        <v>79</v>
      </c>
      <c r="BY11" s="41" t="s">
        <v>80</v>
      </c>
      <c r="BZ11" s="41" t="s">
        <v>80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 t="s">
        <v>201</v>
      </c>
      <c r="G12" s="9">
        <v>8000</v>
      </c>
      <c r="H12" s="9"/>
      <c r="I12" s="48">
        <v>0</v>
      </c>
      <c r="J12" s="21">
        <f t="shared" si="2"/>
        <v>45900</v>
      </c>
      <c r="K12" s="8"/>
      <c r="L12" s="9"/>
      <c r="M12" s="9"/>
      <c r="N12" s="48"/>
      <c r="O12" s="21">
        <f t="shared" si="3"/>
        <v>14000</v>
      </c>
      <c r="P12" s="8" t="s">
        <v>200</v>
      </c>
      <c r="Q12" s="9">
        <v>-8000</v>
      </c>
      <c r="R12" s="9"/>
      <c r="S12" s="48">
        <v>0</v>
      </c>
      <c r="T12" s="21">
        <f t="shared" si="4"/>
        <v>45100</v>
      </c>
      <c r="U12" s="53">
        <f>IF($J12="","",ROUND(($J12-$J$3)/1000,1)+(_xlfn.RANK.AVG($J12,($J12,$O12,$T12),1)-2)*10)</f>
        <v>20.9</v>
      </c>
      <c r="V12" s="54">
        <f>IF($O12="","",ROUND(($O12-$O$3)/1000,1)+(_xlfn.RANK.AVG($O12,($J12,$O12,$T12),1)-2)*10)</f>
        <v>-31</v>
      </c>
      <c r="W12" s="55">
        <f>IF($T12="","",ROUND(($T12-$T$3)/1000,1)+(_xlfn.RANK.AVG($T12,($J12,$O12,$T12),1)-2)*10)</f>
        <v>10.1</v>
      </c>
      <c r="Y12" s="8"/>
      <c r="Z12" s="34"/>
      <c r="AA12" s="26"/>
      <c r="AB12" s="26"/>
      <c r="AC12" s="26">
        <v>5</v>
      </c>
      <c r="AD12" s="30" t="s">
        <v>196</v>
      </c>
      <c r="AE12" s="40" t="s">
        <v>104</v>
      </c>
      <c r="AF12" s="41" t="s">
        <v>79</v>
      </c>
      <c r="AG12" s="41" t="s">
        <v>199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1582-F2FC-49BA-82DB-E0D678BA5DBE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203</v>
      </c>
      <c r="G4" s="9">
        <v>0</v>
      </c>
      <c r="H4" s="9"/>
      <c r="I4" s="48"/>
      <c r="J4" s="21">
        <f>IF(COUNTA($F4,$K4,$P4)&gt;0,J3+SUM(G4:I4),"")</f>
        <v>35000</v>
      </c>
      <c r="K4" s="8" t="s">
        <v>203</v>
      </c>
      <c r="L4" s="9">
        <v>0</v>
      </c>
      <c r="M4" s="9"/>
      <c r="N4" s="48"/>
      <c r="O4" s="21">
        <f>IF(COUNTA($F4,$K4,$P4)&gt;0,O3+SUM(L4:N4),"")</f>
        <v>35000</v>
      </c>
      <c r="P4" s="8" t="s">
        <v>203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201</v>
      </c>
      <c r="L5" s="9">
        <v>12000</v>
      </c>
      <c r="M5" s="9"/>
      <c r="N5" s="48">
        <v>1000</v>
      </c>
      <c r="O5" s="21">
        <f t="shared" ref="O5:O30" si="3">IF(COUNTA($F5,$K5,$P5)&gt;0,O4+SUM(L5:N5),"")</f>
        <v>48000</v>
      </c>
      <c r="P5" s="8" t="s">
        <v>200</v>
      </c>
      <c r="Q5" s="9">
        <v>-12000</v>
      </c>
      <c r="R5" s="9"/>
      <c r="S5" s="48">
        <v>-1000</v>
      </c>
      <c r="T5" s="21">
        <f t="shared" ref="T5:T30" si="4">IF(COUNTA($F5,$K5,$P5)&gt;0,T4+SUM(Q5:S5),"")</f>
        <v>22000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23</v>
      </c>
      <c r="W5" s="55">
        <f>IF($T5="","",ROUND(($T5-$T$3)/1000,1)+(_xlfn.RANK.AVG($T5,($J5,$O5,$T5),1)-2)*10)</f>
        <v>-23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196</v>
      </c>
      <c r="AZ5" s="40" t="s">
        <v>197</v>
      </c>
      <c r="BA5" s="41" t="s">
        <v>83</v>
      </c>
      <c r="BB5" s="41" t="s">
        <v>92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194</v>
      </c>
      <c r="G6" s="9">
        <v>-1100</v>
      </c>
      <c r="H6" s="9">
        <v>-1000</v>
      </c>
      <c r="I6" s="48">
        <v>0</v>
      </c>
      <c r="J6" s="21">
        <f t="shared" si="2"/>
        <v>32900</v>
      </c>
      <c r="K6" s="8" t="s">
        <v>194</v>
      </c>
      <c r="L6" s="9">
        <v>-1700</v>
      </c>
      <c r="M6" s="9"/>
      <c r="N6" s="48">
        <v>0</v>
      </c>
      <c r="O6" s="21">
        <f t="shared" si="3"/>
        <v>46300</v>
      </c>
      <c r="P6" s="8" t="s">
        <v>195</v>
      </c>
      <c r="Q6" s="9">
        <v>2800</v>
      </c>
      <c r="R6" s="9">
        <v>1000</v>
      </c>
      <c r="S6" s="48">
        <v>0</v>
      </c>
      <c r="T6" s="21">
        <f t="shared" si="4"/>
        <v>25800</v>
      </c>
      <c r="U6" s="53">
        <f>IF($J6="","",ROUND(($J6-$J$3)/1000,1)+(_xlfn.RANK.AVG($J6,($J6,$O6,$T6),1)-2)*10)</f>
        <v>-2.1</v>
      </c>
      <c r="V6" s="54">
        <f>IF($O6="","",ROUND(($O6-$O$3)/1000,1)+(_xlfn.RANK.AVG($O6,($J6,$O6,$T6),1)-2)*10)</f>
        <v>21.3</v>
      </c>
      <c r="W6" s="55">
        <f>IF($T6="","",ROUND(($T6-$T$3)/1000,1)+(_xlfn.RANK.AVG($T6,($J6,$O6,$T6),1)-2)*10)</f>
        <v>-19.2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195</v>
      </c>
      <c r="G7" s="9">
        <v>16000</v>
      </c>
      <c r="H7" s="9"/>
      <c r="I7" s="48">
        <v>0</v>
      </c>
      <c r="J7" s="21">
        <f t="shared" si="2"/>
        <v>48900</v>
      </c>
      <c r="K7" s="8" t="s">
        <v>194</v>
      </c>
      <c r="L7" s="9">
        <v>-6000</v>
      </c>
      <c r="M7" s="9"/>
      <c r="N7" s="48">
        <v>0</v>
      </c>
      <c r="O7" s="21">
        <f t="shared" si="3"/>
        <v>40300</v>
      </c>
      <c r="P7" s="8" t="s">
        <v>194</v>
      </c>
      <c r="Q7" s="9">
        <v>-10000</v>
      </c>
      <c r="R7" s="9"/>
      <c r="S7" s="48">
        <v>0</v>
      </c>
      <c r="T7" s="21">
        <f t="shared" si="4"/>
        <v>15800</v>
      </c>
      <c r="U7" s="53">
        <f>IF($J7="","",ROUND(($J7-$J$3)/1000,1)+(_xlfn.RANK.AVG($J7,($J7,$O7,$T7),1)-2)*10)</f>
        <v>23.9</v>
      </c>
      <c r="V7" s="54">
        <f>IF($O7="","",ROUND(($O7-$O$3)/1000,1)+(_xlfn.RANK.AVG($O7,($J7,$O7,$T7),1)-2)*10)</f>
        <v>5.3</v>
      </c>
      <c r="W7" s="55">
        <f>IF($T7="","",ROUND(($T7-$T$3)/1000,1)+(_xlfn.RANK.AVG($T7,($J7,$O7,$T7),1)-2)*10)</f>
        <v>-29.2</v>
      </c>
      <c r="Y7" s="8"/>
      <c r="Z7" s="34"/>
      <c r="AA7" s="26">
        <v>1</v>
      </c>
      <c r="AB7" s="26"/>
      <c r="AC7" s="26">
        <v>8</v>
      </c>
      <c r="AD7" s="30" t="s">
        <v>196</v>
      </c>
      <c r="AE7" s="40" t="s">
        <v>197</v>
      </c>
      <c r="AF7" s="41" t="s">
        <v>82</v>
      </c>
      <c r="AG7" s="41" t="s">
        <v>198</v>
      </c>
      <c r="AH7" s="41" t="s">
        <v>86</v>
      </c>
      <c r="AI7" s="41" t="s">
        <v>84</v>
      </c>
      <c r="AJ7" s="41" t="s">
        <v>80</v>
      </c>
      <c r="AK7" s="41" t="s">
        <v>80</v>
      </c>
      <c r="AL7" s="41" t="s">
        <v>199</v>
      </c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 t="s">
        <v>201</v>
      </c>
      <c r="G8" s="9">
        <v>11600</v>
      </c>
      <c r="H8" s="9"/>
      <c r="I8" s="48">
        <v>0</v>
      </c>
      <c r="J8" s="21">
        <f t="shared" si="2"/>
        <v>60500</v>
      </c>
      <c r="K8" s="8" t="s">
        <v>200</v>
      </c>
      <c r="L8" s="9">
        <v>-11600</v>
      </c>
      <c r="M8" s="9"/>
      <c r="N8" s="48">
        <v>0</v>
      </c>
      <c r="O8" s="21">
        <f t="shared" si="3"/>
        <v>28700</v>
      </c>
      <c r="P8" s="8"/>
      <c r="Q8" s="9"/>
      <c r="R8" s="9"/>
      <c r="S8" s="48"/>
      <c r="T8" s="21">
        <f t="shared" si="4"/>
        <v>15800</v>
      </c>
      <c r="U8" s="53">
        <f>IF($J8="","",ROUND(($J8-$J$3)/1000,1)+(_xlfn.RANK.AVG($J8,($J8,$O8,$T8),1)-2)*10)</f>
        <v>35.5</v>
      </c>
      <c r="V8" s="54">
        <f>IF($O8="","",ROUND(($O8-$O$3)/1000,1)+(_xlfn.RANK.AVG($O8,($J8,$O8,$T8),1)-2)*10)</f>
        <v>-6.3</v>
      </c>
      <c r="W8" s="55">
        <f>IF($T8="","",ROUND(($T8-$T$3)/1000,1)+(_xlfn.RANK.AVG($T8,($J8,$O8,$T8),1)-2)*10)</f>
        <v>-29.2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104</v>
      </c>
      <c r="AF8" s="41" t="s">
        <v>86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たかの</v>
      </c>
      <c r="F9" s="8" t="s">
        <v>194</v>
      </c>
      <c r="G9" s="9">
        <v>-1700</v>
      </c>
      <c r="H9" s="9"/>
      <c r="I9" s="48">
        <v>-500</v>
      </c>
      <c r="J9" s="21">
        <f t="shared" si="2"/>
        <v>58300</v>
      </c>
      <c r="K9" s="8" t="s">
        <v>194</v>
      </c>
      <c r="L9" s="9">
        <v>-1100</v>
      </c>
      <c r="M9" s="9">
        <v>-1000</v>
      </c>
      <c r="N9" s="48">
        <v>-500</v>
      </c>
      <c r="O9" s="21">
        <f t="shared" si="3"/>
        <v>26100</v>
      </c>
      <c r="P9" s="8" t="s">
        <v>195</v>
      </c>
      <c r="Q9" s="9">
        <v>2800</v>
      </c>
      <c r="R9" s="9">
        <v>1000</v>
      </c>
      <c r="S9" s="48">
        <v>1000</v>
      </c>
      <c r="T9" s="21">
        <f t="shared" si="4"/>
        <v>20600</v>
      </c>
      <c r="U9" s="53">
        <f>IF($J9="","",ROUND(($J9-$J$3)/1000,1)+(_xlfn.RANK.AVG($J9,($J9,$O9,$T9),1)-2)*10)</f>
        <v>33.299999999999997</v>
      </c>
      <c r="V9" s="54">
        <f>IF($O9="","",ROUND(($O9-$O$3)/1000,1)+(_xlfn.RANK.AVG($O9,($J9,$O9,$T9),1)-2)*10)</f>
        <v>-8.9</v>
      </c>
      <c r="W9" s="55">
        <f>IF($T9="","",ROUND(($T9-$T$3)/1000,1)+(_xlfn.RANK.AVG($T9,($J9,$O9,$T9),1)-2)*10)</f>
        <v>-24.4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40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201</v>
      </c>
      <c r="G10" s="9">
        <v>2000</v>
      </c>
      <c r="H10" s="9">
        <v>2000</v>
      </c>
      <c r="I10" s="48">
        <v>0</v>
      </c>
      <c r="J10" s="21">
        <f t="shared" si="2"/>
        <v>62300</v>
      </c>
      <c r="K10" s="8"/>
      <c r="L10" s="9"/>
      <c r="M10" s="9">
        <v>-1000</v>
      </c>
      <c r="N10" s="48"/>
      <c r="O10" s="21">
        <f t="shared" si="3"/>
        <v>25100</v>
      </c>
      <c r="P10" s="8" t="s">
        <v>200</v>
      </c>
      <c r="Q10" s="9">
        <v>-2000</v>
      </c>
      <c r="R10" s="9">
        <v>-1000</v>
      </c>
      <c r="S10" s="48">
        <v>0</v>
      </c>
      <c r="T10" s="21">
        <f t="shared" si="4"/>
        <v>17600</v>
      </c>
      <c r="U10" s="53">
        <f>IF($J10="","",ROUND(($J10-$J$3)/1000,1)+(_xlfn.RANK.AVG($J10,($J10,$O10,$T10),1)-2)*10)</f>
        <v>37.299999999999997</v>
      </c>
      <c r="V10" s="54">
        <f>IF($O10="","",ROUND(($O10-$O$3)/1000,1)+(_xlfn.RANK.AVG($O10,($J10,$O10,$T10),1)-2)*10)</f>
        <v>-9.9</v>
      </c>
      <c r="W10" s="55">
        <f>IF($T10="","",ROUND(($T10-$T$3)/1000,1)+(_xlfn.RANK.AVG($T10,($J10,$O10,$T10),1)-2)*10)</f>
        <v>-27.4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199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>
        <v>-1000</v>
      </c>
      <c r="I11" s="48"/>
      <c r="J11" s="21">
        <f t="shared" si="2"/>
        <v>61300</v>
      </c>
      <c r="K11" s="8" t="s">
        <v>200</v>
      </c>
      <c r="L11" s="9">
        <v>-48000</v>
      </c>
      <c r="M11" s="9"/>
      <c r="N11" s="48">
        <v>0</v>
      </c>
      <c r="O11" s="21">
        <f t="shared" si="3"/>
        <v>-22900</v>
      </c>
      <c r="P11" s="8" t="s">
        <v>201</v>
      </c>
      <c r="Q11" s="9">
        <v>48000</v>
      </c>
      <c r="R11" s="9">
        <v>1000</v>
      </c>
      <c r="S11" s="48">
        <v>0</v>
      </c>
      <c r="T11" s="21">
        <f t="shared" si="4"/>
        <v>66600</v>
      </c>
      <c r="U11" s="53">
        <f>IF($J11="","",ROUND(($J11-$J$3)/1000,1)+(_xlfn.RANK.AVG($J11,($J11,$O11,$T11),1)-2)*10)</f>
        <v>26.3</v>
      </c>
      <c r="V11" s="54">
        <f>IF($O11="","",ROUND(($O11-$O$3)/1000,1)+(_xlfn.RANK.AVG($O11,($J11,$O11,$T11),1)-2)*10)</f>
        <v>-67.900000000000006</v>
      </c>
      <c r="W11" s="55">
        <f>IF($T11="","",ROUND(($T11-$T$3)/1000,1)+(_xlfn.RANK.AVG($T11,($J11,$O11,$T11),1)-2)*10)</f>
        <v>41.6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13</v>
      </c>
      <c r="BT11" s="30" t="s">
        <v>196</v>
      </c>
      <c r="BU11" s="40" t="s">
        <v>107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4BC2066-250F-4CAB-B36B-CC7FB6BE7F6C}">
      <formula1>"ロン,ツモ,放銃,ツモ支払,流局,チョンボ"</formula1>
    </dataValidation>
    <dataValidation type="list" allowBlank="1" showInputMessage="1" showErrorMessage="1" sqref="E4:E30" xr:uid="{308F89FF-6397-4F07-AE87-B2AB9FA5CA8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2020-09-25T12:05:13Z</dcterms:modified>
</cp:coreProperties>
</file>