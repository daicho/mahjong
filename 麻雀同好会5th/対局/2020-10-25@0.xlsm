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BB7BA907-DA5B-4B78-9C6B-617AEA088506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0" l="1"/>
  <c r="E12" i="20"/>
  <c r="E11" i="20"/>
  <c r="E10" i="20"/>
  <c r="E9" i="20"/>
  <c r="E8" i="20"/>
  <c r="E7" i="20"/>
  <c r="E6" i="20"/>
  <c r="E5" i="20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V12" i="20" s="1"/>
  <c r="J12" i="20"/>
  <c r="D12" i="20"/>
  <c r="C12" i="20"/>
  <c r="B12" i="20"/>
  <c r="A12" i="20"/>
  <c r="T11" i="20"/>
  <c r="O11" i="20"/>
  <c r="J11" i="20"/>
  <c r="U11" i="20" s="1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T9" i="20"/>
  <c r="W9" i="20" s="1"/>
  <c r="O9" i="20"/>
  <c r="J9" i="20"/>
  <c r="D9" i="20"/>
  <c r="C9" i="20"/>
  <c r="B9" i="20"/>
  <c r="A9" i="20"/>
  <c r="D8" i="20"/>
  <c r="D5" i="20"/>
  <c r="D6" i="20" s="1"/>
  <c r="T4" i="20"/>
  <c r="O4" i="20"/>
  <c r="O5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E8" i="19"/>
  <c r="E7" i="19"/>
  <c r="E6" i="19"/>
  <c r="E5" i="19"/>
  <c r="W12" i="20" l="1"/>
  <c r="U12" i="20"/>
  <c r="W11" i="20"/>
  <c r="V11" i="20"/>
  <c r="V10" i="20"/>
  <c r="W10" i="20"/>
  <c r="U9" i="20"/>
  <c r="V9" i="20"/>
  <c r="W4" i="20"/>
  <c r="O6" i="20"/>
  <c r="J6" i="20"/>
  <c r="C7" i="20"/>
  <c r="C8" i="20" s="1"/>
  <c r="V4" i="20"/>
  <c r="B5" i="20"/>
  <c r="A5" i="20" s="1"/>
  <c r="D7" i="20"/>
  <c r="T5" i="20"/>
  <c r="U5" i="20" s="1"/>
  <c r="C5" i="20"/>
  <c r="C6" i="20" s="1"/>
  <c r="U4" i="20"/>
  <c r="V5" i="20" l="1"/>
  <c r="O7" i="20"/>
  <c r="T6" i="20"/>
  <c r="V6" i="20" s="1"/>
  <c r="W5" i="20"/>
  <c r="U6" i="20"/>
  <c r="J7" i="20"/>
  <c r="B6" i="20"/>
  <c r="B7" i="20" l="1"/>
  <c r="J8" i="20"/>
  <c r="O8" i="20"/>
  <c r="A6" i="20"/>
  <c r="T7" i="20"/>
  <c r="W6" i="20"/>
  <c r="B8" i="20" l="1"/>
  <c r="A8" i="20" s="1"/>
  <c r="A7" i="20"/>
  <c r="T8" i="20"/>
  <c r="W8" i="20" s="1"/>
  <c r="W7" i="20"/>
  <c r="U8" i="20"/>
  <c r="V8" i="20"/>
  <c r="V7" i="20"/>
  <c r="U7" i="20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C6" i="19" l="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<sst xmlns="http://schemas.openxmlformats.org/spreadsheetml/2006/main" count="662" uniqueCount="208">
  <si>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</si>
  <si>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</si>
  <si>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</si>
  <si>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</si>
  <si>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</si>
  <si>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</si>
  <si>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</si>
  <si>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</si>
  <si>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</si>
  <si>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</si>
  <si>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</si>
  <si>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</si>
  <si>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</si>
  <si>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</si>
  <si>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</si>
  <si>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</si>
  <si>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</si>
  <si>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</si>
  <si>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</si>
  <si>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</si>
  <si>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</si>
  <si>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</si>
  <si>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</si>
  <si>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</si>
  <si>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</si>
  <si>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</si>
  <si>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</si>
  <si>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</si>
  <si>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</si>
  <si>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</si>
  <si>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</si>
  <si>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</si>
  <si>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</si>
  <si>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</si>
  <si>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</si>
  <si>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</si>
  <si>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</si>
  <si>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</si>
  <si>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</si>
  <si>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</si>
  <si>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</si>
  <si>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</si>
  <si>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</si>
  <si>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</si>
  <si>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</si>
  <si>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</si>
  <si>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</si>
  <si>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</si>
  <si>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</si>
  <si>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</si>
  <si>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</si>
  <si>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</si>
  <si>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</si>
  <si>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</si>
  <si>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</si>
  <si>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</si>
  <si>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</si>
  <si>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</si>
  <si>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</si>
  <si>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</si>
  <si>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</si>
  <si>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</si>
  <si>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</si>
  <si>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</si>
  <si>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</si>
  <si>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</si>
  <si>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</si>
  <si>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</si>
  <si>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</si>
  <si>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</si>
  <si>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</si>
  <si>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</si>
  <si>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</si>
  <si>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</si>
  <si>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</si>
  <si>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</si>
  <si>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</si>
  <si>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</si>
  <si>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</si>
  <si>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</si>
  <si>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</si>
  <si>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</si>
  <si>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</si>
  <si>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</si>
  <si>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</si>
  <si>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</si>
  <si>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</si>
  <si>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</si>
  <si>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</si>
  <si>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</si>
  <si>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</si>
  <si>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</si>
  <si>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</si>
  <si>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</si>
  <si>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</si>
  <si>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</si>
  <si>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</si>
  <si>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</si>
  <si>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</si>
  <si>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</si>
  <si>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</si>
  <si>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</si>
  <si>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</si>
  <si>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</si>
  <si>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</si>
  <si>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</si>
  <si>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</si>
  <si>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</si>
  <si>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</si>
  <si>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</si>
  <si>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</si>
  <si>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</si>
  <si>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</si>
  <si>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</si>
  <si>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</si>
  <si>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</si>
  <si>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</si>
  <si>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</si>
  <si>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</si>
  <si>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</si>
  <si>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</si>
  <si>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</si>
  <si>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</si>
  <si>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</si>
  <si>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</si>
  <si>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</si>
  <si>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</si>
  <si>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</si>
  <si>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</si>
  <si>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</si>
  <si>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</si>
  <si>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</si>
  <si>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</si>
  <si>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</si>
  <si>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</si>
  <si>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</si>
  <si>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</si>
  <si>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</si>
  <si>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</si>
  <si>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</si>
  <si>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</si>
  <si>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</si>
  <si>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</si>
  <si>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</si>
  <si>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</si>
  <si>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</si>
  <si>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</si>
  <si>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</si>
  <si>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</si>
  <si>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</si>
  <si>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</si>
  <si>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</si>
  <si>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</si>
  <si>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</si>
  <si>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</si>
  <si>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</si>
  <si>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</si>
  <si>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</si>
  <si>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</si>
  <si>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</si>
  <si>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</si>
  <si>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</si>
  <si>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</si>
  <si>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</si>
  <si>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</si>
  <si>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</si>
  <si>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</si>
  <si>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</si>
  <si>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</si>
  <si>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</si>
  <si>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</si>
  <si>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</si>
  <si>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</si>
  <si>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</si>
  <si>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</si>
  <si>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</si>
  <si>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</si>
  <si>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</si>
  <si>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</si>
  <si>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</si>
  <si>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</si>
  <si>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</si>
  <si>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</si>
  <si>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</si>
  <si>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</si>
  <si>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</si>
  <si>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</si>
  <si>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</si>
  <si>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</si>
  <si>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</si>
  <si>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</si>
  <si>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</si>
  <si>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りくと</t>
  </si>
  <si>
    <t>だいち</t>
  </si>
  <si>
    <t>放銃</t>
  </si>
  <si>
    <t>ロン</t>
  </si>
  <si>
    <t>52</t>
  </si>
  <si>
    <t>チョンボ</t>
  </si>
  <si>
    <t>ツモ支払</t>
  </si>
  <si>
    <t>ツモ</t>
  </si>
  <si>
    <t>01</t>
  </si>
  <si>
    <t>*</t>
  </si>
  <si>
    <t>だいち</t>
    <phoneticPr fontId="1"/>
  </si>
  <si>
    <t>りくと</t>
    <phoneticPr fontId="1"/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</si>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</sst>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-3900</v>
      </c>
      <c r="M4" s="9">
        <v>-1000</v>
      </c>
      <c r="N4" s="48">
        <v>0</v>
      </c>
      <c r="O4" s="21">
        <f>IF(COUNTA($F4,$K4,$P4)&gt;0,O3+SUM(L4:N4),"")</f>
        <v>30100</v>
      </c>
      <c r="P4" s="8" t="s">
        <v>195</v>
      </c>
      <c r="Q4" s="9">
        <v>3900</v>
      </c>
      <c r="R4" s="9">
        <v>1000</v>
      </c>
      <c r="S4" s="48">
        <v>0</v>
      </c>
      <c r="T4" s="21">
        <f>IF(COUNTA($F4,$K4,$P4)&gt;0,T3+SUM(Q4:S4),"")</f>
        <v>39900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-14.9</v>
      </c>
      <c r="W4" s="55">
        <f>IF($T4="","",ROUND(($T4-$T$3)/1000,1)+(_xlfn.RANK.AVG($T4,($J4,$O4,$T4),1)-2)*10)</f>
        <v>14.9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86</v>
      </c>
      <c r="BW4" s="41" t="s">
        <v>196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197</v>
      </c>
      <c r="G5" s="9">
        <v>5000</v>
      </c>
      <c r="H5" s="9"/>
      <c r="I5" s="48"/>
      <c r="J5" s="21">
        <f t="shared" ref="J5:J30" si="2">IF(COUNTA($F5,$K5,$P5)&gt;0,J4+SUM(G5:I5),"")</f>
        <v>40000</v>
      </c>
      <c r="K5" s="8" t="s">
        <v>197</v>
      </c>
      <c r="L5" s="9">
        <v>-10000</v>
      </c>
      <c r="M5" s="9"/>
      <c r="N5" s="48"/>
      <c r="O5" s="21">
        <f t="shared" ref="O5:O30" si="3">IF(COUNTA($F5,$K5,$P5)&gt;0,O4+SUM(L5:N5),"")</f>
        <v>20100</v>
      </c>
      <c r="P5" s="8" t="s">
        <v>197</v>
      </c>
      <c r="Q5" s="9">
        <v>5000</v>
      </c>
      <c r="R5" s="9"/>
      <c r="S5" s="48"/>
      <c r="T5" s="21">
        <f t="shared" ref="T5:T30" si="4">IF(COUNTA($F5,$K5,$P5)&gt;0,T4+SUM(Q5:S5),"")</f>
        <v>44900</v>
      </c>
      <c r="U5" s="53">
        <f>IF($J5="","",ROUND(($J5-$J$3)/1000,1)+(_xlfn.RANK.AVG($J5,($J5,$O5,$T5),1)-2)*10)</f>
        <v>5</v>
      </c>
      <c r="V5" s="54">
        <f>IF($O5="","",ROUND(($O5-$O$3)/1000,1)+(_xlfn.RANK.AVG($O5,($J5,$O5,$T5),1)-2)*10)</f>
        <v>-24.9</v>
      </c>
      <c r="W5" s="55">
        <f>IF($T5="","",ROUND(($T5-$T$3)/1000,1)+(_xlfn.RANK.AVG($T5,($J5,$O5,$T5),1)-2)*10)</f>
        <v>19.899999999999999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>
        <v>1</v>
      </c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198</v>
      </c>
      <c r="G6" s="9">
        <v>-800</v>
      </c>
      <c r="H6" s="9">
        <v>-1000</v>
      </c>
      <c r="I6" s="48">
        <v>0</v>
      </c>
      <c r="J6" s="21">
        <f t="shared" si="2"/>
        <v>38200</v>
      </c>
      <c r="K6" s="8" t="s">
        <v>199</v>
      </c>
      <c r="L6" s="9">
        <v>2100</v>
      </c>
      <c r="M6" s="9">
        <v>1000</v>
      </c>
      <c r="N6" s="48">
        <v>0</v>
      </c>
      <c r="O6" s="21">
        <f t="shared" si="3"/>
        <v>23200</v>
      </c>
      <c r="P6" s="8" t="s">
        <v>198</v>
      </c>
      <c r="Q6" s="9">
        <v>-1300</v>
      </c>
      <c r="R6" s="9"/>
      <c r="S6" s="48">
        <v>0</v>
      </c>
      <c r="T6" s="21">
        <f t="shared" si="4"/>
        <v>43600</v>
      </c>
      <c r="U6" s="53">
        <f>IF($J6="","",ROUND(($J6-$J$3)/1000,1)+(_xlfn.RANK.AVG($J6,($J6,$O6,$T6),1)-2)*10)</f>
        <v>3.2</v>
      </c>
      <c r="V6" s="54">
        <f>IF($O6="","",ROUND(($O6-$O$3)/1000,1)+(_xlfn.RANK.AVG($O6,($J6,$O6,$T6),1)-2)*10)</f>
        <v>-21.8</v>
      </c>
      <c r="W6" s="55">
        <f>IF($T6="","",ROUND(($T6-$T$3)/1000,1)+(_xlfn.RANK.AVG($T6,($J6,$O6,$T6),1)-2)*10)</f>
        <v>18.600000000000001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30</v>
      </c>
      <c r="AZ6" s="40" t="s">
        <v>82</v>
      </c>
      <c r="BA6" s="41" t="s">
        <v>196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199</v>
      </c>
      <c r="G7" s="9">
        <v>11600</v>
      </c>
      <c r="H7" s="9"/>
      <c r="I7" s="48">
        <v>0</v>
      </c>
      <c r="J7" s="21">
        <f t="shared" si="2"/>
        <v>49800</v>
      </c>
      <c r="K7" s="8" t="s">
        <v>198</v>
      </c>
      <c r="L7" s="9">
        <v>-5800</v>
      </c>
      <c r="M7" s="9"/>
      <c r="N7" s="48">
        <v>0</v>
      </c>
      <c r="O7" s="21">
        <f t="shared" si="3"/>
        <v>17400</v>
      </c>
      <c r="P7" s="8" t="s">
        <v>198</v>
      </c>
      <c r="Q7" s="9">
        <v>-5800</v>
      </c>
      <c r="R7" s="9"/>
      <c r="S7" s="48">
        <v>0</v>
      </c>
      <c r="T7" s="21">
        <f t="shared" si="4"/>
        <v>37800</v>
      </c>
      <c r="U7" s="53">
        <f>IF($J7="","",ROUND(($J7-$J$3)/1000,1)+(_xlfn.RANK.AVG($J7,($J7,$O7,$T7),1)-2)*10)</f>
        <v>24.8</v>
      </c>
      <c r="V7" s="54">
        <f>IF($O7="","",ROUND(($O7-$O$3)/1000,1)+(_xlfn.RANK.AVG($O7,($J7,$O7,$T7),1)-2)*10)</f>
        <v>-27.6</v>
      </c>
      <c r="W7" s="55">
        <f>IF($T7="","",ROUND(($T7-$T$3)/1000,1)+(_xlfn.RANK.AVG($T7,($J7,$O7,$T7),1)-2)*10)</f>
        <v>2.8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200</v>
      </c>
      <c r="AF7" s="41" t="s">
        <v>82</v>
      </c>
      <c r="AG7" s="41" t="s">
        <v>79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199</v>
      </c>
      <c r="G8" s="9">
        <v>48000</v>
      </c>
      <c r="H8" s="9"/>
      <c r="I8" s="48">
        <v>1000</v>
      </c>
      <c r="J8" s="21">
        <f t="shared" si="2"/>
        <v>98800</v>
      </c>
      <c r="K8" s="8" t="s">
        <v>198</v>
      </c>
      <c r="L8" s="9">
        <v>-24000</v>
      </c>
      <c r="M8" s="9"/>
      <c r="N8" s="48">
        <v>-500</v>
      </c>
      <c r="O8" s="21">
        <f t="shared" si="3"/>
        <v>-7100</v>
      </c>
      <c r="P8" s="8" t="s">
        <v>198</v>
      </c>
      <c r="Q8" s="9">
        <v>-24000</v>
      </c>
      <c r="R8" s="9"/>
      <c r="S8" s="48">
        <v>-500</v>
      </c>
      <c r="T8" s="21">
        <f t="shared" si="4"/>
        <v>13300</v>
      </c>
      <c r="U8" s="53">
        <f>IF($J8="","",ROUND(($J8-$J$3)/1000,1)+(_xlfn.RANK.AVG($J8,($J8,$O8,$T8),1)-2)*10)</f>
        <v>73.8</v>
      </c>
      <c r="V8" s="54">
        <f>IF($O8="","",ROUND(($O8-$O$3)/1000,1)+(_xlfn.RANK.AVG($O8,($J8,$O8,$T8),1)-2)*10)</f>
        <v>-52.1</v>
      </c>
      <c r="W8" s="55">
        <f>IF($T8="","",ROUND(($T8-$T$3)/1000,1)+(_xlfn.RANK.AVG($T8,($J8,$O8,$T8),1)-2)*10)</f>
        <v>-21.7</v>
      </c>
      <c r="Y8" s="8"/>
      <c r="Z8" s="34"/>
      <c r="AA8" s="26"/>
      <c r="AB8" s="26"/>
      <c r="AC8" s="26">
        <v>13</v>
      </c>
      <c r="AD8" s="30" t="s">
        <v>201</v>
      </c>
      <c r="AE8" s="40" t="s">
        <v>117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99FE283-1F8A-417C-8ADB-15319591FEA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2D2A8-246D-495F-BE49-EEFF6E3DC051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202</v>
      </c>
      <c r="L1" s="72"/>
      <c r="M1" s="72"/>
      <c r="N1" s="73"/>
      <c r="O1" s="74"/>
      <c r="P1" s="71" t="s">
        <v>203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201</v>
      </c>
      <c r="AZ4" s="40" t="s">
        <v>200</v>
      </c>
      <c r="BA4" s="41" t="s">
        <v>204</v>
      </c>
      <c r="BB4" s="41" t="s">
        <v>79</v>
      </c>
      <c r="BC4" s="41" t="s">
        <v>79</v>
      </c>
      <c r="BD4" s="41" t="s">
        <v>80</v>
      </c>
      <c r="BE4" s="41" t="s">
        <v>196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194</v>
      </c>
      <c r="L5" s="9">
        <v>-7700</v>
      </c>
      <c r="M5" s="9"/>
      <c r="N5" s="48">
        <v>0</v>
      </c>
      <c r="O5" s="21">
        <f t="shared" ref="O5:O30" si="3">IF(COUNTA($F5,$K5,$P5)&gt;0,O4+SUM(L5:N5),"")</f>
        <v>39300</v>
      </c>
      <c r="P5" s="8" t="s">
        <v>195</v>
      </c>
      <c r="Q5" s="9">
        <v>7700</v>
      </c>
      <c r="R5" s="9"/>
      <c r="S5" s="48">
        <v>0</v>
      </c>
      <c r="T5" s="21">
        <f t="shared" ref="T5:T30" si="4">IF(COUNTA($F5,$K5,$P5)&gt;0,T4+SUM(Q5:S5),"")</f>
        <v>30700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14.3</v>
      </c>
      <c r="W5" s="55">
        <f>IF($T5="","",ROUND(($T5-$T$3)/1000,1)+(_xlfn.RANK.AVG($T5,($J5,$O5,$T5),1)-2)*10)</f>
        <v>-14.3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79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207</v>
      </c>
      <c r="G6" s="9">
        <v>-1500</v>
      </c>
      <c r="H6" s="9"/>
      <c r="I6" s="48"/>
      <c r="J6" s="21">
        <f t="shared" si="2"/>
        <v>33500</v>
      </c>
      <c r="K6" s="8" t="s">
        <v>207</v>
      </c>
      <c r="L6" s="9">
        <v>3000</v>
      </c>
      <c r="M6" s="9">
        <v>-1000</v>
      </c>
      <c r="N6" s="48"/>
      <c r="O6" s="21">
        <f t="shared" si="3"/>
        <v>41300</v>
      </c>
      <c r="P6" s="8" t="s">
        <v>207</v>
      </c>
      <c r="Q6" s="9">
        <v>-1500</v>
      </c>
      <c r="R6" s="9"/>
      <c r="S6" s="48"/>
      <c r="T6" s="21">
        <f t="shared" si="4"/>
        <v>29200</v>
      </c>
      <c r="U6" s="53">
        <f>IF($J6="","",ROUND(($J6-$J$3)/1000,1)+(_xlfn.RANK.AVG($J6,($J6,$O6,$T6),1)-2)*10)</f>
        <v>-1.5</v>
      </c>
      <c r="V6" s="54">
        <f>IF($O6="","",ROUND(($O6-$O$3)/1000,1)+(_xlfn.RANK.AVG($O6,($J6,$O6,$T6),1)-2)*10)</f>
        <v>16.3</v>
      </c>
      <c r="W6" s="55">
        <f>IF($T6="","",ROUND(($T6-$T$3)/1000,1)+(_xlfn.RANK.AVG($T6,($J6,$O6,$T6),1)-2)*10)</f>
        <v>-15.8</v>
      </c>
      <c r="Y6" s="8" t="s">
        <v>205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206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tr">
        <f>IF($F$1="","",$F$1)</f>
        <v>ただ</v>
      </c>
      <c r="F7" s="8" t="s">
        <v>199</v>
      </c>
      <c r="G7" s="9">
        <v>12000</v>
      </c>
      <c r="H7" s="9">
        <v>2000</v>
      </c>
      <c r="I7" s="48">
        <v>1000</v>
      </c>
      <c r="J7" s="21">
        <f t="shared" si="2"/>
        <v>48500</v>
      </c>
      <c r="K7" s="8" t="s">
        <v>198</v>
      </c>
      <c r="L7" s="9">
        <v>-6000</v>
      </c>
      <c r="M7" s="9">
        <v>-1000</v>
      </c>
      <c r="N7" s="48">
        <v>-500</v>
      </c>
      <c r="O7" s="21">
        <f t="shared" si="3"/>
        <v>33800</v>
      </c>
      <c r="P7" s="8" t="s">
        <v>198</v>
      </c>
      <c r="Q7" s="9">
        <v>-6000</v>
      </c>
      <c r="R7" s="9"/>
      <c r="S7" s="48">
        <v>-500</v>
      </c>
      <c r="T7" s="21">
        <f t="shared" si="4"/>
        <v>22700</v>
      </c>
      <c r="U7" s="53">
        <f>IF($J7="","",ROUND(($J7-$J$3)/1000,1)+(_xlfn.RANK.AVG($J7,($J7,$O7,$T7),1)-2)*10)</f>
        <v>23.5</v>
      </c>
      <c r="V7" s="54">
        <f>IF($O7="","",ROUND(($O7-$O$3)/1000,1)+(_xlfn.RANK.AVG($O7,($J7,$O7,$T7),1)-2)*10)</f>
        <v>-1.2</v>
      </c>
      <c r="W7" s="55">
        <f>IF($T7="","",ROUND(($T7-$T$3)/1000,1)+(_xlfn.RANK.AVG($T7,($J7,$O7,$T7),1)-2)*10)</f>
        <v>-22.3</v>
      </c>
      <c r="Y7" s="8"/>
      <c r="Z7" s="34"/>
      <c r="AA7" s="26">
        <v>1</v>
      </c>
      <c r="AB7" s="26"/>
      <c r="AC7" s="26">
        <v>5</v>
      </c>
      <c r="AD7" s="30" t="s">
        <v>201</v>
      </c>
      <c r="AE7" s="40" t="s">
        <v>200</v>
      </c>
      <c r="AF7" s="41" t="s">
        <v>82</v>
      </c>
      <c r="AG7" s="41" t="s">
        <v>196</v>
      </c>
      <c r="AH7" s="41" t="s">
        <v>86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0</v>
      </c>
      <c r="E8" s="4" t="str">
        <f>IF($F$1="","",$F$1)</f>
        <v>ただ</v>
      </c>
      <c r="F8" s="8" t="s">
        <v>199</v>
      </c>
      <c r="G8" s="9">
        <v>3000</v>
      </c>
      <c r="H8" s="9">
        <v>1000</v>
      </c>
      <c r="I8" s="48">
        <v>2000</v>
      </c>
      <c r="J8" s="21">
        <f t="shared" si="2"/>
        <v>54500</v>
      </c>
      <c r="K8" s="8" t="s">
        <v>198</v>
      </c>
      <c r="L8" s="9">
        <v>-1500</v>
      </c>
      <c r="M8" s="9">
        <v>-1000</v>
      </c>
      <c r="N8" s="48">
        <v>-1000</v>
      </c>
      <c r="O8" s="21">
        <f t="shared" si="3"/>
        <v>30300</v>
      </c>
      <c r="P8" s="8" t="s">
        <v>198</v>
      </c>
      <c r="Q8" s="9">
        <v>-1500</v>
      </c>
      <c r="R8" s="9"/>
      <c r="S8" s="48">
        <v>-1000</v>
      </c>
      <c r="T8" s="21">
        <f t="shared" si="4"/>
        <v>20200</v>
      </c>
      <c r="U8" s="53">
        <f>IF($J8="","",ROUND(($J8-$J$3)/1000,1)+(_xlfn.RANK.AVG($J8,($J8,$O8,$T8),1)-2)*10)</f>
        <v>29.5</v>
      </c>
      <c r="V8" s="54">
        <f>IF($O8="","",ROUND(($O8-$O$3)/1000,1)+(_xlfn.RANK.AVG($O8,($J8,$O8,$T8),1)-2)*10)</f>
        <v>-4.7</v>
      </c>
      <c r="W8" s="55">
        <f>IF($T8="","",ROUND(($T8-$T$3)/1000,1)+(_xlfn.RANK.AVG($T8,($J8,$O8,$T8),1)-2)*10)</f>
        <v>-24.8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tr">
        <f>IF($F$1="","",$F$1)</f>
        <v>ただ</v>
      </c>
      <c r="F9" s="8"/>
      <c r="G9" s="9"/>
      <c r="H9" s="9"/>
      <c r="I9" s="48"/>
      <c r="J9" s="21">
        <f t="shared" si="2"/>
        <v>54500</v>
      </c>
      <c r="K9" s="8" t="s">
        <v>195</v>
      </c>
      <c r="L9" s="9">
        <v>5200</v>
      </c>
      <c r="M9" s="9"/>
      <c r="N9" s="48">
        <v>3000</v>
      </c>
      <c r="O9" s="21">
        <f t="shared" si="3"/>
        <v>38500</v>
      </c>
      <c r="P9" s="8" t="s">
        <v>194</v>
      </c>
      <c r="Q9" s="9">
        <v>-5200</v>
      </c>
      <c r="R9" s="9"/>
      <c r="S9" s="48">
        <v>-3000</v>
      </c>
      <c r="T9" s="21">
        <f t="shared" si="4"/>
        <v>12000</v>
      </c>
      <c r="U9" s="53">
        <f>IF($J9="","",ROUND(($J9-$J$3)/1000,1)+(_xlfn.RANK.AVG($J9,($J9,$O9,$T9),1)-2)*10)</f>
        <v>29.5</v>
      </c>
      <c r="V9" s="54">
        <f>IF($O9="","",ROUND(($O9-$O$3)/1000,1)+(_xlfn.RANK.AVG($O9,($J9,$O9,$T9),1)-2)*10)</f>
        <v>3.5</v>
      </c>
      <c r="W9" s="55">
        <f>IF($T9="","",ROUND(($T9-$T$3)/1000,1)+(_xlfn.RANK.AVG($T9,($J9,$O9,$T9),1)-2)*10)</f>
        <v>-33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200</v>
      </c>
      <c r="BA9" s="41" t="s">
        <v>196</v>
      </c>
      <c r="BB9" s="41" t="s">
        <v>80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207</v>
      </c>
      <c r="G10" s="9">
        <v>-1500</v>
      </c>
      <c r="H10" s="9"/>
      <c r="I10" s="48"/>
      <c r="J10" s="21">
        <f t="shared" si="2"/>
        <v>53000</v>
      </c>
      <c r="K10" s="8" t="s">
        <v>207</v>
      </c>
      <c r="L10" s="9">
        <v>3000</v>
      </c>
      <c r="M10" s="9">
        <v>-1000</v>
      </c>
      <c r="N10" s="48"/>
      <c r="O10" s="21">
        <f t="shared" si="3"/>
        <v>40500</v>
      </c>
      <c r="P10" s="8" t="s">
        <v>207</v>
      </c>
      <c r="Q10" s="9">
        <v>-1500</v>
      </c>
      <c r="R10" s="9"/>
      <c r="S10" s="48"/>
      <c r="T10" s="21">
        <f t="shared" si="4"/>
        <v>10500</v>
      </c>
      <c r="U10" s="53">
        <f>IF($J10="","",ROUND(($J10-$J$3)/1000,1)+(_xlfn.RANK.AVG($J10,($J10,$O10,$T10),1)-2)*10)</f>
        <v>28</v>
      </c>
      <c r="V10" s="54">
        <f>IF($O10="","",ROUND(($O10-$O$3)/1000,1)+(_xlfn.RANK.AVG($O10,($J10,$O10,$T10),1)-2)*10)</f>
        <v>5.5</v>
      </c>
      <c r="W10" s="55">
        <f>IF($T10="","",ROUND(($T10-$T$3)/1000,1)+(_xlfn.RANK.AVG($T10,($J10,$O10,$T10),1)-2)*10)</f>
        <v>-34.5</v>
      </c>
      <c r="Y10" s="8" t="s">
        <v>205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tr">
        <f>IF($K$1="","",$K$1)</f>
        <v>だいち</v>
      </c>
      <c r="F11" s="8" t="s">
        <v>199</v>
      </c>
      <c r="G11" s="9">
        <v>1200</v>
      </c>
      <c r="H11" s="9">
        <v>1000</v>
      </c>
      <c r="I11" s="48">
        <v>1000</v>
      </c>
      <c r="J11" s="21">
        <f t="shared" si="2"/>
        <v>56200</v>
      </c>
      <c r="K11" s="8" t="s">
        <v>198</v>
      </c>
      <c r="L11" s="9">
        <v>-700</v>
      </c>
      <c r="M11" s="9"/>
      <c r="N11" s="48">
        <v>-500</v>
      </c>
      <c r="O11" s="21">
        <f t="shared" si="3"/>
        <v>39300</v>
      </c>
      <c r="P11" s="8" t="s">
        <v>198</v>
      </c>
      <c r="Q11" s="9">
        <v>-500</v>
      </c>
      <c r="R11" s="9"/>
      <c r="S11" s="48">
        <v>-500</v>
      </c>
      <c r="T11" s="21">
        <f t="shared" si="4"/>
        <v>9500</v>
      </c>
      <c r="U11" s="53">
        <f>IF($J11="","",ROUND(($J11-$J$3)/1000,1)+(_xlfn.RANK.AVG($J11,($J11,$O11,$T11),1)-2)*10)</f>
        <v>31.2</v>
      </c>
      <c r="V11" s="54">
        <f>IF($O11="","",ROUND(($O11-$O$3)/1000,1)+(_xlfn.RANK.AVG($O11,($J11,$O11,$T11),1)-2)*10)</f>
        <v>4.3</v>
      </c>
      <c r="W11" s="55">
        <f>IF($T11="","",ROUND(($T11-$T$3)/1000,1)+(_xlfn.RANK.AVG($T11,($J11,$O11,$T11),1)-2)*10)</f>
        <v>-35.5</v>
      </c>
      <c r="Y11" s="8"/>
      <c r="Z11" s="34"/>
      <c r="AA11" s="26"/>
      <c r="AB11" s="26">
        <v>1</v>
      </c>
      <c r="AC11" s="26">
        <v>1</v>
      </c>
      <c r="AD11" s="30">
        <v>30</v>
      </c>
      <c r="AE11" s="40" t="s">
        <v>86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りくと</v>
      </c>
      <c r="F12" s="8"/>
      <c r="G12" s="9"/>
      <c r="H12" s="9"/>
      <c r="I12" s="48"/>
      <c r="J12" s="21">
        <f t="shared" si="2"/>
        <v>56200</v>
      </c>
      <c r="K12" s="8" t="s">
        <v>195</v>
      </c>
      <c r="L12" s="9">
        <v>16000</v>
      </c>
      <c r="M12" s="9"/>
      <c r="N12" s="48">
        <v>0</v>
      </c>
      <c r="O12" s="21">
        <f t="shared" si="3"/>
        <v>55300</v>
      </c>
      <c r="P12" s="8" t="s">
        <v>194</v>
      </c>
      <c r="Q12" s="9">
        <v>-16000</v>
      </c>
      <c r="R12" s="9"/>
      <c r="S12" s="48">
        <v>0</v>
      </c>
      <c r="T12" s="21">
        <f t="shared" si="4"/>
        <v>-6500</v>
      </c>
      <c r="U12" s="53">
        <f>IF($J12="","",ROUND(($J12-$J$3)/1000,1)+(_xlfn.RANK.AVG($J12,($J12,$O12,$T12),1)-2)*10)</f>
        <v>31.2</v>
      </c>
      <c r="V12" s="54">
        <f>IF($O12="","",ROUND(($O12-$O$3)/1000,1)+(_xlfn.RANK.AVG($O12,($J12,$O12,$T12),1)-2)*10)</f>
        <v>20.3</v>
      </c>
      <c r="W12" s="55">
        <f>IF($T12="","",ROUND(($T12-$T$3)/1000,1)+(_xlfn.RANK.AVG($T12,($J12,$O12,$T12),1)-2)*10)</f>
        <v>-51.5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201</v>
      </c>
      <c r="AZ12" s="40" t="s">
        <v>200</v>
      </c>
      <c r="BA12" s="41" t="s">
        <v>83</v>
      </c>
      <c r="BB12" s="41" t="s">
        <v>79</v>
      </c>
      <c r="BC12" s="41" t="s">
        <v>79</v>
      </c>
      <c r="BD12" s="41" t="s">
        <v>79</v>
      </c>
      <c r="BE12" s="41" t="s">
        <v>84</v>
      </c>
      <c r="BF12" s="41" t="s">
        <v>80</v>
      </c>
      <c r="BG12" s="41" t="s">
        <v>80</v>
      </c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ただ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B118A2F6-3E61-4E1C-9255-96D592555D51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AC5AD64B-357D-467C-8308-71F72FA629F3}">
      <formula1>"ロン,ツモ,放銃,ツモ支払,流局,チョンボ"</formula1>
    </dataValidation>
    <dataValidation type="list" allowBlank="1" showInputMessage="1" showErrorMessage="1" sqref="E4:E30" xr:uid="{B04E0573-83B8-4E13-B161-F593427BBD5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2020-10-25T08:16:11Z</dcterms:modified>
</cp:coreProperties>
</file>