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81E2EA6E-EE2B-4460-8E2A-0D0CF5D5C95F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2" l="1"/>
  <c r="E9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0" i="22"/>
  <c r="D11" i="22" s="1"/>
  <c r="D9" i="22"/>
  <c r="T6" i="22"/>
  <c r="T7" i="22" s="1"/>
  <c r="D6" i="22"/>
  <c r="T5" i="22"/>
  <c r="B5" i="22"/>
  <c r="D5" i="22"/>
  <c r="C5" i="22"/>
  <c r="T4" i="22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W4" i="22" l="1"/>
  <c r="O6" i="22"/>
  <c r="T8" i="22"/>
  <c r="A5" i="22"/>
  <c r="C8" i="22"/>
  <c r="B6" i="22"/>
  <c r="A6" i="22" s="1"/>
  <c r="D8" i="22"/>
  <c r="U4" i="22"/>
  <c r="J5" i="22"/>
  <c r="V5" i="22" s="1"/>
  <c r="C6" i="22"/>
  <c r="V4" i="22"/>
  <c r="C9" i="22"/>
  <c r="C10" i="22" s="1"/>
  <c r="C11" i="22" s="1"/>
  <c r="B7" i="22"/>
  <c r="B8" i="22" s="1"/>
  <c r="C7" i="22"/>
  <c r="D7" i="22"/>
  <c r="D12" i="21"/>
  <c r="E11" i="21"/>
  <c r="E10" i="21"/>
  <c r="B10" i="21" s="1"/>
  <c r="A10" i="21" s="1"/>
  <c r="E9" i="21"/>
  <c r="E8" i="2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T11" i="21"/>
  <c r="O11" i="21"/>
  <c r="J11" i="21"/>
  <c r="D11" i="21"/>
  <c r="C11" i="21"/>
  <c r="B11" i="21"/>
  <c r="A11" i="21" s="1"/>
  <c r="T10" i="21"/>
  <c r="W10" i="21" s="1"/>
  <c r="O10" i="21"/>
  <c r="V10" i="21" s="1"/>
  <c r="J10" i="21"/>
  <c r="U10" i="21" s="1"/>
  <c r="C9" i="21"/>
  <c r="D9" i="21"/>
  <c r="T5" i="21"/>
  <c r="T6" i="21" s="1"/>
  <c r="B5" i="21"/>
  <c r="D5" i="21"/>
  <c r="C5" i="21"/>
  <c r="T4" i="2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D13" i="20"/>
  <c r="D12" i="20"/>
  <c r="D11" i="20"/>
  <c r="D8" i="20"/>
  <c r="C8" i="20"/>
  <c r="D7" i="20"/>
  <c r="D6" i="20"/>
  <c r="J5" i="20"/>
  <c r="J6" i="20" s="1"/>
  <c r="C5" i="20"/>
  <c r="D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4" i="19"/>
  <c r="E13" i="19"/>
  <c r="E12" i="19"/>
  <c r="E11" i="19"/>
  <c r="E10" i="19"/>
  <c r="E9" i="19"/>
  <c r="E8" i="19"/>
  <c r="E7" i="19"/>
  <c r="E6" i="19"/>
  <c r="E5" i="19"/>
  <c r="B9" i="22" l="1"/>
  <c r="T9" i="22"/>
  <c r="A7" i="22"/>
  <c r="A8" i="22"/>
  <c r="J6" i="22"/>
  <c r="W5" i="22"/>
  <c r="U5" i="22"/>
  <c r="O7" i="22"/>
  <c r="V6" i="22"/>
  <c r="A12" i="21"/>
  <c r="B12" i="21"/>
  <c r="C12" i="21"/>
  <c r="U11" i="21"/>
  <c r="V11" i="21"/>
  <c r="W11" i="21"/>
  <c r="C10" i="21"/>
  <c r="D10" i="21"/>
  <c r="C8" i="21"/>
  <c r="W4" i="21"/>
  <c r="U5" i="21"/>
  <c r="J6" i="21"/>
  <c r="O6" i="21"/>
  <c r="V5" i="21"/>
  <c r="T7" i="21"/>
  <c r="A5" i="21"/>
  <c r="C7" i="21"/>
  <c r="D7" i="21"/>
  <c r="W5" i="21"/>
  <c r="B6" i="21"/>
  <c r="U4" i="21"/>
  <c r="C6" i="21"/>
  <c r="V4" i="21"/>
  <c r="D6" i="21"/>
  <c r="U4" i="20"/>
  <c r="J7" i="20"/>
  <c r="B7" i="20"/>
  <c r="B8" i="20" s="1"/>
  <c r="T6" i="20"/>
  <c r="W5" i="20"/>
  <c r="C6" i="20"/>
  <c r="C7" i="20" s="1"/>
  <c r="O5" i="20"/>
  <c r="U5" i="20" s="1"/>
  <c r="C9" i="20"/>
  <c r="W4" i="20"/>
  <c r="C12" i="20"/>
  <c r="C13" i="20" s="1"/>
  <c r="V4" i="20"/>
  <c r="B6" i="20"/>
  <c r="C14" i="20"/>
  <c r="B5" i="20"/>
  <c r="A5" i="20" s="1"/>
  <c r="C10" i="20"/>
  <c r="C11" i="20" s="1"/>
  <c r="D10" i="20"/>
  <c r="E4" i="19"/>
  <c r="A9" i="22" l="1"/>
  <c r="O8" i="22"/>
  <c r="B10" i="22"/>
  <c r="J7" i="22"/>
  <c r="V7" i="22" s="1"/>
  <c r="U6" i="22"/>
  <c r="W6" i="22"/>
  <c r="T10" i="22"/>
  <c r="B7" i="21"/>
  <c r="U6" i="21"/>
  <c r="J7" i="21"/>
  <c r="A6" i="21"/>
  <c r="W6" i="21"/>
  <c r="O7" i="21"/>
  <c r="V6" i="21"/>
  <c r="T8" i="21"/>
  <c r="B9" i="20"/>
  <c r="T7" i="20"/>
  <c r="O6" i="20"/>
  <c r="W6" i="20" s="1"/>
  <c r="V5" i="20"/>
  <c r="A6" i="20"/>
  <c r="A7" i="20" s="1"/>
  <c r="A8" i="20" s="1"/>
  <c r="J8" i="20"/>
  <c r="W3" i="19"/>
  <c r="V3" i="19"/>
  <c r="U3" i="19"/>
  <c r="T11" i="22" l="1"/>
  <c r="B11" i="22"/>
  <c r="A11" i="22" s="1"/>
  <c r="O9" i="22"/>
  <c r="J8" i="22"/>
  <c r="V8" i="22" s="1"/>
  <c r="U7" i="22"/>
  <c r="W7" i="22"/>
  <c r="A10" i="22"/>
  <c r="W7" i="21"/>
  <c r="T9" i="21"/>
  <c r="J8" i="21"/>
  <c r="U7" i="21"/>
  <c r="V7" i="21"/>
  <c r="O8" i="21"/>
  <c r="B8" i="21"/>
  <c r="A8" i="21" s="1"/>
  <c r="A7" i="21"/>
  <c r="B10" i="20"/>
  <c r="A10" i="20" s="1"/>
  <c r="A9" i="20"/>
  <c r="O7" i="20"/>
  <c r="V6" i="20"/>
  <c r="U6" i="20"/>
  <c r="J9" i="20"/>
  <c r="T8" i="20"/>
  <c r="W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O13" i="19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2" l="1"/>
  <c r="V9" i="22" s="1"/>
  <c r="U8" i="22"/>
  <c r="W8" i="22"/>
  <c r="O10" i="22"/>
  <c r="W8" i="21"/>
  <c r="B9" i="21"/>
  <c r="A9" i="21" s="1"/>
  <c r="O9" i="21"/>
  <c r="V8" i="21"/>
  <c r="J9" i="21"/>
  <c r="U9" i="21" s="1"/>
  <c r="U8" i="21"/>
  <c r="J10" i="20"/>
  <c r="O8" i="20"/>
  <c r="W8" i="20" s="1"/>
  <c r="V7" i="20"/>
  <c r="U7" i="20"/>
  <c r="T9" i="20"/>
  <c r="B11" i="20"/>
  <c r="A11" i="20"/>
  <c r="V14" i="19"/>
  <c r="W14" i="19"/>
  <c r="U14" i="19"/>
  <c r="W13" i="19"/>
  <c r="V13" i="19"/>
  <c r="U12" i="19"/>
  <c r="V12" i="19"/>
  <c r="W12" i="19"/>
  <c r="V11" i="19"/>
  <c r="W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1" i="22" l="1"/>
  <c r="J10" i="22"/>
  <c r="V10" i="22" s="1"/>
  <c r="U9" i="22"/>
  <c r="W9" i="22"/>
  <c r="V9" i="21"/>
  <c r="W9" i="21"/>
  <c r="J11" i="20"/>
  <c r="T10" i="20"/>
  <c r="B12" i="20"/>
  <c r="O9" i="20"/>
  <c r="W9" i="20" s="1"/>
  <c r="V8" i="20"/>
  <c r="U8" i="20"/>
  <c r="W5" i="19"/>
  <c r="V5" i="19"/>
  <c r="U5" i="19"/>
  <c r="J11" i="22" l="1"/>
  <c r="U10" i="22"/>
  <c r="W10" i="22"/>
  <c r="J12" i="20"/>
  <c r="O10" i="20"/>
  <c r="V9" i="20"/>
  <c r="U9" i="20"/>
  <c r="B13" i="20"/>
  <c r="A13" i="20" s="1"/>
  <c r="A12" i="20"/>
  <c r="T11" i="20"/>
  <c r="W10" i="20"/>
  <c r="U11" i="22" l="1"/>
  <c r="W11" i="22"/>
  <c r="V11" i="22"/>
  <c r="O11" i="20"/>
  <c r="V10" i="20"/>
  <c r="U10" i="20"/>
  <c r="B14" i="20"/>
  <c r="A14" i="20" s="1"/>
  <c r="T12" i="20"/>
  <c r="W11" i="20"/>
  <c r="J13" i="20"/>
  <c r="T13" i="20" l="1"/>
  <c r="J14" i="20"/>
  <c r="O12" i="20"/>
  <c r="V11" i="20"/>
  <c r="U11" i="20"/>
  <c r="V12" i="20" l="1"/>
  <c r="O13" i="20"/>
  <c r="U12" i="20"/>
  <c r="W12" i="20"/>
  <c r="T14" i="20"/>
  <c r="W13" i="20"/>
  <c r="W14" i="20" l="1"/>
  <c r="O14" i="20"/>
  <c r="V13" i="20"/>
  <c r="U13" i="20"/>
  <c r="V14" i="20" l="1"/>
  <c r="U14" i="20"/>
</calcChain>
</file>

<file path=xl/sharedStrings.xml><?xml version="1.0" encoding="utf-8"?>
<sst xmlns="http://schemas.openxmlformats.org/spreadsheetml/2006/main" count="852" uniqueCount="209">
  <si>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</si>
  <si>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</si>
  <si>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</si>
  <si>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</si>
  <si>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</si>
  <si>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</si>
  <si>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</si>
  <si>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</si>
  <si>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</si>
  <si>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</si>
  <si>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</si>
  <si>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</si>
  <si>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</si>
  <si>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</si>
  <si>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</si>
  <si>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</si>
  <si>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</si>
  <si>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</si>
  <si>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</si>
  <si>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</si>
  <si>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</si>
  <si>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</si>
  <si>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</si>
  <si>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</si>
  <si>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</si>
  <si>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</si>
  <si>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</si>
  <si>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</si>
  <si>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</si>
  <si>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</si>
  <si>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</si>
  <si>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</si>
  <si>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</si>
  <si>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</si>
  <si>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</si>
  <si>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</si>
  <si>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</si>
  <si>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</si>
  <si>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</si>
  <si>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</si>
  <si>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</si>
  <si>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</si>
  <si>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</si>
  <si>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</si>
  <si>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</si>
  <si>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</si>
  <si>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</si>
  <si>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</si>
  <si>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</si>
  <si>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</si>
  <si>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</si>
  <si>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</si>
  <si>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</si>
  <si>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</si>
  <si>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</si>
  <si>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</si>
  <si>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</si>
  <si>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</si>
  <si>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</si>
  <si>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</si>
  <si>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</si>
  <si>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</si>
  <si>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</si>
  <si>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</si>
  <si>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</si>
  <si>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</si>
  <si>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</si>
  <si>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</si>
  <si>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</si>
  <si>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</si>
  <si>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</si>
  <si>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</si>
  <si>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</si>
  <si>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</si>
  <si>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</si>
  <si>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</si>
  <si>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</si>
  <si>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</si>
  <si>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</si>
  <si>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</si>
  <si>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</si>
  <si>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</si>
  <si>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</si>
  <si>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</si>
  <si>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</si>
  <si>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</si>
  <si>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</si>
  <si>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</si>
  <si>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</si>
  <si>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</si>
  <si>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</si>
  <si>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</si>
  <si>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</si>
  <si>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</si>
  <si>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</si>
  <si>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</si>
  <si>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</si>
  <si>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</si>
  <si>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</si>
  <si>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</si>
  <si>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</si>
  <si>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</si>
  <si>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</si>
  <si>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</si>
  <si>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</si>
  <si>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</si>
  <si>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</si>
  <si>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</si>
  <si>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</si>
  <si>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</si>
  <si>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</si>
  <si>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</si>
  <si>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</si>
  <si>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</si>
  <si>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</si>
  <si>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</si>
  <si>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</si>
  <si>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</si>
  <si>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</si>
  <si>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</si>
  <si>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</si>
  <si>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</si>
  <si>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</si>
  <si>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</si>
  <si>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</si>
  <si>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</si>
  <si>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</si>
  <si>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</si>
  <si>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</si>
  <si>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</si>
  <si>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</si>
  <si>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</si>
  <si>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</si>
  <si>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</si>
  <si>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</si>
  <si>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</si>
  <si>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</si>
  <si>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</si>
  <si>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</si>
  <si>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</si>
  <si>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</si>
  <si>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</si>
  <si>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</si>
  <si>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</si>
  <si>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</si>
  <si>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</si>
  <si>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</si>
  <si>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</si>
  <si>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</si>
  <si>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</si>
  <si>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</si>
  <si>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</si>
  <si>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</si>
  <si>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</si>
  <si>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</si>
  <si>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</si>
  <si>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</si>
  <si>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</si>
  <si>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</si>
  <si>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</si>
  <si>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</si>
  <si>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</si>
  <si>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</si>
  <si>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</si>
  <si>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</si>
  <si>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</si>
  <si>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</si>
  <si>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</si>
  <si>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</si>
  <si>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</si>
  <si>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</si>
  <si>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</si>
  <si>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</si>
  <si>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</si>
  <si>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</si>
  <si>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</si>
  <si>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</si>
  <si>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</si>
  <si>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</si>
  <si>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</si>
  <si>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</si>
  <si>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</si>
  <si>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</si>
  <si>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</si>
  <si>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</si>
  <si>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</si>
  <si>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</si>
  <si>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</si>
  <si>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</si>
  <si>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</si>
  <si>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</si>
  <si>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</si>
  <si>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ただ</t>
  </si>
  <si>
    <t>たかの</t>
  </si>
  <si>
    <t>放銃</t>
  </si>
  <si>
    <t>ロン</t>
  </si>
  <si>
    <t>ツモ</t>
  </si>
  <si>
    <t>ツモ支払</t>
  </si>
  <si>
    <t>52</t>
  </si>
  <si>
    <t>*</t>
  </si>
  <si>
    <t>01</t>
  </si>
  <si>
    <t>だいち</t>
    <phoneticPr fontId="1"/>
  </si>
  <si>
    <t>たかの</t>
    <phoneticPr fontId="1"/>
  </si>
  <si>
    <t>02</t>
  </si>
  <si>
    <t>T</t>
  </si>
  <si>
    <t>N</t>
  </si>
  <si>
    <t>流局</t>
    <phoneticPr fontId="1"/>
  </si>
  <si>
    <t>いちかわ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</si>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</sst>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C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-1300</v>
      </c>
      <c r="M4" s="9"/>
      <c r="N4" s="48">
        <v>0</v>
      </c>
      <c r="O4" s="21">
        <f>IF(COUNTA($F4,$K4,$P4)&gt;0,O3+SUM(L4:N4),"")</f>
        <v>33700</v>
      </c>
      <c r="P4" s="8" t="s">
        <v>195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-11.3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40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2100</v>
      </c>
      <c r="H5" s="9"/>
      <c r="I5" s="48">
        <v>0</v>
      </c>
      <c r="J5" s="21">
        <f t="shared" ref="J5:J30" si="2">IF(COUNTA($F5,$K5,$P5)&gt;0,J4+SUM(G5:I5),"")</f>
        <v>37100</v>
      </c>
      <c r="K5" s="8" t="s">
        <v>197</v>
      </c>
      <c r="L5" s="9">
        <v>-1300</v>
      </c>
      <c r="M5" s="9"/>
      <c r="N5" s="48">
        <v>0</v>
      </c>
      <c r="O5" s="21">
        <f t="shared" ref="O5:O30" si="3">IF(COUNTA($F5,$K5,$P5)&gt;0,O4+SUM(L5:N5),"")</f>
        <v>32400</v>
      </c>
      <c r="P5" s="8" t="s">
        <v>197</v>
      </c>
      <c r="Q5" s="9">
        <v>-800</v>
      </c>
      <c r="R5" s="9"/>
      <c r="S5" s="48">
        <v>0</v>
      </c>
      <c r="T5" s="21">
        <f t="shared" ref="T5:T30" si="4">IF(COUNTA($F5,$K5,$P5)&gt;0,T4+SUM(Q5:S5),"")</f>
        <v>35500</v>
      </c>
      <c r="U5" s="53">
        <f>IF($J5="","",ROUND(($J5-$J$3)/1000,1)+(_xlfn.RANK.AVG($J5,($J5,$O5,$T5),1)-2)*10)</f>
        <v>12.1</v>
      </c>
      <c r="V5" s="54">
        <f>IF($O5="","",ROUND(($O5-$O$3)/1000,1)+(_xlfn.RANK.AVG($O5,($J5,$O5,$T5),1)-2)*10)</f>
        <v>-12.6</v>
      </c>
      <c r="W5" s="55">
        <f>IF($T5="","",ROUND(($T5-$T$3)/1000,1)+(_xlfn.RANK.AVG($T5,($J5,$O5,$T5),1)-2)*10)</f>
        <v>0.5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198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197</v>
      </c>
      <c r="G6" s="9">
        <v>-1500</v>
      </c>
      <c r="H6" s="9"/>
      <c r="I6" s="48">
        <v>0</v>
      </c>
      <c r="J6" s="21">
        <f t="shared" si="2"/>
        <v>35600</v>
      </c>
      <c r="K6" s="8" t="s">
        <v>197</v>
      </c>
      <c r="L6" s="9">
        <v>-1500</v>
      </c>
      <c r="M6" s="9"/>
      <c r="N6" s="48">
        <v>0</v>
      </c>
      <c r="O6" s="21">
        <f t="shared" si="3"/>
        <v>30900</v>
      </c>
      <c r="P6" s="8" t="s">
        <v>196</v>
      </c>
      <c r="Q6" s="9">
        <v>3000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0.6</v>
      </c>
      <c r="V6" s="54">
        <f>IF($O6="","",ROUND(($O6-$O$3)/1000,1)+(_xlfn.RANK.AVG($O6,($J6,$O6,$T6),1)-2)*10)</f>
        <v>-14.1</v>
      </c>
      <c r="W6" s="55">
        <f>IF($T6="","",ROUND(($T6-$T$3)/1000,1)+(_xlfn.RANK.AVG($T6,($J6,$O6,$T6),1)-2)*10)</f>
        <v>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-12000</v>
      </c>
      <c r="H7" s="9"/>
      <c r="I7" s="48">
        <v>-1000</v>
      </c>
      <c r="J7" s="21">
        <f t="shared" si="2"/>
        <v>22600</v>
      </c>
      <c r="K7" s="8" t="s">
        <v>195</v>
      </c>
      <c r="L7" s="9">
        <v>12000</v>
      </c>
      <c r="M7" s="9"/>
      <c r="N7" s="48">
        <v>1000</v>
      </c>
      <c r="O7" s="21">
        <f t="shared" si="3"/>
        <v>43900</v>
      </c>
      <c r="P7" s="8"/>
      <c r="Q7" s="9"/>
      <c r="R7" s="9"/>
      <c r="S7" s="48"/>
      <c r="T7" s="21">
        <f t="shared" si="4"/>
        <v>38500</v>
      </c>
      <c r="U7" s="53">
        <f>IF($J7="","",ROUND(($J7-$J$3)/1000,1)+(_xlfn.RANK.AVG($J7,($J7,$O7,$T7),1)-2)*10)</f>
        <v>-22.4</v>
      </c>
      <c r="V7" s="54">
        <f>IF($O7="","",ROUND(($O7-$O$3)/1000,1)+(_xlfn.RANK.AVG($O7,($J7,$O7,$T7),1)-2)*10)</f>
        <v>18.899999999999999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7</v>
      </c>
      <c r="AY7" s="30" t="s">
        <v>199</v>
      </c>
      <c r="AZ7" s="40" t="s">
        <v>79</v>
      </c>
      <c r="BA7" s="41" t="s">
        <v>79</v>
      </c>
      <c r="BB7" s="41" t="s">
        <v>79</v>
      </c>
      <c r="BC7" s="41" t="s">
        <v>79</v>
      </c>
      <c r="BD7" s="41" t="s">
        <v>101</v>
      </c>
      <c r="BE7" s="41" t="s">
        <v>198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195</v>
      </c>
      <c r="G8" s="9">
        <v>2900</v>
      </c>
      <c r="H8" s="9">
        <v>1000</v>
      </c>
      <c r="I8" s="48">
        <v>0</v>
      </c>
      <c r="J8" s="21">
        <f t="shared" si="2"/>
        <v>26500</v>
      </c>
      <c r="K8" s="8"/>
      <c r="L8" s="9"/>
      <c r="M8" s="9"/>
      <c r="N8" s="48"/>
      <c r="O8" s="21">
        <f t="shared" si="3"/>
        <v>43900</v>
      </c>
      <c r="P8" s="8" t="s">
        <v>194</v>
      </c>
      <c r="Q8" s="9">
        <v>-2900</v>
      </c>
      <c r="R8" s="9">
        <v>-1000</v>
      </c>
      <c r="S8" s="48">
        <v>0</v>
      </c>
      <c r="T8" s="21">
        <f t="shared" si="4"/>
        <v>34600</v>
      </c>
      <c r="U8" s="53">
        <f>IF($J8="","",ROUND(($J8-$J$3)/1000,1)+(_xlfn.RANK.AVG($J8,($J8,$O8,$T8),1)-2)*10)</f>
        <v>-18.5</v>
      </c>
      <c r="V8" s="54">
        <f>IF($O8="","",ROUND(($O8-$O$3)/1000,1)+(_xlfn.RANK.AVG($O8,($J8,$O8,$T8),1)-2)*10)</f>
        <v>18.899999999999999</v>
      </c>
      <c r="W8" s="55">
        <f>IF($T8="","",ROUND(($T8-$T$3)/1000,1)+(_xlfn.RANK.AVG($T8,($J8,$O8,$T8),1)-2)*10)</f>
        <v>-0.4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3000</v>
      </c>
      <c r="H9" s="9"/>
      <c r="I9" s="48">
        <v>1000</v>
      </c>
      <c r="J9" s="21">
        <f t="shared" si="2"/>
        <v>30500</v>
      </c>
      <c r="K9" s="8" t="s">
        <v>197</v>
      </c>
      <c r="L9" s="9">
        <v>-1500</v>
      </c>
      <c r="M9" s="9"/>
      <c r="N9" s="48">
        <v>-500</v>
      </c>
      <c r="O9" s="21">
        <f t="shared" si="3"/>
        <v>41900</v>
      </c>
      <c r="P9" s="8" t="s">
        <v>197</v>
      </c>
      <c r="Q9" s="9">
        <v>-1500</v>
      </c>
      <c r="R9" s="9"/>
      <c r="S9" s="48">
        <v>-500</v>
      </c>
      <c r="T9" s="21">
        <f t="shared" si="4"/>
        <v>32600</v>
      </c>
      <c r="U9" s="53">
        <f>IF($J9="","",ROUND(($J9-$J$3)/1000,1)+(_xlfn.RANK.AVG($J9,($J9,$O9,$T9),1)-2)*10)</f>
        <v>-14.5</v>
      </c>
      <c r="V9" s="54">
        <f>IF($O9="","",ROUND(($O9-$O$3)/1000,1)+(_xlfn.RANK.AVG($O9,($J9,$O9,$T9),1)-2)*10)</f>
        <v>16.899999999999999</v>
      </c>
      <c r="W9" s="55">
        <f>IF($T9="","",ROUND(($T9-$T$3)/1000,1)+(_xlfn.RANK.AVG($T9,($J9,$O9,$T9),1)-2)*10)</f>
        <v>-2.4</v>
      </c>
      <c r="Y9" s="8"/>
      <c r="Z9" s="34"/>
      <c r="AA9" s="26">
        <v>1</v>
      </c>
      <c r="AB9" s="26"/>
      <c r="AC9" s="26">
        <v>2</v>
      </c>
      <c r="AD9" s="30">
        <v>30</v>
      </c>
      <c r="AE9" s="40" t="s">
        <v>200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だいち</v>
      </c>
      <c r="F10" s="8" t="s">
        <v>195</v>
      </c>
      <c r="G10" s="9">
        <v>7700</v>
      </c>
      <c r="H10" s="9">
        <v>1000</v>
      </c>
      <c r="I10" s="48">
        <v>2000</v>
      </c>
      <c r="J10" s="21">
        <f t="shared" si="2"/>
        <v>41200</v>
      </c>
      <c r="K10" s="8" t="s">
        <v>194</v>
      </c>
      <c r="L10" s="9">
        <v>-7700</v>
      </c>
      <c r="M10" s="9">
        <v>-1000</v>
      </c>
      <c r="N10" s="48">
        <v>-2000</v>
      </c>
      <c r="O10" s="21">
        <f t="shared" si="3"/>
        <v>31200</v>
      </c>
      <c r="P10" s="8"/>
      <c r="Q10" s="9"/>
      <c r="R10" s="9"/>
      <c r="S10" s="48"/>
      <c r="T10" s="21">
        <f t="shared" si="4"/>
        <v>32600</v>
      </c>
      <c r="U10" s="53">
        <f>IF($J10="","",ROUND(($J10-$J$3)/1000,1)+(_xlfn.RANK.AVG($J10,($J10,$O10,$T10),1)-2)*10)</f>
        <v>16.2</v>
      </c>
      <c r="V10" s="54">
        <f>IF($O10="","",ROUND(($O10-$O$3)/1000,1)+(_xlfn.RANK.AVG($O10,($J10,$O10,$T10),1)-2)*10)</f>
        <v>-13.8</v>
      </c>
      <c r="W10" s="55">
        <f>IF($T10="","",ROUND(($T10-$T$3)/1000,1)+(_xlfn.RANK.AVG($T10,($J10,$O10,$T10),1)-2)*10)</f>
        <v>-2.4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200</v>
      </c>
      <c r="AF10" s="41" t="s">
        <v>86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>
        <f t="shared" si="2"/>
        <v>41200</v>
      </c>
      <c r="K11" s="8" t="s">
        <v>195</v>
      </c>
      <c r="L11" s="9">
        <v>8000</v>
      </c>
      <c r="M11" s="9">
        <v>1000</v>
      </c>
      <c r="N11" s="48">
        <v>3000</v>
      </c>
      <c r="O11" s="21">
        <f t="shared" si="3"/>
        <v>43200</v>
      </c>
      <c r="P11" s="8" t="s">
        <v>194</v>
      </c>
      <c r="Q11" s="9">
        <v>-8000</v>
      </c>
      <c r="R11" s="9">
        <v>-1000</v>
      </c>
      <c r="S11" s="48">
        <v>-3000</v>
      </c>
      <c r="T11" s="21">
        <f t="shared" si="4"/>
        <v>20600</v>
      </c>
      <c r="U11" s="53">
        <f>IF($J11="","",ROUND(($J11-$J$3)/1000,1)+(_xlfn.RANK.AVG($J11,($J11,$O11,$T11),1)-2)*10)</f>
        <v>6.2</v>
      </c>
      <c r="V11" s="54">
        <f>IF($O11="","",ROUND(($O11-$O$3)/1000,1)+(_xlfn.RANK.AVG($O11,($J11,$O11,$T11),1)-2)*10)</f>
        <v>18.2</v>
      </c>
      <c r="W11" s="55">
        <f>IF($T11="","",ROUND(($T11-$T$3)/1000,1)+(_xlfn.RANK.AVG($T11,($J11,$O11,$T11),1)-2)*10)</f>
        <v>-24.4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199</v>
      </c>
      <c r="AZ11" s="40" t="s">
        <v>86</v>
      </c>
      <c r="BA11" s="41" t="s">
        <v>86</v>
      </c>
      <c r="BB11" s="41" t="s">
        <v>86</v>
      </c>
      <c r="BC11" s="41" t="s">
        <v>98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197</v>
      </c>
      <c r="G12" s="9">
        <v>-800</v>
      </c>
      <c r="H12" s="9"/>
      <c r="I12" s="48">
        <v>0</v>
      </c>
      <c r="J12" s="21">
        <f t="shared" si="2"/>
        <v>40400</v>
      </c>
      <c r="K12" s="8" t="s">
        <v>196</v>
      </c>
      <c r="L12" s="9">
        <v>1600</v>
      </c>
      <c r="M12" s="9"/>
      <c r="N12" s="48">
        <v>0</v>
      </c>
      <c r="O12" s="21">
        <f t="shared" si="3"/>
        <v>44800</v>
      </c>
      <c r="P12" s="8" t="s">
        <v>197</v>
      </c>
      <c r="Q12" s="9">
        <v>-800</v>
      </c>
      <c r="R12" s="9"/>
      <c r="S12" s="48">
        <v>0</v>
      </c>
      <c r="T12" s="21">
        <f t="shared" si="4"/>
        <v>19800</v>
      </c>
      <c r="U12" s="53">
        <f>IF($J12="","",ROUND(($J12-$J$3)/1000,1)+(_xlfn.RANK.AVG($J12,($J12,$O12,$T12),1)-2)*10)</f>
        <v>5.4</v>
      </c>
      <c r="V12" s="54">
        <f>IF($O12="","",ROUND(($O12-$O$3)/1000,1)+(_xlfn.RANK.AVG($O12,($J12,$O12,$T12),1)-2)*10)</f>
        <v>19.8</v>
      </c>
      <c r="W12" s="55">
        <f>IF($T12="","",ROUND(($T12-$T$3)/1000,1)+(_xlfn.RANK.AVG($T12,($J12,$O12,$T12),1)-2)*10)</f>
        <v>-25.2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</v>
      </c>
      <c r="AY12" s="30">
        <v>30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ただ</v>
      </c>
      <c r="F13" s="8" t="s">
        <v>197</v>
      </c>
      <c r="G13" s="9">
        <v>-2400</v>
      </c>
      <c r="H13" s="9"/>
      <c r="I13" s="48">
        <v>-500</v>
      </c>
      <c r="J13" s="21">
        <f t="shared" si="2"/>
        <v>37500</v>
      </c>
      <c r="K13" s="8" t="s">
        <v>197</v>
      </c>
      <c r="L13" s="9">
        <v>-4000</v>
      </c>
      <c r="M13" s="9"/>
      <c r="N13" s="48">
        <v>-500</v>
      </c>
      <c r="O13" s="21">
        <f t="shared" si="3"/>
        <v>40300</v>
      </c>
      <c r="P13" s="8" t="s">
        <v>196</v>
      </c>
      <c r="Q13" s="9">
        <v>6400</v>
      </c>
      <c r="R13" s="9"/>
      <c r="S13" s="48">
        <v>1000</v>
      </c>
      <c r="T13" s="21">
        <f t="shared" si="4"/>
        <v>27200</v>
      </c>
      <c r="U13" s="53">
        <f>IF($J13="","",ROUND(($J13-$J$3)/1000,1)+(_xlfn.RANK.AVG($J13,($J13,$O13,$T13),1)-2)*10)</f>
        <v>2.5</v>
      </c>
      <c r="V13" s="54">
        <f>IF($O13="","",ROUND(($O13-$O$3)/1000,1)+(_xlfn.RANK.AVG($O13,($J13,$O13,$T13),1)-2)*10)</f>
        <v>15.3</v>
      </c>
      <c r="W13" s="55">
        <f>IF($T13="","",ROUND(($T13-$T$3)/1000,1)+(_xlfn.RANK.AVG($T13,($J13,$O13,$T13),1)-2)*10)</f>
        <v>-17.8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50</v>
      </c>
      <c r="BU13" s="40" t="s">
        <v>200</v>
      </c>
      <c r="BV13" s="41" t="s">
        <v>82</v>
      </c>
      <c r="BW13" s="41" t="s">
        <v>198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たかの</v>
      </c>
      <c r="F14" s="8" t="s">
        <v>197</v>
      </c>
      <c r="G14" s="9">
        <v>-5800</v>
      </c>
      <c r="H14" s="9">
        <v>-1000</v>
      </c>
      <c r="I14" s="48">
        <v>0</v>
      </c>
      <c r="J14" s="21">
        <f t="shared" si="2"/>
        <v>30700</v>
      </c>
      <c r="K14" s="8" t="s">
        <v>197</v>
      </c>
      <c r="L14" s="9">
        <v>-5800</v>
      </c>
      <c r="M14" s="9"/>
      <c r="N14" s="48">
        <v>0</v>
      </c>
      <c r="O14" s="21">
        <f t="shared" si="3"/>
        <v>34500</v>
      </c>
      <c r="P14" s="8" t="s">
        <v>196</v>
      </c>
      <c r="Q14" s="9">
        <v>11600</v>
      </c>
      <c r="R14" s="9">
        <v>1000</v>
      </c>
      <c r="S14" s="48">
        <v>0</v>
      </c>
      <c r="T14" s="21">
        <f t="shared" si="4"/>
        <v>39800</v>
      </c>
      <c r="U14" s="53">
        <f>IF($J14="","",ROUND(($J14-$J$3)/1000,1)+(_xlfn.RANK.AVG($J14,($J14,$O14,$T14),1)-2)*10)</f>
        <v>-14.3</v>
      </c>
      <c r="V14" s="54">
        <f>IF($O14="","",ROUND(($O14-$O$3)/1000,1)+(_xlfn.RANK.AVG($O14,($J14,$O14,$T14),1)-2)*10)</f>
        <v>-0.5</v>
      </c>
      <c r="W14" s="55">
        <f>IF($T14="","",ROUND(($T14-$T$3)/1000,1)+(_xlfn.RANK.AVG($T14,($J14,$O14,$T14),1)-2)*10)</f>
        <v>14.8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4</v>
      </c>
      <c r="BT14" s="30">
        <v>30</v>
      </c>
      <c r="BU14" s="40" t="s">
        <v>104</v>
      </c>
      <c r="BV14" s="41" t="s">
        <v>79</v>
      </c>
      <c r="BW14" s="41" t="s">
        <v>86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C3E34EA-96CF-411C-92E7-95CEAC694D28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678A-06BE-44DA-972B-DF39039F240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 t="s">
        <v>195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14.9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83</v>
      </c>
      <c r="BW4" s="41" t="s">
        <v>84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195</v>
      </c>
      <c r="G5" s="9">
        <v>5200</v>
      </c>
      <c r="H5" s="9">
        <v>1000</v>
      </c>
      <c r="I5" s="48">
        <v>0</v>
      </c>
      <c r="J5" s="21">
        <f t="shared" ref="J5:J30" si="2">IF(COUNTA($F5,$K5,$P5)&gt;0,J4+SUM(G5:I5),"")</f>
        <v>41200</v>
      </c>
      <c r="K5" s="8"/>
      <c r="L5" s="9"/>
      <c r="M5" s="9"/>
      <c r="N5" s="48"/>
      <c r="O5" s="21">
        <f t="shared" ref="O5:O30" si="3">IF(COUNTA($F5,$K5,$P5)&gt;0,O4+SUM(L5:N5),"")</f>
        <v>30100</v>
      </c>
      <c r="P5" s="8" t="s">
        <v>194</v>
      </c>
      <c r="Q5" s="9">
        <v>-5200</v>
      </c>
      <c r="R5" s="9">
        <v>-1000</v>
      </c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16.2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-1.3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200</v>
      </c>
      <c r="AF5" s="41" t="s">
        <v>198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-5200</v>
      </c>
      <c r="H6" s="9"/>
      <c r="I6" s="48">
        <v>0</v>
      </c>
      <c r="J6" s="21">
        <f t="shared" si="2"/>
        <v>36000</v>
      </c>
      <c r="K6" s="8" t="s">
        <v>195</v>
      </c>
      <c r="L6" s="9">
        <v>5200</v>
      </c>
      <c r="M6" s="9"/>
      <c r="N6" s="48">
        <v>0</v>
      </c>
      <c r="O6" s="21">
        <f t="shared" si="3"/>
        <v>35300</v>
      </c>
      <c r="P6" s="8"/>
      <c r="Q6" s="9"/>
      <c r="R6" s="9"/>
      <c r="S6" s="48"/>
      <c r="T6" s="21">
        <f t="shared" si="4"/>
        <v>33700</v>
      </c>
      <c r="U6" s="53">
        <f>IF($J6="","",ROUND(($J6-$J$3)/1000,1)+(_xlfn.RANK.AVG($J6,($J6,$O6,$T6),1)-2)*10)</f>
        <v>11</v>
      </c>
      <c r="V6" s="54">
        <f>IF($O6="","",ROUND(($O6-$O$3)/1000,1)+(_xlfn.RANK.AVG($O6,($J6,$O6,$T6),1)-2)*10)</f>
        <v>0.3</v>
      </c>
      <c r="W6" s="55">
        <f>IF($T6="","",ROUND(($T6-$T$3)/1000,1)+(_xlfn.RANK.AVG($T6,($J6,$O6,$T6),1)-2)*10)</f>
        <v>-11.3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200</v>
      </c>
      <c r="BA6" s="41" t="s">
        <v>79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197</v>
      </c>
      <c r="G7" s="9">
        <v>-10000</v>
      </c>
      <c r="H7" s="9">
        <v>-1000</v>
      </c>
      <c r="I7" s="48">
        <v>0</v>
      </c>
      <c r="J7" s="21">
        <f t="shared" si="2"/>
        <v>25000</v>
      </c>
      <c r="K7" s="8" t="s">
        <v>196</v>
      </c>
      <c r="L7" s="9">
        <v>16000</v>
      </c>
      <c r="M7" s="9">
        <v>1000</v>
      </c>
      <c r="N7" s="48">
        <v>0</v>
      </c>
      <c r="O7" s="21">
        <f t="shared" si="3"/>
        <v>52300</v>
      </c>
      <c r="P7" s="8" t="s">
        <v>197</v>
      </c>
      <c r="Q7" s="9">
        <v>-6000</v>
      </c>
      <c r="R7" s="9"/>
      <c r="S7" s="48">
        <v>0</v>
      </c>
      <c r="T7" s="21">
        <f t="shared" si="4"/>
        <v>27700</v>
      </c>
      <c r="U7" s="53">
        <f>IF($J7="","",ROUND(($J7-$J$3)/1000,1)+(_xlfn.RANK.AVG($J7,($J7,$O7,$T7),1)-2)*10)</f>
        <v>-20</v>
      </c>
      <c r="V7" s="54">
        <f>IF($O7="","",ROUND(($O7-$O$3)/1000,1)+(_xlfn.RANK.AVG($O7,($J7,$O7,$T7),1)-2)*10)</f>
        <v>27.3</v>
      </c>
      <c r="W7" s="55">
        <f>IF($T7="","",ROUND(($T7-$T$3)/1000,1)+(_xlfn.RANK.AVG($T7,($J7,$O7,$T7),1)-2)*10)</f>
        <v>-7.3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9</v>
      </c>
      <c r="AY7" s="30" t="s">
        <v>199</v>
      </c>
      <c r="AZ7" s="40" t="s">
        <v>82</v>
      </c>
      <c r="BA7" s="41" t="s">
        <v>104</v>
      </c>
      <c r="BB7" s="41" t="s">
        <v>84</v>
      </c>
      <c r="BC7" s="41" t="s">
        <v>86</v>
      </c>
      <c r="BD7" s="41" t="s">
        <v>86</v>
      </c>
      <c r="BE7" s="41" t="s">
        <v>198</v>
      </c>
      <c r="BF7" s="41" t="s">
        <v>79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196</v>
      </c>
      <c r="G8" s="9">
        <v>2100</v>
      </c>
      <c r="H8" s="9">
        <v>1000</v>
      </c>
      <c r="I8" s="48">
        <v>0</v>
      </c>
      <c r="J8" s="21">
        <f t="shared" si="2"/>
        <v>28100</v>
      </c>
      <c r="K8" s="8" t="s">
        <v>197</v>
      </c>
      <c r="L8" s="9">
        <v>-1300</v>
      </c>
      <c r="M8" s="9">
        <v>-1000</v>
      </c>
      <c r="N8" s="48">
        <v>0</v>
      </c>
      <c r="O8" s="21">
        <f t="shared" si="3"/>
        <v>50000</v>
      </c>
      <c r="P8" s="8" t="s">
        <v>197</v>
      </c>
      <c r="Q8" s="9">
        <v>-800</v>
      </c>
      <c r="R8" s="9"/>
      <c r="S8" s="48">
        <v>0</v>
      </c>
      <c r="T8" s="21">
        <f t="shared" si="4"/>
        <v>26900</v>
      </c>
      <c r="U8" s="53">
        <f>IF($J8="","",ROUND(($J8-$J$3)/1000,1)+(_xlfn.RANK.AVG($J8,($J8,$O8,$T8),1)-2)*10)</f>
        <v>-6.9</v>
      </c>
      <c r="V8" s="54">
        <f>IF($O8="","",ROUND(($O8-$O$3)/1000,1)+(_xlfn.RANK.AVG($O8,($J8,$O8,$T8),1)-2)*10)</f>
        <v>25</v>
      </c>
      <c r="W8" s="55">
        <f>IF($T8="","",ROUND(($T8-$T$3)/1000,1)+(_xlfn.RANK.AVG($T8,($J8,$O8,$T8),1)-2)*10)</f>
        <v>-18.100000000000001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28100</v>
      </c>
      <c r="K9" s="8" t="s">
        <v>195</v>
      </c>
      <c r="L9" s="9">
        <v>1000</v>
      </c>
      <c r="M9" s="9">
        <v>1000</v>
      </c>
      <c r="N9" s="48">
        <v>0</v>
      </c>
      <c r="O9" s="21">
        <f t="shared" si="3"/>
        <v>52000</v>
      </c>
      <c r="P9" s="8" t="s">
        <v>194</v>
      </c>
      <c r="Q9" s="9">
        <v>-1000</v>
      </c>
      <c r="R9" s="9">
        <v>-1000</v>
      </c>
      <c r="S9" s="48">
        <v>0</v>
      </c>
      <c r="T9" s="21">
        <f t="shared" si="4"/>
        <v>24900</v>
      </c>
      <c r="U9" s="53">
        <f>IF($J9="","",ROUND(($J9-$J$3)/1000,1)+(_xlfn.RANK.AVG($J9,($J9,$O9,$T9),1)-2)*10)</f>
        <v>-6.9</v>
      </c>
      <c r="V9" s="54">
        <f>IF($O9="","",ROUND(($O9-$O$3)/1000,1)+(_xlfn.RANK.AVG($O9,($J9,$O9,$T9),1)-2)*10)</f>
        <v>27</v>
      </c>
      <c r="W9" s="55">
        <f>IF($T9="","",ROUND(($T9-$T$3)/1000,1)+(_xlfn.RANK.AVG($T9,($J9,$O9,$T9),1)-2)*10)</f>
        <v>-20.100000000000001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CAD01BC8-A765-481A-AADF-1D87D41AF334}">
      <formula1>"だいち,れんたろう,たかの,まっつん,いちかわ,ただ,たか,のり,りくと,わさび,"</formula1>
    </dataValidation>
    <dataValidation type="list" showInputMessage="1" showErrorMessage="1" sqref="K4:K30 P4:P30 F4:F30" xr:uid="{D0C7231D-970E-4F88-94DB-EEE262FCF524}">
      <formula1>"ロン,ツモ,放銃,ツモ支払,流局,チョンボ"</formula1>
    </dataValidation>
    <dataValidation type="list" allowBlank="1" showInputMessage="1" showErrorMessage="1" sqref="E4:E30" xr:uid="{B9536861-49C1-4085-9E10-5586A1BCE3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58E25-9928-4662-A533-93B0A342BF2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201</v>
      </c>
      <c r="L1" s="79"/>
      <c r="M1" s="79"/>
      <c r="N1" s="80"/>
      <c r="O1" s="81"/>
      <c r="P1" s="78" t="s">
        <v>202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-16000</v>
      </c>
      <c r="H4" s="9">
        <v>-1000</v>
      </c>
      <c r="I4" s="48">
        <v>0</v>
      </c>
      <c r="J4" s="21">
        <f>IF(COUNTA($F4,$K4,$P4)&gt;0,J3+SUM(G4:I4),"")</f>
        <v>18000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9</v>
      </c>
      <c r="BT4" s="30" t="s">
        <v>199</v>
      </c>
      <c r="BU4" s="40" t="s">
        <v>200</v>
      </c>
      <c r="BV4" s="41" t="s">
        <v>203</v>
      </c>
      <c r="BW4" s="41" t="s">
        <v>86</v>
      </c>
      <c r="BX4" s="41" t="s">
        <v>84</v>
      </c>
      <c r="BY4" s="41" t="s">
        <v>79</v>
      </c>
      <c r="BZ4" s="41" t="s">
        <v>79</v>
      </c>
      <c r="CA4" s="41" t="s">
        <v>80</v>
      </c>
      <c r="CB4" s="41" t="s">
        <v>80</v>
      </c>
      <c r="CC4" s="41" t="s">
        <v>80</v>
      </c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18000</v>
      </c>
      <c r="K5" s="8" t="s">
        <v>194</v>
      </c>
      <c r="L5" s="9">
        <v>-2000</v>
      </c>
      <c r="M5" s="9">
        <v>-1000</v>
      </c>
      <c r="N5" s="48">
        <v>0</v>
      </c>
      <c r="O5" s="21">
        <f t="shared" ref="O5:O30" si="3">IF(COUNTA($F5,$K5,$P5)&gt;0,O4+SUM(L5:N5),"")</f>
        <v>32000</v>
      </c>
      <c r="P5" s="8" t="s">
        <v>195</v>
      </c>
      <c r="Q5" s="9">
        <v>2000</v>
      </c>
      <c r="R5" s="9">
        <v>1000</v>
      </c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IF($J5="","",ROUND(($J5-$J$3)/1000,1)+(_xlfn.RANK.AVG($J5,($J5,$O5,$T5),1)-2)*10)</f>
        <v>-27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197</v>
      </c>
      <c r="G6" s="9">
        <v>-5800</v>
      </c>
      <c r="H6" s="9"/>
      <c r="I6" s="48">
        <v>0</v>
      </c>
      <c r="J6" s="21">
        <f t="shared" si="2"/>
        <v>12200</v>
      </c>
      <c r="K6" s="8" t="s">
        <v>197</v>
      </c>
      <c r="L6" s="9">
        <v>-5800</v>
      </c>
      <c r="M6" s="9"/>
      <c r="N6" s="48">
        <v>0</v>
      </c>
      <c r="O6" s="21">
        <f t="shared" si="3"/>
        <v>26200</v>
      </c>
      <c r="P6" s="8" t="s">
        <v>196</v>
      </c>
      <c r="Q6" s="9">
        <v>11600</v>
      </c>
      <c r="R6" s="9"/>
      <c r="S6" s="48">
        <v>0</v>
      </c>
      <c r="T6" s="21">
        <f t="shared" si="4"/>
        <v>66600</v>
      </c>
      <c r="U6" s="53">
        <f>IF($J6="","",ROUND(($J6-$J$3)/1000,1)+(_xlfn.RANK.AVG($J6,($J6,$O6,$T6),1)-2)*10)</f>
        <v>-32.799999999999997</v>
      </c>
      <c r="V6" s="54">
        <f>IF($O6="","",ROUND(($O6-$O$3)/1000,1)+(_xlfn.RANK.AVG($O6,($J6,$O6,$T6),1)-2)*10)</f>
        <v>-8.8000000000000007</v>
      </c>
      <c r="W6" s="55">
        <f>IF($T6="","",ROUND(($T6-$T$3)/1000,1)+(_xlfn.RANK.AVG($T6,($J6,$O6,$T6),1)-2)*10)</f>
        <v>41.6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30</v>
      </c>
      <c r="BU6" s="40" t="s">
        <v>82</v>
      </c>
      <c r="BV6" s="41" t="s">
        <v>103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 t="s">
        <v>196</v>
      </c>
      <c r="G7" s="9">
        <v>4000</v>
      </c>
      <c r="H7" s="9"/>
      <c r="I7" s="48">
        <v>1000</v>
      </c>
      <c r="J7" s="21">
        <f t="shared" si="2"/>
        <v>17200</v>
      </c>
      <c r="K7" s="8" t="s">
        <v>197</v>
      </c>
      <c r="L7" s="9">
        <v>-1500</v>
      </c>
      <c r="M7" s="9"/>
      <c r="N7" s="48">
        <v>-500</v>
      </c>
      <c r="O7" s="21">
        <f t="shared" si="3"/>
        <v>24200</v>
      </c>
      <c r="P7" s="8" t="s">
        <v>197</v>
      </c>
      <c r="Q7" s="9">
        <v>-2500</v>
      </c>
      <c r="R7" s="9"/>
      <c r="S7" s="48">
        <v>-500</v>
      </c>
      <c r="T7" s="21">
        <f t="shared" si="4"/>
        <v>63600</v>
      </c>
      <c r="U7" s="53">
        <f>IF($J7="","",ROUND(($J7-$J$3)/1000,1)+(_xlfn.RANK.AVG($J7,($J7,$O7,$T7),1)-2)*10)</f>
        <v>-27.8</v>
      </c>
      <c r="V7" s="54">
        <f>IF($O7="","",ROUND(($O7-$O$3)/1000,1)+(_xlfn.RANK.AVG($O7,($J7,$O7,$T7),1)-2)*10)</f>
        <v>-10.8</v>
      </c>
      <c r="W7" s="55">
        <f>IF($T7="","",ROUND(($T7-$T$3)/1000,1)+(_xlfn.RANK.AVG($T7,($J7,$O7,$T7),1)-2)*10)</f>
        <v>38.6</v>
      </c>
      <c r="Y7" s="8"/>
      <c r="Z7" s="34"/>
      <c r="AA7" s="26"/>
      <c r="AB7" s="26"/>
      <c r="AC7" s="26">
        <v>3</v>
      </c>
      <c r="AD7" s="30">
        <v>30</v>
      </c>
      <c r="AE7" s="40" t="s">
        <v>82</v>
      </c>
      <c r="AF7" s="41" t="s">
        <v>85</v>
      </c>
      <c r="AG7" s="41" t="s">
        <v>198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17200</v>
      </c>
      <c r="K8" s="8" t="s">
        <v>195</v>
      </c>
      <c r="L8" s="9">
        <v>8000</v>
      </c>
      <c r="M8" s="9">
        <v>1000</v>
      </c>
      <c r="N8" s="48">
        <v>0</v>
      </c>
      <c r="O8" s="21">
        <f t="shared" si="3"/>
        <v>33200</v>
      </c>
      <c r="P8" s="8" t="s">
        <v>194</v>
      </c>
      <c r="Q8" s="9">
        <v>-8000</v>
      </c>
      <c r="R8" s="9">
        <v>-1000</v>
      </c>
      <c r="S8" s="48">
        <v>0</v>
      </c>
      <c r="T8" s="21">
        <f t="shared" si="4"/>
        <v>54600</v>
      </c>
      <c r="U8" s="53">
        <f>IF($J8="","",ROUND(($J8-$J$3)/1000,1)+(_xlfn.RANK.AVG($J8,($J8,$O8,$T8),1)-2)*10)</f>
        <v>-27.8</v>
      </c>
      <c r="V8" s="54">
        <f>IF($O8="","",ROUND(($O8-$O$3)/1000,1)+(_xlfn.RANK.AVG($O8,($J8,$O8,$T8),1)-2)*10)</f>
        <v>-1.8</v>
      </c>
      <c r="W8" s="55">
        <f>IF($T8="","",ROUND(($T8-$T$3)/1000,1)+(_xlfn.RANK.AVG($T8,($J8,$O8,$T8),1)-2)*10)</f>
        <v>29.6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40</v>
      </c>
      <c r="AZ8" s="40" t="s">
        <v>86</v>
      </c>
      <c r="BA8" s="41" t="s">
        <v>86</v>
      </c>
      <c r="BB8" s="41" t="s">
        <v>86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-3900</v>
      </c>
      <c r="H9" s="9"/>
      <c r="I9" s="48">
        <v>0</v>
      </c>
      <c r="J9" s="21">
        <f t="shared" si="2"/>
        <v>13300</v>
      </c>
      <c r="K9" s="8" t="s">
        <v>196</v>
      </c>
      <c r="L9" s="9">
        <v>7800</v>
      </c>
      <c r="M9" s="9"/>
      <c r="N9" s="48">
        <v>0</v>
      </c>
      <c r="O9" s="21">
        <f t="shared" si="3"/>
        <v>41000</v>
      </c>
      <c r="P9" s="8" t="s">
        <v>197</v>
      </c>
      <c r="Q9" s="9">
        <v>-3900</v>
      </c>
      <c r="R9" s="9"/>
      <c r="S9" s="48">
        <v>0</v>
      </c>
      <c r="T9" s="21">
        <f t="shared" si="4"/>
        <v>50700</v>
      </c>
      <c r="U9" s="53">
        <f>IF($J9="","",ROUND(($J9-$J$3)/1000,1)+(_xlfn.RANK.AVG($J9,($J9,$O9,$T9),1)-2)*10)</f>
        <v>-31.7</v>
      </c>
      <c r="V9" s="54">
        <f>IF($O9="","",ROUND(($O9-$O$3)/1000,1)+(_xlfn.RANK.AVG($O9,($J9,$O9,$T9),1)-2)*10)</f>
        <v>6</v>
      </c>
      <c r="W9" s="55">
        <f>IF($T9="","",ROUND(($T9-$T$3)/1000,1)+(_xlfn.RANK.AVG($T9,($J9,$O9,$T9),1)-2)*10)</f>
        <v>25.7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40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206</v>
      </c>
      <c r="G10" s="9">
        <v>3000</v>
      </c>
      <c r="H10" s="9">
        <v>-1000</v>
      </c>
      <c r="I10" s="48"/>
      <c r="J10" s="21">
        <f t="shared" si="2"/>
        <v>15300</v>
      </c>
      <c r="K10" s="8" t="s">
        <v>206</v>
      </c>
      <c r="L10" s="9">
        <v>-1500</v>
      </c>
      <c r="M10" s="9"/>
      <c r="N10" s="48"/>
      <c r="O10" s="21">
        <f t="shared" si="3"/>
        <v>39500</v>
      </c>
      <c r="P10" s="8" t="s">
        <v>206</v>
      </c>
      <c r="Q10" s="9">
        <v>-1500</v>
      </c>
      <c r="R10" s="9"/>
      <c r="S10" s="48"/>
      <c r="T10" s="21">
        <f t="shared" si="4"/>
        <v>49200</v>
      </c>
      <c r="U10" s="53">
        <f>IF($J10="","",ROUND(($J10-$J$3)/1000,1)+(_xlfn.RANK.AVG($J10,($J10,$O10,$T10),1)-2)*10)</f>
        <v>-29.7</v>
      </c>
      <c r="V10" s="54">
        <f>IF($O10="","",ROUND(($O10-$O$3)/1000,1)+(_xlfn.RANK.AVG($O10,($J10,$O10,$T10),1)-2)*10)</f>
        <v>4.5</v>
      </c>
      <c r="W10" s="55">
        <f>IF($T10="","",ROUND(($T10-$T$3)/1000,1)+(_xlfn.RANK.AVG($T10,($J10,$O10,$T10),1)-2)*10)</f>
        <v>24.2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たかの</v>
      </c>
      <c r="F11" s="8" t="s">
        <v>195</v>
      </c>
      <c r="G11" s="9">
        <v>16000</v>
      </c>
      <c r="H11" s="9">
        <v>1000</v>
      </c>
      <c r="I11" s="48">
        <v>2000</v>
      </c>
      <c r="J11" s="21">
        <f t="shared" si="2"/>
        <v>34300</v>
      </c>
      <c r="K11" s="8" t="s">
        <v>194</v>
      </c>
      <c r="L11" s="9">
        <v>-16000</v>
      </c>
      <c r="M11" s="9"/>
      <c r="N11" s="48">
        <v>-2000</v>
      </c>
      <c r="O11" s="21">
        <f t="shared" si="3"/>
        <v>21500</v>
      </c>
      <c r="P11" s="8"/>
      <c r="Q11" s="9"/>
      <c r="R11" s="9"/>
      <c r="S11" s="48"/>
      <c r="T11" s="21">
        <f t="shared" si="4"/>
        <v>49200</v>
      </c>
      <c r="U11" s="53">
        <f>IF($J11="","",ROUND(($J11-$J$3)/1000,1)+(_xlfn.RANK.AVG($J11,($J11,$O11,$T11),1)-2)*10)</f>
        <v>-0.7</v>
      </c>
      <c r="V11" s="54">
        <f>IF($O11="","",ROUND(($O11-$O$3)/1000,1)+(_xlfn.RANK.AVG($O11,($J11,$O11,$T11),1)-2)*10)</f>
        <v>-23.5</v>
      </c>
      <c r="W11" s="55">
        <f>IF($T11="","",ROUND(($T11-$T$3)/1000,1)+(_xlfn.RANK.AVG($T11,($J11,$O11,$T11),1)-2)*10)</f>
        <v>24.2</v>
      </c>
      <c r="Y11" s="8"/>
      <c r="Z11" s="34"/>
      <c r="AA11" s="26"/>
      <c r="AB11" s="26"/>
      <c r="AC11" s="26">
        <v>8</v>
      </c>
      <c r="AD11" s="30" t="s">
        <v>199</v>
      </c>
      <c r="AE11" s="40" t="s">
        <v>104</v>
      </c>
      <c r="AF11" s="41" t="s">
        <v>86</v>
      </c>
      <c r="AG11" s="41" t="s">
        <v>79</v>
      </c>
      <c r="AH11" s="41" t="s">
        <v>79</v>
      </c>
      <c r="AI11" s="41" t="s">
        <v>79</v>
      </c>
      <c r="AJ11" s="41" t="s">
        <v>198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97A662E-9B4B-4A7D-BD1A-FDB86DC57677}">
      <formula1>$U$2:$W$2</formula1>
    </dataValidation>
    <dataValidation type="list" showInputMessage="1" showErrorMessage="1" sqref="K4:K30 P4:P30 F4:F30" xr:uid="{6A765114-8632-4C5D-809D-1393124CA02F}">
      <formula1>"ロン,ツモ,放銃,ツモ支払,流局,チョンボ"</formula1>
    </dataValidation>
    <dataValidation type="list" allowBlank="1" showInputMessage="1" sqref="F1:T1" xr:uid="{4FF6E32C-B399-44FA-803E-B6010A8B3B20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E7CCD-0595-41C3-93AF-495338171C0F}">
  <sheetPr codeName="Sheet13">
    <pageSetUpPr fitToPage="1"/>
  </sheetPr>
  <dimension ref="A1:CI30"/>
  <sheetViews>
    <sheetView tabSelected="1" zoomScaleNormal="100" workbookViewId="0">
      <selection activeCell="E11" sqref="E1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207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いちかわ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いちかわ</v>
      </c>
      <c r="V2" s="75" t="str">
        <f>$K$1</f>
        <v>たかの</v>
      </c>
      <c r="W2" s="16" t="str">
        <f>$P$1</f>
        <v>たか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195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-21.6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104</v>
      </c>
      <c r="AF4" s="41" t="s">
        <v>86</v>
      </c>
      <c r="AG4" s="41" t="s">
        <v>198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いちかわ</v>
      </c>
      <c r="F5" s="8"/>
      <c r="G5" s="9"/>
      <c r="H5" s="9"/>
      <c r="I5" s="48"/>
      <c r="J5" s="21">
        <f t="shared" ref="J5:J30" si="2">IF(COUNTA($F5,$K5,$P5)&gt;0,J4+SUM(G5:I5),"")</f>
        <v>46600</v>
      </c>
      <c r="K5" s="8" t="s">
        <v>195</v>
      </c>
      <c r="L5" s="9">
        <v>2000</v>
      </c>
      <c r="M5" s="9"/>
      <c r="N5" s="48">
        <v>1000</v>
      </c>
      <c r="O5" s="21">
        <f t="shared" ref="O5:O30" si="3">IF(COUNTA($F5,$K5,$P5)&gt;0,O4+SUM(L5:N5),"")</f>
        <v>38000</v>
      </c>
      <c r="P5" s="8" t="s">
        <v>194</v>
      </c>
      <c r="Q5" s="9">
        <v>-2000</v>
      </c>
      <c r="R5" s="9"/>
      <c r="S5" s="48">
        <v>-1000</v>
      </c>
      <c r="T5" s="21">
        <f t="shared" ref="T5:T30" si="4">IF(COUNTA($F5,$K5,$P5)&gt;0,T4+SUM(Q5:S5),"")</f>
        <v>20400</v>
      </c>
      <c r="U5" s="53">
        <f>IF($J5="","",ROUND(($J5-$J$3)/1000,1)+(_xlfn.RANK.AVG($J5,($J5,$O5,$T5),1)-2)*10)</f>
        <v>21.6</v>
      </c>
      <c r="V5" s="54">
        <f>IF($O5="","",ROUND(($O5-$O$3)/1000,1)+(_xlfn.RANK.AVG($O5,($J5,$O5,$T5),1)-2)*10)</f>
        <v>3</v>
      </c>
      <c r="W5" s="55">
        <f>IF($T5="","",ROUND(($T5-$T$3)/1000,1)+(_xlfn.RANK.AVG($T5,($J5,$O5,$T5),1)-2)*10)</f>
        <v>-24.6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195</v>
      </c>
      <c r="G6" s="9">
        <v>2000</v>
      </c>
      <c r="H6" s="9"/>
      <c r="I6" s="48">
        <v>0</v>
      </c>
      <c r="J6" s="21">
        <f t="shared" si="2"/>
        <v>48600</v>
      </c>
      <c r="K6" s="8" t="s">
        <v>194</v>
      </c>
      <c r="L6" s="9">
        <v>-2000</v>
      </c>
      <c r="M6" s="9"/>
      <c r="N6" s="48">
        <v>0</v>
      </c>
      <c r="O6" s="21">
        <f t="shared" si="3"/>
        <v>36000</v>
      </c>
      <c r="P6" s="8"/>
      <c r="Q6" s="9"/>
      <c r="R6" s="9"/>
      <c r="S6" s="48"/>
      <c r="T6" s="21">
        <f t="shared" si="4"/>
        <v>20400</v>
      </c>
      <c r="U6" s="53">
        <f>IF($J6="","",ROUND(($J6-$J$3)/1000,1)+(_xlfn.RANK.AVG($J6,($J6,$O6,$T6),1)-2)*10)</f>
        <v>23.6</v>
      </c>
      <c r="V6" s="54">
        <f>IF($O6="","",ROUND(($O6-$O$3)/1000,1)+(_xlfn.RANK.AVG($O6,($J6,$O6,$T6),1)-2)*10)</f>
        <v>1</v>
      </c>
      <c r="W6" s="55">
        <f>IF($T6="","",ROUND(($T6-$T$3)/1000,1)+(_xlfn.RANK.AVG($T6,($J6,$O6,$T6),1)-2)*10)</f>
        <v>-24.6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</v>
      </c>
      <c r="F7" s="8" t="s">
        <v>195</v>
      </c>
      <c r="G7" s="9">
        <v>12000</v>
      </c>
      <c r="H7" s="9"/>
      <c r="I7" s="48">
        <v>0</v>
      </c>
      <c r="J7" s="21">
        <f t="shared" si="2"/>
        <v>60600</v>
      </c>
      <c r="K7" s="8"/>
      <c r="L7" s="9"/>
      <c r="M7" s="9"/>
      <c r="N7" s="48"/>
      <c r="O7" s="21">
        <f t="shared" si="3"/>
        <v>36000</v>
      </c>
      <c r="P7" s="8" t="s">
        <v>194</v>
      </c>
      <c r="Q7" s="9">
        <v>-12000</v>
      </c>
      <c r="R7" s="9"/>
      <c r="S7" s="48">
        <v>0</v>
      </c>
      <c r="T7" s="21">
        <f t="shared" si="4"/>
        <v>8400</v>
      </c>
      <c r="U7" s="53">
        <f>IF($J7="","",ROUND(($J7-$J$3)/1000,1)+(_xlfn.RANK.AVG($J7,($J7,$O7,$T7),1)-2)*10)</f>
        <v>35.6</v>
      </c>
      <c r="V7" s="54">
        <f>IF($O7="","",ROUND(($O7-$O$3)/1000,1)+(_xlfn.RANK.AVG($O7,($J7,$O7,$T7),1)-2)*10)</f>
        <v>1</v>
      </c>
      <c r="W7" s="55">
        <f>IF($T7="","",ROUND(($T7-$T$3)/1000,1)+(_xlfn.RANK.AVG($T7,($J7,$O7,$T7),1)-2)*10)</f>
        <v>-36.6</v>
      </c>
      <c r="Y7" s="8"/>
      <c r="Z7" s="34"/>
      <c r="AA7" s="26">
        <v>1</v>
      </c>
      <c r="AB7" s="26"/>
      <c r="AC7" s="26">
        <v>6</v>
      </c>
      <c r="AD7" s="30" t="s">
        <v>199</v>
      </c>
      <c r="AE7" s="40" t="s">
        <v>200</v>
      </c>
      <c r="AF7" s="41" t="s">
        <v>85</v>
      </c>
      <c r="AG7" s="41" t="s">
        <v>79</v>
      </c>
      <c r="AH7" s="41" t="s">
        <v>79</v>
      </c>
      <c r="AI7" s="41" t="s">
        <v>80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207</v>
      </c>
      <c r="F8" s="8" t="s">
        <v>194</v>
      </c>
      <c r="G8" s="9">
        <v>-8000</v>
      </c>
      <c r="H8" s="9"/>
      <c r="I8" s="48">
        <v>0</v>
      </c>
      <c r="J8" s="21">
        <f t="shared" si="2"/>
        <v>52600</v>
      </c>
      <c r="K8" s="8"/>
      <c r="L8" s="9"/>
      <c r="M8" s="9"/>
      <c r="N8" s="48"/>
      <c r="O8" s="21">
        <f t="shared" si="3"/>
        <v>36000</v>
      </c>
      <c r="P8" s="8" t="s">
        <v>195</v>
      </c>
      <c r="Q8" s="9">
        <v>8000</v>
      </c>
      <c r="R8" s="9"/>
      <c r="S8" s="48">
        <v>0</v>
      </c>
      <c r="T8" s="21">
        <f t="shared" si="4"/>
        <v>16400</v>
      </c>
      <c r="U8" s="53">
        <f>IF($J8="","",ROUND(($J8-$J$3)/1000,1)+(_xlfn.RANK.AVG($J8,($J8,$O8,$T8),1)-2)*10)</f>
        <v>27.6</v>
      </c>
      <c r="V8" s="54">
        <f>IF($O8="","",ROUND(($O8-$O$3)/1000,1)+(_xlfn.RANK.AVG($O8,($J8,$O8,$T8),1)-2)*10)</f>
        <v>1</v>
      </c>
      <c r="W8" s="55">
        <f>IF($T8="","",ROUND(($T8-$T$3)/1000,1)+(_xlfn.RANK.AVG($T8,($J8,$O8,$T8),1)-2)*10)</f>
        <v>-28.6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198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195</v>
      </c>
      <c r="G9" s="9">
        <v>3900</v>
      </c>
      <c r="H9" s="9"/>
      <c r="I9" s="48">
        <v>0</v>
      </c>
      <c r="J9" s="21">
        <f t="shared" si="2"/>
        <v>56500</v>
      </c>
      <c r="K9" s="8"/>
      <c r="L9" s="9"/>
      <c r="M9" s="9"/>
      <c r="N9" s="48"/>
      <c r="O9" s="21">
        <f t="shared" si="3"/>
        <v>36000</v>
      </c>
      <c r="P9" s="8" t="s">
        <v>194</v>
      </c>
      <c r="Q9" s="9">
        <v>-3900</v>
      </c>
      <c r="R9" s="9"/>
      <c r="S9" s="48">
        <v>0</v>
      </c>
      <c r="T9" s="21">
        <f t="shared" si="4"/>
        <v>12500</v>
      </c>
      <c r="U9" s="53">
        <f>IF($J9="","",ROUND(($J9-$J$3)/1000,1)+(_xlfn.RANK.AVG($J9,($J9,$O9,$T9),1)-2)*10)</f>
        <v>31.5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-32.5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</v>
      </c>
      <c r="F10" s="8" t="s">
        <v>195</v>
      </c>
      <c r="G10" s="9">
        <v>2000</v>
      </c>
      <c r="H10" s="9"/>
      <c r="I10" s="48">
        <v>0</v>
      </c>
      <c r="J10" s="21">
        <f t="shared" si="2"/>
        <v>58500</v>
      </c>
      <c r="K10" s="8"/>
      <c r="L10" s="9"/>
      <c r="M10" s="9"/>
      <c r="N10" s="48"/>
      <c r="O10" s="21">
        <f t="shared" si="3"/>
        <v>36000</v>
      </c>
      <c r="P10" s="8" t="s">
        <v>194</v>
      </c>
      <c r="Q10" s="9">
        <v>-2000</v>
      </c>
      <c r="R10" s="9"/>
      <c r="S10" s="48">
        <v>0</v>
      </c>
      <c r="T10" s="21">
        <f t="shared" si="4"/>
        <v>10500</v>
      </c>
      <c r="U10" s="53">
        <f>IF($J10="","",ROUND(($J10-$J$3)/1000,1)+(_xlfn.RANK.AVG($J10,($J10,$O10,$T10),1)-2)*10)</f>
        <v>33.5</v>
      </c>
      <c r="V10" s="54">
        <f>IF($O10="","",ROUND(($O10-$O$3)/1000,1)+(_xlfn.RANK.AVG($O10,($J10,$O10,$T10),1)-2)*10)</f>
        <v>1</v>
      </c>
      <c r="W10" s="55">
        <f>IF($T10="","",ROUND(($T10-$T$3)/1000,1)+(_xlfn.RANK.AVG($T10,($J10,$O10,$T10),1)-2)*10)</f>
        <v>-34.5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207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5FB6441-FAC4-4528-BAB5-95EF8ECD92B8}">
      <formula1>"だいち,れんたろう,たかの,まっつん,いちかわ,ただ,たか,のり,りくと,わさび,"</formula1>
    </dataValidation>
    <dataValidation type="list" showInputMessage="1" showErrorMessage="1" sqref="K4:K30 P4:P30 F4:F30" xr:uid="{6299DA28-5B21-4CC9-AFB5-98DADE671C36}">
      <formula1>"ロン,ツモ,放銃,ツモ支払,流局,チョンボ"</formula1>
    </dataValidation>
    <dataValidation type="list" allowBlank="1" showInputMessage="1" showErrorMessage="1" sqref="E4:E30" xr:uid="{4BAF73BE-F809-4DC2-97AD-2FDB452783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2020-10-12T08:17:36Z</dcterms:modified>
</cp:coreProperties>
</file>