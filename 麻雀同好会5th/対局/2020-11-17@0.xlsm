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F09C2953-E781-47A6-B809-F982FC2F29C4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0" l="1"/>
  <c r="E8" i="20" l="1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0" i="20"/>
  <c r="D9" i="20"/>
  <c r="D7" i="20"/>
  <c r="T6" i="20"/>
  <c r="T7" i="20" s="1"/>
  <c r="O6" i="20"/>
  <c r="O7" i="20" s="1"/>
  <c r="T5" i="20"/>
  <c r="O5" i="20"/>
  <c r="D5" i="20"/>
  <c r="T4" i="20"/>
  <c r="O4" i="20"/>
  <c r="J4" i="20"/>
  <c r="E4" i="20"/>
  <c r="C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C6" i="20" l="1"/>
  <c r="V4" i="20"/>
  <c r="W4" i="20"/>
  <c r="T8" i="20"/>
  <c r="O8" i="20"/>
  <c r="B5" i="20"/>
  <c r="A5" i="20" s="1"/>
  <c r="B6" i="20"/>
  <c r="D8" i="20"/>
  <c r="U4" i="20"/>
  <c r="J5" i="20"/>
  <c r="V5" i="20" s="1"/>
  <c r="D11" i="20"/>
  <c r="C12" i="20"/>
  <c r="C7" i="20"/>
  <c r="C8" i="20" s="1"/>
  <c r="C9" i="20" s="1"/>
  <c r="C10" i="20" s="1"/>
  <c r="C11" i="20" s="1"/>
  <c r="E4" i="19"/>
  <c r="O9" i="20" l="1"/>
  <c r="T9" i="20"/>
  <c r="A6" i="20"/>
  <c r="J6" i="20"/>
  <c r="U5" i="20"/>
  <c r="W5" i="20"/>
  <c r="B7" i="20"/>
  <c r="W3" i="19"/>
  <c r="V3" i="19"/>
  <c r="U3" i="19"/>
  <c r="T10" i="20" l="1"/>
  <c r="O10" i="20"/>
  <c r="B8" i="20"/>
  <c r="U6" i="20"/>
  <c r="J7" i="20"/>
  <c r="W6" i="20"/>
  <c r="V6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1" i="20" l="1"/>
  <c r="T11" i="20"/>
  <c r="J8" i="20"/>
  <c r="U7" i="20"/>
  <c r="W7" i="20"/>
  <c r="V7" i="20"/>
  <c r="B9" i="20"/>
  <c r="A8" i="20"/>
  <c r="V12" i="19"/>
  <c r="W12" i="19"/>
  <c r="U12" i="19"/>
  <c r="V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9" i="20" l="1"/>
  <c r="B10" i="20"/>
  <c r="A10" i="20" s="1"/>
  <c r="O12" i="20"/>
  <c r="T12" i="20"/>
  <c r="J9" i="20"/>
  <c r="U8" i="20"/>
  <c r="W8" i="20"/>
  <c r="V8" i="20"/>
  <c r="W5" i="19"/>
  <c r="V5" i="19"/>
  <c r="U5" i="19"/>
  <c r="J10" i="20" l="1"/>
  <c r="U9" i="20"/>
  <c r="V9" i="20"/>
  <c r="W9" i="20"/>
  <c r="B11" i="20"/>
  <c r="A11" i="20" s="1"/>
  <c r="J11" i="20" l="1"/>
  <c r="U10" i="20"/>
  <c r="W10" i="20"/>
  <c r="V10" i="20"/>
  <c r="B12" i="20"/>
  <c r="A12" i="20" s="1"/>
  <c r="J12" i="20" l="1"/>
  <c r="U11" i="20"/>
  <c r="W11" i="20"/>
  <c r="V11" i="20"/>
  <c r="U12" i="20" l="1"/>
  <c r="W12" i="20"/>
  <c r="V12" i="20"/>
</calcChain>
</file>

<file path=xl/sharedStrings.xml><?xml version="1.0" encoding="utf-8"?>
<sst xmlns="http://schemas.openxmlformats.org/spreadsheetml/2006/main" count="678" uniqueCount="207">
  <si>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</si>
  <si>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</si>
  <si>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</si>
  <si>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</si>
  <si>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</si>
  <si>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</si>
  <si>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</si>
  <si>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</si>
  <si>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</si>
  <si>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</si>
  <si>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</si>
  <si>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</si>
  <si>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</si>
  <si>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</si>
  <si>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</si>
  <si>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</si>
  <si>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</si>
  <si>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</si>
  <si>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</si>
  <si>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</si>
  <si>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</si>
  <si>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</si>
  <si>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</si>
  <si>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</si>
  <si>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</si>
  <si>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</si>
  <si>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</si>
  <si>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</si>
  <si>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</si>
  <si>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</si>
  <si>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</si>
  <si>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</si>
  <si>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</si>
  <si>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</si>
  <si>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</si>
  <si>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</si>
  <si>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</si>
  <si>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</si>
  <si>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</si>
  <si>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</si>
  <si>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</si>
  <si>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</si>
  <si>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</si>
  <si>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</si>
  <si>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</si>
  <si>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</si>
  <si>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</si>
  <si>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</si>
  <si>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</si>
  <si>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</si>
  <si>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</si>
  <si>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</si>
  <si>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</si>
  <si>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</si>
  <si>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</si>
  <si>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</si>
  <si>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</si>
  <si>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</si>
  <si>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</si>
  <si>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</si>
  <si>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</si>
  <si>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</si>
  <si>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</si>
  <si>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</si>
  <si>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</si>
  <si>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</si>
  <si>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</si>
  <si>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</si>
  <si>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</si>
  <si>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</si>
  <si>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</si>
  <si>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</si>
  <si>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</si>
  <si>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</si>
  <si>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</si>
  <si>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</si>
  <si>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</si>
  <si>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</si>
  <si>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</si>
  <si>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</si>
  <si>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</si>
  <si>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</si>
  <si>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</si>
  <si>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</si>
  <si>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</si>
  <si>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</si>
  <si>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</si>
  <si>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</si>
  <si>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</si>
  <si>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</si>
  <si>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</si>
  <si>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</si>
  <si>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</si>
  <si>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</si>
  <si>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</si>
  <si>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</si>
  <si>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</si>
  <si>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</si>
  <si>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</si>
  <si>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</si>
  <si>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</si>
  <si>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</si>
  <si>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</si>
  <si>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</si>
  <si>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</si>
  <si>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</si>
  <si>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</si>
  <si>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</si>
  <si>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</si>
  <si>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</si>
  <si>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</si>
  <si>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</si>
  <si>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</si>
  <si>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</si>
  <si>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</si>
  <si>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</si>
  <si>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</si>
  <si>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</si>
  <si>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</si>
  <si>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</si>
  <si>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</si>
  <si>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</si>
  <si>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</si>
  <si>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</si>
  <si>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</si>
  <si>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</si>
  <si>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</si>
  <si>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</si>
  <si>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</si>
  <si>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</si>
  <si>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</si>
  <si>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</si>
  <si>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</si>
  <si>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</si>
  <si>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</si>
  <si>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</si>
  <si>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</si>
  <si>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</si>
  <si>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</si>
  <si>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</si>
  <si>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</si>
  <si>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</si>
  <si>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</si>
  <si>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</si>
  <si>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</si>
  <si>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</si>
  <si>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</si>
  <si>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</si>
  <si>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</si>
  <si>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</si>
  <si>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</si>
  <si>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</si>
  <si>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</si>
  <si>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</si>
  <si>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</si>
  <si>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</si>
  <si>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</si>
  <si>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</si>
  <si>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</si>
  <si>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</si>
  <si>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</si>
  <si>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</si>
  <si>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</si>
  <si>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</si>
  <si>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</si>
  <si>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</si>
  <si>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</si>
  <si>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</si>
  <si>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</si>
  <si>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</si>
  <si>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</si>
  <si>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</si>
  <si>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</si>
  <si>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</si>
  <si>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</si>
  <si>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</si>
  <si>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</si>
  <si>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</si>
  <si>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</si>
  <si>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</si>
  <si>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</si>
  <si>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</si>
  <si>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</si>
  <si>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</si>
  <si>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</si>
  <si>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</si>
  <si>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</si>
  <si>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</si>
  <si>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</si>
  <si>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</si>
  <si>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</si>
  <si>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</si>
  <si>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</si>
  <si>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  <phoneticPr fontId="1"/>
  </si>
  <si>
    <t>ただ</t>
    <phoneticPr fontId="1"/>
  </si>
  <si>
    <t>ツモ支払</t>
  </si>
  <si>
    <t>ツモ</t>
  </si>
  <si>
    <t>*</t>
  </si>
  <si>
    <t>放銃</t>
  </si>
  <si>
    <t>ロン</t>
  </si>
  <si>
    <t>52</t>
  </si>
  <si>
    <t>01</t>
  </si>
  <si>
    <t>02</t>
  </si>
  <si>
    <t>N</t>
  </si>
  <si>
    <t>T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</si>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</sst>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196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197</v>
      </c>
      <c r="BU4" s="40" t="s">
        <v>82</v>
      </c>
      <c r="BV4" s="41" t="s">
        <v>86</v>
      </c>
      <c r="BW4" s="41" t="s">
        <v>104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-3200</v>
      </c>
      <c r="H5" s="9"/>
      <c r="I5" s="48">
        <v>0</v>
      </c>
      <c r="J5" s="21">
        <f t="shared" ref="J5:J30" si="2">IF(COUNTA($F5,$K5,$P5)&gt;0,J4+SUM(G5:I5),"")</f>
        <v>26800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3200</v>
      </c>
      <c r="R5" s="9"/>
      <c r="S5" s="48">
        <v>0</v>
      </c>
      <c r="T5" s="21">
        <f t="shared" ref="T5:T30" si="4">IF(COUNTA($F5,$K5,$P5)&gt;0,T4+SUM(Q5:S5),"")</f>
        <v>46200</v>
      </c>
      <c r="U5" s="53">
        <f>IF($J5="","",ROUND(($J5-$J$3)/1000,1)+(_xlfn.RANK.AVG($J5,($J5,$O5,$T5),1)-2)*10)</f>
        <v>-18.2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21.2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25</v>
      </c>
      <c r="BU5" s="40" t="s">
        <v>101</v>
      </c>
      <c r="BV5" s="41" t="s">
        <v>200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196</v>
      </c>
      <c r="G6" s="9">
        <v>7700</v>
      </c>
      <c r="H6" s="9"/>
      <c r="I6" s="48">
        <v>0</v>
      </c>
      <c r="J6" s="21">
        <f t="shared" si="2"/>
        <v>34500</v>
      </c>
      <c r="K6" s="8" t="s">
        <v>195</v>
      </c>
      <c r="L6" s="9">
        <v>-2900</v>
      </c>
      <c r="M6" s="9"/>
      <c r="N6" s="48">
        <v>0</v>
      </c>
      <c r="O6" s="21">
        <f t="shared" si="3"/>
        <v>29100</v>
      </c>
      <c r="P6" s="8" t="s">
        <v>195</v>
      </c>
      <c r="Q6" s="9">
        <v>-4800</v>
      </c>
      <c r="R6" s="9"/>
      <c r="S6" s="48">
        <v>0</v>
      </c>
      <c r="T6" s="21">
        <f t="shared" si="4"/>
        <v>41400</v>
      </c>
      <c r="U6" s="53">
        <f>IF($J6="","",ROUND(($J6-$J$3)/1000,1)+(_xlfn.RANK.AVG($J6,($J6,$O6,$T6),1)-2)*10)</f>
        <v>-0.5</v>
      </c>
      <c r="V6" s="54">
        <f>IF($O6="","",ROUND(($O6-$O$3)/1000,1)+(_xlfn.RANK.AVG($O6,($J6,$O6,$T6),1)-2)*10)</f>
        <v>-15.9</v>
      </c>
      <c r="W6" s="55">
        <f>IF($T6="","",ROUND(($T6-$T$3)/1000,1)+(_xlfn.RANK.AVG($T6,($J6,$O6,$T6),1)-2)*10)</f>
        <v>16.399999999999999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201</v>
      </c>
      <c r="AF6" s="41" t="s">
        <v>82</v>
      </c>
      <c r="AG6" s="41" t="s">
        <v>202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196</v>
      </c>
      <c r="G7" s="9">
        <v>18000</v>
      </c>
      <c r="H7" s="9"/>
      <c r="I7" s="48">
        <v>0</v>
      </c>
      <c r="J7" s="21">
        <f t="shared" si="2"/>
        <v>52500</v>
      </c>
      <c r="K7" s="8" t="s">
        <v>195</v>
      </c>
      <c r="L7" s="9">
        <v>-9000</v>
      </c>
      <c r="M7" s="9"/>
      <c r="N7" s="48">
        <v>0</v>
      </c>
      <c r="O7" s="21">
        <f t="shared" si="3"/>
        <v>20100</v>
      </c>
      <c r="P7" s="8" t="s">
        <v>195</v>
      </c>
      <c r="Q7" s="9">
        <v>-9000</v>
      </c>
      <c r="R7" s="9"/>
      <c r="S7" s="48">
        <v>0</v>
      </c>
      <c r="T7" s="21">
        <f t="shared" si="4"/>
        <v>32400</v>
      </c>
      <c r="U7" s="53">
        <f>IF($J7="","",ROUND(($J7-$J$3)/1000,1)+(_xlfn.RANK.AVG($J7,($J7,$O7,$T7),1)-2)*10)</f>
        <v>27.5</v>
      </c>
      <c r="V7" s="54">
        <f>IF($O7="","",ROUND(($O7-$O$3)/1000,1)+(_xlfn.RANK.AVG($O7,($J7,$O7,$T7),1)-2)*10)</f>
        <v>-24.9</v>
      </c>
      <c r="W7" s="55">
        <f>IF($T7="","",ROUND(($T7-$T$3)/1000,1)+(_xlfn.RANK.AVG($T7,($J7,$O7,$T7),1)-2)*10)</f>
        <v>-2.6</v>
      </c>
      <c r="Y7" s="8"/>
      <c r="Z7" s="34"/>
      <c r="AA7" s="26"/>
      <c r="AB7" s="26">
        <v>1</v>
      </c>
      <c r="AC7" s="26">
        <v>6</v>
      </c>
      <c r="AD7" s="30" t="s">
        <v>197</v>
      </c>
      <c r="AE7" s="40" t="s">
        <v>104</v>
      </c>
      <c r="AF7" s="41" t="s">
        <v>86</v>
      </c>
      <c r="AG7" s="41" t="s">
        <v>86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196</v>
      </c>
      <c r="G8" s="9">
        <v>7800</v>
      </c>
      <c r="H8" s="9"/>
      <c r="I8" s="48">
        <v>1000</v>
      </c>
      <c r="J8" s="21">
        <f t="shared" si="2"/>
        <v>61300</v>
      </c>
      <c r="K8" s="8" t="s">
        <v>195</v>
      </c>
      <c r="L8" s="9">
        <v>-3900</v>
      </c>
      <c r="M8" s="9"/>
      <c r="N8" s="48">
        <v>-500</v>
      </c>
      <c r="O8" s="21">
        <f t="shared" si="3"/>
        <v>15700</v>
      </c>
      <c r="P8" s="8" t="s">
        <v>195</v>
      </c>
      <c r="Q8" s="9">
        <v>-3900</v>
      </c>
      <c r="R8" s="9"/>
      <c r="S8" s="48">
        <v>-500</v>
      </c>
      <c r="T8" s="21">
        <f t="shared" si="4"/>
        <v>28000</v>
      </c>
      <c r="U8" s="53">
        <f>IF($J8="","",ROUND(($J8-$J$3)/1000,1)+(_xlfn.RANK.AVG($J8,($J8,$O8,$T8),1)-2)*10)</f>
        <v>36.299999999999997</v>
      </c>
      <c r="V8" s="54">
        <f>IF($O8="","",ROUND(($O8-$O$3)/1000,1)+(_xlfn.RANK.AVG($O8,($J8,$O8,$T8),1)-2)*10)</f>
        <v>-29.3</v>
      </c>
      <c r="W8" s="55">
        <f>IF($T8="","",ROUND(($T8-$T$3)/1000,1)+(_xlfn.RANK.AVG($T8,($J8,$O8,$T8),1)-2)*10)</f>
        <v>-7</v>
      </c>
      <c r="Y8" s="8"/>
      <c r="Z8" s="34"/>
      <c r="AA8" s="26"/>
      <c r="AB8" s="26"/>
      <c r="AC8" s="26">
        <v>4</v>
      </c>
      <c r="AD8" s="30">
        <v>20</v>
      </c>
      <c r="AE8" s="40" t="s">
        <v>85</v>
      </c>
      <c r="AF8" s="41" t="s">
        <v>201</v>
      </c>
      <c r="AG8" s="41" t="s">
        <v>83</v>
      </c>
      <c r="AH8" s="41" t="s">
        <v>84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だいち</v>
      </c>
      <c r="F9" s="8" t="s">
        <v>205</v>
      </c>
      <c r="G9" s="9">
        <v>-1500</v>
      </c>
      <c r="H9" s="9"/>
      <c r="I9" s="48"/>
      <c r="J9" s="21">
        <f t="shared" si="2"/>
        <v>59800</v>
      </c>
      <c r="K9" s="8" t="s">
        <v>205</v>
      </c>
      <c r="L9" s="9">
        <v>-1500</v>
      </c>
      <c r="M9" s="9"/>
      <c r="N9" s="48"/>
      <c r="O9" s="21">
        <f t="shared" si="3"/>
        <v>14200</v>
      </c>
      <c r="P9" s="8" t="s">
        <v>205</v>
      </c>
      <c r="Q9" s="9">
        <v>3000</v>
      </c>
      <c r="R9" s="9"/>
      <c r="S9" s="48"/>
      <c r="T9" s="21">
        <f t="shared" si="4"/>
        <v>31000</v>
      </c>
      <c r="U9" s="53">
        <f>IF($J9="","",ROUND(($J9-$J$3)/1000,1)+(_xlfn.RANK.AVG($J9,($J9,$O9,$T9),1)-2)*10)</f>
        <v>34.799999999999997</v>
      </c>
      <c r="V9" s="54">
        <f>IF($O9="","",ROUND(($O9-$O$3)/1000,1)+(_xlfn.RANK.AVG($O9,($J9,$O9,$T9),1)-2)*10)</f>
        <v>-30.8</v>
      </c>
      <c r="W9" s="55">
        <f>IF($T9="","",ROUND(($T9-$T$3)/1000,1)+(_xlfn.RANK.AVG($T9,($J9,$O9,$T9),1)-2)*10)</f>
        <v>-4</v>
      </c>
      <c r="Y9" s="8" t="s">
        <v>203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tr">
        <f>IF($K$1="","",$K$1)</f>
        <v>れんたろう</v>
      </c>
      <c r="F10" s="8" t="s">
        <v>198</v>
      </c>
      <c r="G10" s="9">
        <v>-5800</v>
      </c>
      <c r="H10" s="9"/>
      <c r="I10" s="48">
        <v>-3000</v>
      </c>
      <c r="J10" s="21">
        <f t="shared" si="2"/>
        <v>51000</v>
      </c>
      <c r="K10" s="8" t="s">
        <v>199</v>
      </c>
      <c r="L10" s="9">
        <v>5800</v>
      </c>
      <c r="M10" s="9"/>
      <c r="N10" s="48">
        <v>3000</v>
      </c>
      <c r="O10" s="21">
        <f t="shared" si="3"/>
        <v>23000</v>
      </c>
      <c r="P10" s="8"/>
      <c r="Q10" s="9"/>
      <c r="R10" s="9"/>
      <c r="S10" s="48"/>
      <c r="T10" s="21">
        <f t="shared" si="4"/>
        <v>31000</v>
      </c>
      <c r="U10" s="53">
        <f>IF($J10="","",ROUND(($J10-$J$3)/1000,1)+(_xlfn.RANK.AVG($J10,($J10,$O10,$T10),1)-2)*10)</f>
        <v>26</v>
      </c>
      <c r="V10" s="54">
        <f>IF($O10="","",ROUND(($O10-$O$3)/1000,1)+(_xlfn.RANK.AVG($O10,($J10,$O10,$T10),1)-2)*10)</f>
        <v>-22</v>
      </c>
      <c r="W10" s="55">
        <f>IF($T10="","",ROUND(($T10-$T$3)/1000,1)+(_xlfn.RANK.AVG($T10,($J10,$O10,$T10),1)-2)*10)</f>
        <v>-4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85</v>
      </c>
      <c r="BA10" s="41" t="s">
        <v>200</v>
      </c>
      <c r="BB10" s="41" t="s">
        <v>200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tr">
        <f>IF($K$1="","",$K$1)</f>
        <v>れんたろう</v>
      </c>
      <c r="F11" s="8" t="s">
        <v>198</v>
      </c>
      <c r="G11" s="9">
        <v>-8000</v>
      </c>
      <c r="H11" s="9"/>
      <c r="I11" s="48">
        <v>-4000</v>
      </c>
      <c r="J11" s="21">
        <f t="shared" si="2"/>
        <v>39000</v>
      </c>
      <c r="K11" s="8"/>
      <c r="L11" s="9"/>
      <c r="M11" s="9"/>
      <c r="N11" s="48"/>
      <c r="O11" s="21">
        <f t="shared" si="3"/>
        <v>23000</v>
      </c>
      <c r="P11" s="8" t="s">
        <v>199</v>
      </c>
      <c r="Q11" s="9">
        <v>8000</v>
      </c>
      <c r="R11" s="9"/>
      <c r="S11" s="48">
        <v>4000</v>
      </c>
      <c r="T11" s="21">
        <f t="shared" si="4"/>
        <v>43000</v>
      </c>
      <c r="U11" s="53">
        <f>IF($J11="","",ROUND(($J11-$J$3)/1000,1)+(_xlfn.RANK.AVG($J11,($J11,$O11,$T11),1)-2)*10)</f>
        <v>4</v>
      </c>
      <c r="V11" s="54">
        <f>IF($O11="","",ROUND(($O11-$O$3)/1000,1)+(_xlfn.RANK.AVG($O11,($J11,$O11,$T11),1)-2)*10)</f>
        <v>-22</v>
      </c>
      <c r="W11" s="55">
        <f>IF($T11="","",ROUND(($T11-$T$3)/1000,1)+(_xlfn.RANK.AVG($T11,($J11,$O11,$T11),1)-2)*10)</f>
        <v>18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197</v>
      </c>
      <c r="BU11" s="40" t="s">
        <v>86</v>
      </c>
      <c r="BV11" s="41" t="s">
        <v>200</v>
      </c>
      <c r="BW11" s="41" t="s">
        <v>79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195</v>
      </c>
      <c r="G12" s="9">
        <v>-4500</v>
      </c>
      <c r="H12" s="9">
        <v>-1000</v>
      </c>
      <c r="I12" s="48">
        <v>0</v>
      </c>
      <c r="J12" s="21">
        <f t="shared" si="2"/>
        <v>33500</v>
      </c>
      <c r="K12" s="8" t="s">
        <v>196</v>
      </c>
      <c r="L12" s="9">
        <v>12000</v>
      </c>
      <c r="M12" s="9">
        <v>1000</v>
      </c>
      <c r="N12" s="48">
        <v>0</v>
      </c>
      <c r="O12" s="21">
        <f t="shared" si="3"/>
        <v>36000</v>
      </c>
      <c r="P12" s="8" t="s">
        <v>195</v>
      </c>
      <c r="Q12" s="9">
        <v>-7500</v>
      </c>
      <c r="R12" s="9"/>
      <c r="S12" s="48">
        <v>0</v>
      </c>
      <c r="T12" s="21">
        <f t="shared" si="4"/>
        <v>35500</v>
      </c>
      <c r="U12" s="53">
        <f>IF($J12="","",ROUND(($J12-$J$3)/1000,1)+(_xlfn.RANK.AVG($J12,($J12,$O12,$T12),1)-2)*10)</f>
        <v>-11.5</v>
      </c>
      <c r="V12" s="54">
        <f>IF($O12="","",ROUND(($O12-$O$3)/1000,1)+(_xlfn.RANK.AVG($O12,($J12,$O12,$T12),1)-2)*10)</f>
        <v>11</v>
      </c>
      <c r="W12" s="55">
        <f>IF($T12="","",ROUND(($T12-$T$3)/1000,1)+(_xlfn.RANK.AVG($T12,($J12,$O12,$T12),1)-2)*10)</f>
        <v>0.5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7</v>
      </c>
      <c r="AY12" s="30" t="s">
        <v>197</v>
      </c>
      <c r="AZ12" s="40" t="s">
        <v>206</v>
      </c>
      <c r="BA12" s="41" t="s">
        <v>82</v>
      </c>
      <c r="BB12" s="41" t="s">
        <v>83</v>
      </c>
      <c r="BC12" s="41" t="s">
        <v>79</v>
      </c>
      <c r="BD12" s="41" t="s">
        <v>79</v>
      </c>
      <c r="BE12" s="41" t="s">
        <v>80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3B88471-E072-4B93-BC4E-C0DC5A8C09E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0CA8-0055-4D9E-B1C5-939EFEC2C7C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196</v>
      </c>
      <c r="G4" s="9">
        <v>2200</v>
      </c>
      <c r="H4" s="9"/>
      <c r="I4" s="48">
        <v>0</v>
      </c>
      <c r="J4" s="21">
        <f>IF(COUNTA($F4,$K4,$P4)&gt;0,J3+SUM(G4:I4),"")</f>
        <v>37200</v>
      </c>
      <c r="K4" s="8" t="s">
        <v>195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195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12.2</v>
      </c>
      <c r="V4" s="54">
        <f>IF($O4="","",ROUND(($O4-$O$3)/1000,1)+(_xlfn.RANK.AVG($O4,($J4,$O4,$T4),1)-2)*10)</f>
        <v>-6.1</v>
      </c>
      <c r="W4" s="55">
        <f>IF($T4="","",ROUND(($T4-$T$3)/1000,1)+(_xlfn.RANK.AVG($T4,($J4,$O4,$T4),1)-2)*10)</f>
        <v>-6.1</v>
      </c>
      <c r="Y4" s="8"/>
      <c r="Z4" s="34"/>
      <c r="AA4" s="26"/>
      <c r="AB4" s="26"/>
      <c r="AC4" s="26">
        <v>1</v>
      </c>
      <c r="AD4" s="30">
        <v>40</v>
      </c>
      <c r="AE4" s="40" t="s">
        <v>82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195</v>
      </c>
      <c r="G5" s="9">
        <v>-5000</v>
      </c>
      <c r="H5" s="9"/>
      <c r="I5" s="48">
        <v>-500</v>
      </c>
      <c r="J5" s="21">
        <f t="shared" ref="J5:J30" si="2">IF(COUNTA($F5,$K5,$P5)&gt;0,J4+SUM(G5:I5),"")</f>
        <v>31700</v>
      </c>
      <c r="K5" s="8" t="s">
        <v>195</v>
      </c>
      <c r="L5" s="9">
        <v>-3000</v>
      </c>
      <c r="M5" s="9"/>
      <c r="N5" s="48">
        <v>-500</v>
      </c>
      <c r="O5" s="21">
        <f t="shared" ref="O5:O30" si="3">IF(COUNTA($F5,$K5,$P5)&gt;0,O4+SUM(L5:N5),"")</f>
        <v>30400</v>
      </c>
      <c r="P5" s="8" t="s">
        <v>196</v>
      </c>
      <c r="Q5" s="9">
        <v>8000</v>
      </c>
      <c r="R5" s="9"/>
      <c r="S5" s="48">
        <v>1000</v>
      </c>
      <c r="T5" s="21">
        <f t="shared" ref="T5:T30" si="4">IF(COUNTA($F5,$K5,$P5)&gt;0,T4+SUM(Q5:S5),"")</f>
        <v>42900</v>
      </c>
      <c r="U5" s="53">
        <f>IF($J5="","",ROUND(($J5-$J$3)/1000,1)+(_xlfn.RANK.AVG($J5,($J5,$O5,$T5),1)-2)*10)</f>
        <v>-3.3</v>
      </c>
      <c r="V5" s="54">
        <f>IF($O5="","",ROUND(($O5-$O$3)/1000,1)+(_xlfn.RANK.AVG($O5,($J5,$O5,$T5),1)-2)*10)</f>
        <v>-14.6</v>
      </c>
      <c r="W5" s="55">
        <f>IF($T5="","",ROUND(($T5-$T$3)/1000,1)+(_xlfn.RANK.AVG($T5,($J5,$O5,$T5),1)-2)*10)</f>
        <v>17.899999999999999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197</v>
      </c>
      <c r="BU5" s="40" t="s">
        <v>201</v>
      </c>
      <c r="BV5" s="41" t="s">
        <v>82</v>
      </c>
      <c r="BW5" s="41" t="s">
        <v>80</v>
      </c>
      <c r="BX5" s="41" t="s">
        <v>80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199</v>
      </c>
      <c r="G6" s="9">
        <v>5200</v>
      </c>
      <c r="H6" s="9"/>
      <c r="I6" s="48">
        <v>0</v>
      </c>
      <c r="J6" s="21">
        <f t="shared" si="2"/>
        <v>36900</v>
      </c>
      <c r="K6" s="8" t="s">
        <v>199</v>
      </c>
      <c r="L6" s="9">
        <v>18000</v>
      </c>
      <c r="M6" s="9"/>
      <c r="N6" s="48"/>
      <c r="O6" s="21">
        <f t="shared" si="3"/>
        <v>48400</v>
      </c>
      <c r="P6" s="8" t="s">
        <v>198</v>
      </c>
      <c r="Q6" s="9">
        <v>-23200</v>
      </c>
      <c r="R6" s="9"/>
      <c r="S6" s="48">
        <v>0</v>
      </c>
      <c r="T6" s="21">
        <f t="shared" si="4"/>
        <v>19700</v>
      </c>
      <c r="U6" s="53">
        <f>IF($J6="","",ROUND(($J6-$J$3)/1000,1)+(_xlfn.RANK.AVG($J6,($J6,$O6,$T6),1)-2)*10)</f>
        <v>1.9</v>
      </c>
      <c r="V6" s="54">
        <f>IF($O6="","",ROUND(($O6-$O$3)/1000,1)+(_xlfn.RANK.AVG($O6,($J6,$O6,$T6),1)-2)*10)</f>
        <v>23.4</v>
      </c>
      <c r="W6" s="55">
        <f>IF($T6="","",ROUND(($T6-$T$3)/1000,1)+(_xlfn.RANK.AVG($T6,($J6,$O6,$T6),1)-2)*10)</f>
        <v>-25.3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201</v>
      </c>
      <c r="AF6" s="41" t="s">
        <v>200</v>
      </c>
      <c r="AG6" s="41" t="s">
        <v>80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197</v>
      </c>
      <c r="AZ6" s="40" t="s">
        <v>201</v>
      </c>
      <c r="BA6" s="41" t="s">
        <v>104</v>
      </c>
      <c r="BB6" s="41" t="s">
        <v>86</v>
      </c>
      <c r="BC6" s="41" t="s">
        <v>86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36900</v>
      </c>
      <c r="K7" s="8" t="s">
        <v>199</v>
      </c>
      <c r="L7" s="9">
        <v>12000</v>
      </c>
      <c r="M7" s="9"/>
      <c r="N7" s="48">
        <v>1000</v>
      </c>
      <c r="O7" s="21">
        <f t="shared" si="3"/>
        <v>61400</v>
      </c>
      <c r="P7" s="8" t="s">
        <v>198</v>
      </c>
      <c r="Q7" s="9">
        <v>-12000</v>
      </c>
      <c r="R7" s="9"/>
      <c r="S7" s="48">
        <v>-1000</v>
      </c>
      <c r="T7" s="21">
        <f t="shared" si="4"/>
        <v>6700</v>
      </c>
      <c r="U7" s="53">
        <f>IF($J7="","",ROUND(($J7-$J$3)/1000,1)+(_xlfn.RANK.AVG($J7,($J7,$O7,$T7),1)-2)*10)</f>
        <v>1.9</v>
      </c>
      <c r="V7" s="54">
        <f>IF($O7="","",ROUND(($O7-$O$3)/1000,1)+(_xlfn.RANK.AVG($O7,($J7,$O7,$T7),1)-2)*10)</f>
        <v>36.4</v>
      </c>
      <c r="W7" s="55">
        <f>IF($T7="","",ROUND(($T7-$T$3)/1000,1)+(_xlfn.RANK.AVG($T7,($J7,$O7,$T7),1)-2)*10)</f>
        <v>-38.299999999999997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197</v>
      </c>
      <c r="AZ7" s="40" t="s">
        <v>104</v>
      </c>
      <c r="BA7" s="41" t="s">
        <v>86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だいち</v>
      </c>
      <c r="F8" s="8" t="s">
        <v>195</v>
      </c>
      <c r="G8" s="9">
        <v>-6000</v>
      </c>
      <c r="H8" s="9"/>
      <c r="I8" s="48">
        <v>-1000</v>
      </c>
      <c r="J8" s="21">
        <f t="shared" si="2"/>
        <v>29900</v>
      </c>
      <c r="K8" s="8" t="s">
        <v>196</v>
      </c>
      <c r="L8" s="9">
        <v>12000</v>
      </c>
      <c r="M8" s="9"/>
      <c r="N8" s="48">
        <v>2000</v>
      </c>
      <c r="O8" s="21">
        <f t="shared" si="3"/>
        <v>75400</v>
      </c>
      <c r="P8" s="8" t="s">
        <v>195</v>
      </c>
      <c r="Q8" s="9">
        <v>-6000</v>
      </c>
      <c r="R8" s="9"/>
      <c r="S8" s="48">
        <v>-1000</v>
      </c>
      <c r="T8" s="21">
        <f t="shared" si="4"/>
        <v>-300</v>
      </c>
      <c r="U8" s="53">
        <f>IF($J8="","",ROUND(($J8-$J$3)/1000,1)+(_xlfn.RANK.AVG($J8,($J8,$O8,$T8),1)-2)*10)</f>
        <v>-5.0999999999999996</v>
      </c>
      <c r="V8" s="54">
        <f>IF($O8="","",ROUND(($O8-$O$3)/1000,1)+(_xlfn.RANK.AVG($O8,($J8,$O8,$T8),1)-2)*10)</f>
        <v>50.4</v>
      </c>
      <c r="W8" s="55">
        <f>IF($T8="","",ROUND(($T8-$T$3)/1000,1)+(_xlfn.RANK.AVG($T8,($J8,$O8,$T8),1)-2)*10)</f>
        <v>-45.3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197</v>
      </c>
      <c r="AZ8" s="40" t="s">
        <v>82</v>
      </c>
      <c r="BA8" s="41" t="s">
        <v>101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tr">
        <f>IF($K$1="","",$K$1)</f>
        <v>だいち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AA52ECFC-B414-4859-B4B7-17733B429AB1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4154AC9A-C92A-4972-A277-DA420E0952A9}">
      <formula1>"ロン,ツモ,放銃,ツモ支払,流局,チョンボ"</formula1>
    </dataValidation>
    <dataValidation type="list" allowBlank="1" showInputMessage="1" showErrorMessage="1" sqref="E4:E30" xr:uid="{2B3BA450-F6AD-4F5B-9404-09790639F1E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2020-11-17T09:31:32Z</dcterms:modified>
</cp:coreProperties>
</file>