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4AB8B1B4-668F-481A-A2C7-A74F0241BED9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" i="19" l="1"/>
  <c r="E7" i="19"/>
  <c r="E6" i="19" l="1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C6" i="19" l="1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<sst xmlns="http://schemas.openxmlformats.org/spreadsheetml/2006/main" count="561" uniqueCount="202">
  <si>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</si>
  <si>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</si>
  <si>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</si>
  <si>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</si>
  <si>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</si>
  <si>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</si>
  <si>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</si>
  <si>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</si>
  <si>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</si>
  <si>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</si>
  <si>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</si>
  <si>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</si>
  <si>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</si>
  <si>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</si>
  <si>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</si>
  <si>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</si>
  <si>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</si>
  <si>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</si>
  <si>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</si>
  <si>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</si>
  <si>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</si>
  <si>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</si>
  <si>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</si>
  <si>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</si>
  <si>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</si>
  <si>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</si>
  <si>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</si>
  <si>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</si>
  <si>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</si>
  <si>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</si>
  <si>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</si>
  <si>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</si>
  <si>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</si>
  <si>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</si>
  <si>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</si>
  <si>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</si>
  <si>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</si>
  <si>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</si>
  <si>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</si>
  <si>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</si>
  <si>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</si>
  <si>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</si>
  <si>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</si>
  <si>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</si>
  <si>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</si>
  <si>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</si>
  <si>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</si>
  <si>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</si>
  <si>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</si>
  <si>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</si>
  <si>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</si>
  <si>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</si>
  <si>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</si>
  <si>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</si>
  <si>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</si>
  <si>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</si>
  <si>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</si>
  <si>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</si>
  <si>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</si>
  <si>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</si>
  <si>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</si>
  <si>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</si>
  <si>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</si>
  <si>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</si>
  <si>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</si>
  <si>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</si>
  <si>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</si>
  <si>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</si>
  <si>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</si>
  <si>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</si>
  <si>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</si>
  <si>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</si>
  <si>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</si>
  <si>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</si>
  <si>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</si>
  <si>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</si>
  <si>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</si>
  <si>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</si>
  <si>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</si>
  <si>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</si>
  <si>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</si>
  <si>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</si>
  <si>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</si>
  <si>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</si>
  <si>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</si>
  <si>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</si>
  <si>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</si>
  <si>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</si>
  <si>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</si>
  <si>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</si>
  <si>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</si>
  <si>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</si>
  <si>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</si>
  <si>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</si>
  <si>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</si>
  <si>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</si>
  <si>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</si>
  <si>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</si>
  <si>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</si>
  <si>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</si>
  <si>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</si>
  <si>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</si>
  <si>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</si>
  <si>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</si>
  <si>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</si>
  <si>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</si>
  <si>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</si>
  <si>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</si>
  <si>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</si>
  <si>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</si>
  <si>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</si>
  <si>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</si>
  <si>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</si>
  <si>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</si>
  <si>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</si>
  <si>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</si>
  <si>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</si>
  <si>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</si>
  <si>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</si>
  <si>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</si>
  <si>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</si>
  <si>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</si>
  <si>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</si>
  <si>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</si>
  <si>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</si>
  <si>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</si>
  <si>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</si>
  <si>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</si>
  <si>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</si>
  <si>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</si>
  <si>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</si>
  <si>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</si>
  <si>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</si>
  <si>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</si>
  <si>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</si>
  <si>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</si>
  <si>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</si>
  <si>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</si>
  <si>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</si>
  <si>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</si>
  <si>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</si>
  <si>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</si>
  <si>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</si>
  <si>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</si>
  <si>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</si>
  <si>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</si>
  <si>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</si>
  <si>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</si>
  <si>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</si>
  <si>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</si>
  <si>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</si>
  <si>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</si>
  <si>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</si>
  <si>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</si>
  <si>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</si>
  <si>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</si>
  <si>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</si>
  <si>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</si>
  <si>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</si>
  <si>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</si>
  <si>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</si>
  <si>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</si>
  <si>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</si>
  <si>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</si>
  <si>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</si>
  <si>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</si>
  <si>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</si>
  <si>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</si>
  <si>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</si>
  <si>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</si>
  <si>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</si>
  <si>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</si>
  <si>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</si>
  <si>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</si>
  <si>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</si>
  <si>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</si>
  <si>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</si>
  <si>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</si>
  <si>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</si>
  <si>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</si>
  <si>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</si>
  <si>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</si>
  <si>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</si>
  <si>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</si>
  <si>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</si>
  <si>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</si>
  <si>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</si>
  <si>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</si>
  <si>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</si>
  <si>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</si>
  <si>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</si>
  <si>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</si>
  <si>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たか</t>
    <phoneticPr fontId="1"/>
  </si>
  <si>
    <t>いちかわ</t>
    <phoneticPr fontId="1"/>
  </si>
  <si>
    <t>ツモ</t>
  </si>
  <si>
    <t>ツモ支払</t>
  </si>
  <si>
    <t>*</t>
  </si>
  <si>
    <t>52</t>
  </si>
  <si>
    <t>01</t>
  </si>
  <si>
    <t>ロン</t>
  </si>
  <si>
    <t>放銃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</si>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</sst>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192</v>
      </c>
      <c r="G1" s="66"/>
      <c r="H1" s="66"/>
      <c r="I1" s="67"/>
      <c r="J1" s="68"/>
      <c r="K1" s="65" t="s">
        <v>193</v>
      </c>
      <c r="L1" s="66"/>
      <c r="M1" s="66"/>
      <c r="N1" s="67"/>
      <c r="O1" s="68"/>
      <c r="P1" s="65" t="s">
        <v>191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たか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いちかわ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だいち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</v>
      </c>
      <c r="V2" s="64" t="str">
        <f>$K$1</f>
        <v>いちかわ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</v>
      </c>
      <c r="F4" s="8" t="s">
        <v>194</v>
      </c>
      <c r="G4" s="9">
        <v>24000</v>
      </c>
      <c r="H4" s="9">
        <v>1000</v>
      </c>
      <c r="I4" s="48">
        <v>0</v>
      </c>
      <c r="J4" s="21">
        <f>IF(COUNTA($F4,$K4,$P4)&gt;0,J3+SUM(G4:I4),"")</f>
        <v>60000</v>
      </c>
      <c r="K4" s="8" t="s">
        <v>195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 t="s">
        <v>195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35</v>
      </c>
      <c r="V4" s="54">
        <f>IF($O4="","",ROUND(($O4-$O$3)/1000,1)+(_xlfn.RANK.AVG($O4,($J4,$O4,$T4),1)-2)*10)</f>
        <v>-23</v>
      </c>
      <c r="W4" s="55">
        <f>IF($T4="","",ROUND(($T4-$T$3)/1000,1)+(_xlfn.RANK.AVG($T4,($J4,$O4,$T4),1)-2)*10)</f>
        <v>-12</v>
      </c>
      <c r="Y4" s="8"/>
      <c r="Z4" s="34"/>
      <c r="AA4" s="26"/>
      <c r="AB4" s="26"/>
      <c r="AC4" s="26">
        <v>8</v>
      </c>
      <c r="AD4" s="30" t="s">
        <v>196</v>
      </c>
      <c r="AE4" s="40" t="s">
        <v>82</v>
      </c>
      <c r="AF4" s="41" t="s">
        <v>96</v>
      </c>
      <c r="AG4" s="41" t="s">
        <v>86</v>
      </c>
      <c r="AH4" s="41" t="s">
        <v>197</v>
      </c>
      <c r="AI4" s="41" t="s">
        <v>79</v>
      </c>
      <c r="AJ4" s="41" t="s">
        <v>79</v>
      </c>
      <c r="AK4" s="41" t="s">
        <v>79</v>
      </c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たか</v>
      </c>
      <c r="F5" s="8" t="s">
        <v>194</v>
      </c>
      <c r="G5" s="9">
        <v>12000</v>
      </c>
      <c r="H5" s="9"/>
      <c r="I5" s="48">
        <v>1000</v>
      </c>
      <c r="J5" s="21">
        <f t="shared" ref="J5:J30" si="2">IF(COUNTA($F5,$K5,$P5)&gt;0,J4+SUM(G5:I5),"")</f>
        <v>73000</v>
      </c>
      <c r="K5" s="8" t="s">
        <v>195</v>
      </c>
      <c r="L5" s="9">
        <v>-6000</v>
      </c>
      <c r="M5" s="9"/>
      <c r="N5" s="48">
        <v>-500</v>
      </c>
      <c r="O5" s="21">
        <f t="shared" ref="O5:O30" si="3">IF(COUNTA($F5,$K5,$P5)&gt;0,O4+SUM(L5:N5),"")</f>
        <v>15500</v>
      </c>
      <c r="P5" s="8" t="s">
        <v>195</v>
      </c>
      <c r="Q5" s="9">
        <v>-6000</v>
      </c>
      <c r="R5" s="9"/>
      <c r="S5" s="48">
        <v>-500</v>
      </c>
      <c r="T5" s="21">
        <f t="shared" ref="T5:T30" si="4">IF(COUNTA($F5,$K5,$P5)&gt;0,T4+SUM(Q5:S5),"")</f>
        <v>16500</v>
      </c>
      <c r="U5" s="53">
        <f>IF($J5="","",ROUND(($J5-$J$3)/1000,1)+(_xlfn.RANK.AVG($J5,($J5,$O5,$T5),1)-2)*10)</f>
        <v>48</v>
      </c>
      <c r="V5" s="54">
        <f>IF($O5="","",ROUND(($O5-$O$3)/1000,1)+(_xlfn.RANK.AVG($O5,($J5,$O5,$T5),1)-2)*10)</f>
        <v>-29.5</v>
      </c>
      <c r="W5" s="55">
        <f>IF($T5="","",ROUND(($T5-$T$3)/1000,1)+(_xlfn.RANK.AVG($T5,($J5,$O5,$T5),1)-2)*10)</f>
        <v>-18.5</v>
      </c>
      <c r="Y5" s="8"/>
      <c r="Z5" s="34"/>
      <c r="AA5" s="26">
        <v>1</v>
      </c>
      <c r="AB5" s="26"/>
      <c r="AC5" s="26">
        <v>5</v>
      </c>
      <c r="AD5" s="30" t="s">
        <v>196</v>
      </c>
      <c r="AE5" s="40" t="s">
        <v>198</v>
      </c>
      <c r="AF5" s="41" t="s">
        <v>82</v>
      </c>
      <c r="AG5" s="41" t="s">
        <v>85</v>
      </c>
      <c r="AH5" s="41" t="s">
        <v>79</v>
      </c>
      <c r="AI5" s="41" t="s">
        <v>197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たか</v>
      </c>
      <c r="F6" s="8" t="s">
        <v>199</v>
      </c>
      <c r="G6" s="9">
        <v>12000</v>
      </c>
      <c r="H6" s="9"/>
      <c r="I6" s="48">
        <v>2000</v>
      </c>
      <c r="J6" s="21">
        <f t="shared" si="2"/>
        <v>87000</v>
      </c>
      <c r="K6" s="8"/>
      <c r="L6" s="9"/>
      <c r="M6" s="9"/>
      <c r="N6" s="48"/>
      <c r="O6" s="21">
        <f t="shared" si="3"/>
        <v>15500</v>
      </c>
      <c r="P6" s="8" t="s">
        <v>200</v>
      </c>
      <c r="Q6" s="9">
        <v>-12000</v>
      </c>
      <c r="R6" s="9"/>
      <c r="S6" s="48">
        <v>-2000</v>
      </c>
      <c r="T6" s="21">
        <f t="shared" si="4"/>
        <v>2500</v>
      </c>
      <c r="U6" s="53">
        <f>IF($J6="","",ROUND(($J6-$J$3)/1000,1)+(_xlfn.RANK.AVG($J6,($J6,$O6,$T6),1)-2)*10)</f>
        <v>62</v>
      </c>
      <c r="V6" s="54">
        <f>IF($O6="","",ROUND(($O6-$O$3)/1000,1)+(_xlfn.RANK.AVG($O6,($J6,$O6,$T6),1)-2)*10)</f>
        <v>-19.5</v>
      </c>
      <c r="W6" s="55">
        <f>IF($T6="","",ROUND(($T6-$T$3)/1000,1)+(_xlfn.RANK.AVG($T6,($J6,$O6,$T6),1)-2)*10)</f>
        <v>-42.5</v>
      </c>
      <c r="Y6" s="8"/>
      <c r="Z6" s="34"/>
      <c r="AA6" s="26">
        <v>1</v>
      </c>
      <c r="AB6" s="26"/>
      <c r="AC6" s="26">
        <v>4</v>
      </c>
      <c r="AD6" s="30">
        <v>40</v>
      </c>
      <c r="AE6" s="40" t="s">
        <v>198</v>
      </c>
      <c r="AF6" s="41" t="s">
        <v>201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たか</v>
      </c>
      <c r="F7" s="8" t="s">
        <v>194</v>
      </c>
      <c r="G7" s="9">
        <v>6000</v>
      </c>
      <c r="H7" s="9">
        <v>1000</v>
      </c>
      <c r="I7" s="48">
        <v>3000</v>
      </c>
      <c r="J7" s="21">
        <f t="shared" si="2"/>
        <v>97000</v>
      </c>
      <c r="K7" s="8" t="s">
        <v>195</v>
      </c>
      <c r="L7" s="9">
        <v>-3000</v>
      </c>
      <c r="M7" s="9"/>
      <c r="N7" s="48">
        <v>-1500</v>
      </c>
      <c r="O7" s="21">
        <f t="shared" si="3"/>
        <v>11000</v>
      </c>
      <c r="P7" s="8" t="s">
        <v>195</v>
      </c>
      <c r="Q7" s="9">
        <v>-3000</v>
      </c>
      <c r="R7" s="9">
        <v>-1000</v>
      </c>
      <c r="S7" s="48">
        <v>-1500</v>
      </c>
      <c r="T7" s="21">
        <f t="shared" si="4"/>
        <v>-3000</v>
      </c>
      <c r="U7" s="53">
        <f>IF($J7="","",ROUND(($J7-$J$3)/1000,1)+(_xlfn.RANK.AVG($J7,($J7,$O7,$T7),1)-2)*10)</f>
        <v>72</v>
      </c>
      <c r="V7" s="54">
        <f>IF($O7="","",ROUND(($O7-$O$3)/1000,1)+(_xlfn.RANK.AVG($O7,($J7,$O7,$T7),1)-2)*10)</f>
        <v>-24</v>
      </c>
      <c r="W7" s="55">
        <f>IF($T7="","",ROUND(($T7-$T$3)/1000,1)+(_xlfn.RANK.AVG($T7,($J7,$O7,$T7),1)-2)*10)</f>
        <v>-48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104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tr">
        <f>IF($F$1="","",$F$1)</f>
        <v>たか</v>
      </c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81A1C6D-5103-40A9-8C7B-CFED661654A4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2020-12-23T12:03:04Z</dcterms:modified>
</cp:coreProperties>
</file>