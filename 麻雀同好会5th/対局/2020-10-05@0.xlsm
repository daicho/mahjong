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76ED2F73-D5F2-4AD5-8098-52BD98B4CC12}" xr6:coauthVersionLast="45" xr6:coauthVersionMax="45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" i="19" l="1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U9" i="19" l="1"/>
  <c r="V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<sst xmlns="http://schemas.openxmlformats.org/spreadsheetml/2006/main" count="570" uniqueCount="202">
  <si>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</si>
  <si>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</si>
  <si>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</si>
  <si>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</si>
  <si>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</si>
  <si>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</si>
  <si>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</si>
  <si>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</si>
  <si>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</si>
  <si>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</si>
  <si>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</si>
  <si>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</si>
  <si>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</si>
  <si>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</si>
  <si>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</si>
  <si>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</si>
  <si>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</si>
  <si>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</si>
  <si>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</si>
  <si>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</si>
  <si>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</si>
  <si>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</si>
  <si>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</si>
  <si>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</si>
  <si>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</si>
  <si>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</si>
  <si>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</si>
  <si>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</si>
  <si>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</si>
  <si>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</si>
  <si>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</si>
  <si>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</si>
  <si>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</si>
  <si>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</si>
  <si>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</si>
  <si>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</si>
  <si>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</si>
  <si>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</si>
  <si>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</si>
  <si>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</si>
  <si>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</si>
  <si>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</si>
  <si>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</si>
  <si>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</si>
  <si>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</si>
  <si>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</si>
  <si>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</si>
  <si>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</si>
  <si>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</si>
  <si>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</si>
  <si>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</si>
  <si>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</si>
  <si>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</si>
  <si>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</si>
  <si>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</si>
  <si>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</si>
  <si>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</si>
  <si>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</si>
  <si>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</si>
  <si>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</si>
  <si>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</si>
  <si>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</si>
  <si>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</si>
  <si>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</si>
  <si>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</si>
  <si>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</si>
  <si>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</si>
  <si>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</si>
  <si>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</si>
  <si>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</si>
  <si>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</si>
  <si>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</si>
  <si>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</si>
  <si>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</si>
  <si>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</si>
  <si>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</si>
  <si>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</si>
  <si>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</si>
  <si>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</si>
  <si>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</si>
  <si>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</si>
  <si>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</si>
  <si>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</si>
  <si>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</si>
  <si>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</si>
  <si>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</si>
  <si>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</si>
  <si>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</si>
  <si>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</si>
  <si>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</si>
  <si>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</si>
  <si>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</si>
  <si>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</si>
  <si>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</si>
  <si>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</si>
  <si>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</si>
  <si>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</si>
  <si>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</si>
  <si>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</si>
  <si>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</si>
  <si>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</si>
  <si>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</si>
  <si>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</si>
  <si>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</si>
  <si>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</si>
  <si>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</si>
  <si>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</si>
  <si>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</si>
  <si>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</si>
  <si>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</si>
  <si>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</si>
  <si>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</si>
  <si>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</si>
  <si>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</si>
  <si>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</si>
  <si>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</si>
  <si>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</si>
  <si>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</si>
  <si>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</si>
  <si>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</si>
  <si>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</si>
  <si>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</si>
  <si>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</si>
  <si>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</si>
  <si>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</si>
  <si>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</si>
  <si>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</si>
  <si>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</si>
  <si>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</si>
  <si>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</si>
  <si>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</si>
  <si>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</si>
  <si>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</si>
  <si>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</si>
  <si>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</si>
  <si>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</si>
  <si>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</si>
  <si>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</si>
  <si>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</si>
  <si>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</si>
  <si>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</si>
  <si>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</si>
  <si>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</si>
  <si>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</si>
  <si>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</si>
  <si>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</si>
  <si>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</si>
  <si>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</si>
  <si>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</si>
  <si>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</si>
  <si>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</si>
  <si>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</si>
  <si>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</si>
  <si>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</si>
  <si>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</si>
  <si>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</si>
  <si>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</si>
  <si>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</si>
  <si>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</si>
  <si>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</si>
  <si>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</si>
  <si>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</si>
  <si>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</si>
  <si>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</si>
  <si>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</si>
  <si>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</si>
  <si>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</si>
  <si>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</si>
  <si>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</si>
  <si>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</si>
  <si>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</si>
  <si>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</si>
  <si>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</si>
  <si>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</si>
  <si>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</si>
  <si>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</si>
  <si>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</si>
  <si>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</si>
  <si>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</si>
  <si>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</si>
  <si>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</si>
  <si>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</si>
  <si>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</si>
  <si>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</si>
  <si>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</si>
  <si>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</si>
  <si>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</si>
  <si>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</si>
  <si>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</si>
  <si>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</si>
  <si>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</si>
  <si>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  <phoneticPr fontId="1"/>
  </si>
  <si>
    <t>だいち</t>
    <phoneticPr fontId="1"/>
  </si>
  <si>
    <t>れんたろう</t>
    <phoneticPr fontId="1"/>
  </si>
  <si>
    <t>ツモ支払</t>
  </si>
  <si>
    <t>ツモ</t>
  </si>
  <si>
    <t>*</t>
  </si>
  <si>
    <t>01</t>
  </si>
  <si>
    <t>02</t>
  </si>
  <si>
    <t>ロン</t>
  </si>
  <si>
    <t>放銃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</si>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</sst>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ただ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だいち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れんたろう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5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194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195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194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196</v>
      </c>
      <c r="AZ4" s="40" t="s">
        <v>197</v>
      </c>
      <c r="BA4" s="41" t="s">
        <v>82</v>
      </c>
      <c r="BB4" s="41" t="s">
        <v>198</v>
      </c>
      <c r="BC4" s="41" t="s">
        <v>83</v>
      </c>
      <c r="BD4" s="41" t="s">
        <v>79</v>
      </c>
      <c r="BE4" s="41" t="s">
        <v>80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/>
      <c r="G5" s="9"/>
      <c r="H5" s="9"/>
      <c r="I5" s="48"/>
      <c r="J5" s="21">
        <f t="shared" ref="J5:J30" si="2">IF(COUNTA($F5,$K5,$P5)&gt;0,J4+SUM(G5:I5),"")</f>
        <v>27500</v>
      </c>
      <c r="K5" s="8" t="s">
        <v>199</v>
      </c>
      <c r="L5" s="9">
        <v>12000</v>
      </c>
      <c r="M5" s="9">
        <v>1000</v>
      </c>
      <c r="N5" s="48">
        <v>0</v>
      </c>
      <c r="O5" s="21">
        <f t="shared" ref="O5:O30" si="3">IF(COUNTA($F5,$K5,$P5)&gt;0,O4+SUM(L5:N5),"")</f>
        <v>60000</v>
      </c>
      <c r="P5" s="8" t="s">
        <v>200</v>
      </c>
      <c r="Q5" s="9">
        <v>-12000</v>
      </c>
      <c r="R5" s="9">
        <v>-1000</v>
      </c>
      <c r="S5" s="48">
        <v>0</v>
      </c>
      <c r="T5" s="21">
        <f t="shared" ref="T5:T30" si="4">IF(COUNTA($F5,$K5,$P5)&gt;0,T4+SUM(Q5:S5),"")</f>
        <v>17500</v>
      </c>
      <c r="U5" s="53">
        <f>IF($J5="","",ROUND(($J5-$J$3)/1000,1)+(_xlfn.RANK.AVG($J5,($J5,$O5,$T5),1)-2)*10)</f>
        <v>-7.5</v>
      </c>
      <c r="V5" s="54">
        <f>IF($O5="","",ROUND(($O5-$O$3)/1000,1)+(_xlfn.RANK.AVG($O5,($J5,$O5,$T5),1)-2)*10)</f>
        <v>35</v>
      </c>
      <c r="W5" s="55">
        <f>IF($T5="","",ROUND(($T5-$T$3)/1000,1)+(_xlfn.RANK.AVG($T5,($J5,$O5,$T5),1)-2)*10)</f>
        <v>-27.5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40</v>
      </c>
      <c r="AZ5" s="40" t="s">
        <v>197</v>
      </c>
      <c r="BA5" s="41" t="s">
        <v>84</v>
      </c>
      <c r="BB5" s="41" t="s">
        <v>79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だいち</v>
      </c>
      <c r="F6" s="8" t="s">
        <v>200</v>
      </c>
      <c r="G6" s="9">
        <v>-12000</v>
      </c>
      <c r="H6" s="9"/>
      <c r="I6" s="48">
        <v>-1000</v>
      </c>
      <c r="J6" s="21">
        <f t="shared" si="2"/>
        <v>14500</v>
      </c>
      <c r="K6" s="8" t="s">
        <v>199</v>
      </c>
      <c r="L6" s="9">
        <v>12000</v>
      </c>
      <c r="M6" s="9"/>
      <c r="N6" s="48">
        <v>1000</v>
      </c>
      <c r="O6" s="21">
        <f t="shared" si="3"/>
        <v>73000</v>
      </c>
      <c r="P6" s="8"/>
      <c r="Q6" s="9"/>
      <c r="R6" s="9"/>
      <c r="S6" s="48"/>
      <c r="T6" s="21">
        <f t="shared" si="4"/>
        <v>17500</v>
      </c>
      <c r="U6" s="53">
        <f>IF($J6="","",ROUND(($J6-$J$3)/1000,1)+(_xlfn.RANK.AVG($J6,($J6,$O6,$T6),1)-2)*10)</f>
        <v>-30.5</v>
      </c>
      <c r="V6" s="54">
        <f>IF($O6="","",ROUND(($O6-$O$3)/1000,1)+(_xlfn.RANK.AVG($O6,($J6,$O6,$T6),1)-2)*10)</f>
        <v>48</v>
      </c>
      <c r="W6" s="55">
        <f>IF($T6="","",ROUND(($T6-$T$3)/1000,1)+(_xlfn.RANK.AVG($T6,($J6,$O6,$T6),1)-2)*10)</f>
        <v>-17.5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197</v>
      </c>
      <c r="BA6" s="41" t="s">
        <v>86</v>
      </c>
      <c r="BB6" s="41" t="s">
        <v>201</v>
      </c>
      <c r="BC6" s="41" t="s">
        <v>80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だいち</v>
      </c>
      <c r="F7" s="8" t="s">
        <v>194</v>
      </c>
      <c r="G7" s="9">
        <v>-1500</v>
      </c>
      <c r="H7" s="9"/>
      <c r="I7" s="48">
        <v>-1000</v>
      </c>
      <c r="J7" s="21">
        <f t="shared" si="2"/>
        <v>12000</v>
      </c>
      <c r="K7" s="8" t="s">
        <v>195</v>
      </c>
      <c r="L7" s="9">
        <v>3000</v>
      </c>
      <c r="M7" s="9"/>
      <c r="N7" s="48">
        <v>2000</v>
      </c>
      <c r="O7" s="21">
        <f t="shared" si="3"/>
        <v>78000</v>
      </c>
      <c r="P7" s="8" t="s">
        <v>194</v>
      </c>
      <c r="Q7" s="9">
        <v>-1500</v>
      </c>
      <c r="R7" s="9"/>
      <c r="S7" s="48">
        <v>-1000</v>
      </c>
      <c r="T7" s="21">
        <f t="shared" si="4"/>
        <v>15000</v>
      </c>
      <c r="U7" s="53">
        <f>IF($J7="","",ROUND(($J7-$J$3)/1000,1)+(_xlfn.RANK.AVG($J7,($J7,$O7,$T7),1)-2)*10)</f>
        <v>-33</v>
      </c>
      <c r="V7" s="54">
        <f>IF($O7="","",ROUND(($O7-$O$3)/1000,1)+(_xlfn.RANK.AVG($O7,($J7,$O7,$T7),1)-2)*10)</f>
        <v>53</v>
      </c>
      <c r="W7" s="55">
        <f>IF($T7="","",ROUND(($T7-$T$3)/1000,1)+(_xlfn.RANK.AVG($T7,($J7,$O7,$T7),1)-2)*10)</f>
        <v>-20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2</v>
      </c>
      <c r="AY7" s="30">
        <v>30</v>
      </c>
      <c r="AZ7" s="40" t="s">
        <v>79</v>
      </c>
      <c r="BA7" s="41" t="s">
        <v>82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tr">
        <f>IF($K$1="","",$K$1)</f>
        <v>だいち</v>
      </c>
      <c r="F8" s="8"/>
      <c r="G8" s="9"/>
      <c r="H8" s="9"/>
      <c r="I8" s="48"/>
      <c r="J8" s="21">
        <f t="shared" si="2"/>
        <v>12000</v>
      </c>
      <c r="K8" s="8" t="s">
        <v>199</v>
      </c>
      <c r="L8" s="9">
        <v>12000</v>
      </c>
      <c r="M8" s="9"/>
      <c r="N8" s="48">
        <v>3000</v>
      </c>
      <c r="O8" s="21">
        <f t="shared" si="3"/>
        <v>93000</v>
      </c>
      <c r="P8" s="8" t="s">
        <v>200</v>
      </c>
      <c r="Q8" s="9">
        <v>-12000</v>
      </c>
      <c r="R8" s="9"/>
      <c r="S8" s="48">
        <v>-3000</v>
      </c>
      <c r="T8" s="21">
        <f t="shared" si="4"/>
        <v>0</v>
      </c>
      <c r="U8" s="53">
        <f>IF($J8="","",ROUND(($J8-$J$3)/1000,1)+(_xlfn.RANK.AVG($J8,($J8,$O8,$T8),1)-2)*10)</f>
        <v>-23</v>
      </c>
      <c r="V8" s="54">
        <f>IF($O8="","",ROUND(($O8-$O$3)/1000,1)+(_xlfn.RANK.AVG($O8,($J8,$O8,$T8),1)-2)*10)</f>
        <v>68</v>
      </c>
      <c r="W8" s="55">
        <f>IF($T8="","",ROUND(($T8-$T$3)/1000,1)+(_xlfn.RANK.AVG($T8,($J8,$O8,$T8),1)-2)*10)</f>
        <v>-45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5</v>
      </c>
      <c r="AY8" s="30" t="s">
        <v>196</v>
      </c>
      <c r="AZ8" s="40" t="s">
        <v>86</v>
      </c>
      <c r="BA8" s="41" t="s">
        <v>86</v>
      </c>
      <c r="BB8" s="41" t="s">
        <v>86</v>
      </c>
      <c r="BC8" s="41" t="s">
        <v>98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4</v>
      </c>
      <c r="D9" s="18">
        <f t="shared" si="1"/>
        <v>0</v>
      </c>
      <c r="E9" s="4" t="str">
        <f>IF($K$1="","",$K$1)</f>
        <v>だいち</v>
      </c>
      <c r="F9" s="8" t="s">
        <v>194</v>
      </c>
      <c r="G9" s="9">
        <v>-3000</v>
      </c>
      <c r="H9" s="9"/>
      <c r="I9" s="48">
        <v>-2000</v>
      </c>
      <c r="J9" s="21">
        <f t="shared" si="2"/>
        <v>7000</v>
      </c>
      <c r="K9" s="8" t="s">
        <v>195</v>
      </c>
      <c r="L9" s="9">
        <v>6000</v>
      </c>
      <c r="M9" s="9"/>
      <c r="N9" s="48">
        <v>4000</v>
      </c>
      <c r="O9" s="21">
        <f t="shared" si="3"/>
        <v>103000</v>
      </c>
      <c r="P9" s="8" t="s">
        <v>194</v>
      </c>
      <c r="Q9" s="9">
        <v>-3000</v>
      </c>
      <c r="R9" s="9"/>
      <c r="S9" s="48">
        <v>-2000</v>
      </c>
      <c r="T9" s="21">
        <f t="shared" si="4"/>
        <v>-5000</v>
      </c>
      <c r="U9" s="53">
        <f>IF($J9="","",ROUND(($J9-$J$3)/1000,1)+(_xlfn.RANK.AVG($J9,($J9,$O9,$T9),1)-2)*10)</f>
        <v>-28</v>
      </c>
      <c r="V9" s="54">
        <f>IF($O9="","",ROUND(($O9-$O$3)/1000,1)+(_xlfn.RANK.AVG($O9,($J9,$O9,$T9),1)-2)*10)</f>
        <v>78</v>
      </c>
      <c r="W9" s="55">
        <f>IF($T9="","",ROUND(($T9-$T$3)/1000,1)+(_xlfn.RANK.AVG($T9,($J9,$O9,$T9),1)-2)*10)</f>
        <v>-50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3</v>
      </c>
      <c r="AY9" s="30">
        <v>30</v>
      </c>
      <c r="AZ9" s="40" t="s">
        <v>86</v>
      </c>
      <c r="BA9" s="41" t="s">
        <v>86</v>
      </c>
      <c r="BB9" s="41" t="s">
        <v>201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2</v>
      </c>
      <c r="C10" s="18">
        <f t="shared" si="6"/>
        <v>5</v>
      </c>
      <c r="D10" s="18">
        <f t="shared" si="1"/>
        <v>0</v>
      </c>
      <c r="E10" s="4" t="str">
        <f>IF($K$1="","",$K$1)</f>
        <v>だいち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B7028E32-1FFA-4EBE-B95F-78223EC96FD2}">
      <formula1>"だいち,れんたろう,たかの,まっつん,いちかわ,ただ,たか,のり,"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2020-10-05T09:45:32Z</dcterms:modified>
</cp:coreProperties>
</file>