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5th\対局\"/>
    </mc:Choice>
  </mc:AlternateContent>
  <xr:revisionPtr revIDLastSave="0" documentId="13_ncr:1_{95A812BB-363C-4F14-95B4-D0072F79E314}" xr6:coauthVersionLast="45" xr6:coauthVersionMax="45" xr10:uidLastSave="{00000000-0000-0000-0000-000000000000}"/>
  <bookViews>
    <workbookView xWindow="-108" yWindow="-108" windowWidth="23256" windowHeight="12720" activeTab="1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" i="20" l="1"/>
  <c r="E12" i="20"/>
  <c r="C12" i="20" s="1"/>
  <c r="E11" i="20"/>
  <c r="E10" i="20"/>
  <c r="D10" i="20" s="1"/>
  <c r="E9" i="20"/>
  <c r="D9" i="20" s="1"/>
  <c r="E8" i="20"/>
  <c r="E7" i="20"/>
  <c r="E6" i="20"/>
  <c r="E5" i="20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J12" i="20"/>
  <c r="D12" i="20"/>
  <c r="T11" i="20"/>
  <c r="O11" i="20"/>
  <c r="V11" i="20" s="1"/>
  <c r="J11" i="20"/>
  <c r="D11" i="20"/>
  <c r="C11" i="20"/>
  <c r="B11" i="20"/>
  <c r="A11" i="20"/>
  <c r="T10" i="20"/>
  <c r="W10" i="20" s="1"/>
  <c r="O10" i="20"/>
  <c r="V10" i="20" s="1"/>
  <c r="J10" i="20"/>
  <c r="T9" i="20"/>
  <c r="O9" i="20"/>
  <c r="J9" i="20"/>
  <c r="T8" i="20"/>
  <c r="W8" i="20" s="1"/>
  <c r="O8" i="20"/>
  <c r="J8" i="20"/>
  <c r="D8" i="20"/>
  <c r="C8" i="20"/>
  <c r="B8" i="20"/>
  <c r="A8" i="20" s="1"/>
  <c r="O7" i="20"/>
  <c r="D7" i="20"/>
  <c r="C7" i="20"/>
  <c r="O6" i="20"/>
  <c r="J6" i="20"/>
  <c r="J7" i="20" s="1"/>
  <c r="D6" i="20"/>
  <c r="O5" i="20"/>
  <c r="J5" i="20"/>
  <c r="T4" i="20"/>
  <c r="O4" i="20"/>
  <c r="J4" i="20"/>
  <c r="E4" i="20"/>
  <c r="W3" i="20"/>
  <c r="V3" i="20"/>
  <c r="U3" i="20"/>
  <c r="W2" i="20"/>
  <c r="V2" i="20"/>
  <c r="U2" i="20"/>
  <c r="BO1" i="20"/>
  <c r="AT1" i="20"/>
  <c r="Y1" i="20"/>
  <c r="E7" i="19"/>
  <c r="E6" i="19"/>
  <c r="E5" i="19"/>
  <c r="V12" i="20" l="1"/>
  <c r="U12" i="20"/>
  <c r="B12" i="20"/>
  <c r="A12" i="20" s="1"/>
  <c r="U11" i="20"/>
  <c r="W11" i="20"/>
  <c r="U10" i="20"/>
  <c r="B10" i="20"/>
  <c r="A10" i="20" s="1"/>
  <c r="C10" i="20"/>
  <c r="U9" i="20"/>
  <c r="W9" i="20"/>
  <c r="V9" i="20"/>
  <c r="B9" i="20"/>
  <c r="A9" i="20" s="1"/>
  <c r="C9" i="20"/>
  <c r="V8" i="20"/>
  <c r="U8" i="20"/>
  <c r="U4" i="20"/>
  <c r="C6" i="20"/>
  <c r="V4" i="20"/>
  <c r="W4" i="20"/>
  <c r="T5" i="20"/>
  <c r="B5" i="20"/>
  <c r="B6" i="20" s="1"/>
  <c r="C5" i="20"/>
  <c r="D5" i="20"/>
  <c r="E4" i="19"/>
  <c r="A5" i="20" l="1"/>
  <c r="B7" i="20"/>
  <c r="A7" i="20" s="1"/>
  <c r="A6" i="20"/>
  <c r="W5" i="20"/>
  <c r="T6" i="20"/>
  <c r="U5" i="20"/>
  <c r="V5" i="20"/>
  <c r="W3" i="19"/>
  <c r="V3" i="19"/>
  <c r="U3" i="19"/>
  <c r="T7" i="20" l="1"/>
  <c r="W6" i="20"/>
  <c r="V6" i="20"/>
  <c r="U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V9" i="19" s="1"/>
  <c r="J9" i="19"/>
  <c r="U9" i="19" s="1"/>
  <c r="D9" i="19"/>
  <c r="C9" i="19"/>
  <c r="B9" i="19"/>
  <c r="A9" i="19" s="1"/>
  <c r="T8" i="19"/>
  <c r="W8" i="19" s="1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U6" i="19" s="1"/>
  <c r="B6" i="19"/>
  <c r="A6" i="19" s="1"/>
  <c r="D5" i="19"/>
  <c r="D6" i="19" s="1"/>
  <c r="C5" i="19"/>
  <c r="B5" i="19"/>
  <c r="A5" i="19" s="1"/>
  <c r="T4" i="19"/>
  <c r="O4" i="19"/>
  <c r="J4" i="19"/>
  <c r="W2" i="19"/>
  <c r="V2" i="19"/>
  <c r="U2" i="19"/>
  <c r="BO1" i="19"/>
  <c r="AT1" i="19"/>
  <c r="Y1" i="19"/>
  <c r="W7" i="20" l="1"/>
  <c r="V7" i="20"/>
  <c r="U7" i="20"/>
  <c r="C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<sst xmlns="http://schemas.openxmlformats.org/spreadsheetml/2006/main" count="661" uniqueCount="204">
  <si>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</si>
  <si>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</si>
  <si>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</si>
  <si>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</si>
  <si>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</si>
  <si>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</si>
  <si>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</si>
  <si>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</si>
  <si>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</si>
  <si>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</si>
  <si>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</si>
  <si>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</si>
  <si>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</si>
  <si>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</si>
  <si>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</si>
  <si>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</si>
  <si>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</si>
  <si>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</si>
  <si>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</si>
  <si>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</si>
  <si>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</si>
  <si>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</si>
  <si>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</si>
  <si>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</si>
  <si>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</si>
  <si>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</si>
  <si>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</si>
  <si>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</si>
  <si>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</si>
  <si>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</si>
  <si>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</si>
  <si>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</si>
  <si>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</si>
  <si>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</si>
  <si>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</si>
  <si>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</si>
  <si>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</si>
  <si>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</si>
  <si>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</si>
  <si>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</si>
  <si>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</si>
  <si>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</si>
  <si>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</si>
  <si>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</si>
  <si>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</si>
  <si>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</si>
  <si>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</si>
  <si>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</si>
  <si>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</si>
  <si>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</si>
  <si>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</si>
  <si>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</si>
  <si>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</si>
  <si>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</si>
  <si>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</si>
  <si>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</si>
  <si>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</si>
  <si>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</si>
  <si>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</si>
  <si>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</si>
  <si>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</si>
  <si>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</si>
  <si>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</si>
  <si>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</si>
  <si>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</si>
  <si>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</si>
  <si>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</si>
  <si>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</si>
  <si>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</si>
  <si>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</si>
  <si>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</si>
  <si>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</si>
  <si>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</si>
  <si>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</si>
  <si>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</si>
  <si>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</si>
  <si>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</si>
  <si>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</si>
  <si>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</si>
  <si>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</si>
  <si>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</si>
  <si>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</si>
  <si>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</si>
  <si>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</si>
  <si>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</si>
  <si>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</si>
  <si>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</si>
  <si>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</si>
  <si>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</si>
  <si>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</si>
  <si>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</si>
  <si>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</si>
  <si>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</si>
  <si>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</si>
  <si>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</si>
  <si>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</si>
  <si>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</si>
  <si>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</si>
  <si>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</si>
  <si>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</si>
  <si>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</si>
  <si>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</si>
  <si>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</si>
  <si>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</si>
  <si>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</si>
  <si>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</si>
  <si>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</si>
  <si>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</si>
  <si>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</si>
  <si>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</si>
  <si>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</si>
  <si>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</si>
  <si>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</si>
  <si>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</si>
  <si>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</si>
  <si>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</si>
  <si>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</si>
  <si>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</si>
  <si>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</si>
  <si>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</si>
  <si>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</si>
  <si>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</si>
  <si>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</si>
  <si>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</si>
  <si>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</si>
  <si>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</si>
  <si>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</si>
  <si>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</si>
  <si>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</si>
  <si>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</si>
  <si>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</si>
  <si>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</si>
  <si>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</si>
  <si>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</si>
  <si>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</si>
  <si>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</si>
  <si>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</si>
  <si>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</si>
  <si>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</si>
  <si>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</si>
  <si>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</si>
  <si>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</si>
  <si>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</si>
  <si>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</si>
  <si>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</si>
  <si>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</si>
  <si>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</si>
  <si>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</si>
  <si>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</si>
  <si>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</si>
  <si>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</si>
  <si>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</si>
  <si>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</si>
  <si>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</si>
  <si>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</si>
  <si>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</si>
  <si>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</si>
  <si>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</si>
  <si>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</si>
  <si>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</si>
  <si>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</si>
  <si>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</si>
  <si>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</si>
  <si>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</si>
  <si>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</si>
  <si>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</si>
  <si>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</si>
  <si>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</si>
  <si>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</si>
  <si>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</si>
  <si>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</si>
  <si>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</si>
  <si>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</si>
  <si>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</si>
  <si>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</si>
  <si>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</si>
  <si>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</si>
  <si>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</si>
  <si>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</si>
  <si>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</si>
  <si>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</si>
  <si>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</si>
  <si>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</si>
  <si>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</si>
  <si>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</si>
  <si>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</si>
  <si>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</si>
  <si>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</si>
  <si>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</si>
  <si>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</si>
  <si>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</si>
  <si>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だいち</t>
    <phoneticPr fontId="1"/>
  </si>
  <si>
    <t>たか</t>
    <phoneticPr fontId="1"/>
  </si>
  <si>
    <t>いちかわ</t>
    <phoneticPr fontId="1"/>
  </si>
  <si>
    <t>放銃</t>
  </si>
  <si>
    <t>ロン</t>
  </si>
  <si>
    <t>*</t>
  </si>
  <si>
    <t>52</t>
  </si>
  <si>
    <t>01</t>
  </si>
  <si>
    <t>ツモ</t>
  </si>
  <si>
    <t>ツモ支払</t>
  </si>
  <si>
    <t>T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</si>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</sst>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191</v>
      </c>
      <c r="G1" s="72"/>
      <c r="H1" s="72"/>
      <c r="I1" s="73"/>
      <c r="J1" s="74"/>
      <c r="K1" s="71" t="s">
        <v>192</v>
      </c>
      <c r="L1" s="72"/>
      <c r="M1" s="72"/>
      <c r="N1" s="73"/>
      <c r="O1" s="74"/>
      <c r="P1" s="71" t="s">
        <v>193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だいち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いちかわ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だいち</v>
      </c>
      <c r="V2" s="64" t="str">
        <f>$K$1</f>
        <v>たか</v>
      </c>
      <c r="W2" s="16" t="str">
        <f>$P$1</f>
        <v>いちかわ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だいち</v>
      </c>
      <c r="F4" s="8"/>
      <c r="G4" s="9"/>
      <c r="H4" s="9"/>
      <c r="I4" s="48"/>
      <c r="J4" s="21">
        <f>IF(COUNTA($F4,$K4,$P4)&gt;0,J3+SUM(G4:I4),"")</f>
        <v>35000</v>
      </c>
      <c r="K4" s="8" t="s">
        <v>194</v>
      </c>
      <c r="L4" s="9">
        <v>-8000</v>
      </c>
      <c r="M4" s="9"/>
      <c r="N4" s="48">
        <v>0</v>
      </c>
      <c r="O4" s="21">
        <f>IF(COUNTA($F4,$K4,$P4)&gt;0,O3+SUM(L4:N4),"")</f>
        <v>27000</v>
      </c>
      <c r="P4" s="8" t="s">
        <v>195</v>
      </c>
      <c r="Q4" s="9">
        <v>8000</v>
      </c>
      <c r="R4" s="9"/>
      <c r="S4" s="48">
        <v>0</v>
      </c>
      <c r="T4" s="21">
        <f>IF(COUNTA($F4,$K4,$P4)&gt;0,T3+SUM(Q4:S4),"")</f>
        <v>43000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-18</v>
      </c>
      <c r="W4" s="55">
        <f>IF($T4="","",ROUND(($T4-$T$3)/1000,1)+(_xlfn.RANK.AVG($T4,($J4,$O4,$T4),1)-2)*10)</f>
        <v>18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>
        <v>5</v>
      </c>
      <c r="BT4" s="30" t="s">
        <v>196</v>
      </c>
      <c r="BU4" s="40" t="s">
        <v>197</v>
      </c>
      <c r="BV4" s="41" t="s">
        <v>104</v>
      </c>
      <c r="BW4" s="41" t="s">
        <v>86</v>
      </c>
      <c r="BX4" s="41" t="s">
        <v>86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たか</v>
      </c>
      <c r="F5" s="8" t="s">
        <v>195</v>
      </c>
      <c r="G5" s="9">
        <v>16000</v>
      </c>
      <c r="H5" s="9"/>
      <c r="I5" s="48">
        <v>0</v>
      </c>
      <c r="J5" s="21">
        <f t="shared" ref="J5:J30" si="2">IF(COUNTA($F5,$K5,$P5)&gt;0,J4+SUM(G5:I5),"")</f>
        <v>51000</v>
      </c>
      <c r="K5" s="8" t="s">
        <v>194</v>
      </c>
      <c r="L5" s="9">
        <v>-16000</v>
      </c>
      <c r="M5" s="9"/>
      <c r="N5" s="48">
        <v>0</v>
      </c>
      <c r="O5" s="21">
        <f t="shared" ref="O5:O30" si="3">IF(COUNTA($F5,$K5,$P5)&gt;0,O4+SUM(L5:N5),"")</f>
        <v>11000</v>
      </c>
      <c r="P5" s="8"/>
      <c r="Q5" s="9"/>
      <c r="R5" s="9"/>
      <c r="S5" s="48"/>
      <c r="T5" s="21">
        <f t="shared" ref="T5:T30" si="4">IF(COUNTA($F5,$K5,$P5)&gt;0,T4+SUM(Q5:S5),"")</f>
        <v>43000</v>
      </c>
      <c r="U5" s="53">
        <f>IF($J5="","",ROUND(($J5-$J$3)/1000,1)+(_xlfn.RANK.AVG($J5,($J5,$O5,$T5),1)-2)*10)</f>
        <v>26</v>
      </c>
      <c r="V5" s="54">
        <f>IF($O5="","",ROUND(($O5-$O$3)/1000,1)+(_xlfn.RANK.AVG($O5,($J5,$O5,$T5),1)-2)*10)</f>
        <v>-34</v>
      </c>
      <c r="W5" s="55">
        <f>IF($T5="","",ROUND(($T5-$T$3)/1000,1)+(_xlfn.RANK.AVG($T5,($J5,$O5,$T5),1)-2)*10)</f>
        <v>8</v>
      </c>
      <c r="Y5" s="8"/>
      <c r="Z5" s="34"/>
      <c r="AA5" s="26"/>
      <c r="AB5" s="26"/>
      <c r="AC5" s="26">
        <v>9</v>
      </c>
      <c r="AD5" s="30" t="s">
        <v>196</v>
      </c>
      <c r="AE5" s="40" t="s">
        <v>106</v>
      </c>
      <c r="AF5" s="41" t="s">
        <v>83</v>
      </c>
      <c r="AG5" s="41" t="s">
        <v>92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いちかわ</v>
      </c>
      <c r="F6" s="8" t="s">
        <v>195</v>
      </c>
      <c r="G6" s="9">
        <v>8000</v>
      </c>
      <c r="H6" s="9"/>
      <c r="I6" s="48">
        <v>0</v>
      </c>
      <c r="J6" s="21">
        <f t="shared" si="2"/>
        <v>59000</v>
      </c>
      <c r="K6" s="8" t="s">
        <v>194</v>
      </c>
      <c r="L6" s="9">
        <v>-8000</v>
      </c>
      <c r="M6" s="9"/>
      <c r="N6" s="48">
        <v>0</v>
      </c>
      <c r="O6" s="21">
        <f t="shared" si="3"/>
        <v>3000</v>
      </c>
      <c r="P6" s="8"/>
      <c r="Q6" s="9"/>
      <c r="R6" s="9"/>
      <c r="S6" s="48"/>
      <c r="T6" s="21">
        <f t="shared" si="4"/>
        <v>43000</v>
      </c>
      <c r="U6" s="53">
        <f>IF($J6="","",ROUND(($J6-$J$3)/1000,1)+(_xlfn.RANK.AVG($J6,($J6,$O6,$T6),1)-2)*10)</f>
        <v>34</v>
      </c>
      <c r="V6" s="54">
        <f>IF($O6="","",ROUND(($O6-$O$3)/1000,1)+(_xlfn.RANK.AVG($O6,($J6,$O6,$T6),1)-2)*10)</f>
        <v>-42</v>
      </c>
      <c r="W6" s="55">
        <f>IF($T6="","",ROUND(($T6-$T$3)/1000,1)+(_xlfn.RANK.AVG($T6,($J6,$O6,$T6),1)-2)*10)</f>
        <v>8</v>
      </c>
      <c r="Y6" s="8"/>
      <c r="Z6" s="34"/>
      <c r="AA6" s="26">
        <v>1</v>
      </c>
      <c r="AB6" s="26"/>
      <c r="AC6" s="26">
        <v>5</v>
      </c>
      <c r="AD6" s="30" t="s">
        <v>196</v>
      </c>
      <c r="AE6" s="40" t="s">
        <v>198</v>
      </c>
      <c r="AF6" s="41" t="s">
        <v>84</v>
      </c>
      <c r="AG6" s="41" t="s">
        <v>86</v>
      </c>
      <c r="AH6" s="41" t="s">
        <v>79</v>
      </c>
      <c r="AI6" s="41" t="s">
        <v>79</v>
      </c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tr">
        <f>IF($F$1="","",$F$1)</f>
        <v>だいち</v>
      </c>
      <c r="F7" s="8" t="s">
        <v>199</v>
      </c>
      <c r="G7" s="9">
        <v>12000</v>
      </c>
      <c r="H7" s="9">
        <v>1000</v>
      </c>
      <c r="I7" s="48">
        <v>0</v>
      </c>
      <c r="J7" s="21">
        <f t="shared" si="2"/>
        <v>72000</v>
      </c>
      <c r="K7" s="8" t="s">
        <v>200</v>
      </c>
      <c r="L7" s="9">
        <v>-6000</v>
      </c>
      <c r="M7" s="9">
        <v>-1000</v>
      </c>
      <c r="N7" s="48">
        <v>0</v>
      </c>
      <c r="O7" s="21">
        <f t="shared" si="3"/>
        <v>-4000</v>
      </c>
      <c r="P7" s="8" t="s">
        <v>200</v>
      </c>
      <c r="Q7" s="9">
        <v>-6000</v>
      </c>
      <c r="R7" s="9"/>
      <c r="S7" s="48">
        <v>0</v>
      </c>
      <c r="T7" s="21">
        <f t="shared" si="4"/>
        <v>37000</v>
      </c>
      <c r="U7" s="53">
        <f>IF($J7="","",ROUND(($J7-$J$3)/1000,1)+(_xlfn.RANK.AVG($J7,($J7,$O7,$T7),1)-2)*10)</f>
        <v>47</v>
      </c>
      <c r="V7" s="54">
        <f>IF($O7="","",ROUND(($O7-$O$3)/1000,1)+(_xlfn.RANK.AVG($O7,($J7,$O7,$T7),1)-2)*10)</f>
        <v>-49</v>
      </c>
      <c r="W7" s="55">
        <f>IF($T7="","",ROUND(($T7-$T$3)/1000,1)+(_xlfn.RANK.AVG($T7,($J7,$O7,$T7),1)-2)*10)</f>
        <v>2</v>
      </c>
      <c r="Y7" s="8"/>
      <c r="Z7" s="34"/>
      <c r="AA7" s="26"/>
      <c r="AB7" s="26"/>
      <c r="AC7" s="26">
        <v>5</v>
      </c>
      <c r="AD7" s="30" t="s">
        <v>196</v>
      </c>
      <c r="AE7" s="40" t="s">
        <v>82</v>
      </c>
      <c r="AF7" s="41" t="s">
        <v>84</v>
      </c>
      <c r="AG7" s="41" t="s">
        <v>86</v>
      </c>
      <c r="AH7" s="41" t="s">
        <v>197</v>
      </c>
      <c r="AI7" s="41" t="s">
        <v>79</v>
      </c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BEC9A3C4-4943-4F04-8991-57A83D412ECA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DC88D-4E14-4EEC-B4DC-E426374CA80A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193</v>
      </c>
      <c r="L1" s="72"/>
      <c r="M1" s="72"/>
      <c r="N1" s="73"/>
      <c r="O1" s="74"/>
      <c r="P1" s="71" t="s">
        <v>191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いちかわ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たか</v>
      </c>
      <c r="V2" s="70" t="str">
        <f>$K$1</f>
        <v>いちかわ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IF($F$1="","",$F$1)</f>
        <v>たか</v>
      </c>
      <c r="F4" s="8"/>
      <c r="G4" s="9"/>
      <c r="H4" s="9"/>
      <c r="I4" s="48"/>
      <c r="J4" s="21">
        <f>IF(COUNTA($F4,$K4,$P4)&gt;0,J3+SUM(G4:I4),"")</f>
        <v>35000</v>
      </c>
      <c r="K4" s="8" t="s">
        <v>195</v>
      </c>
      <c r="L4" s="9">
        <v>1600</v>
      </c>
      <c r="M4" s="9">
        <v>1000</v>
      </c>
      <c r="N4" s="48">
        <v>0</v>
      </c>
      <c r="O4" s="21">
        <f>IF(COUNTA($F4,$K4,$P4)&gt;0,O3+SUM(L4:N4),"")</f>
        <v>37600</v>
      </c>
      <c r="P4" s="8" t="s">
        <v>194</v>
      </c>
      <c r="Q4" s="9">
        <v>-1600</v>
      </c>
      <c r="R4" s="9">
        <v>-1000</v>
      </c>
      <c r="S4" s="48">
        <v>0</v>
      </c>
      <c r="T4" s="21">
        <f>IF(COUNTA($F4,$K4,$P4)&gt;0,T3+SUM(Q4:S4),"")</f>
        <v>32400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12.6</v>
      </c>
      <c r="W4" s="55">
        <f>IF($T4="","",ROUND(($T4-$T$3)/1000,1)+(_xlfn.RANK.AVG($T4,($J4,$O4,$T4),1)-2)*10)</f>
        <v>-12.6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2</v>
      </c>
      <c r="AY4" s="30">
        <v>25</v>
      </c>
      <c r="AZ4" s="40" t="s">
        <v>101</v>
      </c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tr">
        <f>IF($K$1="","",$K$1)</f>
        <v>いちかわ</v>
      </c>
      <c r="F5" s="8" t="s">
        <v>199</v>
      </c>
      <c r="G5" s="9">
        <v>2100</v>
      </c>
      <c r="H5" s="9">
        <v>1000</v>
      </c>
      <c r="I5" s="48">
        <v>0</v>
      </c>
      <c r="J5" s="21">
        <f t="shared" ref="J5:J30" si="2">IF(COUNTA($F5,$K5,$P5)&gt;0,J4+SUM(G5:I5),"")</f>
        <v>38100</v>
      </c>
      <c r="K5" s="8" t="s">
        <v>200</v>
      </c>
      <c r="L5" s="9">
        <v>-1300</v>
      </c>
      <c r="M5" s="9">
        <v>-1000</v>
      </c>
      <c r="N5" s="48">
        <v>0</v>
      </c>
      <c r="O5" s="21">
        <f t="shared" ref="O5:O30" si="3">IF(COUNTA($F5,$K5,$P5)&gt;0,O4+SUM(L5:N5),"")</f>
        <v>35300</v>
      </c>
      <c r="P5" s="8" t="s">
        <v>200</v>
      </c>
      <c r="Q5" s="9">
        <v>-800</v>
      </c>
      <c r="R5" s="9"/>
      <c r="S5" s="48">
        <v>0</v>
      </c>
      <c r="T5" s="21">
        <f t="shared" ref="T5:T30" si="4">IF(COUNTA($F5,$K5,$P5)&gt;0,T4+SUM(Q5:S5),"")</f>
        <v>31600</v>
      </c>
      <c r="U5" s="53">
        <f>IF($J5="","",ROUND(($J5-$J$3)/1000,1)+(_xlfn.RANK.AVG($J5,($J5,$O5,$T5),1)-2)*10)</f>
        <v>13.1</v>
      </c>
      <c r="V5" s="54">
        <f>IF($O5="","",ROUND(($O5-$O$3)/1000,1)+(_xlfn.RANK.AVG($O5,($J5,$O5,$T5),1)-2)*10)</f>
        <v>0.3</v>
      </c>
      <c r="W5" s="55">
        <f>IF($T5="","",ROUND(($T5-$T$3)/1000,1)+(_xlfn.RANK.AVG($T5,($J5,$O5,$T5),1)-2)*10)</f>
        <v>-13.4</v>
      </c>
      <c r="Y5" s="8"/>
      <c r="Z5" s="34"/>
      <c r="AA5" s="26"/>
      <c r="AB5" s="26"/>
      <c r="AC5" s="26">
        <v>2</v>
      </c>
      <c r="AD5" s="30">
        <v>30</v>
      </c>
      <c r="AE5" s="40" t="s">
        <v>82</v>
      </c>
      <c r="AF5" s="41" t="s">
        <v>197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tr">
        <f>IF($P$1="","",$P$1)</f>
        <v>だいち</v>
      </c>
      <c r="F6" s="8" t="s">
        <v>200</v>
      </c>
      <c r="G6" s="9">
        <v>-6000</v>
      </c>
      <c r="H6" s="9"/>
      <c r="I6" s="48">
        <v>0</v>
      </c>
      <c r="J6" s="21">
        <f t="shared" si="2"/>
        <v>32100</v>
      </c>
      <c r="K6" s="8" t="s">
        <v>200</v>
      </c>
      <c r="L6" s="9">
        <v>-6000</v>
      </c>
      <c r="M6" s="9"/>
      <c r="N6" s="48">
        <v>0</v>
      </c>
      <c r="O6" s="21">
        <f t="shared" si="3"/>
        <v>29300</v>
      </c>
      <c r="P6" s="8" t="s">
        <v>199</v>
      </c>
      <c r="Q6" s="9">
        <v>12000</v>
      </c>
      <c r="R6" s="9"/>
      <c r="S6" s="48">
        <v>0</v>
      </c>
      <c r="T6" s="21">
        <f t="shared" si="4"/>
        <v>43600</v>
      </c>
      <c r="U6" s="53">
        <f>IF($J6="","",ROUND(($J6-$J$3)/1000,1)+(_xlfn.RANK.AVG($J6,($J6,$O6,$T6),1)-2)*10)</f>
        <v>-2.9</v>
      </c>
      <c r="V6" s="54">
        <f>IF($O6="","",ROUND(($O6-$O$3)/1000,1)+(_xlfn.RANK.AVG($O6,($J6,$O6,$T6),1)-2)*10)</f>
        <v>-15.7</v>
      </c>
      <c r="W6" s="55">
        <f>IF($T6="","",ROUND(($T6-$T$3)/1000,1)+(_xlfn.RANK.AVG($T6,($J6,$O6,$T6),1)-2)*10)</f>
        <v>18.600000000000001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5</v>
      </c>
      <c r="BT6" s="30" t="s">
        <v>196</v>
      </c>
      <c r="BU6" s="40" t="s">
        <v>104</v>
      </c>
      <c r="BV6" s="41" t="s">
        <v>86</v>
      </c>
      <c r="BW6" s="41" t="s">
        <v>197</v>
      </c>
      <c r="BX6" s="41" t="s">
        <v>79</v>
      </c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tr">
        <f>IF($P$1="","",$P$1)</f>
        <v>だいち</v>
      </c>
      <c r="F7" s="8" t="s">
        <v>195</v>
      </c>
      <c r="G7" s="9">
        <v>1300</v>
      </c>
      <c r="H7" s="9"/>
      <c r="I7" s="48">
        <v>1000</v>
      </c>
      <c r="J7" s="21">
        <f t="shared" si="2"/>
        <v>34400</v>
      </c>
      <c r="K7" s="8" t="s">
        <v>194</v>
      </c>
      <c r="L7" s="9">
        <v>-1300</v>
      </c>
      <c r="M7" s="9"/>
      <c r="N7" s="48">
        <v>-1000</v>
      </c>
      <c r="O7" s="21">
        <f t="shared" si="3"/>
        <v>27000</v>
      </c>
      <c r="P7" s="8"/>
      <c r="Q7" s="9"/>
      <c r="R7" s="9"/>
      <c r="S7" s="48"/>
      <c r="T7" s="21">
        <f t="shared" si="4"/>
        <v>43600</v>
      </c>
      <c r="U7" s="53">
        <f>IF($J7="","",ROUND(($J7-$J$3)/1000,1)+(_xlfn.RANK.AVG($J7,($J7,$O7,$T7),1)-2)*10)</f>
        <v>-0.6</v>
      </c>
      <c r="V7" s="54">
        <f>IF($O7="","",ROUND(($O7-$O$3)/1000,1)+(_xlfn.RANK.AVG($O7,($J7,$O7,$T7),1)-2)*10)</f>
        <v>-18</v>
      </c>
      <c r="W7" s="55">
        <f>IF($T7="","",ROUND(($T7-$T$3)/1000,1)+(_xlfn.RANK.AVG($T7,($J7,$O7,$T7),1)-2)*10)</f>
        <v>18.600000000000001</v>
      </c>
      <c r="Y7" s="8"/>
      <c r="Z7" s="34"/>
      <c r="AA7" s="26">
        <v>1</v>
      </c>
      <c r="AB7" s="26"/>
      <c r="AC7" s="26">
        <v>1</v>
      </c>
      <c r="AD7" s="30">
        <v>40</v>
      </c>
      <c r="AE7" s="40" t="s">
        <v>198</v>
      </c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tr">
        <f>IF($F$1="","",$F$1)</f>
        <v>たか</v>
      </c>
      <c r="F8" s="8" t="s">
        <v>203</v>
      </c>
      <c r="G8" s="9">
        <v>3000</v>
      </c>
      <c r="H8" s="9"/>
      <c r="I8" s="48"/>
      <c r="J8" s="21">
        <f t="shared" si="2"/>
        <v>37400</v>
      </c>
      <c r="K8" s="8" t="s">
        <v>203</v>
      </c>
      <c r="L8" s="9">
        <v>-1500</v>
      </c>
      <c r="M8" s="9"/>
      <c r="N8" s="48"/>
      <c r="O8" s="21">
        <f t="shared" si="3"/>
        <v>25500</v>
      </c>
      <c r="P8" s="8" t="s">
        <v>203</v>
      </c>
      <c r="Q8" s="9">
        <v>-1500</v>
      </c>
      <c r="R8" s="9"/>
      <c r="S8" s="48"/>
      <c r="T8" s="21">
        <f t="shared" si="4"/>
        <v>42100</v>
      </c>
      <c r="U8" s="53">
        <f>IF($J8="","",ROUND(($J8-$J$3)/1000,1)+(_xlfn.RANK.AVG($J8,($J8,$O8,$T8),1)-2)*10)</f>
        <v>2.4</v>
      </c>
      <c r="V8" s="54">
        <f>IF($O8="","",ROUND(($O8-$O$3)/1000,1)+(_xlfn.RANK.AVG($O8,($J8,$O8,$T8),1)-2)*10)</f>
        <v>-19.5</v>
      </c>
      <c r="W8" s="55">
        <f>IF($T8="","",ROUND(($T8-$T$3)/1000,1)+(_xlfn.RANK.AVG($T8,($J8,$O8,$T8),1)-2)*10)</f>
        <v>17.100000000000001</v>
      </c>
      <c r="Y8" s="8" t="s">
        <v>201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202</v>
      </c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202</v>
      </c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tr">
        <f>IF($F$1="","",$F$1)</f>
        <v>たか</v>
      </c>
      <c r="F9" s="8"/>
      <c r="G9" s="9"/>
      <c r="H9" s="9"/>
      <c r="I9" s="48"/>
      <c r="J9" s="21">
        <f t="shared" si="2"/>
        <v>37400</v>
      </c>
      <c r="K9" s="8" t="s">
        <v>194</v>
      </c>
      <c r="L9" s="9">
        <v>-3900</v>
      </c>
      <c r="M9" s="9"/>
      <c r="N9" s="48">
        <v>-1000</v>
      </c>
      <c r="O9" s="21">
        <f t="shared" si="3"/>
        <v>20600</v>
      </c>
      <c r="P9" s="8" t="s">
        <v>195</v>
      </c>
      <c r="Q9" s="9">
        <v>3900</v>
      </c>
      <c r="R9" s="9"/>
      <c r="S9" s="48">
        <v>1000</v>
      </c>
      <c r="T9" s="21">
        <f t="shared" si="4"/>
        <v>47000</v>
      </c>
      <c r="U9" s="53">
        <f>IF($J9="","",ROUND(($J9-$J$3)/1000,1)+(_xlfn.RANK.AVG($J9,($J9,$O9,$T9),1)-2)*10)</f>
        <v>2.4</v>
      </c>
      <c r="V9" s="54">
        <f>IF($O9="","",ROUND(($O9-$O$3)/1000,1)+(_xlfn.RANK.AVG($O9,($J9,$O9,$T9),1)-2)*10)</f>
        <v>-24.4</v>
      </c>
      <c r="W9" s="55">
        <f>IF($T9="","",ROUND(($T9-$T$3)/1000,1)+(_xlfn.RANK.AVG($T9,($J9,$O9,$T9),1)-2)*10)</f>
        <v>22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3</v>
      </c>
      <c r="BT9" s="30">
        <v>30</v>
      </c>
      <c r="BU9" s="40" t="s">
        <v>104</v>
      </c>
      <c r="BV9" s="41" t="s">
        <v>86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tr">
        <f>IF($K$1="","",$K$1)</f>
        <v>いちかわ</v>
      </c>
      <c r="F10" s="8" t="s">
        <v>200</v>
      </c>
      <c r="G10" s="9">
        <v>-6000</v>
      </c>
      <c r="H10" s="9"/>
      <c r="I10" s="48">
        <v>0</v>
      </c>
      <c r="J10" s="21">
        <f t="shared" si="2"/>
        <v>31400</v>
      </c>
      <c r="K10" s="8" t="s">
        <v>199</v>
      </c>
      <c r="L10" s="9">
        <v>12000</v>
      </c>
      <c r="M10" s="9"/>
      <c r="N10" s="48">
        <v>0</v>
      </c>
      <c r="O10" s="21">
        <f t="shared" si="3"/>
        <v>32600</v>
      </c>
      <c r="P10" s="8" t="s">
        <v>200</v>
      </c>
      <c r="Q10" s="9">
        <v>-6000</v>
      </c>
      <c r="R10" s="9"/>
      <c r="S10" s="48">
        <v>0</v>
      </c>
      <c r="T10" s="21">
        <f t="shared" si="4"/>
        <v>41000</v>
      </c>
      <c r="U10" s="53">
        <f>IF($J10="","",ROUND(($J10-$J$3)/1000,1)+(_xlfn.RANK.AVG($J10,($J10,$O10,$T10),1)-2)*10)</f>
        <v>-13.6</v>
      </c>
      <c r="V10" s="54">
        <f>IF($O10="","",ROUND(($O10-$O$3)/1000,1)+(_xlfn.RANK.AVG($O10,($J10,$O10,$T10),1)-2)*10)</f>
        <v>-2.4</v>
      </c>
      <c r="W10" s="55">
        <f>IF($T10="","",ROUND(($T10-$T$3)/1000,1)+(_xlfn.RANK.AVG($T10,($J10,$O10,$T10),1)-2)*10)</f>
        <v>16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5</v>
      </c>
      <c r="AY10" s="30" t="s">
        <v>196</v>
      </c>
      <c r="AZ10" s="40" t="s">
        <v>198</v>
      </c>
      <c r="BA10" s="41" t="s">
        <v>82</v>
      </c>
      <c r="BB10" s="41" t="s">
        <v>197</v>
      </c>
      <c r="BC10" s="41" t="s">
        <v>79</v>
      </c>
      <c r="BD10" s="41" t="s">
        <v>79</v>
      </c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1</v>
      </c>
      <c r="D11" s="18">
        <f t="shared" si="1"/>
        <v>0</v>
      </c>
      <c r="E11" s="4" t="str">
        <f>IF($K$1="","",$K$1)</f>
        <v>いちかわ</v>
      </c>
      <c r="F11" s="8" t="s">
        <v>195</v>
      </c>
      <c r="G11" s="9">
        <v>8000</v>
      </c>
      <c r="H11" s="9"/>
      <c r="I11" s="48">
        <v>1000</v>
      </c>
      <c r="J11" s="21">
        <f t="shared" si="2"/>
        <v>40400</v>
      </c>
      <c r="K11" s="8" t="s">
        <v>194</v>
      </c>
      <c r="L11" s="9">
        <v>-8000</v>
      </c>
      <c r="M11" s="9"/>
      <c r="N11" s="48">
        <v>-1000</v>
      </c>
      <c r="O11" s="21">
        <f t="shared" si="3"/>
        <v>23600</v>
      </c>
      <c r="P11" s="8"/>
      <c r="Q11" s="9"/>
      <c r="R11" s="9"/>
      <c r="S11" s="48"/>
      <c r="T11" s="21">
        <f t="shared" si="4"/>
        <v>41000</v>
      </c>
      <c r="U11" s="53">
        <f>IF($J11="","",ROUND(($J11-$J$3)/1000,1)+(_xlfn.RANK.AVG($J11,($J11,$O11,$T11),1)-2)*10)</f>
        <v>5.4</v>
      </c>
      <c r="V11" s="54">
        <f>IF($O11="","",ROUND(($O11-$O$3)/1000,1)+(_xlfn.RANK.AVG($O11,($J11,$O11,$T11),1)-2)*10)</f>
        <v>-21.4</v>
      </c>
      <c r="W11" s="55">
        <f>IF($T11="","",ROUND(($T11-$T$3)/1000,1)+(_xlfn.RANK.AVG($T11,($J11,$O11,$T11),1)-2)*10)</f>
        <v>16</v>
      </c>
      <c r="Y11" s="8"/>
      <c r="Z11" s="34"/>
      <c r="AA11" s="26">
        <v>1</v>
      </c>
      <c r="AB11" s="26"/>
      <c r="AC11" s="26">
        <v>5</v>
      </c>
      <c r="AD11" s="30" t="s">
        <v>196</v>
      </c>
      <c r="AE11" s="40" t="s">
        <v>91</v>
      </c>
      <c r="AF11" s="41" t="s">
        <v>82</v>
      </c>
      <c r="AG11" s="41" t="s">
        <v>84</v>
      </c>
      <c r="AH11" s="41" t="s">
        <v>197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0</v>
      </c>
      <c r="D12" s="18">
        <f t="shared" si="1"/>
        <v>0</v>
      </c>
      <c r="E12" s="4" t="str">
        <f>IF($P$1="","",$P$1)</f>
        <v>だいち</v>
      </c>
      <c r="F12" s="8" t="s">
        <v>200</v>
      </c>
      <c r="G12" s="9">
        <v>-9000</v>
      </c>
      <c r="H12" s="9"/>
      <c r="I12" s="48">
        <v>0</v>
      </c>
      <c r="J12" s="21">
        <f t="shared" si="2"/>
        <v>31400</v>
      </c>
      <c r="K12" s="8" t="s">
        <v>200</v>
      </c>
      <c r="L12" s="9">
        <v>-9000</v>
      </c>
      <c r="M12" s="9"/>
      <c r="N12" s="48">
        <v>0</v>
      </c>
      <c r="O12" s="21">
        <f t="shared" si="3"/>
        <v>14600</v>
      </c>
      <c r="P12" s="8" t="s">
        <v>199</v>
      </c>
      <c r="Q12" s="9">
        <v>18000</v>
      </c>
      <c r="R12" s="9"/>
      <c r="S12" s="48">
        <v>0</v>
      </c>
      <c r="T12" s="21">
        <f t="shared" si="4"/>
        <v>59000</v>
      </c>
      <c r="U12" s="53">
        <f>IF($J12="","",ROUND(($J12-$J$3)/1000,1)+(_xlfn.RANK.AVG($J12,($J12,$O12,$T12),1)-2)*10)</f>
        <v>-3.6</v>
      </c>
      <c r="V12" s="54">
        <f>IF($O12="","",ROUND(($O12-$O$3)/1000,1)+(_xlfn.RANK.AVG($O12,($J12,$O12,$T12),1)-2)*10)</f>
        <v>-30.4</v>
      </c>
      <c r="W12" s="55">
        <f>IF($T12="","",ROUND(($T12-$T$3)/1000,1)+(_xlfn.RANK.AVG($T12,($J12,$O12,$T12),1)-2)*10)</f>
        <v>34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>
        <v>6</v>
      </c>
      <c r="BT12" s="30" t="s">
        <v>196</v>
      </c>
      <c r="BU12" s="40" t="s">
        <v>82</v>
      </c>
      <c r="BV12" s="41" t="s">
        <v>83</v>
      </c>
      <c r="BW12" s="41" t="s">
        <v>84</v>
      </c>
      <c r="BX12" s="41" t="s">
        <v>79</v>
      </c>
      <c r="BY12" s="41" t="s">
        <v>79</v>
      </c>
      <c r="BZ12" s="41" t="s">
        <v>197</v>
      </c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1</v>
      </c>
      <c r="D13" s="18">
        <f t="shared" si="1"/>
        <v>0</v>
      </c>
      <c r="E13" s="4" t="str">
        <f>IF($P$1="","",$P$1)</f>
        <v>だいち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C2EAF42C-CBAA-4FC3-88AE-52EADF119752}">
      <formula1>"だいち,れんたろう,まっつん,ただ,いちかわ,てんちゃん,ともき,たかの,りくと,ぱぱ,のり,いっしー,ほたに,ゆう,やがさき,あさひ,かわたつ,ちさと,がくと,かこたろう,わさび,たか,"</formula1>
    </dataValidation>
    <dataValidation type="list" showInputMessage="1" showErrorMessage="1" sqref="K4:K30 P4:P30 F4:F30" xr:uid="{E685BD3F-3D70-48ED-8491-F1966913F1AB}">
      <formula1>"ロン,ツモ,放銃,ツモ支払,流局,チョンボ"</formula1>
    </dataValidation>
    <dataValidation type="list" allowBlank="1" showInputMessage="1" showErrorMessage="1" sqref="E4:E30" xr:uid="{14315B3A-C095-45CE-9C8C-6E901FBF83A5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13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2020-10-27T09:15:25Z</dcterms:modified>
</cp:coreProperties>
</file>