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6EB37B7-1558-4D9C-B413-A093AFE2F138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2" l="1"/>
  <c r="E10" i="22"/>
  <c r="D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D11" i="22"/>
  <c r="D9" i="22"/>
  <c r="T7" i="22"/>
  <c r="T8" i="22" s="1"/>
  <c r="C7" i="22"/>
  <c r="D7" i="22"/>
  <c r="T6" i="22"/>
  <c r="O6" i="22"/>
  <c r="O7" i="22" s="1"/>
  <c r="D6" i="22"/>
  <c r="T5" i="22"/>
  <c r="O5" i="22"/>
  <c r="J5" i="22"/>
  <c r="D5" i="22"/>
  <c r="T4" i="22"/>
  <c r="O4" i="22"/>
  <c r="J4" i="22"/>
  <c r="U4" i="22" s="1"/>
  <c r="E4" i="22"/>
  <c r="C5" i="22" s="1"/>
  <c r="C6" i="22" s="1"/>
  <c r="W3" i="22"/>
  <c r="V3" i="22"/>
  <c r="U3" i="22"/>
  <c r="W2" i="22"/>
  <c r="V2" i="22"/>
  <c r="U2" i="22"/>
  <c r="BO1" i="22"/>
  <c r="AT1" i="22"/>
  <c r="Y1" i="22"/>
  <c r="V4" i="22" l="1"/>
  <c r="W4" i="22"/>
  <c r="W5" i="22"/>
  <c r="O8" i="22"/>
  <c r="T9" i="22"/>
  <c r="B5" i="22"/>
  <c r="A5" i="22" s="1"/>
  <c r="C8" i="22"/>
  <c r="V6" i="22"/>
  <c r="D8" i="22"/>
  <c r="C9" i="22"/>
  <c r="C10" i="22" s="1"/>
  <c r="C11" i="22" s="1"/>
  <c r="C12" i="22"/>
  <c r="U5" i="22"/>
  <c r="J6" i="22"/>
  <c r="V5" i="22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V12" i="21" s="1"/>
  <c r="J12" i="21"/>
  <c r="D12" i="21"/>
  <c r="C12" i="21"/>
  <c r="B12" i="21"/>
  <c r="A12" i="21" s="1"/>
  <c r="T11" i="21"/>
  <c r="O11" i="21"/>
  <c r="V11" i="21" s="1"/>
  <c r="J11" i="21"/>
  <c r="D11" i="21"/>
  <c r="C11" i="21"/>
  <c r="B11" i="21"/>
  <c r="A11" i="21"/>
  <c r="D8" i="21"/>
  <c r="C8" i="21"/>
  <c r="J7" i="21"/>
  <c r="J8" i="21" s="1"/>
  <c r="D7" i="21"/>
  <c r="C7" i="21"/>
  <c r="J6" i="21"/>
  <c r="T5" i="21"/>
  <c r="T6" i="21" s="1"/>
  <c r="J5" i="21"/>
  <c r="B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E10" i="20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C9" i="20"/>
  <c r="D9" i="20"/>
  <c r="J7" i="20"/>
  <c r="J8" i="20" s="1"/>
  <c r="D7" i="20"/>
  <c r="J6" i="20"/>
  <c r="C7" i="20"/>
  <c r="T5" i="20"/>
  <c r="T6" i="20" s="1"/>
  <c r="J5" i="20"/>
  <c r="C5" i="20"/>
  <c r="D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T10" i="22" l="1"/>
  <c r="W6" i="22"/>
  <c r="J7" i="22"/>
  <c r="U6" i="22"/>
  <c r="O9" i="22"/>
  <c r="B6" i="22"/>
  <c r="W12" i="21"/>
  <c r="U12" i="21"/>
  <c r="U11" i="21"/>
  <c r="W11" i="21"/>
  <c r="W4" i="21"/>
  <c r="A5" i="21"/>
  <c r="J9" i="21"/>
  <c r="T7" i="21"/>
  <c r="O6" i="21"/>
  <c r="V5" i="21"/>
  <c r="U5" i="21"/>
  <c r="C10" i="21"/>
  <c r="C5" i="21"/>
  <c r="W5" i="21"/>
  <c r="D10" i="21"/>
  <c r="B6" i="21"/>
  <c r="A6" i="21" s="1"/>
  <c r="U4" i="21"/>
  <c r="C6" i="21"/>
  <c r="V4" i="21"/>
  <c r="D6" i="21"/>
  <c r="C9" i="21"/>
  <c r="D9" i="21"/>
  <c r="C8" i="20"/>
  <c r="W4" i="20"/>
  <c r="T7" i="20"/>
  <c r="J9" i="20"/>
  <c r="B5" i="20"/>
  <c r="C10" i="20"/>
  <c r="D10" i="20"/>
  <c r="B6" i="20"/>
  <c r="U4" i="20"/>
  <c r="C6" i="20"/>
  <c r="V4" i="20"/>
  <c r="O5" i="20"/>
  <c r="D6" i="20"/>
  <c r="B7" i="20"/>
  <c r="B8" i="20" s="1"/>
  <c r="E4" i="19"/>
  <c r="B7" i="22" l="1"/>
  <c r="A7" i="22" s="1"/>
  <c r="T11" i="22"/>
  <c r="A6" i="22"/>
  <c r="O10" i="22"/>
  <c r="J8" i="22"/>
  <c r="U7" i="22"/>
  <c r="V7" i="22"/>
  <c r="W7" i="22"/>
  <c r="B7" i="21"/>
  <c r="A7" i="21" s="1"/>
  <c r="T8" i="21"/>
  <c r="O7" i="21"/>
  <c r="W7" i="21" s="1"/>
  <c r="V6" i="21"/>
  <c r="U6" i="21"/>
  <c r="W6" i="21"/>
  <c r="J10" i="21"/>
  <c r="B9" i="20"/>
  <c r="T8" i="20"/>
  <c r="A6" i="20"/>
  <c r="A7" i="20" s="1"/>
  <c r="A8" i="20" s="1"/>
  <c r="A5" i="20"/>
  <c r="U5" i="20"/>
  <c r="O6" i="20"/>
  <c r="V5" i="20"/>
  <c r="J10" i="20"/>
  <c r="W5" i="20"/>
  <c r="W3" i="19"/>
  <c r="V3" i="19"/>
  <c r="U3" i="19"/>
  <c r="U8" i="22" l="1"/>
  <c r="J9" i="22"/>
  <c r="W8" i="22"/>
  <c r="V8" i="22"/>
  <c r="B8" i="22"/>
  <c r="O11" i="22"/>
  <c r="T12" i="22"/>
  <c r="B8" i="21"/>
  <c r="O8" i="21"/>
  <c r="V7" i="21"/>
  <c r="U7" i="21"/>
  <c r="T9" i="21"/>
  <c r="W8" i="21"/>
  <c r="B10" i="20"/>
  <c r="O7" i="20"/>
  <c r="V6" i="20"/>
  <c r="U6" i="20"/>
  <c r="W6" i="20"/>
  <c r="A9" i="20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12" i="22" l="1"/>
  <c r="J10" i="22"/>
  <c r="U9" i="22"/>
  <c r="W9" i="22"/>
  <c r="V9" i="22"/>
  <c r="B9" i="22"/>
  <c r="A8" i="22"/>
  <c r="B9" i="21"/>
  <c r="A8" i="21"/>
  <c r="T10" i="21"/>
  <c r="O9" i="21"/>
  <c r="V8" i="21"/>
  <c r="U8" i="21"/>
  <c r="A10" i="20"/>
  <c r="V7" i="20"/>
  <c r="O8" i="20"/>
  <c r="U7" i="20"/>
  <c r="W7" i="20"/>
  <c r="T10" i="20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9" i="22" l="1"/>
  <c r="B10" i="22"/>
  <c r="A10" i="22" s="1"/>
  <c r="J11" i="22"/>
  <c r="U10" i="22"/>
  <c r="W10" i="22"/>
  <c r="V10" i="22"/>
  <c r="B10" i="21"/>
  <c r="A9" i="21"/>
  <c r="O10" i="21"/>
  <c r="V9" i="21"/>
  <c r="U9" i="21"/>
  <c r="W9" i="21"/>
  <c r="W10" i="21"/>
  <c r="O9" i="20"/>
  <c r="V8" i="20"/>
  <c r="U8" i="20"/>
  <c r="W8" i="20"/>
  <c r="W5" i="19"/>
  <c r="V5" i="19"/>
  <c r="U5" i="19"/>
  <c r="J12" i="22" l="1"/>
  <c r="U11" i="22"/>
  <c r="W11" i="22"/>
  <c r="V11" i="22"/>
  <c r="B11" i="22"/>
  <c r="A11" i="22" s="1"/>
  <c r="A10" i="21"/>
  <c r="V10" i="21"/>
  <c r="U10" i="21"/>
  <c r="V9" i="20"/>
  <c r="O10" i="20"/>
  <c r="U9" i="20"/>
  <c r="W9" i="20"/>
  <c r="A12" i="22" l="1"/>
  <c r="B12" i="22"/>
  <c r="U12" i="22"/>
  <c r="W12" i="22"/>
  <c r="V12" i="22"/>
  <c r="V10" i="20"/>
  <c r="U10" i="20"/>
  <c r="W10" i="20"/>
</calcChain>
</file>

<file path=xl/sharedStrings.xml><?xml version="1.0" encoding="utf-8"?>
<sst xmlns="http://schemas.openxmlformats.org/spreadsheetml/2006/main" count="848" uniqueCount="208">
  <si>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</si>
  <si>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</si>
  <si>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</si>
  <si>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</si>
  <si>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</si>
  <si>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</si>
  <si>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</si>
  <si>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</si>
  <si>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</si>
  <si>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</si>
  <si>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</si>
  <si>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</si>
  <si>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</si>
  <si>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</si>
  <si>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</si>
  <si>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</si>
  <si>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</si>
  <si>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</si>
  <si>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</si>
  <si>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</si>
  <si>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</si>
  <si>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</si>
  <si>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</si>
  <si>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</si>
  <si>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</si>
  <si>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</si>
  <si>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</si>
  <si>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</si>
  <si>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</si>
  <si>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</si>
  <si>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</si>
  <si>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</si>
  <si>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</si>
  <si>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</si>
  <si>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</si>
  <si>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</si>
  <si>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</si>
  <si>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</si>
  <si>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</si>
  <si>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</si>
  <si>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</si>
  <si>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</si>
  <si>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</si>
  <si>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</si>
  <si>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</si>
  <si>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</si>
  <si>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</si>
  <si>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</si>
  <si>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</si>
  <si>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</si>
  <si>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</si>
  <si>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</si>
  <si>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</si>
  <si>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</si>
  <si>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</si>
  <si>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</si>
  <si>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</si>
  <si>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</si>
  <si>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</si>
  <si>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</si>
  <si>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</si>
  <si>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</si>
  <si>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</si>
  <si>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</si>
  <si>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</si>
  <si>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</si>
  <si>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</si>
  <si>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</si>
  <si>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</si>
  <si>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</si>
  <si>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</si>
  <si>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</si>
  <si>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</si>
  <si>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</si>
  <si>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</si>
  <si>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</si>
  <si>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</si>
  <si>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</si>
  <si>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</si>
  <si>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</si>
  <si>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</si>
  <si>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</si>
  <si>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</si>
  <si>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</si>
  <si>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</si>
  <si>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</si>
  <si>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</si>
  <si>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</si>
  <si>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</si>
  <si>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</si>
  <si>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</si>
  <si>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</si>
  <si>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</si>
  <si>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</si>
  <si>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</si>
  <si>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</si>
  <si>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</si>
  <si>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</si>
  <si>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</si>
  <si>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</si>
  <si>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</si>
  <si>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</si>
  <si>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</si>
  <si>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</si>
  <si>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</si>
  <si>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</si>
  <si>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</si>
  <si>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</si>
  <si>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</si>
  <si>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</si>
  <si>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</si>
  <si>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</si>
  <si>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</si>
  <si>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</si>
  <si>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</si>
  <si>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</si>
  <si>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</si>
  <si>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</si>
  <si>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</si>
  <si>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</si>
  <si>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</si>
  <si>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</si>
  <si>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</si>
  <si>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</si>
  <si>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</si>
  <si>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</si>
  <si>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</si>
  <si>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</si>
  <si>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</si>
  <si>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</si>
  <si>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</si>
  <si>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</si>
  <si>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</si>
  <si>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</si>
  <si>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</si>
  <si>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</si>
  <si>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</si>
  <si>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</si>
  <si>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</si>
  <si>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</si>
  <si>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</si>
  <si>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</si>
  <si>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</si>
  <si>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</si>
  <si>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</si>
  <si>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</si>
  <si>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</si>
  <si>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</si>
  <si>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</si>
  <si>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</si>
  <si>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</si>
  <si>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</si>
  <si>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</si>
  <si>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</si>
  <si>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</si>
  <si>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</si>
  <si>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</si>
  <si>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</si>
  <si>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</si>
  <si>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</si>
  <si>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</si>
  <si>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</si>
  <si>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</si>
  <si>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</si>
  <si>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</si>
  <si>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</si>
  <si>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</si>
  <si>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</si>
  <si>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</si>
  <si>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</si>
  <si>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</si>
  <si>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</si>
  <si>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</si>
  <si>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</si>
  <si>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</si>
  <si>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</si>
  <si>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</si>
  <si>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</si>
  <si>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</si>
  <si>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</si>
  <si>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</si>
  <si>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</si>
  <si>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</si>
  <si>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</si>
  <si>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</si>
  <si>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</si>
  <si>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</si>
  <si>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</si>
  <si>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</si>
  <si>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</si>
  <si>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</si>
  <si>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</si>
  <si>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</si>
  <si>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</si>
  <si>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</si>
  <si>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  <phoneticPr fontId="1"/>
  </si>
  <si>
    <t>T</t>
  </si>
  <si>
    <t>N</t>
  </si>
  <si>
    <t>流局</t>
    <phoneticPr fontId="1"/>
  </si>
  <si>
    <t>ツモ支払</t>
  </si>
  <si>
    <t>ツモ</t>
  </si>
  <si>
    <t>01</t>
  </si>
  <si>
    <t>ロン</t>
  </si>
  <si>
    <t>放銃</t>
  </si>
  <si>
    <t>02</t>
  </si>
  <si>
    <t>52</t>
  </si>
  <si>
    <t>*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</si>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</sst>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198</v>
      </c>
      <c r="L4" s="9">
        <v>-3000</v>
      </c>
      <c r="M4" s="9"/>
      <c r="N4" s="48"/>
      <c r="O4" s="21">
        <f>IF(COUNTA($F4,$K4,$P4)&gt;0,O3+SUM(L4:N4),"")</f>
        <v>32000</v>
      </c>
      <c r="P4" s="8" t="s">
        <v>198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196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196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まっつん</v>
      </c>
      <c r="F5" s="8" t="s">
        <v>199</v>
      </c>
      <c r="G5" s="9">
        <v>-1700</v>
      </c>
      <c r="H5" s="9"/>
      <c r="I5" s="48">
        <v>-500</v>
      </c>
      <c r="J5" s="21">
        <f t="shared" ref="J5:J30" si="2">IF(COUNTA($F5,$K5,$P5)&gt;0,J4+SUM(G5:I5),"")</f>
        <v>33300</v>
      </c>
      <c r="K5" s="8" t="s">
        <v>200</v>
      </c>
      <c r="L5" s="9">
        <v>2800</v>
      </c>
      <c r="M5" s="9">
        <v>1000</v>
      </c>
      <c r="N5" s="48">
        <v>1000</v>
      </c>
      <c r="O5" s="21">
        <f t="shared" ref="O5:O30" si="3">IF(COUNTA($F5,$K5,$P5)&gt;0,O4+SUM(L5:N5),"")</f>
        <v>36800</v>
      </c>
      <c r="P5" s="8" t="s">
        <v>199</v>
      </c>
      <c r="Q5" s="9">
        <v>-1100</v>
      </c>
      <c r="R5" s="9"/>
      <c r="S5" s="48">
        <v>-500</v>
      </c>
      <c r="T5" s="21">
        <f t="shared" ref="T5:T30" si="4">IF(COUNTA($F5,$K5,$P5)&gt;0,T4+SUM(Q5:S5),"")</f>
        <v>34900</v>
      </c>
      <c r="U5" s="53">
        <f>IF($J5="","",ROUND(($J5-$J$3)/1000,1)+(_xlfn.RANK.AVG($J5,($J5,$O5,$T5),1)-2)*10)</f>
        <v>-11.7</v>
      </c>
      <c r="V5" s="54">
        <f>IF($O5="","",ROUND(($O5-$O$3)/1000,1)+(_xlfn.RANK.AVG($O5,($J5,$O5,$T5),1)-2)*10)</f>
        <v>11.8</v>
      </c>
      <c r="W5" s="55">
        <f>IF($T5="","",ROUND(($T5-$T$3)/1000,1)+(_xlfn.RANK.AVG($T5,($J5,$O5,$T5),1)-2)*10)</f>
        <v>-0.1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201</v>
      </c>
      <c r="BA5" s="41" t="s">
        <v>82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7700</v>
      </c>
      <c r="H6" s="9"/>
      <c r="I6" s="48">
        <v>0</v>
      </c>
      <c r="J6" s="21">
        <f t="shared" si="2"/>
        <v>41000</v>
      </c>
      <c r="K6" s="8" t="s">
        <v>203</v>
      </c>
      <c r="L6" s="9">
        <v>-7700</v>
      </c>
      <c r="M6" s="9"/>
      <c r="N6" s="48">
        <v>0</v>
      </c>
      <c r="O6" s="21">
        <f t="shared" si="3"/>
        <v>29100</v>
      </c>
      <c r="P6" s="8"/>
      <c r="Q6" s="9"/>
      <c r="R6" s="9"/>
      <c r="S6" s="48"/>
      <c r="T6" s="21">
        <f t="shared" si="4"/>
        <v>34900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-15.9</v>
      </c>
      <c r="W6" s="55">
        <f>IF($T6="","",ROUND(($T6-$T$3)/1000,1)+(_xlfn.RANK.AVG($T6,($J6,$O6,$T6),1)-2)*10)</f>
        <v>-0.1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201</v>
      </c>
      <c r="AF6" s="41" t="s">
        <v>204</v>
      </c>
      <c r="AG6" s="41" t="s">
        <v>83</v>
      </c>
      <c r="AH6" s="41" t="s">
        <v>205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202</v>
      </c>
      <c r="G7" s="9">
        <v>5200</v>
      </c>
      <c r="H7" s="9"/>
      <c r="I7" s="48">
        <v>0</v>
      </c>
      <c r="J7" s="21">
        <f t="shared" si="2"/>
        <v>46200</v>
      </c>
      <c r="K7" s="8" t="s">
        <v>203</v>
      </c>
      <c r="L7" s="9">
        <v>-5200</v>
      </c>
      <c r="M7" s="9"/>
      <c r="N7" s="48">
        <v>0</v>
      </c>
      <c r="O7" s="21">
        <f t="shared" si="3"/>
        <v>23900</v>
      </c>
      <c r="P7" s="8"/>
      <c r="Q7" s="9"/>
      <c r="R7" s="9"/>
      <c r="S7" s="48"/>
      <c r="T7" s="21">
        <f t="shared" si="4"/>
        <v>34900</v>
      </c>
      <c r="U7" s="53">
        <f>IF($J7="","",ROUND(($J7-$J$3)/1000,1)+(_xlfn.RANK.AVG($J7,($J7,$O7,$T7),1)-2)*10)</f>
        <v>21.2</v>
      </c>
      <c r="V7" s="54">
        <f>IF($O7="","",ROUND(($O7-$O$3)/1000,1)+(_xlfn.RANK.AVG($O7,($J7,$O7,$T7),1)-2)*10)</f>
        <v>-21.1</v>
      </c>
      <c r="W7" s="55">
        <f>IF($T7="","",ROUND(($T7-$T$3)/1000,1)+(_xlfn.RANK.AVG($T7,($J7,$O7,$T7),1)-2)*10)</f>
        <v>-0.1</v>
      </c>
      <c r="Y7" s="8"/>
      <c r="Z7" s="34"/>
      <c r="AA7" s="26"/>
      <c r="AB7" s="26">
        <v>1</v>
      </c>
      <c r="AC7" s="26">
        <v>3</v>
      </c>
      <c r="AD7" s="30">
        <v>40</v>
      </c>
      <c r="AE7" s="40" t="s">
        <v>86</v>
      </c>
      <c r="AF7" s="41" t="s">
        <v>86</v>
      </c>
      <c r="AG7" s="41" t="s">
        <v>93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199</v>
      </c>
      <c r="G8" s="9">
        <v>-4800</v>
      </c>
      <c r="H8" s="9">
        <v>-1000</v>
      </c>
      <c r="I8" s="48">
        <v>0</v>
      </c>
      <c r="J8" s="21">
        <f t="shared" si="2"/>
        <v>40400</v>
      </c>
      <c r="K8" s="8" t="s">
        <v>199</v>
      </c>
      <c r="L8" s="9">
        <v>-2900</v>
      </c>
      <c r="M8" s="9"/>
      <c r="N8" s="48">
        <v>0</v>
      </c>
      <c r="O8" s="21">
        <f t="shared" si="3"/>
        <v>21000</v>
      </c>
      <c r="P8" s="8" t="s">
        <v>200</v>
      </c>
      <c r="Q8" s="9">
        <v>7700</v>
      </c>
      <c r="R8" s="9">
        <v>1000</v>
      </c>
      <c r="S8" s="48">
        <v>0</v>
      </c>
      <c r="T8" s="21">
        <f t="shared" si="4"/>
        <v>43600</v>
      </c>
      <c r="U8" s="53">
        <f>IF($J8="","",ROUND(($J8-$J$3)/1000,1)+(_xlfn.RANK.AVG($J8,($J8,$O8,$T8),1)-2)*10)</f>
        <v>5.4</v>
      </c>
      <c r="V8" s="54">
        <f>IF($O8="","",ROUND(($O8-$O$3)/1000,1)+(_xlfn.RANK.AVG($O8,($J8,$O8,$T8),1)-2)*10)</f>
        <v>-24</v>
      </c>
      <c r="W8" s="55">
        <f>IF($T8="","",ROUND(($T8-$T$3)/1000,1)+(_xlfn.RANK.AVG($T8,($J8,$O8,$T8),1)-2)*10)</f>
        <v>18.600000000000001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30</v>
      </c>
      <c r="BU8" s="40" t="s">
        <v>82</v>
      </c>
      <c r="BV8" s="41" t="s">
        <v>104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199</v>
      </c>
      <c r="G9" s="9">
        <v>-1100</v>
      </c>
      <c r="H9" s="9"/>
      <c r="I9" s="48">
        <v>0</v>
      </c>
      <c r="J9" s="21">
        <f t="shared" si="2"/>
        <v>39300</v>
      </c>
      <c r="K9" s="8" t="s">
        <v>199</v>
      </c>
      <c r="L9" s="9">
        <v>-1700</v>
      </c>
      <c r="M9" s="9"/>
      <c r="N9" s="48">
        <v>0</v>
      </c>
      <c r="O9" s="21">
        <f t="shared" si="3"/>
        <v>19300</v>
      </c>
      <c r="P9" s="8" t="s">
        <v>200</v>
      </c>
      <c r="Q9" s="9">
        <v>2800</v>
      </c>
      <c r="R9" s="9"/>
      <c r="S9" s="48">
        <v>0</v>
      </c>
      <c r="T9" s="21">
        <f t="shared" si="4"/>
        <v>46400</v>
      </c>
      <c r="U9" s="53">
        <f>IF($J9="","",ROUND(($J9-$J$3)/1000,1)+(_xlfn.RANK.AVG($J9,($J9,$O9,$T9),1)-2)*10)</f>
        <v>4.3</v>
      </c>
      <c r="V9" s="54">
        <f>IF($O9="","",ROUND(($O9-$O$3)/1000,1)+(_xlfn.RANK.AVG($O9,($J9,$O9,$T9),1)-2)*10)</f>
        <v>-25.7</v>
      </c>
      <c r="W9" s="55">
        <f>IF($T9="","",ROUND(($T9-$T$3)/1000,1)+(_xlfn.RANK.AVG($T9,($J9,$O9,$T9),1)-2)*10)</f>
        <v>21.4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20</v>
      </c>
      <c r="BU9" s="40" t="s">
        <v>201</v>
      </c>
      <c r="BV9" s="41" t="s">
        <v>82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39300</v>
      </c>
      <c r="K10" s="8" t="s">
        <v>202</v>
      </c>
      <c r="L10" s="9">
        <v>8000</v>
      </c>
      <c r="M10" s="9"/>
      <c r="N10" s="48">
        <v>0</v>
      </c>
      <c r="O10" s="21">
        <f t="shared" si="3"/>
        <v>27300</v>
      </c>
      <c r="P10" s="8" t="s">
        <v>203</v>
      </c>
      <c r="Q10" s="9">
        <v>-8000</v>
      </c>
      <c r="R10" s="9"/>
      <c r="S10" s="48">
        <v>0</v>
      </c>
      <c r="T10" s="21">
        <f t="shared" si="4"/>
        <v>38400</v>
      </c>
      <c r="U10" s="53">
        <f>IF($J10="","",ROUND(($J10-$J$3)/1000,1)+(_xlfn.RANK.AVG($J10,($J10,$O10,$T10),1)-2)*10)</f>
        <v>14.3</v>
      </c>
      <c r="V10" s="54">
        <f>IF($O10="","",ROUND(($O10-$O$3)/1000,1)+(_xlfn.RANK.AVG($O10,($J10,$O10,$T10),1)-2)*10)</f>
        <v>-17.7</v>
      </c>
      <c r="W10" s="55">
        <f>IF($T10="","",ROUND(($T10-$T$3)/1000,1)+(_xlfn.RANK.AVG($T10,($J10,$O10,$T10),1)-2)*10)</f>
        <v>3.4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206</v>
      </c>
      <c r="AZ10" s="40" t="s">
        <v>201</v>
      </c>
      <c r="BA10" s="41" t="s">
        <v>79</v>
      </c>
      <c r="BB10" s="41" t="s">
        <v>79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CFDB754-339F-4442-9C28-D9D61CA8BC1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1D8E6-B1D5-4A59-B91A-11CAD222776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206</v>
      </c>
      <c r="AZ4" s="40" t="s">
        <v>201</v>
      </c>
      <c r="BA4" s="41" t="s">
        <v>82</v>
      </c>
      <c r="BB4" s="41" t="s">
        <v>205</v>
      </c>
      <c r="BC4" s="41" t="s">
        <v>80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207</v>
      </c>
      <c r="G5" s="9">
        <v>3000</v>
      </c>
      <c r="H5" s="9"/>
      <c r="I5" s="48"/>
      <c r="J5" s="21">
        <f t="shared" ref="J5:J30" si="2">IF(COUNTA($F5,$K5,$P5)&gt;0,J4+SUM(G5:I5),"")</f>
        <v>33000</v>
      </c>
      <c r="K5" s="8" t="s">
        <v>207</v>
      </c>
      <c r="L5" s="9">
        <v>-1500</v>
      </c>
      <c r="M5" s="9"/>
      <c r="N5" s="48"/>
      <c r="O5" s="21">
        <f t="shared" ref="O5:O30" si="3">IF(COUNTA($F5,$K5,$P5)&gt;0,O4+SUM(L5:N5),"")</f>
        <v>41500</v>
      </c>
      <c r="P5" s="8" t="s">
        <v>207</v>
      </c>
      <c r="Q5" s="9">
        <v>-1500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16.5</v>
      </c>
      <c r="W5" s="55">
        <f>IF($T5="","",ROUND(($T5-$T$3)/1000,1)+(_xlfn.RANK.AVG($T5,($J5,$O5,$T5),1)-2)*10)</f>
        <v>-14.5</v>
      </c>
      <c r="Y5" s="8" t="s">
        <v>196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203</v>
      </c>
      <c r="G6" s="9">
        <v>-8000</v>
      </c>
      <c r="H6" s="9"/>
      <c r="I6" s="48">
        <v>-1000</v>
      </c>
      <c r="J6" s="21">
        <f t="shared" si="2"/>
        <v>24000</v>
      </c>
      <c r="K6" s="8" t="s">
        <v>202</v>
      </c>
      <c r="L6" s="9">
        <v>8000</v>
      </c>
      <c r="M6" s="9"/>
      <c r="N6" s="48">
        <v>1000</v>
      </c>
      <c r="O6" s="21">
        <f t="shared" si="3"/>
        <v>50500</v>
      </c>
      <c r="P6" s="8"/>
      <c r="Q6" s="9"/>
      <c r="R6" s="9"/>
      <c r="S6" s="48"/>
      <c r="T6" s="21">
        <f t="shared" si="4"/>
        <v>30500</v>
      </c>
      <c r="U6" s="53">
        <f>IF($J6="","",ROUND(($J6-$J$3)/1000,1)+(_xlfn.RANK.AVG($J6,($J6,$O6,$T6),1)-2)*10)</f>
        <v>-21</v>
      </c>
      <c r="V6" s="54">
        <f>IF($O6="","",ROUND(($O6-$O$3)/1000,1)+(_xlfn.RANK.AVG($O6,($J6,$O6,$T6),1)-2)*10)</f>
        <v>25.5</v>
      </c>
      <c r="W6" s="55">
        <f>IF($T6="","",ROUND(($T6-$T$3)/1000,1)+(_xlfn.RANK.AVG($T6,($J6,$O6,$T6),1)-2)*10)</f>
        <v>-4.5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201</v>
      </c>
      <c r="BA6" s="41" t="s">
        <v>204</v>
      </c>
      <c r="BB6" s="41" t="s">
        <v>79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199</v>
      </c>
      <c r="G7" s="9">
        <v>-700</v>
      </c>
      <c r="H7" s="9"/>
      <c r="I7" s="48">
        <v>0</v>
      </c>
      <c r="J7" s="21">
        <f t="shared" si="2"/>
        <v>23300</v>
      </c>
      <c r="K7" s="8" t="s">
        <v>199</v>
      </c>
      <c r="L7" s="9">
        <v>-500</v>
      </c>
      <c r="M7" s="9"/>
      <c r="N7" s="48">
        <v>0</v>
      </c>
      <c r="O7" s="21">
        <f t="shared" si="3"/>
        <v>50000</v>
      </c>
      <c r="P7" s="8" t="s">
        <v>200</v>
      </c>
      <c r="Q7" s="9">
        <v>1200</v>
      </c>
      <c r="R7" s="9"/>
      <c r="S7" s="48">
        <v>0</v>
      </c>
      <c r="T7" s="21">
        <f t="shared" si="4"/>
        <v>31700</v>
      </c>
      <c r="U7" s="53">
        <f>IF($J7="","",ROUND(($J7-$J$3)/1000,1)+(_xlfn.RANK.AVG($J7,($J7,$O7,$T7),1)-2)*10)</f>
        <v>-21.7</v>
      </c>
      <c r="V7" s="54">
        <f>IF($O7="","",ROUND(($O7-$O$3)/1000,1)+(_xlfn.RANK.AVG($O7,($J7,$O7,$T7),1)-2)*10)</f>
        <v>25</v>
      </c>
      <c r="W7" s="55">
        <f>IF($T7="","",ROUND(($T7-$T$3)/1000,1)+(_xlfn.RANK.AVG($T7,($J7,$O7,$T7),1)-2)*10)</f>
        <v>-3.3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203</v>
      </c>
      <c r="G8" s="9">
        <v>-18000</v>
      </c>
      <c r="H8" s="9"/>
      <c r="I8" s="48">
        <v>0</v>
      </c>
      <c r="J8" s="21">
        <f t="shared" si="2"/>
        <v>5300</v>
      </c>
      <c r="K8" s="8" t="s">
        <v>202</v>
      </c>
      <c r="L8" s="9">
        <v>18000</v>
      </c>
      <c r="M8" s="9"/>
      <c r="N8" s="48">
        <v>0</v>
      </c>
      <c r="O8" s="21">
        <f t="shared" si="3"/>
        <v>68000</v>
      </c>
      <c r="P8" s="8"/>
      <c r="Q8" s="9"/>
      <c r="R8" s="9"/>
      <c r="S8" s="48"/>
      <c r="T8" s="21">
        <f t="shared" si="4"/>
        <v>31700</v>
      </c>
      <c r="U8" s="53">
        <f>IF($J8="","",ROUND(($J8-$J$3)/1000,1)+(_xlfn.RANK.AVG($J8,($J8,$O8,$T8),1)-2)*10)</f>
        <v>-39.700000000000003</v>
      </c>
      <c r="V8" s="54">
        <f>IF($O8="","",ROUND(($O8-$O$3)/1000,1)+(_xlfn.RANK.AVG($O8,($J8,$O8,$T8),1)-2)*10)</f>
        <v>43</v>
      </c>
      <c r="W8" s="55">
        <f>IF($T8="","",ROUND(($T8-$T$3)/1000,1)+(_xlfn.RANK.AVG($T8,($J8,$O8,$T8),1)-2)*10)</f>
        <v>-3.3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206</v>
      </c>
      <c r="AZ8" s="40" t="s">
        <v>79</v>
      </c>
      <c r="BA8" s="41" t="s">
        <v>79</v>
      </c>
      <c r="BB8" s="41" t="s">
        <v>79</v>
      </c>
      <c r="BC8" s="41" t="s">
        <v>205</v>
      </c>
      <c r="BD8" s="41" t="s">
        <v>205</v>
      </c>
      <c r="BE8" s="41" t="s">
        <v>86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まっつん</v>
      </c>
      <c r="F9" s="8" t="s">
        <v>202</v>
      </c>
      <c r="G9" s="9">
        <v>8000</v>
      </c>
      <c r="H9" s="9"/>
      <c r="I9" s="48">
        <v>1000</v>
      </c>
      <c r="J9" s="21">
        <f t="shared" si="2"/>
        <v>14300</v>
      </c>
      <c r="K9" s="8"/>
      <c r="L9" s="9"/>
      <c r="M9" s="9"/>
      <c r="N9" s="48"/>
      <c r="O9" s="21">
        <f t="shared" si="3"/>
        <v>68000</v>
      </c>
      <c r="P9" s="8" t="s">
        <v>203</v>
      </c>
      <c r="Q9" s="9">
        <v>-8000</v>
      </c>
      <c r="R9" s="9"/>
      <c r="S9" s="48">
        <v>-1000</v>
      </c>
      <c r="T9" s="21">
        <f t="shared" si="4"/>
        <v>22700</v>
      </c>
      <c r="U9" s="53">
        <f>IF($J9="","",ROUND(($J9-$J$3)/1000,1)+(_xlfn.RANK.AVG($J9,($J9,$O9,$T9),1)-2)*10)</f>
        <v>-30.7</v>
      </c>
      <c r="V9" s="54">
        <f>IF($O9="","",ROUND(($O9-$O$3)/1000,1)+(_xlfn.RANK.AVG($O9,($J9,$O9,$T9),1)-2)*10)</f>
        <v>43</v>
      </c>
      <c r="W9" s="55">
        <f>IF($T9="","",ROUND(($T9-$T$3)/1000,1)+(_xlfn.RANK.AVG($T9,($J9,$O9,$T9),1)-2)*10)</f>
        <v>-12.3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201</v>
      </c>
      <c r="AF9" s="41" t="s">
        <v>86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8000</v>
      </c>
      <c r="H10" s="9"/>
      <c r="I10" s="48">
        <v>0</v>
      </c>
      <c r="J10" s="21">
        <f t="shared" si="2"/>
        <v>22300</v>
      </c>
      <c r="K10" s="8" t="s">
        <v>203</v>
      </c>
      <c r="L10" s="9">
        <v>-8000</v>
      </c>
      <c r="M10" s="9"/>
      <c r="N10" s="48">
        <v>0</v>
      </c>
      <c r="O10" s="21">
        <f t="shared" si="3"/>
        <v>60000</v>
      </c>
      <c r="P10" s="8"/>
      <c r="Q10" s="9"/>
      <c r="R10" s="9"/>
      <c r="S10" s="48"/>
      <c r="T10" s="21">
        <f t="shared" si="4"/>
        <v>22700</v>
      </c>
      <c r="U10" s="53">
        <f>IF($J10="","",ROUND(($J10-$J$3)/1000,1)+(_xlfn.RANK.AVG($J10,($J10,$O10,$T10),1)-2)*10)</f>
        <v>-22.7</v>
      </c>
      <c r="V10" s="54">
        <f>IF($O10="","",ROUND(($O10-$O$3)/1000,1)+(_xlfn.RANK.AVG($O10,($J10,$O10,$T10),1)-2)*10)</f>
        <v>35</v>
      </c>
      <c r="W10" s="55">
        <f>IF($T10="","",ROUND(($T10-$T$3)/1000,1)+(_xlfn.RANK.AVG($T10,($J10,$O10,$T10),1)-2)*10)</f>
        <v>-12.3</v>
      </c>
      <c r="Y10" s="8"/>
      <c r="Z10" s="34"/>
      <c r="AA10" s="26"/>
      <c r="AB10" s="26">
        <v>1</v>
      </c>
      <c r="AC10" s="26">
        <v>5</v>
      </c>
      <c r="AD10" s="30" t="s">
        <v>206</v>
      </c>
      <c r="AE10" s="40" t="s">
        <v>104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D7498D38-AA41-48C2-AB52-0AC282F6F7B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56913998-F2BA-44E9-9FB7-C3E2A65492BC}">
      <formula1>"ロン,ツモ,放銃,ツモ支払,流局,チョンボ"</formula1>
    </dataValidation>
    <dataValidation type="list" allowBlank="1" showInputMessage="1" showErrorMessage="1" sqref="E4:E30" xr:uid="{18811BE3-07B8-4A94-B967-7929CBBD6B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D71FE-54BE-4115-9219-0660CB2A9CC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195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203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202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83</v>
      </c>
      <c r="BA4" s="41" t="s">
        <v>85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33000</v>
      </c>
      <c r="K5" s="8" t="s">
        <v>202</v>
      </c>
      <c r="L5" s="9">
        <v>7700</v>
      </c>
      <c r="M5" s="9"/>
      <c r="N5" s="48">
        <v>0</v>
      </c>
      <c r="O5" s="21">
        <f t="shared" ref="O5:O30" si="3">IF(COUNTA($F5,$K5,$P5)&gt;0,O4+SUM(L5:N5),"")</f>
        <v>44700</v>
      </c>
      <c r="P5" s="8" t="s">
        <v>203</v>
      </c>
      <c r="Q5" s="9">
        <v>-7700</v>
      </c>
      <c r="R5" s="9"/>
      <c r="S5" s="48">
        <v>0</v>
      </c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19.7</v>
      </c>
      <c r="W5" s="55">
        <f>IF($T5="","",ROUND(($T5-$T$3)/1000,1)+(_xlfn.RANK.AVG($T5,($J5,$O5,$T5),1)-2)*10)</f>
        <v>-17.7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201</v>
      </c>
      <c r="BA5" s="41" t="s">
        <v>86</v>
      </c>
      <c r="BB5" s="41" t="s">
        <v>205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203</v>
      </c>
      <c r="G6" s="9">
        <v>-1300</v>
      </c>
      <c r="H6" s="9"/>
      <c r="I6" s="48">
        <v>-1000</v>
      </c>
      <c r="J6" s="21">
        <f t="shared" si="2"/>
        <v>30700</v>
      </c>
      <c r="K6" s="8"/>
      <c r="L6" s="9"/>
      <c r="M6" s="9"/>
      <c r="N6" s="48"/>
      <c r="O6" s="21">
        <f t="shared" si="3"/>
        <v>44700</v>
      </c>
      <c r="P6" s="8" t="s">
        <v>202</v>
      </c>
      <c r="Q6" s="9">
        <v>1300</v>
      </c>
      <c r="R6" s="9"/>
      <c r="S6" s="48">
        <v>1000</v>
      </c>
      <c r="T6" s="21">
        <f t="shared" si="4"/>
        <v>29600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19.7</v>
      </c>
      <c r="W6" s="55">
        <f>IF($T6="","",ROUND(($T6-$T$3)/1000,1)+(_xlfn.RANK.AVG($T6,($J6,$O6,$T6),1)-2)*10)</f>
        <v>-15.4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84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30700</v>
      </c>
      <c r="K7" s="8" t="s">
        <v>203</v>
      </c>
      <c r="L7" s="9">
        <v>-11600</v>
      </c>
      <c r="M7" s="9"/>
      <c r="N7" s="48">
        <v>0</v>
      </c>
      <c r="O7" s="21">
        <f t="shared" si="3"/>
        <v>33100</v>
      </c>
      <c r="P7" s="8" t="s">
        <v>202</v>
      </c>
      <c r="Q7" s="9">
        <v>11600</v>
      </c>
      <c r="R7" s="9"/>
      <c r="S7" s="48">
        <v>0</v>
      </c>
      <c r="T7" s="21">
        <f t="shared" si="4"/>
        <v>41200</v>
      </c>
      <c r="U7" s="53">
        <f>IF($J7="","",ROUND(($J7-$J$3)/1000,1)+(_xlfn.RANK.AVG($J7,($J7,$O7,$T7),1)-2)*10)</f>
        <v>-14.3</v>
      </c>
      <c r="V7" s="54">
        <f>IF($O7="","",ROUND(($O7-$O$3)/1000,1)+(_xlfn.RANK.AVG($O7,($J7,$O7,$T7),1)-2)*10)</f>
        <v>-1.9</v>
      </c>
      <c r="W7" s="55">
        <f>IF($T7="","",ROUND(($T7-$T$3)/1000,1)+(_xlfn.RANK.AVG($T7,($J7,$O7,$T7),1)-2)*10)</f>
        <v>16.2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201</v>
      </c>
      <c r="BV7" s="41" t="s">
        <v>83</v>
      </c>
      <c r="BW7" s="41" t="s">
        <v>205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202</v>
      </c>
      <c r="G8" s="9">
        <v>5200</v>
      </c>
      <c r="H8" s="9"/>
      <c r="I8" s="48">
        <v>1000</v>
      </c>
      <c r="J8" s="21">
        <f t="shared" si="2"/>
        <v>36900</v>
      </c>
      <c r="K8" s="8"/>
      <c r="L8" s="9"/>
      <c r="M8" s="9"/>
      <c r="N8" s="48"/>
      <c r="O8" s="21">
        <f t="shared" si="3"/>
        <v>33100</v>
      </c>
      <c r="P8" s="8" t="s">
        <v>203</v>
      </c>
      <c r="Q8" s="9">
        <v>-5200</v>
      </c>
      <c r="R8" s="9"/>
      <c r="S8" s="48">
        <v>-1000</v>
      </c>
      <c r="T8" s="21">
        <f t="shared" si="4"/>
        <v>35000</v>
      </c>
      <c r="U8" s="53">
        <f>IF($J8="","",ROUND(($J8-$J$3)/1000,1)+(_xlfn.RANK.AVG($J8,($J8,$O8,$T8),1)-2)*10)</f>
        <v>11.9</v>
      </c>
      <c r="V8" s="54">
        <f>IF($O8="","",ROUND(($O8-$O$3)/1000,1)+(_xlfn.RANK.AVG($O8,($J8,$O8,$T8),1)-2)*10)</f>
        <v>-11.9</v>
      </c>
      <c r="W8" s="55">
        <f>IF($T8="","",ROUND(($T8-$T$3)/1000,1)+(_xlfn.RANK.AVG($T8,($J8,$O8,$T8),1)-2)*10)</f>
        <v>0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201</v>
      </c>
      <c r="AF8" s="41" t="s">
        <v>79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207</v>
      </c>
      <c r="G9" s="9">
        <v>-3000</v>
      </c>
      <c r="H9" s="9"/>
      <c r="I9" s="48"/>
      <c r="J9" s="21">
        <f t="shared" si="2"/>
        <v>33900</v>
      </c>
      <c r="K9" s="8" t="s">
        <v>207</v>
      </c>
      <c r="L9" s="9">
        <v>1500</v>
      </c>
      <c r="M9" s="9">
        <v>-1000</v>
      </c>
      <c r="N9" s="48"/>
      <c r="O9" s="21">
        <f t="shared" si="3"/>
        <v>33600</v>
      </c>
      <c r="P9" s="8" t="s">
        <v>207</v>
      </c>
      <c r="Q9" s="9">
        <v>1500</v>
      </c>
      <c r="R9" s="9">
        <v>-1000</v>
      </c>
      <c r="S9" s="48"/>
      <c r="T9" s="21">
        <f t="shared" si="4"/>
        <v>35500</v>
      </c>
      <c r="U9" s="53">
        <f>IF($J9="","",ROUND(($J9-$J$3)/1000,1)+(_xlfn.RANK.AVG($J9,($J9,$O9,$T9),1)-2)*10)</f>
        <v>-1.1000000000000001</v>
      </c>
      <c r="V9" s="54">
        <f>IF($O9="","",ROUND(($O9-$O$3)/1000,1)+(_xlfn.RANK.AVG($O9,($J9,$O9,$T9),1)-2)*10)</f>
        <v>-11.4</v>
      </c>
      <c r="W9" s="55">
        <f>IF($T9="","",ROUND(($T9-$T$3)/1000,1)+(_xlfn.RANK.AVG($T9,($J9,$O9,$T9),1)-2)*10)</f>
        <v>10.5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196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2</v>
      </c>
      <c r="E10" s="4" t="str">
        <f>IF($K$1="","",$K$1)</f>
        <v>れんたろう</v>
      </c>
      <c r="F10" s="8" t="s">
        <v>199</v>
      </c>
      <c r="G10" s="9">
        <v>-1500</v>
      </c>
      <c r="H10" s="9"/>
      <c r="I10" s="48">
        <v>-500</v>
      </c>
      <c r="J10" s="21">
        <f t="shared" si="2"/>
        <v>31900</v>
      </c>
      <c r="K10" s="8" t="s">
        <v>200</v>
      </c>
      <c r="L10" s="9">
        <v>3000</v>
      </c>
      <c r="M10" s="9">
        <v>2000</v>
      </c>
      <c r="N10" s="48">
        <v>1000</v>
      </c>
      <c r="O10" s="21">
        <f t="shared" si="3"/>
        <v>39600</v>
      </c>
      <c r="P10" s="8" t="s">
        <v>199</v>
      </c>
      <c r="Q10" s="9">
        <v>-1500</v>
      </c>
      <c r="R10" s="9"/>
      <c r="S10" s="48">
        <v>-500</v>
      </c>
      <c r="T10" s="21">
        <f t="shared" si="4"/>
        <v>33500</v>
      </c>
      <c r="U10" s="53">
        <f>IF($J10="","",ROUND(($J10-$J$3)/1000,1)+(_xlfn.RANK.AVG($J10,($J10,$O10,$T10),1)-2)*10)</f>
        <v>-13.1</v>
      </c>
      <c r="V10" s="54">
        <f>IF($O10="","",ROUND(($O10-$O$3)/1000,1)+(_xlfn.RANK.AVG($O10,($J10,$O10,$T10),1)-2)*10)</f>
        <v>14.6</v>
      </c>
      <c r="W10" s="55">
        <f>IF($T10="","",ROUND(($T10-$T$3)/1000,1)+(_xlfn.RANK.AVG($T10,($J10,$O10,$T10),1)-2)*10)</f>
        <v>-1.5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30</v>
      </c>
      <c r="AZ10" s="40" t="s">
        <v>201</v>
      </c>
      <c r="BA10" s="41" t="s">
        <v>82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 t="s">
        <v>199</v>
      </c>
      <c r="G11" s="9">
        <v>-1500</v>
      </c>
      <c r="H11" s="9"/>
      <c r="I11" s="48">
        <v>-1000</v>
      </c>
      <c r="J11" s="21">
        <f t="shared" si="2"/>
        <v>29400</v>
      </c>
      <c r="K11" s="8" t="s">
        <v>199</v>
      </c>
      <c r="L11" s="9">
        <v>-2500</v>
      </c>
      <c r="M11" s="9"/>
      <c r="N11" s="48">
        <v>-1000</v>
      </c>
      <c r="O11" s="21">
        <f t="shared" si="3"/>
        <v>36100</v>
      </c>
      <c r="P11" s="8" t="s">
        <v>200</v>
      </c>
      <c r="Q11" s="9">
        <v>4000</v>
      </c>
      <c r="R11" s="9"/>
      <c r="S11" s="48">
        <v>2000</v>
      </c>
      <c r="T11" s="21">
        <f t="shared" si="4"/>
        <v>39500</v>
      </c>
      <c r="U11" s="53">
        <f>IF($J11="","",ROUND(($J11-$J$3)/1000,1)+(_xlfn.RANK.AVG($J11,($J11,$O11,$T11),1)-2)*10)</f>
        <v>-15.6</v>
      </c>
      <c r="V11" s="54">
        <f>IF($O11="","",ROUND(($O11-$O$3)/1000,1)+(_xlfn.RANK.AVG($O11,($J11,$O11,$T11),1)-2)*10)</f>
        <v>1.1000000000000001</v>
      </c>
      <c r="W11" s="55">
        <f>IF($T11="","",ROUND(($T11-$T$3)/1000,1)+(_xlfn.RANK.AVG($T11,($J11,$O11,$T11),1)-2)*10)</f>
        <v>14.5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201</v>
      </c>
      <c r="BV11" s="41" t="s">
        <v>82</v>
      </c>
      <c r="BW11" s="41" t="s">
        <v>80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/>
      <c r="G12" s="9"/>
      <c r="H12" s="9"/>
      <c r="I12" s="48"/>
      <c r="J12" s="21">
        <f t="shared" si="2"/>
        <v>29400</v>
      </c>
      <c r="K12" s="8" t="s">
        <v>203</v>
      </c>
      <c r="L12" s="9">
        <v>-7700</v>
      </c>
      <c r="M12" s="9"/>
      <c r="N12" s="48">
        <v>0</v>
      </c>
      <c r="O12" s="21">
        <f t="shared" si="3"/>
        <v>28400</v>
      </c>
      <c r="P12" s="8" t="s">
        <v>202</v>
      </c>
      <c r="Q12" s="9">
        <v>7700</v>
      </c>
      <c r="R12" s="9"/>
      <c r="S12" s="48">
        <v>0</v>
      </c>
      <c r="T12" s="21">
        <f t="shared" si="4"/>
        <v>47200</v>
      </c>
      <c r="U12" s="53">
        <f>IF($J12="","",ROUND(($J12-$J$3)/1000,1)+(_xlfn.RANK.AVG($J12,($J12,$O12,$T12),1)-2)*10)</f>
        <v>-5.6</v>
      </c>
      <c r="V12" s="54">
        <f>IF($O12="","",ROUND(($O12-$O$3)/1000,1)+(_xlfn.RANK.AVG($O12,($J12,$O12,$T12),1)-2)*10)</f>
        <v>-16.600000000000001</v>
      </c>
      <c r="W12" s="55">
        <f>IF($T12="","",ROUND(($T12-$T$3)/1000,1)+(_xlfn.RANK.AVG($T12,($J12,$O12,$T12),1)-2)*10)</f>
        <v>22.2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40</v>
      </c>
      <c r="BU12" s="40" t="s">
        <v>98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D490F79C-ECE9-426D-966C-DFEB5DD130DF}">
      <formula1>$U$2:$W$2</formula1>
    </dataValidation>
    <dataValidation type="list" showInputMessage="1" showErrorMessage="1" sqref="K4:K30 P4:P30 F4:F30" xr:uid="{BC750E34-0005-4ECC-AACB-BACB90D67ADF}">
      <formula1>"ロン,ツモ,放銃,ツモ支払,流局,チョンボ"</formula1>
    </dataValidation>
    <dataValidation type="list" allowBlank="1" showInputMessage="1" sqref="F1:T1" xr:uid="{2F2B5841-CA86-41F5-8A77-E4A1898EB127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00CBA-09A1-42B4-9688-3DB06FDCF397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195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だいち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202</v>
      </c>
      <c r="G4" s="9">
        <v>2900</v>
      </c>
      <c r="H4" s="9">
        <v>1000</v>
      </c>
      <c r="I4" s="48">
        <v>0</v>
      </c>
      <c r="J4" s="21">
        <f>IF(COUNTA($F4,$K4,$P4)&gt;0,J3+SUM(G4:I4),"")</f>
        <v>38900</v>
      </c>
      <c r="K4" s="8" t="s">
        <v>203</v>
      </c>
      <c r="L4" s="9">
        <v>-2900</v>
      </c>
      <c r="M4" s="9">
        <v>-1000</v>
      </c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205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24000</v>
      </c>
      <c r="H5" s="9"/>
      <c r="I5" s="48">
        <v>1000</v>
      </c>
      <c r="J5" s="21">
        <f t="shared" ref="J5:J30" si="2">IF(COUNTA($F5,$K5,$P5)&gt;0,J4+SUM(G5:I5),"")</f>
        <v>63900</v>
      </c>
      <c r="K5" s="8" t="s">
        <v>199</v>
      </c>
      <c r="L5" s="9">
        <v>-12000</v>
      </c>
      <c r="M5" s="9"/>
      <c r="N5" s="48">
        <v>-500</v>
      </c>
      <c r="O5" s="21">
        <f t="shared" ref="O5:O30" si="3">IF(COUNTA($F5,$K5,$P5)&gt;0,O4+SUM(L5:N5),"")</f>
        <v>18600</v>
      </c>
      <c r="P5" s="8" t="s">
        <v>199</v>
      </c>
      <c r="Q5" s="9">
        <v>-12000</v>
      </c>
      <c r="R5" s="9"/>
      <c r="S5" s="48">
        <v>-500</v>
      </c>
      <c r="T5" s="21">
        <f t="shared" ref="T5:T30" si="4">IF(COUNTA($F5,$K5,$P5)&gt;0,T4+SUM(Q5:S5),"")</f>
        <v>22500</v>
      </c>
      <c r="U5" s="53">
        <f>IF($J5="","",ROUND(($J5-$J$3)/1000,1)+(_xlfn.RANK.AVG($J5,($J5,$O5,$T5),1)-2)*10)</f>
        <v>38.9</v>
      </c>
      <c r="V5" s="54">
        <f>IF($O5="","",ROUND(($O5-$O$3)/1000,1)+(_xlfn.RANK.AVG($O5,($J5,$O5,$T5),1)-2)*10)</f>
        <v>-26.4</v>
      </c>
      <c r="W5" s="55">
        <f>IF($T5="","",ROUND(($T5-$T$3)/1000,1)+(_xlfn.RANK.AVG($T5,($J5,$O5,$T5),1)-2)*10)</f>
        <v>-12.5</v>
      </c>
      <c r="Y5" s="8"/>
      <c r="Z5" s="34"/>
      <c r="AA5" s="26"/>
      <c r="AB5" s="26"/>
      <c r="AC5" s="26">
        <v>8</v>
      </c>
      <c r="AD5" s="30" t="s">
        <v>206</v>
      </c>
      <c r="AE5" s="40" t="s">
        <v>82</v>
      </c>
      <c r="AF5" s="41" t="s">
        <v>106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198</v>
      </c>
      <c r="G6" s="9">
        <v>-3000</v>
      </c>
      <c r="H6" s="9"/>
      <c r="I6" s="48"/>
      <c r="J6" s="21">
        <f t="shared" si="2"/>
        <v>60900</v>
      </c>
      <c r="K6" s="8" t="s">
        <v>198</v>
      </c>
      <c r="L6" s="9">
        <v>1500</v>
      </c>
      <c r="M6" s="9">
        <v>-1000</v>
      </c>
      <c r="N6" s="48"/>
      <c r="O6" s="21">
        <f t="shared" si="3"/>
        <v>19100</v>
      </c>
      <c r="P6" s="8" t="s">
        <v>198</v>
      </c>
      <c r="Q6" s="9">
        <v>1500</v>
      </c>
      <c r="R6" s="9"/>
      <c r="S6" s="48"/>
      <c r="T6" s="21">
        <f t="shared" si="4"/>
        <v>24000</v>
      </c>
      <c r="U6" s="53">
        <f>IF($J6="","",ROUND(($J6-$J$3)/1000,1)+(_xlfn.RANK.AVG($J6,($J6,$O6,$T6),1)-2)*10)</f>
        <v>35.9</v>
      </c>
      <c r="V6" s="54">
        <f>IF($O6="","",ROUND(($O6-$O$3)/1000,1)+(_xlfn.RANK.AVG($O6,($J6,$O6,$T6),1)-2)*10)</f>
        <v>-25.9</v>
      </c>
      <c r="W6" s="55">
        <f>IF($T6="","",ROUND(($T6-$T$3)/1000,1)+(_xlfn.RANK.AVG($T6,($J6,$O6,$T6),1)-2)*10)</f>
        <v>-11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196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tr">
        <f>IF($K$1="","",$K$1)</f>
        <v>だいち</v>
      </c>
      <c r="F7" s="8" t="s">
        <v>202</v>
      </c>
      <c r="G7" s="9">
        <v>8000</v>
      </c>
      <c r="H7" s="9">
        <v>1000</v>
      </c>
      <c r="I7" s="48">
        <v>3000</v>
      </c>
      <c r="J7" s="21">
        <f t="shared" si="2"/>
        <v>72900</v>
      </c>
      <c r="K7" s="8" t="s">
        <v>203</v>
      </c>
      <c r="L7" s="9">
        <v>-8000</v>
      </c>
      <c r="M7" s="9"/>
      <c r="N7" s="48">
        <v>-3000</v>
      </c>
      <c r="O7" s="21">
        <f t="shared" si="3"/>
        <v>8100</v>
      </c>
      <c r="P7" s="8"/>
      <c r="Q7" s="9"/>
      <c r="R7" s="9"/>
      <c r="S7" s="48"/>
      <c r="T7" s="21">
        <f t="shared" si="4"/>
        <v>24000</v>
      </c>
      <c r="U7" s="53">
        <f>IF($J7="","",ROUND(($J7-$J$3)/1000,1)+(_xlfn.RANK.AVG($J7,($J7,$O7,$T7),1)-2)*10)</f>
        <v>47.9</v>
      </c>
      <c r="V7" s="54">
        <f>IF($O7="","",ROUND(($O7-$O$3)/1000,1)+(_xlfn.RANK.AVG($O7,($J7,$O7,$T7),1)-2)*10)</f>
        <v>-36.9</v>
      </c>
      <c r="W7" s="55">
        <f>IF($T7="","",ROUND(($T7-$T$3)/1000,1)+(_xlfn.RANK.AVG($T7,($J7,$O7,$T7),1)-2)*10)</f>
        <v>-11</v>
      </c>
      <c r="Y7" s="8"/>
      <c r="Z7" s="34"/>
      <c r="AA7" s="26">
        <v>1</v>
      </c>
      <c r="AB7" s="26"/>
      <c r="AC7" s="26">
        <v>5</v>
      </c>
      <c r="AD7" s="30" t="s">
        <v>206</v>
      </c>
      <c r="AE7" s="40" t="s">
        <v>201</v>
      </c>
      <c r="AF7" s="41" t="s">
        <v>83</v>
      </c>
      <c r="AG7" s="41" t="s">
        <v>204</v>
      </c>
      <c r="AH7" s="41" t="s">
        <v>205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まっつん</v>
      </c>
      <c r="F8" s="8" t="s">
        <v>202</v>
      </c>
      <c r="G8" s="9">
        <v>8000</v>
      </c>
      <c r="H8" s="9"/>
      <c r="I8" s="48">
        <v>0</v>
      </c>
      <c r="J8" s="21">
        <f t="shared" si="2"/>
        <v>80900</v>
      </c>
      <c r="K8" s="8" t="s">
        <v>203</v>
      </c>
      <c r="L8" s="9">
        <v>-8000</v>
      </c>
      <c r="M8" s="9"/>
      <c r="N8" s="48">
        <v>0</v>
      </c>
      <c r="O8" s="21">
        <f t="shared" si="3"/>
        <v>100</v>
      </c>
      <c r="P8" s="8"/>
      <c r="Q8" s="9"/>
      <c r="R8" s="9"/>
      <c r="S8" s="48"/>
      <c r="T8" s="21">
        <f t="shared" si="4"/>
        <v>24000</v>
      </c>
      <c r="U8" s="53">
        <f>IF($J8="","",ROUND(($J8-$J$3)/1000,1)+(_xlfn.RANK.AVG($J8,($J8,$O8,$T8),1)-2)*10)</f>
        <v>55.9</v>
      </c>
      <c r="V8" s="54">
        <f>IF($O8="","",ROUND(($O8-$O$3)/1000,1)+(_xlfn.RANK.AVG($O8,($J8,$O8,$T8),1)-2)*10)</f>
        <v>-44.9</v>
      </c>
      <c r="W8" s="55">
        <f>IF($T8="","",ROUND(($T8-$T$3)/1000,1)+(_xlfn.RANK.AVG($T8,($J8,$O8,$T8),1)-2)*10)</f>
        <v>-11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201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199</v>
      </c>
      <c r="G9" s="9">
        <v>-5000</v>
      </c>
      <c r="H9" s="9"/>
      <c r="I9" s="48">
        <v>0</v>
      </c>
      <c r="J9" s="21">
        <f t="shared" si="2"/>
        <v>75900</v>
      </c>
      <c r="K9" s="8" t="s">
        <v>200</v>
      </c>
      <c r="L9" s="9">
        <v>8000</v>
      </c>
      <c r="M9" s="9"/>
      <c r="N9" s="48">
        <v>0</v>
      </c>
      <c r="O9" s="21">
        <f t="shared" si="3"/>
        <v>8100</v>
      </c>
      <c r="P9" s="8" t="s">
        <v>199</v>
      </c>
      <c r="Q9" s="9">
        <v>-3000</v>
      </c>
      <c r="R9" s="9"/>
      <c r="S9" s="48">
        <v>0</v>
      </c>
      <c r="T9" s="21">
        <f t="shared" si="4"/>
        <v>21000</v>
      </c>
      <c r="U9" s="53">
        <f>IF($J9="","",ROUND(($J9-$J$3)/1000,1)+(_xlfn.RANK.AVG($J9,($J9,$O9,$T9),1)-2)*10)</f>
        <v>50.9</v>
      </c>
      <c r="V9" s="54">
        <f>IF($O9="","",ROUND(($O9-$O$3)/1000,1)+(_xlfn.RANK.AVG($O9,($J9,$O9,$T9),1)-2)*10)</f>
        <v>-36.9</v>
      </c>
      <c r="W9" s="55">
        <f>IF($T9="","",ROUND(($T9-$T$3)/1000,1)+(_xlfn.RANK.AVG($T9,($J9,$O9,$T9),1)-2)*10)</f>
        <v>-14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206</v>
      </c>
      <c r="AZ9" s="40" t="s">
        <v>105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75900</v>
      </c>
      <c r="K10" s="8" t="s">
        <v>203</v>
      </c>
      <c r="L10" s="9">
        <v>-16000</v>
      </c>
      <c r="M10" s="9"/>
      <c r="N10" s="48">
        <v>0</v>
      </c>
      <c r="O10" s="21">
        <f t="shared" si="3"/>
        <v>-7900</v>
      </c>
      <c r="P10" s="8" t="s">
        <v>202</v>
      </c>
      <c r="Q10" s="9">
        <v>16000</v>
      </c>
      <c r="R10" s="9"/>
      <c r="S10" s="48">
        <v>0</v>
      </c>
      <c r="T10" s="21">
        <f t="shared" si="4"/>
        <v>37000</v>
      </c>
      <c r="U10" s="53">
        <f>IF($J10="","",ROUND(($J10-$J$3)/1000,1)+(_xlfn.RANK.AVG($J10,($J10,$O10,$T10),1)-2)*10)</f>
        <v>50.9</v>
      </c>
      <c r="V10" s="54">
        <f>IF($O10="","",ROUND(($O10-$O$3)/1000,1)+(_xlfn.RANK.AVG($O10,($J10,$O10,$T10),1)-2)*10)</f>
        <v>-52.9</v>
      </c>
      <c r="W10" s="55">
        <f>IF($T10="","",ROUND(($T10-$T$3)/1000,1)+(_xlfn.RANK.AVG($T10,($J10,$O10,$T10),1)-2)*10)</f>
        <v>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9</v>
      </c>
      <c r="BT10" s="30" t="s">
        <v>206</v>
      </c>
      <c r="BU10" s="40" t="s">
        <v>83</v>
      </c>
      <c r="BV10" s="41" t="s">
        <v>84</v>
      </c>
      <c r="BW10" s="41" t="s">
        <v>79</v>
      </c>
      <c r="BX10" s="41" t="s">
        <v>79</v>
      </c>
      <c r="BY10" s="41" t="s">
        <v>79</v>
      </c>
      <c r="BZ10" s="41" t="s">
        <v>79</v>
      </c>
      <c r="CA10" s="41" t="s">
        <v>79</v>
      </c>
      <c r="CB10" s="41" t="s">
        <v>205</v>
      </c>
      <c r="CC10" s="41" t="s">
        <v>205</v>
      </c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まっつん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3651D10-BF42-416A-8DB6-09E71804C7A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ED10ED-3D18-4AE8-9B0F-0FBC730F999C}">
      <formula1>"ロン,ツモ,放銃,ツモ支払,流局,チョンボ"</formula1>
    </dataValidation>
    <dataValidation type="list" allowBlank="1" showInputMessage="1" showErrorMessage="1" sqref="E4:E30" xr:uid="{0D8DDC53-1B0B-463A-92BD-706A7B1705C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2020-11-14T09:43:41Z</dcterms:modified>
</cp:coreProperties>
</file>