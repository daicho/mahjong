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E426E709-93C2-4C7E-ADD1-F26C75C642AA}" xr6:coauthVersionLast="45" xr6:coauthVersionMax="45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30" i="23" l="1"/>
  <c r="V30" i="23"/>
  <c r="U30" i="23"/>
  <c r="W29" i="23"/>
  <c r="V29" i="23"/>
  <c r="U29" i="23"/>
  <c r="W28" i="23"/>
  <c r="V28" i="23"/>
  <c r="U28" i="23"/>
  <c r="W27" i="23"/>
  <c r="V27" i="23"/>
  <c r="U27" i="23"/>
  <c r="W26" i="23"/>
  <c r="V26" i="23"/>
  <c r="U26" i="23"/>
  <c r="W25" i="23"/>
  <c r="V25" i="23"/>
  <c r="U25" i="23"/>
  <c r="W24" i="23"/>
  <c r="V24" i="23"/>
  <c r="U24" i="23"/>
  <c r="W23" i="23"/>
  <c r="V23" i="23"/>
  <c r="U23" i="23"/>
  <c r="W22" i="23"/>
  <c r="V22" i="23"/>
  <c r="U22" i="23"/>
  <c r="W21" i="23"/>
  <c r="V21" i="23"/>
  <c r="U21" i="23"/>
  <c r="W20" i="23"/>
  <c r="V20" i="23"/>
  <c r="U20" i="23"/>
  <c r="W19" i="23"/>
  <c r="V19" i="23"/>
  <c r="U19" i="23"/>
  <c r="W18" i="23"/>
  <c r="V18" i="23"/>
  <c r="U18" i="23"/>
  <c r="W17" i="23"/>
  <c r="V17" i="23"/>
  <c r="U17" i="23"/>
  <c r="W16" i="23"/>
  <c r="V16" i="23"/>
  <c r="U16" i="23"/>
  <c r="W15" i="23"/>
  <c r="V15" i="23"/>
  <c r="U15" i="23"/>
  <c r="W14" i="23"/>
  <c r="V14" i="23"/>
  <c r="U14" i="23"/>
  <c r="W13" i="23"/>
  <c r="V13" i="23"/>
  <c r="U13" i="23"/>
  <c r="W12" i="23"/>
  <c r="V12" i="23"/>
  <c r="U12" i="23"/>
  <c r="W11" i="23"/>
  <c r="V11" i="23"/>
  <c r="U11" i="23"/>
  <c r="W10" i="23"/>
  <c r="V10" i="23"/>
  <c r="U10" i="23"/>
  <c r="W9" i="23"/>
  <c r="V9" i="23"/>
  <c r="U9" i="23"/>
  <c r="W8" i="23"/>
  <c r="V8" i="23"/>
  <c r="U8" i="23"/>
  <c r="W7" i="23"/>
  <c r="V7" i="23"/>
  <c r="U7" i="23"/>
  <c r="W6" i="23"/>
  <c r="V6" i="23"/>
  <c r="U6" i="23"/>
  <c r="W5" i="23"/>
  <c r="V5" i="23"/>
  <c r="U5" i="23"/>
  <c r="W4" i="23"/>
  <c r="V4" i="23"/>
  <c r="U4" i="23"/>
  <c r="W3" i="23"/>
  <c r="V3" i="23"/>
  <c r="U3" i="23"/>
  <c r="E12" i="23" l="1"/>
  <c r="D12" i="23" s="1"/>
  <c r="E11" i="23"/>
  <c r="E10" i="23"/>
  <c r="E9" i="23"/>
  <c r="E8" i="23"/>
  <c r="E7" i="23"/>
  <c r="E6" i="23"/>
  <c r="E5" i="23"/>
  <c r="T30" i="23"/>
  <c r="O30" i="23"/>
  <c r="J30" i="23"/>
  <c r="D30" i="23"/>
  <c r="C30" i="23"/>
  <c r="B30" i="23"/>
  <c r="A30" i="23"/>
  <c r="T29" i="23"/>
  <c r="O29" i="23"/>
  <c r="J29" i="23"/>
  <c r="D29" i="23"/>
  <c r="C29" i="23"/>
  <c r="B29" i="23"/>
  <c r="A29" i="23"/>
  <c r="T28" i="23"/>
  <c r="O28" i="23"/>
  <c r="J28" i="23"/>
  <c r="D28" i="23"/>
  <c r="C28" i="23"/>
  <c r="B28" i="23"/>
  <c r="A28" i="23"/>
  <c r="T27" i="23"/>
  <c r="O27" i="23"/>
  <c r="J27" i="23"/>
  <c r="D27" i="23"/>
  <c r="C27" i="23"/>
  <c r="B27" i="23"/>
  <c r="A27" i="23"/>
  <c r="T26" i="23"/>
  <c r="O26" i="23"/>
  <c r="J26" i="23"/>
  <c r="D26" i="23"/>
  <c r="C26" i="23"/>
  <c r="B26" i="23"/>
  <c r="A26" i="23"/>
  <c r="T25" i="23"/>
  <c r="O25" i="23"/>
  <c r="J25" i="23"/>
  <c r="D25" i="23"/>
  <c r="C25" i="23"/>
  <c r="B25" i="23"/>
  <c r="A25" i="23"/>
  <c r="T24" i="23"/>
  <c r="O24" i="23"/>
  <c r="J24" i="23"/>
  <c r="D24" i="23"/>
  <c r="C24" i="23"/>
  <c r="B24" i="23"/>
  <c r="A24" i="23"/>
  <c r="T23" i="23"/>
  <c r="O23" i="23"/>
  <c r="J23" i="23"/>
  <c r="D23" i="23"/>
  <c r="C23" i="23"/>
  <c r="B23" i="23"/>
  <c r="A23" i="23"/>
  <c r="T22" i="23"/>
  <c r="O22" i="23"/>
  <c r="J22" i="23"/>
  <c r="D22" i="23"/>
  <c r="C22" i="23"/>
  <c r="B22" i="23"/>
  <c r="A22" i="23"/>
  <c r="T21" i="23"/>
  <c r="O21" i="23"/>
  <c r="J21" i="23"/>
  <c r="D21" i="23"/>
  <c r="C21" i="23"/>
  <c r="B21" i="23"/>
  <c r="A21" i="23"/>
  <c r="T20" i="23"/>
  <c r="O20" i="23"/>
  <c r="J20" i="23"/>
  <c r="D20" i="23"/>
  <c r="C20" i="23"/>
  <c r="B20" i="23"/>
  <c r="A20" i="23"/>
  <c r="T19" i="23"/>
  <c r="O19" i="23"/>
  <c r="J19" i="23"/>
  <c r="D19" i="23"/>
  <c r="C19" i="23"/>
  <c r="B19" i="23"/>
  <c r="A19" i="23"/>
  <c r="T18" i="23"/>
  <c r="O18" i="23"/>
  <c r="J18" i="23"/>
  <c r="D18" i="23"/>
  <c r="C18" i="23"/>
  <c r="B18" i="23"/>
  <c r="A18" i="23"/>
  <c r="T17" i="23"/>
  <c r="O17" i="23"/>
  <c r="J17" i="23"/>
  <c r="D17" i="23"/>
  <c r="C17" i="23"/>
  <c r="B17" i="23"/>
  <c r="A17" i="23"/>
  <c r="T16" i="23"/>
  <c r="O16" i="23"/>
  <c r="J16" i="23"/>
  <c r="D16" i="23"/>
  <c r="C16" i="23"/>
  <c r="B16" i="23"/>
  <c r="A16" i="23"/>
  <c r="T15" i="23"/>
  <c r="O15" i="23"/>
  <c r="J15" i="23"/>
  <c r="D15" i="23"/>
  <c r="C15" i="23"/>
  <c r="B15" i="23"/>
  <c r="A15" i="23"/>
  <c r="T14" i="23"/>
  <c r="O14" i="23"/>
  <c r="J14" i="23"/>
  <c r="D14" i="23"/>
  <c r="C14" i="23"/>
  <c r="B14" i="23"/>
  <c r="A14" i="23"/>
  <c r="T13" i="23"/>
  <c r="O13" i="23"/>
  <c r="J13" i="23"/>
  <c r="D13" i="23"/>
  <c r="C13" i="23"/>
  <c r="B13" i="23"/>
  <c r="A13" i="23"/>
  <c r="D10" i="23"/>
  <c r="B5" i="23"/>
  <c r="A5" i="23" s="1"/>
  <c r="D5" i="23"/>
  <c r="C5" i="23"/>
  <c r="T4" i="23"/>
  <c r="T5" i="23" s="1"/>
  <c r="O4" i="23"/>
  <c r="O5" i="23" s="1"/>
  <c r="J4" i="23"/>
  <c r="J5" i="23" s="1"/>
  <c r="E4" i="23"/>
  <c r="W2" i="23"/>
  <c r="V2" i="23"/>
  <c r="U2" i="23"/>
  <c r="BO1" i="23"/>
  <c r="AT1" i="23"/>
  <c r="Y1" i="23"/>
  <c r="E12" i="22"/>
  <c r="D12" i="22" s="1"/>
  <c r="E11" i="22"/>
  <c r="E10" i="22"/>
  <c r="C10" i="22" s="1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 s="1"/>
  <c r="D11" i="22"/>
  <c r="C11" i="22"/>
  <c r="B11" i="22"/>
  <c r="A11" i="22" s="1"/>
  <c r="D9" i="22"/>
  <c r="D8" i="22"/>
  <c r="C8" i="22"/>
  <c r="D7" i="22"/>
  <c r="C7" i="22"/>
  <c r="D6" i="22"/>
  <c r="C6" i="22"/>
  <c r="D5" i="22"/>
  <c r="T4" i="22"/>
  <c r="T5" i="22" s="1"/>
  <c r="O4" i="22"/>
  <c r="O5" i="22" s="1"/>
  <c r="J4" i="22"/>
  <c r="J5" i="22" s="1"/>
  <c r="J6" i="22" s="1"/>
  <c r="J7" i="22" s="1"/>
  <c r="J8" i="22" s="1"/>
  <c r="E4" i="22"/>
  <c r="W3" i="22"/>
  <c r="V3" i="22"/>
  <c r="U3" i="22"/>
  <c r="W2" i="22"/>
  <c r="V2" i="22"/>
  <c r="U2" i="22"/>
  <c r="BO1" i="22"/>
  <c r="AT1" i="22"/>
  <c r="Y1" i="22"/>
  <c r="E10" i="21"/>
  <c r="E9" i="21"/>
  <c r="E8" i="21"/>
  <c r="E7" i="21"/>
  <c r="E6" i="21"/>
  <c r="J6" i="23" l="1"/>
  <c r="O6" i="23"/>
  <c r="B6" i="23"/>
  <c r="B7" i="23" s="1"/>
  <c r="C11" i="23"/>
  <c r="C12" i="23" s="1"/>
  <c r="C6" i="23"/>
  <c r="D11" i="23"/>
  <c r="T6" i="23"/>
  <c r="D6" i="23"/>
  <c r="C7" i="23"/>
  <c r="C8" i="23" s="1"/>
  <c r="C9" i="23" s="1"/>
  <c r="D7" i="23"/>
  <c r="D8" i="23" s="1"/>
  <c r="D9" i="23" s="1"/>
  <c r="C10" i="23"/>
  <c r="B12" i="22"/>
  <c r="A12" i="22" s="1"/>
  <c r="C12" i="22"/>
  <c r="J9" i="22"/>
  <c r="T6" i="22"/>
  <c r="W5" i="22"/>
  <c r="O6" i="22"/>
  <c r="V5" i="22"/>
  <c r="U5" i="22"/>
  <c r="B5" i="22"/>
  <c r="C5" i="22"/>
  <c r="D10" i="22"/>
  <c r="U4" i="22"/>
  <c r="B6" i="22"/>
  <c r="B7" i="22" s="1"/>
  <c r="V4" i="22"/>
  <c r="C9" i="22"/>
  <c r="W4" i="22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D10" i="21"/>
  <c r="C8" i="21"/>
  <c r="D8" i="21"/>
  <c r="D7" i="21"/>
  <c r="C7" i="21"/>
  <c r="D6" i="21"/>
  <c r="J5" i="21"/>
  <c r="J6" i="21" s="1"/>
  <c r="J7" i="21" s="1"/>
  <c r="T4" i="21"/>
  <c r="T5" i="21" s="1"/>
  <c r="O4" i="21"/>
  <c r="O5" i="21" s="1"/>
  <c r="O6" i="21" s="1"/>
  <c r="O7" i="21" s="1"/>
  <c r="O8" i="21" s="1"/>
  <c r="J4" i="21"/>
  <c r="E4" i="21"/>
  <c r="W3" i="21"/>
  <c r="V3" i="21"/>
  <c r="U3" i="21"/>
  <c r="W2" i="21"/>
  <c r="V2" i="21"/>
  <c r="U2" i="21"/>
  <c r="BO1" i="21"/>
  <c r="AT1" i="21"/>
  <c r="Y1" i="21"/>
  <c r="E10" i="20"/>
  <c r="E9" i="20"/>
  <c r="E8" i="20"/>
  <c r="D8" i="20" s="1"/>
  <c r="E7" i="20"/>
  <c r="E6" i="20"/>
  <c r="D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2" i="20"/>
  <c r="C10" i="20"/>
  <c r="D10" i="20"/>
  <c r="D9" i="20"/>
  <c r="T6" i="20"/>
  <c r="T7" i="20" s="1"/>
  <c r="T5" i="20"/>
  <c r="O5" i="20"/>
  <c r="O6" i="20" s="1"/>
  <c r="B5" i="20"/>
  <c r="D5" i="20"/>
  <c r="C5" i="20"/>
  <c r="T4" i="20"/>
  <c r="O4" i="20"/>
  <c r="J4" i="20"/>
  <c r="E4" i="20"/>
  <c r="W3" i="20"/>
  <c r="V3" i="20"/>
  <c r="U3" i="20"/>
  <c r="W2" i="20"/>
  <c r="V2" i="20"/>
  <c r="U2" i="20"/>
  <c r="BO1" i="20"/>
  <c r="AT1" i="20"/>
  <c r="Y1" i="20"/>
  <c r="B8" i="23" l="1"/>
  <c r="A6" i="23"/>
  <c r="A7" i="23" s="1"/>
  <c r="J7" i="23"/>
  <c r="T7" i="23"/>
  <c r="O7" i="23"/>
  <c r="B8" i="22"/>
  <c r="A5" i="22"/>
  <c r="A6" i="22" s="1"/>
  <c r="A7" i="22" s="1"/>
  <c r="O7" i="22"/>
  <c r="V6" i="22"/>
  <c r="U6" i="22"/>
  <c r="W6" i="22"/>
  <c r="T7" i="22"/>
  <c r="J10" i="22"/>
  <c r="J11" i="22" s="1"/>
  <c r="V4" i="21"/>
  <c r="J8" i="21"/>
  <c r="U5" i="21"/>
  <c r="T6" i="21"/>
  <c r="W5" i="21"/>
  <c r="V5" i="21"/>
  <c r="O9" i="21"/>
  <c r="B5" i="21"/>
  <c r="A5" i="21" s="1"/>
  <c r="C10" i="21"/>
  <c r="C5" i="21"/>
  <c r="D5" i="21"/>
  <c r="U6" i="21"/>
  <c r="U4" i="21"/>
  <c r="C6" i="21"/>
  <c r="C9" i="21"/>
  <c r="W4" i="21"/>
  <c r="D9" i="21"/>
  <c r="C8" i="20"/>
  <c r="C9" i="20" s="1"/>
  <c r="B6" i="20"/>
  <c r="V4" i="20"/>
  <c r="W4" i="20"/>
  <c r="T8" i="20"/>
  <c r="O7" i="20"/>
  <c r="C11" i="20"/>
  <c r="U4" i="20"/>
  <c r="J5" i="20"/>
  <c r="V5" i="20" s="1"/>
  <c r="C6" i="20"/>
  <c r="D11" i="20"/>
  <c r="B7" i="20"/>
  <c r="C12" i="20"/>
  <c r="A5" i="20"/>
  <c r="C7" i="20"/>
  <c r="D7" i="20"/>
  <c r="B8" i="20"/>
  <c r="J12" i="22" l="1"/>
  <c r="A8" i="23"/>
  <c r="B9" i="23"/>
  <c r="T8" i="23"/>
  <c r="J8" i="23"/>
  <c r="O8" i="23"/>
  <c r="A8" i="22"/>
  <c r="T8" i="22"/>
  <c r="W7" i="22"/>
  <c r="O8" i="22"/>
  <c r="V7" i="22"/>
  <c r="U7" i="22"/>
  <c r="B9" i="22"/>
  <c r="O10" i="21"/>
  <c r="J9" i="21"/>
  <c r="T7" i="21"/>
  <c r="V6" i="21"/>
  <c r="W6" i="21"/>
  <c r="B6" i="21"/>
  <c r="A6" i="20"/>
  <c r="A7" i="20" s="1"/>
  <c r="T9" i="20"/>
  <c r="O8" i="20"/>
  <c r="W5" i="20"/>
  <c r="J6" i="20"/>
  <c r="U5" i="20"/>
  <c r="B9" i="20"/>
  <c r="A8" i="20"/>
  <c r="O9" i="23" l="1"/>
  <c r="J9" i="23"/>
  <c r="T9" i="23"/>
  <c r="B10" i="23"/>
  <c r="A9" i="23"/>
  <c r="B10" i="22"/>
  <c r="A10" i="22" s="1"/>
  <c r="A9" i="22"/>
  <c r="O9" i="22"/>
  <c r="V8" i="22"/>
  <c r="U8" i="22"/>
  <c r="T9" i="22"/>
  <c r="W8" i="22"/>
  <c r="B7" i="21"/>
  <c r="W7" i="21"/>
  <c r="T8" i="21"/>
  <c r="V7" i="21"/>
  <c r="U7" i="21"/>
  <c r="A6" i="21"/>
  <c r="J10" i="21"/>
  <c r="B10" i="20"/>
  <c r="A9" i="20"/>
  <c r="T10" i="20"/>
  <c r="J7" i="20"/>
  <c r="U6" i="20"/>
  <c r="V6" i="20"/>
  <c r="W6" i="20"/>
  <c r="O9" i="20"/>
  <c r="A10" i="23" l="1"/>
  <c r="B11" i="23"/>
  <c r="T10" i="23"/>
  <c r="J10" i="23"/>
  <c r="O10" i="23"/>
  <c r="T10" i="22"/>
  <c r="T11" i="22" s="1"/>
  <c r="T12" i="22" s="1"/>
  <c r="W9" i="22"/>
  <c r="V9" i="22"/>
  <c r="O10" i="22"/>
  <c r="O11" i="22" s="1"/>
  <c r="U9" i="22"/>
  <c r="B8" i="21"/>
  <c r="A7" i="21"/>
  <c r="T9" i="21"/>
  <c r="W8" i="21"/>
  <c r="V8" i="21"/>
  <c r="U8" i="21"/>
  <c r="B11" i="20"/>
  <c r="A10" i="20"/>
  <c r="O10" i="20"/>
  <c r="J8" i="20"/>
  <c r="U7" i="20"/>
  <c r="W7" i="20"/>
  <c r="V7" i="20"/>
  <c r="T11" i="20"/>
  <c r="O12" i="22" l="1"/>
  <c r="W11" i="22"/>
  <c r="U11" i="22"/>
  <c r="V11" i="22"/>
  <c r="T11" i="23"/>
  <c r="B12" i="23"/>
  <c r="A12" i="23" s="1"/>
  <c r="A11" i="23"/>
  <c r="O11" i="23"/>
  <c r="J11" i="23"/>
  <c r="W10" i="22"/>
  <c r="V10" i="22"/>
  <c r="U10" i="22"/>
  <c r="B9" i="21"/>
  <c r="T10" i="21"/>
  <c r="W9" i="21"/>
  <c r="V9" i="21"/>
  <c r="U9" i="21"/>
  <c r="A8" i="21"/>
  <c r="B12" i="20"/>
  <c r="A11" i="20"/>
  <c r="T12" i="20"/>
  <c r="J9" i="20"/>
  <c r="U8" i="20"/>
  <c r="W8" i="20"/>
  <c r="V8" i="20"/>
  <c r="O11" i="20"/>
  <c r="V12" i="22" l="1"/>
  <c r="W12" i="22"/>
  <c r="U12" i="22"/>
  <c r="J12" i="23"/>
  <c r="O12" i="23"/>
  <c r="T12" i="23"/>
  <c r="W10" i="21"/>
  <c r="U10" i="21"/>
  <c r="V10" i="21"/>
  <c r="B10" i="21"/>
  <c r="A10" i="21" s="1"/>
  <c r="A9" i="21"/>
  <c r="B13" i="20"/>
  <c r="A13" i="20" s="1"/>
  <c r="A12" i="20"/>
  <c r="O12" i="20"/>
  <c r="U9" i="20"/>
  <c r="J10" i="20"/>
  <c r="W9" i="20"/>
  <c r="V9" i="20"/>
  <c r="T13" i="20"/>
  <c r="J11" i="20" l="1"/>
  <c r="U10" i="20"/>
  <c r="W10" i="20"/>
  <c r="V10" i="20"/>
  <c r="O13" i="20"/>
  <c r="J12" i="20" l="1"/>
  <c r="U11" i="20"/>
  <c r="W11" i="20"/>
  <c r="V11" i="20"/>
  <c r="J13" i="20" l="1"/>
  <c r="U12" i="20"/>
  <c r="W12" i="20"/>
  <c r="V12" i="20"/>
  <c r="U13" i="20" l="1"/>
  <c r="W13" i="20"/>
  <c r="V13" i="20"/>
  <c r="E13" i="19" l="1"/>
  <c r="E12" i="19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U13" i="19" s="1"/>
  <c r="D13" i="19"/>
  <c r="C13" i="19"/>
  <c r="B13" i="19"/>
  <c r="A13" i="19"/>
  <c r="T12" i="19"/>
  <c r="W12" i="19" s="1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W13" i="19" l="1"/>
  <c r="V13" i="19"/>
  <c r="U12" i="19"/>
  <c r="V12" i="19"/>
  <c r="W11" i="19"/>
  <c r="U11" i="19"/>
  <c r="V11" i="19"/>
  <c r="U9" i="19"/>
  <c r="V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<sst xmlns="http://schemas.openxmlformats.org/spreadsheetml/2006/main" count="976" uniqueCount="210">
  <si>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</si>
  <si>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</si>
  <si>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</si>
  <si>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</si>
  <si>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</si>
  <si>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</si>
  <si>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</si>
  <si>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</si>
  <si>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</si>
  <si>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</si>
  <si>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</si>
  <si>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</si>
  <si>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</si>
  <si>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</si>
  <si>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</si>
  <si>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</si>
  <si>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</si>
  <si>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</si>
  <si>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</si>
  <si>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</si>
  <si>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</si>
  <si>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</si>
  <si>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</si>
  <si>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</si>
  <si>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</si>
  <si>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</si>
  <si>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</si>
  <si>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</si>
  <si>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</si>
  <si>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</si>
  <si>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</si>
  <si>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</si>
  <si>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</si>
  <si>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</si>
  <si>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</si>
  <si>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</si>
  <si>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</si>
  <si>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</si>
  <si>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</si>
  <si>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</si>
  <si>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</si>
  <si>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</si>
  <si>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</si>
  <si>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</si>
  <si>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</si>
  <si>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</si>
  <si>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</si>
  <si>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</si>
  <si>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</si>
  <si>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</si>
  <si>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</si>
  <si>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</si>
  <si>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</si>
  <si>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</si>
  <si>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</si>
  <si>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</si>
  <si>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</si>
  <si>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</si>
  <si>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</si>
  <si>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</si>
  <si>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</si>
  <si>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</si>
  <si>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</si>
  <si>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</si>
  <si>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</si>
  <si>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</si>
  <si>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</si>
  <si>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</si>
  <si>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</si>
  <si>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</si>
  <si>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</si>
  <si>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</si>
  <si>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</si>
  <si>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</si>
  <si>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</si>
  <si>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</si>
  <si>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</si>
  <si>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</si>
  <si>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</si>
  <si>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</si>
  <si>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</si>
  <si>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</si>
  <si>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</si>
  <si>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</si>
  <si>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</si>
  <si>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</si>
  <si>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</si>
  <si>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</si>
  <si>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</si>
  <si>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</si>
  <si>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</si>
  <si>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</si>
  <si>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</si>
  <si>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</si>
  <si>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</si>
  <si>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</si>
  <si>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</si>
  <si>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</si>
  <si>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</si>
  <si>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</si>
  <si>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</si>
  <si>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</si>
  <si>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</si>
  <si>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</si>
  <si>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</si>
  <si>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</si>
  <si>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</si>
  <si>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</si>
  <si>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</si>
  <si>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</si>
  <si>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</si>
  <si>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</si>
  <si>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</si>
  <si>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</si>
  <si>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</si>
  <si>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</si>
  <si>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</si>
  <si>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</si>
  <si>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</si>
  <si>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</si>
  <si>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</si>
  <si>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</si>
  <si>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</si>
  <si>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</si>
  <si>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</si>
  <si>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</si>
  <si>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</si>
  <si>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</si>
  <si>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</si>
  <si>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</si>
  <si>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</si>
  <si>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</si>
  <si>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</si>
  <si>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</si>
  <si>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</si>
  <si>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</si>
  <si>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</si>
  <si>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</si>
  <si>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</si>
  <si>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</si>
  <si>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</si>
  <si>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</si>
  <si>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</si>
  <si>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</si>
  <si>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</si>
  <si>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</si>
  <si>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</si>
  <si>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</si>
  <si>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</si>
  <si>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</si>
  <si>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</si>
  <si>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</si>
  <si>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</si>
  <si>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</si>
  <si>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</si>
  <si>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</si>
  <si>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</si>
  <si>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</si>
  <si>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</si>
  <si>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</si>
  <si>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</si>
  <si>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</si>
  <si>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</si>
  <si>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</si>
  <si>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</si>
  <si>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</si>
  <si>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</si>
  <si>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</si>
  <si>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</si>
  <si>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</si>
  <si>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</si>
  <si>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</si>
  <si>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</si>
  <si>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</si>
  <si>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</si>
  <si>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</si>
  <si>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</si>
  <si>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</si>
  <si>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</si>
  <si>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</si>
  <si>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</si>
  <si>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</si>
  <si>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</si>
  <si>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</si>
  <si>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</si>
  <si>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</si>
  <si>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</si>
  <si>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</si>
  <si>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</si>
  <si>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</si>
  <si>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</si>
  <si>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</si>
  <si>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まっつん</t>
  </si>
  <si>
    <t>いちかわ</t>
  </si>
  <si>
    <t>ロン</t>
  </si>
  <si>
    <t>放銃</t>
  </si>
  <si>
    <t>01</t>
  </si>
  <si>
    <t>02</t>
  </si>
  <si>
    <t>52</t>
  </si>
  <si>
    <t>ツモ支払</t>
  </si>
  <si>
    <t>ツモ</t>
  </si>
  <si>
    <t>*</t>
  </si>
  <si>
    <t>いちかわ</t>
    <phoneticPr fontId="1"/>
  </si>
  <si>
    <t>たかの</t>
    <phoneticPr fontId="1"/>
  </si>
  <si>
    <t>N</t>
  </si>
  <si>
    <t>T</t>
  </si>
  <si>
    <t>流局</t>
    <phoneticPr fontId="1"/>
  </si>
  <si>
    <t>れんたろう</t>
    <phoneticPr fontId="1"/>
  </si>
  <si>
    <t>だいち</t>
    <phoneticPr fontId="1"/>
  </si>
  <si>
    <t>りくと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</si>
</sst>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いちかわ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まっつん</v>
      </c>
      <c r="W2" s="16" t="str">
        <f>$P$1</f>
        <v>いちかわ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195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40</v>
      </c>
      <c r="AZ4" s="40" t="s">
        <v>196</v>
      </c>
      <c r="BA4" s="41" t="s">
        <v>197</v>
      </c>
      <c r="BB4" s="41" t="s">
        <v>198</v>
      </c>
      <c r="BC4" s="41" t="s">
        <v>80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195</v>
      </c>
      <c r="G5" s="9">
        <v>-3900</v>
      </c>
      <c r="H5" s="9"/>
      <c r="I5" s="48">
        <v>0</v>
      </c>
      <c r="J5" s="21">
        <f t="shared" ref="J5:J30" si="2">IF(COUNTA($F5,$K5,$P5)&gt;0,J4+SUM(G5:I5),"")</f>
        <v>31100</v>
      </c>
      <c r="K5" s="8" t="s">
        <v>194</v>
      </c>
      <c r="L5" s="9">
        <v>3900</v>
      </c>
      <c r="M5" s="9"/>
      <c r="N5" s="48">
        <v>0</v>
      </c>
      <c r="O5" s="21">
        <f t="shared" ref="O5:O30" si="3">IF(COUNTA($F5,$K5,$P5)&gt;0,O4+SUM(L5:N5),"")</f>
        <v>46900</v>
      </c>
      <c r="P5" s="8"/>
      <c r="Q5" s="9"/>
      <c r="R5" s="9"/>
      <c r="S5" s="48"/>
      <c r="T5" s="21">
        <f t="shared" ref="T5:T30" si="4">IF(COUNTA($F5,$K5,$P5)&gt;0,T4+SUM(Q5:S5),"")</f>
        <v>27000</v>
      </c>
      <c r="U5" s="53">
        <f>IF($J5="","",ROUND(($J5-$J$3)/1000,1)+(_xlfn.RANK.AVG($J5,($J5,$O5,$T5),1)-2)*10)</f>
        <v>-3.9</v>
      </c>
      <c r="V5" s="54">
        <f>IF($O5="","",ROUND(($O5-$O$3)/1000,1)+(_xlfn.RANK.AVG($O5,($J5,$O5,$T5),1)-2)*10)</f>
        <v>21.9</v>
      </c>
      <c r="W5" s="55">
        <f>IF($T5="","",ROUND(($T5-$T$3)/1000,1)+(_xlfn.RANK.AVG($T5,($J5,$O5,$T5),1)-2)*10)</f>
        <v>-18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2</v>
      </c>
      <c r="AY5" s="30">
        <v>40</v>
      </c>
      <c r="AZ5" s="40" t="s">
        <v>86</v>
      </c>
      <c r="BA5" s="41" t="s">
        <v>79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まっつん</v>
      </c>
      <c r="F6" s="8" t="s">
        <v>199</v>
      </c>
      <c r="G6" s="9">
        <v>-4500</v>
      </c>
      <c r="H6" s="9"/>
      <c r="I6" s="48">
        <v>-500</v>
      </c>
      <c r="J6" s="21">
        <f t="shared" si="2"/>
        <v>26100</v>
      </c>
      <c r="K6" s="8" t="s">
        <v>199</v>
      </c>
      <c r="L6" s="9">
        <v>-7500</v>
      </c>
      <c r="M6" s="9"/>
      <c r="N6" s="48">
        <v>-500</v>
      </c>
      <c r="O6" s="21">
        <f t="shared" si="3"/>
        <v>38900</v>
      </c>
      <c r="P6" s="8" t="s">
        <v>200</v>
      </c>
      <c r="Q6" s="9">
        <v>12000</v>
      </c>
      <c r="R6" s="9"/>
      <c r="S6" s="48">
        <v>1000</v>
      </c>
      <c r="T6" s="21">
        <f t="shared" si="4"/>
        <v>40000</v>
      </c>
      <c r="U6" s="53">
        <f>IF($J6="","",ROUND(($J6-$J$3)/1000,1)+(_xlfn.RANK.AVG($J6,($J6,$O6,$T6),1)-2)*10)</f>
        <v>-18.899999999999999</v>
      </c>
      <c r="V6" s="54">
        <f>IF($O6="","",ROUND(($O6-$O$3)/1000,1)+(_xlfn.RANK.AVG($O6,($J6,$O6,$T6),1)-2)*10)</f>
        <v>3.9</v>
      </c>
      <c r="W6" s="55">
        <f>IF($T6="","",ROUND(($T6-$T$3)/1000,1)+(_xlfn.RANK.AVG($T6,($J6,$O6,$T6),1)-2)*10)</f>
        <v>15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6</v>
      </c>
      <c r="BT6" s="30" t="s">
        <v>201</v>
      </c>
      <c r="BU6" s="40" t="s">
        <v>82</v>
      </c>
      <c r="BV6" s="41" t="s">
        <v>84</v>
      </c>
      <c r="BW6" s="41" t="s">
        <v>104</v>
      </c>
      <c r="BX6" s="41" t="s">
        <v>198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いちかわ</v>
      </c>
      <c r="F7" s="8" t="s">
        <v>200</v>
      </c>
      <c r="G7" s="9">
        <v>5300</v>
      </c>
      <c r="H7" s="9"/>
      <c r="I7" s="48">
        <v>0</v>
      </c>
      <c r="J7" s="21">
        <f t="shared" si="2"/>
        <v>31400</v>
      </c>
      <c r="K7" s="8" t="s">
        <v>199</v>
      </c>
      <c r="L7" s="9">
        <v>-2000</v>
      </c>
      <c r="M7" s="9"/>
      <c r="N7" s="48">
        <v>0</v>
      </c>
      <c r="O7" s="21">
        <f t="shared" si="3"/>
        <v>36900</v>
      </c>
      <c r="P7" s="8" t="s">
        <v>199</v>
      </c>
      <c r="Q7" s="9">
        <v>-3300</v>
      </c>
      <c r="R7" s="9"/>
      <c r="S7" s="48">
        <v>0</v>
      </c>
      <c r="T7" s="21">
        <f t="shared" si="4"/>
        <v>36700</v>
      </c>
      <c r="U7" s="53">
        <f>IF($J7="","",ROUND(($J7-$J$3)/1000,1)+(_xlfn.RANK.AVG($J7,($J7,$O7,$T7),1)-2)*10)</f>
        <v>-13.6</v>
      </c>
      <c r="V7" s="54">
        <f>IF($O7="","",ROUND(($O7-$O$3)/1000,1)+(_xlfn.RANK.AVG($O7,($J7,$O7,$T7),1)-2)*10)</f>
        <v>11.9</v>
      </c>
      <c r="W7" s="55">
        <f>IF($T7="","",ROUND(($T7-$T$3)/1000,1)+(_xlfn.RANK.AVG($T7,($J7,$O7,$T7),1)-2)*10)</f>
        <v>1.7</v>
      </c>
      <c r="Y7" s="8"/>
      <c r="Z7" s="34"/>
      <c r="AA7" s="26"/>
      <c r="AB7" s="26"/>
      <c r="AC7" s="26">
        <v>4</v>
      </c>
      <c r="AD7" s="30">
        <v>20</v>
      </c>
      <c r="AE7" s="40" t="s">
        <v>82</v>
      </c>
      <c r="AF7" s="41" t="s">
        <v>83</v>
      </c>
      <c r="AG7" s="41" t="s">
        <v>85</v>
      </c>
      <c r="AH7" s="41" t="s">
        <v>84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200</v>
      </c>
      <c r="G8" s="9">
        <v>18000</v>
      </c>
      <c r="H8" s="9"/>
      <c r="I8" s="48">
        <v>0</v>
      </c>
      <c r="J8" s="21">
        <f t="shared" si="2"/>
        <v>49400</v>
      </c>
      <c r="K8" s="8" t="s">
        <v>199</v>
      </c>
      <c r="L8" s="9">
        <v>-9000</v>
      </c>
      <c r="M8" s="9"/>
      <c r="N8" s="48">
        <v>0</v>
      </c>
      <c r="O8" s="21">
        <f t="shared" si="3"/>
        <v>27900</v>
      </c>
      <c r="P8" s="8" t="s">
        <v>199</v>
      </c>
      <c r="Q8" s="9">
        <v>-9000</v>
      </c>
      <c r="R8" s="9"/>
      <c r="S8" s="48">
        <v>0</v>
      </c>
      <c r="T8" s="21">
        <f t="shared" si="4"/>
        <v>27700</v>
      </c>
      <c r="U8" s="53">
        <f>IF($J8="","",ROUND(($J8-$J$3)/1000,1)+(_xlfn.RANK.AVG($J8,($J8,$O8,$T8),1)-2)*10)</f>
        <v>24.4</v>
      </c>
      <c r="V8" s="54">
        <f>IF($O8="","",ROUND(($O8-$O$3)/1000,1)+(_xlfn.RANK.AVG($O8,($J8,$O8,$T8),1)-2)*10)</f>
        <v>-7.1</v>
      </c>
      <c r="W8" s="55">
        <f>IF($T8="","",ROUND(($T8-$T$3)/1000,1)+(_xlfn.RANK.AVG($T8,($J8,$O8,$T8),1)-2)*10)</f>
        <v>-17.3</v>
      </c>
      <c r="Y8" s="8"/>
      <c r="Z8" s="34"/>
      <c r="AA8" s="26"/>
      <c r="AB8" s="26"/>
      <c r="AC8" s="26">
        <v>6</v>
      </c>
      <c r="AD8" s="30" t="s">
        <v>201</v>
      </c>
      <c r="AE8" s="40" t="s">
        <v>82</v>
      </c>
      <c r="AF8" s="41" t="s">
        <v>83</v>
      </c>
      <c r="AG8" s="41" t="s">
        <v>84</v>
      </c>
      <c r="AH8" s="41" t="s">
        <v>198</v>
      </c>
      <c r="AI8" s="41" t="s">
        <v>79</v>
      </c>
      <c r="AJ8" s="41" t="s">
        <v>79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だいち</v>
      </c>
      <c r="F9" s="8" t="s">
        <v>199</v>
      </c>
      <c r="G9" s="9">
        <v>-7500</v>
      </c>
      <c r="H9" s="9"/>
      <c r="I9" s="48">
        <v>-500</v>
      </c>
      <c r="J9" s="21">
        <f t="shared" si="2"/>
        <v>41400</v>
      </c>
      <c r="K9" s="8" t="s">
        <v>200</v>
      </c>
      <c r="L9" s="9">
        <v>12000</v>
      </c>
      <c r="M9" s="9"/>
      <c r="N9" s="48">
        <v>1000</v>
      </c>
      <c r="O9" s="21">
        <f t="shared" si="3"/>
        <v>40900</v>
      </c>
      <c r="P9" s="8" t="s">
        <v>199</v>
      </c>
      <c r="Q9" s="9">
        <v>-4500</v>
      </c>
      <c r="R9" s="9"/>
      <c r="S9" s="48">
        <v>-500</v>
      </c>
      <c r="T9" s="21">
        <f t="shared" si="4"/>
        <v>22700</v>
      </c>
      <c r="U9" s="53">
        <f>IF($J9="","",ROUND(($J9-$J$3)/1000,1)+(_xlfn.RANK.AVG($J9,($J9,$O9,$T9),1)-2)*10)</f>
        <v>16.399999999999999</v>
      </c>
      <c r="V9" s="54">
        <f>IF($O9="","",ROUND(($O9-$O$3)/1000,1)+(_xlfn.RANK.AVG($O9,($J9,$O9,$T9),1)-2)*10)</f>
        <v>5.9</v>
      </c>
      <c r="W9" s="55">
        <f>IF($T9="","",ROUND(($T9-$T$3)/1000,1)+(_xlfn.RANK.AVG($T9,($J9,$O9,$T9),1)-2)*10)</f>
        <v>-22.3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201</v>
      </c>
      <c r="AZ9" s="40" t="s">
        <v>196</v>
      </c>
      <c r="BA9" s="41" t="s">
        <v>82</v>
      </c>
      <c r="BB9" s="41" t="s">
        <v>84</v>
      </c>
      <c r="BC9" s="41" t="s">
        <v>79</v>
      </c>
      <c r="BD9" s="41" t="s">
        <v>80</v>
      </c>
      <c r="BE9" s="41" t="s">
        <v>80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まっつん</v>
      </c>
      <c r="F10" s="8" t="s">
        <v>199</v>
      </c>
      <c r="G10" s="9">
        <v>-5800</v>
      </c>
      <c r="H10" s="9"/>
      <c r="I10" s="48">
        <v>0</v>
      </c>
      <c r="J10" s="21">
        <f t="shared" si="2"/>
        <v>35600</v>
      </c>
      <c r="K10" s="8" t="s">
        <v>200</v>
      </c>
      <c r="L10" s="9">
        <v>11600</v>
      </c>
      <c r="M10" s="9"/>
      <c r="N10" s="48">
        <v>0</v>
      </c>
      <c r="O10" s="21">
        <f t="shared" si="3"/>
        <v>52500</v>
      </c>
      <c r="P10" s="8" t="s">
        <v>199</v>
      </c>
      <c r="Q10" s="9">
        <v>-5800</v>
      </c>
      <c r="R10" s="9"/>
      <c r="S10" s="48">
        <v>0</v>
      </c>
      <c r="T10" s="21">
        <f t="shared" si="4"/>
        <v>16900</v>
      </c>
      <c r="U10" s="53">
        <f>IF($J10="","",ROUND(($J10-$J$3)/1000,1)+(_xlfn.RANK.AVG($J10,($J10,$O10,$T10),1)-2)*10)</f>
        <v>0.6</v>
      </c>
      <c r="V10" s="54">
        <f>IF($O10="","",ROUND(($O10-$O$3)/1000,1)+(_xlfn.RANK.AVG($O10,($J10,$O10,$T10),1)-2)*10)</f>
        <v>27.5</v>
      </c>
      <c r="W10" s="55">
        <f>IF($T10="","",ROUND(($T10-$T$3)/1000,1)+(_xlfn.RANK.AVG($T10,($J10,$O10,$T10),1)-2)*10)</f>
        <v>-28.1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30</v>
      </c>
      <c r="AZ10" s="40" t="s">
        <v>196</v>
      </c>
      <c r="BA10" s="41" t="s">
        <v>82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まっつん</v>
      </c>
      <c r="F11" s="8" t="s">
        <v>195</v>
      </c>
      <c r="G11" s="9">
        <v>-7700</v>
      </c>
      <c r="H11" s="9"/>
      <c r="I11" s="48">
        <v>-1000</v>
      </c>
      <c r="J11" s="21">
        <f t="shared" si="2"/>
        <v>26900</v>
      </c>
      <c r="K11" s="8" t="s">
        <v>194</v>
      </c>
      <c r="L11" s="9">
        <v>7700</v>
      </c>
      <c r="M11" s="9"/>
      <c r="N11" s="48">
        <v>1000</v>
      </c>
      <c r="O11" s="21">
        <f t="shared" si="3"/>
        <v>61200</v>
      </c>
      <c r="P11" s="8"/>
      <c r="Q11" s="9"/>
      <c r="R11" s="9"/>
      <c r="S11" s="48"/>
      <c r="T11" s="21">
        <f t="shared" si="4"/>
        <v>16900</v>
      </c>
      <c r="U11" s="53">
        <f>IF($J11="","",ROUND(($J11-$J$3)/1000,1)+(_xlfn.RANK.AVG($J11,($J11,$O11,$T11),1)-2)*10)</f>
        <v>-8.1</v>
      </c>
      <c r="V11" s="54">
        <f>IF($O11="","",ROUND(($O11-$O$3)/1000,1)+(_xlfn.RANK.AVG($O11,($J11,$O11,$T11),1)-2)*10)</f>
        <v>36.200000000000003</v>
      </c>
      <c r="W11" s="55">
        <f>IF($T11="","",ROUND(($T11-$T$3)/1000,1)+(_xlfn.RANK.AVG($T11,($J11,$O11,$T11),1)-2)*10)</f>
        <v>-28.1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40</v>
      </c>
      <c r="AZ11" s="40" t="s">
        <v>196</v>
      </c>
      <c r="BA11" s="41" t="s">
        <v>79</v>
      </c>
      <c r="BB11" s="41" t="s">
        <v>80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tr">
        <f>IF($K$1="","",$K$1)</f>
        <v>まっつん</v>
      </c>
      <c r="F12" s="8"/>
      <c r="G12" s="9"/>
      <c r="H12" s="9"/>
      <c r="I12" s="48"/>
      <c r="J12" s="21">
        <f t="shared" si="2"/>
        <v>26900</v>
      </c>
      <c r="K12" s="8" t="s">
        <v>195</v>
      </c>
      <c r="L12" s="9">
        <v>-8000</v>
      </c>
      <c r="M12" s="9"/>
      <c r="N12" s="48">
        <v>-2000</v>
      </c>
      <c r="O12" s="21">
        <f t="shared" si="3"/>
        <v>51200</v>
      </c>
      <c r="P12" s="8" t="s">
        <v>194</v>
      </c>
      <c r="Q12" s="9">
        <v>8000</v>
      </c>
      <c r="R12" s="9"/>
      <c r="S12" s="48">
        <v>2000</v>
      </c>
      <c r="T12" s="21">
        <f t="shared" si="4"/>
        <v>26900</v>
      </c>
      <c r="U12" s="53">
        <f>IF($J12="","",ROUND(($J12-$J$3)/1000,1)+(_xlfn.RANK.AVG($J12,($J12,$O12,$T12),1)-2)*10)</f>
        <v>-13.1</v>
      </c>
      <c r="V12" s="54">
        <f>IF($O12="","",ROUND(($O12-$O$3)/1000,1)+(_xlfn.RANK.AVG($O12,($J12,$O12,$T12),1)-2)*10)</f>
        <v>26.2</v>
      </c>
      <c r="W12" s="55">
        <f>IF($T12="","",ROUND(($T12-$T$3)/1000,1)+(_xlfn.RANK.AVG($T12,($J12,$O12,$T12),1)-2)*10)</f>
        <v>-13.1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40</v>
      </c>
      <c r="BU12" s="40" t="s">
        <v>196</v>
      </c>
      <c r="BV12" s="41" t="s">
        <v>197</v>
      </c>
      <c r="BW12" s="41" t="s">
        <v>198</v>
      </c>
      <c r="BX12" s="41" t="s">
        <v>80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いちかわ</v>
      </c>
      <c r="F13" s="8" t="s">
        <v>200</v>
      </c>
      <c r="G13" s="9">
        <v>1200</v>
      </c>
      <c r="H13" s="9"/>
      <c r="I13" s="48">
        <v>0</v>
      </c>
      <c r="J13" s="21">
        <f t="shared" si="2"/>
        <v>28100</v>
      </c>
      <c r="K13" s="8" t="s">
        <v>199</v>
      </c>
      <c r="L13" s="9">
        <v>-500</v>
      </c>
      <c r="M13" s="9"/>
      <c r="N13" s="48">
        <v>0</v>
      </c>
      <c r="O13" s="21">
        <f t="shared" si="3"/>
        <v>50700</v>
      </c>
      <c r="P13" s="8" t="s">
        <v>199</v>
      </c>
      <c r="Q13" s="9">
        <v>-700</v>
      </c>
      <c r="R13" s="9"/>
      <c r="S13" s="48">
        <v>0</v>
      </c>
      <c r="T13" s="21">
        <f t="shared" si="4"/>
        <v>26200</v>
      </c>
      <c r="U13" s="53">
        <f>IF($J13="","",ROUND(($J13-$J$3)/1000,1)+(_xlfn.RANK.AVG($J13,($J13,$O13,$T13),1)-2)*10)</f>
        <v>-6.9</v>
      </c>
      <c r="V13" s="54">
        <f>IF($O13="","",ROUND(($O13-$O$3)/1000,1)+(_xlfn.RANK.AVG($O13,($J13,$O13,$T13),1)-2)*10)</f>
        <v>25.7</v>
      </c>
      <c r="W13" s="55">
        <f>IF($T13="","",ROUND(($T13-$T$3)/1000,1)+(_xlfn.RANK.AVG($T13,($J13,$O13,$T13),1)-2)*10)</f>
        <v>-18.8</v>
      </c>
      <c r="Y13" s="8"/>
      <c r="Z13" s="34"/>
      <c r="AA13" s="26"/>
      <c r="AB13" s="26">
        <v>1</v>
      </c>
      <c r="AC13" s="26">
        <v>1</v>
      </c>
      <c r="AD13" s="30">
        <v>30</v>
      </c>
      <c r="AE13" s="40" t="s">
        <v>86</v>
      </c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CDB5C70-EE87-4120-B537-705C0F020E0C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5F5BB-0097-4530-9310-951C8F65CBB8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202</v>
      </c>
      <c r="L1" s="72"/>
      <c r="M1" s="72"/>
      <c r="N1" s="73"/>
      <c r="O1" s="74"/>
      <c r="P1" s="71" t="s">
        <v>203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いちかわ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いちかわ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199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200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199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5</v>
      </c>
      <c r="AY4" s="30" t="s">
        <v>201</v>
      </c>
      <c r="AZ4" s="40" t="s">
        <v>104</v>
      </c>
      <c r="BA4" s="41" t="s">
        <v>86</v>
      </c>
      <c r="BB4" s="41" t="s">
        <v>198</v>
      </c>
      <c r="BC4" s="41" t="s">
        <v>86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いちかわ</v>
      </c>
      <c r="F5" s="8" t="s">
        <v>195</v>
      </c>
      <c r="G5" s="9">
        <v>-7700</v>
      </c>
      <c r="H5" s="9"/>
      <c r="I5" s="48">
        <v>0</v>
      </c>
      <c r="J5" s="21">
        <f t="shared" ref="J5:J30" si="2">IF(COUNTA($F5,$K5,$P5)&gt;0,J4+SUM(G5:I5),"")</f>
        <v>22300</v>
      </c>
      <c r="K5" s="8" t="s">
        <v>194</v>
      </c>
      <c r="L5" s="9">
        <v>7700</v>
      </c>
      <c r="M5" s="9"/>
      <c r="N5" s="48">
        <v>0</v>
      </c>
      <c r="O5" s="21">
        <f t="shared" ref="O5:O30" si="3">IF(COUNTA($F5,$K5,$P5)&gt;0,O4+SUM(L5:N5),"")</f>
        <v>50700</v>
      </c>
      <c r="P5" s="8"/>
      <c r="Q5" s="9"/>
      <c r="R5" s="9"/>
      <c r="S5" s="48"/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-22.7</v>
      </c>
      <c r="V5" s="54">
        <f>IF($O5="","",ROUND(($O5-$O$3)/1000,1)+(_xlfn.RANK.AVG($O5,($J5,$O5,$T5),1)-2)*10)</f>
        <v>25.7</v>
      </c>
      <c r="W5" s="55">
        <f>IF($T5="","",ROUND(($T5-$T$3)/1000,1)+(_xlfn.RANK.AVG($T5,($J5,$O5,$T5),1)-2)*10)</f>
        <v>-3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196</v>
      </c>
      <c r="BA5" s="41" t="s">
        <v>198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いちかわ</v>
      </c>
      <c r="F6" s="8" t="s">
        <v>194</v>
      </c>
      <c r="G6" s="9">
        <v>2600</v>
      </c>
      <c r="H6" s="9">
        <v>1000</v>
      </c>
      <c r="I6" s="48">
        <v>1000</v>
      </c>
      <c r="J6" s="21">
        <f t="shared" si="2"/>
        <v>26900</v>
      </c>
      <c r="K6" s="8" t="s">
        <v>195</v>
      </c>
      <c r="L6" s="9">
        <v>-2600</v>
      </c>
      <c r="M6" s="9">
        <v>-1000</v>
      </c>
      <c r="N6" s="48">
        <v>-1000</v>
      </c>
      <c r="O6" s="21">
        <f t="shared" si="3"/>
        <v>46100</v>
      </c>
      <c r="P6" s="8"/>
      <c r="Q6" s="9"/>
      <c r="R6" s="9"/>
      <c r="S6" s="48"/>
      <c r="T6" s="21">
        <f t="shared" si="4"/>
        <v>32000</v>
      </c>
      <c r="U6" s="53">
        <f>IF($J6="","",ROUND(($J6-$J$3)/1000,1)+(_xlfn.RANK.AVG($J6,($J6,$O6,$T6),1)-2)*10)</f>
        <v>-18.100000000000001</v>
      </c>
      <c r="V6" s="54">
        <f>IF($O6="","",ROUND(($O6-$O$3)/1000,1)+(_xlfn.RANK.AVG($O6,($J6,$O6,$T6),1)-2)*10)</f>
        <v>21.1</v>
      </c>
      <c r="W6" s="55">
        <f>IF($T6="","",ROUND(($T6-$T$3)/1000,1)+(_xlfn.RANK.AVG($T6,($J6,$O6,$T6),1)-2)*10)</f>
        <v>-3</v>
      </c>
      <c r="Y6" s="8"/>
      <c r="Z6" s="34"/>
      <c r="AA6" s="26"/>
      <c r="AB6" s="26"/>
      <c r="AC6" s="26">
        <v>2</v>
      </c>
      <c r="AD6" s="30">
        <v>40</v>
      </c>
      <c r="AE6" s="40" t="s">
        <v>85</v>
      </c>
      <c r="AF6" s="41" t="s">
        <v>198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たかの</v>
      </c>
      <c r="F7" s="8" t="s">
        <v>194</v>
      </c>
      <c r="G7" s="9">
        <v>1300</v>
      </c>
      <c r="H7" s="9">
        <v>1000</v>
      </c>
      <c r="I7" s="48">
        <v>0</v>
      </c>
      <c r="J7" s="21">
        <f t="shared" si="2"/>
        <v>29200</v>
      </c>
      <c r="K7" s="8"/>
      <c r="L7" s="9"/>
      <c r="M7" s="9"/>
      <c r="N7" s="48"/>
      <c r="O7" s="21">
        <f t="shared" si="3"/>
        <v>46100</v>
      </c>
      <c r="P7" s="8" t="s">
        <v>195</v>
      </c>
      <c r="Q7" s="9">
        <v>-1300</v>
      </c>
      <c r="R7" s="9">
        <v>-1000</v>
      </c>
      <c r="S7" s="48">
        <v>0</v>
      </c>
      <c r="T7" s="21">
        <f t="shared" si="4"/>
        <v>29700</v>
      </c>
      <c r="U7" s="53">
        <f>IF($J7="","",ROUND(($J7-$J$3)/1000,1)+(_xlfn.RANK.AVG($J7,($J7,$O7,$T7),1)-2)*10)</f>
        <v>-15.8</v>
      </c>
      <c r="V7" s="54">
        <f>IF($O7="","",ROUND(($O7-$O$3)/1000,1)+(_xlfn.RANK.AVG($O7,($J7,$O7,$T7),1)-2)*10)</f>
        <v>21.1</v>
      </c>
      <c r="W7" s="55">
        <f>IF($T7="","",ROUND(($T7-$T$3)/1000,1)+(_xlfn.RANK.AVG($T7,($J7,$O7,$T7),1)-2)*10)</f>
        <v>-5.3</v>
      </c>
      <c r="Y7" s="8"/>
      <c r="Z7" s="34"/>
      <c r="AA7" s="26"/>
      <c r="AB7" s="26"/>
      <c r="AC7" s="26">
        <v>1</v>
      </c>
      <c r="AD7" s="30">
        <v>40</v>
      </c>
      <c r="AE7" s="40" t="s">
        <v>84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206</v>
      </c>
      <c r="G8" s="9">
        <v>-1500</v>
      </c>
      <c r="H8" s="9"/>
      <c r="I8" s="48"/>
      <c r="J8" s="21">
        <f t="shared" si="2"/>
        <v>27700</v>
      </c>
      <c r="K8" s="8" t="s">
        <v>206</v>
      </c>
      <c r="L8" s="9">
        <v>-1500</v>
      </c>
      <c r="M8" s="9"/>
      <c r="N8" s="48"/>
      <c r="O8" s="21">
        <f t="shared" si="3"/>
        <v>44600</v>
      </c>
      <c r="P8" s="8" t="s">
        <v>206</v>
      </c>
      <c r="Q8" s="9">
        <v>3000</v>
      </c>
      <c r="R8" s="9">
        <v>-1000</v>
      </c>
      <c r="S8" s="48"/>
      <c r="T8" s="21">
        <f t="shared" si="4"/>
        <v>31700</v>
      </c>
      <c r="U8" s="53">
        <f>IF($J8="","",ROUND(($J8-$J$3)/1000,1)+(_xlfn.RANK.AVG($J8,($J8,$O8,$T8),1)-2)*10)</f>
        <v>-17.3</v>
      </c>
      <c r="V8" s="54">
        <f>IF($O8="","",ROUND(($O8-$O$3)/1000,1)+(_xlfn.RANK.AVG($O8,($J8,$O8,$T8),1)-2)*10)</f>
        <v>19.600000000000001</v>
      </c>
      <c r="W8" s="55">
        <f>IF($T8="","",ROUND(($T8-$T$3)/1000,1)+(_xlfn.RANK.AVG($T8,($J8,$O8,$T8),1)-2)*10)</f>
        <v>-3.3</v>
      </c>
      <c r="Y8" s="8" t="s">
        <v>204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tr">
        <f>IF($K$1="","",$K$1)</f>
        <v>いちかわ</v>
      </c>
      <c r="F9" s="8" t="s">
        <v>200</v>
      </c>
      <c r="G9" s="9">
        <v>2800</v>
      </c>
      <c r="H9" s="9">
        <v>1000</v>
      </c>
      <c r="I9" s="48">
        <v>1000</v>
      </c>
      <c r="J9" s="21">
        <f t="shared" si="2"/>
        <v>32500</v>
      </c>
      <c r="K9" s="8" t="s">
        <v>199</v>
      </c>
      <c r="L9" s="9">
        <v>-1700</v>
      </c>
      <c r="M9" s="9"/>
      <c r="N9" s="48">
        <v>-500</v>
      </c>
      <c r="O9" s="21">
        <f t="shared" si="3"/>
        <v>42400</v>
      </c>
      <c r="P9" s="8" t="s">
        <v>199</v>
      </c>
      <c r="Q9" s="9">
        <v>-1100</v>
      </c>
      <c r="R9" s="9"/>
      <c r="S9" s="48">
        <v>-500</v>
      </c>
      <c r="T9" s="21">
        <f t="shared" si="4"/>
        <v>30100</v>
      </c>
      <c r="U9" s="53">
        <f>IF($J9="","",ROUND(($J9-$J$3)/1000,1)+(_xlfn.RANK.AVG($J9,($J9,$O9,$T9),1)-2)*10)</f>
        <v>-2.5</v>
      </c>
      <c r="V9" s="54">
        <f>IF($O9="","",ROUND(($O9-$O$3)/1000,1)+(_xlfn.RANK.AVG($O9,($J9,$O9,$T9),1)-2)*10)</f>
        <v>17.399999999999999</v>
      </c>
      <c r="W9" s="55">
        <f>IF($T9="","",ROUND(($T9-$T$3)/1000,1)+(_xlfn.RANK.AVG($T9,($J9,$O9,$T9),1)-2)*10)</f>
        <v>-14.9</v>
      </c>
      <c r="Y9" s="8"/>
      <c r="Z9" s="34"/>
      <c r="AA9" s="26"/>
      <c r="AB9" s="26"/>
      <c r="AC9" s="26">
        <v>2</v>
      </c>
      <c r="AD9" s="30">
        <v>40</v>
      </c>
      <c r="AE9" s="40" t="s">
        <v>82</v>
      </c>
      <c r="AF9" s="41" t="s">
        <v>198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たかの</v>
      </c>
      <c r="F10" s="8" t="s">
        <v>199</v>
      </c>
      <c r="G10" s="9">
        <v>-5800</v>
      </c>
      <c r="H10" s="9">
        <v>-1000</v>
      </c>
      <c r="I10" s="48">
        <v>0</v>
      </c>
      <c r="J10" s="21">
        <f t="shared" si="2"/>
        <v>25700</v>
      </c>
      <c r="K10" s="8" t="s">
        <v>199</v>
      </c>
      <c r="L10" s="9">
        <v>-5800</v>
      </c>
      <c r="M10" s="9"/>
      <c r="N10" s="48">
        <v>0</v>
      </c>
      <c r="O10" s="21">
        <f t="shared" si="3"/>
        <v>36600</v>
      </c>
      <c r="P10" s="8" t="s">
        <v>200</v>
      </c>
      <c r="Q10" s="9">
        <v>11600</v>
      </c>
      <c r="R10" s="9">
        <v>1000</v>
      </c>
      <c r="S10" s="48">
        <v>0</v>
      </c>
      <c r="T10" s="21">
        <f t="shared" si="4"/>
        <v>42700</v>
      </c>
      <c r="U10" s="53">
        <f>IF($J10="","",ROUND(($J10-$J$3)/1000,1)+(_xlfn.RANK.AVG($J10,($J10,$O10,$T10),1)-2)*10)</f>
        <v>-19.3</v>
      </c>
      <c r="V10" s="54">
        <f>IF($O10="","",ROUND(($O10-$O$3)/1000,1)+(_xlfn.RANK.AVG($O10,($J10,$O10,$T10),1)-2)*10)</f>
        <v>1.6</v>
      </c>
      <c r="W10" s="55">
        <f>IF($T10="","",ROUND(($T10-$T$3)/1000,1)+(_xlfn.RANK.AVG($T10,($J10,$O10,$T10),1)-2)*10)</f>
        <v>17.7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4</v>
      </c>
      <c r="BT10" s="30">
        <v>30</v>
      </c>
      <c r="BU10" s="40" t="s">
        <v>86</v>
      </c>
      <c r="BV10" s="41" t="s">
        <v>86</v>
      </c>
      <c r="BW10" s="41" t="s">
        <v>198</v>
      </c>
      <c r="BX10" s="41" t="s">
        <v>198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A2D773F9-6B72-4A3F-B658-DF1FDEECB86C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69775C9B-EA6F-4F4C-83C4-AB31AE8D548E}">
      <formula1>"ロン,ツモ,放銃,ツモ支払,流局,チョンボ"</formula1>
    </dataValidation>
    <dataValidation type="list" allowBlank="1" showInputMessage="1" showErrorMessage="1" sqref="E4:E30" xr:uid="{E481EFCD-2571-4857-B572-181BFCBBB8E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DC493-DA10-4307-8F7E-8FDBD88047C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207</v>
      </c>
      <c r="G1" s="72"/>
      <c r="H1" s="72"/>
      <c r="I1" s="73"/>
      <c r="J1" s="74"/>
      <c r="K1" s="71" t="s">
        <v>203</v>
      </c>
      <c r="L1" s="72"/>
      <c r="M1" s="72"/>
      <c r="N1" s="73"/>
      <c r="O1" s="74"/>
      <c r="P1" s="71" t="s">
        <v>208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たかの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195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196</v>
      </c>
      <c r="AF4" s="41" t="s">
        <v>198</v>
      </c>
      <c r="AG4" s="41" t="s">
        <v>79</v>
      </c>
      <c r="AH4" s="41" t="s">
        <v>80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195</v>
      </c>
      <c r="G5" s="9">
        <v>-2000</v>
      </c>
      <c r="H5" s="9"/>
      <c r="I5" s="48">
        <v>-1000</v>
      </c>
      <c r="J5" s="21">
        <f t="shared" ref="J5:J30" si="2">IF(COUNTA($F5,$K5,$P5)&gt;0,J4+SUM(G5:I5),"")</f>
        <v>44000</v>
      </c>
      <c r="K5" s="8"/>
      <c r="L5" s="9"/>
      <c r="M5" s="9"/>
      <c r="N5" s="48"/>
      <c r="O5" s="21">
        <f t="shared" ref="O5:O30" si="3">IF(COUNTA($F5,$K5,$P5)&gt;0,O4+SUM(L5:N5),"")</f>
        <v>23000</v>
      </c>
      <c r="P5" s="8" t="s">
        <v>194</v>
      </c>
      <c r="Q5" s="9">
        <v>2000</v>
      </c>
      <c r="R5" s="9"/>
      <c r="S5" s="48">
        <v>1000</v>
      </c>
      <c r="T5" s="21">
        <f t="shared" ref="T5:T30" si="4">IF(COUNTA($F5,$K5,$P5)&gt;0,T4+SUM(Q5:S5),"")</f>
        <v>38000</v>
      </c>
      <c r="U5" s="53">
        <f>IF($J5="","",ROUND(($J5-$J$3)/1000,1)+(_xlfn.RANK.AVG($J5,($J5,$O5,$T5),1)-2)*10)</f>
        <v>19</v>
      </c>
      <c r="V5" s="54">
        <f>IF($O5="","",ROUND(($O5-$O$3)/1000,1)+(_xlfn.RANK.AVG($O5,($J5,$O5,$T5),1)-2)*10)</f>
        <v>-22</v>
      </c>
      <c r="W5" s="55">
        <f>IF($T5="","",ROUND(($T5-$T$3)/1000,1)+(_xlfn.RANK.AVG($T5,($J5,$O5,$T5),1)-2)*10)</f>
        <v>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たかの</v>
      </c>
      <c r="F6" s="8" t="s">
        <v>194</v>
      </c>
      <c r="G6" s="9">
        <v>5200</v>
      </c>
      <c r="H6" s="9"/>
      <c r="I6" s="48">
        <v>0</v>
      </c>
      <c r="J6" s="21">
        <f t="shared" si="2"/>
        <v>49200</v>
      </c>
      <c r="K6" s="8" t="s">
        <v>195</v>
      </c>
      <c r="L6" s="9">
        <v>-5200</v>
      </c>
      <c r="M6" s="9"/>
      <c r="N6" s="48">
        <v>0</v>
      </c>
      <c r="O6" s="21">
        <f t="shared" si="3"/>
        <v>17800</v>
      </c>
      <c r="P6" s="8"/>
      <c r="Q6" s="9"/>
      <c r="R6" s="9"/>
      <c r="S6" s="48"/>
      <c r="T6" s="21">
        <f t="shared" si="4"/>
        <v>38000</v>
      </c>
      <c r="U6" s="53">
        <f>IF($J6="","",ROUND(($J6-$J$3)/1000,1)+(_xlfn.RANK.AVG($J6,($J6,$O6,$T6),1)-2)*10)</f>
        <v>24.2</v>
      </c>
      <c r="V6" s="54">
        <f>IF($O6="","",ROUND(($O6-$O$3)/1000,1)+(_xlfn.RANK.AVG($O6,($J6,$O6,$T6),1)-2)*10)</f>
        <v>-27.2</v>
      </c>
      <c r="W6" s="55">
        <f>IF($T6="","",ROUND(($T6-$T$3)/1000,1)+(_xlfn.RANK.AVG($T6,($J6,$O6,$T6),1)-2)*10)</f>
        <v>3</v>
      </c>
      <c r="Y6" s="8"/>
      <c r="Z6" s="34"/>
      <c r="AA6" s="26"/>
      <c r="AB6" s="26"/>
      <c r="AC6" s="26">
        <v>3</v>
      </c>
      <c r="AD6" s="30">
        <v>40</v>
      </c>
      <c r="AE6" s="40" t="s">
        <v>86</v>
      </c>
      <c r="AF6" s="41" t="s">
        <v>79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199</v>
      </c>
      <c r="G7" s="9">
        <v>-500</v>
      </c>
      <c r="H7" s="9"/>
      <c r="I7" s="48">
        <v>0</v>
      </c>
      <c r="J7" s="21">
        <f t="shared" si="2"/>
        <v>48700</v>
      </c>
      <c r="K7" s="8" t="s">
        <v>200</v>
      </c>
      <c r="L7" s="9">
        <v>1200</v>
      </c>
      <c r="M7" s="9">
        <v>1000</v>
      </c>
      <c r="N7" s="48">
        <v>0</v>
      </c>
      <c r="O7" s="21">
        <f t="shared" si="3"/>
        <v>20000</v>
      </c>
      <c r="P7" s="8" t="s">
        <v>199</v>
      </c>
      <c r="Q7" s="9">
        <v>-700</v>
      </c>
      <c r="R7" s="9">
        <v>-1000</v>
      </c>
      <c r="S7" s="48">
        <v>0</v>
      </c>
      <c r="T7" s="21">
        <f t="shared" si="4"/>
        <v>36300</v>
      </c>
      <c r="U7" s="53">
        <f>IF($J7="","",ROUND(($J7-$J$3)/1000,1)+(_xlfn.RANK.AVG($J7,($J7,$O7,$T7),1)-2)*10)</f>
        <v>23.7</v>
      </c>
      <c r="V7" s="54">
        <f>IF($O7="","",ROUND(($O7-$O$3)/1000,1)+(_xlfn.RANK.AVG($O7,($J7,$O7,$T7),1)-2)*10)</f>
        <v>-25</v>
      </c>
      <c r="W7" s="55">
        <f>IF($T7="","",ROUND(($T7-$T$3)/1000,1)+(_xlfn.RANK.AVG($T7,($J7,$O7,$T7),1)-2)*10)</f>
        <v>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/>
      <c r="G8" s="9"/>
      <c r="H8" s="9">
        <v>-1000</v>
      </c>
      <c r="I8" s="48"/>
      <c r="J8" s="21">
        <f t="shared" si="2"/>
        <v>47700</v>
      </c>
      <c r="K8" s="8" t="s">
        <v>195</v>
      </c>
      <c r="L8" s="9">
        <v>-16000</v>
      </c>
      <c r="M8" s="9"/>
      <c r="N8" s="48">
        <v>0</v>
      </c>
      <c r="O8" s="21">
        <f t="shared" si="3"/>
        <v>4000</v>
      </c>
      <c r="P8" s="8" t="s">
        <v>194</v>
      </c>
      <c r="Q8" s="9">
        <v>16000</v>
      </c>
      <c r="R8" s="9">
        <v>1000</v>
      </c>
      <c r="S8" s="48">
        <v>0</v>
      </c>
      <c r="T8" s="21">
        <f t="shared" si="4"/>
        <v>53300</v>
      </c>
      <c r="U8" s="53">
        <f>IF($J8="","",ROUND(($J8-$J$3)/1000,1)+(_xlfn.RANK.AVG($J8,($J8,$O8,$T8),1)-2)*10)</f>
        <v>12.7</v>
      </c>
      <c r="V8" s="54">
        <f>IF($O8="","",ROUND(($O8-$O$3)/1000,1)+(_xlfn.RANK.AVG($O8,($J8,$O8,$T8),1)-2)*10)</f>
        <v>-41</v>
      </c>
      <c r="W8" s="55">
        <f>IF($T8="","",ROUND(($T8-$T$3)/1000,1)+(_xlfn.RANK.AVG($T8,($J8,$O8,$T8),1)-2)*10)</f>
        <v>28.3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10</v>
      </c>
      <c r="BT8" s="30" t="s">
        <v>201</v>
      </c>
      <c r="BU8" s="40" t="s">
        <v>106</v>
      </c>
      <c r="BV8" s="41" t="s">
        <v>84</v>
      </c>
      <c r="BW8" s="41" t="s">
        <v>79</v>
      </c>
      <c r="BX8" s="41" t="s">
        <v>79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たかの</v>
      </c>
      <c r="F9" s="8" t="s">
        <v>199</v>
      </c>
      <c r="G9" s="9">
        <v>-3000</v>
      </c>
      <c r="H9" s="9"/>
      <c r="I9" s="48">
        <v>0</v>
      </c>
      <c r="J9" s="21">
        <f t="shared" si="2"/>
        <v>44700</v>
      </c>
      <c r="K9" s="8" t="s">
        <v>199</v>
      </c>
      <c r="L9" s="9">
        <v>-5000</v>
      </c>
      <c r="M9" s="9"/>
      <c r="N9" s="48">
        <v>0</v>
      </c>
      <c r="O9" s="21">
        <f t="shared" si="3"/>
        <v>-1000</v>
      </c>
      <c r="P9" s="8" t="s">
        <v>200</v>
      </c>
      <c r="Q9" s="9">
        <v>8000</v>
      </c>
      <c r="R9" s="9"/>
      <c r="S9" s="48">
        <v>0</v>
      </c>
      <c r="T9" s="21">
        <f t="shared" si="4"/>
        <v>61300</v>
      </c>
      <c r="U9" s="53">
        <f>IF($J9="","",ROUND(($J9-$J$3)/1000,1)+(_xlfn.RANK.AVG($J9,($J9,$O9,$T9),1)-2)*10)</f>
        <v>9.6999999999999993</v>
      </c>
      <c r="V9" s="54">
        <f>IF($O9="","",ROUND(($O9-$O$3)/1000,1)+(_xlfn.RANK.AVG($O9,($J9,$O9,$T9),1)-2)*10)</f>
        <v>-46</v>
      </c>
      <c r="W9" s="55">
        <f>IF($T9="","",ROUND(($T9-$T$3)/1000,1)+(_xlfn.RANK.AVG($T9,($J9,$O9,$T9),1)-2)*10)</f>
        <v>36.299999999999997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201</v>
      </c>
      <c r="BU9" s="40" t="s">
        <v>196</v>
      </c>
      <c r="BV9" s="41" t="s">
        <v>82</v>
      </c>
      <c r="BW9" s="41" t="s">
        <v>79</v>
      </c>
      <c r="BX9" s="41" t="s">
        <v>80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195</v>
      </c>
      <c r="G10" s="9">
        <v>-8000</v>
      </c>
      <c r="H10" s="9">
        <v>-1000</v>
      </c>
      <c r="I10" s="48">
        <v>0</v>
      </c>
      <c r="J10" s="21">
        <f t="shared" si="2"/>
        <v>35700</v>
      </c>
      <c r="K10" s="8" t="s">
        <v>194</v>
      </c>
      <c r="L10" s="9">
        <v>8000</v>
      </c>
      <c r="M10" s="9">
        <v>1000</v>
      </c>
      <c r="N10" s="48">
        <v>0</v>
      </c>
      <c r="O10" s="21">
        <f t="shared" si="3"/>
        <v>8000</v>
      </c>
      <c r="P10" s="8"/>
      <c r="Q10" s="9"/>
      <c r="R10" s="9"/>
      <c r="S10" s="48"/>
      <c r="T10" s="21">
        <f t="shared" si="4"/>
        <v>61300</v>
      </c>
      <c r="U10" s="53">
        <f>IF($J10="","",ROUND(($J10-$J$3)/1000,1)+(_xlfn.RANK.AVG($J10,($J10,$O10,$T10),1)-2)*10)</f>
        <v>0.7</v>
      </c>
      <c r="V10" s="54">
        <f>IF($O10="","",ROUND(($O10-$O$3)/1000,1)+(_xlfn.RANK.AVG($O10,($J10,$O10,$T10),1)-2)*10)</f>
        <v>-37</v>
      </c>
      <c r="W10" s="55">
        <f>IF($T10="","",ROUND(($T10-$T$3)/1000,1)+(_xlfn.RANK.AVG($T10,($J10,$O10,$T10),1)-2)*10)</f>
        <v>36.299999999999997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40</v>
      </c>
      <c r="AZ10" s="40" t="s">
        <v>196</v>
      </c>
      <c r="BA10" s="41" t="s">
        <v>197</v>
      </c>
      <c r="BB10" s="41" t="s">
        <v>86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58944A10-9670-4A95-AE58-16AB32EA6474}">
      <formula1>$U$2:$W$2</formula1>
    </dataValidation>
    <dataValidation type="list" showInputMessage="1" showErrorMessage="1" sqref="K4:K30 P4:P30 F4:F30" xr:uid="{8D36091F-7123-4CE9-A380-EEF0152A795E}">
      <formula1>"ロン,ツモ,放銃,ツモ支払,流局,チョンボ"</formula1>
    </dataValidation>
    <dataValidation type="list" allowBlank="1" showInputMessage="1" sqref="F1:T1" xr:uid="{C7847ABC-8BCC-46EB-B7A3-6CF9A65D3B6A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64A41-45B4-41C0-A4EC-3482D5D34A5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209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いちかわ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いちかわ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206</v>
      </c>
      <c r="G4" s="9">
        <v>-1500</v>
      </c>
      <c r="H4" s="9"/>
      <c r="I4" s="48"/>
      <c r="J4" s="21">
        <f>IF(COUNTA($F4,$K4,$P4)&gt;0,J3+SUM(G4:I4),"")</f>
        <v>33500</v>
      </c>
      <c r="K4" s="8" t="s">
        <v>206</v>
      </c>
      <c r="L4" s="9">
        <v>3000</v>
      </c>
      <c r="M4" s="9">
        <v>-1000</v>
      </c>
      <c r="N4" s="48"/>
      <c r="O4" s="21">
        <f>IF(COUNTA($F4,$K4,$P4)&gt;0,O3+SUM(L4:N4),"")</f>
        <v>37000</v>
      </c>
      <c r="P4" s="8" t="s">
        <v>206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-6.5</v>
      </c>
      <c r="Y4" s="8" t="s">
        <v>204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205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204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IF($K$1="","",$K$1)</f>
        <v>いちかわ</v>
      </c>
      <c r="F5" s="8" t="s">
        <v>199</v>
      </c>
      <c r="G5" s="9">
        <v>-6000</v>
      </c>
      <c r="H5" s="9"/>
      <c r="I5" s="48">
        <v>-500</v>
      </c>
      <c r="J5" s="21">
        <f t="shared" ref="J5:J30" si="2">IF(COUNTA($F5,$K5,$P5)&gt;0,J4+SUM(G5:I5),"")</f>
        <v>27000</v>
      </c>
      <c r="K5" s="8" t="s">
        <v>199</v>
      </c>
      <c r="L5" s="9">
        <v>-10000</v>
      </c>
      <c r="M5" s="9"/>
      <c r="N5" s="48">
        <v>-500</v>
      </c>
      <c r="O5" s="21">
        <f t="shared" ref="O5:O30" si="3">IF(COUNTA($F5,$K5,$P5)&gt;0,O4+SUM(L5:N5),"")</f>
        <v>26500</v>
      </c>
      <c r="P5" s="8" t="s">
        <v>200</v>
      </c>
      <c r="Q5" s="9">
        <v>16000</v>
      </c>
      <c r="R5" s="9">
        <v>1000</v>
      </c>
      <c r="S5" s="48">
        <v>1000</v>
      </c>
      <c r="T5" s="21">
        <f t="shared" ref="T5:T30" si="4">IF(COUNTA($F5,$K5,$P5)&gt;0,T4+SUM(Q5:S5),"")</f>
        <v>51500</v>
      </c>
      <c r="U5" s="53">
        <f>IF($J5="","",ROUND(($J5-$J$3)/1000,1)+(_xlfn.RANK.AVG($J5,($J5,$O5,$T5),1)-2)*10)</f>
        <v>-8</v>
      </c>
      <c r="V5" s="54">
        <f>IF($O5="","",ROUND(($O5-$O$3)/1000,1)+(_xlfn.RANK.AVG($O5,($J5,$O5,$T5),1)-2)*10)</f>
        <v>-18.5</v>
      </c>
      <c r="W5" s="55">
        <f>IF($T5="","",ROUND(($T5-$T$3)/1000,1)+(_xlfn.RANK.AVG($T5,($J5,$O5,$T5),1)-2)*10)</f>
        <v>26.5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201</v>
      </c>
      <c r="BU5" s="40" t="s">
        <v>196</v>
      </c>
      <c r="BV5" s="41" t="s">
        <v>82</v>
      </c>
      <c r="BW5" s="41" t="s">
        <v>89</v>
      </c>
      <c r="BX5" s="41" t="s">
        <v>86</v>
      </c>
      <c r="BY5" s="41" t="s">
        <v>198</v>
      </c>
      <c r="BZ5" s="41" t="s">
        <v>79</v>
      </c>
      <c r="CA5" s="41" t="s">
        <v>79</v>
      </c>
      <c r="CB5" s="41" t="s">
        <v>80</v>
      </c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りくと</v>
      </c>
      <c r="F6" s="8" t="s">
        <v>199</v>
      </c>
      <c r="G6" s="9">
        <v>-1500</v>
      </c>
      <c r="H6" s="9"/>
      <c r="I6" s="48">
        <v>0</v>
      </c>
      <c r="J6" s="21">
        <f t="shared" si="2"/>
        <v>25500</v>
      </c>
      <c r="K6" s="8" t="s">
        <v>200</v>
      </c>
      <c r="L6" s="9">
        <v>4000</v>
      </c>
      <c r="M6" s="9">
        <v>1000</v>
      </c>
      <c r="N6" s="48">
        <v>0</v>
      </c>
      <c r="O6" s="21">
        <f t="shared" si="3"/>
        <v>31500</v>
      </c>
      <c r="P6" s="8" t="s">
        <v>199</v>
      </c>
      <c r="Q6" s="9">
        <v>-2500</v>
      </c>
      <c r="R6" s="9">
        <v>-1000</v>
      </c>
      <c r="S6" s="48">
        <v>0</v>
      </c>
      <c r="T6" s="21">
        <f t="shared" si="4"/>
        <v>48000</v>
      </c>
      <c r="U6" s="53">
        <f>IF($J6="","",ROUND(($J6-$J$3)/1000,1)+(_xlfn.RANK.AVG($J6,($J6,$O6,$T6),1)-2)*10)</f>
        <v>-19.5</v>
      </c>
      <c r="V6" s="54">
        <f>IF($O6="","",ROUND(($O6-$O$3)/1000,1)+(_xlfn.RANK.AVG($O6,($J6,$O6,$T6),1)-2)*10)</f>
        <v>-3.5</v>
      </c>
      <c r="W6" s="55">
        <f>IF($T6="","",ROUND(($T6-$T$3)/1000,1)+(_xlfn.RANK.AVG($T6,($J6,$O6,$T6),1)-2)*10)</f>
        <v>23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196</v>
      </c>
      <c r="BA6" s="41" t="s">
        <v>82</v>
      </c>
      <c r="BB6" s="41" t="s">
        <v>197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206</v>
      </c>
      <c r="G7" s="9">
        <v>3000</v>
      </c>
      <c r="H7" s="9">
        <v>-1000</v>
      </c>
      <c r="I7" s="48"/>
      <c r="J7" s="21">
        <f t="shared" si="2"/>
        <v>27500</v>
      </c>
      <c r="K7" s="8" t="s">
        <v>206</v>
      </c>
      <c r="L7" s="9">
        <v>-1500</v>
      </c>
      <c r="M7" s="9"/>
      <c r="N7" s="48"/>
      <c r="O7" s="21">
        <f t="shared" si="3"/>
        <v>30000</v>
      </c>
      <c r="P7" s="8" t="s">
        <v>206</v>
      </c>
      <c r="Q7" s="9">
        <v>-1500</v>
      </c>
      <c r="R7" s="9"/>
      <c r="S7" s="48"/>
      <c r="T7" s="21">
        <f t="shared" si="4"/>
        <v>46500</v>
      </c>
      <c r="U7" s="53">
        <f>IF($J7="","",ROUND(($J7-$J$3)/1000,1)+(_xlfn.RANK.AVG($J7,($J7,$O7,$T7),1)-2)*10)</f>
        <v>-17.5</v>
      </c>
      <c r="V7" s="54">
        <f>IF($O7="","",ROUND(($O7-$O$3)/1000,1)+(_xlfn.RANK.AVG($O7,($J7,$O7,$T7),1)-2)*10)</f>
        <v>-5</v>
      </c>
      <c r="W7" s="55">
        <f>IF($T7="","",ROUND(($T7-$T$3)/1000,1)+(_xlfn.RANK.AVG($T7,($J7,$O7,$T7),1)-2)*10)</f>
        <v>21.5</v>
      </c>
      <c r="Y7" s="8" t="s">
        <v>205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204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tr">
        <f>IF($F$1="","",$F$1)</f>
        <v>まっつん</v>
      </c>
      <c r="F8" s="8" t="s">
        <v>206</v>
      </c>
      <c r="G8" s="9">
        <v>0</v>
      </c>
      <c r="H8" s="9">
        <v>-1000</v>
      </c>
      <c r="I8" s="48"/>
      <c r="J8" s="21">
        <f t="shared" si="2"/>
        <v>26500</v>
      </c>
      <c r="K8" s="8" t="s">
        <v>206</v>
      </c>
      <c r="L8" s="9">
        <v>0</v>
      </c>
      <c r="M8" s="9"/>
      <c r="N8" s="48"/>
      <c r="O8" s="21">
        <f t="shared" si="3"/>
        <v>30000</v>
      </c>
      <c r="P8" s="8" t="s">
        <v>206</v>
      </c>
      <c r="Q8" s="9">
        <v>0</v>
      </c>
      <c r="R8" s="9"/>
      <c r="S8" s="48"/>
      <c r="T8" s="21">
        <f t="shared" si="4"/>
        <v>46500</v>
      </c>
      <c r="U8" s="53">
        <f>IF($J8="","",ROUND(($J8-$J$3)/1000,1)+(_xlfn.RANK.AVG($J8,($J8,$O8,$T8),1)-2)*10)</f>
        <v>-18.5</v>
      </c>
      <c r="V8" s="54">
        <f>IF($O8="","",ROUND(($O8-$O$3)/1000,1)+(_xlfn.RANK.AVG($O8,($J8,$O8,$T8),1)-2)*10)</f>
        <v>-5</v>
      </c>
      <c r="W8" s="55">
        <f>IF($T8="","",ROUND(($T8-$T$3)/1000,1)+(_xlfn.RANK.AVG($T8,($J8,$O8,$T8),1)-2)*10)</f>
        <v>21.5</v>
      </c>
      <c r="Y8" s="8" t="s">
        <v>205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2</v>
      </c>
      <c r="E9" s="4" t="str">
        <f>IF($F$1="","",$F$1)</f>
        <v>まっつん</v>
      </c>
      <c r="F9" s="8" t="s">
        <v>199</v>
      </c>
      <c r="G9" s="9">
        <v>-5000</v>
      </c>
      <c r="H9" s="9"/>
      <c r="I9" s="48">
        <v>-1000</v>
      </c>
      <c r="J9" s="21">
        <f t="shared" si="2"/>
        <v>20500</v>
      </c>
      <c r="K9" s="8" t="s">
        <v>199</v>
      </c>
      <c r="L9" s="9">
        <v>-3000</v>
      </c>
      <c r="M9" s="9"/>
      <c r="N9" s="48">
        <v>-1000</v>
      </c>
      <c r="O9" s="21">
        <f t="shared" si="3"/>
        <v>26000</v>
      </c>
      <c r="P9" s="8" t="s">
        <v>200</v>
      </c>
      <c r="Q9" s="9">
        <v>8000</v>
      </c>
      <c r="R9" s="9">
        <v>2000</v>
      </c>
      <c r="S9" s="48">
        <v>2000</v>
      </c>
      <c r="T9" s="21">
        <f t="shared" si="4"/>
        <v>58500</v>
      </c>
      <c r="U9" s="53">
        <f>IF($J9="","",ROUND(($J9-$J$3)/1000,1)+(_xlfn.RANK.AVG($J9,($J9,$O9,$T9),1)-2)*10)</f>
        <v>-24.5</v>
      </c>
      <c r="V9" s="54">
        <f>IF($O9="","",ROUND(($O9-$O$3)/1000,1)+(_xlfn.RANK.AVG($O9,($J9,$O9,$T9),1)-2)*10)</f>
        <v>-9</v>
      </c>
      <c r="W9" s="55">
        <f>IF($T9="","",ROUND(($T9-$T$3)/1000,1)+(_xlfn.RANK.AVG($T9,($J9,$O9,$T9),1)-2)*10)</f>
        <v>33.5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5</v>
      </c>
      <c r="BT9" s="30" t="s">
        <v>201</v>
      </c>
      <c r="BU9" s="40" t="s">
        <v>82</v>
      </c>
      <c r="BV9" s="41" t="s">
        <v>86</v>
      </c>
      <c r="BW9" s="41" t="s">
        <v>198</v>
      </c>
      <c r="BX9" s="41" t="s">
        <v>79</v>
      </c>
      <c r="BY9" s="41" t="s">
        <v>198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いちかわ</v>
      </c>
      <c r="F10" s="8" t="s">
        <v>200</v>
      </c>
      <c r="G10" s="9">
        <v>16000</v>
      </c>
      <c r="H10" s="9"/>
      <c r="I10" s="48">
        <v>0</v>
      </c>
      <c r="J10" s="21">
        <f t="shared" si="2"/>
        <v>36500</v>
      </c>
      <c r="K10" s="8" t="s">
        <v>199</v>
      </c>
      <c r="L10" s="9">
        <v>-10000</v>
      </c>
      <c r="M10" s="9"/>
      <c r="N10" s="48">
        <v>0</v>
      </c>
      <c r="O10" s="21">
        <f t="shared" si="3"/>
        <v>16000</v>
      </c>
      <c r="P10" s="8" t="s">
        <v>199</v>
      </c>
      <c r="Q10" s="9">
        <v>-6000</v>
      </c>
      <c r="R10" s="9"/>
      <c r="S10" s="48">
        <v>0</v>
      </c>
      <c r="T10" s="21">
        <f t="shared" si="4"/>
        <v>52500</v>
      </c>
      <c r="U10" s="53">
        <f>IF($J10="","",ROUND(($J10-$J$3)/1000,1)+(_xlfn.RANK.AVG($J10,($J10,$O10,$T10),1)-2)*10)</f>
        <v>1.5</v>
      </c>
      <c r="V10" s="54">
        <f>IF($O10="","",ROUND(($O10-$O$3)/1000,1)+(_xlfn.RANK.AVG($O10,($J10,$O10,$T10),1)-2)*10)</f>
        <v>-29</v>
      </c>
      <c r="W10" s="55">
        <f>IF($T10="","",ROUND(($T10-$T$3)/1000,1)+(_xlfn.RANK.AVG($T10,($J10,$O10,$T10),1)-2)*10)</f>
        <v>27.5</v>
      </c>
      <c r="Y10" s="8"/>
      <c r="Z10" s="34"/>
      <c r="AA10" s="26"/>
      <c r="AB10" s="26"/>
      <c r="AC10" s="26">
        <v>8</v>
      </c>
      <c r="AD10" s="30" t="s">
        <v>201</v>
      </c>
      <c r="AE10" s="40" t="s">
        <v>82</v>
      </c>
      <c r="AF10" s="41" t="s">
        <v>96</v>
      </c>
      <c r="AG10" s="41" t="s">
        <v>104</v>
      </c>
      <c r="AH10" s="41" t="s">
        <v>198</v>
      </c>
      <c r="AI10" s="41" t="s">
        <v>86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りくと</v>
      </c>
      <c r="F11" s="8" t="s">
        <v>199</v>
      </c>
      <c r="G11" s="9">
        <v>-3000</v>
      </c>
      <c r="H11" s="9"/>
      <c r="I11" s="48">
        <v>0</v>
      </c>
      <c r="J11" s="21">
        <f t="shared" si="2"/>
        <v>33500</v>
      </c>
      <c r="K11" s="8" t="s">
        <v>199</v>
      </c>
      <c r="L11" s="9">
        <v>-3000</v>
      </c>
      <c r="M11" s="9"/>
      <c r="N11" s="48">
        <v>0</v>
      </c>
      <c r="O11" s="21">
        <f t="shared" si="3"/>
        <v>13000</v>
      </c>
      <c r="P11" s="8" t="s">
        <v>200</v>
      </c>
      <c r="Q11" s="9">
        <v>6000</v>
      </c>
      <c r="R11" s="9"/>
      <c r="S11" s="48">
        <v>0</v>
      </c>
      <c r="T11" s="21">
        <f t="shared" si="4"/>
        <v>58500</v>
      </c>
      <c r="U11" s="53">
        <f>IF($J11="","",ROUND(($J11-$J$3)/1000,1)+(_xlfn.RANK.AVG($J11,($J11,$O11,$T11),1)-2)*10)</f>
        <v>-1.5</v>
      </c>
      <c r="V11" s="54">
        <f>IF($O11="","",ROUND(($O11-$O$3)/1000,1)+(_xlfn.RANK.AVG($O11,($J11,$O11,$T11),1)-2)*10)</f>
        <v>-32</v>
      </c>
      <c r="W11" s="55">
        <f>IF($T11="","",ROUND(($T11-$T$3)/1000,1)+(_xlfn.RANK.AVG($T11,($J11,$O11,$T11),1)-2)*10)</f>
        <v>33.5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30</v>
      </c>
      <c r="BU11" s="40" t="s">
        <v>82</v>
      </c>
      <c r="BV11" s="41" t="s">
        <v>86</v>
      </c>
      <c r="BW11" s="41" t="s">
        <v>198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IF($P$1="","",$P$1)</f>
        <v>りくと</v>
      </c>
      <c r="F12" s="8" t="s">
        <v>200</v>
      </c>
      <c r="G12" s="9">
        <v>12000</v>
      </c>
      <c r="H12" s="9">
        <v>1000</v>
      </c>
      <c r="I12" s="48">
        <v>1000</v>
      </c>
      <c r="J12" s="21">
        <f t="shared" si="2"/>
        <v>47500</v>
      </c>
      <c r="K12" s="8" t="s">
        <v>199</v>
      </c>
      <c r="L12" s="9">
        <v>-4500</v>
      </c>
      <c r="M12" s="9"/>
      <c r="N12" s="48">
        <v>-500</v>
      </c>
      <c r="O12" s="21">
        <f t="shared" si="3"/>
        <v>8000</v>
      </c>
      <c r="P12" s="8" t="s">
        <v>199</v>
      </c>
      <c r="Q12" s="9">
        <v>-7500</v>
      </c>
      <c r="R12" s="9">
        <v>-1000</v>
      </c>
      <c r="S12" s="48">
        <v>-500</v>
      </c>
      <c r="T12" s="21">
        <f t="shared" si="4"/>
        <v>49500</v>
      </c>
      <c r="U12" s="53">
        <f>IF($J12="","",ROUND(($J12-$J$3)/1000,1)+(_xlfn.RANK.AVG($J12,($J12,$O12,$T12),1)-2)*10)</f>
        <v>12.5</v>
      </c>
      <c r="V12" s="54">
        <f>IF($O12="","",ROUND(($O12-$O$3)/1000,1)+(_xlfn.RANK.AVG($O12,($J12,$O12,$T12),1)-2)*10)</f>
        <v>-37</v>
      </c>
      <c r="W12" s="55">
        <f>IF($T12="","",ROUND(($T12-$T$3)/1000,1)+(_xlfn.RANK.AVG($T12,($J12,$O12,$T12),1)-2)*10)</f>
        <v>24.5</v>
      </c>
      <c r="Y12" s="8"/>
      <c r="Z12" s="34"/>
      <c r="AA12" s="26"/>
      <c r="AB12" s="26">
        <v>1</v>
      </c>
      <c r="AC12" s="26">
        <v>6</v>
      </c>
      <c r="AD12" s="30" t="s">
        <v>201</v>
      </c>
      <c r="AE12" s="40" t="s">
        <v>104</v>
      </c>
      <c r="AF12" s="41" t="s">
        <v>86</v>
      </c>
      <c r="AG12" s="41" t="s">
        <v>86</v>
      </c>
      <c r="AH12" s="41" t="s">
        <v>86</v>
      </c>
      <c r="AI12" s="41" t="s">
        <v>86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DF6B4792-697E-4059-A255-A9857BD554B5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6C6D8F6B-81B4-4FC0-88F7-C1C4AC2536B4}">
      <formula1>"ロン,ツモ,放銃,ツモ支払,流局,チョンボ"</formula1>
    </dataValidation>
    <dataValidation type="list" allowBlank="1" showInputMessage="1" showErrorMessage="1" sqref="E4:E30" xr:uid="{69D68436-2434-4225-912B-217C994E30A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EF70-8124-4467-A87F-D249A09B3D4F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203</v>
      </c>
      <c r="G1" s="72"/>
      <c r="H1" s="72"/>
      <c r="I1" s="73"/>
      <c r="J1" s="74"/>
      <c r="K1" s="71" t="s">
        <v>207</v>
      </c>
      <c r="L1" s="72"/>
      <c r="M1" s="72"/>
      <c r="N1" s="73"/>
      <c r="O1" s="74"/>
      <c r="P1" s="71" t="s">
        <v>208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れんたろう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199</v>
      </c>
      <c r="G4" s="9">
        <v>-3300</v>
      </c>
      <c r="H4" s="9"/>
      <c r="I4" s="48">
        <v>0</v>
      </c>
      <c r="J4" s="21">
        <f>IF(COUNTA($F4,$K4,$P4)&gt;0,J3+SUM(G4:I4),"")</f>
        <v>31700</v>
      </c>
      <c r="K4" s="8" t="s">
        <v>200</v>
      </c>
      <c r="L4" s="9">
        <v>5300</v>
      </c>
      <c r="M4" s="9"/>
      <c r="N4" s="48">
        <v>0</v>
      </c>
      <c r="O4" s="21">
        <f>IF(COUNTA($F4,$K4,$P4)&gt;0,O3+SUM(L4:N4),"")</f>
        <v>40300</v>
      </c>
      <c r="P4" s="8" t="s">
        <v>199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IF($J4="","",ROUND(($J4-$J$3)/1000,1)+(_xlfn.RANK.AVG($J4,($J4,$O4,$T4),1)-2)*10)</f>
        <v>-13.3</v>
      </c>
      <c r="V4" s="54">
        <f>IF($O4="","",ROUND(($O4-$O$3)/1000,1)+(_xlfn.RANK.AVG($O4,($J4,$O4,$T4),1)-2)*10)</f>
        <v>15.3</v>
      </c>
      <c r="W4" s="55">
        <f>IF($T4="","",ROUND(($T4-$T$3)/1000,1)+(_xlfn.RANK.AVG($T4,($J4,$O4,$T4),1)-2)*10)</f>
        <v>-2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20</v>
      </c>
      <c r="AZ4" s="40" t="s">
        <v>196</v>
      </c>
      <c r="BA4" s="41" t="s">
        <v>82</v>
      </c>
      <c r="BB4" s="41" t="s">
        <v>197</v>
      </c>
      <c r="BC4" s="41" t="s">
        <v>83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194</v>
      </c>
      <c r="G5" s="9">
        <v>5200</v>
      </c>
      <c r="H5" s="9">
        <v>1000</v>
      </c>
      <c r="I5" s="48">
        <v>0</v>
      </c>
      <c r="J5" s="21">
        <f t="shared" ref="J5:J30" si="2">IF(COUNTA($F5,$K5,$P5)&gt;0,J4+SUM(G5:I5),"")</f>
        <v>37900</v>
      </c>
      <c r="K5" s="8"/>
      <c r="L5" s="9"/>
      <c r="M5" s="9">
        <v>-1000</v>
      </c>
      <c r="N5" s="48"/>
      <c r="O5" s="21">
        <f t="shared" ref="O5:O30" si="3">IF(COUNTA($F5,$K5,$P5)&gt;0,O4+SUM(L5:N5),"")</f>
        <v>39300</v>
      </c>
      <c r="P5" s="8" t="s">
        <v>195</v>
      </c>
      <c r="Q5" s="9">
        <v>-5200</v>
      </c>
      <c r="R5" s="9"/>
      <c r="S5" s="48">
        <v>0</v>
      </c>
      <c r="T5" s="21">
        <f t="shared" ref="T5:T30" si="4">IF(COUNTA($F5,$K5,$P5)&gt;0,T4+SUM(Q5:S5),"")</f>
        <v>27800</v>
      </c>
      <c r="U5" s="53">
        <f>IF($J5="","",ROUND(($J5-$J$3)/1000,1)+(_xlfn.RANK.AVG($J5,($J5,$O5,$T5),1)-2)*10)</f>
        <v>2.9</v>
      </c>
      <c r="V5" s="54">
        <f>IF($O5="","",ROUND(($O5-$O$3)/1000,1)+(_xlfn.RANK.AVG($O5,($J5,$O5,$T5),1)-2)*10)</f>
        <v>14.3</v>
      </c>
      <c r="W5" s="55">
        <f>IF($T5="","",ROUND(($T5-$T$3)/1000,1)+(_xlfn.RANK.AVG($T5,($J5,$O5,$T5),1)-2)*10)</f>
        <v>-17.2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196</v>
      </c>
      <c r="AF5" s="41" t="s">
        <v>79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194</v>
      </c>
      <c r="G6" s="9">
        <v>2000</v>
      </c>
      <c r="H6" s="9"/>
      <c r="I6" s="48">
        <v>0</v>
      </c>
      <c r="J6" s="21">
        <f t="shared" si="2"/>
        <v>39900</v>
      </c>
      <c r="K6" s="8"/>
      <c r="L6" s="9"/>
      <c r="M6" s="9"/>
      <c r="N6" s="48"/>
      <c r="O6" s="21">
        <f t="shared" si="3"/>
        <v>39300</v>
      </c>
      <c r="P6" s="8" t="s">
        <v>195</v>
      </c>
      <c r="Q6" s="9">
        <v>-2000</v>
      </c>
      <c r="R6" s="9"/>
      <c r="S6" s="48">
        <v>0</v>
      </c>
      <c r="T6" s="21">
        <f t="shared" si="4"/>
        <v>25800</v>
      </c>
      <c r="U6" s="53">
        <f>IF($J6="","",ROUND(($J6-$J$3)/1000,1)+(_xlfn.RANK.AVG($J6,($J6,$O6,$T6),1)-2)*10)</f>
        <v>14.9</v>
      </c>
      <c r="V6" s="54">
        <f>IF($O6="","",ROUND(($O6-$O$3)/1000,1)+(_xlfn.RANK.AVG($O6,($J6,$O6,$T6),1)-2)*10)</f>
        <v>4.3</v>
      </c>
      <c r="W6" s="55">
        <f>IF($T6="","",ROUND(($T6-$T$3)/1000,1)+(_xlfn.RANK.AVG($T6,($J6,$O6,$T6),1)-2)*10)</f>
        <v>-19.2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198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たかの</v>
      </c>
      <c r="F7" s="8" t="s">
        <v>199</v>
      </c>
      <c r="G7" s="9">
        <v>-3300</v>
      </c>
      <c r="H7" s="9"/>
      <c r="I7" s="48">
        <v>0</v>
      </c>
      <c r="J7" s="21">
        <f t="shared" si="2"/>
        <v>36600</v>
      </c>
      <c r="K7" s="8" t="s">
        <v>199</v>
      </c>
      <c r="L7" s="9">
        <v>-2000</v>
      </c>
      <c r="M7" s="9"/>
      <c r="N7" s="48">
        <v>0</v>
      </c>
      <c r="O7" s="21">
        <f t="shared" si="3"/>
        <v>37300</v>
      </c>
      <c r="P7" s="8" t="s">
        <v>200</v>
      </c>
      <c r="Q7" s="9">
        <v>5300</v>
      </c>
      <c r="R7" s="9"/>
      <c r="S7" s="48">
        <v>0</v>
      </c>
      <c r="T7" s="21">
        <f t="shared" si="4"/>
        <v>31100</v>
      </c>
      <c r="U7" s="53">
        <f>IF($J7="","",ROUND(($J7-$J$3)/1000,1)+(_xlfn.RANK.AVG($J7,($J7,$O7,$T7),1)-2)*10)</f>
        <v>1.6</v>
      </c>
      <c r="V7" s="54">
        <f>IF($O7="","",ROUND(($O7-$O$3)/1000,1)+(_xlfn.RANK.AVG($O7,($J7,$O7,$T7),1)-2)*10)</f>
        <v>12.3</v>
      </c>
      <c r="W7" s="55">
        <f>IF($T7="","",ROUND(($T7-$T$3)/1000,1)+(_xlfn.RANK.AVG($T7,($J7,$O7,$T7),1)-2)*10)</f>
        <v>-13.9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40</v>
      </c>
      <c r="BU7" s="40" t="s">
        <v>86</v>
      </c>
      <c r="BV7" s="41" t="s">
        <v>79</v>
      </c>
      <c r="BW7" s="41" t="s">
        <v>198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れんたろう</v>
      </c>
      <c r="F8" s="8" t="s">
        <v>194</v>
      </c>
      <c r="G8" s="9">
        <v>3900</v>
      </c>
      <c r="H8" s="9"/>
      <c r="I8" s="48">
        <v>0</v>
      </c>
      <c r="J8" s="21">
        <f t="shared" si="2"/>
        <v>40500</v>
      </c>
      <c r="K8" s="8" t="s">
        <v>195</v>
      </c>
      <c r="L8" s="9">
        <v>-3900</v>
      </c>
      <c r="M8" s="9"/>
      <c r="N8" s="48">
        <v>0</v>
      </c>
      <c r="O8" s="21">
        <f t="shared" si="3"/>
        <v>33400</v>
      </c>
      <c r="P8" s="8"/>
      <c r="Q8" s="9"/>
      <c r="R8" s="9"/>
      <c r="S8" s="48"/>
      <c r="T8" s="21">
        <f t="shared" si="4"/>
        <v>31100</v>
      </c>
      <c r="U8" s="53">
        <f>IF($J8="","",ROUND(($J8-$J$3)/1000,1)+(_xlfn.RANK.AVG($J8,($J8,$O8,$T8),1)-2)*10)</f>
        <v>15.5</v>
      </c>
      <c r="V8" s="54">
        <f>IF($O8="","",ROUND(($O8-$O$3)/1000,1)+(_xlfn.RANK.AVG($O8,($J8,$O8,$T8),1)-2)*10)</f>
        <v>-1.6</v>
      </c>
      <c r="W8" s="55">
        <f>IF($T8="","",ROUND(($T8-$T$3)/1000,1)+(_xlfn.RANK.AVG($T8,($J8,$O8,$T8),1)-2)*10)</f>
        <v>-13.9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98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/>
      <c r="G9" s="9"/>
      <c r="H9" s="9"/>
      <c r="I9" s="48"/>
      <c r="J9" s="21">
        <f t="shared" si="2"/>
        <v>40500</v>
      </c>
      <c r="K9" s="8" t="s">
        <v>195</v>
      </c>
      <c r="L9" s="9">
        <v>-7700</v>
      </c>
      <c r="M9" s="9"/>
      <c r="N9" s="48">
        <v>0</v>
      </c>
      <c r="O9" s="21">
        <f t="shared" si="3"/>
        <v>25700</v>
      </c>
      <c r="P9" s="8" t="s">
        <v>194</v>
      </c>
      <c r="Q9" s="9">
        <v>7700</v>
      </c>
      <c r="R9" s="9"/>
      <c r="S9" s="48">
        <v>0</v>
      </c>
      <c r="T9" s="21">
        <f t="shared" si="4"/>
        <v>38800</v>
      </c>
      <c r="U9" s="53">
        <f>IF($J9="","",ROUND(($J9-$J$3)/1000,1)+(_xlfn.RANK.AVG($J9,($J9,$O9,$T9),1)-2)*10)</f>
        <v>15.5</v>
      </c>
      <c r="V9" s="54">
        <f>IF($O9="","",ROUND(($O9-$O$3)/1000,1)+(_xlfn.RANK.AVG($O9,($J9,$O9,$T9),1)-2)*10)</f>
        <v>-19.3</v>
      </c>
      <c r="W9" s="55">
        <f>IF($T9="","",ROUND(($T9-$T$3)/1000,1)+(_xlfn.RANK.AVG($T9,($J9,$O9,$T9),1)-2)*10)</f>
        <v>3.8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196</v>
      </c>
      <c r="BV9" s="41" t="s">
        <v>197</v>
      </c>
      <c r="BW9" s="41" t="s">
        <v>198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IF($P$1="","",$P$1)</f>
        <v>だいち</v>
      </c>
      <c r="F10" s="8" t="s">
        <v>199</v>
      </c>
      <c r="G10" s="9">
        <v>-6000</v>
      </c>
      <c r="H10" s="9">
        <v>-1000</v>
      </c>
      <c r="I10" s="48">
        <v>-500</v>
      </c>
      <c r="J10" s="21">
        <f t="shared" si="2"/>
        <v>33000</v>
      </c>
      <c r="K10" s="8" t="s">
        <v>199</v>
      </c>
      <c r="L10" s="9">
        <v>-6000</v>
      </c>
      <c r="M10" s="9"/>
      <c r="N10" s="48">
        <v>-500</v>
      </c>
      <c r="O10" s="21">
        <f t="shared" si="3"/>
        <v>19200</v>
      </c>
      <c r="P10" s="8" t="s">
        <v>200</v>
      </c>
      <c r="Q10" s="9">
        <v>12000</v>
      </c>
      <c r="R10" s="9">
        <v>1000</v>
      </c>
      <c r="S10" s="48">
        <v>1000</v>
      </c>
      <c r="T10" s="21">
        <f t="shared" si="4"/>
        <v>52800</v>
      </c>
      <c r="U10" s="53">
        <f>IF($J10="","",ROUND(($J10-$J$3)/1000,1)+(_xlfn.RANK.AVG($J10,($J10,$O10,$T10),1)-2)*10)</f>
        <v>-2</v>
      </c>
      <c r="V10" s="54">
        <f>IF($O10="","",ROUND(($O10-$O$3)/1000,1)+(_xlfn.RANK.AVG($O10,($J10,$O10,$T10),1)-2)*10)</f>
        <v>-25.8</v>
      </c>
      <c r="W10" s="55">
        <f>IF($T10="","",ROUND(($T10-$T$3)/1000,1)+(_xlfn.RANK.AVG($T10,($J10,$O10,$T10),1)-2)*10)</f>
        <v>27.8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201</v>
      </c>
      <c r="BU10" s="40" t="s">
        <v>196</v>
      </c>
      <c r="BV10" s="41" t="s">
        <v>82</v>
      </c>
      <c r="BW10" s="41" t="s">
        <v>83</v>
      </c>
      <c r="BX10" s="41" t="s">
        <v>84</v>
      </c>
      <c r="BY10" s="41" t="s">
        <v>198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tr">
        <f>IF($P$1="","",$P$1)</f>
        <v>だいち</v>
      </c>
      <c r="F11" s="8" t="s">
        <v>200</v>
      </c>
      <c r="G11" s="9">
        <v>7700</v>
      </c>
      <c r="H11" s="9">
        <v>1000</v>
      </c>
      <c r="I11" s="48">
        <v>2000</v>
      </c>
      <c r="J11" s="21">
        <f t="shared" si="2"/>
        <v>43700</v>
      </c>
      <c r="K11" s="8" t="s">
        <v>199</v>
      </c>
      <c r="L11" s="9">
        <v>-2900</v>
      </c>
      <c r="M11" s="9">
        <v>-1000</v>
      </c>
      <c r="N11" s="48">
        <v>-1000</v>
      </c>
      <c r="O11" s="21">
        <f t="shared" si="3"/>
        <v>14300</v>
      </c>
      <c r="P11" s="8" t="s">
        <v>199</v>
      </c>
      <c r="Q11" s="9">
        <v>-4800</v>
      </c>
      <c r="R11" s="9"/>
      <c r="S11" s="48">
        <v>-1000</v>
      </c>
      <c r="T11" s="21">
        <f t="shared" si="4"/>
        <v>47000</v>
      </c>
      <c r="U11" s="53">
        <f>IF($J11="","",ROUND(($J11-$J$3)/1000,1)+(_xlfn.RANK.AVG($J11,($J11,$O11,$T11),1)-2)*10)</f>
        <v>8.6999999999999993</v>
      </c>
      <c r="V11" s="54">
        <f>IF($O11="","",ROUND(($O11-$O$3)/1000,1)+(_xlfn.RANK.AVG($O11,($J11,$O11,$T11),1)-2)*10)</f>
        <v>-30.7</v>
      </c>
      <c r="W11" s="55">
        <f>IF($T11="","",ROUND(($T11-$T$3)/1000,1)+(_xlfn.RANK.AVG($T11,($J11,$O11,$T11),1)-2)*10)</f>
        <v>22</v>
      </c>
      <c r="Y11" s="8"/>
      <c r="Z11" s="34"/>
      <c r="AA11" s="26">
        <v>1</v>
      </c>
      <c r="AB11" s="26"/>
      <c r="AC11" s="26">
        <v>4</v>
      </c>
      <c r="AD11" s="30">
        <v>30</v>
      </c>
      <c r="AE11" s="40" t="s">
        <v>196</v>
      </c>
      <c r="AF11" s="41" t="s">
        <v>82</v>
      </c>
      <c r="AG11" s="41" t="s">
        <v>92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たかの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99F9E342-EE4F-4A82-BF9D-50273CA02C0C}">
      <formula1>$U$2:$W$2</formula1>
    </dataValidation>
    <dataValidation type="list" showInputMessage="1" showErrorMessage="1" sqref="K4:K30 P4:P30 F4:F30" xr:uid="{F41350B2-40BB-48B7-803A-0FAEEA3CF4F8}">
      <formula1>"ロン,ツモ,放銃,ツモ支払,流局,チョンボ"</formula1>
    </dataValidation>
    <dataValidation type="list" allowBlank="1" showInputMessage="1" sqref="F1:T1" xr:uid="{0CC47D24-FAE1-4B31-89E2-B03FB95BBE1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2020-11-18T10:01:48Z</dcterms:modified>
</cp:coreProperties>
</file>