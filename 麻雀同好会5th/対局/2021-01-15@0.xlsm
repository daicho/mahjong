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7B96C65D-A753-4147-A7A1-5BF5F9AE77AA}" xr6:coauthVersionLast="45" xr6:coauthVersionMax="45" xr10:uidLastSave="{00000000-0000-0000-0000-000000000000}"/>
  <bookViews>
    <workbookView xWindow="-120" yWindow="-120" windowWidth="29040" windowHeight="1599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20" l="1"/>
  <c r="C12" i="20" s="1"/>
  <c r="E11" i="20"/>
  <c r="E10" i="20"/>
  <c r="C10" i="20" s="1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D9" i="20"/>
  <c r="D8" i="20"/>
  <c r="T6" i="20"/>
  <c r="T7" i="20" s="1"/>
  <c r="C6" i="20"/>
  <c r="D6" i="20"/>
  <c r="T5" i="20"/>
  <c r="O5" i="20"/>
  <c r="O6" i="20" s="1"/>
  <c r="B5" i="20"/>
  <c r="A5" i="20" s="1"/>
  <c r="D5" i="20"/>
  <c r="C5" i="20"/>
  <c r="T4" i="20"/>
  <c r="O4" i="20"/>
  <c r="J4" i="20"/>
  <c r="E4" i="20"/>
  <c r="W3" i="20"/>
  <c r="V3" i="20"/>
  <c r="U3" i="20"/>
  <c r="W2" i="20"/>
  <c r="V2" i="20"/>
  <c r="U2" i="20"/>
  <c r="BO1" i="20"/>
  <c r="AT1" i="20"/>
  <c r="Y1" i="20"/>
  <c r="D10" i="20" l="1"/>
  <c r="V4" i="20"/>
  <c r="W4" i="20"/>
  <c r="O7" i="20"/>
  <c r="T8" i="20"/>
  <c r="B6" i="20"/>
  <c r="B7" i="20" s="1"/>
  <c r="C11" i="20"/>
  <c r="U4" i="20"/>
  <c r="J5" i="20"/>
  <c r="V5" i="20" s="1"/>
  <c r="D11" i="20"/>
  <c r="C7" i="20"/>
  <c r="C8" i="20" s="1"/>
  <c r="C9" i="20" s="1"/>
  <c r="D7" i="20"/>
  <c r="B8" i="20" l="1"/>
  <c r="J6" i="20"/>
  <c r="U5" i="20"/>
  <c r="W5" i="20"/>
  <c r="A6" i="20"/>
  <c r="A7" i="20" s="1"/>
  <c r="T9" i="20"/>
  <c r="O8" i="20"/>
  <c r="U6" i="20" l="1"/>
  <c r="J7" i="20"/>
  <c r="W6" i="20"/>
  <c r="V6" i="20"/>
  <c r="B9" i="20"/>
  <c r="A8" i="20"/>
  <c r="O9" i="20"/>
  <c r="T10" i="20"/>
  <c r="A9" i="20" l="1"/>
  <c r="O10" i="20"/>
  <c r="T11" i="20"/>
  <c r="B10" i="20"/>
  <c r="U7" i="20"/>
  <c r="J8" i="20"/>
  <c r="W7" i="20"/>
  <c r="V7" i="20"/>
  <c r="T12" i="20" l="1"/>
  <c r="O11" i="20"/>
  <c r="J9" i="20"/>
  <c r="U8" i="20"/>
  <c r="W8" i="20"/>
  <c r="V8" i="20"/>
  <c r="B11" i="20"/>
  <c r="A10" i="20"/>
  <c r="B12" i="20" l="1"/>
  <c r="A12" i="20" s="1"/>
  <c r="U9" i="20"/>
  <c r="J10" i="20"/>
  <c r="W9" i="20"/>
  <c r="V9" i="20"/>
  <c r="A11" i="20"/>
  <c r="O12" i="20"/>
  <c r="J11" i="20" l="1"/>
  <c r="U10" i="20"/>
  <c r="W10" i="20"/>
  <c r="V10" i="20"/>
  <c r="J12" i="20" l="1"/>
  <c r="U11" i="20"/>
  <c r="W11" i="20"/>
  <c r="V11" i="20"/>
  <c r="U12" i="20" l="1"/>
  <c r="W12" i="20"/>
  <c r="V12" i="20"/>
  <c r="E12" i="19" l="1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W12" i="19" s="1"/>
  <c r="O12" i="19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12" i="19" l="1"/>
  <c r="U12" i="19"/>
  <c r="V11" i="19"/>
  <c r="W11" i="19"/>
  <c r="V9" i="19"/>
  <c r="U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<sst xmlns="http://schemas.openxmlformats.org/spreadsheetml/2006/main" count="683" uniqueCount="208">
  <si>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</si>
  <si>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</si>
  <si>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</si>
  <si>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</si>
  <si>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</si>
  <si>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</si>
  <si>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</si>
  <si>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</si>
  <si>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</si>
  <si>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</si>
  <si>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</si>
  <si>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</si>
  <si>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</si>
  <si>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</si>
  <si>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</si>
  <si>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</si>
  <si>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</si>
  <si>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</si>
  <si>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</si>
  <si>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</si>
  <si>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</si>
  <si>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</si>
  <si>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</si>
  <si>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</si>
  <si>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</si>
  <si>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</si>
  <si>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</si>
  <si>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</si>
  <si>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</si>
  <si>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</si>
  <si>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</si>
  <si>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</si>
  <si>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</si>
  <si>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</si>
  <si>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</si>
  <si>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</si>
  <si>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</si>
  <si>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</si>
  <si>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</si>
  <si>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</si>
  <si>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</si>
  <si>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</si>
  <si>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</si>
  <si>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</si>
  <si>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</si>
  <si>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</si>
  <si>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</si>
  <si>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</si>
  <si>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</si>
  <si>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</si>
  <si>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</si>
  <si>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</si>
  <si>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</si>
  <si>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</si>
  <si>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</si>
  <si>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</si>
  <si>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</si>
  <si>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</si>
  <si>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</si>
  <si>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</si>
  <si>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</si>
  <si>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</si>
  <si>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</si>
  <si>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</si>
  <si>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</si>
  <si>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</si>
  <si>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</si>
  <si>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</si>
  <si>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</si>
  <si>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</si>
  <si>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</si>
  <si>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</si>
  <si>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</si>
  <si>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</si>
  <si>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</si>
  <si>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</si>
  <si>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</si>
  <si>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</si>
  <si>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</si>
  <si>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</si>
  <si>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</si>
  <si>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</si>
  <si>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</si>
  <si>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</si>
  <si>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</si>
  <si>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</si>
  <si>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</si>
  <si>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</si>
  <si>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</si>
  <si>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</si>
  <si>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</si>
  <si>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</si>
  <si>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</si>
  <si>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</si>
  <si>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</si>
  <si>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</si>
  <si>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</si>
  <si>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</si>
  <si>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</si>
  <si>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</si>
  <si>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</si>
  <si>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</si>
  <si>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</si>
  <si>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</si>
  <si>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</si>
  <si>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</si>
  <si>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</si>
  <si>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</si>
  <si>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</si>
  <si>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</si>
  <si>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</si>
  <si>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</si>
  <si>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</si>
  <si>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</si>
  <si>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</si>
  <si>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</si>
  <si>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</si>
  <si>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</si>
  <si>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</si>
  <si>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</si>
  <si>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</si>
  <si>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</si>
  <si>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</si>
  <si>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</si>
  <si>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</si>
  <si>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</si>
  <si>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</si>
  <si>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</si>
  <si>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</si>
  <si>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</si>
  <si>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</si>
  <si>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</si>
  <si>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</si>
  <si>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</si>
  <si>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</si>
  <si>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</si>
  <si>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</si>
  <si>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</si>
  <si>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</si>
  <si>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</si>
  <si>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</si>
  <si>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</si>
  <si>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</si>
  <si>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</si>
  <si>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</si>
  <si>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</si>
  <si>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</si>
  <si>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</si>
  <si>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</si>
  <si>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</si>
  <si>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</si>
  <si>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</si>
  <si>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</si>
  <si>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</si>
  <si>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</si>
  <si>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</si>
  <si>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</si>
  <si>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</si>
  <si>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</si>
  <si>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</si>
  <si>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</si>
  <si>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</si>
  <si>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</si>
  <si>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</si>
  <si>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</si>
  <si>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</si>
  <si>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</si>
  <si>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</si>
  <si>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</si>
  <si>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</si>
  <si>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</si>
  <si>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</si>
  <si>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</si>
  <si>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</si>
  <si>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</si>
  <si>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</si>
  <si>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</si>
  <si>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</si>
  <si>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</si>
  <si>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</si>
  <si>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</si>
  <si>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</si>
  <si>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</si>
  <si>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</si>
  <si>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</si>
  <si>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</si>
  <si>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</si>
  <si>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</si>
  <si>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</si>
  <si>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</si>
  <si>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</si>
  <si>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</si>
  <si>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</si>
  <si>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だいち</t>
  </si>
  <si>
    <t>だいち</t>
    <phoneticPr fontId="1"/>
  </si>
  <si>
    <t>れんたろう</t>
    <phoneticPr fontId="1"/>
  </si>
  <si>
    <t>T</t>
  </si>
  <si>
    <t>N</t>
  </si>
  <si>
    <t>流局</t>
    <phoneticPr fontId="1"/>
  </si>
  <si>
    <t>ロン</t>
  </si>
  <si>
    <t>放銃</t>
  </si>
  <si>
    <t>01</t>
  </si>
  <si>
    <t>ツモ</t>
  </si>
  <si>
    <t>ツモ支払</t>
  </si>
  <si>
    <t>52</t>
  </si>
  <si>
    <t>*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</si>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</sst>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198</v>
      </c>
      <c r="G4" s="9">
        <v>1500</v>
      </c>
      <c r="H4" s="9"/>
      <c r="I4" s="48"/>
      <c r="J4" s="21">
        <f>IF(COUNTA($F4,$K4,$P4)&gt;0,J3+SUM(G4:I4),"")</f>
        <v>36500</v>
      </c>
      <c r="K4" s="8" t="s">
        <v>198</v>
      </c>
      <c r="L4" s="9">
        <v>1500</v>
      </c>
      <c r="M4" s="9"/>
      <c r="N4" s="48"/>
      <c r="O4" s="21">
        <f>IF(COUNTA($F4,$K4,$P4)&gt;0,O3+SUM(L4:N4),"")</f>
        <v>36500</v>
      </c>
      <c r="P4" s="8" t="s">
        <v>198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IF($J4="","",ROUND(($J4-$J$3)/1000,1)+(_xlfn.RANK.AVG($J4,($J4,$O4,$T4),1)-2)*10)</f>
        <v>6.5</v>
      </c>
      <c r="V4" s="54">
        <f>IF($O4="","",ROUND(($O4-$O$3)/1000,1)+(_xlfn.RANK.AVG($O4,($J4,$O4,$T4),1)-2)*10)</f>
        <v>6.5</v>
      </c>
      <c r="W4" s="55">
        <f>IF($T4="","",ROUND(($T4-$T$3)/1000,1)+(_xlfn.RANK.AVG($T4,($J4,$O4,$T4),1)-2)*10)</f>
        <v>-13</v>
      </c>
      <c r="Y4" s="8" t="s">
        <v>196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196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たかの</v>
      </c>
      <c r="F5" s="8"/>
      <c r="G5" s="9"/>
      <c r="H5" s="9"/>
      <c r="I5" s="48"/>
      <c r="J5" s="21">
        <f t="shared" ref="J5:J30" si="2">IF(COUNTA($F5,$K5,$P5)&gt;0,J4+SUM(G5:I5),"")</f>
        <v>36500</v>
      </c>
      <c r="K5" s="8" t="s">
        <v>199</v>
      </c>
      <c r="L5" s="9">
        <v>4500</v>
      </c>
      <c r="M5" s="9">
        <v>1000</v>
      </c>
      <c r="N5" s="48">
        <v>1000</v>
      </c>
      <c r="O5" s="21">
        <f t="shared" ref="O5:O30" si="3">IF(COUNTA($F5,$K5,$P5)&gt;0,O4+SUM(L5:N5),"")</f>
        <v>43000</v>
      </c>
      <c r="P5" s="8" t="s">
        <v>200</v>
      </c>
      <c r="Q5" s="9">
        <v>-4500</v>
      </c>
      <c r="R5" s="9">
        <v>-1000</v>
      </c>
      <c r="S5" s="48">
        <v>-1000</v>
      </c>
      <c r="T5" s="21">
        <f t="shared" ref="T5:T30" si="4">IF(COUNTA($F5,$K5,$P5)&gt;0,T4+SUM(Q5:S5),"")</f>
        <v>25500</v>
      </c>
      <c r="U5" s="53">
        <f>IF($J5="","",ROUND(($J5-$J$3)/1000,1)+(_xlfn.RANK.AVG($J5,($J5,$O5,$T5),1)-2)*10)</f>
        <v>1.5</v>
      </c>
      <c r="V5" s="54">
        <f>IF($O5="","",ROUND(($O5-$O$3)/1000,1)+(_xlfn.RANK.AVG($O5,($J5,$O5,$T5),1)-2)*10)</f>
        <v>18</v>
      </c>
      <c r="W5" s="55">
        <f>IF($T5="","",ROUND(($T5-$T$3)/1000,1)+(_xlfn.RANK.AVG($T5,($J5,$O5,$T5),1)-2)*10)</f>
        <v>-19.5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2</v>
      </c>
      <c r="AY5" s="30">
        <v>70</v>
      </c>
      <c r="AZ5" s="40" t="s">
        <v>201</v>
      </c>
      <c r="BA5" s="41" t="s">
        <v>86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202</v>
      </c>
      <c r="G6" s="9">
        <v>7700</v>
      </c>
      <c r="H6" s="9"/>
      <c r="I6" s="48">
        <v>0</v>
      </c>
      <c r="J6" s="21">
        <f t="shared" si="2"/>
        <v>44200</v>
      </c>
      <c r="K6" s="8" t="s">
        <v>203</v>
      </c>
      <c r="L6" s="9">
        <v>-4800</v>
      </c>
      <c r="M6" s="9"/>
      <c r="N6" s="48">
        <v>0</v>
      </c>
      <c r="O6" s="21">
        <f t="shared" si="3"/>
        <v>38200</v>
      </c>
      <c r="P6" s="8" t="s">
        <v>203</v>
      </c>
      <c r="Q6" s="9">
        <v>-2900</v>
      </c>
      <c r="R6" s="9"/>
      <c r="S6" s="48">
        <v>0</v>
      </c>
      <c r="T6" s="21">
        <f t="shared" si="4"/>
        <v>22600</v>
      </c>
      <c r="U6" s="53">
        <f>IF($J6="","",ROUND(($J6-$J$3)/1000,1)+(_xlfn.RANK.AVG($J6,($J6,$O6,$T6),1)-2)*10)</f>
        <v>19.2</v>
      </c>
      <c r="V6" s="54">
        <f>IF($O6="","",ROUND(($O6-$O$3)/1000,1)+(_xlfn.RANK.AVG($O6,($J6,$O6,$T6),1)-2)*10)</f>
        <v>3.2</v>
      </c>
      <c r="W6" s="55">
        <f>IF($T6="","",ROUND(($T6-$T$3)/1000,1)+(_xlfn.RANK.AVG($T6,($J6,$O6,$T6),1)-2)*10)</f>
        <v>-22.4</v>
      </c>
      <c r="Y6" s="8"/>
      <c r="Z6" s="34"/>
      <c r="AA6" s="26"/>
      <c r="AB6" s="26"/>
      <c r="AC6" s="26">
        <v>4</v>
      </c>
      <c r="AD6" s="30">
        <v>30</v>
      </c>
      <c r="AE6" s="40" t="s">
        <v>82</v>
      </c>
      <c r="AF6" s="41" t="s">
        <v>86</v>
      </c>
      <c r="AG6" s="41" t="s">
        <v>204</v>
      </c>
      <c r="AH6" s="41" t="s">
        <v>204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/>
      <c r="G7" s="9"/>
      <c r="H7" s="9"/>
      <c r="I7" s="48"/>
      <c r="J7" s="21">
        <f t="shared" si="2"/>
        <v>44200</v>
      </c>
      <c r="K7" s="8" t="s">
        <v>200</v>
      </c>
      <c r="L7" s="9">
        <v>-18000</v>
      </c>
      <c r="M7" s="9">
        <v>-1000</v>
      </c>
      <c r="N7" s="48">
        <v>0</v>
      </c>
      <c r="O7" s="21">
        <f t="shared" si="3"/>
        <v>19200</v>
      </c>
      <c r="P7" s="8" t="s">
        <v>199</v>
      </c>
      <c r="Q7" s="9">
        <v>18000</v>
      </c>
      <c r="R7" s="9">
        <v>1000</v>
      </c>
      <c r="S7" s="48">
        <v>0</v>
      </c>
      <c r="T7" s="21">
        <f t="shared" si="4"/>
        <v>41600</v>
      </c>
      <c r="U7" s="53">
        <f>IF($J7="","",ROUND(($J7-$J$3)/1000,1)+(_xlfn.RANK.AVG($J7,($J7,$O7,$T7),1)-2)*10)</f>
        <v>19.2</v>
      </c>
      <c r="V7" s="54">
        <f>IF($O7="","",ROUND(($O7-$O$3)/1000,1)+(_xlfn.RANK.AVG($O7,($J7,$O7,$T7),1)-2)*10)</f>
        <v>-25.8</v>
      </c>
      <c r="W7" s="55">
        <f>IF($T7="","",ROUND(($T7-$T$3)/1000,1)+(_xlfn.RANK.AVG($T7,($J7,$O7,$T7),1)-2)*10)</f>
        <v>6.6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7</v>
      </c>
      <c r="BT7" s="30" t="s">
        <v>205</v>
      </c>
      <c r="BU7" s="40" t="s">
        <v>201</v>
      </c>
      <c r="BV7" s="41" t="s">
        <v>101</v>
      </c>
      <c r="BW7" s="41" t="s">
        <v>79</v>
      </c>
      <c r="BX7" s="41" t="s">
        <v>79</v>
      </c>
      <c r="BY7" s="41" t="s">
        <v>80</v>
      </c>
      <c r="BZ7" s="41" t="s">
        <v>80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れんたろう</v>
      </c>
      <c r="F8" s="8" t="s">
        <v>200</v>
      </c>
      <c r="G8" s="9">
        <v>-2900</v>
      </c>
      <c r="H8" s="9"/>
      <c r="I8" s="48">
        <v>-1000</v>
      </c>
      <c r="J8" s="21">
        <f t="shared" si="2"/>
        <v>40300</v>
      </c>
      <c r="K8" s="8"/>
      <c r="L8" s="9"/>
      <c r="M8" s="9"/>
      <c r="N8" s="48"/>
      <c r="O8" s="21">
        <f t="shared" si="3"/>
        <v>19200</v>
      </c>
      <c r="P8" s="8" t="s">
        <v>199</v>
      </c>
      <c r="Q8" s="9">
        <v>2900</v>
      </c>
      <c r="R8" s="9"/>
      <c r="S8" s="48">
        <v>1000</v>
      </c>
      <c r="T8" s="21">
        <f t="shared" si="4"/>
        <v>45500</v>
      </c>
      <c r="U8" s="53">
        <f>IF($J8="","",ROUND(($J8-$J$3)/1000,1)+(_xlfn.RANK.AVG($J8,($J8,$O8,$T8),1)-2)*10)</f>
        <v>5.3</v>
      </c>
      <c r="V8" s="54">
        <f>IF($O8="","",ROUND(($O8-$O$3)/1000,1)+(_xlfn.RANK.AVG($O8,($J8,$O8,$T8),1)-2)*10)</f>
        <v>-25.8</v>
      </c>
      <c r="W8" s="55">
        <f>IF($T8="","",ROUND(($T8-$T$3)/1000,1)+(_xlfn.RANK.AVG($T8,($J8,$O8,$T8),1)-2)*10)</f>
        <v>20.5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2</v>
      </c>
      <c r="BT8" s="30">
        <v>30</v>
      </c>
      <c r="BU8" s="40" t="s">
        <v>201</v>
      </c>
      <c r="BV8" s="41" t="s">
        <v>83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IF($P$1="","",$P$1)</f>
        <v>れんたろう</v>
      </c>
      <c r="F9" s="8" t="s">
        <v>199</v>
      </c>
      <c r="G9" s="9">
        <v>8000</v>
      </c>
      <c r="H9" s="9"/>
      <c r="I9" s="48">
        <v>2000</v>
      </c>
      <c r="J9" s="21">
        <f t="shared" si="2"/>
        <v>50300</v>
      </c>
      <c r="K9" s="8" t="s">
        <v>200</v>
      </c>
      <c r="L9" s="9">
        <v>-8000</v>
      </c>
      <c r="M9" s="9"/>
      <c r="N9" s="48">
        <v>-2000</v>
      </c>
      <c r="O9" s="21">
        <f t="shared" si="3"/>
        <v>9200</v>
      </c>
      <c r="P9" s="8"/>
      <c r="Q9" s="9"/>
      <c r="R9" s="9"/>
      <c r="S9" s="48"/>
      <c r="T9" s="21">
        <f t="shared" si="4"/>
        <v>45500</v>
      </c>
      <c r="U9" s="53">
        <f>IF($J9="","",ROUND(($J9-$J$3)/1000,1)+(_xlfn.RANK.AVG($J9,($J9,$O9,$T9),1)-2)*10)</f>
        <v>25.3</v>
      </c>
      <c r="V9" s="54">
        <f>IF($O9="","",ROUND(($O9-$O$3)/1000,1)+(_xlfn.RANK.AVG($O9,($J9,$O9,$T9),1)-2)*10)</f>
        <v>-35.799999999999997</v>
      </c>
      <c r="W9" s="55">
        <f>IF($T9="","",ROUND(($T9-$T$3)/1000,1)+(_xlfn.RANK.AVG($T9,($J9,$O9,$T9),1)-2)*10)</f>
        <v>10.5</v>
      </c>
      <c r="Y9" s="8"/>
      <c r="Z9" s="34"/>
      <c r="AA9" s="26">
        <v>1</v>
      </c>
      <c r="AB9" s="26"/>
      <c r="AC9" s="26">
        <v>4</v>
      </c>
      <c r="AD9" s="30">
        <v>40</v>
      </c>
      <c r="AE9" s="40" t="s">
        <v>201</v>
      </c>
      <c r="AF9" s="41" t="s">
        <v>84</v>
      </c>
      <c r="AG9" s="41" t="s">
        <v>86</v>
      </c>
      <c r="AH9" s="41" t="s">
        <v>204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たかの</v>
      </c>
      <c r="F10" s="8"/>
      <c r="G10" s="9"/>
      <c r="H10" s="9">
        <v>-1000</v>
      </c>
      <c r="I10" s="48"/>
      <c r="J10" s="21">
        <f t="shared" si="2"/>
        <v>49300</v>
      </c>
      <c r="K10" s="8" t="s">
        <v>199</v>
      </c>
      <c r="L10" s="9">
        <v>8000</v>
      </c>
      <c r="M10" s="9">
        <v>1000</v>
      </c>
      <c r="N10" s="48">
        <v>0</v>
      </c>
      <c r="O10" s="21">
        <f t="shared" si="3"/>
        <v>18200</v>
      </c>
      <c r="P10" s="8" t="s">
        <v>200</v>
      </c>
      <c r="Q10" s="9">
        <v>-8000</v>
      </c>
      <c r="R10" s="9"/>
      <c r="S10" s="48">
        <v>0</v>
      </c>
      <c r="T10" s="21">
        <f t="shared" si="4"/>
        <v>37500</v>
      </c>
      <c r="U10" s="53">
        <f>IF($J10="","",ROUND(($J10-$J$3)/1000,1)+(_xlfn.RANK.AVG($J10,($J10,$O10,$T10),1)-2)*10)</f>
        <v>24.3</v>
      </c>
      <c r="V10" s="54">
        <f>IF($O10="","",ROUND(($O10-$O$3)/1000,1)+(_xlfn.RANK.AVG($O10,($J10,$O10,$T10),1)-2)*10)</f>
        <v>-26.8</v>
      </c>
      <c r="W10" s="55">
        <f>IF($T10="","",ROUND(($T10-$T$3)/1000,1)+(_xlfn.RANK.AVG($T10,($J10,$O10,$T10),1)-2)*10)</f>
        <v>2.5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5</v>
      </c>
      <c r="AY10" s="30" t="s">
        <v>205</v>
      </c>
      <c r="AZ10" s="40" t="s">
        <v>104</v>
      </c>
      <c r="BA10" s="41" t="s">
        <v>86</v>
      </c>
      <c r="BB10" s="41" t="s">
        <v>86</v>
      </c>
      <c r="BC10" s="41" t="s">
        <v>204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だいち</v>
      </c>
      <c r="F11" s="8" t="s">
        <v>203</v>
      </c>
      <c r="G11" s="9">
        <v>-800</v>
      </c>
      <c r="H11" s="9"/>
      <c r="I11" s="48">
        <v>0</v>
      </c>
      <c r="J11" s="21">
        <f t="shared" si="2"/>
        <v>48500</v>
      </c>
      <c r="K11" s="8" t="s">
        <v>203</v>
      </c>
      <c r="L11" s="9">
        <v>-1300</v>
      </c>
      <c r="M11" s="9">
        <v>-1000</v>
      </c>
      <c r="N11" s="48">
        <v>0</v>
      </c>
      <c r="O11" s="21">
        <f t="shared" si="3"/>
        <v>15900</v>
      </c>
      <c r="P11" s="8" t="s">
        <v>202</v>
      </c>
      <c r="Q11" s="9">
        <v>2100</v>
      </c>
      <c r="R11" s="9">
        <v>1000</v>
      </c>
      <c r="S11" s="48">
        <v>0</v>
      </c>
      <c r="T11" s="21">
        <f t="shared" si="4"/>
        <v>40600</v>
      </c>
      <c r="U11" s="53">
        <f>IF($J11="","",ROUND(($J11-$J$3)/1000,1)+(_xlfn.RANK.AVG($J11,($J11,$O11,$T11),1)-2)*10)</f>
        <v>23.5</v>
      </c>
      <c r="V11" s="54">
        <f>IF($O11="","",ROUND(($O11-$O$3)/1000,1)+(_xlfn.RANK.AVG($O11,($J11,$O11,$T11),1)-2)*10)</f>
        <v>-29.1</v>
      </c>
      <c r="W11" s="55">
        <f>IF($T11="","",ROUND(($T11-$T$3)/1000,1)+(_xlfn.RANK.AVG($T11,($J11,$O11,$T11),1)-2)*10)</f>
        <v>5.6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86</v>
      </c>
      <c r="BV11" s="41" t="s">
        <v>86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れんたろう</v>
      </c>
      <c r="F12" s="8" t="s">
        <v>199</v>
      </c>
      <c r="G12" s="9">
        <v>1000</v>
      </c>
      <c r="H12" s="9"/>
      <c r="I12" s="48">
        <v>0</v>
      </c>
      <c r="J12" s="21">
        <f t="shared" si="2"/>
        <v>49500</v>
      </c>
      <c r="K12" s="8" t="s">
        <v>200</v>
      </c>
      <c r="L12" s="9">
        <v>-1000</v>
      </c>
      <c r="M12" s="9"/>
      <c r="N12" s="48">
        <v>0</v>
      </c>
      <c r="O12" s="21">
        <f t="shared" si="3"/>
        <v>14900</v>
      </c>
      <c r="P12" s="8"/>
      <c r="Q12" s="9"/>
      <c r="R12" s="9"/>
      <c r="S12" s="48"/>
      <c r="T12" s="21">
        <f t="shared" si="4"/>
        <v>40600</v>
      </c>
      <c r="U12" s="53">
        <f>IF($J12="","",ROUND(($J12-$J$3)/1000,1)+(_xlfn.RANK.AVG($J12,($J12,$O12,$T12),1)-2)*10)</f>
        <v>24.5</v>
      </c>
      <c r="V12" s="54">
        <f>IF($O12="","",ROUND(($O12-$O$3)/1000,1)+(_xlfn.RANK.AVG($O12,($J12,$O12,$T12),1)-2)*10)</f>
        <v>-30.1</v>
      </c>
      <c r="W12" s="55">
        <f>IF($T12="","",ROUND(($T12-$T$3)/1000,1)+(_xlfn.RANK.AVG($T12,($J12,$O12,$T12),1)-2)*10)</f>
        <v>5.6</v>
      </c>
      <c r="Y12" s="8"/>
      <c r="Z12" s="34"/>
      <c r="AA12" s="26"/>
      <c r="AB12" s="26">
        <v>1</v>
      </c>
      <c r="AC12" s="26">
        <v>1</v>
      </c>
      <c r="AD12" s="30">
        <v>30</v>
      </c>
      <c r="AE12" s="40" t="s">
        <v>86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3F705E9-7729-4591-99A6-A9D1761DA0B9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0EC2C-58FA-49A7-A1A1-605330AE091B}">
  <sheetPr codeName="Sheet11">
    <pageSetUpPr fitToPage="1"/>
  </sheetPr>
  <dimension ref="A1:CI30"/>
  <sheetViews>
    <sheetView tabSelected="1" zoomScaleNormal="100" workbookViewId="0">
      <selection activeCell="K1" sqref="K1:O1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たかの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200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199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IF($J4="","",ROUND(($J4-$J$3)/1000,1)+(_xlfn.RANK.AVG($J4,($J4,$O4,$T4),1)-2)*10)</f>
        <v>-22</v>
      </c>
      <c r="V4" s="54">
        <f>IF($O4="","",ROUND(($O4-$O$3)/1000,1)+(_xlfn.RANK.AVG($O4,($J4,$O4,$T4),1)-2)*10)</f>
        <v>-1</v>
      </c>
      <c r="W4" s="55">
        <f>IF($T4="","",ROUND(($T4-$T$3)/1000,1)+(_xlfn.RANK.AVG($T4,($J4,$O4,$T4),1)-2)*10)</f>
        <v>23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6</v>
      </c>
      <c r="BT4" s="30" t="s">
        <v>205</v>
      </c>
      <c r="BU4" s="40" t="s">
        <v>106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 t="s">
        <v>206</v>
      </c>
      <c r="G5" s="9">
        <v>-1500</v>
      </c>
      <c r="H5" s="9"/>
      <c r="I5" s="48"/>
      <c r="J5" s="21">
        <f t="shared" ref="J5:J30" si="2">IF(COUNTA($F5,$K5,$P5)&gt;0,J4+SUM(G5:I5),"")</f>
        <v>21500</v>
      </c>
      <c r="K5" s="8" t="s">
        <v>206</v>
      </c>
      <c r="L5" s="9">
        <v>-1500</v>
      </c>
      <c r="M5" s="9"/>
      <c r="N5" s="48"/>
      <c r="O5" s="21">
        <f t="shared" ref="O5:O30" si="3">IF(COUNTA($F5,$K5,$P5)&gt;0,O4+SUM(L5:N5),"")</f>
        <v>32500</v>
      </c>
      <c r="P5" s="8" t="s">
        <v>206</v>
      </c>
      <c r="Q5" s="9">
        <v>3000</v>
      </c>
      <c r="R5" s="9">
        <v>-1000</v>
      </c>
      <c r="S5" s="48"/>
      <c r="T5" s="21">
        <f t="shared" ref="T5:T30" si="4">IF(COUNTA($F5,$K5,$P5)&gt;0,T4+SUM(Q5:S5),"")</f>
        <v>50000</v>
      </c>
      <c r="U5" s="53">
        <f>IF($J5="","",ROUND(($J5-$J$3)/1000,1)+(_xlfn.RANK.AVG($J5,($J5,$O5,$T5),1)-2)*10)</f>
        <v>-23.5</v>
      </c>
      <c r="V5" s="54">
        <f>IF($O5="","",ROUND(($O5-$O$3)/1000,1)+(_xlfn.RANK.AVG($O5,($J5,$O5,$T5),1)-2)*10)</f>
        <v>-2.5</v>
      </c>
      <c r="W5" s="55">
        <f>IF($T5="","",ROUND(($T5-$T$3)/1000,1)+(_xlfn.RANK.AVG($T5,($J5,$O5,$T5),1)-2)*10)</f>
        <v>25</v>
      </c>
      <c r="Y5" s="8" t="s">
        <v>197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196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tr">
        <f>IF($P$1="","",$P$1)</f>
        <v>れんたろう</v>
      </c>
      <c r="F6" s="8" t="s">
        <v>206</v>
      </c>
      <c r="G6" s="9">
        <v>1500</v>
      </c>
      <c r="H6" s="9">
        <v>-1000</v>
      </c>
      <c r="I6" s="48"/>
      <c r="J6" s="21">
        <f t="shared" si="2"/>
        <v>22000</v>
      </c>
      <c r="K6" s="8" t="s">
        <v>206</v>
      </c>
      <c r="L6" s="9">
        <v>-3000</v>
      </c>
      <c r="M6" s="9"/>
      <c r="N6" s="48"/>
      <c r="O6" s="21">
        <f t="shared" si="3"/>
        <v>29500</v>
      </c>
      <c r="P6" s="8" t="s">
        <v>206</v>
      </c>
      <c r="Q6" s="9">
        <v>1500</v>
      </c>
      <c r="R6" s="9">
        <v>-1000</v>
      </c>
      <c r="S6" s="48"/>
      <c r="T6" s="21">
        <f t="shared" si="4"/>
        <v>50500</v>
      </c>
      <c r="U6" s="53">
        <f>IF($J6="","",ROUND(($J6-$J$3)/1000,1)+(_xlfn.RANK.AVG($J6,($J6,$O6,$T6),1)-2)*10)</f>
        <v>-23</v>
      </c>
      <c r="V6" s="54">
        <f>IF($O6="","",ROUND(($O6-$O$3)/1000,1)+(_xlfn.RANK.AVG($O6,($J6,$O6,$T6),1)-2)*10)</f>
        <v>-5.5</v>
      </c>
      <c r="W6" s="55">
        <f>IF($T6="","",ROUND(($T6-$T$3)/1000,1)+(_xlfn.RANK.AVG($T6,($J6,$O6,$T6),1)-2)*10)</f>
        <v>25.5</v>
      </c>
      <c r="Y6" s="8" t="s">
        <v>196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197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196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3</v>
      </c>
      <c r="E7" s="4" t="str">
        <f>IF($P$1="","",$P$1)</f>
        <v>れんたろう</v>
      </c>
      <c r="F7" s="8"/>
      <c r="G7" s="9"/>
      <c r="H7" s="9"/>
      <c r="I7" s="48"/>
      <c r="J7" s="21">
        <f t="shared" si="2"/>
        <v>22000</v>
      </c>
      <c r="K7" s="8" t="s">
        <v>199</v>
      </c>
      <c r="L7" s="9">
        <v>8000</v>
      </c>
      <c r="M7" s="9">
        <v>3000</v>
      </c>
      <c r="N7" s="48">
        <v>2000</v>
      </c>
      <c r="O7" s="21">
        <f t="shared" si="3"/>
        <v>42500</v>
      </c>
      <c r="P7" s="8" t="s">
        <v>200</v>
      </c>
      <c r="Q7" s="9">
        <v>-8000</v>
      </c>
      <c r="R7" s="9"/>
      <c r="S7" s="48">
        <v>-2000</v>
      </c>
      <c r="T7" s="21">
        <f t="shared" si="4"/>
        <v>40500</v>
      </c>
      <c r="U7" s="53">
        <f>IF($J7="","",ROUND(($J7-$J$3)/1000,1)+(_xlfn.RANK.AVG($J7,($J7,$O7,$T7),1)-2)*10)</f>
        <v>-23</v>
      </c>
      <c r="V7" s="54">
        <f>IF($O7="","",ROUND(($O7-$O$3)/1000,1)+(_xlfn.RANK.AVG($O7,($J7,$O7,$T7),1)-2)*10)</f>
        <v>17.5</v>
      </c>
      <c r="W7" s="55">
        <f>IF($T7="","",ROUND(($T7-$T$3)/1000,1)+(_xlfn.RANK.AVG($T7,($J7,$O7,$T7),1)-2)*10)</f>
        <v>5.5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40</v>
      </c>
      <c r="AZ7" s="40" t="s">
        <v>201</v>
      </c>
      <c r="BA7" s="41" t="s">
        <v>86</v>
      </c>
      <c r="BB7" s="41" t="s">
        <v>204</v>
      </c>
      <c r="BC7" s="41" t="s">
        <v>80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206</v>
      </c>
      <c r="G8" s="9">
        <v>1500</v>
      </c>
      <c r="H8" s="9">
        <v>-1000</v>
      </c>
      <c r="I8" s="48"/>
      <c r="J8" s="21">
        <f t="shared" si="2"/>
        <v>22500</v>
      </c>
      <c r="K8" s="8" t="s">
        <v>206</v>
      </c>
      <c r="L8" s="9">
        <v>-3000</v>
      </c>
      <c r="M8" s="9"/>
      <c r="N8" s="48"/>
      <c r="O8" s="21">
        <f t="shared" si="3"/>
        <v>39500</v>
      </c>
      <c r="P8" s="8" t="s">
        <v>206</v>
      </c>
      <c r="Q8" s="9">
        <v>1500</v>
      </c>
      <c r="R8" s="9"/>
      <c r="S8" s="48"/>
      <c r="T8" s="21">
        <f t="shared" si="4"/>
        <v>42000</v>
      </c>
      <c r="U8" s="53">
        <f>IF($J8="","",ROUND(($J8-$J$3)/1000,1)+(_xlfn.RANK.AVG($J8,($J8,$O8,$T8),1)-2)*10)</f>
        <v>-22.5</v>
      </c>
      <c r="V8" s="54">
        <f>IF($O8="","",ROUND(($O8-$O$3)/1000,1)+(_xlfn.RANK.AVG($O8,($J8,$O8,$T8),1)-2)*10)</f>
        <v>4.5</v>
      </c>
      <c r="W8" s="55">
        <f>IF($T8="","",ROUND(($T8-$T$3)/1000,1)+(_xlfn.RANK.AVG($T8,($J8,$O8,$T8),1)-2)*10)</f>
        <v>17</v>
      </c>
      <c r="Y8" s="8" t="s">
        <v>196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197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196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1</v>
      </c>
      <c r="E9" s="4" t="str">
        <f>IF($F$1="","",$F$1)</f>
        <v>だいち</v>
      </c>
      <c r="F9" s="8" t="s">
        <v>203</v>
      </c>
      <c r="G9" s="9">
        <v>-10000</v>
      </c>
      <c r="H9" s="9"/>
      <c r="I9" s="48">
        <v>-500</v>
      </c>
      <c r="J9" s="21">
        <f t="shared" si="2"/>
        <v>12000</v>
      </c>
      <c r="K9" s="8" t="s">
        <v>203</v>
      </c>
      <c r="L9" s="9">
        <v>-6000</v>
      </c>
      <c r="M9" s="9"/>
      <c r="N9" s="48">
        <v>-500</v>
      </c>
      <c r="O9" s="21">
        <f t="shared" si="3"/>
        <v>33000</v>
      </c>
      <c r="P9" s="8" t="s">
        <v>202</v>
      </c>
      <c r="Q9" s="9">
        <v>16000</v>
      </c>
      <c r="R9" s="9">
        <v>1000</v>
      </c>
      <c r="S9" s="48">
        <v>1000</v>
      </c>
      <c r="T9" s="21">
        <f t="shared" si="4"/>
        <v>60000</v>
      </c>
      <c r="U9" s="53">
        <f>IF($J9="","",ROUND(($J9-$J$3)/1000,1)+(_xlfn.RANK.AVG($J9,($J9,$O9,$T9),1)-2)*10)</f>
        <v>-33</v>
      </c>
      <c r="V9" s="54">
        <f>IF($O9="","",ROUND(($O9-$O$3)/1000,1)+(_xlfn.RANK.AVG($O9,($J9,$O9,$T9),1)-2)*10)</f>
        <v>-2</v>
      </c>
      <c r="W9" s="55">
        <f>IF($T9="","",ROUND(($T9-$T$3)/1000,1)+(_xlfn.RANK.AVG($T9,($J9,$O9,$T9),1)-2)*10)</f>
        <v>35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9</v>
      </c>
      <c r="BT9" s="30" t="s">
        <v>205</v>
      </c>
      <c r="BU9" s="40" t="s">
        <v>201</v>
      </c>
      <c r="BV9" s="41" t="s">
        <v>82</v>
      </c>
      <c r="BW9" s="41" t="s">
        <v>83</v>
      </c>
      <c r="BX9" s="41" t="s">
        <v>79</v>
      </c>
      <c r="BY9" s="41" t="s">
        <v>79</v>
      </c>
      <c r="BZ9" s="41" t="s">
        <v>80</v>
      </c>
      <c r="CA9" s="41" t="s">
        <v>80</v>
      </c>
      <c r="CB9" s="41" t="s">
        <v>80</v>
      </c>
      <c r="CC9" s="41" t="s">
        <v>207</v>
      </c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たかの</v>
      </c>
      <c r="F10" s="8" t="s">
        <v>203</v>
      </c>
      <c r="G10" s="9">
        <v>-9000</v>
      </c>
      <c r="H10" s="9"/>
      <c r="I10" s="48">
        <v>0</v>
      </c>
      <c r="J10" s="21">
        <f t="shared" si="2"/>
        <v>3000</v>
      </c>
      <c r="K10" s="8" t="s">
        <v>202</v>
      </c>
      <c r="L10" s="9">
        <v>18000</v>
      </c>
      <c r="M10" s="9"/>
      <c r="N10" s="48">
        <v>0</v>
      </c>
      <c r="O10" s="21">
        <f t="shared" si="3"/>
        <v>51000</v>
      </c>
      <c r="P10" s="8" t="s">
        <v>203</v>
      </c>
      <c r="Q10" s="9">
        <v>-9000</v>
      </c>
      <c r="R10" s="9"/>
      <c r="S10" s="48">
        <v>0</v>
      </c>
      <c r="T10" s="21">
        <f t="shared" si="4"/>
        <v>51000</v>
      </c>
      <c r="U10" s="53">
        <f>IF($J10="","",ROUND(($J10-$J$3)/1000,1)+(_xlfn.RANK.AVG($J10,($J10,$O10,$T10),1)-2)*10)</f>
        <v>-42</v>
      </c>
      <c r="V10" s="54">
        <f>IF($O10="","",ROUND(($O10-$O$3)/1000,1)+(_xlfn.RANK.AVG($O10,($J10,$O10,$T10),1)-2)*10)</f>
        <v>21</v>
      </c>
      <c r="W10" s="55">
        <f>IF($T10="","",ROUND(($T10-$T$3)/1000,1)+(_xlfn.RANK.AVG($T10,($J10,$O10,$T10),1)-2)*10)</f>
        <v>21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7</v>
      </c>
      <c r="AY10" s="30" t="s">
        <v>205</v>
      </c>
      <c r="AZ10" s="40" t="s">
        <v>82</v>
      </c>
      <c r="BA10" s="41" t="s">
        <v>101</v>
      </c>
      <c r="BB10" s="41" t="s">
        <v>104</v>
      </c>
      <c r="BC10" s="41" t="s">
        <v>204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たかの</v>
      </c>
      <c r="F11" s="8" t="s">
        <v>203</v>
      </c>
      <c r="G11" s="9">
        <v>-5800</v>
      </c>
      <c r="H11" s="9"/>
      <c r="I11" s="48">
        <v>-500</v>
      </c>
      <c r="J11" s="21">
        <f t="shared" si="2"/>
        <v>-3300</v>
      </c>
      <c r="K11" s="8" t="s">
        <v>202</v>
      </c>
      <c r="L11" s="9">
        <v>11600</v>
      </c>
      <c r="M11" s="9"/>
      <c r="N11" s="48">
        <v>1000</v>
      </c>
      <c r="O11" s="21">
        <f t="shared" si="3"/>
        <v>63600</v>
      </c>
      <c r="P11" s="8" t="s">
        <v>203</v>
      </c>
      <c r="Q11" s="9">
        <v>-5800</v>
      </c>
      <c r="R11" s="9"/>
      <c r="S11" s="48">
        <v>-500</v>
      </c>
      <c r="T11" s="21">
        <f t="shared" si="4"/>
        <v>44700</v>
      </c>
      <c r="U11" s="53">
        <f>IF($J11="","",ROUND(($J11-$J$3)/1000,1)+(_xlfn.RANK.AVG($J11,($J11,$O11,$T11),1)-2)*10)</f>
        <v>-48.3</v>
      </c>
      <c r="V11" s="54">
        <f>IF($O11="","",ROUND(($O11-$O$3)/1000,1)+(_xlfn.RANK.AVG($O11,($J11,$O11,$T11),1)-2)*10)</f>
        <v>38.6</v>
      </c>
      <c r="W11" s="55">
        <f>IF($T11="","",ROUND(($T11-$T$3)/1000,1)+(_xlfn.RANK.AVG($T11,($J11,$O11,$T11),1)-2)*10)</f>
        <v>9.6999999999999993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30</v>
      </c>
      <c r="AZ11" s="40" t="s">
        <v>201</v>
      </c>
      <c r="BA11" s="41" t="s">
        <v>207</v>
      </c>
      <c r="BB11" s="41" t="s">
        <v>82</v>
      </c>
      <c r="BC11" s="41" t="s">
        <v>85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tr">
        <f>IF($K$1="","",$K$1)</f>
        <v>たかの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8A7BC573-8DCD-43D3-BD67-49F2DED544DB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showInputMessage="1" showErrorMessage="1" sqref="K4:K30 P4:P30 F4:F30" xr:uid="{C8E576D8-6534-4708-86CD-C492B164E270}">
      <formula1>"ロン,ツモ,放銃,ツモ支払,流局,チョンボ"</formula1>
    </dataValidation>
    <dataValidation type="list" allowBlank="1" showInputMessage="1" showErrorMessage="1" sqref="E4:E30" xr:uid="{35ED2B4A-0F96-4591-A9AA-1D075BB0B5D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2021-01-15T08:06:20Z</dcterms:modified>
</cp:coreProperties>
</file>