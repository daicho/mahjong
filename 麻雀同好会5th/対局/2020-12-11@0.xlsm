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AB93D0A4-1131-4E0B-97D9-AB1E715C6CA0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0" l="1"/>
  <c r="D12" i="20" s="1"/>
  <c r="E11" i="20"/>
  <c r="E10" i="20"/>
  <c r="E9" i="20"/>
  <c r="E8" i="20"/>
  <c r="E7" i="20"/>
  <c r="E6" i="20"/>
  <c r="C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1" i="20"/>
  <c r="D10" i="20"/>
  <c r="D9" i="20"/>
  <c r="T7" i="20"/>
  <c r="T8" i="20" s="1"/>
  <c r="C7" i="20"/>
  <c r="D7" i="20"/>
  <c r="T6" i="20"/>
  <c r="O6" i="20"/>
  <c r="O7" i="20" s="1"/>
  <c r="D6" i="20"/>
  <c r="T5" i="20"/>
  <c r="O5" i="20"/>
  <c r="J5" i="20"/>
  <c r="J6" i="20" s="1"/>
  <c r="D5" i="20"/>
  <c r="T4" i="20"/>
  <c r="O4" i="20"/>
  <c r="J4" i="20"/>
  <c r="E4" i="20"/>
  <c r="C5" i="20" s="1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V5" i="20" l="1"/>
  <c r="V4" i="20"/>
  <c r="U4" i="20"/>
  <c r="O8" i="20"/>
  <c r="U6" i="20"/>
  <c r="W6" i="20"/>
  <c r="J7" i="20"/>
  <c r="T9" i="20"/>
  <c r="W5" i="20"/>
  <c r="C8" i="20"/>
  <c r="V6" i="20"/>
  <c r="D8" i="20"/>
  <c r="C11" i="20"/>
  <c r="W4" i="20"/>
  <c r="C12" i="20"/>
  <c r="C9" i="20"/>
  <c r="C10" i="20" s="1"/>
  <c r="U5" i="20"/>
  <c r="B5" i="20"/>
  <c r="A5" i="20" s="1"/>
  <c r="E4" i="19"/>
  <c r="O9" i="20" l="1"/>
  <c r="T10" i="20"/>
  <c r="B6" i="20"/>
  <c r="J8" i="20"/>
  <c r="V8" i="20" s="1"/>
  <c r="U7" i="20"/>
  <c r="W7" i="20"/>
  <c r="V7" i="20"/>
  <c r="W3" i="19"/>
  <c r="V3" i="19"/>
  <c r="U3" i="19"/>
  <c r="O10" i="20" l="1"/>
  <c r="T11" i="20"/>
  <c r="U8" i="20"/>
  <c r="J9" i="20"/>
  <c r="V9" i="20" s="1"/>
  <c r="W8" i="20"/>
  <c r="B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11" i="20" l="1"/>
  <c r="B8" i="20"/>
  <c r="A7" i="20"/>
  <c r="T12" i="20"/>
  <c r="J10" i="20"/>
  <c r="V10" i="20" s="1"/>
  <c r="U9" i="20"/>
  <c r="W9" i="20"/>
  <c r="U12" i="19"/>
  <c r="W12" i="19"/>
  <c r="U11" i="19"/>
  <c r="V11" i="19"/>
  <c r="W11" i="19"/>
  <c r="U10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9" i="20" l="1"/>
  <c r="A9" i="20" s="1"/>
  <c r="O12" i="20"/>
  <c r="J11" i="20"/>
  <c r="V11" i="20" s="1"/>
  <c r="U10" i="20"/>
  <c r="W10" i="20"/>
  <c r="A8" i="20"/>
  <c r="W5" i="19"/>
  <c r="V5" i="19"/>
  <c r="U5" i="19"/>
  <c r="B10" i="20" l="1"/>
  <c r="J12" i="20"/>
  <c r="U11" i="20"/>
  <c r="W11" i="20"/>
  <c r="V12" i="20"/>
  <c r="U12" i="20" l="1"/>
  <c r="W12" i="20"/>
  <c r="B11" i="20"/>
  <c r="A10" i="20"/>
  <c r="B12" i="20" l="1"/>
  <c r="A12" i="20" s="1"/>
  <c r="A11" i="20"/>
</calcChain>
</file>

<file path=xl/sharedStrings.xml><?xml version="1.0" encoding="utf-8"?>
<sst xmlns="http://schemas.openxmlformats.org/spreadsheetml/2006/main" count="692" uniqueCount="205">
  <si>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</si>
  <si>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</si>
  <si>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</si>
  <si>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</si>
  <si>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</si>
  <si>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</si>
  <si>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</si>
  <si>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</si>
  <si>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</si>
  <si>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</si>
  <si>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</si>
  <si>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</si>
  <si>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</si>
  <si>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</si>
  <si>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</si>
  <si>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</si>
  <si>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</si>
  <si>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</si>
  <si>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</si>
  <si>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</si>
  <si>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</si>
  <si>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</si>
  <si>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</si>
  <si>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</si>
  <si>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</si>
  <si>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</si>
  <si>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</si>
  <si>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</si>
  <si>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</si>
  <si>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</si>
  <si>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</si>
  <si>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</si>
  <si>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</si>
  <si>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</si>
  <si>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</si>
  <si>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</si>
  <si>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</si>
  <si>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</si>
  <si>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</si>
  <si>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</si>
  <si>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</si>
  <si>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</si>
  <si>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</si>
  <si>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</si>
  <si>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</si>
  <si>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</si>
  <si>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</si>
  <si>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</si>
  <si>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</si>
  <si>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</si>
  <si>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</si>
  <si>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</si>
  <si>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</si>
  <si>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</si>
  <si>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</si>
  <si>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</si>
  <si>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</si>
  <si>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</si>
  <si>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</si>
  <si>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</si>
  <si>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</si>
  <si>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</si>
  <si>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</si>
  <si>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</si>
  <si>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</si>
  <si>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</si>
  <si>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</si>
  <si>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</si>
  <si>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</si>
  <si>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</si>
  <si>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</si>
  <si>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</si>
  <si>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</si>
  <si>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</si>
  <si>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</si>
  <si>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</si>
  <si>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</si>
  <si>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</si>
  <si>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</si>
  <si>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</si>
  <si>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</si>
  <si>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</si>
  <si>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</si>
  <si>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</si>
  <si>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</si>
  <si>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</si>
  <si>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</si>
  <si>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</si>
  <si>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</si>
  <si>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</si>
  <si>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</si>
  <si>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</si>
  <si>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</si>
  <si>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</si>
  <si>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</si>
  <si>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</si>
  <si>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</si>
  <si>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</si>
  <si>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</si>
  <si>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</si>
  <si>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</si>
  <si>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</si>
  <si>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</si>
  <si>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</si>
  <si>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</si>
  <si>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</si>
  <si>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</si>
  <si>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</si>
  <si>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</si>
  <si>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</si>
  <si>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</si>
  <si>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</si>
  <si>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</si>
  <si>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</si>
  <si>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</si>
  <si>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</si>
  <si>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</si>
  <si>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</si>
  <si>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</si>
  <si>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</si>
  <si>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</si>
  <si>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</si>
  <si>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</si>
  <si>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</si>
  <si>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</si>
  <si>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</si>
  <si>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</si>
  <si>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</si>
  <si>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</si>
  <si>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</si>
  <si>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</si>
  <si>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</si>
  <si>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</si>
  <si>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</si>
  <si>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</si>
  <si>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</si>
  <si>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</si>
  <si>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</si>
  <si>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</si>
  <si>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</si>
  <si>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</si>
  <si>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</si>
  <si>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</si>
  <si>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</si>
  <si>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</si>
  <si>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</si>
  <si>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</si>
  <si>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</si>
  <si>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</si>
  <si>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</si>
  <si>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</si>
  <si>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</si>
  <si>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</si>
  <si>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</si>
  <si>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</si>
  <si>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</si>
  <si>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</si>
  <si>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</si>
  <si>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</si>
  <si>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</si>
  <si>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</si>
  <si>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</si>
  <si>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</si>
  <si>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</si>
  <si>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</si>
  <si>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</si>
  <si>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</si>
  <si>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</si>
  <si>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</si>
  <si>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</si>
  <si>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</si>
  <si>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</si>
  <si>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</si>
  <si>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</si>
  <si>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</si>
  <si>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</si>
  <si>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</si>
  <si>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</si>
  <si>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</si>
  <si>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</si>
  <si>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</si>
  <si>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</si>
  <si>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</si>
  <si>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</si>
  <si>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</si>
  <si>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</si>
  <si>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</si>
  <si>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</si>
  <si>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</si>
  <si>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</si>
  <si>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</si>
  <si>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</si>
  <si>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たかの</t>
    <phoneticPr fontId="1"/>
  </si>
  <si>
    <t>れんたろう</t>
    <phoneticPr fontId="1"/>
  </si>
  <si>
    <t>T</t>
  </si>
  <si>
    <t>N</t>
  </si>
  <si>
    <t>流局</t>
    <phoneticPr fontId="1"/>
  </si>
  <si>
    <t>ツモ支払</t>
  </si>
  <si>
    <t>ツモ</t>
  </si>
  <si>
    <t>*</t>
  </si>
  <si>
    <t>52</t>
  </si>
  <si>
    <t>ロン</t>
  </si>
  <si>
    <t>放銃</t>
  </si>
  <si>
    <t>01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</si>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</sst>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たかの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196</v>
      </c>
      <c r="G4" s="9">
        <v>1500</v>
      </c>
      <c r="H4" s="9"/>
      <c r="I4" s="48"/>
      <c r="J4" s="21">
        <f>IF(COUNTA($F4,$K4,$P4)&gt;0,J3+SUM(G4:I4),"")</f>
        <v>36500</v>
      </c>
      <c r="K4" s="8" t="s">
        <v>196</v>
      </c>
      <c r="L4" s="9">
        <v>-3000</v>
      </c>
      <c r="M4" s="9"/>
      <c r="N4" s="48"/>
      <c r="O4" s="21">
        <f>IF(COUNTA($F4,$K4,$P4)&gt;0,O3+SUM(L4:N4),"")</f>
        <v>32000</v>
      </c>
      <c r="P4" s="8" t="s">
        <v>196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6.5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197</v>
      </c>
      <c r="G5" s="9">
        <v>-10000</v>
      </c>
      <c r="H5" s="9"/>
      <c r="I5" s="48">
        <v>-500</v>
      </c>
      <c r="J5" s="21">
        <f t="shared" ref="J5:J30" si="2">IF(COUNTA($F5,$K5,$P5)&gt;0,J4+SUM(G5:I5),"")</f>
        <v>26000</v>
      </c>
      <c r="K5" s="8" t="s">
        <v>197</v>
      </c>
      <c r="L5" s="9">
        <v>-6000</v>
      </c>
      <c r="M5" s="9"/>
      <c r="N5" s="48">
        <v>-500</v>
      </c>
      <c r="O5" s="21">
        <f t="shared" ref="O5:O30" si="3">IF(COUNTA($F5,$K5,$P5)&gt;0,O4+SUM(L5:N5),"")</f>
        <v>25500</v>
      </c>
      <c r="P5" s="8" t="s">
        <v>198</v>
      </c>
      <c r="Q5" s="9">
        <v>16000</v>
      </c>
      <c r="R5" s="9"/>
      <c r="S5" s="48">
        <v>1000</v>
      </c>
      <c r="T5" s="21">
        <f t="shared" ref="T5:T30" si="4">IF(COUNTA($F5,$K5,$P5)&gt;0,T4+SUM(Q5:S5),"")</f>
        <v>53500</v>
      </c>
      <c r="U5" s="53">
        <f>IF($J5="","",ROUND(($J5-$J$3)/1000,1)+(_xlfn.RANK.AVG($J5,($J5,$O5,$T5),1)-2)*10)</f>
        <v>-9</v>
      </c>
      <c r="V5" s="54">
        <f>IF($O5="","",ROUND(($O5-$O$3)/1000,1)+(_xlfn.RANK.AVG($O5,($J5,$O5,$T5),1)-2)*10)</f>
        <v>-19.5</v>
      </c>
      <c r="W5" s="55">
        <f>IF($T5="","",ROUND(($T5-$T$3)/1000,1)+(_xlfn.RANK.AVG($T5,($J5,$O5,$T5),1)-2)*10)</f>
        <v>28.5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8</v>
      </c>
      <c r="BT5" s="30" t="s">
        <v>199</v>
      </c>
      <c r="BU5" s="40" t="s">
        <v>106</v>
      </c>
      <c r="BV5" s="41" t="s">
        <v>79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たかの</v>
      </c>
      <c r="F6" s="8" t="s">
        <v>198</v>
      </c>
      <c r="G6" s="9">
        <v>2800</v>
      </c>
      <c r="H6" s="9">
        <v>1000</v>
      </c>
      <c r="I6" s="48">
        <v>0</v>
      </c>
      <c r="J6" s="21">
        <f t="shared" si="2"/>
        <v>29800</v>
      </c>
      <c r="K6" s="8" t="s">
        <v>197</v>
      </c>
      <c r="L6" s="9">
        <v>-1700</v>
      </c>
      <c r="M6" s="9"/>
      <c r="N6" s="48">
        <v>0</v>
      </c>
      <c r="O6" s="21">
        <f t="shared" si="3"/>
        <v>23800</v>
      </c>
      <c r="P6" s="8" t="s">
        <v>197</v>
      </c>
      <c r="Q6" s="9">
        <v>-1100</v>
      </c>
      <c r="R6" s="9">
        <v>-1000</v>
      </c>
      <c r="S6" s="48">
        <v>0</v>
      </c>
      <c r="T6" s="21">
        <f t="shared" si="4"/>
        <v>51400</v>
      </c>
      <c r="U6" s="53">
        <f>IF($J6="","",ROUND(($J6-$J$3)/1000,1)+(_xlfn.RANK.AVG($J6,($J6,$O6,$T6),1)-2)*10)</f>
        <v>-5.2</v>
      </c>
      <c r="V6" s="54">
        <f>IF($O6="","",ROUND(($O6-$O$3)/1000,1)+(_xlfn.RANK.AVG($O6,($J6,$O6,$T6),1)-2)*10)</f>
        <v>-21.2</v>
      </c>
      <c r="W6" s="55">
        <f>IF($T6="","",ROUND(($T6-$T$3)/1000,1)+(_xlfn.RANK.AVG($T6,($J6,$O6,$T6),1)-2)*10)</f>
        <v>26.4</v>
      </c>
      <c r="Y6" s="8"/>
      <c r="Z6" s="34"/>
      <c r="AA6" s="26"/>
      <c r="AB6" s="26">
        <v>1</v>
      </c>
      <c r="AC6" s="26">
        <v>2</v>
      </c>
      <c r="AD6" s="30">
        <v>40</v>
      </c>
      <c r="AE6" s="40" t="s">
        <v>86</v>
      </c>
      <c r="AF6" s="41" t="s">
        <v>200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/>
      <c r="G7" s="9"/>
      <c r="H7" s="9"/>
      <c r="I7" s="48"/>
      <c r="J7" s="21">
        <f t="shared" si="2"/>
        <v>29800</v>
      </c>
      <c r="K7" s="8" t="s">
        <v>201</v>
      </c>
      <c r="L7" s="9">
        <v>8000</v>
      </c>
      <c r="M7" s="9"/>
      <c r="N7" s="48">
        <v>0</v>
      </c>
      <c r="O7" s="21">
        <f t="shared" si="3"/>
        <v>31800</v>
      </c>
      <c r="P7" s="8" t="s">
        <v>202</v>
      </c>
      <c r="Q7" s="9">
        <v>-8000</v>
      </c>
      <c r="R7" s="9"/>
      <c r="S7" s="48">
        <v>0</v>
      </c>
      <c r="T7" s="21">
        <f t="shared" si="4"/>
        <v>43400</v>
      </c>
      <c r="U7" s="53">
        <f>IF($J7="","",ROUND(($J7-$J$3)/1000,1)+(_xlfn.RANK.AVG($J7,($J7,$O7,$T7),1)-2)*10)</f>
        <v>-15.2</v>
      </c>
      <c r="V7" s="54">
        <f>IF($O7="","",ROUND(($O7-$O$3)/1000,1)+(_xlfn.RANK.AVG($O7,($J7,$O7,$T7),1)-2)*10)</f>
        <v>-3.2</v>
      </c>
      <c r="W7" s="55">
        <f>IF($T7="","",ROUND(($T7-$T$3)/1000,1)+(_xlfn.RANK.AVG($T7,($J7,$O7,$T7),1)-2)*10)</f>
        <v>18.399999999999999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203</v>
      </c>
      <c r="BA7" s="41" t="s">
        <v>79</v>
      </c>
      <c r="BB7" s="41" t="s">
        <v>80</v>
      </c>
      <c r="BC7" s="41" t="s">
        <v>86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197</v>
      </c>
      <c r="G8" s="9">
        <v>-4800</v>
      </c>
      <c r="H8" s="9"/>
      <c r="I8" s="48">
        <v>0</v>
      </c>
      <c r="J8" s="21">
        <f t="shared" si="2"/>
        <v>25000</v>
      </c>
      <c r="K8" s="8" t="s">
        <v>197</v>
      </c>
      <c r="L8" s="9">
        <v>-2900</v>
      </c>
      <c r="M8" s="9"/>
      <c r="N8" s="48">
        <v>0</v>
      </c>
      <c r="O8" s="21">
        <f t="shared" si="3"/>
        <v>28900</v>
      </c>
      <c r="P8" s="8" t="s">
        <v>198</v>
      </c>
      <c r="Q8" s="9">
        <v>7700</v>
      </c>
      <c r="R8" s="9"/>
      <c r="S8" s="48">
        <v>0</v>
      </c>
      <c r="T8" s="21">
        <f t="shared" si="4"/>
        <v>51100</v>
      </c>
      <c r="U8" s="53">
        <f>IF($J8="","",ROUND(($J8-$J$3)/1000,1)+(_xlfn.RANK.AVG($J8,($J8,$O8,$T8),1)-2)*10)</f>
        <v>-20</v>
      </c>
      <c r="V8" s="54">
        <f>IF($O8="","",ROUND(($O8-$O$3)/1000,1)+(_xlfn.RANK.AVG($O8,($J8,$O8,$T8),1)-2)*10)</f>
        <v>-6.1</v>
      </c>
      <c r="W8" s="55">
        <f>IF($T8="","",ROUND(($T8-$T$3)/1000,1)+(_xlfn.RANK.AVG($T8,($J8,$O8,$T8),1)-2)*10)</f>
        <v>26.1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30</v>
      </c>
      <c r="BU8" s="40" t="s">
        <v>104</v>
      </c>
      <c r="BV8" s="41" t="s">
        <v>79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 t="s">
        <v>202</v>
      </c>
      <c r="G9" s="9">
        <v>-2000</v>
      </c>
      <c r="H9" s="9"/>
      <c r="I9" s="48">
        <v>0</v>
      </c>
      <c r="J9" s="21">
        <f t="shared" si="2"/>
        <v>23000</v>
      </c>
      <c r="K9" s="8" t="s">
        <v>201</v>
      </c>
      <c r="L9" s="9">
        <v>2000</v>
      </c>
      <c r="M9" s="9"/>
      <c r="N9" s="48">
        <v>0</v>
      </c>
      <c r="O9" s="21">
        <f t="shared" si="3"/>
        <v>30900</v>
      </c>
      <c r="P9" s="8"/>
      <c r="Q9" s="9"/>
      <c r="R9" s="9"/>
      <c r="S9" s="48"/>
      <c r="T9" s="21">
        <f t="shared" si="4"/>
        <v>51100</v>
      </c>
      <c r="U9" s="53">
        <f>IF($J9="","",ROUND(($J9-$J$3)/1000,1)+(_xlfn.RANK.AVG($J9,($J9,$O9,$T9),1)-2)*10)</f>
        <v>-22</v>
      </c>
      <c r="V9" s="54">
        <f>IF($O9="","",ROUND(($O9-$O$3)/1000,1)+(_xlfn.RANK.AVG($O9,($J9,$O9,$T9),1)-2)*10)</f>
        <v>-4.0999999999999996</v>
      </c>
      <c r="W9" s="55">
        <f>IF($T9="","",ROUND(($T9-$T$3)/1000,1)+(_xlfn.RANK.AVG($T9,($J9,$O9,$T9),1)-2)*10)</f>
        <v>26.1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1</v>
      </c>
      <c r="AY9" s="30">
        <v>40</v>
      </c>
      <c r="AZ9" s="40" t="s">
        <v>85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たかの</v>
      </c>
      <c r="F10" s="8" t="s">
        <v>202</v>
      </c>
      <c r="G10" s="9">
        <v>-7700</v>
      </c>
      <c r="H10" s="9"/>
      <c r="I10" s="48">
        <v>-1000</v>
      </c>
      <c r="J10" s="21">
        <f t="shared" si="2"/>
        <v>14300</v>
      </c>
      <c r="K10" s="8" t="s">
        <v>201</v>
      </c>
      <c r="L10" s="9">
        <v>7700</v>
      </c>
      <c r="M10" s="9"/>
      <c r="N10" s="48">
        <v>1000</v>
      </c>
      <c r="O10" s="21">
        <f t="shared" si="3"/>
        <v>39600</v>
      </c>
      <c r="P10" s="8"/>
      <c r="Q10" s="9"/>
      <c r="R10" s="9"/>
      <c r="S10" s="48"/>
      <c r="T10" s="21">
        <f t="shared" si="4"/>
        <v>51100</v>
      </c>
      <c r="U10" s="53">
        <f>IF($J10="","",ROUND(($J10-$J$3)/1000,1)+(_xlfn.RANK.AVG($J10,($J10,$O10,$T10),1)-2)*10)</f>
        <v>-30.7</v>
      </c>
      <c r="V10" s="54">
        <f>IF($O10="","",ROUND(($O10-$O$3)/1000,1)+(_xlfn.RANK.AVG($O10,($J10,$O10,$T10),1)-2)*10)</f>
        <v>4.5999999999999996</v>
      </c>
      <c r="W10" s="55">
        <f>IF($T10="","",ROUND(($T10-$T$3)/1000,1)+(_xlfn.RANK.AVG($T10,($J10,$O10,$T10),1)-2)*10)</f>
        <v>26.1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3</v>
      </c>
      <c r="AY10" s="30">
        <v>40</v>
      </c>
      <c r="AZ10" s="40" t="s">
        <v>86</v>
      </c>
      <c r="BA10" s="41" t="s">
        <v>200</v>
      </c>
      <c r="BB10" s="41" t="s">
        <v>79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IF($K$1="","",$K$1)</f>
        <v>たかの</v>
      </c>
      <c r="F11" s="8"/>
      <c r="G11" s="9"/>
      <c r="H11" s="9"/>
      <c r="I11" s="48"/>
      <c r="J11" s="21">
        <f t="shared" si="2"/>
        <v>14300</v>
      </c>
      <c r="K11" s="8" t="s">
        <v>202</v>
      </c>
      <c r="L11" s="9">
        <v>-12000</v>
      </c>
      <c r="M11" s="9"/>
      <c r="N11" s="48">
        <v>-2000</v>
      </c>
      <c r="O11" s="21">
        <f t="shared" si="3"/>
        <v>25600</v>
      </c>
      <c r="P11" s="8" t="s">
        <v>201</v>
      </c>
      <c r="Q11" s="9">
        <v>12000</v>
      </c>
      <c r="R11" s="9"/>
      <c r="S11" s="48">
        <v>2000</v>
      </c>
      <c r="T11" s="21">
        <f t="shared" si="4"/>
        <v>65100</v>
      </c>
      <c r="U11" s="53">
        <f>IF($J11="","",ROUND(($J11-$J$3)/1000,1)+(_xlfn.RANK.AVG($J11,($J11,$O11,$T11),1)-2)*10)</f>
        <v>-30.7</v>
      </c>
      <c r="V11" s="54">
        <f>IF($O11="","",ROUND(($O11-$O$3)/1000,1)+(_xlfn.RANK.AVG($O11,($J11,$O11,$T11),1)-2)*10)</f>
        <v>-9.4</v>
      </c>
      <c r="W11" s="55">
        <f>IF($T11="","",ROUND(($T11-$T$3)/1000,1)+(_xlfn.RANK.AVG($T11,($J11,$O11,$T11),1)-2)*10)</f>
        <v>40.1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7</v>
      </c>
      <c r="BT11" s="30" t="s">
        <v>199</v>
      </c>
      <c r="BU11" s="40" t="s">
        <v>106</v>
      </c>
      <c r="BV11" s="41" t="s">
        <v>200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198</v>
      </c>
      <c r="G12" s="9">
        <v>12000</v>
      </c>
      <c r="H12" s="9"/>
      <c r="I12" s="48">
        <v>0</v>
      </c>
      <c r="J12" s="21">
        <f t="shared" si="2"/>
        <v>26300</v>
      </c>
      <c r="K12" s="8" t="s">
        <v>197</v>
      </c>
      <c r="L12" s="9">
        <v>-4500</v>
      </c>
      <c r="M12" s="9"/>
      <c r="N12" s="48">
        <v>0</v>
      </c>
      <c r="O12" s="21">
        <f t="shared" si="3"/>
        <v>21100</v>
      </c>
      <c r="P12" s="8" t="s">
        <v>197</v>
      </c>
      <c r="Q12" s="9">
        <v>-7500</v>
      </c>
      <c r="R12" s="9"/>
      <c r="S12" s="48">
        <v>0</v>
      </c>
      <c r="T12" s="21">
        <f t="shared" si="4"/>
        <v>57600</v>
      </c>
      <c r="U12" s="53">
        <f>IF($J12="","",ROUND(($J12-$J$3)/1000,1)+(_xlfn.RANK.AVG($J12,($J12,$O12,$T12),1)-2)*10)</f>
        <v>-8.6999999999999993</v>
      </c>
      <c r="V12" s="54">
        <f>IF($O12="","",ROUND(($O12-$O$3)/1000,1)+(_xlfn.RANK.AVG($O12,($J12,$O12,$T12),1)-2)*10)</f>
        <v>-23.9</v>
      </c>
      <c r="W12" s="55">
        <f>IF($T12="","",ROUND(($T12-$T$3)/1000,1)+(_xlfn.RANK.AVG($T12,($J12,$O12,$T12),1)-2)*10)</f>
        <v>32.6</v>
      </c>
      <c r="Y12" s="8"/>
      <c r="Z12" s="34"/>
      <c r="AA12" s="26">
        <v>1</v>
      </c>
      <c r="AB12" s="26"/>
      <c r="AC12" s="26">
        <v>6</v>
      </c>
      <c r="AD12" s="30" t="s">
        <v>199</v>
      </c>
      <c r="AE12" s="40" t="s">
        <v>203</v>
      </c>
      <c r="AF12" s="41" t="s">
        <v>82</v>
      </c>
      <c r="AG12" s="41" t="s">
        <v>83</v>
      </c>
      <c r="AH12" s="41" t="s">
        <v>84</v>
      </c>
      <c r="AI12" s="41" t="s">
        <v>80</v>
      </c>
      <c r="AJ12" s="41" t="s">
        <v>80</v>
      </c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8C0B9E3-EF9C-420C-90A2-EB342A42C663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81762-EF7E-4393-B9C5-CB05D2EB0966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201</v>
      </c>
      <c r="L4" s="9">
        <v>5200</v>
      </c>
      <c r="M4" s="9">
        <v>1000</v>
      </c>
      <c r="N4" s="48">
        <v>0</v>
      </c>
      <c r="O4" s="21">
        <f>IF(COUNTA($F4,$K4,$P4)&gt;0,O3+SUM(L4:N4),"")</f>
        <v>41200</v>
      </c>
      <c r="P4" s="8" t="s">
        <v>202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16.2</v>
      </c>
      <c r="W4" s="55">
        <f>IF($T4="","",ROUND(($T4-$T$3)/1000,1)+(_xlfn.RANK.AVG($T4,($J4,$O4,$T4),1)-2)*10)</f>
        <v>-15.2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203</v>
      </c>
      <c r="BA4" s="41" t="s">
        <v>86</v>
      </c>
      <c r="BB4" s="41" t="s">
        <v>200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197</v>
      </c>
      <c r="G5" s="9">
        <v>-5800</v>
      </c>
      <c r="H5" s="9">
        <v>-1000</v>
      </c>
      <c r="I5" s="48">
        <v>0</v>
      </c>
      <c r="J5" s="21">
        <f t="shared" ref="J5:J30" si="2">IF(COUNTA($F5,$K5,$P5)&gt;0,J4+SUM(G5:I5),"")</f>
        <v>27200</v>
      </c>
      <c r="K5" s="8" t="s">
        <v>198</v>
      </c>
      <c r="L5" s="9">
        <v>11600</v>
      </c>
      <c r="M5" s="9">
        <v>1000</v>
      </c>
      <c r="N5" s="48">
        <v>0</v>
      </c>
      <c r="O5" s="21">
        <f t="shared" ref="O5:O30" si="3">IF(COUNTA($F5,$K5,$P5)&gt;0,O4+SUM(L5:N5),"")</f>
        <v>53800</v>
      </c>
      <c r="P5" s="8" t="s">
        <v>197</v>
      </c>
      <c r="Q5" s="9">
        <v>-5800</v>
      </c>
      <c r="R5" s="9"/>
      <c r="S5" s="48">
        <v>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-7.8</v>
      </c>
      <c r="V5" s="54">
        <f>IF($O5="","",ROUND(($O5-$O$3)/1000,1)+(_xlfn.RANK.AVG($O5,($J5,$O5,$T5),1)-2)*10)</f>
        <v>28.8</v>
      </c>
      <c r="W5" s="55">
        <f>IF($T5="","",ROUND(($T5-$T$3)/1000,1)+(_xlfn.RANK.AVG($T5,($J5,$O5,$T5),1)-2)*10)</f>
        <v>-21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203</v>
      </c>
      <c r="BA5" s="41" t="s">
        <v>82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たかの</v>
      </c>
      <c r="F6" s="8" t="s">
        <v>197</v>
      </c>
      <c r="G6" s="9">
        <v>-6000</v>
      </c>
      <c r="H6" s="9">
        <v>-2000</v>
      </c>
      <c r="I6" s="48">
        <v>-500</v>
      </c>
      <c r="J6" s="21">
        <f t="shared" si="2"/>
        <v>18700</v>
      </c>
      <c r="K6" s="8" t="s">
        <v>197</v>
      </c>
      <c r="L6" s="9">
        <v>-10000</v>
      </c>
      <c r="M6" s="9">
        <v>-1000</v>
      </c>
      <c r="N6" s="48">
        <v>-500</v>
      </c>
      <c r="O6" s="21">
        <f t="shared" si="3"/>
        <v>42300</v>
      </c>
      <c r="P6" s="8" t="s">
        <v>198</v>
      </c>
      <c r="Q6" s="9">
        <v>16000</v>
      </c>
      <c r="R6" s="9">
        <v>3000</v>
      </c>
      <c r="S6" s="48">
        <v>1000</v>
      </c>
      <c r="T6" s="21">
        <f t="shared" si="4"/>
        <v>44000</v>
      </c>
      <c r="U6" s="53">
        <f>IF($J6="","",ROUND(($J6-$J$3)/1000,1)+(_xlfn.RANK.AVG($J6,($J6,$O6,$T6),1)-2)*10)</f>
        <v>-26.3</v>
      </c>
      <c r="V6" s="54">
        <f>IF($O6="","",ROUND(($O6-$O$3)/1000,1)+(_xlfn.RANK.AVG($O6,($J6,$O6,$T6),1)-2)*10)</f>
        <v>7.3</v>
      </c>
      <c r="W6" s="55">
        <f>IF($T6="","",ROUND(($T6-$T$3)/1000,1)+(_xlfn.RANK.AVG($T6,($J6,$O6,$T6),1)-2)*10)</f>
        <v>19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8</v>
      </c>
      <c r="BT6" s="30" t="s">
        <v>199</v>
      </c>
      <c r="BU6" s="40" t="s">
        <v>203</v>
      </c>
      <c r="BV6" s="41" t="s">
        <v>82</v>
      </c>
      <c r="BW6" s="41" t="s">
        <v>104</v>
      </c>
      <c r="BX6" s="41" t="s">
        <v>86</v>
      </c>
      <c r="BY6" s="41" t="s">
        <v>200</v>
      </c>
      <c r="BZ6" s="41" t="s">
        <v>80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197</v>
      </c>
      <c r="G7" s="9">
        <v>-3000</v>
      </c>
      <c r="H7" s="9"/>
      <c r="I7" s="48">
        <v>0</v>
      </c>
      <c r="J7" s="21">
        <f t="shared" si="2"/>
        <v>15700</v>
      </c>
      <c r="K7" s="8" t="s">
        <v>198</v>
      </c>
      <c r="L7" s="9">
        <v>8000</v>
      </c>
      <c r="M7" s="9"/>
      <c r="N7" s="48">
        <v>0</v>
      </c>
      <c r="O7" s="21">
        <f t="shared" si="3"/>
        <v>50300</v>
      </c>
      <c r="P7" s="8" t="s">
        <v>197</v>
      </c>
      <c r="Q7" s="9">
        <v>-5000</v>
      </c>
      <c r="R7" s="9"/>
      <c r="S7" s="48">
        <v>0</v>
      </c>
      <c r="T7" s="21">
        <f t="shared" si="4"/>
        <v>39000</v>
      </c>
      <c r="U7" s="53">
        <f>IF($J7="","",ROUND(($J7-$J$3)/1000,1)+(_xlfn.RANK.AVG($J7,($J7,$O7,$T7),1)-2)*10)</f>
        <v>-29.3</v>
      </c>
      <c r="V7" s="54">
        <f>IF($O7="","",ROUND(($O7-$O$3)/1000,1)+(_xlfn.RANK.AVG($O7,($J7,$O7,$T7),1)-2)*10)</f>
        <v>25.3</v>
      </c>
      <c r="W7" s="55">
        <f>IF($T7="","",ROUND(($T7-$T$3)/1000,1)+(_xlfn.RANK.AVG($T7,($J7,$O7,$T7),1)-2)*10)</f>
        <v>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199</v>
      </c>
      <c r="AZ7" s="40" t="s">
        <v>98</v>
      </c>
      <c r="BA7" s="41" t="s">
        <v>96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198</v>
      </c>
      <c r="G8" s="9">
        <v>24000</v>
      </c>
      <c r="H8" s="9">
        <v>1000</v>
      </c>
      <c r="I8" s="48">
        <v>0</v>
      </c>
      <c r="J8" s="21">
        <f t="shared" si="2"/>
        <v>40700</v>
      </c>
      <c r="K8" s="8" t="s">
        <v>197</v>
      </c>
      <c r="L8" s="9">
        <v>-12000</v>
      </c>
      <c r="M8" s="9">
        <v>-1000</v>
      </c>
      <c r="N8" s="48">
        <v>0</v>
      </c>
      <c r="O8" s="21">
        <f t="shared" si="3"/>
        <v>37300</v>
      </c>
      <c r="P8" s="8" t="s">
        <v>197</v>
      </c>
      <c r="Q8" s="9">
        <v>-12000</v>
      </c>
      <c r="R8" s="9"/>
      <c r="S8" s="48">
        <v>0</v>
      </c>
      <c r="T8" s="21">
        <f t="shared" si="4"/>
        <v>27000</v>
      </c>
      <c r="U8" s="53">
        <f>IF($J8="","",ROUND(($J8-$J$3)/1000,1)+(_xlfn.RANK.AVG($J8,($J8,$O8,$T8),1)-2)*10)</f>
        <v>15.7</v>
      </c>
      <c r="V8" s="54">
        <f>IF($O8="","",ROUND(($O8-$O$3)/1000,1)+(_xlfn.RANK.AVG($O8,($J8,$O8,$T8),1)-2)*10)</f>
        <v>2.2999999999999998</v>
      </c>
      <c r="W8" s="55">
        <f>IF($T8="","",ROUND(($T8-$T$3)/1000,1)+(_xlfn.RANK.AVG($T8,($J8,$O8,$T8),1)-2)*10)</f>
        <v>-18</v>
      </c>
      <c r="Y8" s="8"/>
      <c r="Z8" s="34"/>
      <c r="AA8" s="26">
        <v>1</v>
      </c>
      <c r="AB8" s="26"/>
      <c r="AC8" s="26">
        <v>9</v>
      </c>
      <c r="AD8" s="30" t="s">
        <v>199</v>
      </c>
      <c r="AE8" s="40" t="s">
        <v>203</v>
      </c>
      <c r="AF8" s="41" t="s">
        <v>82</v>
      </c>
      <c r="AG8" s="41" t="s">
        <v>79</v>
      </c>
      <c r="AH8" s="41" t="s">
        <v>79</v>
      </c>
      <c r="AI8" s="41" t="s">
        <v>80</v>
      </c>
      <c r="AJ8" s="41" t="s">
        <v>80</v>
      </c>
      <c r="AK8" s="41" t="s">
        <v>101</v>
      </c>
      <c r="AL8" s="41" t="s">
        <v>85</v>
      </c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れんたろう</v>
      </c>
      <c r="F9" s="8" t="s">
        <v>204</v>
      </c>
      <c r="G9" s="9">
        <v>-1500</v>
      </c>
      <c r="H9" s="9"/>
      <c r="I9" s="48"/>
      <c r="J9" s="21">
        <f t="shared" si="2"/>
        <v>39200</v>
      </c>
      <c r="K9" s="8" t="s">
        <v>204</v>
      </c>
      <c r="L9" s="9">
        <v>3000</v>
      </c>
      <c r="M9" s="9"/>
      <c r="N9" s="48"/>
      <c r="O9" s="21">
        <f t="shared" si="3"/>
        <v>40300</v>
      </c>
      <c r="P9" s="8" t="s">
        <v>204</v>
      </c>
      <c r="Q9" s="9">
        <v>-1500</v>
      </c>
      <c r="R9" s="9"/>
      <c r="S9" s="48"/>
      <c r="T9" s="21">
        <f t="shared" si="4"/>
        <v>25500</v>
      </c>
      <c r="U9" s="53">
        <f>IF($J9="","",ROUND(($J9-$J$3)/1000,1)+(_xlfn.RANK.AVG($J9,($J9,$O9,$T9),1)-2)*10)</f>
        <v>4.2</v>
      </c>
      <c r="V9" s="54">
        <f>IF($O9="","",ROUND(($O9-$O$3)/1000,1)+(_xlfn.RANK.AVG($O9,($J9,$O9,$T9),1)-2)*10)</f>
        <v>15.3</v>
      </c>
      <c r="W9" s="55">
        <f>IF($T9="","",ROUND(($T9-$T$3)/1000,1)+(_xlfn.RANK.AVG($T9,($J9,$O9,$T9),1)-2)*10)</f>
        <v>-19.5</v>
      </c>
      <c r="Y9" s="8" t="s">
        <v>195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194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195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tr">
        <f>IF($K$1="","",$K$1)</f>
        <v>たかの</v>
      </c>
      <c r="F10" s="8" t="s">
        <v>197</v>
      </c>
      <c r="G10" s="9">
        <v>-3000</v>
      </c>
      <c r="H10" s="9">
        <v>-1000</v>
      </c>
      <c r="I10" s="48">
        <v>-1000</v>
      </c>
      <c r="J10" s="21">
        <f t="shared" si="2"/>
        <v>34200</v>
      </c>
      <c r="K10" s="8" t="s">
        <v>197</v>
      </c>
      <c r="L10" s="9">
        <v>-5000</v>
      </c>
      <c r="M10" s="9"/>
      <c r="N10" s="48">
        <v>-1000</v>
      </c>
      <c r="O10" s="21">
        <f t="shared" si="3"/>
        <v>34300</v>
      </c>
      <c r="P10" s="8" t="s">
        <v>198</v>
      </c>
      <c r="Q10" s="9">
        <v>8000</v>
      </c>
      <c r="R10" s="9">
        <v>1000</v>
      </c>
      <c r="S10" s="48">
        <v>2000</v>
      </c>
      <c r="T10" s="21">
        <f t="shared" si="4"/>
        <v>36500</v>
      </c>
      <c r="U10" s="53">
        <f>IF($J10="","",ROUND(($J10-$J$3)/1000,1)+(_xlfn.RANK.AVG($J10,($J10,$O10,$T10),1)-2)*10)</f>
        <v>-10.8</v>
      </c>
      <c r="V10" s="54">
        <f>IF($O10="","",ROUND(($O10-$O$3)/1000,1)+(_xlfn.RANK.AVG($O10,($J10,$O10,$T10),1)-2)*10)</f>
        <v>-0.7</v>
      </c>
      <c r="W10" s="55">
        <f>IF($T10="","",ROUND(($T10-$T$3)/1000,1)+(_xlfn.RANK.AVG($T10,($J10,$O10,$T10),1)-2)*10)</f>
        <v>11.5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5</v>
      </c>
      <c r="BT10" s="30" t="s">
        <v>199</v>
      </c>
      <c r="BU10" s="40" t="s">
        <v>82</v>
      </c>
      <c r="BV10" s="41" t="s">
        <v>92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198</v>
      </c>
      <c r="G11" s="9">
        <v>5300</v>
      </c>
      <c r="H11" s="9"/>
      <c r="I11" s="48">
        <v>0</v>
      </c>
      <c r="J11" s="21">
        <f t="shared" si="2"/>
        <v>39500</v>
      </c>
      <c r="K11" s="8" t="s">
        <v>197</v>
      </c>
      <c r="L11" s="9">
        <v>-2000</v>
      </c>
      <c r="M11" s="9"/>
      <c r="N11" s="48">
        <v>0</v>
      </c>
      <c r="O11" s="21">
        <f t="shared" si="3"/>
        <v>32300</v>
      </c>
      <c r="P11" s="8" t="s">
        <v>197</v>
      </c>
      <c r="Q11" s="9">
        <v>-3300</v>
      </c>
      <c r="R11" s="9"/>
      <c r="S11" s="48">
        <v>0</v>
      </c>
      <c r="T11" s="21">
        <f t="shared" si="4"/>
        <v>33200</v>
      </c>
      <c r="U11" s="53">
        <f>IF($J11="","",ROUND(($J11-$J$3)/1000,1)+(_xlfn.RANK.AVG($J11,($J11,$O11,$T11),1)-2)*10)</f>
        <v>14.5</v>
      </c>
      <c r="V11" s="54">
        <f>IF($O11="","",ROUND(($O11-$O$3)/1000,1)+(_xlfn.RANK.AVG($O11,($J11,$O11,$T11),1)-2)*10)</f>
        <v>-12.7</v>
      </c>
      <c r="W11" s="55">
        <f>IF($T11="","",ROUND(($T11-$T$3)/1000,1)+(_xlfn.RANK.AVG($T11,($J11,$O11,$T11),1)-2)*10)</f>
        <v>-1.8</v>
      </c>
      <c r="Y11" s="8"/>
      <c r="Z11" s="34"/>
      <c r="AA11" s="26">
        <v>1</v>
      </c>
      <c r="AB11" s="26"/>
      <c r="AC11" s="26">
        <v>4</v>
      </c>
      <c r="AD11" s="30">
        <v>20</v>
      </c>
      <c r="AE11" s="40" t="s">
        <v>203</v>
      </c>
      <c r="AF11" s="41" t="s">
        <v>82</v>
      </c>
      <c r="AG11" s="41" t="s">
        <v>83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れんたろう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7658EA7B-2172-4678-AB05-B2358AB5BB91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541F48AD-4C6B-4319-A903-D4A2FED111BB}">
      <formula1>"ロン,ツモ,放銃,ツモ支払,流局,チョンボ"</formula1>
    </dataValidation>
    <dataValidation type="list" allowBlank="1" showInputMessage="1" showErrorMessage="1" sqref="E4:E30" xr:uid="{869035B5-4C98-4F39-B1DB-521D760C312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2020-12-11T08:35:24Z</dcterms:modified>
</cp:coreProperties>
</file>