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82E4DCF8-1D0A-4F72-8E45-4DD22C507918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20" l="1"/>
  <c r="B18" i="20" s="1"/>
  <c r="A18" i="20" s="1"/>
  <c r="E17" i="20"/>
  <c r="D17" i="20" s="1"/>
  <c r="E16" i="20"/>
  <c r="B16" i="20" s="1"/>
  <c r="A16" i="20" s="1"/>
  <c r="E15" i="20"/>
  <c r="B15" i="20" s="1"/>
  <c r="E14" i="20"/>
  <c r="E13" i="20"/>
  <c r="D12" i="20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T17" i="20"/>
  <c r="O17" i="20"/>
  <c r="J17" i="20"/>
  <c r="T16" i="20"/>
  <c r="O16" i="20"/>
  <c r="J16" i="20"/>
  <c r="D16" i="20"/>
  <c r="C16" i="20"/>
  <c r="T15" i="20"/>
  <c r="O15" i="20"/>
  <c r="J15" i="20"/>
  <c r="C15" i="20"/>
  <c r="T14" i="20"/>
  <c r="O14" i="20"/>
  <c r="J14" i="20"/>
  <c r="D14" i="20"/>
  <c r="C14" i="20"/>
  <c r="B14" i="20"/>
  <c r="A14" i="20" s="1"/>
  <c r="T13" i="20"/>
  <c r="O13" i="20"/>
  <c r="J13" i="20"/>
  <c r="U13" i="20" s="1"/>
  <c r="D13" i="20"/>
  <c r="C13" i="20"/>
  <c r="B13" i="20"/>
  <c r="A13" i="20"/>
  <c r="D11" i="20"/>
  <c r="D10" i="20"/>
  <c r="D9" i="20"/>
  <c r="T7" i="20"/>
  <c r="T8" i="20" s="1"/>
  <c r="D7" i="20"/>
  <c r="T6" i="20"/>
  <c r="O6" i="20"/>
  <c r="O7" i="20" s="1"/>
  <c r="D6" i="20"/>
  <c r="T5" i="20"/>
  <c r="O5" i="20"/>
  <c r="J5" i="20"/>
  <c r="D5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V17" i="20" l="1"/>
  <c r="U17" i="20"/>
  <c r="W17" i="20"/>
  <c r="B17" i="20"/>
  <c r="A17" i="20" s="1"/>
  <c r="C17" i="20"/>
  <c r="V16" i="20"/>
  <c r="W16" i="20"/>
  <c r="U16" i="20"/>
  <c r="U15" i="20"/>
  <c r="V15" i="20"/>
  <c r="W15" i="20"/>
  <c r="D15" i="20"/>
  <c r="A15" i="20"/>
  <c r="U14" i="20"/>
  <c r="V14" i="20"/>
  <c r="W14" i="20"/>
  <c r="V13" i="20"/>
  <c r="W13" i="20"/>
  <c r="V4" i="20"/>
  <c r="W4" i="20"/>
  <c r="W5" i="20"/>
  <c r="U4" i="20"/>
  <c r="O8" i="20"/>
  <c r="T9" i="20"/>
  <c r="C7" i="20"/>
  <c r="C8" i="20" s="1"/>
  <c r="C9" i="20" s="1"/>
  <c r="C10" i="20" s="1"/>
  <c r="C11" i="20" s="1"/>
  <c r="C12" i="20" s="1"/>
  <c r="B6" i="20"/>
  <c r="B5" i="20"/>
  <c r="A5" i="20" s="1"/>
  <c r="D8" i="20"/>
  <c r="U5" i="20"/>
  <c r="J6" i="20"/>
  <c r="V5" i="20"/>
  <c r="E4" i="19"/>
  <c r="J7" i="20" l="1"/>
  <c r="W6" i="20"/>
  <c r="U6" i="20"/>
  <c r="V6" i="20"/>
  <c r="T10" i="20"/>
  <c r="O9" i="20"/>
  <c r="B7" i="20"/>
  <c r="A6" i="20"/>
  <c r="W3" i="19"/>
  <c r="V3" i="19"/>
  <c r="U3" i="19"/>
  <c r="A7" i="20" l="1"/>
  <c r="O10" i="20"/>
  <c r="T11" i="20"/>
  <c r="B8" i="20"/>
  <c r="J8" i="20"/>
  <c r="U7" i="20"/>
  <c r="V7" i="20"/>
  <c r="W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8" i="20" l="1"/>
  <c r="J9" i="20"/>
  <c r="W8" i="20"/>
  <c r="V8" i="20"/>
  <c r="O11" i="20"/>
  <c r="B9" i="20"/>
  <c r="A8" i="20"/>
  <c r="T12" i="20"/>
  <c r="V12" i="19"/>
  <c r="U12" i="19"/>
  <c r="W11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A10" i="20" s="1"/>
  <c r="A9" i="20"/>
  <c r="O12" i="20"/>
  <c r="J10" i="20"/>
  <c r="U9" i="20"/>
  <c r="W9" i="20"/>
  <c r="V9" i="20"/>
  <c r="W5" i="19"/>
  <c r="V5" i="19"/>
  <c r="U5" i="19"/>
  <c r="U10" i="20" l="1"/>
  <c r="J11" i="20"/>
  <c r="W10" i="20"/>
  <c r="V10" i="20"/>
  <c r="B11" i="20"/>
  <c r="A11" i="20"/>
  <c r="U11" i="20" l="1"/>
  <c r="J12" i="20"/>
  <c r="W11" i="20"/>
  <c r="V11" i="20"/>
  <c r="B12" i="20"/>
  <c r="A12" i="20" s="1"/>
  <c r="U12" i="20" l="1"/>
  <c r="W12" i="20"/>
  <c r="V12" i="20"/>
</calcChain>
</file>

<file path=xl/sharedStrings.xml><?xml version="1.0" encoding="utf-8"?>
<sst xmlns="http://schemas.openxmlformats.org/spreadsheetml/2006/main" count="714" uniqueCount="208">
  <si>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</si>
  <si>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</si>
  <si>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</si>
  <si>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</si>
  <si>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</si>
  <si>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</si>
  <si>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</si>
  <si>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</si>
  <si>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</si>
  <si>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</si>
  <si>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</si>
  <si>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</si>
  <si>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</si>
  <si>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</si>
  <si>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</si>
  <si>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</si>
  <si>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</si>
  <si>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</si>
  <si>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</si>
  <si>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</si>
  <si>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</si>
  <si>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</si>
  <si>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</si>
  <si>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</si>
  <si>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</si>
  <si>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</si>
  <si>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</si>
  <si>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</si>
  <si>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</si>
  <si>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</si>
  <si>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</si>
  <si>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</si>
  <si>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</si>
  <si>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</si>
  <si>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</si>
  <si>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</si>
  <si>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</si>
  <si>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</si>
  <si>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</si>
  <si>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</si>
  <si>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</si>
  <si>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</si>
  <si>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</si>
  <si>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</si>
  <si>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</si>
  <si>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</si>
  <si>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</si>
  <si>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</si>
  <si>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</si>
  <si>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</si>
  <si>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</si>
  <si>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</si>
  <si>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</si>
  <si>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</si>
  <si>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</si>
  <si>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</si>
  <si>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</si>
  <si>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</si>
  <si>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</si>
  <si>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</si>
  <si>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</si>
  <si>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</si>
  <si>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</si>
  <si>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</si>
  <si>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</si>
  <si>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</si>
  <si>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</si>
  <si>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</si>
  <si>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</si>
  <si>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</si>
  <si>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</si>
  <si>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</si>
  <si>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</si>
  <si>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</si>
  <si>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</si>
  <si>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</si>
  <si>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</si>
  <si>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</si>
  <si>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</si>
  <si>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</si>
  <si>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</si>
  <si>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</si>
  <si>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</si>
  <si>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</si>
  <si>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</si>
  <si>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</si>
  <si>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</si>
  <si>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</si>
  <si>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</si>
  <si>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</si>
  <si>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</si>
  <si>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</si>
  <si>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</si>
  <si>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</si>
  <si>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</si>
  <si>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</si>
  <si>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</si>
  <si>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</si>
  <si>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</si>
  <si>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</si>
  <si>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</si>
  <si>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</si>
  <si>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</si>
  <si>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</si>
  <si>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</si>
  <si>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</si>
  <si>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</si>
  <si>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</si>
  <si>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</si>
  <si>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</si>
  <si>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</si>
  <si>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</si>
  <si>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</si>
  <si>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</si>
  <si>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</si>
  <si>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</si>
  <si>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</si>
  <si>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</si>
  <si>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</si>
  <si>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</si>
  <si>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</si>
  <si>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</si>
  <si>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</si>
  <si>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</si>
  <si>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</si>
  <si>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</si>
  <si>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</si>
  <si>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</si>
  <si>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</si>
  <si>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</si>
  <si>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</si>
  <si>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</si>
  <si>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</si>
  <si>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</si>
  <si>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</si>
  <si>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</si>
  <si>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</si>
  <si>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</si>
  <si>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</si>
  <si>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</si>
  <si>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</si>
  <si>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</si>
  <si>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</si>
  <si>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</si>
  <si>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</si>
  <si>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</si>
  <si>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</si>
  <si>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</si>
  <si>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</si>
  <si>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</si>
  <si>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</si>
  <si>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</si>
  <si>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</si>
  <si>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</si>
  <si>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</si>
  <si>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</si>
  <si>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</si>
  <si>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</si>
  <si>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</si>
  <si>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</si>
  <si>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</si>
  <si>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</si>
  <si>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</si>
  <si>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</si>
  <si>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</si>
  <si>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</si>
  <si>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</si>
  <si>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</si>
  <si>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</si>
  <si>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</si>
  <si>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</si>
  <si>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</si>
  <si>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</si>
  <si>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</si>
  <si>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</si>
  <si>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</si>
  <si>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</si>
  <si>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</si>
  <si>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</si>
  <si>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</si>
  <si>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</si>
  <si>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</si>
  <si>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</si>
  <si>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</si>
  <si>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</si>
  <si>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</si>
  <si>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</si>
  <si>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</si>
  <si>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</si>
  <si>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</si>
  <si>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</si>
  <si>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</si>
  <si>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</si>
  <si>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たかの</t>
  </si>
  <si>
    <t>たかの</t>
    <phoneticPr fontId="1"/>
  </si>
  <si>
    <t>放銃</t>
  </si>
  <si>
    <t>ロン</t>
  </si>
  <si>
    <t>T</t>
  </si>
  <si>
    <t>N</t>
  </si>
  <si>
    <t>流局</t>
    <phoneticPr fontId="1"/>
  </si>
  <si>
    <t>ツモ</t>
  </si>
  <si>
    <t>ツモ支払</t>
  </si>
  <si>
    <t>*</t>
  </si>
  <si>
    <t>01</t>
  </si>
  <si>
    <t>52</t>
  </si>
  <si>
    <t>51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</si>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</sst>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195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3000</v>
      </c>
      <c r="H5" s="9"/>
      <c r="I5" s="48"/>
      <c r="J5" s="21">
        <f t="shared" ref="J5:J30" si="2">IF(COUNTA($F5,$K5,$P5)&gt;0,J4+SUM(G5:I5),"")</f>
        <v>34100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199</v>
      </c>
      <c r="Q5" s="9">
        <v>-1500</v>
      </c>
      <c r="R5" s="9"/>
      <c r="S5" s="48"/>
      <c r="T5" s="21">
        <f t="shared" ref="T5:T30" si="4">IF(COUNTA($F5,$K5,$P5)&gt;0,T4+SUM(Q5:S5),"")</f>
        <v>37400</v>
      </c>
      <c r="U5" s="53">
        <f>IF($J5="","",ROUND(($J5-$J$3)/1000,1)+(_xlfn.RANK.AVG($J5,($J5,$O5,$T5),1)-2)*10)</f>
        <v>-0.9</v>
      </c>
      <c r="V5" s="54">
        <f>IF($O5="","",ROUND(($O5-$O$3)/1000,1)+(_xlfn.RANK.AVG($O5,($J5,$O5,$T5),1)-2)*10)</f>
        <v>-11.5</v>
      </c>
      <c r="W5" s="55">
        <f>IF($T5="","",ROUND(($T5-$T$3)/1000,1)+(_xlfn.RANK.AVG($T5,($J5,$O5,$T5),1)-2)*10)</f>
        <v>12.4</v>
      </c>
      <c r="Y5" s="8" t="s">
        <v>197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たかの</v>
      </c>
      <c r="F6" s="8" t="s">
        <v>199</v>
      </c>
      <c r="G6" s="9">
        <v>3000</v>
      </c>
      <c r="H6" s="9">
        <v>-1000</v>
      </c>
      <c r="I6" s="48"/>
      <c r="J6" s="21">
        <f t="shared" si="2"/>
        <v>36100</v>
      </c>
      <c r="K6" s="8" t="s">
        <v>199</v>
      </c>
      <c r="L6" s="9">
        <v>-1500</v>
      </c>
      <c r="M6" s="9"/>
      <c r="N6" s="48"/>
      <c r="O6" s="21">
        <f t="shared" si="3"/>
        <v>32000</v>
      </c>
      <c r="P6" s="8" t="s">
        <v>199</v>
      </c>
      <c r="Q6" s="9">
        <v>-1500</v>
      </c>
      <c r="R6" s="9"/>
      <c r="S6" s="48"/>
      <c r="T6" s="21">
        <f t="shared" si="4"/>
        <v>35900</v>
      </c>
      <c r="U6" s="53">
        <f>IF($J6="","",ROUND(($J6-$J$3)/1000,1)+(_xlfn.RANK.AVG($J6,($J6,$O6,$T6),1)-2)*10)</f>
        <v>11.1</v>
      </c>
      <c r="V6" s="54">
        <f>IF($O6="","",ROUND(($O6-$O$3)/1000,1)+(_xlfn.RANK.AVG($O6,($J6,$O6,$T6),1)-2)*10)</f>
        <v>-13</v>
      </c>
      <c r="W6" s="55">
        <f>IF($T6="","",ROUND(($T6-$T$3)/1000,1)+(_xlfn.RANK.AVG($T6,($J6,$O6,$T6),1)-2)*10)</f>
        <v>0.9</v>
      </c>
      <c r="Y6" s="8" t="s">
        <v>197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2</v>
      </c>
      <c r="D7" s="18">
        <f t="shared" si="1"/>
        <v>1</v>
      </c>
      <c r="E7" s="4" t="str">
        <f>IF($F$1="","",$F$1)</f>
        <v>ただ</v>
      </c>
      <c r="F7" s="8" t="s">
        <v>200</v>
      </c>
      <c r="G7" s="9">
        <v>12000</v>
      </c>
      <c r="H7" s="9">
        <v>2000</v>
      </c>
      <c r="I7" s="48">
        <v>2000</v>
      </c>
      <c r="J7" s="21">
        <f t="shared" si="2"/>
        <v>52100</v>
      </c>
      <c r="K7" s="8" t="s">
        <v>201</v>
      </c>
      <c r="L7" s="9">
        <v>-6000</v>
      </c>
      <c r="M7" s="9"/>
      <c r="N7" s="48">
        <v>-1000</v>
      </c>
      <c r="O7" s="21">
        <f t="shared" si="3"/>
        <v>25000</v>
      </c>
      <c r="P7" s="8" t="s">
        <v>201</v>
      </c>
      <c r="Q7" s="9">
        <v>-6000</v>
      </c>
      <c r="R7" s="9">
        <v>-1000</v>
      </c>
      <c r="S7" s="48">
        <v>-1000</v>
      </c>
      <c r="T7" s="21">
        <f t="shared" si="4"/>
        <v>27900</v>
      </c>
      <c r="U7" s="53">
        <f>IF($J7="","",ROUND(($J7-$J$3)/1000,1)+(_xlfn.RANK.AVG($J7,($J7,$O7,$T7),1)-2)*10)</f>
        <v>27.1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-7.1</v>
      </c>
      <c r="Y7" s="8"/>
      <c r="Z7" s="34"/>
      <c r="AA7" s="26">
        <v>1</v>
      </c>
      <c r="AB7" s="26"/>
      <c r="AC7" s="26">
        <v>5</v>
      </c>
      <c r="AD7" s="30" t="s">
        <v>202</v>
      </c>
      <c r="AE7" s="40" t="s">
        <v>203</v>
      </c>
      <c r="AF7" s="41" t="s">
        <v>82</v>
      </c>
      <c r="AG7" s="41" t="s">
        <v>79</v>
      </c>
      <c r="AH7" s="41" t="s">
        <v>80</v>
      </c>
      <c r="AI7" s="41" t="s">
        <v>204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3</v>
      </c>
      <c r="D8" s="18">
        <f t="shared" si="1"/>
        <v>0</v>
      </c>
      <c r="E8" s="4" t="str">
        <f>IF($F$1="","",$F$1)</f>
        <v>ただ</v>
      </c>
      <c r="F8" s="8" t="s">
        <v>196</v>
      </c>
      <c r="G8" s="9">
        <v>18000</v>
      </c>
      <c r="H8" s="9"/>
      <c r="I8" s="48">
        <v>3000</v>
      </c>
      <c r="J8" s="21">
        <f t="shared" si="2"/>
        <v>73100</v>
      </c>
      <c r="K8" s="8" t="s">
        <v>195</v>
      </c>
      <c r="L8" s="9">
        <v>-18000</v>
      </c>
      <c r="M8" s="9"/>
      <c r="N8" s="48">
        <v>-3000</v>
      </c>
      <c r="O8" s="21">
        <f t="shared" si="3"/>
        <v>4000</v>
      </c>
      <c r="P8" s="8"/>
      <c r="Q8" s="9"/>
      <c r="R8" s="9"/>
      <c r="S8" s="48"/>
      <c r="T8" s="21">
        <f t="shared" si="4"/>
        <v>27900</v>
      </c>
      <c r="U8" s="53">
        <f>IF($J8="","",ROUND(($J8-$J$3)/1000,1)+(_xlfn.RANK.AVG($J8,($J8,$O8,$T8),1)-2)*10)</f>
        <v>48.1</v>
      </c>
      <c r="V8" s="54">
        <f>IF($O8="","",ROUND(($O8-$O$3)/1000,1)+(_xlfn.RANK.AVG($O8,($J8,$O8,$T8),1)-2)*10)</f>
        <v>-41</v>
      </c>
      <c r="W8" s="55">
        <f>IF($T8="","",ROUND(($T8-$T$3)/1000,1)+(_xlfn.RANK.AVG($T8,($J8,$O8,$T8),1)-2)*10)</f>
        <v>-7.1</v>
      </c>
      <c r="Y8" s="8"/>
      <c r="Z8" s="34"/>
      <c r="AA8" s="26"/>
      <c r="AB8" s="26">
        <v>1</v>
      </c>
      <c r="AC8" s="26">
        <v>6</v>
      </c>
      <c r="AD8" s="30" t="s">
        <v>202</v>
      </c>
      <c r="AE8" s="40" t="s">
        <v>104</v>
      </c>
      <c r="AF8" s="41" t="s">
        <v>86</v>
      </c>
      <c r="AG8" s="41" t="s">
        <v>86</v>
      </c>
      <c r="AH8" s="41" t="s">
        <v>86</v>
      </c>
      <c r="AI8" s="41" t="s">
        <v>204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4</v>
      </c>
      <c r="D9" s="18">
        <f t="shared" si="1"/>
        <v>0</v>
      </c>
      <c r="E9" s="4" t="str">
        <f>IF($F$1="","",$F$1)</f>
        <v>ただ</v>
      </c>
      <c r="F9" s="8" t="s">
        <v>199</v>
      </c>
      <c r="G9" s="9">
        <v>1500</v>
      </c>
      <c r="H9" s="9"/>
      <c r="I9" s="48"/>
      <c r="J9" s="21">
        <f t="shared" si="2"/>
        <v>74600</v>
      </c>
      <c r="K9" s="8" t="s">
        <v>199</v>
      </c>
      <c r="L9" s="9">
        <v>1500</v>
      </c>
      <c r="M9" s="9"/>
      <c r="N9" s="48"/>
      <c r="O9" s="21">
        <f t="shared" si="3"/>
        <v>5500</v>
      </c>
      <c r="P9" s="8" t="s">
        <v>199</v>
      </c>
      <c r="Q9" s="9">
        <v>-3000</v>
      </c>
      <c r="R9" s="9"/>
      <c r="S9" s="48"/>
      <c r="T9" s="21">
        <f t="shared" si="4"/>
        <v>24900</v>
      </c>
      <c r="U9" s="53">
        <f>IF($J9="","",ROUND(($J9-$J$3)/1000,1)+(_xlfn.RANK.AVG($J9,($J9,$O9,$T9),1)-2)*10)</f>
        <v>49.6</v>
      </c>
      <c r="V9" s="54">
        <f>IF($O9="","",ROUND(($O9-$O$3)/1000,1)+(_xlfn.RANK.AVG($O9,($J9,$O9,$T9),1)-2)*10)</f>
        <v>-39.5</v>
      </c>
      <c r="W9" s="55">
        <f>IF($T9="","",ROUND(($T9-$T$3)/1000,1)+(_xlfn.RANK.AVG($T9,($J9,$O9,$T9),1)-2)*10)</f>
        <v>-10.1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5</v>
      </c>
      <c r="D10" s="18">
        <f t="shared" si="1"/>
        <v>0</v>
      </c>
      <c r="E10" s="4" t="str">
        <f>IF($F$1="","",$F$1)</f>
        <v>ただ</v>
      </c>
      <c r="F10" s="8" t="s">
        <v>199</v>
      </c>
      <c r="G10" s="9">
        <v>1500</v>
      </c>
      <c r="H10" s="9"/>
      <c r="I10" s="48"/>
      <c r="J10" s="21">
        <f t="shared" si="2"/>
        <v>76100</v>
      </c>
      <c r="K10" s="8" t="s">
        <v>199</v>
      </c>
      <c r="L10" s="9">
        <v>-3000</v>
      </c>
      <c r="M10" s="9"/>
      <c r="N10" s="48"/>
      <c r="O10" s="21">
        <f t="shared" si="3"/>
        <v>2500</v>
      </c>
      <c r="P10" s="8" t="s">
        <v>199</v>
      </c>
      <c r="Q10" s="9">
        <v>1500</v>
      </c>
      <c r="R10" s="9">
        <v>-1000</v>
      </c>
      <c r="S10" s="48"/>
      <c r="T10" s="21">
        <f t="shared" si="4"/>
        <v>25400</v>
      </c>
      <c r="U10" s="53">
        <f>IF($J10="","",ROUND(($J10-$J$3)/1000,1)+(_xlfn.RANK.AVG($J10,($J10,$O10,$T10),1)-2)*10)</f>
        <v>51.1</v>
      </c>
      <c r="V10" s="54">
        <f>IF($O10="","",ROUND(($O10-$O$3)/1000,1)+(_xlfn.RANK.AVG($O10,($J10,$O10,$T10),1)-2)*10)</f>
        <v>-42.5</v>
      </c>
      <c r="W10" s="55">
        <f>IF($T10="","",ROUND(($T10-$T$3)/1000,1)+(_xlfn.RANK.AVG($T10,($J10,$O10,$T10),1)-2)*10)</f>
        <v>-9.6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198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6</v>
      </c>
      <c r="D11" s="18">
        <f t="shared" si="1"/>
        <v>1</v>
      </c>
      <c r="E11" s="4" t="str">
        <f>IF($F$1="","",$F$1)</f>
        <v>ただ</v>
      </c>
      <c r="F11" s="8" t="s">
        <v>199</v>
      </c>
      <c r="G11" s="9">
        <v>-1500</v>
      </c>
      <c r="H11" s="9"/>
      <c r="I11" s="48"/>
      <c r="J11" s="21">
        <f t="shared" si="2"/>
        <v>74600</v>
      </c>
      <c r="K11" s="8" t="s">
        <v>199</v>
      </c>
      <c r="L11" s="9">
        <v>3000</v>
      </c>
      <c r="M11" s="9">
        <v>-1000</v>
      </c>
      <c r="N11" s="48"/>
      <c r="O11" s="21">
        <f t="shared" si="3"/>
        <v>4500</v>
      </c>
      <c r="P11" s="8" t="s">
        <v>199</v>
      </c>
      <c r="Q11" s="9">
        <v>-1500</v>
      </c>
      <c r="R11" s="9"/>
      <c r="S11" s="48"/>
      <c r="T11" s="21">
        <f t="shared" si="4"/>
        <v>23900</v>
      </c>
      <c r="U11" s="53">
        <f>IF($J11="","",ROUND(($J11-$J$3)/1000,1)+(_xlfn.RANK.AVG($J11,($J11,$O11,$T11),1)-2)*10)</f>
        <v>49.6</v>
      </c>
      <c r="V11" s="54">
        <f>IF($O11="","",ROUND(($O11-$O$3)/1000,1)+(_xlfn.RANK.AVG($O11,($J11,$O11,$T11),1)-2)*10)</f>
        <v>-40.5</v>
      </c>
      <c r="W11" s="55">
        <f>IF($T11="","",ROUND(($T11-$T$3)/1000,1)+(_xlfn.RANK.AVG($T11,($J11,$O11,$T11),1)-2)*10)</f>
        <v>-11.1</v>
      </c>
      <c r="Y11" s="8" t="s">
        <v>198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7</v>
      </c>
      <c r="D12" s="18">
        <f t="shared" si="1"/>
        <v>2</v>
      </c>
      <c r="E12" s="4" t="str">
        <f>IF($K$1="","",$K$1)</f>
        <v>だいち</v>
      </c>
      <c r="F12" s="8" t="s">
        <v>201</v>
      </c>
      <c r="G12" s="9">
        <v>-1500</v>
      </c>
      <c r="H12" s="9"/>
      <c r="I12" s="48">
        <v>-3500</v>
      </c>
      <c r="J12" s="21">
        <f t="shared" si="2"/>
        <v>69600</v>
      </c>
      <c r="K12" s="8" t="s">
        <v>201</v>
      </c>
      <c r="L12" s="9">
        <v>-2500</v>
      </c>
      <c r="M12" s="9">
        <v>-1000</v>
      </c>
      <c r="N12" s="48">
        <v>-3500</v>
      </c>
      <c r="O12" s="21">
        <f t="shared" si="3"/>
        <v>-2500</v>
      </c>
      <c r="P12" s="8" t="s">
        <v>200</v>
      </c>
      <c r="Q12" s="9">
        <v>4000</v>
      </c>
      <c r="R12" s="9">
        <v>3000</v>
      </c>
      <c r="S12" s="48">
        <v>7000</v>
      </c>
      <c r="T12" s="21">
        <f t="shared" si="4"/>
        <v>37900</v>
      </c>
      <c r="U12" s="53">
        <f>IF($J12="","",ROUND(($J12-$J$3)/1000,1)+(_xlfn.RANK.AVG($J12,($J12,$O12,$T12),1)-2)*10)</f>
        <v>44.6</v>
      </c>
      <c r="V12" s="54">
        <f>IF($O12="","",ROUND(($O12-$O$3)/1000,1)+(_xlfn.RANK.AVG($O12,($J12,$O12,$T12),1)-2)*10)</f>
        <v>-47.5</v>
      </c>
      <c r="W12" s="55">
        <f>IF($T12="","",ROUND(($T12-$T$3)/1000,1)+(_xlfn.RANK.AVG($T12,($J12,$O12,$T12),1)-2)*10)</f>
        <v>2.9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92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9D9055E-D8E4-4BF2-B272-D2D707D82781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77C5-D610-4D49-95C2-19D58E36B773}">
  <sheetPr codeName="Sheet11">
    <pageSetUpPr fitToPage="1"/>
  </sheetPr>
  <dimension ref="A1:CI30"/>
  <sheetViews>
    <sheetView tabSelected="1" zoomScaleNormal="100" workbookViewId="0">
      <selection activeCell="F2" sqref="F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200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201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201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-10.8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205</v>
      </c>
      <c r="AF4" s="41" t="s">
        <v>82</v>
      </c>
      <c r="AG4" s="41" t="s">
        <v>85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196</v>
      </c>
      <c r="G5" s="9">
        <v>2400</v>
      </c>
      <c r="H5" s="9"/>
      <c r="I5" s="48">
        <v>1000</v>
      </c>
      <c r="J5" s="21">
        <f t="shared" ref="J5:J30" si="2">IF(COUNTA($F5,$K5,$P5)&gt;0,J4+SUM(G5:I5),"")</f>
        <v>50000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195</v>
      </c>
      <c r="Q5" s="9">
        <v>-2400</v>
      </c>
      <c r="R5" s="9"/>
      <c r="S5" s="48">
        <v>-1000</v>
      </c>
      <c r="T5" s="21">
        <f t="shared" ref="T5:T30" si="4">IF(COUNTA($F5,$K5,$P5)&gt;0,T4+SUM(Q5:S5),"")</f>
        <v>25800</v>
      </c>
      <c r="U5" s="53">
        <f>IF($J5="","",ROUND(($J5-$J$3)/1000,1)+(_xlfn.RANK.AVG($J5,($J5,$O5,$T5),1)-2)*10)</f>
        <v>25</v>
      </c>
      <c r="V5" s="54">
        <f>IF($O5="","",ROUND(($O5-$O$3)/1000,1)+(_xlfn.RANK.AVG($O5,($J5,$O5,$T5),1)-2)*10)</f>
        <v>-5.8</v>
      </c>
      <c r="W5" s="55">
        <f>IF($T5="","",ROUND(($T5-$T$3)/1000,1)+(_xlfn.RANK.AVG($T5,($J5,$O5,$T5),1)-2)*10)</f>
        <v>-19.2</v>
      </c>
      <c r="Y5" s="8"/>
      <c r="Z5" s="34"/>
      <c r="AA5" s="26"/>
      <c r="AB5" s="26"/>
      <c r="AC5" s="26">
        <v>2</v>
      </c>
      <c r="AD5" s="30">
        <v>25</v>
      </c>
      <c r="AE5" s="40" t="s">
        <v>101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196</v>
      </c>
      <c r="G6" s="9">
        <v>5800</v>
      </c>
      <c r="H6" s="9"/>
      <c r="I6" s="48">
        <v>2000</v>
      </c>
      <c r="J6" s="21">
        <f t="shared" si="2"/>
        <v>57800</v>
      </c>
      <c r="K6" s="8"/>
      <c r="L6" s="9"/>
      <c r="M6" s="9"/>
      <c r="N6" s="48"/>
      <c r="O6" s="21">
        <f t="shared" si="3"/>
        <v>29200</v>
      </c>
      <c r="P6" s="8" t="s">
        <v>195</v>
      </c>
      <c r="Q6" s="9">
        <v>-5800</v>
      </c>
      <c r="R6" s="9"/>
      <c r="S6" s="48">
        <v>-2000</v>
      </c>
      <c r="T6" s="21">
        <f t="shared" si="4"/>
        <v>18000</v>
      </c>
      <c r="U6" s="53">
        <f>IF($J6="","",ROUND(($J6-$J$3)/1000,1)+(_xlfn.RANK.AVG($J6,($J6,$O6,$T6),1)-2)*10)</f>
        <v>32.799999999999997</v>
      </c>
      <c r="V6" s="54">
        <f>IF($O6="","",ROUND(($O6-$O$3)/1000,1)+(_xlfn.RANK.AVG($O6,($J6,$O6,$T6),1)-2)*10)</f>
        <v>-5.8</v>
      </c>
      <c r="W6" s="55">
        <f>IF($T6="","",ROUND(($T6-$T$3)/1000,1)+(_xlfn.RANK.AVG($T6,($J6,$O6,$T6),1)-2)*10)</f>
        <v>-27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203</v>
      </c>
      <c r="AF6" s="41" t="s">
        <v>83</v>
      </c>
      <c r="AG6" s="41" t="s">
        <v>80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201</v>
      </c>
      <c r="G7" s="9">
        <v>-10000</v>
      </c>
      <c r="H7" s="9"/>
      <c r="I7" s="48">
        <v>-1500</v>
      </c>
      <c r="J7" s="21">
        <f t="shared" si="2"/>
        <v>46300</v>
      </c>
      <c r="K7" s="8" t="s">
        <v>201</v>
      </c>
      <c r="L7" s="9">
        <v>-6000</v>
      </c>
      <c r="M7" s="9"/>
      <c r="N7" s="48">
        <v>-1500</v>
      </c>
      <c r="O7" s="21">
        <f t="shared" si="3"/>
        <v>21700</v>
      </c>
      <c r="P7" s="8" t="s">
        <v>200</v>
      </c>
      <c r="Q7" s="9">
        <v>16000</v>
      </c>
      <c r="R7" s="9"/>
      <c r="S7" s="48">
        <v>3000</v>
      </c>
      <c r="T7" s="21">
        <f t="shared" si="4"/>
        <v>37000</v>
      </c>
      <c r="U7" s="53">
        <f>IF($J7="","",ROUND(($J7-$J$3)/1000,1)+(_xlfn.RANK.AVG($J7,($J7,$O7,$T7),1)-2)*10)</f>
        <v>21.3</v>
      </c>
      <c r="V7" s="54">
        <f>IF($O7="","",ROUND(($O7-$O$3)/1000,1)+(_xlfn.RANK.AVG($O7,($J7,$O7,$T7),1)-2)*10)</f>
        <v>-23.3</v>
      </c>
      <c r="W7" s="55">
        <f>IF($T7="","",ROUND(($T7-$T$3)/1000,1)+(_xlfn.RANK.AVG($T7,($J7,$O7,$T7),1)-2)*10)</f>
        <v>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8</v>
      </c>
      <c r="BT7" s="30" t="s">
        <v>202</v>
      </c>
      <c r="BU7" s="40" t="s">
        <v>203</v>
      </c>
      <c r="BV7" s="41" t="s">
        <v>82</v>
      </c>
      <c r="BW7" s="41" t="s">
        <v>104</v>
      </c>
      <c r="BX7" s="41" t="s">
        <v>204</v>
      </c>
      <c r="BY7" s="41" t="s">
        <v>79</v>
      </c>
      <c r="BZ7" s="41" t="s">
        <v>79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201</v>
      </c>
      <c r="G8" s="9">
        <v>-1500</v>
      </c>
      <c r="H8" s="9"/>
      <c r="I8" s="48">
        <v>0</v>
      </c>
      <c r="J8" s="21">
        <f t="shared" si="2"/>
        <v>44800</v>
      </c>
      <c r="K8" s="8" t="s">
        <v>200</v>
      </c>
      <c r="L8" s="9">
        <v>3000</v>
      </c>
      <c r="M8" s="9"/>
      <c r="N8" s="48">
        <v>0</v>
      </c>
      <c r="O8" s="21">
        <f t="shared" si="3"/>
        <v>24700</v>
      </c>
      <c r="P8" s="8" t="s">
        <v>201</v>
      </c>
      <c r="Q8" s="9">
        <v>-1500</v>
      </c>
      <c r="R8" s="9"/>
      <c r="S8" s="48">
        <v>0</v>
      </c>
      <c r="T8" s="21">
        <f t="shared" si="4"/>
        <v>35500</v>
      </c>
      <c r="U8" s="53">
        <f>IF($J8="","",ROUND(($J8-$J$3)/1000,1)+(_xlfn.RANK.AVG($J8,($J8,$O8,$T8),1)-2)*10)</f>
        <v>19.8</v>
      </c>
      <c r="V8" s="54">
        <f>IF($O8="","",ROUND(($O8-$O$3)/1000,1)+(_xlfn.RANK.AVG($O8,($J8,$O8,$T8),1)-2)*10)</f>
        <v>-20.3</v>
      </c>
      <c r="W8" s="55">
        <f>IF($T8="","",ROUND(($T8-$T$3)/1000,1)+(_xlfn.RANK.AVG($T8,($J8,$O8,$T8),1)-2)*10)</f>
        <v>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204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206</v>
      </c>
      <c r="G9" s="9">
        <v>-1500</v>
      </c>
      <c r="H9" s="9"/>
      <c r="I9" s="48"/>
      <c r="J9" s="21">
        <f t="shared" si="2"/>
        <v>43300</v>
      </c>
      <c r="K9" s="8" t="s">
        <v>206</v>
      </c>
      <c r="L9" s="9">
        <v>-1500</v>
      </c>
      <c r="M9" s="9"/>
      <c r="N9" s="48"/>
      <c r="O9" s="21">
        <f t="shared" si="3"/>
        <v>23200</v>
      </c>
      <c r="P9" s="8" t="s">
        <v>206</v>
      </c>
      <c r="Q9" s="9">
        <v>3000</v>
      </c>
      <c r="R9" s="9"/>
      <c r="S9" s="48"/>
      <c r="T9" s="21">
        <f t="shared" si="4"/>
        <v>38500</v>
      </c>
      <c r="U9" s="53">
        <f>IF($J9="","",ROUND(($J9-$J$3)/1000,1)+(_xlfn.RANK.AVG($J9,($J9,$O9,$T9),1)-2)*10)</f>
        <v>18.3</v>
      </c>
      <c r="V9" s="54">
        <f>IF($O9="","",ROUND(($O9-$O$3)/1000,1)+(_xlfn.RANK.AVG($O9,($J9,$O9,$T9),1)-2)*10)</f>
        <v>-21.8</v>
      </c>
      <c r="W9" s="55">
        <f>IF($T9="","",ROUND(($T9-$T$3)/1000,1)+(_xlfn.RANK.AVG($T9,($J9,$O9,$T9),1)-2)*10)</f>
        <v>3.5</v>
      </c>
      <c r="Y9" s="8" t="s">
        <v>198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たかの</v>
      </c>
      <c r="F10" s="8" t="s">
        <v>206</v>
      </c>
      <c r="G10" s="9">
        <v>-1500</v>
      </c>
      <c r="H10" s="9"/>
      <c r="I10" s="48"/>
      <c r="J10" s="21">
        <f t="shared" si="2"/>
        <v>41800</v>
      </c>
      <c r="K10" s="8" t="s">
        <v>206</v>
      </c>
      <c r="L10" s="9">
        <v>-1500</v>
      </c>
      <c r="M10" s="9"/>
      <c r="N10" s="48"/>
      <c r="O10" s="21">
        <f t="shared" si="3"/>
        <v>21700</v>
      </c>
      <c r="P10" s="8" t="s">
        <v>206</v>
      </c>
      <c r="Q10" s="9">
        <v>3000</v>
      </c>
      <c r="R10" s="9"/>
      <c r="S10" s="48"/>
      <c r="T10" s="21">
        <f t="shared" si="4"/>
        <v>41500</v>
      </c>
      <c r="U10" s="53">
        <f>IF($J10="","",ROUND(($J10-$J$3)/1000,1)+(_xlfn.RANK.AVG($J10,($J10,$O10,$T10),1)-2)*10)</f>
        <v>16.8</v>
      </c>
      <c r="V10" s="54">
        <f>IF($O10="","",ROUND(($O10-$O$3)/1000,1)+(_xlfn.RANK.AVG($O10,($J10,$O10,$T10),1)-2)*10)</f>
        <v>-23.3</v>
      </c>
      <c r="W10" s="55">
        <f>IF($T10="","",ROUND(($T10-$T$3)/1000,1)+(_xlfn.RANK.AVG($T10,($J10,$O10,$T10),1)-2)*10)</f>
        <v>6.5</v>
      </c>
      <c r="Y10" s="8" t="s">
        <v>198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198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tr">
        <f>IF($P$1="","",$P$1)</f>
        <v>たかの</v>
      </c>
      <c r="F11" s="8" t="s">
        <v>195</v>
      </c>
      <c r="G11" s="9">
        <v>-2500</v>
      </c>
      <c r="H11" s="9"/>
      <c r="I11" s="48">
        <v>-3000</v>
      </c>
      <c r="J11" s="21">
        <f t="shared" si="2"/>
        <v>36300</v>
      </c>
      <c r="K11" s="8" t="s">
        <v>196</v>
      </c>
      <c r="L11" s="9">
        <v>1000</v>
      </c>
      <c r="M11" s="9"/>
      <c r="N11" s="48">
        <v>3000</v>
      </c>
      <c r="O11" s="21">
        <f t="shared" si="3"/>
        <v>25700</v>
      </c>
      <c r="P11" s="8" t="s">
        <v>196</v>
      </c>
      <c r="Q11" s="9">
        <v>1500</v>
      </c>
      <c r="R11" s="9"/>
      <c r="S11" s="48"/>
      <c r="T11" s="21">
        <f t="shared" si="4"/>
        <v>43000</v>
      </c>
      <c r="U11" s="53">
        <f>IF($J11="","",ROUND(($J11-$J$3)/1000,1)+(_xlfn.RANK.AVG($J11,($J11,$O11,$T11),1)-2)*10)</f>
        <v>1.3</v>
      </c>
      <c r="V11" s="54">
        <f>IF($O11="","",ROUND(($O11-$O$3)/1000,1)+(_xlfn.RANK.AVG($O11,($J11,$O11,$T11),1)-2)*10)</f>
        <v>-19.3</v>
      </c>
      <c r="W11" s="55">
        <f>IF($T11="","",ROUND(($T11-$T$3)/1000,1)+(_xlfn.RANK.AVG($T11,($J11,$O11,$T11),1)-2)*10)</f>
        <v>18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</v>
      </c>
      <c r="BT11" s="30">
        <v>30</v>
      </c>
      <c r="BU11" s="40" t="s">
        <v>83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4</v>
      </c>
      <c r="D12" s="18">
        <f t="shared" si="1"/>
        <v>0</v>
      </c>
      <c r="E12" s="4" t="s">
        <v>193</v>
      </c>
      <c r="F12" s="8" t="s">
        <v>201</v>
      </c>
      <c r="G12" s="9">
        <v>-3900</v>
      </c>
      <c r="H12" s="9"/>
      <c r="I12" s="48">
        <v>-2000</v>
      </c>
      <c r="J12" s="21">
        <f t="shared" si="2"/>
        <v>30400</v>
      </c>
      <c r="K12" s="8" t="s">
        <v>201</v>
      </c>
      <c r="L12" s="9">
        <v>-3900</v>
      </c>
      <c r="M12" s="9"/>
      <c r="N12" s="48">
        <v>-2000</v>
      </c>
      <c r="O12" s="21">
        <f t="shared" si="3"/>
        <v>19800</v>
      </c>
      <c r="P12" s="8" t="s">
        <v>200</v>
      </c>
      <c r="Q12" s="9">
        <v>7800</v>
      </c>
      <c r="R12" s="9"/>
      <c r="S12" s="48">
        <v>4000</v>
      </c>
      <c r="T12" s="21">
        <f t="shared" si="4"/>
        <v>54800</v>
      </c>
      <c r="U12" s="53">
        <f>IF($J12="","",ROUND(($J12-$J$3)/1000,1)+(_xlfn.RANK.AVG($J12,($J12,$O12,$T12),1)-2)*10)</f>
        <v>-4.5999999999999996</v>
      </c>
      <c r="V12" s="54">
        <f>IF($O12="","",ROUND(($O12-$O$3)/1000,1)+(_xlfn.RANK.AVG($O12,($J12,$O12,$T12),1)-2)*10)</f>
        <v>-25.2</v>
      </c>
      <c r="W12" s="55">
        <f>IF($T12="","",ROUND(($T12-$T$3)/1000,1)+(_xlfn.RANK.AVG($T12,($J12,$O12,$T12),1)-2)*10)</f>
        <v>29.8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4</v>
      </c>
      <c r="BT12" s="30">
        <v>20</v>
      </c>
      <c r="BU12" s="40" t="s">
        <v>203</v>
      </c>
      <c r="BV12" s="41" t="s">
        <v>83</v>
      </c>
      <c r="BW12" s="41" t="s">
        <v>84</v>
      </c>
      <c r="BX12" s="41" t="s">
        <v>204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東</v>
      </c>
      <c r="B13" s="18">
        <f t="shared" si="5"/>
        <v>3</v>
      </c>
      <c r="C13" s="18">
        <f t="shared" si="6"/>
        <v>5</v>
      </c>
      <c r="D13" s="18">
        <f t="shared" si="1"/>
        <v>0</v>
      </c>
      <c r="E13" s="4" t="str">
        <f>IF($P$1="","",$P$1)</f>
        <v>たかの</v>
      </c>
      <c r="F13" s="8"/>
      <c r="G13" s="9"/>
      <c r="H13" s="9"/>
      <c r="I13" s="48"/>
      <c r="J13" s="21">
        <f t="shared" si="2"/>
        <v>30400</v>
      </c>
      <c r="K13" s="8" t="s">
        <v>196</v>
      </c>
      <c r="L13" s="9">
        <v>8000</v>
      </c>
      <c r="M13" s="9"/>
      <c r="N13" s="48">
        <v>5000</v>
      </c>
      <c r="O13" s="21">
        <f t="shared" si="3"/>
        <v>32800</v>
      </c>
      <c r="P13" s="8" t="s">
        <v>195</v>
      </c>
      <c r="Q13" s="9">
        <v>-8000</v>
      </c>
      <c r="R13" s="9"/>
      <c r="S13" s="48">
        <v>-5000</v>
      </c>
      <c r="T13" s="21">
        <f t="shared" si="4"/>
        <v>41800</v>
      </c>
      <c r="U13" s="53">
        <f>IF($J13="","",ROUND(($J13-$J$3)/1000,1)+(_xlfn.RANK.AVG($J13,($J13,$O13,$T13),1)-2)*10)</f>
        <v>-14.6</v>
      </c>
      <c r="V13" s="54">
        <f>IF($O13="","",ROUND(($O13-$O$3)/1000,1)+(_xlfn.RANK.AVG($O13,($J13,$O13,$T13),1)-2)*10)</f>
        <v>-2.2000000000000002</v>
      </c>
      <c r="W13" s="55">
        <f>IF($T13="","",ROUND(($T13-$T$3)/1000,1)+(_xlfn.RANK.AVG($T13,($J13,$O13,$T13),1)-2)*10)</f>
        <v>16.8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202</v>
      </c>
      <c r="AZ13" s="40" t="s">
        <v>203</v>
      </c>
      <c r="BA13" s="41" t="s">
        <v>207</v>
      </c>
      <c r="BB13" s="41" t="s">
        <v>93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だいち</v>
      </c>
      <c r="F14" s="8" t="s">
        <v>196</v>
      </c>
      <c r="G14" s="9">
        <v>2900</v>
      </c>
      <c r="H14" s="9"/>
      <c r="I14" s="48">
        <v>0</v>
      </c>
      <c r="J14" s="21">
        <f t="shared" si="2"/>
        <v>33300</v>
      </c>
      <c r="K14" s="8"/>
      <c r="L14" s="9"/>
      <c r="M14" s="9"/>
      <c r="N14" s="48"/>
      <c r="O14" s="21">
        <f t="shared" si="3"/>
        <v>32800</v>
      </c>
      <c r="P14" s="8" t="s">
        <v>195</v>
      </c>
      <c r="Q14" s="9">
        <v>-2900</v>
      </c>
      <c r="R14" s="9"/>
      <c r="S14" s="48">
        <v>0</v>
      </c>
      <c r="T14" s="21">
        <f t="shared" si="4"/>
        <v>38900</v>
      </c>
      <c r="U14" s="53">
        <f>IF($J14="","",ROUND(($J14-$J$3)/1000,1)+(_xlfn.RANK.AVG($J14,($J14,$O14,$T14),1)-2)*10)</f>
        <v>-1.7</v>
      </c>
      <c r="V14" s="54">
        <f>IF($O14="","",ROUND(($O14-$O$3)/1000,1)+(_xlfn.RANK.AVG($O14,($J14,$O14,$T14),1)-2)*10)</f>
        <v>-12.2</v>
      </c>
      <c r="W14" s="55">
        <f>IF($T14="","",ROUND(($T14-$T$3)/1000,1)+(_xlfn.RANK.AVG($T14,($J14,$O14,$T14),1)-2)*10)</f>
        <v>13.9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86</v>
      </c>
      <c r="AF14" s="41" t="s">
        <v>79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1</v>
      </c>
      <c r="C15" s="18">
        <f t="shared" si="6"/>
        <v>1</v>
      </c>
      <c r="D15" s="18">
        <f t="shared" si="1"/>
        <v>0</v>
      </c>
      <c r="E15" s="4" t="str">
        <f>IF($F$1="","",$F$1)</f>
        <v>だいち</v>
      </c>
      <c r="F15" s="8" t="s">
        <v>195</v>
      </c>
      <c r="G15" s="9">
        <v>-3900</v>
      </c>
      <c r="H15" s="9"/>
      <c r="I15" s="48">
        <v>-1000</v>
      </c>
      <c r="J15" s="21">
        <f t="shared" si="2"/>
        <v>28400</v>
      </c>
      <c r="K15" s="8" t="s">
        <v>196</v>
      </c>
      <c r="L15" s="9">
        <v>3900</v>
      </c>
      <c r="M15" s="9"/>
      <c r="N15" s="48">
        <v>1000</v>
      </c>
      <c r="O15" s="21">
        <f t="shared" si="3"/>
        <v>37700</v>
      </c>
      <c r="P15" s="8"/>
      <c r="Q15" s="9"/>
      <c r="R15" s="9"/>
      <c r="S15" s="48"/>
      <c r="T15" s="21">
        <f t="shared" si="4"/>
        <v>38900</v>
      </c>
      <c r="U15" s="53">
        <f>IF($J15="","",ROUND(($J15-$J$3)/1000,1)+(_xlfn.RANK.AVG($J15,($J15,$O15,$T15),1)-2)*10)</f>
        <v>-16.600000000000001</v>
      </c>
      <c r="V15" s="54">
        <f>IF($O15="","",ROUND(($O15-$O$3)/1000,1)+(_xlfn.RANK.AVG($O15,($J15,$O15,$T15),1)-2)*10)</f>
        <v>2.7</v>
      </c>
      <c r="W15" s="55">
        <f>IF($T15="","",ROUND(($T15-$T$3)/1000,1)+(_xlfn.RANK.AVG($T15,($J15,$O15,$T15),1)-2)*10)</f>
        <v>13.9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3</v>
      </c>
      <c r="AY15" s="30">
        <v>30</v>
      </c>
      <c r="AZ15" s="40" t="s">
        <v>86</v>
      </c>
      <c r="BA15" s="41" t="s">
        <v>86</v>
      </c>
      <c r="BB15" s="41" t="s">
        <v>86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tr">
        <f>IF($K$1="","",$K$1)</f>
        <v>ただ</v>
      </c>
      <c r="F16" s="8" t="s">
        <v>195</v>
      </c>
      <c r="G16" s="9">
        <v>-1300</v>
      </c>
      <c r="H16" s="9">
        <v>-1000</v>
      </c>
      <c r="I16" s="48">
        <v>0</v>
      </c>
      <c r="J16" s="21">
        <f t="shared" si="2"/>
        <v>26100</v>
      </c>
      <c r="K16" s="8"/>
      <c r="L16" s="9"/>
      <c r="M16" s="9"/>
      <c r="N16" s="48"/>
      <c r="O16" s="21">
        <f t="shared" si="3"/>
        <v>37700</v>
      </c>
      <c r="P16" s="8" t="s">
        <v>196</v>
      </c>
      <c r="Q16" s="9">
        <v>1300</v>
      </c>
      <c r="R16" s="9">
        <v>1000</v>
      </c>
      <c r="S16" s="48">
        <v>0</v>
      </c>
      <c r="T16" s="21">
        <f t="shared" si="4"/>
        <v>41200</v>
      </c>
      <c r="U16" s="53">
        <f>IF($J16="","",ROUND(($J16-$J$3)/1000,1)+(_xlfn.RANK.AVG($J16,($J16,$O16,$T16),1)-2)*10)</f>
        <v>-18.899999999999999</v>
      </c>
      <c r="V16" s="54">
        <f>IF($O16="","",ROUND(($O16-$O$3)/1000,1)+(_xlfn.RANK.AVG($O16,($J16,$O16,$T16),1)-2)*10)</f>
        <v>2.7</v>
      </c>
      <c r="W16" s="55">
        <f>IF($T16="","",ROUND(($T16-$T$3)/1000,1)+(_xlfn.RANK.AVG($T16,($J16,$O16,$T16),1)-2)*10)</f>
        <v>16.2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1</v>
      </c>
      <c r="BT16" s="30">
        <v>40</v>
      </c>
      <c r="BU16" s="40" t="s">
        <v>203</v>
      </c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tr">
        <f>IF($P$1="","",$P$1)</f>
        <v>たかの</v>
      </c>
      <c r="F17" s="8" t="s">
        <v>201</v>
      </c>
      <c r="G17" s="9">
        <v>-6000</v>
      </c>
      <c r="H17" s="9"/>
      <c r="I17" s="48">
        <v>0</v>
      </c>
      <c r="J17" s="21">
        <f t="shared" si="2"/>
        <v>20100</v>
      </c>
      <c r="K17" s="8" t="s">
        <v>201</v>
      </c>
      <c r="L17" s="9">
        <v>-6000</v>
      </c>
      <c r="M17" s="9"/>
      <c r="N17" s="48">
        <v>0</v>
      </c>
      <c r="O17" s="21">
        <f t="shared" si="3"/>
        <v>31700</v>
      </c>
      <c r="P17" s="8" t="s">
        <v>200</v>
      </c>
      <c r="Q17" s="9">
        <v>12000</v>
      </c>
      <c r="R17" s="9"/>
      <c r="S17" s="48">
        <v>0</v>
      </c>
      <c r="T17" s="21">
        <f t="shared" si="4"/>
        <v>53200</v>
      </c>
      <c r="U17" s="53">
        <f>IF($J17="","",ROUND(($J17-$J$3)/1000,1)+(_xlfn.RANK.AVG($J17,($J17,$O17,$T17),1)-2)*10)</f>
        <v>-24.9</v>
      </c>
      <c r="V17" s="54">
        <f>IF($O17="","",ROUND(($O17-$O$3)/1000,1)+(_xlfn.RANK.AVG($O17,($J17,$O17,$T17),1)-2)*10)</f>
        <v>-3.3</v>
      </c>
      <c r="W17" s="55">
        <f>IF($T17="","",ROUND(($T17-$T$3)/1000,1)+(_xlfn.RANK.AVG($T17,($J17,$O17,$T17),1)-2)*10)</f>
        <v>28.2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5</v>
      </c>
      <c r="BT17" s="30" t="s">
        <v>202</v>
      </c>
      <c r="BU17" s="40" t="s">
        <v>203</v>
      </c>
      <c r="BV17" s="41" t="s">
        <v>82</v>
      </c>
      <c r="BW17" s="41" t="s">
        <v>207</v>
      </c>
      <c r="BX17" s="41" t="s">
        <v>96</v>
      </c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南</v>
      </c>
      <c r="B18" s="18">
        <f t="shared" si="5"/>
        <v>3</v>
      </c>
      <c r="C18" s="18">
        <f t="shared" si="6"/>
        <v>1</v>
      </c>
      <c r="D18" s="18">
        <f t="shared" si="1"/>
        <v>0</v>
      </c>
      <c r="E18" s="4" t="str">
        <f>IF($P$1="","",$P$1)</f>
        <v>たかの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F74C9F5-F703-4C85-AEDB-1917B42B991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1F57AE8F-73F6-4378-83A8-F3BB88807AE1}">
      <formula1>"ロン,ツモ,放銃,ツモ支払,流局,チョンボ"</formula1>
    </dataValidation>
    <dataValidation type="list" allowBlank="1" showInputMessage="1" showErrorMessage="1" sqref="E4:E30" xr:uid="{35BD6E2E-267D-4800-A7FB-1906C9CFF4E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2020-10-29T09:19:28Z</dcterms:modified>
</cp:coreProperties>
</file>