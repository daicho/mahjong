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FA686CB0-5D37-4C3B-ADAB-B4339336237F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20" l="1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O19" i="20"/>
  <c r="J19" i="20"/>
  <c r="D19" i="20"/>
  <c r="C19" i="20"/>
  <c r="B19" i="20"/>
  <c r="A19" i="20" s="1"/>
  <c r="T18" i="20"/>
  <c r="O18" i="20"/>
  <c r="V18" i="20" s="1"/>
  <c r="J18" i="20"/>
  <c r="U18" i="20" s="1"/>
  <c r="D18" i="20"/>
  <c r="C18" i="20"/>
  <c r="B18" i="20"/>
  <c r="A18" i="20"/>
  <c r="T17" i="20"/>
  <c r="O17" i="20"/>
  <c r="V17" i="20" s="1"/>
  <c r="J17" i="20"/>
  <c r="D17" i="20"/>
  <c r="C17" i="20"/>
  <c r="B17" i="20"/>
  <c r="A17" i="20" s="1"/>
  <c r="T16" i="20"/>
  <c r="W16" i="20" s="1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 s="1"/>
  <c r="T14" i="20"/>
  <c r="O14" i="20"/>
  <c r="V14" i="20" s="1"/>
  <c r="J14" i="20"/>
  <c r="U14" i="20" s="1"/>
  <c r="D14" i="20"/>
  <c r="C14" i="20"/>
  <c r="B14" i="20"/>
  <c r="A14" i="20" s="1"/>
  <c r="T13" i="20"/>
  <c r="W13" i="20" s="1"/>
  <c r="O13" i="20"/>
  <c r="J13" i="20"/>
  <c r="D13" i="20"/>
  <c r="C13" i="20"/>
  <c r="B13" i="20"/>
  <c r="A13" i="20" s="1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J11" i="20"/>
  <c r="D11" i="20"/>
  <c r="C11" i="20"/>
  <c r="B11" i="20"/>
  <c r="A11" i="20" s="1"/>
  <c r="T10" i="20"/>
  <c r="O10" i="20"/>
  <c r="V10" i="20" s="1"/>
  <c r="J10" i="20"/>
  <c r="U10" i="20" s="1"/>
  <c r="D10" i="20"/>
  <c r="C10" i="20"/>
  <c r="B10" i="20"/>
  <c r="A10" i="20" s="1"/>
  <c r="C9" i="20"/>
  <c r="C8" i="20"/>
  <c r="D7" i="20"/>
  <c r="C7" i="20"/>
  <c r="T5" i="20"/>
  <c r="T6" i="20" s="1"/>
  <c r="J5" i="20"/>
  <c r="J6" i="20" s="1"/>
  <c r="C5" i="20"/>
  <c r="D5" i="20"/>
  <c r="T4" i="20"/>
  <c r="O4" i="20"/>
  <c r="O5" i="20" s="1"/>
  <c r="J4" i="20"/>
  <c r="E4" i="20"/>
  <c r="B5" i="20" s="1"/>
  <c r="A5" i="20" s="1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U19" i="20" l="1"/>
  <c r="V19" i="20"/>
  <c r="W19" i="20"/>
  <c r="W18" i="20"/>
  <c r="W17" i="20"/>
  <c r="U17" i="20"/>
  <c r="U16" i="20"/>
  <c r="V16" i="20"/>
  <c r="U15" i="20"/>
  <c r="V15" i="20"/>
  <c r="W15" i="20"/>
  <c r="W14" i="20"/>
  <c r="V13" i="20"/>
  <c r="U13" i="20"/>
  <c r="V11" i="20"/>
  <c r="U11" i="20"/>
  <c r="W11" i="20"/>
  <c r="W10" i="20"/>
  <c r="W4" i="20"/>
  <c r="T7" i="20"/>
  <c r="W6" i="20"/>
  <c r="O6" i="20"/>
  <c r="V5" i="20"/>
  <c r="U6" i="20"/>
  <c r="J7" i="20"/>
  <c r="W5" i="20"/>
  <c r="B8" i="20"/>
  <c r="B6" i="20"/>
  <c r="A6" i="20" s="1"/>
  <c r="D8" i="20"/>
  <c r="D9" i="20" s="1"/>
  <c r="U4" i="20"/>
  <c r="C6" i="20"/>
  <c r="V4" i="20"/>
  <c r="D6" i="20"/>
  <c r="B7" i="20"/>
  <c r="U5" i="20"/>
  <c r="E4" i="19"/>
  <c r="A7" i="20" l="1"/>
  <c r="B9" i="20"/>
  <c r="A9" i="20" s="1"/>
  <c r="J8" i="20"/>
  <c r="A8" i="20"/>
  <c r="O7" i="20"/>
  <c r="V6" i="20"/>
  <c r="T8" i="20"/>
  <c r="W7" i="20"/>
  <c r="W3" i="19"/>
  <c r="V3" i="19"/>
  <c r="U3" i="19"/>
  <c r="J9" i="20" l="1"/>
  <c r="T9" i="20"/>
  <c r="O8" i="20"/>
  <c r="U8" i="20" s="1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8" i="20" l="1"/>
  <c r="O9" i="20"/>
  <c r="V9" i="20" s="1"/>
  <c r="V8" i="20"/>
  <c r="W9" i="20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0" l="1"/>
  <c r="W5" i="19"/>
  <c r="V5" i="19"/>
  <c r="U5" i="19"/>
</calcChain>
</file>

<file path=xl/sharedStrings.xml><?xml version="1.0" encoding="utf-8"?>
<sst xmlns="http://schemas.openxmlformats.org/spreadsheetml/2006/main" count="704" uniqueCount="206">
  <si>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</si>
  <si>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</si>
  <si>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</si>
  <si>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</si>
  <si>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</si>
  <si>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</si>
  <si>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</si>
  <si>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</si>
  <si>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</si>
  <si>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</si>
  <si>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</si>
  <si>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</si>
  <si>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</si>
  <si>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</si>
  <si>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</si>
  <si>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</si>
  <si>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</si>
  <si>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</si>
  <si>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</si>
  <si>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</si>
  <si>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</si>
  <si>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</si>
  <si>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</si>
  <si>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</si>
  <si>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</si>
  <si>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</si>
  <si>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</si>
  <si>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</si>
  <si>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</si>
  <si>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</si>
  <si>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</si>
  <si>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</si>
  <si>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</si>
  <si>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</si>
  <si>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</si>
  <si>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</si>
  <si>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</si>
  <si>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</si>
  <si>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</si>
  <si>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</si>
  <si>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</si>
  <si>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</si>
  <si>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</si>
  <si>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</si>
  <si>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</si>
  <si>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</si>
  <si>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</si>
  <si>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</si>
  <si>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</si>
  <si>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</si>
  <si>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</si>
  <si>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</si>
  <si>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</si>
  <si>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</si>
  <si>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</si>
  <si>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</si>
  <si>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</si>
  <si>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</si>
  <si>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</si>
  <si>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</si>
  <si>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</si>
  <si>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</si>
  <si>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</si>
  <si>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</si>
  <si>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</si>
  <si>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</si>
  <si>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</si>
  <si>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</si>
  <si>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</si>
  <si>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</si>
  <si>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</si>
  <si>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</si>
  <si>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</si>
  <si>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</si>
  <si>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</si>
  <si>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</si>
  <si>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</si>
  <si>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</si>
  <si>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</si>
  <si>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</si>
  <si>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</si>
  <si>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</si>
  <si>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</si>
  <si>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</si>
  <si>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</si>
  <si>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</si>
  <si>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</si>
  <si>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</si>
  <si>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</si>
  <si>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</si>
  <si>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</si>
  <si>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</si>
  <si>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</si>
  <si>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</si>
  <si>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</si>
  <si>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</si>
  <si>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</si>
  <si>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</si>
  <si>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</si>
  <si>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</si>
  <si>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</si>
  <si>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</si>
  <si>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</si>
  <si>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</si>
  <si>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</si>
  <si>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</si>
  <si>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</si>
  <si>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</si>
  <si>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</si>
  <si>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</si>
  <si>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</si>
  <si>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</si>
  <si>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</si>
  <si>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</si>
  <si>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</si>
  <si>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</si>
  <si>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</si>
  <si>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</si>
  <si>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</si>
  <si>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</si>
  <si>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</si>
  <si>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</si>
  <si>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</si>
  <si>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</si>
  <si>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</si>
  <si>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</si>
  <si>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</si>
  <si>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</si>
  <si>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</si>
  <si>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</si>
  <si>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</si>
  <si>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</si>
  <si>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</si>
  <si>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</si>
  <si>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</si>
  <si>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</si>
  <si>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</si>
  <si>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</si>
  <si>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</si>
  <si>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</si>
  <si>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</si>
  <si>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</si>
  <si>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</si>
  <si>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</si>
  <si>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</si>
  <si>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</si>
  <si>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</si>
  <si>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</si>
  <si>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</si>
  <si>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</si>
  <si>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</si>
  <si>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</si>
  <si>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</si>
  <si>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</si>
  <si>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</si>
  <si>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</si>
  <si>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</si>
  <si>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</si>
  <si>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</si>
  <si>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</si>
  <si>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</si>
  <si>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</si>
  <si>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</si>
  <si>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</si>
  <si>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</si>
  <si>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</si>
  <si>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</si>
  <si>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</si>
  <si>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</si>
  <si>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</si>
  <si>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</si>
  <si>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</si>
  <si>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</si>
  <si>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</si>
  <si>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</si>
  <si>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</si>
  <si>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</si>
  <si>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</si>
  <si>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</si>
  <si>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</si>
  <si>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</si>
  <si>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</si>
  <si>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</si>
  <si>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</si>
  <si>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</si>
  <si>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</si>
  <si>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</si>
  <si>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</si>
  <si>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</si>
  <si>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</si>
  <si>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</si>
  <si>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</si>
  <si>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ただ</t>
    <phoneticPr fontId="1"/>
  </si>
  <si>
    <t>だいち</t>
    <phoneticPr fontId="1"/>
  </si>
  <si>
    <t>放銃</t>
  </si>
  <si>
    <t>ロン</t>
  </si>
  <si>
    <t>*</t>
  </si>
  <si>
    <t>52</t>
  </si>
  <si>
    <t>N</t>
  </si>
  <si>
    <t>T</t>
  </si>
  <si>
    <t>流局</t>
    <phoneticPr fontId="1"/>
  </si>
  <si>
    <t>ツモ支払</t>
  </si>
  <si>
    <t>ツモ</t>
  </si>
  <si>
    <t>01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</si>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</sst>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196</v>
      </c>
      <c r="BU4" s="40" t="s">
        <v>104</v>
      </c>
      <c r="BV4" s="41" t="s">
        <v>86</v>
      </c>
      <c r="BW4" s="41" t="s">
        <v>86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195</v>
      </c>
      <c r="G5" s="9">
        <v>3900</v>
      </c>
      <c r="H5" s="9">
        <v>1000</v>
      </c>
      <c r="I5" s="48">
        <v>0</v>
      </c>
      <c r="J5" s="21">
        <f t="shared" ref="J5:J30" si="2">IF(COUNTA($F5,$K5,$P5)&gt;0,J4+SUM(G5:I5),"")</f>
        <v>31900</v>
      </c>
      <c r="K5" s="8"/>
      <c r="L5" s="9"/>
      <c r="M5" s="9">
        <v>-1000</v>
      </c>
      <c r="N5" s="48"/>
      <c r="O5" s="21">
        <f t="shared" ref="O5:O30" si="3">IF(COUNTA($F5,$K5,$P5)&gt;0,O4+SUM(L5:N5),"")</f>
        <v>34000</v>
      </c>
      <c r="P5" s="8" t="s">
        <v>194</v>
      </c>
      <c r="Q5" s="9">
        <v>-3900</v>
      </c>
      <c r="R5" s="9"/>
      <c r="S5" s="48">
        <v>0</v>
      </c>
      <c r="T5" s="21">
        <f t="shared" ref="T5:T30" si="4">IF(COUNTA($F5,$K5,$P5)&gt;0,T4+SUM(Q5:S5),"")</f>
        <v>39100</v>
      </c>
      <c r="U5" s="53">
        <f>IF($J5="","",ROUND(($J5-$J$3)/1000,1)+(_xlfn.RANK.AVG($J5,($J5,$O5,$T5),1)-2)*10)</f>
        <v>-13.1</v>
      </c>
      <c r="V5" s="54">
        <f>IF($O5="","",ROUND(($O5-$O$3)/1000,1)+(_xlfn.RANK.AVG($O5,($J5,$O5,$T5),1)-2)*10)</f>
        <v>-1</v>
      </c>
      <c r="W5" s="55">
        <f>IF($T5="","",ROUND(($T5-$T$3)/1000,1)+(_xlfn.RANK.AVG($T5,($J5,$O5,$T5),1)-2)*10)</f>
        <v>14.1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-8000</v>
      </c>
      <c r="H6" s="9"/>
      <c r="I6" s="48">
        <v>0</v>
      </c>
      <c r="J6" s="21">
        <f t="shared" si="2"/>
        <v>23900</v>
      </c>
      <c r="K6" s="8" t="s">
        <v>195</v>
      </c>
      <c r="L6" s="9">
        <v>8000</v>
      </c>
      <c r="M6" s="9"/>
      <c r="N6" s="48">
        <v>0</v>
      </c>
      <c r="O6" s="21">
        <f t="shared" si="3"/>
        <v>42000</v>
      </c>
      <c r="P6" s="8"/>
      <c r="Q6" s="9"/>
      <c r="R6" s="9"/>
      <c r="S6" s="48"/>
      <c r="T6" s="21">
        <f t="shared" si="4"/>
        <v>39100</v>
      </c>
      <c r="U6" s="53">
        <f>IF($J6="","",ROUND(($J6-$J$3)/1000,1)+(_xlfn.RANK.AVG($J6,($J6,$O6,$T6),1)-2)*10)</f>
        <v>-21.1</v>
      </c>
      <c r="V6" s="54">
        <f>IF($O6="","",ROUND(($O6-$O$3)/1000,1)+(_xlfn.RANK.AVG($O6,($J6,$O6,$T6),1)-2)*10)</f>
        <v>17</v>
      </c>
      <c r="W6" s="55">
        <f>IF($T6="","",ROUND(($T6-$T$3)/1000,1)+(_xlfn.RANK.AVG($T6,($J6,$O6,$T6),1)-2)*10)</f>
        <v>4.0999999999999996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40</v>
      </c>
      <c r="AZ6" s="40" t="s">
        <v>98</v>
      </c>
      <c r="BA6" s="41" t="s">
        <v>85</v>
      </c>
      <c r="BB6" s="41" t="s">
        <v>197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194</v>
      </c>
      <c r="G7" s="9">
        <v>-2000</v>
      </c>
      <c r="H7" s="9"/>
      <c r="I7" s="48">
        <v>0</v>
      </c>
      <c r="J7" s="21">
        <f t="shared" si="2"/>
        <v>21900</v>
      </c>
      <c r="K7" s="8" t="s">
        <v>195</v>
      </c>
      <c r="L7" s="9">
        <v>2000</v>
      </c>
      <c r="M7" s="9"/>
      <c r="N7" s="48">
        <v>0</v>
      </c>
      <c r="O7" s="21">
        <f t="shared" si="3"/>
        <v>44000</v>
      </c>
      <c r="P7" s="8"/>
      <c r="Q7" s="9"/>
      <c r="R7" s="9"/>
      <c r="S7" s="48"/>
      <c r="T7" s="21">
        <f t="shared" si="4"/>
        <v>39100</v>
      </c>
      <c r="U7" s="53">
        <f>IF($J7="","",ROUND(($J7-$J$3)/1000,1)+(_xlfn.RANK.AVG($J7,($J7,$O7,$T7),1)-2)*10)</f>
        <v>-23.1</v>
      </c>
      <c r="V7" s="54">
        <f>IF($O7="","",ROUND(($O7-$O$3)/1000,1)+(_xlfn.RANK.AVG($O7,($J7,$O7,$T7),1)-2)*10)</f>
        <v>19</v>
      </c>
      <c r="W7" s="55">
        <f>IF($T7="","",ROUND(($T7-$T$3)/1000,1)+(_xlfn.RANK.AVG($T7,($J7,$O7,$T7),1)-2)*10)</f>
        <v>4.0999999999999996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200</v>
      </c>
      <c r="G8" s="9">
        <v>-1500</v>
      </c>
      <c r="H8" s="9"/>
      <c r="I8" s="48"/>
      <c r="J8" s="21">
        <f t="shared" si="2"/>
        <v>20400</v>
      </c>
      <c r="K8" s="8" t="s">
        <v>200</v>
      </c>
      <c r="L8" s="9">
        <v>-1500</v>
      </c>
      <c r="M8" s="9"/>
      <c r="N8" s="48"/>
      <c r="O8" s="21">
        <f t="shared" si="3"/>
        <v>42500</v>
      </c>
      <c r="P8" s="8" t="s">
        <v>200</v>
      </c>
      <c r="Q8" s="9">
        <v>3000</v>
      </c>
      <c r="R8" s="9"/>
      <c r="S8" s="48"/>
      <c r="T8" s="21">
        <f t="shared" si="4"/>
        <v>42100</v>
      </c>
      <c r="U8" s="53">
        <f>IF($J8="","",ROUND(($J8-$J$3)/1000,1)+(_xlfn.RANK.AVG($J8,($J8,$O8,$T8),1)-2)*10)</f>
        <v>-24.6</v>
      </c>
      <c r="V8" s="54">
        <f>IF($O8="","",ROUND(($O8-$O$3)/1000,1)+(_xlfn.RANK.AVG($O8,($J8,$O8,$T8),1)-2)*10)</f>
        <v>17.5</v>
      </c>
      <c r="W8" s="55">
        <f>IF($T8="","",ROUND(($T8-$T$3)/1000,1)+(_xlfn.RANK.AVG($T8,($J8,$O8,$T8),1)-2)*10)</f>
        <v>7.1</v>
      </c>
      <c r="Y8" s="8" t="s">
        <v>198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198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199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 t="s">
        <v>201</v>
      </c>
      <c r="G9" s="9">
        <v>-6000</v>
      </c>
      <c r="H9" s="9"/>
      <c r="I9" s="48">
        <v>-500</v>
      </c>
      <c r="J9" s="21">
        <f t="shared" si="2"/>
        <v>13900</v>
      </c>
      <c r="K9" s="8" t="s">
        <v>201</v>
      </c>
      <c r="L9" s="9">
        <v>-6000</v>
      </c>
      <c r="M9" s="9"/>
      <c r="N9" s="48">
        <v>-500</v>
      </c>
      <c r="O9" s="21">
        <f t="shared" si="3"/>
        <v>36000</v>
      </c>
      <c r="P9" s="8" t="s">
        <v>202</v>
      </c>
      <c r="Q9" s="9">
        <v>12000</v>
      </c>
      <c r="R9" s="9"/>
      <c r="S9" s="48">
        <v>1000</v>
      </c>
      <c r="T9" s="21">
        <f t="shared" si="4"/>
        <v>55100</v>
      </c>
      <c r="U9" s="53">
        <f>IF($J9="","",ROUND(($J9-$J$3)/1000,1)+(_xlfn.RANK.AVG($J9,($J9,$O9,$T9),1)-2)*10)</f>
        <v>-31.1</v>
      </c>
      <c r="V9" s="54">
        <f>IF($O9="","",ROUND(($O9-$O$3)/1000,1)+(_xlfn.RANK.AVG($O9,($J9,$O9,$T9),1)-2)*10)</f>
        <v>1</v>
      </c>
      <c r="W9" s="55">
        <f>IF($T9="","",ROUND(($T9-$T$3)/1000,1)+(_xlfn.RANK.AVG($T9,($J9,$O9,$T9),1)-2)*10)</f>
        <v>30.1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196</v>
      </c>
      <c r="BU9" s="40" t="s">
        <v>203</v>
      </c>
      <c r="BV9" s="41" t="s">
        <v>82</v>
      </c>
      <c r="BW9" s="41" t="s">
        <v>80</v>
      </c>
      <c r="BX9" s="41" t="s">
        <v>80</v>
      </c>
      <c r="BY9" s="41" t="s">
        <v>197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4B0F515-29EA-445F-950C-D5FA8DCCFC78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D72B-8C19-447B-AE6E-986D4203AAC6}">
  <sheetPr codeName="Sheet11">
    <pageSetUpPr fitToPage="1"/>
  </sheetPr>
  <dimension ref="A1:CI30"/>
  <sheetViews>
    <sheetView tabSelected="1" zoomScaleNormal="100" workbookViewId="0">
      <selection activeCell="P2" sqref="P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>
        <v>5</v>
      </c>
      <c r="AD4" s="30" t="s">
        <v>196</v>
      </c>
      <c r="AE4" s="40" t="s">
        <v>106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204</v>
      </c>
      <c r="G5" s="9">
        <v>-3000</v>
      </c>
      <c r="H5" s="9"/>
      <c r="I5" s="48"/>
      <c r="J5" s="21">
        <f t="shared" ref="J5:J30" si="2">IF(COUNTA($F5,$K5,$P5)&gt;0,J4+SUM(G5:I5),"")</f>
        <v>44000</v>
      </c>
      <c r="K5" s="8" t="s">
        <v>204</v>
      </c>
      <c r="L5" s="9">
        <v>1500</v>
      </c>
      <c r="M5" s="9"/>
      <c r="N5" s="48"/>
      <c r="O5" s="21">
        <f t="shared" ref="O5:O30" si="3">IF(COUNTA($F5,$K5,$P5)&gt;0,O4+SUM(L5:N5),"")</f>
        <v>36500</v>
      </c>
      <c r="P5" s="8" t="s">
        <v>204</v>
      </c>
      <c r="Q5" s="9">
        <v>1500</v>
      </c>
      <c r="R5" s="9"/>
      <c r="S5" s="48"/>
      <c r="T5" s="21">
        <f t="shared" ref="T5:T30" si="4">IF(COUNTA($F5,$K5,$P5)&gt;0,T4+SUM(Q5:S5),"")</f>
        <v>24500</v>
      </c>
      <c r="U5" s="53">
        <f>IF($J5="","",ROUND(($J5-$J$3)/1000,1)+(_xlfn.RANK.AVG($J5,($J5,$O5,$T5),1)-2)*10)</f>
        <v>19</v>
      </c>
      <c r="V5" s="54">
        <f>IF($O5="","",ROUND(($O5-$O$3)/1000,1)+(_xlfn.RANK.AVG($O5,($J5,$O5,$T5),1)-2)*10)</f>
        <v>1.5</v>
      </c>
      <c r="W5" s="55">
        <f>IF($T5="","",ROUND(($T5-$T$3)/1000,1)+(_xlfn.RANK.AVG($T5,($J5,$O5,$T5),1)-2)*10)</f>
        <v>-20.5</v>
      </c>
      <c r="Y5" s="8" t="s">
        <v>198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199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れんたろう</v>
      </c>
      <c r="F6" s="8"/>
      <c r="G6" s="9"/>
      <c r="H6" s="9"/>
      <c r="I6" s="48"/>
      <c r="J6" s="21">
        <f t="shared" si="2"/>
        <v>44000</v>
      </c>
      <c r="K6" s="8" t="s">
        <v>195</v>
      </c>
      <c r="L6" s="9">
        <v>7700</v>
      </c>
      <c r="M6" s="9"/>
      <c r="N6" s="48">
        <v>2000</v>
      </c>
      <c r="O6" s="21">
        <f t="shared" si="3"/>
        <v>46200</v>
      </c>
      <c r="P6" s="8" t="s">
        <v>194</v>
      </c>
      <c r="Q6" s="9">
        <v>-7700</v>
      </c>
      <c r="R6" s="9"/>
      <c r="S6" s="48">
        <v>-2000</v>
      </c>
      <c r="T6" s="21">
        <f t="shared" si="4"/>
        <v>14800</v>
      </c>
      <c r="U6" s="53">
        <f>IF($J6="","",ROUND(($J6-$J$3)/1000,1)+(_xlfn.RANK.AVG($J6,($J6,$O6,$T6),1)-2)*10)</f>
        <v>9</v>
      </c>
      <c r="V6" s="54">
        <f>IF($O6="","",ROUND(($O6-$O$3)/1000,1)+(_xlfn.RANK.AVG($O6,($J6,$O6,$T6),1)-2)*10)</f>
        <v>21.2</v>
      </c>
      <c r="W6" s="55">
        <f>IF($T6="","",ROUND(($T6-$T$3)/1000,1)+(_xlfn.RANK.AVG($T6,($J6,$O6,$T6),1)-2)*10)</f>
        <v>-30.2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203</v>
      </c>
      <c r="BA6" s="41" t="s">
        <v>86</v>
      </c>
      <c r="BB6" s="41" t="s">
        <v>80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れんたろう</v>
      </c>
      <c r="F7" s="8" t="s">
        <v>195</v>
      </c>
      <c r="G7" s="9">
        <v>8000</v>
      </c>
      <c r="H7" s="9"/>
      <c r="I7" s="48">
        <v>3000</v>
      </c>
      <c r="J7" s="21">
        <f t="shared" si="2"/>
        <v>55000</v>
      </c>
      <c r="K7" s="8"/>
      <c r="L7" s="9"/>
      <c r="M7" s="9"/>
      <c r="N7" s="48"/>
      <c r="O7" s="21">
        <f t="shared" si="3"/>
        <v>46200</v>
      </c>
      <c r="P7" s="8" t="s">
        <v>194</v>
      </c>
      <c r="Q7" s="9">
        <v>-8000</v>
      </c>
      <c r="R7" s="9"/>
      <c r="S7" s="48">
        <v>-3000</v>
      </c>
      <c r="T7" s="21">
        <f t="shared" si="4"/>
        <v>3800</v>
      </c>
      <c r="U7" s="53">
        <f>IF($J7="","",ROUND(($J7-$J$3)/1000,1)+(_xlfn.RANK.AVG($J7,($J7,$O7,$T7),1)-2)*10)</f>
        <v>30</v>
      </c>
      <c r="V7" s="54">
        <f>IF($O7="","",ROUND(($O7-$O$3)/1000,1)+(_xlfn.RANK.AVG($O7,($J7,$O7,$T7),1)-2)*10)</f>
        <v>11.2</v>
      </c>
      <c r="W7" s="55">
        <f>IF($T7="","",ROUND(($T7-$T$3)/1000,1)+(_xlfn.RANK.AVG($T7,($J7,$O7,$T7),1)-2)*10)</f>
        <v>-41.2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203</v>
      </c>
      <c r="AF7" s="41" t="s">
        <v>205</v>
      </c>
      <c r="AG7" s="41" t="s">
        <v>86</v>
      </c>
      <c r="AH7" s="41" t="s">
        <v>197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ただ</v>
      </c>
      <c r="F8" s="8"/>
      <c r="G8" s="9"/>
      <c r="H8" s="9"/>
      <c r="I8" s="48"/>
      <c r="J8" s="21">
        <f t="shared" si="2"/>
        <v>55000</v>
      </c>
      <c r="K8" s="8" t="s">
        <v>194</v>
      </c>
      <c r="L8" s="9">
        <v>-12000</v>
      </c>
      <c r="M8" s="9"/>
      <c r="N8" s="48">
        <v>0</v>
      </c>
      <c r="O8" s="21">
        <f t="shared" si="3"/>
        <v>34200</v>
      </c>
      <c r="P8" s="8" t="s">
        <v>195</v>
      </c>
      <c r="Q8" s="9">
        <v>12000</v>
      </c>
      <c r="R8" s="9"/>
      <c r="S8" s="48">
        <v>0</v>
      </c>
      <c r="T8" s="21">
        <f t="shared" si="4"/>
        <v>15800</v>
      </c>
      <c r="U8" s="53">
        <f>IF($J8="","",ROUND(($J8-$J$3)/1000,1)+(_xlfn.RANK.AVG($J8,($J8,$O8,$T8),1)-2)*10)</f>
        <v>30</v>
      </c>
      <c r="V8" s="54">
        <f>IF($O8="","",ROUND(($O8-$O$3)/1000,1)+(_xlfn.RANK.AVG($O8,($J8,$O8,$T8),1)-2)*10)</f>
        <v>-0.8</v>
      </c>
      <c r="W8" s="55">
        <f>IF($T8="","",ROUND(($T8-$T$3)/1000,1)+(_xlfn.RANK.AVG($T8,($J8,$O8,$T8),1)-2)*10)</f>
        <v>-29.2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196</v>
      </c>
      <c r="BU8" s="40" t="s">
        <v>203</v>
      </c>
      <c r="BV8" s="41" t="s">
        <v>104</v>
      </c>
      <c r="BW8" s="41" t="s">
        <v>197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ただ</v>
      </c>
      <c r="F9" s="8" t="s">
        <v>204</v>
      </c>
      <c r="G9" s="9">
        <v>-3000</v>
      </c>
      <c r="H9" s="9"/>
      <c r="I9" s="48"/>
      <c r="J9" s="21">
        <f t="shared" si="2"/>
        <v>52000</v>
      </c>
      <c r="K9" s="8" t="s">
        <v>204</v>
      </c>
      <c r="L9" s="9">
        <v>1500</v>
      </c>
      <c r="M9" s="9"/>
      <c r="N9" s="48"/>
      <c r="O9" s="21">
        <f t="shared" si="3"/>
        <v>35700</v>
      </c>
      <c r="P9" s="8" t="s">
        <v>204</v>
      </c>
      <c r="Q9" s="9">
        <v>1500</v>
      </c>
      <c r="R9" s="9">
        <v>-1000</v>
      </c>
      <c r="S9" s="48"/>
      <c r="T9" s="21">
        <f t="shared" si="4"/>
        <v>16300</v>
      </c>
      <c r="U9" s="53">
        <f>IF($J9="","",ROUND(($J9-$J$3)/1000,1)+(_xlfn.RANK.AVG($J9,($J9,$O9,$T9),1)-2)*10)</f>
        <v>27</v>
      </c>
      <c r="V9" s="54">
        <f>IF($O9="","",ROUND(($O9-$O$3)/1000,1)+(_xlfn.RANK.AVG($O9,($J9,$O9,$T9),1)-2)*10)</f>
        <v>0.7</v>
      </c>
      <c r="W9" s="55">
        <f>IF($T9="","",ROUND(($T9-$T$3)/1000,1)+(_xlfn.RANK.AVG($T9,($J9,$O9,$T9),1)-2)*10)</f>
        <v>-28.7</v>
      </c>
      <c r="Y9" s="8" t="s">
        <v>198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199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199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1</v>
      </c>
      <c r="E10" s="4" t="str">
        <f>IF($P$1="","",$P$1)</f>
        <v>ただ</v>
      </c>
      <c r="F10" s="8" t="s">
        <v>204</v>
      </c>
      <c r="G10" s="9">
        <v>1500</v>
      </c>
      <c r="H10" s="9"/>
      <c r="I10" s="48"/>
      <c r="J10" s="21">
        <f t="shared" si="2"/>
        <v>53500</v>
      </c>
      <c r="K10" s="8" t="s">
        <v>204</v>
      </c>
      <c r="L10" s="9">
        <v>-3000</v>
      </c>
      <c r="M10" s="9"/>
      <c r="N10" s="48"/>
      <c r="O10" s="21">
        <f t="shared" si="3"/>
        <v>32700</v>
      </c>
      <c r="P10" s="8" t="s">
        <v>204</v>
      </c>
      <c r="Q10" s="9">
        <v>1500</v>
      </c>
      <c r="R10" s="9">
        <v>-1000</v>
      </c>
      <c r="S10" s="48"/>
      <c r="T10" s="21">
        <f t="shared" si="4"/>
        <v>16800</v>
      </c>
      <c r="U10" s="53">
        <f>IF($J10="","",ROUND(($J10-$J$3)/1000,1)+(_xlfn.RANK.AVG($J10,($J10,$O10,$T10),1)-2)*10)</f>
        <v>28.5</v>
      </c>
      <c r="V10" s="54">
        <f>IF($O10="","",ROUND(($O10-$O$3)/1000,1)+(_xlfn.RANK.AVG($O10,($J10,$O10,$T10),1)-2)*10)</f>
        <v>-2.2999999999999998</v>
      </c>
      <c r="W10" s="55">
        <f>IF($T10="","",ROUND(($T10-$T$3)/1000,1)+(_xlfn.RANK.AVG($T10,($J10,$O10,$T10),1)-2)*10)</f>
        <v>-28.2</v>
      </c>
      <c r="Y10" s="8" t="s">
        <v>199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198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199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3</v>
      </c>
      <c r="D11" s="18">
        <f t="shared" si="1"/>
        <v>2</v>
      </c>
      <c r="E11" s="4" t="str">
        <f>IF($P$1="","",$P$1)</f>
        <v>ただ</v>
      </c>
      <c r="F11" s="8" t="s">
        <v>201</v>
      </c>
      <c r="G11" s="9">
        <v>-3900</v>
      </c>
      <c r="H11" s="9"/>
      <c r="I11" s="48">
        <v>-1500</v>
      </c>
      <c r="J11" s="21">
        <f t="shared" si="2"/>
        <v>48100</v>
      </c>
      <c r="K11" s="8" t="s">
        <v>201</v>
      </c>
      <c r="L11" s="9">
        <v>-3900</v>
      </c>
      <c r="M11" s="9"/>
      <c r="N11" s="48">
        <v>-1500</v>
      </c>
      <c r="O11" s="21">
        <f t="shared" si="3"/>
        <v>27300</v>
      </c>
      <c r="P11" s="8" t="s">
        <v>202</v>
      </c>
      <c r="Q11" s="9">
        <v>7800</v>
      </c>
      <c r="R11" s="9">
        <v>2000</v>
      </c>
      <c r="S11" s="48">
        <v>3000</v>
      </c>
      <c r="T11" s="21">
        <f t="shared" si="4"/>
        <v>29600</v>
      </c>
      <c r="U11" s="53">
        <f>IF($J11="","",ROUND(($J11-$J$3)/1000,1)+(_xlfn.RANK.AVG($J11,($J11,$O11,$T11),1)-2)*10)</f>
        <v>23.1</v>
      </c>
      <c r="V11" s="54">
        <f>IF($O11="","",ROUND(($O11-$O$3)/1000,1)+(_xlfn.RANK.AVG($O11,($J11,$O11,$T11),1)-2)*10)</f>
        <v>-17.7</v>
      </c>
      <c r="W11" s="55">
        <f>IF($T11="","",ROUND(($T11-$T$3)/1000,1)+(_xlfn.RANK.AVG($T11,($J11,$O11,$T11),1)-2)*10)</f>
        <v>-5.4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20</v>
      </c>
      <c r="BU11" s="40" t="s">
        <v>203</v>
      </c>
      <c r="BV11" s="41" t="s">
        <v>82</v>
      </c>
      <c r="BW11" s="41" t="s">
        <v>205</v>
      </c>
      <c r="BX11" s="41" t="s">
        <v>83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4</v>
      </c>
      <c r="D12" s="18">
        <f t="shared" si="1"/>
        <v>0</v>
      </c>
      <c r="E12" s="4" t="str">
        <f>IF($P$1="","",$P$1)</f>
        <v>ただ</v>
      </c>
      <c r="F12" s="8"/>
      <c r="G12" s="9"/>
      <c r="H12" s="9"/>
      <c r="I12" s="48"/>
      <c r="J12" s="21">
        <f t="shared" si="2"/>
        <v>48100</v>
      </c>
      <c r="K12" s="8" t="s">
        <v>195</v>
      </c>
      <c r="L12" s="9">
        <v>8000</v>
      </c>
      <c r="M12" s="9"/>
      <c r="N12" s="48">
        <v>4000</v>
      </c>
      <c r="O12" s="21">
        <f t="shared" si="3"/>
        <v>39300</v>
      </c>
      <c r="P12" s="8" t="s">
        <v>194</v>
      </c>
      <c r="Q12" s="9">
        <v>-8000</v>
      </c>
      <c r="R12" s="9"/>
      <c r="S12" s="48">
        <v>-4000</v>
      </c>
      <c r="T12" s="21">
        <f t="shared" si="4"/>
        <v>17600</v>
      </c>
      <c r="U12" s="53">
        <f>IF($J12="","",ROUND(($J12-$J$3)/1000,1)+(_xlfn.RANK.AVG($J12,($J12,$O12,$T12),1)-2)*10)</f>
        <v>23.1</v>
      </c>
      <c r="V12" s="54">
        <f>IF($O12="","",ROUND(($O12-$O$3)/1000,1)+(_xlfn.RANK.AVG($O12,($J12,$O12,$T12),1)-2)*10)</f>
        <v>4.3</v>
      </c>
      <c r="W12" s="55">
        <f>IF($T12="","",ROUND(($T12-$T$3)/1000,1)+(_xlfn.RANK.AVG($T12,($J12,$O12,$T12),1)-2)*10)</f>
        <v>-27.4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40</v>
      </c>
      <c r="AZ12" s="40" t="s">
        <v>203</v>
      </c>
      <c r="BA12" s="41" t="s">
        <v>86</v>
      </c>
      <c r="BB12" s="41" t="s">
        <v>79</v>
      </c>
      <c r="BC12" s="41" t="s">
        <v>80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だいち</v>
      </c>
      <c r="F13" s="8" t="s">
        <v>195</v>
      </c>
      <c r="G13" s="9">
        <v>11600</v>
      </c>
      <c r="H13" s="9"/>
      <c r="I13" s="48">
        <v>0</v>
      </c>
      <c r="J13" s="21">
        <f t="shared" si="2"/>
        <v>59700</v>
      </c>
      <c r="K13" s="8"/>
      <c r="L13" s="9"/>
      <c r="M13" s="9"/>
      <c r="N13" s="48"/>
      <c r="O13" s="21">
        <f t="shared" si="3"/>
        <v>39300</v>
      </c>
      <c r="P13" s="8" t="s">
        <v>194</v>
      </c>
      <c r="Q13" s="9">
        <v>-11600</v>
      </c>
      <c r="R13" s="9"/>
      <c r="S13" s="48">
        <v>0</v>
      </c>
      <c r="T13" s="21">
        <f t="shared" si="4"/>
        <v>6000</v>
      </c>
      <c r="U13" s="53">
        <f>IF($J13="","",ROUND(($J13-$J$3)/1000,1)+(_xlfn.RANK.AVG($J13,($J13,$O13,$T13),1)-2)*10)</f>
        <v>34.700000000000003</v>
      </c>
      <c r="V13" s="54">
        <f>IF($O13="","",ROUND(($O13-$O$3)/1000,1)+(_xlfn.RANK.AVG($O13,($J13,$O13,$T13),1)-2)*10)</f>
        <v>4.3</v>
      </c>
      <c r="W13" s="55">
        <f>IF($T13="","",ROUND(($T13-$T$3)/1000,1)+(_xlfn.RANK.AVG($T13,($J13,$O13,$T13),1)-2)*10)</f>
        <v>-39</v>
      </c>
      <c r="Y13" s="8"/>
      <c r="Z13" s="34"/>
      <c r="AA13" s="26"/>
      <c r="AB13" s="26"/>
      <c r="AC13" s="26">
        <v>4</v>
      </c>
      <c r="AD13" s="30">
        <v>30</v>
      </c>
      <c r="AE13" s="40" t="s">
        <v>83</v>
      </c>
      <c r="AF13" s="41" t="s">
        <v>92</v>
      </c>
      <c r="AG13" s="41" t="s">
        <v>197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tr">
        <f>IF($F$1="","",$F$1)</f>
        <v>だいち</v>
      </c>
      <c r="F14" s="8" t="s">
        <v>195</v>
      </c>
      <c r="G14" s="9">
        <v>12000</v>
      </c>
      <c r="H14" s="9"/>
      <c r="I14" s="48">
        <v>1000</v>
      </c>
      <c r="J14" s="21">
        <f t="shared" si="2"/>
        <v>72700</v>
      </c>
      <c r="K14" s="8" t="s">
        <v>194</v>
      </c>
      <c r="L14" s="9">
        <v>-12000</v>
      </c>
      <c r="M14" s="9"/>
      <c r="N14" s="48">
        <v>-1000</v>
      </c>
      <c r="O14" s="21">
        <f t="shared" si="3"/>
        <v>26300</v>
      </c>
      <c r="P14" s="8"/>
      <c r="Q14" s="9"/>
      <c r="R14" s="9"/>
      <c r="S14" s="48"/>
      <c r="T14" s="21">
        <f t="shared" si="4"/>
        <v>6000</v>
      </c>
      <c r="U14" s="53">
        <f>IF($J14="","",ROUND(($J14-$J$3)/1000,1)+(_xlfn.RANK.AVG($J14,($J14,$O14,$T14),1)-2)*10)</f>
        <v>47.7</v>
      </c>
      <c r="V14" s="54">
        <f>IF($O14="","",ROUND(($O14-$O$3)/1000,1)+(_xlfn.RANK.AVG($O14,($J14,$O14,$T14),1)-2)*10)</f>
        <v>-8.6999999999999993</v>
      </c>
      <c r="W14" s="55">
        <f>IF($T14="","",ROUND(($T14-$T$3)/1000,1)+(_xlfn.RANK.AVG($T14,($J14,$O14,$T14),1)-2)*10)</f>
        <v>-39</v>
      </c>
      <c r="Y14" s="8"/>
      <c r="Z14" s="34"/>
      <c r="AA14" s="26">
        <v>1</v>
      </c>
      <c r="AB14" s="26"/>
      <c r="AC14" s="26">
        <v>5</v>
      </c>
      <c r="AD14" s="30" t="s">
        <v>196</v>
      </c>
      <c r="AE14" s="40" t="s">
        <v>203</v>
      </c>
      <c r="AF14" s="41" t="s">
        <v>83</v>
      </c>
      <c r="AG14" s="41" t="s">
        <v>85</v>
      </c>
      <c r="AH14" s="41" t="s">
        <v>79</v>
      </c>
      <c r="AI14" s="41" t="s">
        <v>80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2</v>
      </c>
      <c r="D15" s="18">
        <f t="shared" si="1"/>
        <v>0</v>
      </c>
      <c r="E15" s="4" t="str">
        <f>IF($F$1="","",$F$1)</f>
        <v>だいち</v>
      </c>
      <c r="F15" s="8" t="s">
        <v>202</v>
      </c>
      <c r="G15" s="9">
        <v>1600</v>
      </c>
      <c r="H15" s="9"/>
      <c r="I15" s="48">
        <v>2000</v>
      </c>
      <c r="J15" s="21">
        <f t="shared" si="2"/>
        <v>76300</v>
      </c>
      <c r="K15" s="8" t="s">
        <v>201</v>
      </c>
      <c r="L15" s="9">
        <v>-800</v>
      </c>
      <c r="M15" s="9"/>
      <c r="N15" s="48">
        <v>-1000</v>
      </c>
      <c r="O15" s="21">
        <f t="shared" si="3"/>
        <v>24500</v>
      </c>
      <c r="P15" s="8" t="s">
        <v>201</v>
      </c>
      <c r="Q15" s="9">
        <v>-800</v>
      </c>
      <c r="R15" s="9"/>
      <c r="S15" s="48">
        <v>-1000</v>
      </c>
      <c r="T15" s="21">
        <f t="shared" si="4"/>
        <v>4200</v>
      </c>
      <c r="U15" s="53">
        <f>IF($J15="","",ROUND(($J15-$J$3)/1000,1)+(_xlfn.RANK.AVG($J15,($J15,$O15,$T15),1)-2)*10)</f>
        <v>51.3</v>
      </c>
      <c r="V15" s="54">
        <f>IF($O15="","",ROUND(($O15-$O$3)/1000,1)+(_xlfn.RANK.AVG($O15,($J15,$O15,$T15),1)-2)*10)</f>
        <v>-10.5</v>
      </c>
      <c r="W15" s="55">
        <f>IF($T15="","",ROUND(($T15-$T$3)/1000,1)+(_xlfn.RANK.AVG($T15,($J15,$O15,$T15),1)-2)*10)</f>
        <v>-40.799999999999997</v>
      </c>
      <c r="Y15" s="8"/>
      <c r="Z15" s="34"/>
      <c r="AA15" s="26"/>
      <c r="AB15" s="26"/>
      <c r="AC15" s="26">
        <v>1</v>
      </c>
      <c r="AD15" s="30">
        <v>30</v>
      </c>
      <c r="AE15" s="40" t="s">
        <v>82</v>
      </c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1</v>
      </c>
      <c r="C16" s="18">
        <f t="shared" si="6"/>
        <v>3</v>
      </c>
      <c r="D16" s="18">
        <f t="shared" si="1"/>
        <v>0</v>
      </c>
      <c r="E16" s="4" t="str">
        <f>IF($F$1="","",$F$1)</f>
        <v>だいち</v>
      </c>
      <c r="F16" s="8"/>
      <c r="G16" s="9"/>
      <c r="H16" s="9">
        <v>-1000</v>
      </c>
      <c r="I16" s="48"/>
      <c r="J16" s="21">
        <f t="shared" si="2"/>
        <v>75300</v>
      </c>
      <c r="K16" s="8" t="s">
        <v>194</v>
      </c>
      <c r="L16" s="9">
        <v>-5200</v>
      </c>
      <c r="M16" s="9"/>
      <c r="N16" s="48">
        <v>-3000</v>
      </c>
      <c r="O16" s="21">
        <f t="shared" si="3"/>
        <v>16300</v>
      </c>
      <c r="P16" s="8" t="s">
        <v>195</v>
      </c>
      <c r="Q16" s="9">
        <v>5200</v>
      </c>
      <c r="R16" s="9">
        <v>1000</v>
      </c>
      <c r="S16" s="48">
        <v>3000</v>
      </c>
      <c r="T16" s="21">
        <f t="shared" si="4"/>
        <v>13400</v>
      </c>
      <c r="U16" s="53">
        <f>IF($J16="","",ROUND(($J16-$J$3)/1000,1)+(_xlfn.RANK.AVG($J16,($J16,$O16,$T16),1)-2)*10)</f>
        <v>50.3</v>
      </c>
      <c r="V16" s="54">
        <f>IF($O16="","",ROUND(($O16-$O$3)/1000,1)+(_xlfn.RANK.AVG($O16,($J16,$O16,$T16),1)-2)*10)</f>
        <v>-18.7</v>
      </c>
      <c r="W16" s="55">
        <f>IF($T16="","",ROUND(($T16-$T$3)/1000,1)+(_xlfn.RANK.AVG($T16,($J16,$O16,$T16),1)-2)*10)</f>
        <v>-31.6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3</v>
      </c>
      <c r="BT16" s="30">
        <v>40</v>
      </c>
      <c r="BU16" s="40" t="s">
        <v>84</v>
      </c>
      <c r="BV16" s="41" t="s">
        <v>197</v>
      </c>
      <c r="BW16" s="41" t="s">
        <v>79</v>
      </c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0</v>
      </c>
      <c r="D17" s="18">
        <f t="shared" si="1"/>
        <v>0</v>
      </c>
      <c r="E17" s="4" t="str">
        <f>IF($K$1="","",$K$1)</f>
        <v>れんたろう</v>
      </c>
      <c r="F17" s="8" t="s">
        <v>201</v>
      </c>
      <c r="G17" s="9">
        <v>-3900</v>
      </c>
      <c r="H17" s="9"/>
      <c r="I17" s="48">
        <v>0</v>
      </c>
      <c r="J17" s="21">
        <f t="shared" si="2"/>
        <v>71400</v>
      </c>
      <c r="K17" s="8" t="s">
        <v>202</v>
      </c>
      <c r="L17" s="9">
        <v>7800</v>
      </c>
      <c r="M17" s="9"/>
      <c r="N17" s="48">
        <v>0</v>
      </c>
      <c r="O17" s="21">
        <f t="shared" si="3"/>
        <v>24100</v>
      </c>
      <c r="P17" s="8" t="s">
        <v>201</v>
      </c>
      <c r="Q17" s="9">
        <v>-3900</v>
      </c>
      <c r="R17" s="9"/>
      <c r="S17" s="48">
        <v>0</v>
      </c>
      <c r="T17" s="21">
        <f t="shared" si="4"/>
        <v>9500</v>
      </c>
      <c r="U17" s="53">
        <f>IF($J17="","",ROUND(($J17-$J$3)/1000,1)+(_xlfn.RANK.AVG($J17,($J17,$O17,$T17),1)-2)*10)</f>
        <v>46.4</v>
      </c>
      <c r="V17" s="54">
        <f>IF($O17="","",ROUND(($O17-$O$3)/1000,1)+(_xlfn.RANK.AVG($O17,($J17,$O17,$T17),1)-2)*10)</f>
        <v>-10.9</v>
      </c>
      <c r="W17" s="55">
        <f>IF($T17="","",ROUND(($T17-$T$3)/1000,1)+(_xlfn.RANK.AVG($T17,($J17,$O17,$T17),1)-2)*10)</f>
        <v>-35.5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>
        <v>4</v>
      </c>
      <c r="AY17" s="30">
        <v>20</v>
      </c>
      <c r="AZ17" s="40" t="s">
        <v>203</v>
      </c>
      <c r="BA17" s="41" t="s">
        <v>82</v>
      </c>
      <c r="BB17" s="41" t="s">
        <v>205</v>
      </c>
      <c r="BC17" s="41" t="s">
        <v>83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2</v>
      </c>
      <c r="C18" s="18">
        <f t="shared" si="6"/>
        <v>1</v>
      </c>
      <c r="D18" s="18">
        <f t="shared" si="1"/>
        <v>0</v>
      </c>
      <c r="E18" s="4" t="str">
        <f>IF($K$1="","",$K$1)</f>
        <v>れんたろう</v>
      </c>
      <c r="F18" s="8"/>
      <c r="G18" s="9"/>
      <c r="H18" s="9"/>
      <c r="I18" s="48"/>
      <c r="J18" s="21">
        <f t="shared" si="2"/>
        <v>71400</v>
      </c>
      <c r="K18" s="8" t="s">
        <v>194</v>
      </c>
      <c r="L18" s="9">
        <v>-5200</v>
      </c>
      <c r="M18" s="9"/>
      <c r="N18" s="48">
        <v>-1000</v>
      </c>
      <c r="O18" s="21">
        <f t="shared" si="3"/>
        <v>17900</v>
      </c>
      <c r="P18" s="8" t="s">
        <v>195</v>
      </c>
      <c r="Q18" s="9">
        <v>5200</v>
      </c>
      <c r="R18" s="9"/>
      <c r="S18" s="48">
        <v>1000</v>
      </c>
      <c r="T18" s="21">
        <f t="shared" si="4"/>
        <v>15700</v>
      </c>
      <c r="U18" s="53">
        <f>IF($J18="","",ROUND(($J18-$J$3)/1000,1)+(_xlfn.RANK.AVG($J18,($J18,$O18,$T18),1)-2)*10)</f>
        <v>46.4</v>
      </c>
      <c r="V18" s="54">
        <f>IF($O18="","",ROUND(($O18-$O$3)/1000,1)+(_xlfn.RANK.AVG($O18,($J18,$O18,$T18),1)-2)*10)</f>
        <v>-17.100000000000001</v>
      </c>
      <c r="W18" s="55">
        <f>IF($T18="","",ROUND(($T18-$T$3)/1000,1)+(_xlfn.RANK.AVG($T18,($J18,$O18,$T18),1)-2)*10)</f>
        <v>-29.3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>
        <v>3</v>
      </c>
      <c r="BT18" s="30">
        <v>40</v>
      </c>
      <c r="BU18" s="40" t="s">
        <v>84</v>
      </c>
      <c r="BV18" s="41" t="s">
        <v>197</v>
      </c>
      <c r="BW18" s="41" t="s">
        <v>79</v>
      </c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0</v>
      </c>
      <c r="D19" s="18">
        <f t="shared" si="1"/>
        <v>0</v>
      </c>
      <c r="E19" s="4" t="str">
        <f>IF($P$1="","",$P$1)</f>
        <v>ただ</v>
      </c>
      <c r="F19" s="8" t="s">
        <v>202</v>
      </c>
      <c r="G19" s="9">
        <v>4000</v>
      </c>
      <c r="H19" s="9"/>
      <c r="I19" s="48">
        <v>0</v>
      </c>
      <c r="J19" s="21">
        <f t="shared" si="2"/>
        <v>75400</v>
      </c>
      <c r="K19" s="8" t="s">
        <v>201</v>
      </c>
      <c r="L19" s="9">
        <v>-1500</v>
      </c>
      <c r="M19" s="9"/>
      <c r="N19" s="48">
        <v>0</v>
      </c>
      <c r="O19" s="21">
        <f t="shared" si="3"/>
        <v>16400</v>
      </c>
      <c r="P19" s="8" t="s">
        <v>201</v>
      </c>
      <c r="Q19" s="9">
        <v>-2500</v>
      </c>
      <c r="R19" s="9"/>
      <c r="S19" s="48">
        <v>0</v>
      </c>
      <c r="T19" s="21">
        <f t="shared" si="4"/>
        <v>13200</v>
      </c>
      <c r="U19" s="53">
        <f>IF($J19="","",ROUND(($J19-$J$3)/1000,1)+(_xlfn.RANK.AVG($J19,($J19,$O19,$T19),1)-2)*10)</f>
        <v>50.4</v>
      </c>
      <c r="V19" s="54">
        <f>IF($O19="","",ROUND(($O19-$O$3)/1000,1)+(_xlfn.RANK.AVG($O19,($J19,$O19,$T19),1)-2)*10)</f>
        <v>-18.600000000000001</v>
      </c>
      <c r="W19" s="55">
        <f>IF($T19="","",ROUND(($T19-$T$3)/1000,1)+(_xlfn.RANK.AVG($T19,($J19,$O19,$T19),1)-2)*10)</f>
        <v>-31.8</v>
      </c>
      <c r="Y19" s="8"/>
      <c r="Z19" s="34"/>
      <c r="AA19" s="26"/>
      <c r="AB19" s="26"/>
      <c r="AC19" s="26">
        <v>3</v>
      </c>
      <c r="AD19" s="30">
        <v>30</v>
      </c>
      <c r="AE19" s="40" t="s">
        <v>82</v>
      </c>
      <c r="AF19" s="41" t="s">
        <v>197</v>
      </c>
      <c r="AG19" s="41" t="s">
        <v>79</v>
      </c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>西</v>
      </c>
      <c r="B20" s="18">
        <f t="shared" si="5"/>
        <v>1</v>
      </c>
      <c r="C20" s="18">
        <f t="shared" si="6"/>
        <v>0</v>
      </c>
      <c r="D20" s="18">
        <f t="shared" si="1"/>
        <v>0</v>
      </c>
      <c r="E20" s="4" t="str">
        <f>IF($F$1="","",$F$1)</f>
        <v>だいち</v>
      </c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82353712-B870-4816-A06B-1E35A9CEAA8E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5549A835-B452-4A53-9F02-D1D36F45F35D}">
      <formula1>"ロン,ツモ,放銃,ツモ支払,流局,チョンボ"</formula1>
    </dataValidation>
    <dataValidation type="list" allowBlank="1" showInputMessage="1" showErrorMessage="1" sqref="E4:E30" xr:uid="{79A8F129-BF8A-48D5-9175-63E825F832F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2021-01-25T08:41:48Z</dcterms:modified>
</cp:coreProperties>
</file>