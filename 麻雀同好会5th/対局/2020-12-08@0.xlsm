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AB03F004-2088-467C-97DC-4A5A7BD2B8EE}" xr6:coauthVersionLast="45" xr6:coauthVersionMax="45" xr10:uidLastSave="{00000000-0000-0000-0000-000000000000}"/>
  <bookViews>
    <workbookView xWindow="-120" yWindow="-120" windowWidth="29040" windowHeight="15990" activeTab="3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22" l="1"/>
  <c r="D13" i="22" s="1"/>
  <c r="E12" i="22"/>
  <c r="E11" i="22"/>
  <c r="E10" i="22"/>
  <c r="E9" i="22"/>
  <c r="E8" i="22"/>
  <c r="D8" i="22" s="1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B13" i="22"/>
  <c r="T12" i="22"/>
  <c r="O12" i="22"/>
  <c r="J12" i="22"/>
  <c r="U12" i="22" s="1"/>
  <c r="D12" i="22"/>
  <c r="C12" i="22"/>
  <c r="B12" i="22"/>
  <c r="A12" i="22" s="1"/>
  <c r="T11" i="22"/>
  <c r="W11" i="22" s="1"/>
  <c r="O11" i="22"/>
  <c r="J11" i="22"/>
  <c r="U11" i="22" s="1"/>
  <c r="D11" i="22"/>
  <c r="C11" i="22"/>
  <c r="B11" i="22"/>
  <c r="A11" i="22"/>
  <c r="D10" i="22"/>
  <c r="C10" i="22"/>
  <c r="O7" i="22"/>
  <c r="O8" i="22" s="1"/>
  <c r="O6" i="22"/>
  <c r="O5" i="22"/>
  <c r="T4" i="22"/>
  <c r="T5" i="22" s="1"/>
  <c r="O4" i="22"/>
  <c r="J4" i="22"/>
  <c r="E4" i="22"/>
  <c r="W3" i="22"/>
  <c r="V3" i="22"/>
  <c r="U3" i="22"/>
  <c r="W2" i="22"/>
  <c r="V2" i="22"/>
  <c r="U2" i="22"/>
  <c r="BO1" i="22"/>
  <c r="AT1" i="22"/>
  <c r="Y1" i="22"/>
  <c r="A13" i="22" l="1"/>
  <c r="C13" i="22"/>
  <c r="W12" i="22"/>
  <c r="V12" i="22"/>
  <c r="V11" i="22"/>
  <c r="U4" i="22"/>
  <c r="O9" i="22"/>
  <c r="T6" i="22"/>
  <c r="D7" i="22"/>
  <c r="B5" i="22"/>
  <c r="C5" i="22"/>
  <c r="C6" i="22" s="1"/>
  <c r="C7" i="22" s="1"/>
  <c r="C8" i="22" s="1"/>
  <c r="C9" i="22" s="1"/>
  <c r="D5" i="22"/>
  <c r="D6" i="22" s="1"/>
  <c r="B6" i="22"/>
  <c r="J5" i="22"/>
  <c r="W5" i="22" s="1"/>
  <c r="V4" i="22"/>
  <c r="W4" i="22"/>
  <c r="B7" i="22"/>
  <c r="D9" i="22"/>
  <c r="E10" i="21"/>
  <c r="D10" i="21" s="1"/>
  <c r="E9" i="21"/>
  <c r="E8" i="21"/>
  <c r="E7" i="21"/>
  <c r="D7" i="21" s="1"/>
  <c r="E6" i="21"/>
  <c r="C6" i="21" s="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C11" i="21"/>
  <c r="D11" i="21"/>
  <c r="C7" i="21"/>
  <c r="O6" i="21"/>
  <c r="O7" i="21" s="1"/>
  <c r="D6" i="21"/>
  <c r="O5" i="21"/>
  <c r="J5" i="21"/>
  <c r="B6" i="21"/>
  <c r="T4" i="21"/>
  <c r="T5" i="21" s="1"/>
  <c r="O4" i="21"/>
  <c r="J4" i="21"/>
  <c r="E4" i="21"/>
  <c r="B5" i="21" s="1"/>
  <c r="W3" i="21"/>
  <c r="V3" i="21"/>
  <c r="U3" i="21"/>
  <c r="W2" i="21"/>
  <c r="V2" i="21"/>
  <c r="U2" i="21"/>
  <c r="BO1" i="21"/>
  <c r="AT1" i="21"/>
  <c r="Y1" i="21"/>
  <c r="E11" i="20"/>
  <c r="E10" i="20"/>
  <c r="D10" i="20" s="1"/>
  <c r="E9" i="20"/>
  <c r="E8" i="20"/>
  <c r="E7" i="20"/>
  <c r="D7" i="20" s="1"/>
  <c r="E6" i="20"/>
  <c r="D6" i="20" s="1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 s="1"/>
  <c r="D11" i="20"/>
  <c r="C11" i="20"/>
  <c r="O7" i="20"/>
  <c r="O8" i="20" s="1"/>
  <c r="O6" i="20"/>
  <c r="O5" i="20"/>
  <c r="J5" i="20"/>
  <c r="J6" i="20" s="1"/>
  <c r="C5" i="20"/>
  <c r="T4" i="20"/>
  <c r="T5" i="20" s="1"/>
  <c r="O4" i="20"/>
  <c r="J4" i="20"/>
  <c r="E4" i="20"/>
  <c r="W3" i="20"/>
  <c r="V3" i="20"/>
  <c r="U3" i="20"/>
  <c r="W2" i="20"/>
  <c r="V2" i="20"/>
  <c r="U2" i="20"/>
  <c r="BO1" i="20"/>
  <c r="AT1" i="20"/>
  <c r="Y1" i="20"/>
  <c r="E11" i="19"/>
  <c r="E10" i="19"/>
  <c r="E9" i="19"/>
  <c r="E8" i="19"/>
  <c r="E7" i="19"/>
  <c r="E6" i="19"/>
  <c r="E5" i="19"/>
  <c r="V5" i="22" l="1"/>
  <c r="U5" i="22"/>
  <c r="J6" i="22"/>
  <c r="B8" i="22"/>
  <c r="T7" i="22"/>
  <c r="A5" i="22"/>
  <c r="A6" i="22"/>
  <c r="A7" i="22" s="1"/>
  <c r="O10" i="22"/>
  <c r="C10" i="21"/>
  <c r="U4" i="21"/>
  <c r="V4" i="21"/>
  <c r="V5" i="21"/>
  <c r="B7" i="21"/>
  <c r="A5" i="21"/>
  <c r="A6" i="21"/>
  <c r="A7" i="21" s="1"/>
  <c r="T6" i="21"/>
  <c r="W5" i="21"/>
  <c r="O8" i="21"/>
  <c r="C5" i="21"/>
  <c r="B8" i="21"/>
  <c r="B9" i="21" s="1"/>
  <c r="D5" i="21"/>
  <c r="C8" i="21"/>
  <c r="V6" i="21"/>
  <c r="D8" i="21"/>
  <c r="C9" i="21"/>
  <c r="W4" i="21"/>
  <c r="D9" i="21"/>
  <c r="U5" i="21"/>
  <c r="J6" i="21"/>
  <c r="C10" i="20"/>
  <c r="U4" i="20"/>
  <c r="T6" i="20"/>
  <c r="W5" i="20"/>
  <c r="O9" i="20"/>
  <c r="V6" i="20"/>
  <c r="J7" i="20"/>
  <c r="U6" i="20"/>
  <c r="V5" i="20"/>
  <c r="D5" i="20"/>
  <c r="D8" i="20"/>
  <c r="V4" i="20"/>
  <c r="C6" i="20"/>
  <c r="C7" i="20" s="1"/>
  <c r="C8" i="20" s="1"/>
  <c r="C9" i="20" s="1"/>
  <c r="W4" i="20"/>
  <c r="D9" i="20"/>
  <c r="U5" i="20"/>
  <c r="B5" i="20"/>
  <c r="A5" i="20" s="1"/>
  <c r="E4" i="19"/>
  <c r="A8" i="22" l="1"/>
  <c r="W6" i="22"/>
  <c r="T8" i="22"/>
  <c r="B9" i="22"/>
  <c r="A9" i="22" s="1"/>
  <c r="V6" i="22"/>
  <c r="J7" i="22"/>
  <c r="W7" i="22" s="1"/>
  <c r="U6" i="22"/>
  <c r="A8" i="21"/>
  <c r="B10" i="21"/>
  <c r="O9" i="21"/>
  <c r="T7" i="21"/>
  <c r="W6" i="21"/>
  <c r="J7" i="21"/>
  <c r="U6" i="21"/>
  <c r="A9" i="21"/>
  <c r="J8" i="20"/>
  <c r="O10" i="20"/>
  <c r="B6" i="20"/>
  <c r="T7" i="20"/>
  <c r="U7" i="20" s="1"/>
  <c r="W6" i="20"/>
  <c r="W3" i="19"/>
  <c r="V3" i="19"/>
  <c r="U3" i="19"/>
  <c r="U7" i="22" l="1"/>
  <c r="J8" i="22"/>
  <c r="V7" i="22"/>
  <c r="B10" i="22"/>
  <c r="A10" i="22" s="1"/>
  <c r="T9" i="22"/>
  <c r="W8" i="22"/>
  <c r="A10" i="21"/>
  <c r="B11" i="21"/>
  <c r="A11" i="21" s="1"/>
  <c r="U7" i="21"/>
  <c r="J8" i="21"/>
  <c r="V7" i="21"/>
  <c r="T8" i="21"/>
  <c r="W7" i="21"/>
  <c r="O10" i="21"/>
  <c r="J9" i="20"/>
  <c r="V7" i="20"/>
  <c r="O11" i="20"/>
  <c r="T8" i="20"/>
  <c r="U8" i="20" s="1"/>
  <c r="W7" i="20"/>
  <c r="B7" i="20"/>
  <c r="A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V9" i="19" s="1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T10" i="22" l="1"/>
  <c r="J9" i="22"/>
  <c r="W9" i="22" s="1"/>
  <c r="U8" i="22"/>
  <c r="V8" i="22"/>
  <c r="T9" i="21"/>
  <c r="W8" i="21"/>
  <c r="U8" i="21"/>
  <c r="J9" i="21"/>
  <c r="V8" i="21"/>
  <c r="O11" i="21"/>
  <c r="V8" i="20"/>
  <c r="A7" i="20"/>
  <c r="B8" i="20"/>
  <c r="J10" i="20"/>
  <c r="T9" i="20"/>
  <c r="W8" i="20"/>
  <c r="V11" i="19"/>
  <c r="W11" i="19"/>
  <c r="U10" i="19"/>
  <c r="U9" i="19"/>
  <c r="W8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U9" i="22" l="1"/>
  <c r="J10" i="22"/>
  <c r="W10" i="22" s="1"/>
  <c r="V9" i="22"/>
  <c r="T10" i="21"/>
  <c r="W9" i="21"/>
  <c r="J10" i="21"/>
  <c r="U9" i="21"/>
  <c r="V9" i="21"/>
  <c r="J11" i="20"/>
  <c r="U10" i="20"/>
  <c r="V10" i="20"/>
  <c r="B9" i="20"/>
  <c r="A8" i="20"/>
  <c r="W9" i="20"/>
  <c r="T10" i="20"/>
  <c r="V9" i="20"/>
  <c r="U9" i="20"/>
  <c r="W5" i="19"/>
  <c r="V5" i="19"/>
  <c r="U5" i="19"/>
  <c r="U10" i="22" l="1"/>
  <c r="V10" i="22"/>
  <c r="T11" i="21"/>
  <c r="W10" i="21"/>
  <c r="J11" i="21"/>
  <c r="U10" i="21"/>
  <c r="V10" i="21"/>
  <c r="T11" i="20"/>
  <c r="W10" i="20"/>
  <c r="B10" i="20"/>
  <c r="A9" i="20"/>
  <c r="U11" i="21" l="1"/>
  <c r="V11" i="21"/>
  <c r="W11" i="21"/>
  <c r="W11" i="20"/>
  <c r="V11" i="20"/>
  <c r="U11" i="20"/>
  <c r="B11" i="20"/>
  <c r="A11" i="20" s="1"/>
  <c r="A10" i="20"/>
</calcChain>
</file>

<file path=xl/sharedStrings.xml><?xml version="1.0" encoding="utf-8"?>
<sst xmlns="http://schemas.openxmlformats.org/spreadsheetml/2006/main" count="882" uniqueCount="207">
  <si>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</si>
  <si>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</si>
  <si>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</si>
  <si>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</si>
  <si>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</si>
  <si>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</si>
  <si>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</si>
  <si>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</si>
  <si>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</si>
  <si>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</si>
  <si>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</si>
  <si>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</si>
  <si>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</si>
  <si>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</si>
  <si>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</si>
  <si>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</si>
  <si>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</si>
  <si>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</si>
  <si>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</si>
  <si>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</si>
  <si>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</si>
  <si>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</si>
  <si>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</si>
  <si>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</si>
  <si>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</si>
  <si>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</si>
  <si>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</si>
  <si>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</si>
  <si>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</si>
  <si>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</si>
  <si>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</si>
  <si>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</si>
  <si>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</si>
  <si>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</si>
  <si>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</si>
  <si>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</si>
  <si>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</si>
  <si>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</si>
  <si>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</si>
  <si>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</si>
  <si>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</si>
  <si>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</si>
  <si>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</si>
  <si>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</si>
  <si>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</si>
  <si>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</si>
  <si>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</si>
  <si>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</si>
  <si>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</si>
  <si>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</si>
  <si>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</si>
  <si>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</si>
  <si>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</si>
  <si>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</si>
  <si>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</si>
  <si>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</si>
  <si>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</si>
  <si>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</si>
  <si>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</si>
  <si>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</si>
  <si>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</si>
  <si>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</si>
  <si>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</si>
  <si>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</si>
  <si>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</si>
  <si>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</si>
  <si>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</si>
  <si>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</si>
  <si>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</si>
  <si>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</si>
  <si>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</si>
  <si>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</si>
  <si>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</si>
  <si>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</si>
  <si>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</si>
  <si>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</si>
  <si>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</si>
  <si>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</si>
  <si>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</si>
  <si>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</si>
  <si>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</si>
  <si>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</si>
  <si>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</si>
  <si>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</si>
  <si>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</si>
  <si>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</si>
  <si>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</si>
  <si>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</si>
  <si>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</si>
  <si>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</si>
  <si>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</si>
  <si>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</si>
  <si>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</si>
  <si>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</si>
  <si>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</si>
  <si>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</si>
  <si>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</si>
  <si>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</si>
  <si>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</si>
  <si>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</si>
  <si>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</si>
  <si>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</si>
  <si>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</si>
  <si>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</si>
  <si>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</si>
  <si>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</si>
  <si>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</si>
  <si>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</si>
  <si>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</si>
  <si>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</si>
  <si>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</si>
  <si>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</si>
  <si>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</si>
  <si>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</si>
  <si>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</si>
  <si>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</si>
  <si>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</si>
  <si>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</si>
  <si>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</si>
  <si>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</si>
  <si>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</si>
  <si>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</si>
  <si>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</si>
  <si>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</si>
  <si>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</si>
  <si>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</si>
  <si>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</si>
  <si>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</si>
  <si>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</si>
  <si>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</si>
  <si>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</si>
  <si>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</si>
  <si>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</si>
  <si>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</si>
  <si>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</si>
  <si>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</si>
  <si>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</si>
  <si>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</si>
  <si>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</si>
  <si>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</si>
  <si>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</si>
  <si>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</si>
  <si>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</si>
  <si>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</si>
  <si>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</si>
  <si>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</si>
  <si>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</si>
  <si>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</si>
  <si>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</si>
  <si>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</si>
  <si>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</si>
  <si>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</si>
  <si>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</si>
  <si>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</si>
  <si>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</si>
  <si>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</si>
  <si>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</si>
  <si>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</si>
  <si>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</si>
  <si>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</si>
  <si>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</si>
  <si>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</si>
  <si>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</si>
  <si>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</si>
  <si>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</si>
  <si>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</si>
  <si>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</si>
  <si>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</si>
  <si>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</si>
  <si>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</si>
  <si>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</si>
  <si>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</si>
  <si>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</si>
  <si>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</si>
  <si>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</si>
  <si>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</si>
  <si>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</si>
  <si>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</si>
  <si>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</si>
  <si>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</si>
  <si>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</si>
  <si>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</si>
  <si>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</si>
  <si>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</si>
  <si>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</si>
  <si>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</si>
  <si>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</si>
  <si>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</si>
  <si>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</si>
  <si>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</si>
  <si>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</si>
  <si>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  <phoneticPr fontId="1"/>
  </si>
  <si>
    <t>まっつん</t>
    <phoneticPr fontId="1"/>
  </si>
  <si>
    <t>だいち</t>
    <phoneticPr fontId="1"/>
  </si>
  <si>
    <t>放銃</t>
  </si>
  <si>
    <t>ロン</t>
  </si>
  <si>
    <t>01</t>
  </si>
  <si>
    <t>ツモ支払</t>
  </si>
  <si>
    <t>ツモ</t>
  </si>
  <si>
    <t>*</t>
  </si>
  <si>
    <t>N</t>
  </si>
  <si>
    <t>T</t>
  </si>
  <si>
    <t>流局</t>
    <phoneticPr fontId="1"/>
  </si>
  <si>
    <t>02</t>
  </si>
  <si>
    <t>52</t>
  </si>
  <si>
    <t>流局</t>
    <phoneticPr fontId="1"/>
  </si>
  <si>
    <t>いっしー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</si>
</sst>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191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193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れんたろう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まっつん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まっつん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194</v>
      </c>
      <c r="G4" s="9">
        <v>-8000</v>
      </c>
      <c r="H4" s="9"/>
      <c r="I4" s="48">
        <v>0</v>
      </c>
      <c r="J4" s="21">
        <f>IF(COUNTA($F4,$K4,$P4)&gt;0,J3+SUM(G4:I4),"")</f>
        <v>27000</v>
      </c>
      <c r="K4" s="8"/>
      <c r="L4" s="9"/>
      <c r="M4" s="9"/>
      <c r="N4" s="48"/>
      <c r="O4" s="21">
        <f>IF(COUNTA($F4,$K4,$P4)&gt;0,O3+SUM(L4:N4),"")</f>
        <v>35000</v>
      </c>
      <c r="P4" s="8" t="s">
        <v>195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-18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18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4</v>
      </c>
      <c r="BT4" s="30">
        <v>40</v>
      </c>
      <c r="BU4" s="40" t="s">
        <v>196</v>
      </c>
      <c r="BV4" s="41" t="s">
        <v>79</v>
      </c>
      <c r="BW4" s="41" t="s">
        <v>80</v>
      </c>
      <c r="BX4" s="41" t="s">
        <v>80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まっつん</v>
      </c>
      <c r="F5" s="8" t="s">
        <v>197</v>
      </c>
      <c r="G5" s="9">
        <v>-4500</v>
      </c>
      <c r="H5" s="9"/>
      <c r="I5" s="48">
        <v>0</v>
      </c>
      <c r="J5" s="21">
        <f t="shared" ref="J5:J30" si="2">IF(COUNTA($F5,$K5,$P5)&gt;0,J4+SUM(G5:I5),"")</f>
        <v>22500</v>
      </c>
      <c r="K5" s="8" t="s">
        <v>197</v>
      </c>
      <c r="L5" s="9">
        <v>-7500</v>
      </c>
      <c r="M5" s="9"/>
      <c r="N5" s="48">
        <v>0</v>
      </c>
      <c r="O5" s="21">
        <f t="shared" ref="O5:O30" si="3">IF(COUNTA($F5,$K5,$P5)&gt;0,O4+SUM(L5:N5),"")</f>
        <v>27500</v>
      </c>
      <c r="P5" s="8" t="s">
        <v>198</v>
      </c>
      <c r="Q5" s="9">
        <v>12000</v>
      </c>
      <c r="R5" s="9"/>
      <c r="S5" s="48">
        <v>0</v>
      </c>
      <c r="T5" s="21">
        <f t="shared" ref="T5:T30" si="4">IF(COUNTA($F5,$K5,$P5)&gt;0,T4+SUM(Q5:S5),"")</f>
        <v>55000</v>
      </c>
      <c r="U5" s="53">
        <f>IF($J5="","",ROUND(($J5-$J$3)/1000,1)+(_xlfn.RANK.AVG($J5,($J5,$O5,$T5),1)-2)*10)</f>
        <v>-22.5</v>
      </c>
      <c r="V5" s="54">
        <f>IF($O5="","",ROUND(($O5-$O$3)/1000,1)+(_xlfn.RANK.AVG($O5,($J5,$O5,$T5),1)-2)*10)</f>
        <v>-7.5</v>
      </c>
      <c r="W5" s="55">
        <f>IF($T5="","",ROUND(($T5-$T$3)/1000,1)+(_xlfn.RANK.AVG($T5,($J5,$O5,$T5),1)-2)*10)</f>
        <v>30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6</v>
      </c>
      <c r="BT5" s="30" t="s">
        <v>199</v>
      </c>
      <c r="BU5" s="40" t="s">
        <v>89</v>
      </c>
      <c r="BV5" s="41" t="s">
        <v>86</v>
      </c>
      <c r="BW5" s="41" t="s">
        <v>93</v>
      </c>
      <c r="BX5" s="41" t="s">
        <v>79</v>
      </c>
      <c r="BY5" s="41" t="s">
        <v>79</v>
      </c>
      <c r="BZ5" s="41" t="s">
        <v>79</v>
      </c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194</v>
      </c>
      <c r="G6" s="9">
        <v>-3900</v>
      </c>
      <c r="H6" s="9"/>
      <c r="I6" s="48">
        <v>0</v>
      </c>
      <c r="J6" s="21">
        <f t="shared" si="2"/>
        <v>18600</v>
      </c>
      <c r="K6" s="8"/>
      <c r="L6" s="9"/>
      <c r="M6" s="9"/>
      <c r="N6" s="48"/>
      <c r="O6" s="21">
        <f t="shared" si="3"/>
        <v>27500</v>
      </c>
      <c r="P6" s="8" t="s">
        <v>195</v>
      </c>
      <c r="Q6" s="9">
        <v>3900</v>
      </c>
      <c r="R6" s="9"/>
      <c r="S6" s="48">
        <v>0</v>
      </c>
      <c r="T6" s="21">
        <f t="shared" si="4"/>
        <v>58900</v>
      </c>
      <c r="U6" s="53">
        <f>IF($J6="","",ROUND(($J6-$J$3)/1000,1)+(_xlfn.RANK.AVG($J6,($J6,$O6,$T6),1)-2)*10)</f>
        <v>-26.4</v>
      </c>
      <c r="V6" s="54">
        <f>IF($O6="","",ROUND(($O6-$O$3)/1000,1)+(_xlfn.RANK.AVG($O6,($J6,$O6,$T6),1)-2)*10)</f>
        <v>-7.5</v>
      </c>
      <c r="W6" s="55">
        <f>IF($T6="","",ROUND(($T6-$T$3)/1000,1)+(_xlfn.RANK.AVG($T6,($J6,$O6,$T6),1)-2)*10)</f>
        <v>33.9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2</v>
      </c>
      <c r="BT6" s="30">
        <v>40</v>
      </c>
      <c r="BU6" s="40" t="s">
        <v>196</v>
      </c>
      <c r="BV6" s="41" t="s">
        <v>79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だいち</v>
      </c>
      <c r="F7" s="8" t="s">
        <v>202</v>
      </c>
      <c r="G7" s="9">
        <v>-1500</v>
      </c>
      <c r="H7" s="9"/>
      <c r="I7" s="48"/>
      <c r="J7" s="21">
        <f t="shared" si="2"/>
        <v>17100</v>
      </c>
      <c r="K7" s="8" t="s">
        <v>202</v>
      </c>
      <c r="L7" s="9">
        <v>3000</v>
      </c>
      <c r="M7" s="9">
        <v>-1000</v>
      </c>
      <c r="N7" s="48"/>
      <c r="O7" s="21">
        <f t="shared" si="3"/>
        <v>29500</v>
      </c>
      <c r="P7" s="8" t="s">
        <v>202</v>
      </c>
      <c r="Q7" s="9">
        <v>-1500</v>
      </c>
      <c r="R7" s="9"/>
      <c r="S7" s="48"/>
      <c r="T7" s="21">
        <f t="shared" si="4"/>
        <v>57400</v>
      </c>
      <c r="U7" s="53">
        <f>IF($J7="","",ROUND(($J7-$J$3)/1000,1)+(_xlfn.RANK.AVG($J7,($J7,$O7,$T7),1)-2)*10)</f>
        <v>-27.9</v>
      </c>
      <c r="V7" s="54">
        <f>IF($O7="","",ROUND(($O7-$O$3)/1000,1)+(_xlfn.RANK.AVG($O7,($J7,$O7,$T7),1)-2)*10)</f>
        <v>-5.5</v>
      </c>
      <c r="W7" s="55">
        <f>IF($T7="","",ROUND(($T7-$T$3)/1000,1)+(_xlfn.RANK.AVG($T7,($J7,$O7,$T7),1)-2)*10)</f>
        <v>32.4</v>
      </c>
      <c r="Y7" s="8" t="s">
        <v>200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201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200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2</v>
      </c>
      <c r="D8" s="18">
        <f t="shared" si="1"/>
        <v>1</v>
      </c>
      <c r="E8" s="4" t="str">
        <f>IF($F$1="","",$F$1)</f>
        <v>れんたろう</v>
      </c>
      <c r="F8" s="8" t="s">
        <v>195</v>
      </c>
      <c r="G8" s="9">
        <v>3900</v>
      </c>
      <c r="H8" s="9">
        <v>1000</v>
      </c>
      <c r="I8" s="48">
        <v>2000</v>
      </c>
      <c r="J8" s="21">
        <f t="shared" si="2"/>
        <v>24000</v>
      </c>
      <c r="K8" s="8"/>
      <c r="L8" s="9"/>
      <c r="M8" s="9"/>
      <c r="N8" s="48"/>
      <c r="O8" s="21">
        <f t="shared" si="3"/>
        <v>29500</v>
      </c>
      <c r="P8" s="8" t="s">
        <v>194</v>
      </c>
      <c r="Q8" s="9">
        <v>-3900</v>
      </c>
      <c r="R8" s="9"/>
      <c r="S8" s="48">
        <v>-2000</v>
      </c>
      <c r="T8" s="21">
        <f t="shared" si="4"/>
        <v>51500</v>
      </c>
      <c r="U8" s="53">
        <f>IF($J8="","",ROUND(($J8-$J$3)/1000,1)+(_xlfn.RANK.AVG($J8,($J8,$O8,$T8),1)-2)*10)</f>
        <v>-21</v>
      </c>
      <c r="V8" s="54">
        <f>IF($O8="","",ROUND(($O8-$O$3)/1000,1)+(_xlfn.RANK.AVG($O8,($J8,$O8,$T8),1)-2)*10)</f>
        <v>-5.5</v>
      </c>
      <c r="W8" s="55">
        <f>IF($T8="","",ROUND(($T8-$T$3)/1000,1)+(_xlfn.RANK.AVG($T8,($J8,$O8,$T8),1)-2)*10)</f>
        <v>26.5</v>
      </c>
      <c r="Y8" s="8"/>
      <c r="Z8" s="34"/>
      <c r="AA8" s="26">
        <v>1</v>
      </c>
      <c r="AB8" s="26"/>
      <c r="AC8" s="26">
        <v>2</v>
      </c>
      <c r="AD8" s="30">
        <v>40</v>
      </c>
      <c r="AE8" s="40" t="s">
        <v>196</v>
      </c>
      <c r="AF8" s="41" t="s">
        <v>86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3</v>
      </c>
      <c r="D9" s="18">
        <f t="shared" si="1"/>
        <v>0</v>
      </c>
      <c r="E9" s="4" t="str">
        <f>IF($F$1="","",$F$1)</f>
        <v>れんたろう</v>
      </c>
      <c r="F9" s="8"/>
      <c r="G9" s="9"/>
      <c r="H9" s="9">
        <v>-1000</v>
      </c>
      <c r="I9" s="48"/>
      <c r="J9" s="21">
        <f t="shared" si="2"/>
        <v>23000</v>
      </c>
      <c r="K9" s="8" t="s">
        <v>195</v>
      </c>
      <c r="L9" s="9">
        <v>2600</v>
      </c>
      <c r="M9" s="9">
        <v>1000</v>
      </c>
      <c r="N9" s="48">
        <v>3000</v>
      </c>
      <c r="O9" s="21">
        <f t="shared" si="3"/>
        <v>36100</v>
      </c>
      <c r="P9" s="8" t="s">
        <v>194</v>
      </c>
      <c r="Q9" s="9">
        <v>-2600</v>
      </c>
      <c r="R9" s="9"/>
      <c r="S9" s="48">
        <v>-3000</v>
      </c>
      <c r="T9" s="21">
        <f t="shared" si="4"/>
        <v>45900</v>
      </c>
      <c r="U9" s="53">
        <f>IF($J9="","",ROUND(($J9-$J$3)/1000,1)+(_xlfn.RANK.AVG($J9,($J9,$O9,$T9),1)-2)*10)</f>
        <v>-22</v>
      </c>
      <c r="V9" s="54">
        <f>IF($O9="","",ROUND(($O9-$O$3)/1000,1)+(_xlfn.RANK.AVG($O9,($J9,$O9,$T9),1)-2)*10)</f>
        <v>1.1000000000000001</v>
      </c>
      <c r="W9" s="55">
        <f>IF($T9="","",ROUND(($T9-$T$3)/1000,1)+(_xlfn.RANK.AVG($T9,($J9,$O9,$T9),1)-2)*10)</f>
        <v>20.9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2</v>
      </c>
      <c r="AY9" s="30">
        <v>40</v>
      </c>
      <c r="AZ9" s="40" t="s">
        <v>196</v>
      </c>
      <c r="BA9" s="41" t="s">
        <v>79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まっつん</v>
      </c>
      <c r="F10" s="8" t="s">
        <v>195</v>
      </c>
      <c r="G10" s="9">
        <v>12000</v>
      </c>
      <c r="H10" s="9">
        <v>1000</v>
      </c>
      <c r="I10" s="48">
        <v>0</v>
      </c>
      <c r="J10" s="21">
        <f t="shared" si="2"/>
        <v>36000</v>
      </c>
      <c r="K10" s="8" t="s">
        <v>194</v>
      </c>
      <c r="L10" s="9">
        <v>-12000</v>
      </c>
      <c r="M10" s="9">
        <v>-1000</v>
      </c>
      <c r="N10" s="48">
        <v>0</v>
      </c>
      <c r="O10" s="21">
        <f t="shared" si="3"/>
        <v>23100</v>
      </c>
      <c r="P10" s="8"/>
      <c r="Q10" s="9"/>
      <c r="R10" s="9"/>
      <c r="S10" s="48"/>
      <c r="T10" s="21">
        <f t="shared" si="4"/>
        <v>45900</v>
      </c>
      <c r="U10" s="53">
        <f>IF($J10="","",ROUND(($J10-$J$3)/1000,1)+(_xlfn.RANK.AVG($J10,($J10,$O10,$T10),1)-2)*10)</f>
        <v>1</v>
      </c>
      <c r="V10" s="54">
        <f>IF($O10="","",ROUND(($O10-$O$3)/1000,1)+(_xlfn.RANK.AVG($O10,($J10,$O10,$T10),1)-2)*10)</f>
        <v>-21.9</v>
      </c>
      <c r="W10" s="55">
        <f>IF($T10="","",ROUND(($T10-$T$3)/1000,1)+(_xlfn.RANK.AVG($T10,($J10,$O10,$T10),1)-2)*10)</f>
        <v>20.9</v>
      </c>
      <c r="Y10" s="8"/>
      <c r="Z10" s="34"/>
      <c r="AA10" s="26">
        <v>1</v>
      </c>
      <c r="AB10" s="26"/>
      <c r="AC10" s="26">
        <v>7</v>
      </c>
      <c r="AD10" s="30" t="s">
        <v>199</v>
      </c>
      <c r="AE10" s="40" t="s">
        <v>196</v>
      </c>
      <c r="AF10" s="41" t="s">
        <v>86</v>
      </c>
      <c r="AG10" s="41" t="s">
        <v>86</v>
      </c>
      <c r="AH10" s="41" t="s">
        <v>104</v>
      </c>
      <c r="AI10" s="41" t="s">
        <v>80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だいち</v>
      </c>
      <c r="F11" s="8" t="s">
        <v>197</v>
      </c>
      <c r="G11" s="9">
        <v>-1500</v>
      </c>
      <c r="H11" s="9"/>
      <c r="I11" s="48">
        <v>0</v>
      </c>
      <c r="J11" s="21">
        <f t="shared" si="2"/>
        <v>34500</v>
      </c>
      <c r="K11" s="8" t="s">
        <v>197</v>
      </c>
      <c r="L11" s="9">
        <v>-1500</v>
      </c>
      <c r="M11" s="9"/>
      <c r="N11" s="48">
        <v>0</v>
      </c>
      <c r="O11" s="21">
        <f t="shared" si="3"/>
        <v>21600</v>
      </c>
      <c r="P11" s="8" t="s">
        <v>198</v>
      </c>
      <c r="Q11" s="9">
        <v>3000</v>
      </c>
      <c r="R11" s="9"/>
      <c r="S11" s="48">
        <v>0</v>
      </c>
      <c r="T11" s="21">
        <f t="shared" si="4"/>
        <v>48900</v>
      </c>
      <c r="U11" s="53">
        <f>IF($J11="","",ROUND(($J11-$J$3)/1000,1)+(_xlfn.RANK.AVG($J11,($J11,$O11,$T11),1)-2)*10)</f>
        <v>-0.5</v>
      </c>
      <c r="V11" s="54">
        <f>IF($O11="","",ROUND(($O11-$O$3)/1000,1)+(_xlfn.RANK.AVG($O11,($J11,$O11,$T11),1)-2)*10)</f>
        <v>-23.4</v>
      </c>
      <c r="W11" s="55">
        <f>IF($T11="","",ROUND(($T11-$T$3)/1000,1)+(_xlfn.RANK.AVG($T11,($J11,$O11,$T11),1)-2)*10)</f>
        <v>23.9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2</v>
      </c>
      <c r="BT11" s="30">
        <v>30</v>
      </c>
      <c r="BU11" s="40" t="s">
        <v>82</v>
      </c>
      <c r="BV11" s="41" t="s">
        <v>85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F995A699-DFA6-4096-A9D0-AFC590A31538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1FA3C-67E5-49AE-BB0F-6C7B88BFC0C2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191</v>
      </c>
      <c r="L1" s="79"/>
      <c r="M1" s="79"/>
      <c r="N1" s="80"/>
      <c r="O1" s="81"/>
      <c r="P1" s="78" t="s">
        <v>193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まっつん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れんたろう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れんたろう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/>
      <c r="G4" s="9"/>
      <c r="H4" s="9"/>
      <c r="I4" s="48"/>
      <c r="J4" s="21">
        <f>IF(COUNTA($F4,$K4,$P4)&gt;0,J3+SUM(G4:I4),"")</f>
        <v>35000</v>
      </c>
      <c r="K4" s="8" t="s">
        <v>195</v>
      </c>
      <c r="L4" s="9">
        <v>16000</v>
      </c>
      <c r="M4" s="9">
        <v>1000</v>
      </c>
      <c r="N4" s="48">
        <v>0</v>
      </c>
      <c r="O4" s="21">
        <f>IF(COUNTA($F4,$K4,$P4)&gt;0,O3+SUM(L4:N4),"")</f>
        <v>52000</v>
      </c>
      <c r="P4" s="8" t="s">
        <v>194</v>
      </c>
      <c r="Q4" s="9">
        <v>-16000</v>
      </c>
      <c r="R4" s="9">
        <v>-1000</v>
      </c>
      <c r="S4" s="48">
        <v>0</v>
      </c>
      <c r="T4" s="21">
        <f>IF(COUNTA($F4,$K4,$P4)&gt;0,T3+SUM(Q4:S4),"")</f>
        <v>18000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27</v>
      </c>
      <c r="W4" s="55">
        <f>IF($T4="","",ROUND(($T4-$T$3)/1000,1)+(_xlfn.RANK.AVG($T4,($J4,$O4,$T4),1)-2)*10)</f>
        <v>-27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10</v>
      </c>
      <c r="AY4" s="30" t="s">
        <v>199</v>
      </c>
      <c r="AZ4" s="40" t="s">
        <v>106</v>
      </c>
      <c r="BA4" s="41" t="s">
        <v>79</v>
      </c>
      <c r="BB4" s="41" t="s">
        <v>85</v>
      </c>
      <c r="BC4" s="41" t="s">
        <v>84</v>
      </c>
      <c r="BD4" s="41" t="s">
        <v>83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 t="s">
        <v>194</v>
      </c>
      <c r="G5" s="9">
        <v>-1000</v>
      </c>
      <c r="H5" s="9"/>
      <c r="I5" s="48">
        <v>0</v>
      </c>
      <c r="J5" s="21">
        <f t="shared" ref="J5:J30" si="2">IF(COUNTA($F5,$K5,$P5)&gt;0,J4+SUM(G5:I5),"")</f>
        <v>34000</v>
      </c>
      <c r="K5" s="8"/>
      <c r="L5" s="9"/>
      <c r="M5" s="9"/>
      <c r="N5" s="48"/>
      <c r="O5" s="21">
        <f t="shared" ref="O5:O30" si="3">IF(COUNTA($F5,$K5,$P5)&gt;0,O4+SUM(L5:N5),"")</f>
        <v>52000</v>
      </c>
      <c r="P5" s="8" t="s">
        <v>195</v>
      </c>
      <c r="Q5" s="9">
        <v>1000</v>
      </c>
      <c r="R5" s="9"/>
      <c r="S5" s="48">
        <v>0</v>
      </c>
      <c r="T5" s="21">
        <f t="shared" ref="T5:T30" si="4">IF(COUNTA($F5,$K5,$P5)&gt;0,T4+SUM(Q5:S5),"")</f>
        <v>19000</v>
      </c>
      <c r="U5" s="53">
        <f>IF($J5="","",ROUND(($J5-$J$3)/1000,1)+(_xlfn.RANK.AVG($J5,($J5,$O5,$T5),1)-2)*10)</f>
        <v>-1</v>
      </c>
      <c r="V5" s="54">
        <f>IF($O5="","",ROUND(($O5-$O$3)/1000,1)+(_xlfn.RANK.AVG($O5,($J5,$O5,$T5),1)-2)*10)</f>
        <v>27</v>
      </c>
      <c r="W5" s="55">
        <f>IF($T5="","",ROUND(($T5-$T$3)/1000,1)+(_xlfn.RANK.AVG($T5,($J5,$O5,$T5),1)-2)*10)</f>
        <v>-26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1</v>
      </c>
      <c r="BT5" s="30">
        <v>30</v>
      </c>
      <c r="BU5" s="40" t="s">
        <v>83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195</v>
      </c>
      <c r="G6" s="9">
        <v>6400</v>
      </c>
      <c r="H6" s="9"/>
      <c r="I6" s="48">
        <v>0</v>
      </c>
      <c r="J6" s="21">
        <f t="shared" si="2"/>
        <v>40400</v>
      </c>
      <c r="K6" s="8" t="s">
        <v>194</v>
      </c>
      <c r="L6" s="9">
        <v>-6400</v>
      </c>
      <c r="M6" s="9"/>
      <c r="N6" s="48">
        <v>0</v>
      </c>
      <c r="O6" s="21">
        <f t="shared" si="3"/>
        <v>45600</v>
      </c>
      <c r="P6" s="8"/>
      <c r="Q6" s="9"/>
      <c r="R6" s="9"/>
      <c r="S6" s="48"/>
      <c r="T6" s="21">
        <f t="shared" si="4"/>
        <v>19000</v>
      </c>
      <c r="U6" s="53">
        <f>IF($J6="","",ROUND(($J6-$J$3)/1000,1)+(_xlfn.RANK.AVG($J6,($J6,$O6,$T6),1)-2)*10)</f>
        <v>5.4</v>
      </c>
      <c r="V6" s="54">
        <f>IF($O6="","",ROUND(($O6-$O$3)/1000,1)+(_xlfn.RANK.AVG($O6,($J6,$O6,$T6),1)-2)*10)</f>
        <v>20.6</v>
      </c>
      <c r="W6" s="55">
        <f>IF($T6="","",ROUND(($T6-$T$3)/1000,1)+(_xlfn.RANK.AVG($T6,($J6,$O6,$T6),1)-2)*10)</f>
        <v>-26</v>
      </c>
      <c r="Y6" s="8"/>
      <c r="Z6" s="34"/>
      <c r="AA6" s="26">
        <v>1</v>
      </c>
      <c r="AB6" s="26"/>
      <c r="AC6" s="26">
        <v>4</v>
      </c>
      <c r="AD6" s="30">
        <v>25</v>
      </c>
      <c r="AE6" s="40" t="s">
        <v>91</v>
      </c>
      <c r="AF6" s="41" t="s">
        <v>101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まっつん</v>
      </c>
      <c r="F7" s="8" t="s">
        <v>197</v>
      </c>
      <c r="G7" s="9">
        <v>-7500</v>
      </c>
      <c r="H7" s="9"/>
      <c r="I7" s="48">
        <v>0</v>
      </c>
      <c r="J7" s="21">
        <f t="shared" si="2"/>
        <v>32900</v>
      </c>
      <c r="K7" s="8" t="s">
        <v>197</v>
      </c>
      <c r="L7" s="9">
        <v>-4500</v>
      </c>
      <c r="M7" s="9"/>
      <c r="N7" s="48">
        <v>0</v>
      </c>
      <c r="O7" s="21">
        <f t="shared" si="3"/>
        <v>41100</v>
      </c>
      <c r="P7" s="8" t="s">
        <v>198</v>
      </c>
      <c r="Q7" s="9">
        <v>12000</v>
      </c>
      <c r="R7" s="9"/>
      <c r="S7" s="48">
        <v>0</v>
      </c>
      <c r="T7" s="21">
        <f t="shared" si="4"/>
        <v>31000</v>
      </c>
      <c r="U7" s="53">
        <f>IF($J7="","",ROUND(($J7-$J$3)/1000,1)+(_xlfn.RANK.AVG($J7,($J7,$O7,$T7),1)-2)*10)</f>
        <v>-2.1</v>
      </c>
      <c r="V7" s="54">
        <f>IF($O7="","",ROUND(($O7-$O$3)/1000,1)+(_xlfn.RANK.AVG($O7,($J7,$O7,$T7),1)-2)*10)</f>
        <v>16.100000000000001</v>
      </c>
      <c r="W7" s="55">
        <f>IF($T7="","",ROUND(($T7-$T$3)/1000,1)+(_xlfn.RANK.AVG($T7,($J7,$O7,$T7),1)-2)*10)</f>
        <v>-14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7</v>
      </c>
      <c r="BT7" s="30" t="s">
        <v>199</v>
      </c>
      <c r="BU7" s="40" t="s">
        <v>196</v>
      </c>
      <c r="BV7" s="41" t="s">
        <v>82</v>
      </c>
      <c r="BW7" s="41" t="s">
        <v>203</v>
      </c>
      <c r="BX7" s="41" t="s">
        <v>80</v>
      </c>
      <c r="BY7" s="41" t="s">
        <v>80</v>
      </c>
      <c r="BZ7" s="41" t="s">
        <v>79</v>
      </c>
      <c r="CA7" s="41" t="s">
        <v>79</v>
      </c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れんたろう</v>
      </c>
      <c r="F8" s="8"/>
      <c r="G8" s="9"/>
      <c r="H8" s="9">
        <v>-2000</v>
      </c>
      <c r="I8" s="48"/>
      <c r="J8" s="21">
        <f t="shared" si="2"/>
        <v>30900</v>
      </c>
      <c r="K8" s="8" t="s">
        <v>195</v>
      </c>
      <c r="L8" s="9">
        <v>12000</v>
      </c>
      <c r="M8" s="9">
        <v>3000</v>
      </c>
      <c r="N8" s="48">
        <v>0</v>
      </c>
      <c r="O8" s="21">
        <f t="shared" si="3"/>
        <v>56100</v>
      </c>
      <c r="P8" s="8" t="s">
        <v>194</v>
      </c>
      <c r="Q8" s="9">
        <v>-12000</v>
      </c>
      <c r="R8" s="9">
        <v>-1000</v>
      </c>
      <c r="S8" s="48">
        <v>0</v>
      </c>
      <c r="T8" s="21">
        <f t="shared" si="4"/>
        <v>18000</v>
      </c>
      <c r="U8" s="53">
        <f>IF($J8="","",ROUND(($J8-$J$3)/1000,1)+(_xlfn.RANK.AVG($J8,($J8,$O8,$T8),1)-2)*10)</f>
        <v>-4.0999999999999996</v>
      </c>
      <c r="V8" s="54">
        <f>IF($O8="","",ROUND(($O8-$O$3)/1000,1)+(_xlfn.RANK.AVG($O8,($J8,$O8,$T8),1)-2)*10)</f>
        <v>31.1</v>
      </c>
      <c r="W8" s="55">
        <f>IF($T8="","",ROUND(($T8-$T$3)/1000,1)+(_xlfn.RANK.AVG($T8,($J8,$O8,$T8),1)-2)*10)</f>
        <v>-27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5</v>
      </c>
      <c r="AY8" s="30" t="s">
        <v>199</v>
      </c>
      <c r="AZ8" s="40" t="s">
        <v>196</v>
      </c>
      <c r="BA8" s="41" t="s">
        <v>86</v>
      </c>
      <c r="BB8" s="41" t="s">
        <v>79</v>
      </c>
      <c r="BC8" s="41" t="s">
        <v>79</v>
      </c>
      <c r="BD8" s="41" t="s">
        <v>204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tr">
        <f>IF($K$1="","",$K$1)</f>
        <v>れんたろう</v>
      </c>
      <c r="F9" s="8" t="s">
        <v>198</v>
      </c>
      <c r="G9" s="9">
        <v>6400</v>
      </c>
      <c r="H9" s="9"/>
      <c r="I9" s="48">
        <v>1000</v>
      </c>
      <c r="J9" s="21">
        <f t="shared" si="2"/>
        <v>38300</v>
      </c>
      <c r="K9" s="8" t="s">
        <v>197</v>
      </c>
      <c r="L9" s="9">
        <v>-4000</v>
      </c>
      <c r="M9" s="9"/>
      <c r="N9" s="48">
        <v>-500</v>
      </c>
      <c r="O9" s="21">
        <f t="shared" si="3"/>
        <v>51600</v>
      </c>
      <c r="P9" s="8" t="s">
        <v>197</v>
      </c>
      <c r="Q9" s="9">
        <v>-2400</v>
      </c>
      <c r="R9" s="9"/>
      <c r="S9" s="48">
        <v>-500</v>
      </c>
      <c r="T9" s="21">
        <f t="shared" si="4"/>
        <v>15100</v>
      </c>
      <c r="U9" s="53">
        <f>IF($J9="","",ROUND(($J9-$J$3)/1000,1)+(_xlfn.RANK.AVG($J9,($J9,$O9,$T9),1)-2)*10)</f>
        <v>3.3</v>
      </c>
      <c r="V9" s="54">
        <f>IF($O9="","",ROUND(($O9-$O$3)/1000,1)+(_xlfn.RANK.AVG($O9,($J9,$O9,$T9),1)-2)*10)</f>
        <v>26.6</v>
      </c>
      <c r="W9" s="55">
        <f>IF($T9="","",ROUND(($T9-$T$3)/1000,1)+(_xlfn.RANK.AVG($T9,($J9,$O9,$T9),1)-2)*10)</f>
        <v>-29.9</v>
      </c>
      <c r="Y9" s="8"/>
      <c r="Z9" s="34"/>
      <c r="AA9" s="26">
        <v>1</v>
      </c>
      <c r="AB9" s="26"/>
      <c r="AC9" s="26">
        <v>4</v>
      </c>
      <c r="AD9" s="30">
        <v>25</v>
      </c>
      <c r="AE9" s="40" t="s">
        <v>82</v>
      </c>
      <c r="AF9" s="41" t="s">
        <v>101</v>
      </c>
      <c r="AG9" s="41" t="s">
        <v>204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だいち</v>
      </c>
      <c r="F10" s="8" t="s">
        <v>205</v>
      </c>
      <c r="G10" s="9">
        <v>-3000</v>
      </c>
      <c r="H10" s="9"/>
      <c r="I10" s="48"/>
      <c r="J10" s="21">
        <f t="shared" si="2"/>
        <v>35300</v>
      </c>
      <c r="K10" s="8" t="s">
        <v>205</v>
      </c>
      <c r="L10" s="9">
        <v>1500</v>
      </c>
      <c r="M10" s="9">
        <v>-1000</v>
      </c>
      <c r="N10" s="48"/>
      <c r="O10" s="21">
        <f t="shared" si="3"/>
        <v>52100</v>
      </c>
      <c r="P10" s="8" t="s">
        <v>205</v>
      </c>
      <c r="Q10" s="9">
        <v>1500</v>
      </c>
      <c r="R10" s="9"/>
      <c r="S10" s="48"/>
      <c r="T10" s="21">
        <f t="shared" si="4"/>
        <v>16600</v>
      </c>
      <c r="U10" s="53">
        <f>IF($J10="","",ROUND(($J10-$J$3)/1000,1)+(_xlfn.RANK.AVG($J10,($J10,$O10,$T10),1)-2)*10)</f>
        <v>0.3</v>
      </c>
      <c r="V10" s="54">
        <f>IF($O10="","",ROUND(($O10-$O$3)/1000,1)+(_xlfn.RANK.AVG($O10,($J10,$O10,$T10),1)-2)*10)</f>
        <v>27.1</v>
      </c>
      <c r="W10" s="55">
        <f>IF($T10="","",ROUND(($T10-$T$3)/1000,1)+(_xlfn.RANK.AVG($T10,($J10,$O10,$T10),1)-2)*10)</f>
        <v>-28.4</v>
      </c>
      <c r="Y10" s="8" t="s">
        <v>200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201</v>
      </c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201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1</v>
      </c>
      <c r="E11" s="4" t="str">
        <f>IF($P$1="","",$P$1)</f>
        <v>だいち</v>
      </c>
      <c r="F11" s="8"/>
      <c r="G11" s="9"/>
      <c r="H11" s="9"/>
      <c r="I11" s="48"/>
      <c r="J11" s="21">
        <f t="shared" si="2"/>
        <v>35300</v>
      </c>
      <c r="K11" s="8" t="s">
        <v>195</v>
      </c>
      <c r="L11" s="9">
        <v>8000</v>
      </c>
      <c r="M11" s="9">
        <v>1000</v>
      </c>
      <c r="N11" s="48">
        <v>1000</v>
      </c>
      <c r="O11" s="21">
        <f t="shared" si="3"/>
        <v>62100</v>
      </c>
      <c r="P11" s="8" t="s">
        <v>194</v>
      </c>
      <c r="Q11" s="9">
        <v>-8000</v>
      </c>
      <c r="R11" s="9"/>
      <c r="S11" s="48">
        <v>-1000</v>
      </c>
      <c r="T11" s="21">
        <f t="shared" si="4"/>
        <v>7600</v>
      </c>
      <c r="U11" s="53">
        <f>IF($J11="","",ROUND(($J11-$J$3)/1000,1)+(_xlfn.RANK.AVG($J11,($J11,$O11,$T11),1)-2)*10)</f>
        <v>0.3</v>
      </c>
      <c r="V11" s="54">
        <f>IF($O11="","",ROUND(($O11-$O$3)/1000,1)+(_xlfn.RANK.AVG($O11,($J11,$O11,$T11),1)-2)*10)</f>
        <v>37.1</v>
      </c>
      <c r="W11" s="55">
        <f>IF($T11="","",ROUND(($T11-$T$3)/1000,1)+(_xlfn.RANK.AVG($T11,($J11,$O11,$T11),1)-2)*10)</f>
        <v>-37.4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5</v>
      </c>
      <c r="AY11" s="30" t="s">
        <v>199</v>
      </c>
      <c r="AZ11" s="40" t="s">
        <v>196</v>
      </c>
      <c r="BA11" s="41" t="s">
        <v>79</v>
      </c>
      <c r="BB11" s="41" t="s">
        <v>79</v>
      </c>
      <c r="BC11" s="41" t="s">
        <v>79</v>
      </c>
      <c r="BD11" s="41" t="s">
        <v>204</v>
      </c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CD9F5CB2-ADD8-4563-BDE4-009D00AFC300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  <dataValidation type="list" showInputMessage="1" showErrorMessage="1" sqref="K4:K30 P4:P30 F4:F30" xr:uid="{CEA41C41-DB09-45B0-8335-D97604029BC8}">
      <formula1>"ロン,ツモ,放銃,ツモ支払,流局,チョンボ"</formula1>
    </dataValidation>
    <dataValidation type="list" allowBlank="1" showInputMessage="1" showErrorMessage="1" sqref="E4:E30" xr:uid="{471CE081-4ECF-4F07-9F98-FDED9E74F0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1D1CB-126C-4B8A-BD05-6FB8ABD238BA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191</v>
      </c>
      <c r="G1" s="79"/>
      <c r="H1" s="79"/>
      <c r="I1" s="80"/>
      <c r="J1" s="81"/>
      <c r="K1" s="78" t="s">
        <v>193</v>
      </c>
      <c r="L1" s="79"/>
      <c r="M1" s="79"/>
      <c r="N1" s="80"/>
      <c r="O1" s="81"/>
      <c r="P1" s="78" t="s">
        <v>192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れんたろう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まっつん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だいち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194</v>
      </c>
      <c r="G4" s="9">
        <v>-12000</v>
      </c>
      <c r="H4" s="9"/>
      <c r="I4" s="48">
        <v>0</v>
      </c>
      <c r="J4" s="21">
        <f>IF(COUNTA($F4,$K4,$P4)&gt;0,J3+SUM(G4:I4),"")</f>
        <v>23000</v>
      </c>
      <c r="K4" s="8"/>
      <c r="L4" s="9"/>
      <c r="M4" s="9">
        <v>-1000</v>
      </c>
      <c r="N4" s="48"/>
      <c r="O4" s="21">
        <f>IF(COUNTA($F4,$K4,$P4)&gt;0,O3+SUM(L4:N4),"")</f>
        <v>34000</v>
      </c>
      <c r="P4" s="8" t="s">
        <v>195</v>
      </c>
      <c r="Q4" s="9">
        <v>12000</v>
      </c>
      <c r="R4" s="9">
        <v>1000</v>
      </c>
      <c r="S4" s="48">
        <v>0</v>
      </c>
      <c r="T4" s="21">
        <f>IF(COUNTA($F4,$K4,$P4)&gt;0,T3+SUM(Q4:S4),"")</f>
        <v>48000</v>
      </c>
      <c r="U4" s="53">
        <f>IF($J4="","",ROUND(($J4-$J$3)/1000,1)+(_xlfn.RANK.AVG($J4,($J4,$O4,$T4),1)-2)*10)</f>
        <v>-22</v>
      </c>
      <c r="V4" s="54">
        <f>IF($O4="","",ROUND(($O4-$O$3)/1000,1)+(_xlfn.RANK.AVG($O4,($J4,$O4,$T4),1)-2)*10)</f>
        <v>-1</v>
      </c>
      <c r="W4" s="55">
        <f>IF($T4="","",ROUND(($T4-$T$3)/1000,1)+(_xlfn.RANK.AVG($T4,($J4,$O4,$T4),1)-2)*10)</f>
        <v>23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7</v>
      </c>
      <c r="BT4" s="30" t="s">
        <v>199</v>
      </c>
      <c r="BU4" s="40" t="s">
        <v>86</v>
      </c>
      <c r="BV4" s="41" t="s">
        <v>98</v>
      </c>
      <c r="BW4" s="41" t="s">
        <v>79</v>
      </c>
      <c r="BX4" s="41" t="s">
        <v>79</v>
      </c>
      <c r="BY4" s="41" t="s">
        <v>79</v>
      </c>
      <c r="BZ4" s="41" t="s">
        <v>204</v>
      </c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205</v>
      </c>
      <c r="G5" s="9">
        <v>-1500</v>
      </c>
      <c r="H5" s="9"/>
      <c r="I5" s="48"/>
      <c r="J5" s="21">
        <f t="shared" ref="J5:J30" si="2">IF(COUNTA($F5,$K5,$P5)&gt;0,J4+SUM(G5:I5),"")</f>
        <v>21500</v>
      </c>
      <c r="K5" s="8" t="s">
        <v>205</v>
      </c>
      <c r="L5" s="9">
        <v>-1500</v>
      </c>
      <c r="M5" s="9"/>
      <c r="N5" s="48"/>
      <c r="O5" s="21">
        <f t="shared" ref="O5:O30" si="3">IF(COUNTA($F5,$K5,$P5)&gt;0,O4+SUM(L5:N5),"")</f>
        <v>32500</v>
      </c>
      <c r="P5" s="8" t="s">
        <v>205</v>
      </c>
      <c r="Q5" s="9">
        <v>3000</v>
      </c>
      <c r="R5" s="9">
        <v>-1000</v>
      </c>
      <c r="S5" s="48"/>
      <c r="T5" s="21">
        <f t="shared" ref="T5:T30" si="4">IF(COUNTA($F5,$K5,$P5)&gt;0,T4+SUM(Q5:S5),"")</f>
        <v>50000</v>
      </c>
      <c r="U5" s="53">
        <f>IF($J5="","",ROUND(($J5-$J$3)/1000,1)+(_xlfn.RANK.AVG($J5,($J5,$O5,$T5),1)-2)*10)</f>
        <v>-23.5</v>
      </c>
      <c r="V5" s="54">
        <f>IF($O5="","",ROUND(($O5-$O$3)/1000,1)+(_xlfn.RANK.AVG($O5,($J5,$O5,$T5),1)-2)*10)</f>
        <v>-2.5</v>
      </c>
      <c r="W5" s="55">
        <f>IF($T5="","",ROUND(($T5-$T$3)/1000,1)+(_xlfn.RANK.AVG($T5,($J5,$O5,$T5),1)-2)*10)</f>
        <v>25</v>
      </c>
      <c r="Y5" s="8" t="s">
        <v>200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200</v>
      </c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201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tr">
        <f>IF($P$1="","",$P$1)</f>
        <v>まっつん</v>
      </c>
      <c r="F6" s="8" t="s">
        <v>205</v>
      </c>
      <c r="G6" s="9">
        <v>1500</v>
      </c>
      <c r="H6" s="9">
        <v>-1000</v>
      </c>
      <c r="I6" s="48"/>
      <c r="J6" s="21">
        <f t="shared" si="2"/>
        <v>22000</v>
      </c>
      <c r="K6" s="8" t="s">
        <v>205</v>
      </c>
      <c r="L6" s="9">
        <v>-3000</v>
      </c>
      <c r="M6" s="9"/>
      <c r="N6" s="48"/>
      <c r="O6" s="21">
        <f t="shared" si="3"/>
        <v>29500</v>
      </c>
      <c r="P6" s="8" t="s">
        <v>205</v>
      </c>
      <c r="Q6" s="9">
        <v>1500</v>
      </c>
      <c r="R6" s="9">
        <v>-1000</v>
      </c>
      <c r="S6" s="48"/>
      <c r="T6" s="21">
        <f t="shared" si="4"/>
        <v>50500</v>
      </c>
      <c r="U6" s="53">
        <f>IF($J6="","",ROUND(($J6-$J$3)/1000,1)+(_xlfn.RANK.AVG($J6,($J6,$O6,$T6),1)-2)*10)</f>
        <v>-23</v>
      </c>
      <c r="V6" s="54">
        <f>IF($O6="","",ROUND(($O6-$O$3)/1000,1)+(_xlfn.RANK.AVG($O6,($J6,$O6,$T6),1)-2)*10)</f>
        <v>-5.5</v>
      </c>
      <c r="W6" s="55">
        <f>IF($T6="","",ROUND(($T6-$T$3)/1000,1)+(_xlfn.RANK.AVG($T6,($J6,$O6,$T6),1)-2)*10)</f>
        <v>25.5</v>
      </c>
      <c r="Y6" s="8" t="s">
        <v>201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200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201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2</v>
      </c>
      <c r="D7" s="18">
        <f t="shared" si="1"/>
        <v>3</v>
      </c>
      <c r="E7" s="4" t="str">
        <f>IF($P$1="","",$P$1)</f>
        <v>まっつん</v>
      </c>
      <c r="F7" s="8" t="s">
        <v>197</v>
      </c>
      <c r="G7" s="9">
        <v>-9000</v>
      </c>
      <c r="H7" s="9">
        <v>-1000</v>
      </c>
      <c r="I7" s="48">
        <v>-1000</v>
      </c>
      <c r="J7" s="21">
        <f t="shared" si="2"/>
        <v>11000</v>
      </c>
      <c r="K7" s="8" t="s">
        <v>197</v>
      </c>
      <c r="L7" s="9">
        <v>-9000</v>
      </c>
      <c r="M7" s="9"/>
      <c r="N7" s="48">
        <v>-1000</v>
      </c>
      <c r="O7" s="21">
        <f t="shared" si="3"/>
        <v>19500</v>
      </c>
      <c r="P7" s="8" t="s">
        <v>198</v>
      </c>
      <c r="Q7" s="9">
        <v>18000</v>
      </c>
      <c r="R7" s="9">
        <v>4000</v>
      </c>
      <c r="S7" s="48">
        <v>2000</v>
      </c>
      <c r="T7" s="21">
        <f t="shared" si="4"/>
        <v>74500</v>
      </c>
      <c r="U7" s="53">
        <f>IF($J7="","",ROUND(($J7-$J$3)/1000,1)+(_xlfn.RANK.AVG($J7,($J7,$O7,$T7),1)-2)*10)</f>
        <v>-34</v>
      </c>
      <c r="V7" s="54">
        <f>IF($O7="","",ROUND(($O7-$O$3)/1000,1)+(_xlfn.RANK.AVG($O7,($J7,$O7,$T7),1)-2)*10)</f>
        <v>-15.5</v>
      </c>
      <c r="W7" s="55">
        <f>IF($T7="","",ROUND(($T7-$T$3)/1000,1)+(_xlfn.RANK.AVG($T7,($J7,$O7,$T7),1)-2)*10)</f>
        <v>49.5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6</v>
      </c>
      <c r="BT7" s="30" t="s">
        <v>199</v>
      </c>
      <c r="BU7" s="40" t="s">
        <v>82</v>
      </c>
      <c r="BV7" s="41" t="s">
        <v>86</v>
      </c>
      <c r="BW7" s="41" t="s">
        <v>86</v>
      </c>
      <c r="BX7" s="41" t="s">
        <v>79</v>
      </c>
      <c r="BY7" s="41" t="s">
        <v>79</v>
      </c>
      <c r="BZ7" s="41" t="s">
        <v>79</v>
      </c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3</v>
      </c>
      <c r="D8" s="18">
        <f t="shared" si="1"/>
        <v>0</v>
      </c>
      <c r="E8" s="4" t="str">
        <f>IF($P$1="","",$P$1)</f>
        <v>まっつん</v>
      </c>
      <c r="F8" s="8" t="s">
        <v>197</v>
      </c>
      <c r="G8" s="9">
        <v>-2000</v>
      </c>
      <c r="H8" s="9"/>
      <c r="I8" s="48">
        <v>-1500</v>
      </c>
      <c r="J8" s="21">
        <f t="shared" si="2"/>
        <v>7500</v>
      </c>
      <c r="K8" s="8" t="s">
        <v>197</v>
      </c>
      <c r="L8" s="9">
        <v>-2000</v>
      </c>
      <c r="M8" s="9"/>
      <c r="N8" s="48">
        <v>-1500</v>
      </c>
      <c r="O8" s="21">
        <f t="shared" si="3"/>
        <v>16000</v>
      </c>
      <c r="P8" s="8" t="s">
        <v>198</v>
      </c>
      <c r="Q8" s="9">
        <v>4000</v>
      </c>
      <c r="R8" s="9"/>
      <c r="S8" s="48">
        <v>3000</v>
      </c>
      <c r="T8" s="21">
        <f t="shared" si="4"/>
        <v>81500</v>
      </c>
      <c r="U8" s="53">
        <f>IF($J8="","",ROUND(($J8-$J$3)/1000,1)+(_xlfn.RANK.AVG($J8,($J8,$O8,$T8),1)-2)*10)</f>
        <v>-37.5</v>
      </c>
      <c r="V8" s="54">
        <f>IF($O8="","",ROUND(($O8-$O$3)/1000,1)+(_xlfn.RANK.AVG($O8,($J8,$O8,$T8),1)-2)*10)</f>
        <v>-19</v>
      </c>
      <c r="W8" s="55">
        <f>IF($T8="","",ROUND(($T8-$T$3)/1000,1)+(_xlfn.RANK.AVG($T8,($J8,$O8,$T8),1)-2)*10)</f>
        <v>56.5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3</v>
      </c>
      <c r="BT8" s="30">
        <v>20</v>
      </c>
      <c r="BU8" s="40" t="s">
        <v>82</v>
      </c>
      <c r="BV8" s="41" t="s">
        <v>83</v>
      </c>
      <c r="BW8" s="41" t="s">
        <v>204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4</v>
      </c>
      <c r="D9" s="18">
        <f t="shared" si="1"/>
        <v>0</v>
      </c>
      <c r="E9" s="4" t="str">
        <f>IF($P$1="","",$P$1)</f>
        <v>まっつん</v>
      </c>
      <c r="F9" s="8" t="s">
        <v>197</v>
      </c>
      <c r="G9" s="9">
        <v>-1500</v>
      </c>
      <c r="H9" s="9"/>
      <c r="I9" s="48">
        <v>-2000</v>
      </c>
      <c r="J9" s="21">
        <f t="shared" si="2"/>
        <v>4000</v>
      </c>
      <c r="K9" s="8" t="s">
        <v>198</v>
      </c>
      <c r="L9" s="9">
        <v>4000</v>
      </c>
      <c r="M9" s="9"/>
      <c r="N9" s="48">
        <v>4000</v>
      </c>
      <c r="O9" s="21">
        <f t="shared" si="3"/>
        <v>24000</v>
      </c>
      <c r="P9" s="8" t="s">
        <v>197</v>
      </c>
      <c r="Q9" s="9">
        <v>-2500</v>
      </c>
      <c r="R9" s="9"/>
      <c r="S9" s="48">
        <v>-2000</v>
      </c>
      <c r="T9" s="21">
        <f t="shared" si="4"/>
        <v>77000</v>
      </c>
      <c r="U9" s="53">
        <f>IF($J9="","",ROUND(($J9-$J$3)/1000,1)+(_xlfn.RANK.AVG($J9,($J9,$O9,$T9),1)-2)*10)</f>
        <v>-41</v>
      </c>
      <c r="V9" s="54">
        <f>IF($O9="","",ROUND(($O9-$O$3)/1000,1)+(_xlfn.RANK.AVG($O9,($J9,$O9,$T9),1)-2)*10)</f>
        <v>-11</v>
      </c>
      <c r="W9" s="55">
        <f>IF($T9="","",ROUND(($T9-$T$3)/1000,1)+(_xlfn.RANK.AVG($T9,($J9,$O9,$T9),1)-2)*10)</f>
        <v>52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3</v>
      </c>
      <c r="AY9" s="30">
        <v>30</v>
      </c>
      <c r="AZ9" s="40" t="s">
        <v>196</v>
      </c>
      <c r="BA9" s="41" t="s">
        <v>82</v>
      </c>
      <c r="BB9" s="41" t="s">
        <v>203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れんたろう</v>
      </c>
      <c r="F10" s="8" t="s">
        <v>194</v>
      </c>
      <c r="G10" s="9">
        <v>-8000</v>
      </c>
      <c r="H10" s="9"/>
      <c r="I10" s="48">
        <v>0</v>
      </c>
      <c r="J10" s="21">
        <f t="shared" si="2"/>
        <v>-4000</v>
      </c>
      <c r="K10" s="8"/>
      <c r="L10" s="9"/>
      <c r="M10" s="9"/>
      <c r="N10" s="48"/>
      <c r="O10" s="21">
        <f t="shared" si="3"/>
        <v>24000</v>
      </c>
      <c r="P10" s="8" t="s">
        <v>195</v>
      </c>
      <c r="Q10" s="9">
        <v>8000</v>
      </c>
      <c r="R10" s="9"/>
      <c r="S10" s="48">
        <v>0</v>
      </c>
      <c r="T10" s="21">
        <f t="shared" si="4"/>
        <v>85000</v>
      </c>
      <c r="U10" s="53">
        <f>IF($J10="","",ROUND(($J10-$J$3)/1000,1)+(_xlfn.RANK.AVG($J10,($J10,$O10,$T10),1)-2)*10)</f>
        <v>-49</v>
      </c>
      <c r="V10" s="54">
        <f>IF($O10="","",ROUND(($O10-$O$3)/1000,1)+(_xlfn.RANK.AVG($O10,($J10,$O10,$T10),1)-2)*10)</f>
        <v>-11</v>
      </c>
      <c r="W10" s="55">
        <f>IF($T10="","",ROUND(($T10-$T$3)/1000,1)+(_xlfn.RANK.AVG($T10,($J10,$O10,$T10),1)-2)*10)</f>
        <v>60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199</v>
      </c>
      <c r="BU10" s="40" t="s">
        <v>196</v>
      </c>
      <c r="BV10" s="41" t="s">
        <v>83</v>
      </c>
      <c r="BW10" s="41" t="s">
        <v>79</v>
      </c>
      <c r="BX10" s="41" t="s">
        <v>79</v>
      </c>
      <c r="BY10" s="41" t="s">
        <v>204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0A31B3D-8A33-4DC5-84F3-9BF94935A9A0}">
      <formula1>$U$2:$W$2</formula1>
    </dataValidation>
    <dataValidation type="list" showInputMessage="1" showErrorMessage="1" sqref="K4:K30 P4:P30 F4:F30" xr:uid="{C528ECEE-C399-44A0-A269-97573A99EF58}">
      <formula1>"ロン,ツモ,放銃,ツモ支払,流局,チョンボ"</formula1>
    </dataValidation>
    <dataValidation type="list" allowBlank="1" showInputMessage="1" sqref="F1:T1" xr:uid="{29834D0C-6363-4222-BA92-8D70ED5788AB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FEA44-89A5-4595-A4A0-07E40BA4BBF1}">
  <sheetPr codeName="Sheet13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206</v>
      </c>
      <c r="G1" s="79"/>
      <c r="H1" s="79"/>
      <c r="I1" s="80"/>
      <c r="J1" s="81"/>
      <c r="K1" s="78" t="s">
        <v>191</v>
      </c>
      <c r="L1" s="79"/>
      <c r="M1" s="79"/>
      <c r="N1" s="80"/>
      <c r="O1" s="81"/>
      <c r="P1" s="78" t="s">
        <v>193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いっしー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れんたろう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いっしー</v>
      </c>
      <c r="V2" s="75" t="str">
        <f>$K$1</f>
        <v>れんたろう</v>
      </c>
      <c r="W2" s="16" t="str">
        <f>$P$1</f>
        <v>だいち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いっしー</v>
      </c>
      <c r="F4" s="8" t="s">
        <v>197</v>
      </c>
      <c r="G4" s="9">
        <v>-10000</v>
      </c>
      <c r="H4" s="9"/>
      <c r="I4" s="48">
        <v>0</v>
      </c>
      <c r="J4" s="21">
        <f>IF(COUNTA($F4,$K4,$P4)&gt;0,J3+SUM(G4:I4),"")</f>
        <v>25000</v>
      </c>
      <c r="K4" s="8" t="s">
        <v>198</v>
      </c>
      <c r="L4" s="9">
        <v>16000</v>
      </c>
      <c r="M4" s="9">
        <v>1000</v>
      </c>
      <c r="N4" s="48">
        <v>0</v>
      </c>
      <c r="O4" s="21">
        <f>IF(COUNTA($F4,$K4,$P4)&gt;0,O3+SUM(L4:N4),"")</f>
        <v>52000</v>
      </c>
      <c r="P4" s="8" t="s">
        <v>197</v>
      </c>
      <c r="Q4" s="9">
        <v>-6000</v>
      </c>
      <c r="R4" s="9">
        <v>-1000</v>
      </c>
      <c r="S4" s="48">
        <v>0</v>
      </c>
      <c r="T4" s="21">
        <f>IF(COUNTA($F4,$K4,$P4)&gt;0,T3+SUM(Q4:S4),"")</f>
        <v>28000</v>
      </c>
      <c r="U4" s="53">
        <f>IF($J4="","",ROUND(($J4-$J$3)/1000,1)+(_xlfn.RANK.AVG($J4,($J4,$O4,$T4),1)-2)*10)</f>
        <v>-20</v>
      </c>
      <c r="V4" s="54">
        <f>IF($O4="","",ROUND(($O4-$O$3)/1000,1)+(_xlfn.RANK.AVG($O4,($J4,$O4,$T4),1)-2)*10)</f>
        <v>27</v>
      </c>
      <c r="W4" s="55">
        <f>IF($T4="","",ROUND(($T4-$T$3)/1000,1)+(_xlfn.RANK.AVG($T4,($J4,$O4,$T4),1)-2)*10)</f>
        <v>-7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8</v>
      </c>
      <c r="AY4" s="30" t="s">
        <v>199</v>
      </c>
      <c r="AZ4" s="40" t="s">
        <v>196</v>
      </c>
      <c r="BA4" s="41" t="s">
        <v>82</v>
      </c>
      <c r="BB4" s="41" t="s">
        <v>83</v>
      </c>
      <c r="BC4" s="41" t="s">
        <v>85</v>
      </c>
      <c r="BD4" s="41" t="s">
        <v>79</v>
      </c>
      <c r="BE4" s="41" t="s">
        <v>79</v>
      </c>
      <c r="BF4" s="41" t="s">
        <v>79</v>
      </c>
      <c r="BG4" s="41" t="s">
        <v>80</v>
      </c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 t="s">
        <v>194</v>
      </c>
      <c r="G5" s="9">
        <v>-5800</v>
      </c>
      <c r="H5" s="9"/>
      <c r="I5" s="48">
        <v>0</v>
      </c>
      <c r="J5" s="21">
        <f t="shared" ref="J5:J30" si="2">IF(COUNTA($F5,$K5,$P5)&gt;0,J4+SUM(G5:I5),"")</f>
        <v>19200</v>
      </c>
      <c r="K5" s="8" t="s">
        <v>195</v>
      </c>
      <c r="L5" s="9">
        <v>5800</v>
      </c>
      <c r="M5" s="9"/>
      <c r="N5" s="48">
        <v>0</v>
      </c>
      <c r="O5" s="21">
        <f t="shared" ref="O5:O30" si="3">IF(COUNTA($F5,$K5,$P5)&gt;0,O4+SUM(L5:N5),"")</f>
        <v>57800</v>
      </c>
      <c r="P5" s="8"/>
      <c r="Q5" s="9"/>
      <c r="R5" s="9"/>
      <c r="S5" s="48"/>
      <c r="T5" s="21">
        <f t="shared" ref="T5:T30" si="4">IF(COUNTA($F5,$K5,$P5)&gt;0,T4+SUM(Q5:S5),"")</f>
        <v>28000</v>
      </c>
      <c r="U5" s="53">
        <f>IF($J5="","",ROUND(($J5-$J$3)/1000,1)+(_xlfn.RANK.AVG($J5,($J5,$O5,$T5),1)-2)*10)</f>
        <v>-25.8</v>
      </c>
      <c r="V5" s="54">
        <f>IF($O5="","",ROUND(($O5-$O$3)/1000,1)+(_xlfn.RANK.AVG($O5,($J5,$O5,$T5),1)-2)*10)</f>
        <v>32.799999999999997</v>
      </c>
      <c r="W5" s="55">
        <f>IF($T5="","",ROUND(($T5-$T$3)/1000,1)+(_xlfn.RANK.AVG($T5,($J5,$O5,$T5),1)-2)*10)</f>
        <v>-7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3</v>
      </c>
      <c r="AY5" s="30">
        <v>30</v>
      </c>
      <c r="AZ5" s="40" t="s">
        <v>86</v>
      </c>
      <c r="BA5" s="41" t="s">
        <v>86</v>
      </c>
      <c r="BB5" s="41" t="s">
        <v>86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れんたろう</v>
      </c>
      <c r="F6" s="8"/>
      <c r="G6" s="9"/>
      <c r="H6" s="9"/>
      <c r="I6" s="48"/>
      <c r="J6" s="21">
        <f t="shared" si="2"/>
        <v>19200</v>
      </c>
      <c r="K6" s="8" t="s">
        <v>194</v>
      </c>
      <c r="L6" s="9">
        <v>-7700</v>
      </c>
      <c r="M6" s="9"/>
      <c r="N6" s="48">
        <v>-1000</v>
      </c>
      <c r="O6" s="21">
        <f t="shared" si="3"/>
        <v>49100</v>
      </c>
      <c r="P6" s="8" t="s">
        <v>195</v>
      </c>
      <c r="Q6" s="9">
        <v>7700</v>
      </c>
      <c r="R6" s="9"/>
      <c r="S6" s="48">
        <v>1000</v>
      </c>
      <c r="T6" s="21">
        <f t="shared" si="4"/>
        <v>36700</v>
      </c>
      <c r="U6" s="53">
        <f>IF($J6="","",ROUND(($J6-$J$3)/1000,1)+(_xlfn.RANK.AVG($J6,($J6,$O6,$T6),1)-2)*10)</f>
        <v>-25.8</v>
      </c>
      <c r="V6" s="54">
        <f>IF($O6="","",ROUND(($O6-$O$3)/1000,1)+(_xlfn.RANK.AVG($O6,($J6,$O6,$T6),1)-2)*10)</f>
        <v>24.1</v>
      </c>
      <c r="W6" s="55">
        <f>IF($T6="","",ROUND(($T6-$T$3)/1000,1)+(_xlfn.RANK.AVG($T6,($J6,$O6,$T6),1)-2)*10)</f>
        <v>1.7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4</v>
      </c>
      <c r="BT6" s="30">
        <v>30</v>
      </c>
      <c r="BU6" s="40" t="s">
        <v>86</v>
      </c>
      <c r="BV6" s="41" t="s">
        <v>86</v>
      </c>
      <c r="BW6" s="41" t="s">
        <v>204</v>
      </c>
      <c r="BX6" s="41" t="s">
        <v>79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だいち</v>
      </c>
      <c r="F7" s="8" t="s">
        <v>198</v>
      </c>
      <c r="G7" s="9">
        <v>4000</v>
      </c>
      <c r="H7" s="9"/>
      <c r="I7" s="48">
        <v>0</v>
      </c>
      <c r="J7" s="21">
        <f t="shared" si="2"/>
        <v>23200</v>
      </c>
      <c r="K7" s="8" t="s">
        <v>197</v>
      </c>
      <c r="L7" s="9">
        <v>-1500</v>
      </c>
      <c r="M7" s="9"/>
      <c r="N7" s="48">
        <v>0</v>
      </c>
      <c r="O7" s="21">
        <f t="shared" si="3"/>
        <v>47600</v>
      </c>
      <c r="P7" s="8" t="s">
        <v>197</v>
      </c>
      <c r="Q7" s="9">
        <v>-2500</v>
      </c>
      <c r="R7" s="9"/>
      <c r="S7" s="48">
        <v>0</v>
      </c>
      <c r="T7" s="21">
        <f t="shared" si="4"/>
        <v>34200</v>
      </c>
      <c r="U7" s="53">
        <f>IF($J7="","",ROUND(($J7-$J$3)/1000,1)+(_xlfn.RANK.AVG($J7,($J7,$O7,$T7),1)-2)*10)</f>
        <v>-21.8</v>
      </c>
      <c r="V7" s="54">
        <f>IF($O7="","",ROUND(($O7-$O$3)/1000,1)+(_xlfn.RANK.AVG($O7,($J7,$O7,$T7),1)-2)*10)</f>
        <v>22.6</v>
      </c>
      <c r="W7" s="55">
        <f>IF($T7="","",ROUND(($T7-$T$3)/1000,1)+(_xlfn.RANK.AVG($T7,($J7,$O7,$T7),1)-2)*10)</f>
        <v>-0.8</v>
      </c>
      <c r="Y7" s="8"/>
      <c r="Z7" s="34"/>
      <c r="AA7" s="26"/>
      <c r="AB7" s="26"/>
      <c r="AC7" s="26">
        <v>3</v>
      </c>
      <c r="AD7" s="30">
        <v>30</v>
      </c>
      <c r="AE7" s="40" t="s">
        <v>82</v>
      </c>
      <c r="AF7" s="41" t="s">
        <v>79</v>
      </c>
      <c r="AG7" s="41" t="s">
        <v>79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いっしー</v>
      </c>
      <c r="F8" s="8"/>
      <c r="G8" s="9"/>
      <c r="H8" s="9"/>
      <c r="I8" s="48"/>
      <c r="J8" s="21">
        <f t="shared" si="2"/>
        <v>23200</v>
      </c>
      <c r="K8" s="8" t="s">
        <v>195</v>
      </c>
      <c r="L8" s="9">
        <v>8000</v>
      </c>
      <c r="M8" s="9"/>
      <c r="N8" s="48">
        <v>0</v>
      </c>
      <c r="O8" s="21">
        <f t="shared" si="3"/>
        <v>55600</v>
      </c>
      <c r="P8" s="8" t="s">
        <v>194</v>
      </c>
      <c r="Q8" s="9">
        <v>-8000</v>
      </c>
      <c r="R8" s="9"/>
      <c r="S8" s="48">
        <v>0</v>
      </c>
      <c r="T8" s="21">
        <f t="shared" si="4"/>
        <v>26200</v>
      </c>
      <c r="U8" s="53">
        <f>IF($J8="","",ROUND(($J8-$J$3)/1000,1)+(_xlfn.RANK.AVG($J8,($J8,$O8,$T8),1)-2)*10)</f>
        <v>-21.8</v>
      </c>
      <c r="V8" s="54">
        <f>IF($O8="","",ROUND(($O8-$O$3)/1000,1)+(_xlfn.RANK.AVG($O8,($J8,$O8,$T8),1)-2)*10)</f>
        <v>30.6</v>
      </c>
      <c r="W8" s="55">
        <f>IF($T8="","",ROUND(($T8-$T$3)/1000,1)+(_xlfn.RANK.AVG($T8,($J8,$O8,$T8),1)-2)*10)</f>
        <v>-8.8000000000000007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5</v>
      </c>
      <c r="AY8" s="30" t="s">
        <v>199</v>
      </c>
      <c r="AZ8" s="40" t="s">
        <v>86</v>
      </c>
      <c r="BA8" s="41" t="s">
        <v>86</v>
      </c>
      <c r="BB8" s="41" t="s">
        <v>79</v>
      </c>
      <c r="BC8" s="41" t="s">
        <v>79</v>
      </c>
      <c r="BD8" s="41" t="s">
        <v>79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れんたろう</v>
      </c>
      <c r="F9" s="8"/>
      <c r="G9" s="9"/>
      <c r="H9" s="9"/>
      <c r="I9" s="48"/>
      <c r="J9" s="21">
        <f t="shared" si="2"/>
        <v>23200</v>
      </c>
      <c r="K9" s="8" t="s">
        <v>195</v>
      </c>
      <c r="L9" s="9">
        <v>11600</v>
      </c>
      <c r="M9" s="9"/>
      <c r="N9" s="48">
        <v>0</v>
      </c>
      <c r="O9" s="21">
        <f t="shared" si="3"/>
        <v>67200</v>
      </c>
      <c r="P9" s="8" t="s">
        <v>194</v>
      </c>
      <c r="Q9" s="9">
        <v>-11600</v>
      </c>
      <c r="R9" s="9"/>
      <c r="S9" s="48">
        <v>0</v>
      </c>
      <c r="T9" s="21">
        <f t="shared" si="4"/>
        <v>14600</v>
      </c>
      <c r="U9" s="53">
        <f>IF($J9="","",ROUND(($J9-$J$3)/1000,1)+(_xlfn.RANK.AVG($J9,($J9,$O9,$T9),1)-2)*10)</f>
        <v>-11.8</v>
      </c>
      <c r="V9" s="54">
        <f>IF($O9="","",ROUND(($O9-$O$3)/1000,1)+(_xlfn.RANK.AVG($O9,($J9,$O9,$T9),1)-2)*10)</f>
        <v>42.2</v>
      </c>
      <c r="W9" s="55">
        <f>IF($T9="","",ROUND(($T9-$T$3)/1000,1)+(_xlfn.RANK.AVG($T9,($J9,$O9,$T9),1)-2)*10)</f>
        <v>-30.4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30</v>
      </c>
      <c r="AZ9" s="40" t="s">
        <v>196</v>
      </c>
      <c r="BA9" s="41" t="s">
        <v>83</v>
      </c>
      <c r="BB9" s="41" t="s">
        <v>79</v>
      </c>
      <c r="BC9" s="41" t="s">
        <v>80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IF($K$1="","",$K$1)</f>
        <v>れんたろう</v>
      </c>
      <c r="F10" s="8" t="s">
        <v>194</v>
      </c>
      <c r="G10" s="9">
        <v>-7700</v>
      </c>
      <c r="H10" s="9"/>
      <c r="I10" s="48">
        <v>-1000</v>
      </c>
      <c r="J10" s="21">
        <f t="shared" si="2"/>
        <v>14500</v>
      </c>
      <c r="K10" s="8" t="s">
        <v>195</v>
      </c>
      <c r="L10" s="9">
        <v>7700</v>
      </c>
      <c r="M10" s="9">
        <v>1000</v>
      </c>
      <c r="N10" s="48">
        <v>1000</v>
      </c>
      <c r="O10" s="21">
        <f t="shared" si="3"/>
        <v>76900</v>
      </c>
      <c r="P10" s="8"/>
      <c r="Q10" s="9"/>
      <c r="R10" s="9">
        <v>-1000</v>
      </c>
      <c r="S10" s="48"/>
      <c r="T10" s="21">
        <f t="shared" si="4"/>
        <v>13600</v>
      </c>
      <c r="U10" s="53">
        <f>IF($J10="","",ROUND(($J10-$J$3)/1000,1)+(_xlfn.RANK.AVG($J10,($J10,$O10,$T10),1)-2)*10)</f>
        <v>-20.5</v>
      </c>
      <c r="V10" s="54">
        <f>IF($O10="","",ROUND(($O10-$O$3)/1000,1)+(_xlfn.RANK.AVG($O10,($J10,$O10,$T10),1)-2)*10)</f>
        <v>51.9</v>
      </c>
      <c r="W10" s="55">
        <f>IF($T10="","",ROUND(($T10-$T$3)/1000,1)+(_xlfn.RANK.AVG($T10,($J10,$O10,$T10),1)-2)*10)</f>
        <v>-31.4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3</v>
      </c>
      <c r="AY10" s="30">
        <v>40</v>
      </c>
      <c r="AZ10" s="40" t="s">
        <v>196</v>
      </c>
      <c r="BA10" s="41" t="s">
        <v>85</v>
      </c>
      <c r="BB10" s="41" t="s">
        <v>204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tr">
        <f>IF($K$1="","",$K$1)</f>
        <v>れんたろう</v>
      </c>
      <c r="F11" s="8"/>
      <c r="G11" s="9"/>
      <c r="H11" s="9"/>
      <c r="I11" s="48"/>
      <c r="J11" s="21">
        <f t="shared" si="2"/>
        <v>14500</v>
      </c>
      <c r="K11" s="8" t="s">
        <v>194</v>
      </c>
      <c r="L11" s="9">
        <v>-5200</v>
      </c>
      <c r="M11" s="9"/>
      <c r="N11" s="48">
        <v>-2000</v>
      </c>
      <c r="O11" s="21">
        <f t="shared" si="3"/>
        <v>69700</v>
      </c>
      <c r="P11" s="8" t="s">
        <v>195</v>
      </c>
      <c r="Q11" s="9">
        <v>5200</v>
      </c>
      <c r="R11" s="9"/>
      <c r="S11" s="48">
        <v>2000</v>
      </c>
      <c r="T11" s="21">
        <f t="shared" si="4"/>
        <v>20800</v>
      </c>
      <c r="U11" s="53">
        <f>IF($J11="","",ROUND(($J11-$J$3)/1000,1)+(_xlfn.RANK.AVG($J11,($J11,$O11,$T11),1)-2)*10)</f>
        <v>-30.5</v>
      </c>
      <c r="V11" s="54">
        <f>IF($O11="","",ROUND(($O11-$O$3)/1000,1)+(_xlfn.RANK.AVG($O11,($J11,$O11,$T11),1)-2)*10)</f>
        <v>44.7</v>
      </c>
      <c r="W11" s="55">
        <f>IF($T11="","",ROUND(($T11-$T$3)/1000,1)+(_xlfn.RANK.AVG($T11,($J11,$O11,$T11),1)-2)*10)</f>
        <v>-14.2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3</v>
      </c>
      <c r="BT11" s="30">
        <v>40</v>
      </c>
      <c r="BU11" s="40" t="s">
        <v>85</v>
      </c>
      <c r="BV11" s="41" t="s">
        <v>84</v>
      </c>
      <c r="BW11" s="41" t="s">
        <v>204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だいち</v>
      </c>
      <c r="F12" s="8" t="s">
        <v>195</v>
      </c>
      <c r="G12" s="9">
        <v>16000</v>
      </c>
      <c r="H12" s="9"/>
      <c r="I12" s="48">
        <v>0</v>
      </c>
      <c r="J12" s="21">
        <f t="shared" si="2"/>
        <v>30500</v>
      </c>
      <c r="K12" s="8" t="s">
        <v>194</v>
      </c>
      <c r="L12" s="9">
        <v>-16000</v>
      </c>
      <c r="M12" s="9"/>
      <c r="N12" s="48">
        <v>0</v>
      </c>
      <c r="O12" s="21">
        <f t="shared" si="3"/>
        <v>53700</v>
      </c>
      <c r="P12" s="8"/>
      <c r="Q12" s="9"/>
      <c r="R12" s="9"/>
      <c r="S12" s="48"/>
      <c r="T12" s="21">
        <f t="shared" si="4"/>
        <v>20800</v>
      </c>
      <c r="U12" s="53">
        <f>IF($J12="","",ROUND(($J12-$J$3)/1000,1)+(_xlfn.RANK.AVG($J12,($J12,$O12,$T12),1)-2)*10)</f>
        <v>-4.5</v>
      </c>
      <c r="V12" s="54">
        <f>IF($O12="","",ROUND(($O12-$O$3)/1000,1)+(_xlfn.RANK.AVG($O12,($J12,$O12,$T12),1)-2)*10)</f>
        <v>28.7</v>
      </c>
      <c r="W12" s="55">
        <f>IF($T12="","",ROUND(($T12-$T$3)/1000,1)+(_xlfn.RANK.AVG($T12,($J12,$O12,$T12),1)-2)*10)</f>
        <v>-24.2</v>
      </c>
      <c r="Y12" s="8"/>
      <c r="Z12" s="34"/>
      <c r="AA12" s="26"/>
      <c r="AB12" s="26"/>
      <c r="AC12" s="26">
        <v>8</v>
      </c>
      <c r="AD12" s="30" t="s">
        <v>199</v>
      </c>
      <c r="AE12" s="40" t="s">
        <v>98</v>
      </c>
      <c r="AF12" s="41" t="s">
        <v>96</v>
      </c>
      <c r="AG12" s="41" t="s">
        <v>79</v>
      </c>
      <c r="AH12" s="41" t="s">
        <v>79</v>
      </c>
      <c r="AI12" s="41" t="s">
        <v>79</v>
      </c>
      <c r="AJ12" s="41" t="s">
        <v>86</v>
      </c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西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tr">
        <f>IF($F$1="","",$F$1)</f>
        <v>いっしー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F2799C1D-2080-47B6-8FDC-4A333BBC4ACB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  <dataValidation type="list" showInputMessage="1" showErrorMessage="1" sqref="K4:K30 P4:P30 F4:F30" xr:uid="{1EF2C75E-16E7-4AEF-B610-DB4C49549604}">
      <formula1>"ロン,ツモ,放銃,ツモ支払,流局,チョンボ"</formula1>
    </dataValidation>
    <dataValidation type="list" allowBlank="1" showInputMessage="1" showErrorMessage="1" sqref="E4:E30" xr:uid="{22EB04EB-C0A3-43B0-83D1-3863A80E0EA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2020-12-08T10:51:44Z</dcterms:modified>
</cp:coreProperties>
</file>