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01F49F8-4134-4C6B-8273-309DBCA0FE89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20" l="1"/>
  <c r="E16" i="20"/>
  <c r="E15" i="20"/>
  <c r="E14" i="20"/>
  <c r="E13" i="20"/>
  <c r="E12" i="20"/>
  <c r="E11" i="20"/>
  <c r="C11" i="20" s="1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D16" i="20"/>
  <c r="C16" i="20"/>
  <c r="B16" i="20"/>
  <c r="A16" i="20" s="1"/>
  <c r="T15" i="20"/>
  <c r="O15" i="20"/>
  <c r="J15" i="20"/>
  <c r="U15" i="20" s="1"/>
  <c r="D15" i="20"/>
  <c r="C15" i="20"/>
  <c r="B15" i="20"/>
  <c r="A15" i="20"/>
  <c r="T14" i="20"/>
  <c r="W14" i="20" s="1"/>
  <c r="O14" i="20"/>
  <c r="J14" i="20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D10" i="20"/>
  <c r="C10" i="20"/>
  <c r="D9" i="20"/>
  <c r="T7" i="20"/>
  <c r="T8" i="20" s="1"/>
  <c r="C7" i="20"/>
  <c r="D7" i="20"/>
  <c r="T6" i="20"/>
  <c r="O6" i="20"/>
  <c r="O7" i="20" s="1"/>
  <c r="T5" i="20"/>
  <c r="O5" i="20"/>
  <c r="D5" i="20"/>
  <c r="T4" i="20"/>
  <c r="O4" i="20"/>
  <c r="J4" i="20"/>
  <c r="W4" i="20" s="1"/>
  <c r="E4" i="20"/>
  <c r="C5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U16" i="20" l="1"/>
  <c r="W15" i="20"/>
  <c r="V15" i="20"/>
  <c r="V14" i="20"/>
  <c r="U14" i="20"/>
  <c r="V13" i="20"/>
  <c r="W13" i="20"/>
  <c r="V12" i="20"/>
  <c r="W12" i="20"/>
  <c r="D11" i="20"/>
  <c r="C6" i="20"/>
  <c r="O8" i="20"/>
  <c r="T9" i="20"/>
  <c r="C8" i="20"/>
  <c r="D8" i="20"/>
  <c r="U4" i="20"/>
  <c r="J5" i="20"/>
  <c r="B5" i="20"/>
  <c r="B6" i="20" s="1"/>
  <c r="V4" i="20"/>
  <c r="C9" i="20"/>
  <c r="E4" i="19"/>
  <c r="B7" i="20" l="1"/>
  <c r="J6" i="20"/>
  <c r="U5" i="20"/>
  <c r="W5" i="20"/>
  <c r="V5" i="20"/>
  <c r="T10" i="20"/>
  <c r="O9" i="20"/>
  <c r="A5" i="20"/>
  <c r="A6" i="20"/>
  <c r="W3" i="19"/>
  <c r="V3" i="19"/>
  <c r="U3" i="19"/>
  <c r="O10" i="20" l="1"/>
  <c r="B8" i="20"/>
  <c r="T11" i="20"/>
  <c r="A7" i="20"/>
  <c r="J7" i="20"/>
  <c r="U6" i="20"/>
  <c r="V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U7" i="20" l="1"/>
  <c r="J8" i="20"/>
  <c r="V7" i="20"/>
  <c r="W7" i="20"/>
  <c r="B9" i="20"/>
  <c r="A8" i="20"/>
  <c r="O11" i="20"/>
  <c r="V11" i="19"/>
  <c r="U11" i="19"/>
  <c r="W11" i="19"/>
  <c r="V9" i="19"/>
  <c r="U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A9" i="20"/>
  <c r="J9" i="20"/>
  <c r="U8" i="20"/>
  <c r="W8" i="20"/>
  <c r="V8" i="20"/>
  <c r="W5" i="19"/>
  <c r="V5" i="19"/>
  <c r="U5" i="19"/>
  <c r="J10" i="20" l="1"/>
  <c r="U9" i="20"/>
  <c r="W9" i="20"/>
  <c r="V9" i="20"/>
  <c r="B11" i="20"/>
  <c r="A11" i="20" s="1"/>
  <c r="A10" i="20"/>
  <c r="U10" i="20" l="1"/>
  <c r="J11" i="20"/>
  <c r="W10" i="20"/>
  <c r="V10" i="20"/>
  <c r="U11" i="20" l="1"/>
  <c r="W11" i="20"/>
  <c r="V11" i="20"/>
</calcChain>
</file>

<file path=xl/sharedStrings.xml><?xml version="1.0" encoding="utf-8"?>
<sst xmlns="http://schemas.openxmlformats.org/spreadsheetml/2006/main" count="707" uniqueCount="206">
  <si>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</si>
  <si>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</si>
  <si>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</si>
  <si>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</si>
  <si>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</si>
  <si>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</si>
  <si>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</si>
  <si>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</si>
  <si>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</si>
  <si>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</si>
  <si>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</si>
  <si>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</si>
  <si>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</si>
  <si>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</si>
  <si>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</si>
  <si>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</si>
  <si>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</si>
  <si>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</si>
  <si>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</si>
  <si>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</si>
  <si>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</si>
  <si>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</si>
  <si>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</si>
  <si>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</si>
  <si>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</si>
  <si>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</si>
  <si>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</si>
  <si>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</si>
  <si>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</si>
  <si>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</si>
  <si>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</si>
  <si>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</si>
  <si>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</si>
  <si>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</si>
  <si>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</si>
  <si>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</si>
  <si>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</si>
  <si>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</si>
  <si>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</si>
  <si>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</si>
  <si>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</si>
  <si>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</si>
  <si>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</si>
  <si>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</si>
  <si>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</si>
  <si>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</si>
  <si>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</si>
  <si>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</si>
  <si>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</si>
  <si>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</si>
  <si>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</si>
  <si>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</si>
  <si>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</si>
  <si>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</si>
  <si>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</si>
  <si>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</si>
  <si>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</si>
  <si>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</si>
  <si>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</si>
  <si>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</si>
  <si>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</si>
  <si>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</si>
  <si>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</si>
  <si>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</si>
  <si>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</si>
  <si>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</si>
  <si>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</si>
  <si>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</si>
  <si>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</si>
  <si>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</si>
  <si>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</si>
  <si>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</si>
  <si>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</si>
  <si>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</si>
  <si>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</si>
  <si>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</si>
  <si>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</si>
  <si>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</si>
  <si>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</si>
  <si>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</si>
  <si>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</si>
  <si>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</si>
  <si>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</si>
  <si>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</si>
  <si>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</si>
  <si>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</si>
  <si>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</si>
  <si>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</si>
  <si>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</si>
  <si>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</si>
  <si>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</si>
  <si>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</si>
  <si>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</si>
  <si>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</si>
  <si>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</si>
  <si>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</si>
  <si>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</si>
  <si>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</si>
  <si>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</si>
  <si>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</si>
  <si>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</si>
  <si>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</si>
  <si>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</si>
  <si>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</si>
  <si>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</si>
  <si>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</si>
  <si>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</si>
  <si>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</si>
  <si>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</si>
  <si>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</si>
  <si>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</si>
  <si>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</si>
  <si>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</si>
  <si>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</si>
  <si>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</si>
  <si>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</si>
  <si>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</si>
  <si>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</si>
  <si>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</si>
  <si>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</si>
  <si>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</si>
  <si>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</si>
  <si>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</si>
  <si>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</si>
  <si>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</si>
  <si>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</si>
  <si>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</si>
  <si>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</si>
  <si>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</si>
  <si>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</si>
  <si>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</si>
  <si>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</si>
  <si>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</si>
  <si>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</si>
  <si>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</si>
  <si>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</si>
  <si>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</si>
  <si>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</si>
  <si>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</si>
  <si>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</si>
  <si>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</si>
  <si>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</si>
  <si>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</si>
  <si>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</si>
  <si>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</si>
  <si>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</si>
  <si>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</si>
  <si>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</si>
  <si>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</si>
  <si>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</si>
  <si>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</si>
  <si>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</si>
  <si>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</si>
  <si>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</si>
  <si>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</si>
  <si>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</si>
  <si>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</si>
  <si>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</si>
  <si>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</si>
  <si>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</si>
  <si>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</si>
  <si>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</si>
  <si>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</si>
  <si>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</si>
  <si>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</si>
  <si>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</si>
  <si>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</si>
  <si>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</si>
  <si>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</si>
  <si>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</si>
  <si>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</si>
  <si>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</si>
  <si>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</si>
  <si>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</si>
  <si>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</si>
  <si>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</si>
  <si>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</si>
  <si>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</si>
  <si>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</si>
  <si>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</si>
  <si>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</si>
  <si>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</si>
  <si>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</si>
  <si>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</si>
  <si>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</si>
  <si>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</si>
  <si>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</si>
  <si>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</si>
  <si>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</si>
  <si>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</si>
  <si>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</si>
  <si>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</si>
  <si>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れんたろう</t>
    <phoneticPr fontId="1"/>
  </si>
  <si>
    <t>だいち</t>
    <phoneticPr fontId="1"/>
  </si>
  <si>
    <t>ロン</t>
  </si>
  <si>
    <t>放銃</t>
  </si>
  <si>
    <t>ツモ支払</t>
  </si>
  <si>
    <t>ツモ</t>
  </si>
  <si>
    <t>*</t>
  </si>
  <si>
    <t>01</t>
  </si>
  <si>
    <t>52</t>
  </si>
  <si>
    <t>T</t>
  </si>
  <si>
    <t>N</t>
  </si>
  <si>
    <t>流局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</si>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</sst>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195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いちかわ</v>
      </c>
      <c r="F5" s="8" t="s">
        <v>196</v>
      </c>
      <c r="G5" s="9">
        <v>-7500</v>
      </c>
      <c r="H5" s="9"/>
      <c r="I5" s="48">
        <v>-500</v>
      </c>
      <c r="J5" s="21">
        <f t="shared" ref="J5:J30" si="2">IF(COUNTA($F5,$K5,$P5)&gt;0,J4+SUM(G5:I5),"")</f>
        <v>32800</v>
      </c>
      <c r="K5" s="8" t="s">
        <v>197</v>
      </c>
      <c r="L5" s="9">
        <v>12000</v>
      </c>
      <c r="M5" s="9"/>
      <c r="N5" s="48">
        <v>1000</v>
      </c>
      <c r="O5" s="21">
        <f t="shared" ref="O5:O30" si="3">IF(COUNTA($F5,$K5,$P5)&gt;0,O4+SUM(L5:N5),"")</f>
        <v>42200</v>
      </c>
      <c r="P5" s="8" t="s">
        <v>196</v>
      </c>
      <c r="Q5" s="9">
        <v>-4500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-2.2000000000000002</v>
      </c>
      <c r="V5" s="54">
        <f>IF($O5="","",ROUND(($O5-$O$3)/1000,1)+(_xlfn.RANK.AVG($O5,($J5,$O5,$T5),1)-2)*10)</f>
        <v>17.2</v>
      </c>
      <c r="W5" s="55">
        <f>IF($T5="","",ROUND(($T5-$T$3)/1000,1)+(_xlfn.RANK.AVG($T5,($J5,$O5,$T5),1)-2)*10)</f>
        <v>-15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198</v>
      </c>
      <c r="AZ5" s="40" t="s">
        <v>199</v>
      </c>
      <c r="BA5" s="41" t="s">
        <v>82</v>
      </c>
      <c r="BB5" s="41" t="s">
        <v>86</v>
      </c>
      <c r="BC5" s="41" t="s">
        <v>79</v>
      </c>
      <c r="BD5" s="41" t="s">
        <v>80</v>
      </c>
      <c r="BE5" s="41" t="s">
        <v>200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203</v>
      </c>
      <c r="G6" s="9">
        <v>3000</v>
      </c>
      <c r="H6" s="9"/>
      <c r="I6" s="48"/>
      <c r="J6" s="21">
        <f t="shared" si="2"/>
        <v>35800</v>
      </c>
      <c r="K6" s="8" t="s">
        <v>203</v>
      </c>
      <c r="L6" s="9">
        <v>-1500</v>
      </c>
      <c r="M6" s="9"/>
      <c r="N6" s="48"/>
      <c r="O6" s="21">
        <f t="shared" si="3"/>
        <v>40700</v>
      </c>
      <c r="P6" s="8" t="s">
        <v>203</v>
      </c>
      <c r="Q6" s="9">
        <v>-1500</v>
      </c>
      <c r="R6" s="9"/>
      <c r="S6" s="48"/>
      <c r="T6" s="21">
        <f t="shared" si="4"/>
        <v>28500</v>
      </c>
      <c r="U6" s="53">
        <f>IF($J6="","",ROUND(($J6-$J$3)/1000,1)+(_xlfn.RANK.AVG($J6,($J6,$O6,$T6),1)-2)*10)</f>
        <v>0.8</v>
      </c>
      <c r="V6" s="54">
        <f>IF($O6="","",ROUND(($O6-$O$3)/1000,1)+(_xlfn.RANK.AVG($O6,($J6,$O6,$T6),1)-2)*10)</f>
        <v>15.7</v>
      </c>
      <c r="W6" s="55">
        <f>IF($T6="","",ROUND(($T6-$T$3)/1000,1)+(_xlfn.RANK.AVG($T6,($J6,$O6,$T6),1)-2)*10)</f>
        <v>-16.5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203</v>
      </c>
      <c r="G7" s="9">
        <v>0</v>
      </c>
      <c r="H7" s="9"/>
      <c r="I7" s="48"/>
      <c r="J7" s="21">
        <f t="shared" si="2"/>
        <v>35800</v>
      </c>
      <c r="K7" s="8" t="s">
        <v>203</v>
      </c>
      <c r="L7" s="9">
        <v>0</v>
      </c>
      <c r="M7" s="9"/>
      <c r="N7" s="48"/>
      <c r="O7" s="21">
        <f t="shared" si="3"/>
        <v>40700</v>
      </c>
      <c r="P7" s="8" t="s">
        <v>203</v>
      </c>
      <c r="Q7" s="9">
        <v>0</v>
      </c>
      <c r="R7" s="9"/>
      <c r="S7" s="48"/>
      <c r="T7" s="21">
        <f t="shared" si="4"/>
        <v>28500</v>
      </c>
      <c r="U7" s="53">
        <f>IF($J7="","",ROUND(($J7-$J$3)/1000,1)+(_xlfn.RANK.AVG($J7,($J7,$O7,$T7),1)-2)*10)</f>
        <v>0.8</v>
      </c>
      <c r="V7" s="54">
        <f>IF($O7="","",ROUND(($O7-$O$3)/1000,1)+(_xlfn.RANK.AVG($O7,($J7,$O7,$T7),1)-2)*10)</f>
        <v>15.7</v>
      </c>
      <c r="W7" s="55">
        <f>IF($T7="","",ROUND(($T7-$T$3)/1000,1)+(_xlfn.RANK.AVG($T7,($J7,$O7,$T7),1)-2)*10)</f>
        <v>-16.5</v>
      </c>
      <c r="Y7" s="8" t="s">
        <v>201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194</v>
      </c>
      <c r="G8" s="9">
        <v>3200</v>
      </c>
      <c r="H8" s="9"/>
      <c r="I8" s="48">
        <v>2000</v>
      </c>
      <c r="J8" s="21">
        <f t="shared" si="2"/>
        <v>41000</v>
      </c>
      <c r="K8" s="8" t="s">
        <v>195</v>
      </c>
      <c r="L8" s="9">
        <v>-3200</v>
      </c>
      <c r="M8" s="9"/>
      <c r="N8" s="48">
        <v>-2000</v>
      </c>
      <c r="O8" s="21">
        <f t="shared" si="3"/>
        <v>35500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IF($J8="","",ROUND(($J8-$J$3)/1000,1)+(_xlfn.RANK.AVG($J8,($J8,$O8,$T8),1)-2)*10)</f>
        <v>16</v>
      </c>
      <c r="V8" s="54">
        <f>IF($O8="","",ROUND(($O8-$O$3)/1000,1)+(_xlfn.RANK.AVG($O8,($J8,$O8,$T8),1)-2)*10)</f>
        <v>0.5</v>
      </c>
      <c r="W8" s="55">
        <f>IF($T8="","",ROUND(($T8-$T$3)/1000,1)+(_xlfn.RANK.AVG($T8,($J8,$O8,$T8),1)-2)*10)</f>
        <v>-16.5</v>
      </c>
      <c r="Y8" s="8"/>
      <c r="Z8" s="34"/>
      <c r="AA8" s="26"/>
      <c r="AB8" s="26"/>
      <c r="AC8" s="26">
        <v>3</v>
      </c>
      <c r="AD8" s="30">
        <v>25</v>
      </c>
      <c r="AE8" s="40" t="s">
        <v>101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/>
      <c r="G9" s="9"/>
      <c r="H9" s="9"/>
      <c r="I9" s="48"/>
      <c r="J9" s="21">
        <f t="shared" si="2"/>
        <v>41000</v>
      </c>
      <c r="K9" s="8" t="s">
        <v>195</v>
      </c>
      <c r="L9" s="9">
        <v>-12000</v>
      </c>
      <c r="M9" s="9"/>
      <c r="N9" s="48">
        <v>0</v>
      </c>
      <c r="O9" s="21">
        <f t="shared" si="3"/>
        <v>23500</v>
      </c>
      <c r="P9" s="8" t="s">
        <v>194</v>
      </c>
      <c r="Q9" s="9">
        <v>12000</v>
      </c>
      <c r="R9" s="9"/>
      <c r="S9" s="48">
        <v>0</v>
      </c>
      <c r="T9" s="21">
        <f t="shared" si="4"/>
        <v>40500</v>
      </c>
      <c r="U9" s="53">
        <f>IF($J9="","",ROUND(($J9-$J$3)/1000,1)+(_xlfn.RANK.AVG($J9,($J9,$O9,$T9),1)-2)*10)</f>
        <v>16</v>
      </c>
      <c r="V9" s="54">
        <f>IF($O9="","",ROUND(($O9-$O$3)/1000,1)+(_xlfn.RANK.AVG($O9,($J9,$O9,$T9),1)-2)*10)</f>
        <v>-21.5</v>
      </c>
      <c r="W9" s="55">
        <f>IF($T9="","",ROUND(($T9-$T$3)/1000,1)+(_xlfn.RANK.AVG($T9,($J9,$O9,$T9),1)-2)*10)</f>
        <v>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198</v>
      </c>
      <c r="BU9" s="40" t="s">
        <v>199</v>
      </c>
      <c r="BV9" s="41" t="s">
        <v>101</v>
      </c>
      <c r="BW9" s="41" t="s">
        <v>79</v>
      </c>
      <c r="BX9" s="41" t="s">
        <v>79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194</v>
      </c>
      <c r="G10" s="9">
        <v>3900</v>
      </c>
      <c r="H10" s="9"/>
      <c r="I10" s="48">
        <v>0</v>
      </c>
      <c r="J10" s="21">
        <f t="shared" si="2"/>
        <v>44900</v>
      </c>
      <c r="K10" s="8"/>
      <c r="L10" s="9"/>
      <c r="M10" s="9"/>
      <c r="N10" s="48"/>
      <c r="O10" s="21">
        <f t="shared" si="3"/>
        <v>23500</v>
      </c>
      <c r="P10" s="8" t="s">
        <v>195</v>
      </c>
      <c r="Q10" s="9">
        <v>-3900</v>
      </c>
      <c r="R10" s="9"/>
      <c r="S10" s="48">
        <v>0</v>
      </c>
      <c r="T10" s="21">
        <f t="shared" si="4"/>
        <v>36600</v>
      </c>
      <c r="U10" s="53">
        <f>IF($J10="","",ROUND(($J10-$J$3)/1000,1)+(_xlfn.RANK.AVG($J10,($J10,$O10,$T10),1)-2)*10)</f>
        <v>19.899999999999999</v>
      </c>
      <c r="V10" s="54">
        <f>IF($O10="","",ROUND(($O10-$O$3)/1000,1)+(_xlfn.RANK.AVG($O10,($J10,$O10,$T10),1)-2)*10)</f>
        <v>-21.5</v>
      </c>
      <c r="W10" s="55">
        <f>IF($T10="","",ROUND(($T10-$T$3)/1000,1)+(_xlfn.RANK.AVG($T10,($J10,$O10,$T10),1)-2)*10)</f>
        <v>1.6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2"/>
        <v>44900</v>
      </c>
      <c r="K11" s="8" t="s">
        <v>195</v>
      </c>
      <c r="L11" s="9">
        <v>-12000</v>
      </c>
      <c r="M11" s="9"/>
      <c r="N11" s="48">
        <v>0</v>
      </c>
      <c r="O11" s="21">
        <f t="shared" si="3"/>
        <v>11500</v>
      </c>
      <c r="P11" s="8" t="s">
        <v>194</v>
      </c>
      <c r="Q11" s="9">
        <v>12000</v>
      </c>
      <c r="R11" s="9"/>
      <c r="S11" s="48">
        <v>0</v>
      </c>
      <c r="T11" s="21">
        <f t="shared" si="4"/>
        <v>48600</v>
      </c>
      <c r="U11" s="53">
        <f>IF($J11="","",ROUND(($J11-$J$3)/1000,1)+(_xlfn.RANK.AVG($J11,($J11,$O11,$T11),1)-2)*10)</f>
        <v>9.9</v>
      </c>
      <c r="V11" s="54">
        <f>IF($O11="","",ROUND(($O11-$O$3)/1000,1)+(_xlfn.RANK.AVG($O11,($J11,$O11,$T11),1)-2)*10)</f>
        <v>-33.5</v>
      </c>
      <c r="W11" s="55">
        <f>IF($T11="","",ROUND(($T11-$T$3)/1000,1)+(_xlfn.RANK.AVG($T11,($J11,$O11,$T11),1)-2)*10)</f>
        <v>23.6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40</v>
      </c>
      <c r="BU11" s="40" t="s">
        <v>86</v>
      </c>
      <c r="BV11" s="41" t="s">
        <v>79</v>
      </c>
      <c r="BW11" s="41" t="s">
        <v>79</v>
      </c>
      <c r="BX11" s="41" t="s">
        <v>200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036F8A2-750B-4F88-B482-51066F1212F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061F3-1283-4597-BAEA-883CD1ECF121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1300</v>
      </c>
      <c r="M4" s="9"/>
      <c r="N4" s="48">
        <v>0</v>
      </c>
      <c r="O4" s="21">
        <f>IF(COUNTA($F4,$K4,$P4)&gt;0,O3+SUM(L4:N4),"")</f>
        <v>36300</v>
      </c>
      <c r="P4" s="8" t="s">
        <v>195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11.3</v>
      </c>
      <c r="W4" s="55">
        <f>IF($T4="","",ROUND(($T4-$T$3)/1000,1)+(_xlfn.RANK.AVG($T4,($J4,$O4,$T4),1)-2)*10)</f>
        <v>-11.3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40</v>
      </c>
      <c r="AZ4" s="40" t="s">
        <v>84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-2000</v>
      </c>
      <c r="H5" s="9"/>
      <c r="I5" s="48">
        <v>0</v>
      </c>
      <c r="J5" s="21">
        <f t="shared" ref="J5:J30" si="2">IF(COUNTA($F5,$K5,$P5)&gt;0,J4+SUM(G5:I5),"")</f>
        <v>33000</v>
      </c>
      <c r="K5" s="8" t="s">
        <v>194</v>
      </c>
      <c r="L5" s="9">
        <v>2000</v>
      </c>
      <c r="M5" s="9"/>
      <c r="N5" s="48">
        <v>0</v>
      </c>
      <c r="O5" s="21">
        <f t="shared" ref="O5:O30" si="3">IF(COUNTA($F5,$K5,$P5)&gt;0,O4+SUM(L5:N5),"")</f>
        <v>38300</v>
      </c>
      <c r="P5" s="8"/>
      <c r="Q5" s="9"/>
      <c r="R5" s="9"/>
      <c r="S5" s="48"/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-12</v>
      </c>
      <c r="V5" s="54">
        <f>IF($O5="","",ROUND(($O5-$O$3)/1000,1)+(_xlfn.RANK.AVG($O5,($J5,$O5,$T5),1)-2)*10)</f>
        <v>13.3</v>
      </c>
      <c r="W5" s="55">
        <f>IF($T5="","",ROUND(($T5-$T$3)/1000,1)+(_xlfn.RANK.AVG($T5,($J5,$O5,$T5),1)-2)*10)</f>
        <v>-1.3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12000</v>
      </c>
      <c r="H6" s="9"/>
      <c r="I6" s="48">
        <v>1000</v>
      </c>
      <c r="J6" s="21">
        <f t="shared" si="2"/>
        <v>46000</v>
      </c>
      <c r="K6" s="8" t="s">
        <v>195</v>
      </c>
      <c r="L6" s="9">
        <v>-12000</v>
      </c>
      <c r="M6" s="9"/>
      <c r="N6" s="48">
        <v>-1000</v>
      </c>
      <c r="O6" s="21">
        <f t="shared" si="3"/>
        <v>25300</v>
      </c>
      <c r="P6" s="8"/>
      <c r="Q6" s="9"/>
      <c r="R6" s="9"/>
      <c r="S6" s="48"/>
      <c r="T6" s="21">
        <f t="shared" si="4"/>
        <v>33700</v>
      </c>
      <c r="U6" s="53">
        <f>IF($J6="","",ROUND(($J6-$J$3)/1000,1)+(_xlfn.RANK.AVG($J6,($J6,$O6,$T6),1)-2)*10)</f>
        <v>21</v>
      </c>
      <c r="V6" s="54">
        <f>IF($O6="","",ROUND(($O6-$O$3)/1000,1)+(_xlfn.RANK.AVG($O6,($J6,$O6,$T6),1)-2)*10)</f>
        <v>-19.7</v>
      </c>
      <c r="W6" s="55">
        <f>IF($T6="","",ROUND(($T6-$T$3)/1000,1)+(_xlfn.RANK.AVG($T6,($J6,$O6,$T6),1)-2)*10)</f>
        <v>-1.3</v>
      </c>
      <c r="Y6" s="8"/>
      <c r="Z6" s="34"/>
      <c r="AA6" s="26">
        <v>1</v>
      </c>
      <c r="AB6" s="26"/>
      <c r="AC6" s="26">
        <v>6</v>
      </c>
      <c r="AD6" s="30" t="s">
        <v>198</v>
      </c>
      <c r="AE6" s="40" t="s">
        <v>199</v>
      </c>
      <c r="AF6" s="41" t="s">
        <v>101</v>
      </c>
      <c r="AG6" s="41" t="s">
        <v>79</v>
      </c>
      <c r="AH6" s="41" t="s">
        <v>79</v>
      </c>
      <c r="AI6" s="41" t="s">
        <v>200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196</v>
      </c>
      <c r="G7" s="9">
        <v>-1500</v>
      </c>
      <c r="H7" s="9"/>
      <c r="I7" s="48">
        <v>0</v>
      </c>
      <c r="J7" s="21">
        <f t="shared" si="2"/>
        <v>44500</v>
      </c>
      <c r="K7" s="8" t="s">
        <v>196</v>
      </c>
      <c r="L7" s="9">
        <v>-1500</v>
      </c>
      <c r="M7" s="9"/>
      <c r="N7" s="48">
        <v>0</v>
      </c>
      <c r="O7" s="21">
        <f t="shared" si="3"/>
        <v>23800</v>
      </c>
      <c r="P7" s="8" t="s">
        <v>197</v>
      </c>
      <c r="Q7" s="9">
        <v>3000</v>
      </c>
      <c r="R7" s="9"/>
      <c r="S7" s="48">
        <v>0</v>
      </c>
      <c r="T7" s="21">
        <f t="shared" si="4"/>
        <v>36700</v>
      </c>
      <c r="U7" s="53">
        <f>IF($J7="","",ROUND(($J7-$J$3)/1000,1)+(_xlfn.RANK.AVG($J7,($J7,$O7,$T7),1)-2)*10)</f>
        <v>19.5</v>
      </c>
      <c r="V7" s="54">
        <f>IF($O7="","",ROUND(($O7-$O$3)/1000,1)+(_xlfn.RANK.AVG($O7,($J7,$O7,$T7),1)-2)*10)</f>
        <v>-21.2</v>
      </c>
      <c r="W7" s="55">
        <f>IF($T7="","",ROUND(($T7-$T$3)/1000,1)+(_xlfn.RANK.AVG($T7,($J7,$O7,$T7),1)-2)*10)</f>
        <v>1.7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44500</v>
      </c>
      <c r="K8" s="8" t="s">
        <v>195</v>
      </c>
      <c r="L8" s="9">
        <v>-18000</v>
      </c>
      <c r="M8" s="9"/>
      <c r="N8" s="48">
        <v>-1000</v>
      </c>
      <c r="O8" s="21">
        <f t="shared" si="3"/>
        <v>4800</v>
      </c>
      <c r="P8" s="8" t="s">
        <v>194</v>
      </c>
      <c r="Q8" s="9">
        <v>18000</v>
      </c>
      <c r="R8" s="9"/>
      <c r="S8" s="48">
        <v>1000</v>
      </c>
      <c r="T8" s="21">
        <f t="shared" si="4"/>
        <v>55700</v>
      </c>
      <c r="U8" s="53">
        <f>IF($J8="","",ROUND(($J8-$J$3)/1000,1)+(_xlfn.RANK.AVG($J8,($J8,$O8,$T8),1)-2)*10)</f>
        <v>9.5</v>
      </c>
      <c r="V8" s="54">
        <f>IF($O8="","",ROUND(($O8-$O$3)/1000,1)+(_xlfn.RANK.AVG($O8,($J8,$O8,$T8),1)-2)*10)</f>
        <v>-40.200000000000003</v>
      </c>
      <c r="W8" s="55">
        <f>IF($T8="","",ROUND(($T8-$T$3)/1000,1)+(_xlfn.RANK.AVG($T8,($J8,$O8,$T8),1)-2)*10)</f>
        <v>30.7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198</v>
      </c>
      <c r="BU8" s="40" t="s">
        <v>199</v>
      </c>
      <c r="BV8" s="41" t="s">
        <v>79</v>
      </c>
      <c r="BW8" s="41" t="s">
        <v>79</v>
      </c>
      <c r="BX8" s="41" t="s">
        <v>79</v>
      </c>
      <c r="BY8" s="41" t="s">
        <v>80</v>
      </c>
      <c r="BZ8" s="41" t="s">
        <v>80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れんたろう</v>
      </c>
      <c r="F9" s="8" t="s">
        <v>194</v>
      </c>
      <c r="G9" s="9">
        <v>12000</v>
      </c>
      <c r="H9" s="9">
        <v>1000</v>
      </c>
      <c r="I9" s="48">
        <v>2000</v>
      </c>
      <c r="J9" s="21">
        <f t="shared" si="2"/>
        <v>59500</v>
      </c>
      <c r="K9" s="8"/>
      <c r="L9" s="9"/>
      <c r="M9" s="9"/>
      <c r="N9" s="48"/>
      <c r="O9" s="21">
        <f t="shared" si="3"/>
        <v>4800</v>
      </c>
      <c r="P9" s="8" t="s">
        <v>195</v>
      </c>
      <c r="Q9" s="9">
        <v>-12000</v>
      </c>
      <c r="R9" s="9">
        <v>-1000</v>
      </c>
      <c r="S9" s="48">
        <v>-2000</v>
      </c>
      <c r="T9" s="21">
        <f t="shared" si="4"/>
        <v>40700</v>
      </c>
      <c r="U9" s="53">
        <f>IF($J9="","",ROUND(($J9-$J$3)/1000,1)+(_xlfn.RANK.AVG($J9,($J9,$O9,$T9),1)-2)*10)</f>
        <v>34.5</v>
      </c>
      <c r="V9" s="54">
        <f>IF($O9="","",ROUND(($O9-$O$3)/1000,1)+(_xlfn.RANK.AVG($O9,($J9,$O9,$T9),1)-2)*10)</f>
        <v>-40.200000000000003</v>
      </c>
      <c r="W9" s="55">
        <f>IF($T9="","",ROUND(($T9-$T$3)/1000,1)+(_xlfn.RANK.AVG($T9,($J9,$O9,$T9),1)-2)*10)</f>
        <v>5.7</v>
      </c>
      <c r="Y9" s="8"/>
      <c r="Z9" s="34"/>
      <c r="AA9" s="26">
        <v>1</v>
      </c>
      <c r="AB9" s="26"/>
      <c r="AC9" s="26">
        <v>6</v>
      </c>
      <c r="AD9" s="30" t="s">
        <v>198</v>
      </c>
      <c r="AE9" s="40" t="s">
        <v>199</v>
      </c>
      <c r="AF9" s="41" t="s">
        <v>86</v>
      </c>
      <c r="AG9" s="41" t="s">
        <v>86</v>
      </c>
      <c r="AH9" s="41" t="s">
        <v>104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いちかわ</v>
      </c>
      <c r="F10" s="8" t="s">
        <v>195</v>
      </c>
      <c r="G10" s="9">
        <v>-24000</v>
      </c>
      <c r="H10" s="9"/>
      <c r="I10" s="48">
        <v>0</v>
      </c>
      <c r="J10" s="21">
        <f t="shared" si="2"/>
        <v>35500</v>
      </c>
      <c r="K10" s="8"/>
      <c r="L10" s="9"/>
      <c r="M10" s="9"/>
      <c r="N10" s="48"/>
      <c r="O10" s="21">
        <f t="shared" si="3"/>
        <v>4800</v>
      </c>
      <c r="P10" s="8" t="s">
        <v>194</v>
      </c>
      <c r="Q10" s="9">
        <v>24000</v>
      </c>
      <c r="R10" s="9"/>
      <c r="S10" s="48">
        <v>0</v>
      </c>
      <c r="T10" s="21">
        <f t="shared" si="4"/>
        <v>64700</v>
      </c>
      <c r="U10" s="53">
        <f>IF($J10="","",ROUND(($J10-$J$3)/1000,1)+(_xlfn.RANK.AVG($J10,($J10,$O10,$T10),1)-2)*10)</f>
        <v>0.5</v>
      </c>
      <c r="V10" s="54">
        <f>IF($O10="","",ROUND(($O10-$O$3)/1000,1)+(_xlfn.RANK.AVG($O10,($J10,$O10,$T10),1)-2)*10)</f>
        <v>-40.200000000000003</v>
      </c>
      <c r="W10" s="55">
        <f>IF($T10="","",ROUND(($T10-$T$3)/1000,1)+(_xlfn.RANK.AVG($T10,($J10,$O10,$T10),1)-2)*10)</f>
        <v>39.700000000000003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11</v>
      </c>
      <c r="BT10" s="30" t="s">
        <v>198</v>
      </c>
      <c r="BU10" s="40" t="s">
        <v>199</v>
      </c>
      <c r="BV10" s="41" t="s">
        <v>106</v>
      </c>
      <c r="BW10" s="41" t="s">
        <v>79</v>
      </c>
      <c r="BX10" s="41" t="s">
        <v>79</v>
      </c>
      <c r="BY10" s="41" t="s">
        <v>80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195</v>
      </c>
      <c r="G11" s="9">
        <v>-3900</v>
      </c>
      <c r="H11" s="9"/>
      <c r="I11" s="48">
        <v>0</v>
      </c>
      <c r="J11" s="21">
        <f t="shared" si="2"/>
        <v>31600</v>
      </c>
      <c r="K11" s="8" t="s">
        <v>194</v>
      </c>
      <c r="L11" s="9">
        <v>3900</v>
      </c>
      <c r="M11" s="9"/>
      <c r="N11" s="48">
        <v>0</v>
      </c>
      <c r="O11" s="21">
        <f t="shared" si="3"/>
        <v>8700</v>
      </c>
      <c r="P11" s="8"/>
      <c r="Q11" s="9"/>
      <c r="R11" s="9"/>
      <c r="S11" s="48"/>
      <c r="T11" s="21">
        <f t="shared" si="4"/>
        <v>64700</v>
      </c>
      <c r="U11" s="53">
        <f>IF($J11="","",ROUND(($J11-$J$3)/1000,1)+(_xlfn.RANK.AVG($J11,($J11,$O11,$T11),1)-2)*10)</f>
        <v>-3.4</v>
      </c>
      <c r="V11" s="54">
        <f>IF($O11="","",ROUND(($O11-$O$3)/1000,1)+(_xlfn.RANK.AVG($O11,($J11,$O11,$T11),1)-2)*10)</f>
        <v>-36.299999999999997</v>
      </c>
      <c r="W11" s="55">
        <f>IF($T11="","",ROUND(($T11-$T$3)/1000,1)+(_xlfn.RANK.AVG($T11,($J11,$O11,$T11),1)-2)*10)</f>
        <v>39.700000000000003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199</v>
      </c>
      <c r="BA11" s="41" t="s">
        <v>84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だいち</v>
      </c>
      <c r="F12" s="8" t="s">
        <v>196</v>
      </c>
      <c r="G12" s="9">
        <v>-6000</v>
      </c>
      <c r="H12" s="9"/>
      <c r="I12" s="48">
        <v>-500</v>
      </c>
      <c r="J12" s="21">
        <f t="shared" si="2"/>
        <v>25100</v>
      </c>
      <c r="K12" s="8" t="s">
        <v>197</v>
      </c>
      <c r="L12" s="9">
        <v>12000</v>
      </c>
      <c r="M12" s="9"/>
      <c r="N12" s="48">
        <v>1000</v>
      </c>
      <c r="O12" s="21">
        <f t="shared" si="3"/>
        <v>21700</v>
      </c>
      <c r="P12" s="8" t="s">
        <v>196</v>
      </c>
      <c r="Q12" s="9">
        <v>-6000</v>
      </c>
      <c r="R12" s="9"/>
      <c r="S12" s="48">
        <v>-500</v>
      </c>
      <c r="T12" s="21">
        <f t="shared" si="4"/>
        <v>58200</v>
      </c>
      <c r="U12" s="53">
        <f>IF($J12="","",ROUND(($J12-$J$3)/1000,1)+(_xlfn.RANK.AVG($J12,($J12,$O12,$T12),1)-2)*10)</f>
        <v>-9.9</v>
      </c>
      <c r="V12" s="54">
        <f>IF($O12="","",ROUND(($O12-$O$3)/1000,1)+(_xlfn.RANK.AVG($O12,($J12,$O12,$T12),1)-2)*10)</f>
        <v>-23.3</v>
      </c>
      <c r="W12" s="55">
        <f>IF($T12="","",ROUND(($T12-$T$3)/1000,1)+(_xlfn.RANK.AVG($T12,($J12,$O12,$T12),1)-2)*10)</f>
        <v>33.200000000000003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5</v>
      </c>
      <c r="AY12" s="30" t="s">
        <v>198</v>
      </c>
      <c r="AZ12" s="40" t="s">
        <v>82</v>
      </c>
      <c r="BA12" s="41" t="s">
        <v>84</v>
      </c>
      <c r="BB12" s="41" t="s">
        <v>79</v>
      </c>
      <c r="BC12" s="41" t="s">
        <v>79</v>
      </c>
      <c r="BD12" s="41" t="s">
        <v>200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IF($K$1="","",$K$1)</f>
        <v>だいち</v>
      </c>
      <c r="F13" s="8"/>
      <c r="G13" s="9"/>
      <c r="H13" s="9"/>
      <c r="I13" s="48"/>
      <c r="J13" s="21">
        <f t="shared" si="2"/>
        <v>25100</v>
      </c>
      <c r="K13" s="8" t="s">
        <v>194</v>
      </c>
      <c r="L13" s="9">
        <v>5800</v>
      </c>
      <c r="M13" s="9"/>
      <c r="N13" s="48">
        <v>2000</v>
      </c>
      <c r="O13" s="21">
        <f t="shared" si="3"/>
        <v>29500</v>
      </c>
      <c r="P13" s="8" t="s">
        <v>195</v>
      </c>
      <c r="Q13" s="9">
        <v>-5800</v>
      </c>
      <c r="R13" s="9"/>
      <c r="S13" s="48">
        <v>-2000</v>
      </c>
      <c r="T13" s="21">
        <f t="shared" si="4"/>
        <v>50400</v>
      </c>
      <c r="U13" s="53">
        <f>IF($J13="","",ROUND(($J13-$J$3)/1000,1)+(_xlfn.RANK.AVG($J13,($J13,$O13,$T13),1)-2)*10)</f>
        <v>-19.899999999999999</v>
      </c>
      <c r="V13" s="54">
        <f>IF($O13="","",ROUND(($O13-$O$3)/1000,1)+(_xlfn.RANK.AVG($O13,($J13,$O13,$T13),1)-2)*10)</f>
        <v>-5.5</v>
      </c>
      <c r="W13" s="55">
        <f>IF($T13="","",ROUND(($T13-$T$3)/1000,1)+(_xlfn.RANK.AVG($T13,($J13,$O13,$T13),1)-2)*10)</f>
        <v>25.4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86</v>
      </c>
      <c r="BA13" s="41" t="s">
        <v>104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tr">
        <f>IF($K$1="","",$K$1)</f>
        <v>だいち</v>
      </c>
      <c r="F14" s="8" t="s">
        <v>196</v>
      </c>
      <c r="G14" s="9">
        <v>-2000</v>
      </c>
      <c r="H14" s="9">
        <v>-1000</v>
      </c>
      <c r="I14" s="48">
        <v>-1500</v>
      </c>
      <c r="J14" s="21">
        <f t="shared" si="2"/>
        <v>20600</v>
      </c>
      <c r="K14" s="8" t="s">
        <v>197</v>
      </c>
      <c r="L14" s="9">
        <v>4000</v>
      </c>
      <c r="M14" s="9">
        <v>1000</v>
      </c>
      <c r="N14" s="48">
        <v>3000</v>
      </c>
      <c r="O14" s="21">
        <f t="shared" si="3"/>
        <v>37500</v>
      </c>
      <c r="P14" s="8" t="s">
        <v>196</v>
      </c>
      <c r="Q14" s="9">
        <v>-2000</v>
      </c>
      <c r="R14" s="9"/>
      <c r="S14" s="48">
        <v>-1500</v>
      </c>
      <c r="T14" s="21">
        <f t="shared" si="4"/>
        <v>46900</v>
      </c>
      <c r="U14" s="53">
        <f>IF($J14="","",ROUND(($J14-$J$3)/1000,1)+(_xlfn.RANK.AVG($J14,($J14,$O14,$T14),1)-2)*10)</f>
        <v>-24.4</v>
      </c>
      <c r="V14" s="54">
        <f>IF($O14="","",ROUND(($O14-$O$3)/1000,1)+(_xlfn.RANK.AVG($O14,($J14,$O14,$T14),1)-2)*10)</f>
        <v>2.5</v>
      </c>
      <c r="W14" s="55">
        <f>IF($T14="","",ROUND(($T14-$T$3)/1000,1)+(_xlfn.RANK.AVG($T14,($J14,$O14,$T14),1)-2)*10)</f>
        <v>21.9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3</v>
      </c>
      <c r="AY14" s="30">
        <v>20</v>
      </c>
      <c r="AZ14" s="40" t="s">
        <v>199</v>
      </c>
      <c r="BA14" s="41" t="s">
        <v>82</v>
      </c>
      <c r="BB14" s="41" t="s">
        <v>83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4</v>
      </c>
      <c r="D15" s="18">
        <f t="shared" si="1"/>
        <v>0</v>
      </c>
      <c r="E15" s="4" t="str">
        <f>IF($K$1="","",$K$1)</f>
        <v>だいち</v>
      </c>
      <c r="F15" s="8" t="s">
        <v>204</v>
      </c>
      <c r="G15" s="9">
        <v>-1500</v>
      </c>
      <c r="H15" s="9"/>
      <c r="I15" s="48"/>
      <c r="J15" s="21">
        <f t="shared" si="2"/>
        <v>19100</v>
      </c>
      <c r="K15" s="8" t="s">
        <v>204</v>
      </c>
      <c r="L15" s="9">
        <v>-1500</v>
      </c>
      <c r="M15" s="9"/>
      <c r="N15" s="48"/>
      <c r="O15" s="21">
        <f t="shared" si="3"/>
        <v>36000</v>
      </c>
      <c r="P15" s="8" t="s">
        <v>204</v>
      </c>
      <c r="Q15" s="9">
        <v>3000</v>
      </c>
      <c r="R15" s="9"/>
      <c r="S15" s="48"/>
      <c r="T15" s="21">
        <f t="shared" si="4"/>
        <v>49900</v>
      </c>
      <c r="U15" s="53">
        <f>IF($J15="","",ROUND(($J15-$J$3)/1000,1)+(_xlfn.RANK.AVG($J15,($J15,$O15,$T15),1)-2)*10)</f>
        <v>-25.9</v>
      </c>
      <c r="V15" s="54">
        <f>IF($O15="","",ROUND(($O15-$O$3)/1000,1)+(_xlfn.RANK.AVG($O15,($J15,$O15,$T15),1)-2)*10)</f>
        <v>1</v>
      </c>
      <c r="W15" s="55">
        <f>IF($T15="","",ROUND(($T15-$T$3)/1000,1)+(_xlfn.RANK.AVG($T15,($J15,$O15,$T15),1)-2)*10)</f>
        <v>24.9</v>
      </c>
      <c r="Y15" s="8" t="s">
        <v>202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202</v>
      </c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201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5</v>
      </c>
      <c r="D16" s="18">
        <f t="shared" si="1"/>
        <v>0</v>
      </c>
      <c r="E16" s="4" t="str">
        <f>IF($P$1="","",$P$1)</f>
        <v>れんたろう</v>
      </c>
      <c r="F16" s="8" t="s">
        <v>194</v>
      </c>
      <c r="G16" s="9">
        <v>8000</v>
      </c>
      <c r="H16" s="9"/>
      <c r="I16" s="48">
        <v>5000</v>
      </c>
      <c r="J16" s="21">
        <f t="shared" si="2"/>
        <v>32100</v>
      </c>
      <c r="K16" s="8" t="s">
        <v>195</v>
      </c>
      <c r="L16" s="9">
        <v>-8000</v>
      </c>
      <c r="M16" s="9"/>
      <c r="N16" s="48">
        <v>-5000</v>
      </c>
      <c r="O16" s="21">
        <f t="shared" si="3"/>
        <v>23000</v>
      </c>
      <c r="P16" s="8"/>
      <c r="Q16" s="9"/>
      <c r="R16" s="9"/>
      <c r="S16" s="48"/>
      <c r="T16" s="21">
        <f t="shared" si="4"/>
        <v>49900</v>
      </c>
      <c r="U16" s="53">
        <f>IF($J16="","",ROUND(($J16-$J$3)/1000,1)+(_xlfn.RANK.AVG($J16,($J16,$O16,$T16),1)-2)*10)</f>
        <v>-2.9</v>
      </c>
      <c r="V16" s="54">
        <f>IF($O16="","",ROUND(($O16-$O$3)/1000,1)+(_xlfn.RANK.AVG($O16,($J16,$O16,$T16),1)-2)*10)</f>
        <v>-22</v>
      </c>
      <c r="W16" s="55">
        <f>IF($T16="","",ROUND(($T16-$T$3)/1000,1)+(_xlfn.RANK.AVG($T16,($J16,$O16,$T16),1)-2)*10)</f>
        <v>24.9</v>
      </c>
      <c r="Y16" s="8"/>
      <c r="Z16" s="34"/>
      <c r="AA16" s="26">
        <v>1</v>
      </c>
      <c r="AB16" s="26"/>
      <c r="AC16" s="26">
        <v>5</v>
      </c>
      <c r="AD16" s="30" t="s">
        <v>198</v>
      </c>
      <c r="AE16" s="40" t="s">
        <v>199</v>
      </c>
      <c r="AF16" s="41" t="s">
        <v>205</v>
      </c>
      <c r="AG16" s="41" t="s">
        <v>83</v>
      </c>
      <c r="AH16" s="41" t="s">
        <v>200</v>
      </c>
      <c r="AI16" s="41" t="s">
        <v>79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tr">
        <f>IF($F$1="","",$F$1)</f>
        <v>いちかわ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9C84E5C-2218-4662-95D8-48E1FDC9BB0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EB11A230-6A96-474B-9453-E81121700BDC}">
      <formula1>"ロン,ツモ,放銃,ツモ支払,流局,チョンボ"</formula1>
    </dataValidation>
    <dataValidation type="list" allowBlank="1" showInputMessage="1" showErrorMessage="1" sqref="E4:E30" xr:uid="{0AA34258-EEDE-4D86-88B3-C7EDD7D4E1B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2020-12-14T09:28:56Z</dcterms:modified>
</cp:coreProperties>
</file>