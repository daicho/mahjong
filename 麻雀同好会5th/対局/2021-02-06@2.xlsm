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325FB6C1-4D66-4F41-A093-1507D5F6335E}" xr6:coauthVersionLast="45" xr6:coauthVersionMax="45" xr10:uidLastSave="{00000000-0000-0000-0000-000000000000}"/>
  <bookViews>
    <workbookView xWindow="-120" yWindow="-120" windowWidth="29040" windowHeight="15990" activeTab="7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Sheet8" sheetId="26" r:id="rId8"/>
    <sheet name="役一覧" sheetId="15" state="hidden" r:id="rId9"/>
    <sheet name="点数表(親ロン)" sheetId="4" state="hidden" r:id="rId10"/>
    <sheet name="点数表(親ツモ)" sheetId="9" state="hidden" r:id="rId11"/>
    <sheet name="点数表(子→親)" sheetId="7" state="hidden" r:id="rId12"/>
    <sheet name="点数表(子ロン)" sheetId="3" state="hidden" r:id="rId13"/>
    <sheet name="点数表(子ツモ)" sheetId="10" state="hidden" r:id="rId14"/>
    <sheet name="点数表(子→子)" sheetId="5" state="hidden" r:id="rId15"/>
    <sheet name="点数表(親→子)" sheetId="6" state="hidden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2" i="26" l="1"/>
  <c r="E11" i="26"/>
  <c r="E10" i="26"/>
  <c r="E9" i="26"/>
  <c r="E8" i="26"/>
  <c r="E7" i="26"/>
  <c r="E6" i="26"/>
  <c r="E5" i="26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/>
  <c r="T14" i="26"/>
  <c r="W14" i="26" s="1"/>
  <c r="O14" i="26"/>
  <c r="V14" i="26" s="1"/>
  <c r="J14" i="26"/>
  <c r="U14" i="26" s="1"/>
  <c r="D14" i="26"/>
  <c r="C14" i="26"/>
  <c r="B14" i="26"/>
  <c r="A14" i="26"/>
  <c r="T13" i="26"/>
  <c r="W13" i="26" s="1"/>
  <c r="O13" i="26"/>
  <c r="V13" i="26" s="1"/>
  <c r="J13" i="26"/>
  <c r="U13" i="26" s="1"/>
  <c r="D13" i="26"/>
  <c r="C13" i="26"/>
  <c r="B13" i="26"/>
  <c r="A13" i="26"/>
  <c r="T12" i="26"/>
  <c r="W12" i="26" s="1"/>
  <c r="O12" i="26"/>
  <c r="V12" i="26" s="1"/>
  <c r="J12" i="26"/>
  <c r="U12" i="26" s="1"/>
  <c r="D12" i="26"/>
  <c r="C12" i="26"/>
  <c r="B12" i="26"/>
  <c r="A12" i="26"/>
  <c r="T11" i="26"/>
  <c r="O11" i="26"/>
  <c r="V11" i="26" s="1"/>
  <c r="J11" i="26"/>
  <c r="U11" i="26" s="1"/>
  <c r="D11" i="26"/>
  <c r="C11" i="26"/>
  <c r="B11" i="26"/>
  <c r="A11" i="26" s="1"/>
  <c r="T10" i="26"/>
  <c r="O10" i="26"/>
  <c r="J10" i="26"/>
  <c r="U10" i="26" s="1"/>
  <c r="D10" i="26"/>
  <c r="C10" i="26"/>
  <c r="B10" i="26"/>
  <c r="A10" i="26" s="1"/>
  <c r="C9" i="26"/>
  <c r="D9" i="26"/>
  <c r="D8" i="26"/>
  <c r="C8" i="26"/>
  <c r="T5" i="26"/>
  <c r="T6" i="26" s="1"/>
  <c r="B5" i="26"/>
  <c r="A5" i="26" s="1"/>
  <c r="D5" i="26"/>
  <c r="C5" i="26"/>
  <c r="T4" i="26"/>
  <c r="O4" i="26"/>
  <c r="O5" i="26" s="1"/>
  <c r="J4" i="26"/>
  <c r="J5" i="26" s="1"/>
  <c r="E4" i="26"/>
  <c r="W3" i="26"/>
  <c r="V3" i="26"/>
  <c r="U3" i="26"/>
  <c r="W2" i="26"/>
  <c r="V2" i="26"/>
  <c r="U2" i="26"/>
  <c r="BO1" i="26"/>
  <c r="AT1" i="26"/>
  <c r="Y1" i="26"/>
  <c r="W11" i="26" l="1"/>
  <c r="V10" i="26"/>
  <c r="W10" i="26"/>
  <c r="W4" i="26"/>
  <c r="J6" i="26"/>
  <c r="U5" i="26"/>
  <c r="O6" i="26"/>
  <c r="W6" i="26" s="1"/>
  <c r="V5" i="26"/>
  <c r="T7" i="26"/>
  <c r="D7" i="26"/>
  <c r="W5" i="26"/>
  <c r="B6" i="26"/>
  <c r="U4" i="26"/>
  <c r="C6" i="26"/>
  <c r="C7" i="26" s="1"/>
  <c r="V4" i="26"/>
  <c r="D6" i="26"/>
  <c r="B7" i="26" l="1"/>
  <c r="A6" i="26"/>
  <c r="T8" i="26"/>
  <c r="O7" i="26"/>
  <c r="V6" i="26"/>
  <c r="J7" i="26"/>
  <c r="U6" i="26"/>
  <c r="A7" i="26" l="1"/>
  <c r="J8" i="26"/>
  <c r="U7" i="26"/>
  <c r="O8" i="26"/>
  <c r="V7" i="26"/>
  <c r="W7" i="26"/>
  <c r="T9" i="26"/>
  <c r="B8" i="26"/>
  <c r="A8" i="26" s="1"/>
  <c r="O9" i="26" l="1"/>
  <c r="V8" i="26"/>
  <c r="J9" i="26"/>
  <c r="U9" i="26" s="1"/>
  <c r="U8" i="26"/>
  <c r="W8" i="26"/>
  <c r="B9" i="26"/>
  <c r="A9" i="26" s="1"/>
  <c r="V9" i="26" l="1"/>
  <c r="W9" i="26"/>
  <c r="D10" i="25" l="1"/>
  <c r="E9" i="25"/>
  <c r="E8" i="25"/>
  <c r="E7" i="25"/>
  <c r="E6" i="25"/>
  <c r="E5" i="25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/>
  <c r="T13" i="25"/>
  <c r="W13" i="25" s="1"/>
  <c r="O13" i="25"/>
  <c r="V13" i="25" s="1"/>
  <c r="J13" i="25"/>
  <c r="U13" i="25" s="1"/>
  <c r="D13" i="25"/>
  <c r="C13" i="25"/>
  <c r="B13" i="25"/>
  <c r="A13" i="25"/>
  <c r="T12" i="25"/>
  <c r="W12" i="25" s="1"/>
  <c r="O12" i="25"/>
  <c r="V12" i="25" s="1"/>
  <c r="J12" i="25"/>
  <c r="U12" i="25" s="1"/>
  <c r="D12" i="25"/>
  <c r="C12" i="25"/>
  <c r="B12" i="25"/>
  <c r="A12" i="25"/>
  <c r="D11" i="25"/>
  <c r="C11" i="25"/>
  <c r="D8" i="25"/>
  <c r="O7" i="25"/>
  <c r="O8" i="25" s="1"/>
  <c r="D7" i="25"/>
  <c r="C7" i="25"/>
  <c r="O6" i="25"/>
  <c r="J6" i="25"/>
  <c r="J7" i="25" s="1"/>
  <c r="D6" i="25"/>
  <c r="O5" i="25"/>
  <c r="J5" i="25"/>
  <c r="B5" i="25"/>
  <c r="T4" i="25"/>
  <c r="T5" i="25" s="1"/>
  <c r="O4" i="25"/>
  <c r="J4" i="25"/>
  <c r="E4" i="25"/>
  <c r="W3" i="25"/>
  <c r="V3" i="25"/>
  <c r="U3" i="25"/>
  <c r="W2" i="25"/>
  <c r="V2" i="25"/>
  <c r="U2" i="25"/>
  <c r="BO1" i="25"/>
  <c r="AT1" i="25"/>
  <c r="Y1" i="25"/>
  <c r="E11" i="24"/>
  <c r="E10" i="24"/>
  <c r="E9" i="24"/>
  <c r="E8" i="24"/>
  <c r="E7" i="24"/>
  <c r="E6" i="24"/>
  <c r="B7" i="25" l="1"/>
  <c r="O9" i="25"/>
  <c r="T6" i="25"/>
  <c r="W5" i="25"/>
  <c r="V5" i="25"/>
  <c r="J8" i="25"/>
  <c r="U5" i="25"/>
  <c r="C10" i="25"/>
  <c r="C5" i="25"/>
  <c r="D5" i="25"/>
  <c r="C8" i="25"/>
  <c r="U4" i="25"/>
  <c r="C6" i="25"/>
  <c r="V4" i="25"/>
  <c r="C9" i="25"/>
  <c r="W4" i="25"/>
  <c r="D9" i="25"/>
  <c r="A5" i="25"/>
  <c r="B6" i="25"/>
  <c r="A6" i="25" s="1"/>
  <c r="A7" i="25" s="1"/>
  <c r="E5" i="24"/>
  <c r="C5" i="24" s="1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/>
  <c r="T12" i="24"/>
  <c r="W12" i="24" s="1"/>
  <c r="O12" i="24"/>
  <c r="V12" i="24" s="1"/>
  <c r="J12" i="24"/>
  <c r="U12" i="24" s="1"/>
  <c r="D12" i="24"/>
  <c r="C12" i="24"/>
  <c r="B12" i="24"/>
  <c r="A12" i="24" s="1"/>
  <c r="D10" i="24"/>
  <c r="D9" i="24"/>
  <c r="D8" i="24"/>
  <c r="D7" i="24"/>
  <c r="D6" i="24"/>
  <c r="O5" i="24"/>
  <c r="O6" i="24" s="1"/>
  <c r="J5" i="24"/>
  <c r="J6" i="24" s="1"/>
  <c r="T4" i="24"/>
  <c r="O4" i="24"/>
  <c r="J4" i="24"/>
  <c r="E4" i="24"/>
  <c r="W3" i="24"/>
  <c r="V3" i="24"/>
  <c r="U3" i="24"/>
  <c r="W2" i="24"/>
  <c r="V2" i="24"/>
  <c r="U2" i="24"/>
  <c r="BO1" i="24"/>
  <c r="AT1" i="24"/>
  <c r="Y1" i="24"/>
  <c r="J9" i="25" l="1"/>
  <c r="O10" i="25"/>
  <c r="B8" i="25"/>
  <c r="A8" i="25" s="1"/>
  <c r="V6" i="25"/>
  <c r="T7" i="25"/>
  <c r="W6" i="25"/>
  <c r="U6" i="25"/>
  <c r="V4" i="24"/>
  <c r="O7" i="24"/>
  <c r="C7" i="24"/>
  <c r="C8" i="24" s="1"/>
  <c r="J7" i="24"/>
  <c r="D5" i="24"/>
  <c r="D11" i="24"/>
  <c r="U4" i="24"/>
  <c r="C9" i="24"/>
  <c r="C10" i="24" s="1"/>
  <c r="C11" i="24" s="1"/>
  <c r="C6" i="24"/>
  <c r="W4" i="24"/>
  <c r="T5" i="24"/>
  <c r="B7" i="24"/>
  <c r="B8" i="24" s="1"/>
  <c r="B5" i="24"/>
  <c r="B6" i="24"/>
  <c r="E11" i="23"/>
  <c r="E10" i="23"/>
  <c r="E9" i="23"/>
  <c r="E8" i="23"/>
  <c r="J10" i="25" l="1"/>
  <c r="T8" i="25"/>
  <c r="W7" i="25"/>
  <c r="U7" i="25"/>
  <c r="V7" i="25"/>
  <c r="B9" i="25"/>
  <c r="A9" i="25" s="1"/>
  <c r="O11" i="25"/>
  <c r="B9" i="24"/>
  <c r="A6" i="24"/>
  <c r="T6" i="24"/>
  <c r="W5" i="24"/>
  <c r="J8" i="24"/>
  <c r="V5" i="24"/>
  <c r="U5" i="24"/>
  <c r="O8" i="24"/>
  <c r="A5" i="24"/>
  <c r="E7" i="23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D12" i="23"/>
  <c r="C10" i="23"/>
  <c r="C8" i="23"/>
  <c r="C9" i="23" s="1"/>
  <c r="T6" i="23"/>
  <c r="T7" i="23" s="1"/>
  <c r="D6" i="23"/>
  <c r="T5" i="23"/>
  <c r="O5" i="23"/>
  <c r="O6" i="23" s="1"/>
  <c r="D5" i="23"/>
  <c r="C5" i="23"/>
  <c r="T4" i="23"/>
  <c r="O4" i="23"/>
  <c r="J4" i="23"/>
  <c r="E4" i="23"/>
  <c r="B5" i="23" s="1"/>
  <c r="W3" i="23"/>
  <c r="V3" i="23"/>
  <c r="U3" i="23"/>
  <c r="W2" i="23"/>
  <c r="V2" i="23"/>
  <c r="U2" i="23"/>
  <c r="BO1" i="23"/>
  <c r="AT1" i="23"/>
  <c r="Y1" i="23"/>
  <c r="E12" i="22"/>
  <c r="E11" i="22"/>
  <c r="E10" i="22"/>
  <c r="E9" i="22"/>
  <c r="E8" i="22"/>
  <c r="C8" i="22" s="1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 s="1"/>
  <c r="T12" i="22"/>
  <c r="O12" i="22"/>
  <c r="J12" i="22"/>
  <c r="D12" i="22"/>
  <c r="C12" i="22"/>
  <c r="B12" i="22"/>
  <c r="A12" i="22" s="1"/>
  <c r="T11" i="22"/>
  <c r="O11" i="22"/>
  <c r="J11" i="22"/>
  <c r="U11" i="22" s="1"/>
  <c r="D11" i="22"/>
  <c r="C11" i="22"/>
  <c r="B11" i="22"/>
  <c r="A11" i="22" s="1"/>
  <c r="C10" i="22"/>
  <c r="C9" i="22"/>
  <c r="D9" i="22"/>
  <c r="D8" i="22"/>
  <c r="D7" i="22"/>
  <c r="D6" i="22"/>
  <c r="B5" i="22"/>
  <c r="D5" i="22"/>
  <c r="T4" i="22"/>
  <c r="T5" i="22" s="1"/>
  <c r="T6" i="22" s="1"/>
  <c r="O4" i="22"/>
  <c r="O5" i="22" s="1"/>
  <c r="J4" i="22"/>
  <c r="J5" i="22" s="1"/>
  <c r="E4" i="22"/>
  <c r="W3" i="22"/>
  <c r="V3" i="22"/>
  <c r="U3" i="22"/>
  <c r="W2" i="22"/>
  <c r="V2" i="22"/>
  <c r="U2" i="22"/>
  <c r="BO1" i="22"/>
  <c r="AT1" i="22"/>
  <c r="Y1" i="22"/>
  <c r="E10" i="21"/>
  <c r="C10" i="21" s="1"/>
  <c r="E9" i="21"/>
  <c r="E8" i="21"/>
  <c r="C8" i="21" s="1"/>
  <c r="E7" i="21"/>
  <c r="E6" i="21"/>
  <c r="D6" i="21" s="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D13" i="21"/>
  <c r="C12" i="21"/>
  <c r="D12" i="21"/>
  <c r="D11" i="21"/>
  <c r="C11" i="21"/>
  <c r="D7" i="21"/>
  <c r="J6" i="21"/>
  <c r="J7" i="21" s="1"/>
  <c r="O5" i="21"/>
  <c r="J5" i="21"/>
  <c r="D5" i="21"/>
  <c r="T4" i="21"/>
  <c r="T5" i="21" s="1"/>
  <c r="O4" i="21"/>
  <c r="J4" i="21"/>
  <c r="E4" i="21"/>
  <c r="W3" i="21"/>
  <c r="V3" i="21"/>
  <c r="U3" i="21"/>
  <c r="W2" i="21"/>
  <c r="V2" i="21"/>
  <c r="U2" i="21"/>
  <c r="BO1" i="21"/>
  <c r="AT1" i="21"/>
  <c r="Y1" i="21"/>
  <c r="T9" i="25" l="1"/>
  <c r="W8" i="25"/>
  <c r="V8" i="25"/>
  <c r="U8" i="25"/>
  <c r="J11" i="25"/>
  <c r="B10" i="25"/>
  <c r="A10" i="25" s="1"/>
  <c r="A7" i="24"/>
  <c r="B10" i="24"/>
  <c r="A10" i="24" s="1"/>
  <c r="A9" i="24"/>
  <c r="J9" i="24"/>
  <c r="O9" i="24"/>
  <c r="W6" i="24"/>
  <c r="T7" i="24"/>
  <c r="V6" i="24"/>
  <c r="U6" i="24"/>
  <c r="W4" i="23"/>
  <c r="V4" i="23"/>
  <c r="T8" i="23"/>
  <c r="A5" i="23"/>
  <c r="O7" i="23"/>
  <c r="B6" i="23"/>
  <c r="D8" i="23"/>
  <c r="D9" i="23" s="1"/>
  <c r="D10" i="23" s="1"/>
  <c r="C11" i="23"/>
  <c r="U4" i="23"/>
  <c r="J5" i="23"/>
  <c r="C6" i="23"/>
  <c r="D11" i="23"/>
  <c r="C12" i="23"/>
  <c r="C7" i="23"/>
  <c r="V5" i="23"/>
  <c r="D7" i="23"/>
  <c r="U12" i="22"/>
  <c r="W12" i="22"/>
  <c r="V12" i="22"/>
  <c r="V11" i="22"/>
  <c r="W11" i="22"/>
  <c r="W4" i="22"/>
  <c r="J6" i="22"/>
  <c r="W6" i="22" s="1"/>
  <c r="U5" i="22"/>
  <c r="T7" i="22"/>
  <c r="O6" i="22"/>
  <c r="V5" i="22"/>
  <c r="C5" i="22"/>
  <c r="W5" i="22"/>
  <c r="B8" i="22"/>
  <c r="D10" i="22"/>
  <c r="B6" i="22"/>
  <c r="B7" i="22" s="1"/>
  <c r="U4" i="22"/>
  <c r="C6" i="22"/>
  <c r="V4" i="22"/>
  <c r="A5" i="22"/>
  <c r="C7" i="22"/>
  <c r="D10" i="21"/>
  <c r="D8" i="21"/>
  <c r="T6" i="21"/>
  <c r="W5" i="21"/>
  <c r="U5" i="21"/>
  <c r="J8" i="21"/>
  <c r="V5" i="21"/>
  <c r="U4" i="21"/>
  <c r="C6" i="21"/>
  <c r="C7" i="21" s="1"/>
  <c r="V4" i="21"/>
  <c r="C9" i="21"/>
  <c r="W4" i="21"/>
  <c r="D9" i="21"/>
  <c r="B5" i="21"/>
  <c r="O6" i="21"/>
  <c r="C5" i="21"/>
  <c r="C13" i="21"/>
  <c r="U6" i="21"/>
  <c r="E13" i="20"/>
  <c r="E12" i="20"/>
  <c r="E11" i="20"/>
  <c r="E10" i="20"/>
  <c r="E9" i="20"/>
  <c r="E8" i="20"/>
  <c r="E7" i="20"/>
  <c r="B11" i="25" l="1"/>
  <c r="A11" i="25"/>
  <c r="W9" i="25"/>
  <c r="T10" i="25"/>
  <c r="U9" i="25"/>
  <c r="V9" i="25"/>
  <c r="A8" i="24"/>
  <c r="T8" i="24"/>
  <c r="W7" i="24"/>
  <c r="V7" i="24"/>
  <c r="U7" i="24"/>
  <c r="O10" i="24"/>
  <c r="J10" i="24"/>
  <c r="A11" i="24"/>
  <c r="B11" i="24"/>
  <c r="O8" i="23"/>
  <c r="J6" i="23"/>
  <c r="U5" i="23"/>
  <c r="W5" i="23"/>
  <c r="B7" i="23"/>
  <c r="T9" i="23"/>
  <c r="A6" i="23"/>
  <c r="A8" i="22"/>
  <c r="B9" i="22"/>
  <c r="A6" i="22"/>
  <c r="A7" i="22" s="1"/>
  <c r="O7" i="22"/>
  <c r="V6" i="22"/>
  <c r="T8" i="22"/>
  <c r="U6" i="22"/>
  <c r="J7" i="22"/>
  <c r="W7" i="22" s="1"/>
  <c r="T7" i="21"/>
  <c r="W6" i="21"/>
  <c r="O7" i="21"/>
  <c r="V6" i="21"/>
  <c r="A5" i="21"/>
  <c r="J9" i="21"/>
  <c r="B6" i="21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T13" i="20"/>
  <c r="O13" i="20"/>
  <c r="J13" i="20"/>
  <c r="U13" i="20" s="1"/>
  <c r="D13" i="20"/>
  <c r="C13" i="20"/>
  <c r="B13" i="20"/>
  <c r="A13" i="20" s="1"/>
  <c r="D12" i="20"/>
  <c r="C11" i="20"/>
  <c r="D11" i="20"/>
  <c r="D10" i="20"/>
  <c r="C10" i="20"/>
  <c r="D9" i="20"/>
  <c r="C9" i="20"/>
  <c r="T7" i="20"/>
  <c r="T8" i="20" s="1"/>
  <c r="C7" i="20"/>
  <c r="D7" i="20"/>
  <c r="T6" i="20"/>
  <c r="O6" i="20"/>
  <c r="O7" i="20" s="1"/>
  <c r="D6" i="20"/>
  <c r="T5" i="20"/>
  <c r="O5" i="20"/>
  <c r="V5" i="20" s="1"/>
  <c r="J5" i="20"/>
  <c r="D5" i="20"/>
  <c r="T4" i="20"/>
  <c r="O4" i="20"/>
  <c r="J4" i="20"/>
  <c r="E4" i="20"/>
  <c r="C5" i="20" s="1"/>
  <c r="C6" i="20" s="1"/>
  <c r="W3" i="20"/>
  <c r="V3" i="20"/>
  <c r="U3" i="20"/>
  <c r="W2" i="20"/>
  <c r="V2" i="20"/>
  <c r="U2" i="20"/>
  <c r="BO1" i="20"/>
  <c r="AT1" i="20"/>
  <c r="Y1" i="20"/>
  <c r="E12" i="19"/>
  <c r="E11" i="19"/>
  <c r="W10" i="25" l="1"/>
  <c r="T11" i="25"/>
  <c r="V10" i="25"/>
  <c r="U10" i="25"/>
  <c r="T9" i="24"/>
  <c r="W8" i="24"/>
  <c r="U8" i="24"/>
  <c r="V8" i="24"/>
  <c r="J11" i="24"/>
  <c r="O11" i="24"/>
  <c r="T10" i="23"/>
  <c r="B8" i="23"/>
  <c r="U6" i="23"/>
  <c r="J7" i="23"/>
  <c r="W6" i="23"/>
  <c r="V6" i="23"/>
  <c r="O9" i="23"/>
  <c r="A7" i="23"/>
  <c r="T9" i="22"/>
  <c r="O8" i="22"/>
  <c r="V7" i="22"/>
  <c r="B10" i="22"/>
  <c r="J8" i="22"/>
  <c r="U7" i="22"/>
  <c r="A9" i="22"/>
  <c r="B7" i="21"/>
  <c r="A7" i="21" s="1"/>
  <c r="A6" i="21"/>
  <c r="J10" i="21"/>
  <c r="O8" i="21"/>
  <c r="V7" i="21"/>
  <c r="U7" i="21"/>
  <c r="T8" i="21"/>
  <c r="W7" i="21"/>
  <c r="V13" i="20"/>
  <c r="W13" i="20"/>
  <c r="U4" i="20"/>
  <c r="V4" i="20"/>
  <c r="W5" i="20"/>
  <c r="W4" i="20"/>
  <c r="T9" i="20"/>
  <c r="O8" i="20"/>
  <c r="B5" i="20"/>
  <c r="A5" i="20" s="1"/>
  <c r="C8" i="20"/>
  <c r="B6" i="20"/>
  <c r="D8" i="20"/>
  <c r="B7" i="20"/>
  <c r="C12" i="20"/>
  <c r="U5" i="20"/>
  <c r="J6" i="20"/>
  <c r="V6" i="20" s="1"/>
  <c r="W11" i="25" l="1"/>
  <c r="V11" i="25"/>
  <c r="U11" i="25"/>
  <c r="T10" i="24"/>
  <c r="W9" i="24"/>
  <c r="V9" i="24"/>
  <c r="U9" i="24"/>
  <c r="B9" i="23"/>
  <c r="O10" i="23"/>
  <c r="T11" i="23"/>
  <c r="J8" i="23"/>
  <c r="U7" i="23"/>
  <c r="W7" i="23"/>
  <c r="V7" i="23"/>
  <c r="A8" i="23"/>
  <c r="A10" i="22"/>
  <c r="T10" i="22"/>
  <c r="J9" i="22"/>
  <c r="U8" i="22"/>
  <c r="O9" i="22"/>
  <c r="V8" i="22"/>
  <c r="W8" i="22"/>
  <c r="T9" i="21"/>
  <c r="W8" i="21"/>
  <c r="O9" i="21"/>
  <c r="V8" i="21"/>
  <c r="U8" i="21"/>
  <c r="J11" i="21"/>
  <c r="B8" i="21"/>
  <c r="A8" i="21" s="1"/>
  <c r="B8" i="20"/>
  <c r="T10" i="20"/>
  <c r="U6" i="20"/>
  <c r="J7" i="20"/>
  <c r="W6" i="20"/>
  <c r="O9" i="20"/>
  <c r="A6" i="20"/>
  <c r="A7" i="20" s="1"/>
  <c r="W10" i="24" l="1"/>
  <c r="T11" i="24"/>
  <c r="V10" i="24"/>
  <c r="U10" i="24"/>
  <c r="O11" i="23"/>
  <c r="B10" i="23"/>
  <c r="A10" i="23" s="1"/>
  <c r="A9" i="23"/>
  <c r="J9" i="23"/>
  <c r="U8" i="23"/>
  <c r="W8" i="23"/>
  <c r="V8" i="23"/>
  <c r="T12" i="23"/>
  <c r="W9" i="22"/>
  <c r="O10" i="22"/>
  <c r="V10" i="22" s="1"/>
  <c r="V9" i="22"/>
  <c r="U9" i="22"/>
  <c r="J10" i="22"/>
  <c r="U10" i="22" s="1"/>
  <c r="T10" i="21"/>
  <c r="W9" i="21"/>
  <c r="B9" i="21"/>
  <c r="A9" i="21" s="1"/>
  <c r="J12" i="21"/>
  <c r="O10" i="21"/>
  <c r="V9" i="21"/>
  <c r="U9" i="21"/>
  <c r="A8" i="20"/>
  <c r="O10" i="20"/>
  <c r="J8" i="20"/>
  <c r="U7" i="20"/>
  <c r="V7" i="20"/>
  <c r="W7" i="20"/>
  <c r="T11" i="20"/>
  <c r="B9" i="20"/>
  <c r="W11" i="24" l="1"/>
  <c r="U11" i="24"/>
  <c r="V11" i="24"/>
  <c r="J10" i="23"/>
  <c r="U9" i="23"/>
  <c r="W9" i="23"/>
  <c r="V9" i="23"/>
  <c r="B11" i="23"/>
  <c r="A11" i="23" s="1"/>
  <c r="O12" i="23"/>
  <c r="W10" i="22"/>
  <c r="T11" i="21"/>
  <c r="W10" i="21"/>
  <c r="V10" i="21"/>
  <c r="O11" i="21"/>
  <c r="U10" i="21"/>
  <c r="J13" i="21"/>
  <c r="B10" i="21"/>
  <c r="A10" i="21" s="1"/>
  <c r="O11" i="20"/>
  <c r="T12" i="20"/>
  <c r="B10" i="20"/>
  <c r="A9" i="20"/>
  <c r="U8" i="20"/>
  <c r="J9" i="20"/>
  <c r="W8" i="20"/>
  <c r="V8" i="20"/>
  <c r="U10" i="23" l="1"/>
  <c r="J11" i="23"/>
  <c r="W10" i="23"/>
  <c r="V10" i="23"/>
  <c r="B12" i="23"/>
  <c r="A12" i="23" s="1"/>
  <c r="W11" i="21"/>
  <c r="T12" i="21"/>
  <c r="B11" i="21"/>
  <c r="O12" i="21"/>
  <c r="V11" i="21"/>
  <c r="U11" i="21"/>
  <c r="O12" i="20"/>
  <c r="B11" i="20"/>
  <c r="A10" i="20"/>
  <c r="J10" i="20"/>
  <c r="U9" i="20"/>
  <c r="W9" i="20"/>
  <c r="V9" i="20"/>
  <c r="J12" i="23" l="1"/>
  <c r="U11" i="23"/>
  <c r="W11" i="23"/>
  <c r="V11" i="23"/>
  <c r="O13" i="21"/>
  <c r="V12" i="21"/>
  <c r="U12" i="21"/>
  <c r="B12" i="21"/>
  <c r="A11" i="21"/>
  <c r="T13" i="21"/>
  <c r="W13" i="21" s="1"/>
  <c r="W12" i="21"/>
  <c r="A11" i="20"/>
  <c r="U10" i="20"/>
  <c r="J11" i="20"/>
  <c r="W10" i="20"/>
  <c r="V10" i="20"/>
  <c r="B12" i="20"/>
  <c r="A12" i="20" s="1"/>
  <c r="U12" i="23" l="1"/>
  <c r="W12" i="23"/>
  <c r="V12" i="23"/>
  <c r="B13" i="21"/>
  <c r="A12" i="21"/>
  <c r="A13" i="21" s="1"/>
  <c r="V13" i="21"/>
  <c r="U13" i="21"/>
  <c r="U11" i="20"/>
  <c r="J12" i="20"/>
  <c r="W11" i="20"/>
  <c r="V11" i="20"/>
  <c r="U12" i="20" l="1"/>
  <c r="W12" i="20"/>
  <c r="V12" i="20"/>
  <c r="E10" i="19" l="1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W12" i="19" s="1"/>
  <c r="O12" i="19"/>
  <c r="V12" i="19" s="1"/>
  <c r="J12" i="19"/>
  <c r="D12" i="19"/>
  <c r="C12" i="19"/>
  <c r="B12" i="19"/>
  <c r="A12" i="19" s="1"/>
  <c r="T11" i="19"/>
  <c r="W11" i="19" s="1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U12" i="19" l="1"/>
  <c r="U11" i="19"/>
  <c r="V11" i="19"/>
  <c r="U10" i="19"/>
  <c r="V9" i="19"/>
  <c r="U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<sst xmlns="http://schemas.openxmlformats.org/spreadsheetml/2006/main" count="1325" uniqueCount="210">
  <si>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</si>
  <si>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</si>
  <si>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</si>
  <si>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</si>
  <si>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</si>
  <si>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</si>
  <si>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</si>
  <si>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</si>
  <si>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</si>
  <si>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</si>
  <si>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</si>
  <si>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</si>
  <si>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</si>
  <si>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</si>
  <si>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</si>
  <si>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</si>
  <si>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</si>
  <si>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</si>
  <si>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</si>
  <si>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</si>
  <si>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</si>
  <si>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</si>
  <si>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</si>
  <si>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</si>
  <si>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</si>
  <si>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</si>
  <si>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</si>
  <si>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</si>
  <si>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</si>
  <si>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</si>
  <si>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</si>
  <si>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</si>
  <si>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</si>
  <si>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</si>
  <si>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</si>
  <si>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</si>
  <si>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</si>
  <si>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</si>
  <si>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</si>
  <si>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</si>
  <si>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</si>
  <si>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</si>
  <si>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</si>
  <si>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</si>
  <si>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</si>
  <si>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</si>
  <si>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</si>
  <si>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</si>
  <si>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</si>
  <si>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</si>
  <si>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</si>
  <si>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</si>
  <si>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</si>
  <si>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</si>
  <si>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</si>
  <si>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</si>
  <si>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</si>
  <si>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</si>
  <si>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</si>
  <si>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</si>
  <si>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</si>
  <si>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</si>
  <si>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</si>
  <si>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</si>
  <si>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</si>
  <si>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</si>
  <si>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</si>
  <si>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</si>
  <si>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</si>
  <si>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</si>
  <si>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</si>
  <si>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</si>
  <si>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</si>
  <si>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</si>
  <si>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</si>
  <si>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</si>
  <si>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</si>
  <si>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</si>
  <si>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</si>
  <si>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</si>
  <si>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</si>
  <si>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</si>
  <si>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</si>
  <si>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</si>
  <si>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</si>
  <si>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</si>
  <si>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</si>
  <si>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</si>
  <si>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</si>
  <si>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</si>
  <si>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</si>
  <si>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</si>
  <si>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</si>
  <si>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</si>
  <si>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</si>
  <si>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</si>
  <si>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</si>
  <si>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</si>
  <si>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</si>
  <si>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</si>
  <si>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</si>
  <si>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</si>
  <si>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</si>
  <si>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</si>
  <si>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</si>
  <si>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</si>
  <si>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</si>
  <si>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</si>
  <si>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</si>
  <si>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</si>
  <si>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</si>
  <si>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</si>
  <si>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</si>
  <si>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</si>
  <si>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</si>
  <si>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</si>
  <si>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</si>
  <si>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</si>
  <si>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</si>
  <si>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</si>
  <si>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</si>
  <si>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</si>
  <si>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</si>
  <si>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</si>
  <si>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</si>
  <si>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</si>
  <si>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</si>
  <si>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</si>
  <si>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</si>
  <si>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</si>
  <si>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</si>
  <si>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</si>
  <si>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</si>
  <si>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</si>
  <si>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</si>
  <si>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</si>
  <si>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</si>
  <si>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</si>
  <si>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</si>
  <si>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</si>
  <si>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</si>
  <si>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</si>
  <si>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</si>
  <si>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</si>
  <si>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</si>
  <si>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</si>
  <si>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</si>
  <si>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</si>
  <si>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</si>
  <si>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</si>
  <si>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</si>
  <si>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</si>
  <si>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</si>
  <si>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</si>
  <si>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</si>
  <si>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</si>
  <si>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</si>
  <si>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</si>
  <si>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</si>
  <si>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</si>
  <si>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</si>
  <si>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</si>
  <si>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</si>
  <si>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</si>
  <si>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</si>
  <si>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</si>
  <si>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</si>
  <si>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</si>
  <si>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</si>
  <si>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</si>
  <si>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</si>
  <si>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</si>
  <si>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</si>
  <si>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</si>
  <si>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</si>
  <si>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</si>
  <si>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</si>
  <si>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</si>
  <si>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</si>
  <si>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</si>
  <si>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</si>
  <si>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</si>
  <si>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</si>
  <si>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</si>
  <si>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</si>
  <si>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</si>
  <si>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</si>
  <si>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</si>
  <si>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</si>
  <si>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</si>
  <si>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</si>
  <si>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いっしー</t>
    <phoneticPr fontId="1"/>
  </si>
  <si>
    <t>だいち</t>
    <phoneticPr fontId="1"/>
  </si>
  <si>
    <t>りくと</t>
    <phoneticPr fontId="1"/>
  </si>
  <si>
    <t>ロン</t>
  </si>
  <si>
    <t>放銃</t>
  </si>
  <si>
    <t>*</t>
  </si>
  <si>
    <t>N</t>
  </si>
  <si>
    <t>T</t>
  </si>
  <si>
    <t>流局</t>
    <phoneticPr fontId="1"/>
  </si>
  <si>
    <t>_</t>
    <phoneticPr fontId="1"/>
  </si>
  <si>
    <t>01</t>
  </si>
  <si>
    <t>ツモ支払</t>
  </si>
  <si>
    <t>ツモ</t>
  </si>
  <si>
    <t>流局</t>
    <phoneticPr fontId="1"/>
  </si>
  <si>
    <t>ただ</t>
    <phoneticPr fontId="1"/>
  </si>
  <si>
    <t>れんたろう</t>
    <phoneticPr fontId="1"/>
  </si>
  <si>
    <t>02</t>
  </si>
  <si>
    <t>チョンボ</t>
  </si>
  <si>
    <t>まっつん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</si>
</sst>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5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4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191</v>
      </c>
      <c r="G1" s="84"/>
      <c r="H1" s="84"/>
      <c r="I1" s="85"/>
      <c r="J1" s="86"/>
      <c r="K1" s="83" t="s">
        <v>192</v>
      </c>
      <c r="L1" s="84"/>
      <c r="M1" s="84"/>
      <c r="N1" s="85"/>
      <c r="O1" s="86"/>
      <c r="P1" s="83" t="s">
        <v>193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いっしー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だいち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りくと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いっしー</v>
      </c>
      <c r="V2" s="64" t="str">
        <f>$K$1</f>
        <v>だいち</v>
      </c>
      <c r="W2" s="16" t="str">
        <f>$P$1</f>
        <v>りくと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いっしー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195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7</v>
      </c>
      <c r="AY4" s="30" t="s">
        <v>196</v>
      </c>
      <c r="AZ4" s="40" t="s">
        <v>104</v>
      </c>
      <c r="BA4" s="41" t="s">
        <v>98</v>
      </c>
      <c r="BB4" s="41" t="s">
        <v>86</v>
      </c>
      <c r="BC4" s="41" t="s">
        <v>86</v>
      </c>
      <c r="BD4" s="41" t="s">
        <v>86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199</v>
      </c>
      <c r="G5" s="9">
        <v>-3000</v>
      </c>
      <c r="H5" s="9"/>
      <c r="I5" s="48"/>
      <c r="J5" s="21">
        <f t="shared" ref="J5:J30" si="2">IF(COUNTA($F5,$K5,$P5)&gt;0,J4+SUM(G5:I5),"")</f>
        <v>32000</v>
      </c>
      <c r="K5" s="8" t="s">
        <v>199</v>
      </c>
      <c r="L5" s="9">
        <v>1500</v>
      </c>
      <c r="M5" s="9"/>
      <c r="N5" s="48"/>
      <c r="O5" s="21">
        <f t="shared" ref="O5:O30" si="3">IF(COUNTA($F5,$K5,$P5)&gt;0,O4+SUM(L5:N5),"")</f>
        <v>48500</v>
      </c>
      <c r="P5" s="8" t="s">
        <v>199</v>
      </c>
      <c r="Q5" s="9">
        <v>1500</v>
      </c>
      <c r="R5" s="9">
        <v>-1000</v>
      </c>
      <c r="S5" s="48"/>
      <c r="T5" s="21">
        <f t="shared" ref="T5:T30" si="4">IF(COUNTA($F5,$K5,$P5)&gt;0,T4+SUM(Q5:S5),"")</f>
        <v>23500</v>
      </c>
      <c r="U5" s="53">
        <f>IF($J5="","",ROUND(($J5-$J$3)/1000,1)+(_xlfn.RANK.AVG($J5,($J5,$O5,$T5),1)-2)*10)</f>
        <v>-3</v>
      </c>
      <c r="V5" s="54">
        <f>IF($O5="","",ROUND(($O5-$O$3)/1000,1)+(_xlfn.RANK.AVG($O5,($J5,$O5,$T5),1)-2)*10)</f>
        <v>23.5</v>
      </c>
      <c r="W5" s="55">
        <f>IF($T5="","",ROUND(($T5-$T$3)/1000,1)+(_xlfn.RANK.AVG($T5,($J5,$O5,$T5),1)-2)*10)</f>
        <v>-21.5</v>
      </c>
      <c r="Y5" s="8" t="s">
        <v>197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198</v>
      </c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198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tr">
        <f>IF($K$1="","",$K$1)</f>
        <v>だいち</v>
      </c>
      <c r="F6" s="8" t="s">
        <v>195</v>
      </c>
      <c r="G6" s="9">
        <v>-8000</v>
      </c>
      <c r="H6" s="9"/>
      <c r="I6" s="48">
        <v>-1000</v>
      </c>
      <c r="J6" s="21">
        <f t="shared" si="2"/>
        <v>23000</v>
      </c>
      <c r="K6" s="8"/>
      <c r="L6" s="9"/>
      <c r="M6" s="9"/>
      <c r="N6" s="48"/>
      <c r="O6" s="21">
        <f t="shared" si="3"/>
        <v>48500</v>
      </c>
      <c r="P6" s="8" t="s">
        <v>194</v>
      </c>
      <c r="Q6" s="9">
        <v>8000</v>
      </c>
      <c r="R6" s="9">
        <v>1000</v>
      </c>
      <c r="S6" s="48">
        <v>1000</v>
      </c>
      <c r="T6" s="21">
        <f t="shared" si="4"/>
        <v>33500</v>
      </c>
      <c r="U6" s="53">
        <f>IF($J6="","",ROUND(($J6-$J$3)/1000,1)+(_xlfn.RANK.AVG($J6,($J6,$O6,$T6),1)-2)*10)</f>
        <v>-22</v>
      </c>
      <c r="V6" s="54">
        <f>IF($O6="","",ROUND(($O6-$O$3)/1000,1)+(_xlfn.RANK.AVG($O6,($J6,$O6,$T6),1)-2)*10)</f>
        <v>23.5</v>
      </c>
      <c r="W6" s="55">
        <f>IF($T6="","",ROUND(($T6-$T$3)/1000,1)+(_xlfn.RANK.AVG($T6,($J6,$O6,$T6),1)-2)*10)</f>
        <v>-1.5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196</v>
      </c>
      <c r="BU6" s="40" t="s">
        <v>201</v>
      </c>
      <c r="BV6" s="41" t="s">
        <v>101</v>
      </c>
      <c r="BW6" s="41" t="s">
        <v>81</v>
      </c>
      <c r="BX6" s="41" t="s">
        <v>81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りくと</v>
      </c>
      <c r="F7" s="8" t="s">
        <v>202</v>
      </c>
      <c r="G7" s="9">
        <v>-5800</v>
      </c>
      <c r="H7" s="9"/>
      <c r="I7" s="48">
        <v>0</v>
      </c>
      <c r="J7" s="21">
        <f t="shared" si="2"/>
        <v>17200</v>
      </c>
      <c r="K7" s="8" t="s">
        <v>202</v>
      </c>
      <c r="L7" s="9">
        <v>-5800</v>
      </c>
      <c r="M7" s="9"/>
      <c r="N7" s="48">
        <v>0</v>
      </c>
      <c r="O7" s="21">
        <f t="shared" si="3"/>
        <v>42700</v>
      </c>
      <c r="P7" s="8" t="s">
        <v>203</v>
      </c>
      <c r="Q7" s="9">
        <v>11600</v>
      </c>
      <c r="R7" s="9"/>
      <c r="S7" s="48">
        <v>0</v>
      </c>
      <c r="T7" s="21">
        <f t="shared" si="4"/>
        <v>45100</v>
      </c>
      <c r="U7" s="53">
        <f>IF($J7="","",ROUND(($J7-$J$3)/1000,1)+(_xlfn.RANK.AVG($J7,($J7,$O7,$T7),1)-2)*10)</f>
        <v>-27.8</v>
      </c>
      <c r="V7" s="54">
        <f>IF($O7="","",ROUND(($O7-$O$3)/1000,1)+(_xlfn.RANK.AVG($O7,($J7,$O7,$T7),1)-2)*10)</f>
        <v>7.7</v>
      </c>
      <c r="W7" s="55">
        <f>IF($T7="","",ROUND(($T7-$T$3)/1000,1)+(_xlfn.RANK.AVG($T7,($J7,$O7,$T7),1)-2)*10)</f>
        <v>20.100000000000001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4</v>
      </c>
      <c r="BT7" s="30">
        <v>30</v>
      </c>
      <c r="BU7" s="40" t="s">
        <v>86</v>
      </c>
      <c r="BV7" s="41" t="s">
        <v>86</v>
      </c>
      <c r="BW7" s="41" t="s">
        <v>81</v>
      </c>
      <c r="BX7" s="41" t="s">
        <v>81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りくと</v>
      </c>
      <c r="F8" s="8" t="s">
        <v>202</v>
      </c>
      <c r="G8" s="9">
        <v>-4500</v>
      </c>
      <c r="H8" s="9"/>
      <c r="I8" s="48">
        <v>-500</v>
      </c>
      <c r="J8" s="21">
        <f t="shared" si="2"/>
        <v>12200</v>
      </c>
      <c r="K8" s="8" t="s">
        <v>203</v>
      </c>
      <c r="L8" s="9">
        <v>12000</v>
      </c>
      <c r="M8" s="9"/>
      <c r="N8" s="48">
        <v>1000</v>
      </c>
      <c r="O8" s="21">
        <f t="shared" si="3"/>
        <v>55700</v>
      </c>
      <c r="P8" s="8" t="s">
        <v>202</v>
      </c>
      <c r="Q8" s="9">
        <v>-7500</v>
      </c>
      <c r="R8" s="9"/>
      <c r="S8" s="48">
        <v>-500</v>
      </c>
      <c r="T8" s="21">
        <f t="shared" si="4"/>
        <v>37100</v>
      </c>
      <c r="U8" s="53">
        <f>IF($J8="","",ROUND(($J8-$J$3)/1000,1)+(_xlfn.RANK.AVG($J8,($J8,$O8,$T8),1)-2)*10)</f>
        <v>-32.799999999999997</v>
      </c>
      <c r="V8" s="54">
        <f>IF($O8="","",ROUND(($O8-$O$3)/1000,1)+(_xlfn.RANK.AVG($O8,($J8,$O8,$T8),1)-2)*10)</f>
        <v>30.7</v>
      </c>
      <c r="W8" s="55">
        <f>IF($T8="","",ROUND(($T8-$T$3)/1000,1)+(_xlfn.RANK.AVG($T8,($J8,$O8,$T8),1)-2)*10)</f>
        <v>2.1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7</v>
      </c>
      <c r="AY8" s="30" t="s">
        <v>196</v>
      </c>
      <c r="AZ8" s="40" t="s">
        <v>201</v>
      </c>
      <c r="BA8" s="41" t="s">
        <v>82</v>
      </c>
      <c r="BB8" s="41" t="s">
        <v>79</v>
      </c>
      <c r="BC8" s="41" t="s">
        <v>80</v>
      </c>
      <c r="BD8" s="41" t="s">
        <v>80</v>
      </c>
      <c r="BE8" s="41" t="s">
        <v>81</v>
      </c>
      <c r="BF8" s="41" t="s">
        <v>81</v>
      </c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いっしー</v>
      </c>
      <c r="F9" s="8" t="s">
        <v>202</v>
      </c>
      <c r="G9" s="9">
        <v>-10000</v>
      </c>
      <c r="H9" s="9"/>
      <c r="I9" s="48">
        <v>0</v>
      </c>
      <c r="J9" s="21">
        <f t="shared" si="2"/>
        <v>2200</v>
      </c>
      <c r="K9" s="8" t="s">
        <v>203</v>
      </c>
      <c r="L9" s="9">
        <v>16000</v>
      </c>
      <c r="M9" s="9"/>
      <c r="N9" s="48">
        <v>0</v>
      </c>
      <c r="O9" s="21">
        <f t="shared" si="3"/>
        <v>71700</v>
      </c>
      <c r="P9" s="8" t="s">
        <v>202</v>
      </c>
      <c r="Q9" s="9">
        <v>-6000</v>
      </c>
      <c r="R9" s="9"/>
      <c r="S9" s="48">
        <v>0</v>
      </c>
      <c r="T9" s="21">
        <f t="shared" si="4"/>
        <v>31100</v>
      </c>
      <c r="U9" s="53">
        <f>IF($J9="","",ROUND(($J9-$J$3)/1000,1)+(_xlfn.RANK.AVG($J9,($J9,$O9,$T9),1)-2)*10)</f>
        <v>-42.8</v>
      </c>
      <c r="V9" s="54">
        <f>IF($O9="","",ROUND(($O9-$O$3)/1000,1)+(_xlfn.RANK.AVG($O9,($J9,$O9,$T9),1)-2)*10)</f>
        <v>46.7</v>
      </c>
      <c r="W9" s="55">
        <f>IF($T9="","",ROUND(($T9-$T$3)/1000,1)+(_xlfn.RANK.AVG($T9,($J9,$O9,$T9),1)-2)*10)</f>
        <v>-3.9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10</v>
      </c>
      <c r="AY9" s="30" t="s">
        <v>196</v>
      </c>
      <c r="AZ9" s="40" t="s">
        <v>89</v>
      </c>
      <c r="BA9" s="41" t="s">
        <v>79</v>
      </c>
      <c r="BB9" s="41" t="s">
        <v>79</v>
      </c>
      <c r="BC9" s="41" t="s">
        <v>79</v>
      </c>
      <c r="BD9" s="41" t="s">
        <v>79</v>
      </c>
      <c r="BE9" s="41" t="s">
        <v>81</v>
      </c>
      <c r="BF9" s="41" t="s">
        <v>81</v>
      </c>
      <c r="BG9" s="41" t="s">
        <v>79</v>
      </c>
      <c r="BH9" s="41" t="s">
        <v>86</v>
      </c>
      <c r="BI9" s="41" t="s">
        <v>86</v>
      </c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だいち</v>
      </c>
      <c r="F10" s="8"/>
      <c r="G10" s="9"/>
      <c r="H10" s="9"/>
      <c r="I10" s="48"/>
      <c r="J10" s="21">
        <f t="shared" si="2"/>
        <v>2200</v>
      </c>
      <c r="K10" s="8" t="s">
        <v>194</v>
      </c>
      <c r="L10" s="9">
        <v>2400</v>
      </c>
      <c r="M10" s="9"/>
      <c r="N10" s="48">
        <v>0</v>
      </c>
      <c r="O10" s="21">
        <f t="shared" si="3"/>
        <v>74100</v>
      </c>
      <c r="P10" s="8" t="s">
        <v>195</v>
      </c>
      <c r="Q10" s="9">
        <v>-2400</v>
      </c>
      <c r="R10" s="9"/>
      <c r="S10" s="48">
        <v>0</v>
      </c>
      <c r="T10" s="21">
        <f t="shared" si="4"/>
        <v>28700</v>
      </c>
      <c r="U10" s="53">
        <f>IF($J10="","",ROUND(($J10-$J$3)/1000,1)+(_xlfn.RANK.AVG($J10,($J10,$O10,$T10),1)-2)*10)</f>
        <v>-42.8</v>
      </c>
      <c r="V10" s="54">
        <f>IF($O10="","",ROUND(($O10-$O$3)/1000,1)+(_xlfn.RANK.AVG($O10,($J10,$O10,$T10),1)-2)*10)</f>
        <v>49.1</v>
      </c>
      <c r="W10" s="55">
        <f>IF($T10="","",ROUND(($T10-$T$3)/1000,1)+(_xlfn.RANK.AVG($T10,($J10,$O10,$T10),1)-2)*10)</f>
        <v>-6.3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1</v>
      </c>
      <c r="AY10" s="30">
        <v>50</v>
      </c>
      <c r="AZ10" s="40" t="s">
        <v>86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IF($K$1="","",$K$1)</f>
        <v>だいち</v>
      </c>
      <c r="F11" s="8"/>
      <c r="G11" s="9"/>
      <c r="H11" s="9"/>
      <c r="I11" s="48"/>
      <c r="J11" s="21">
        <f t="shared" si="2"/>
        <v>2200</v>
      </c>
      <c r="K11" s="8" t="s">
        <v>195</v>
      </c>
      <c r="L11" s="9">
        <v>-12000</v>
      </c>
      <c r="M11" s="9">
        <v>-1000</v>
      </c>
      <c r="N11" s="48">
        <v>-1000</v>
      </c>
      <c r="O11" s="21">
        <f t="shared" si="3"/>
        <v>60100</v>
      </c>
      <c r="P11" s="8" t="s">
        <v>194</v>
      </c>
      <c r="Q11" s="9">
        <v>12000</v>
      </c>
      <c r="R11" s="9">
        <v>1000</v>
      </c>
      <c r="S11" s="48">
        <v>1000</v>
      </c>
      <c r="T11" s="21">
        <f t="shared" si="4"/>
        <v>42700</v>
      </c>
      <c r="U11" s="53">
        <f>IF($J11="","",ROUND(($J11-$J$3)/1000,1)+(_xlfn.RANK.AVG($J11,($J11,$O11,$T11),1)-2)*10)</f>
        <v>-42.8</v>
      </c>
      <c r="V11" s="54">
        <f>IF($O11="","",ROUND(($O11-$O$3)/1000,1)+(_xlfn.RANK.AVG($O11,($J11,$O11,$T11),1)-2)*10)</f>
        <v>35.1</v>
      </c>
      <c r="W11" s="55">
        <f>IF($T11="","",ROUND(($T11-$T$3)/1000,1)+(_xlfn.RANK.AVG($T11,($J11,$O11,$T11),1)-2)*10)</f>
        <v>7.7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6</v>
      </c>
      <c r="BT11" s="30" t="s">
        <v>196</v>
      </c>
      <c r="BU11" s="40" t="s">
        <v>86</v>
      </c>
      <c r="BV11" s="41" t="s">
        <v>104</v>
      </c>
      <c r="BW11" s="41" t="s">
        <v>81</v>
      </c>
      <c r="BX11" s="41" t="s">
        <v>81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りくと</v>
      </c>
      <c r="F12" s="8"/>
      <c r="G12" s="9"/>
      <c r="H12" s="9"/>
      <c r="I12" s="48"/>
      <c r="J12" s="21">
        <f t="shared" si="2"/>
        <v>2200</v>
      </c>
      <c r="K12" s="8" t="s">
        <v>194</v>
      </c>
      <c r="L12" s="9">
        <v>5200</v>
      </c>
      <c r="M12" s="9"/>
      <c r="N12" s="48">
        <v>0</v>
      </c>
      <c r="O12" s="21">
        <f t="shared" si="3"/>
        <v>65300</v>
      </c>
      <c r="P12" s="8" t="s">
        <v>195</v>
      </c>
      <c r="Q12" s="9">
        <v>-5200</v>
      </c>
      <c r="R12" s="9"/>
      <c r="S12" s="48">
        <v>0</v>
      </c>
      <c r="T12" s="21">
        <f t="shared" si="4"/>
        <v>37500</v>
      </c>
      <c r="U12" s="53">
        <f>IF($J12="","",ROUND(($J12-$J$3)/1000,1)+(_xlfn.RANK.AVG($J12,($J12,$O12,$T12),1)-2)*10)</f>
        <v>-42.8</v>
      </c>
      <c r="V12" s="54">
        <f>IF($O12="","",ROUND(($O12-$O$3)/1000,1)+(_xlfn.RANK.AVG($O12,($J12,$O12,$T12),1)-2)*10)</f>
        <v>40.299999999999997</v>
      </c>
      <c r="W12" s="55">
        <f>IF($T12="","",ROUND(($T12-$T$3)/1000,1)+(_xlfn.RANK.AVG($T12,($J12,$O12,$T12),1)-2)*10)</f>
        <v>2.5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3</v>
      </c>
      <c r="AY12" s="30">
        <v>40</v>
      </c>
      <c r="AZ12" s="40" t="s">
        <v>85</v>
      </c>
      <c r="BA12" s="41" t="s">
        <v>79</v>
      </c>
      <c r="BB12" s="41" t="s">
        <v>81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57AFA343-3EA6-445B-9EA2-DE1AF7DF389D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A074A-A711-4616-B82A-81DE3B8463DE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191</v>
      </c>
      <c r="G1" s="84"/>
      <c r="H1" s="84"/>
      <c r="I1" s="85"/>
      <c r="J1" s="86"/>
      <c r="K1" s="83" t="s">
        <v>192</v>
      </c>
      <c r="L1" s="84"/>
      <c r="M1" s="84"/>
      <c r="N1" s="85"/>
      <c r="O1" s="86"/>
      <c r="P1" s="83" t="s">
        <v>193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いっしー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だいち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りくと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いっしー</v>
      </c>
      <c r="V2" s="70" t="str">
        <f>$K$1</f>
        <v>だいち</v>
      </c>
      <c r="W2" s="16" t="str">
        <f>$P$1</f>
        <v>りくと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いっしー</v>
      </c>
      <c r="F4" s="8" t="s">
        <v>204</v>
      </c>
      <c r="G4" s="9">
        <v>1500</v>
      </c>
      <c r="H4" s="9"/>
      <c r="I4" s="48"/>
      <c r="J4" s="21">
        <f>IF(COUNTA($F4,$K4,$P4)&gt;0,J3+SUM(G4:I4),"")</f>
        <v>36500</v>
      </c>
      <c r="K4" s="8" t="s">
        <v>204</v>
      </c>
      <c r="L4" s="9">
        <v>1500</v>
      </c>
      <c r="M4" s="9"/>
      <c r="N4" s="48"/>
      <c r="O4" s="21">
        <f>IF(COUNTA($F4,$K4,$P4)&gt;0,O3+SUM(L4:N4),"")</f>
        <v>36500</v>
      </c>
      <c r="P4" s="8" t="s">
        <v>204</v>
      </c>
      <c r="Q4" s="9">
        <v>-3000</v>
      </c>
      <c r="R4" s="9"/>
      <c r="S4" s="48"/>
      <c r="T4" s="21">
        <f>IF(COUNTA($F4,$K4,$P4)&gt;0,T3+SUM(Q4:S4),"")</f>
        <v>32000</v>
      </c>
      <c r="U4" s="53">
        <f>IF($J4="","",ROUND(($J4-$J$3)/1000,1)+(_xlfn.RANK.AVG($J4,($J4,$O4,$T4),1)-2)*10)</f>
        <v>6.5</v>
      </c>
      <c r="V4" s="54">
        <f>IF($O4="","",ROUND(($O4-$O$3)/1000,1)+(_xlfn.RANK.AVG($O4,($J4,$O4,$T4),1)-2)*10)</f>
        <v>6.5</v>
      </c>
      <c r="W4" s="55">
        <f>IF($T4="","",ROUND(($T4-$T$3)/1000,1)+(_xlfn.RANK.AVG($T4,($J4,$O4,$T4),1)-2)*10)</f>
        <v>-13</v>
      </c>
      <c r="Y4" s="8" t="s">
        <v>198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198</v>
      </c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197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いっしー</v>
      </c>
      <c r="F5" s="8"/>
      <c r="G5" s="9"/>
      <c r="H5" s="9"/>
      <c r="I5" s="48"/>
      <c r="J5" s="21">
        <f t="shared" ref="J5:J30" si="2">IF(COUNTA($F5,$K5,$P5)&gt;0,J4+SUM(G5:I5),"")</f>
        <v>36500</v>
      </c>
      <c r="K5" s="8" t="s">
        <v>194</v>
      </c>
      <c r="L5" s="9">
        <v>7700</v>
      </c>
      <c r="M5" s="9"/>
      <c r="N5" s="48">
        <v>1000</v>
      </c>
      <c r="O5" s="21">
        <f t="shared" ref="O5:O30" si="3">IF(COUNTA($F5,$K5,$P5)&gt;0,O4+SUM(L5:N5),"")</f>
        <v>45200</v>
      </c>
      <c r="P5" s="8" t="s">
        <v>195</v>
      </c>
      <c r="Q5" s="9">
        <v>-7700</v>
      </c>
      <c r="R5" s="9"/>
      <c r="S5" s="48">
        <v>-1000</v>
      </c>
      <c r="T5" s="21">
        <f t="shared" ref="T5:T30" si="4">IF(COUNTA($F5,$K5,$P5)&gt;0,T4+SUM(Q5:S5),"")</f>
        <v>23300</v>
      </c>
      <c r="U5" s="53">
        <f>IF($J5="","",ROUND(($J5-$J$3)/1000,1)+(_xlfn.RANK.AVG($J5,($J5,$O5,$T5),1)-2)*10)</f>
        <v>1.5</v>
      </c>
      <c r="V5" s="54">
        <f>IF($O5="","",ROUND(($O5-$O$3)/1000,1)+(_xlfn.RANK.AVG($O5,($J5,$O5,$T5),1)-2)*10)</f>
        <v>20.2</v>
      </c>
      <c r="W5" s="55">
        <f>IF($T5="","",ROUND(($T5-$T$3)/1000,1)+(_xlfn.RANK.AVG($T5,($J5,$O5,$T5),1)-2)*10)</f>
        <v>-21.7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60</v>
      </c>
      <c r="AZ5" s="40" t="s">
        <v>201</v>
      </c>
      <c r="BA5" s="41" t="s">
        <v>80</v>
      </c>
      <c r="BB5" s="41" t="s">
        <v>81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 t="s">
        <v>202</v>
      </c>
      <c r="G6" s="9">
        <v>-5800</v>
      </c>
      <c r="H6" s="9"/>
      <c r="I6" s="48">
        <v>0</v>
      </c>
      <c r="J6" s="21">
        <f t="shared" si="2"/>
        <v>30700</v>
      </c>
      <c r="K6" s="8" t="s">
        <v>203</v>
      </c>
      <c r="L6" s="9">
        <v>11600</v>
      </c>
      <c r="M6" s="9">
        <v>1000</v>
      </c>
      <c r="N6" s="48">
        <v>0</v>
      </c>
      <c r="O6" s="21">
        <f t="shared" si="3"/>
        <v>57800</v>
      </c>
      <c r="P6" s="8" t="s">
        <v>202</v>
      </c>
      <c r="Q6" s="9">
        <v>-5800</v>
      </c>
      <c r="R6" s="9">
        <v>-1000</v>
      </c>
      <c r="S6" s="48">
        <v>0</v>
      </c>
      <c r="T6" s="21">
        <f t="shared" si="4"/>
        <v>16500</v>
      </c>
      <c r="U6" s="53">
        <f>IF($J6="","",ROUND(($J6-$J$3)/1000,1)+(_xlfn.RANK.AVG($J6,($J6,$O6,$T6),1)-2)*10)</f>
        <v>-4.3</v>
      </c>
      <c r="V6" s="54">
        <f>IF($O6="","",ROUND(($O6-$O$3)/1000,1)+(_xlfn.RANK.AVG($O6,($J6,$O6,$T6),1)-2)*10)</f>
        <v>32.799999999999997</v>
      </c>
      <c r="W6" s="55">
        <f>IF($T6="","",ROUND(($T6-$T$3)/1000,1)+(_xlfn.RANK.AVG($T6,($J6,$O6,$T6),1)-2)*10)</f>
        <v>-28.5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4</v>
      </c>
      <c r="AY6" s="30">
        <v>30</v>
      </c>
      <c r="AZ6" s="40" t="s">
        <v>82</v>
      </c>
      <c r="BA6" s="41" t="s">
        <v>92</v>
      </c>
      <c r="BB6" s="41" t="s">
        <v>81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IF($K$1="","",$K$1)</f>
        <v>だいち</v>
      </c>
      <c r="F7" s="8" t="s">
        <v>202</v>
      </c>
      <c r="G7" s="9">
        <v>-4500</v>
      </c>
      <c r="H7" s="9"/>
      <c r="I7" s="48">
        <v>-500</v>
      </c>
      <c r="J7" s="21">
        <f t="shared" si="2"/>
        <v>25700</v>
      </c>
      <c r="K7" s="8" t="s">
        <v>202</v>
      </c>
      <c r="L7" s="9">
        <v>-7500</v>
      </c>
      <c r="M7" s="9"/>
      <c r="N7" s="48">
        <v>-500</v>
      </c>
      <c r="O7" s="21">
        <f t="shared" si="3"/>
        <v>49800</v>
      </c>
      <c r="P7" s="8" t="s">
        <v>203</v>
      </c>
      <c r="Q7" s="9">
        <v>12000</v>
      </c>
      <c r="R7" s="9"/>
      <c r="S7" s="48">
        <v>1000</v>
      </c>
      <c r="T7" s="21">
        <f t="shared" si="4"/>
        <v>29500</v>
      </c>
      <c r="U7" s="53">
        <f>IF($J7="","",ROUND(($J7-$J$3)/1000,1)+(_xlfn.RANK.AVG($J7,($J7,$O7,$T7),1)-2)*10)</f>
        <v>-19.3</v>
      </c>
      <c r="V7" s="54">
        <f>IF($O7="","",ROUND(($O7-$O$3)/1000,1)+(_xlfn.RANK.AVG($O7,($J7,$O7,$T7),1)-2)*10)</f>
        <v>24.8</v>
      </c>
      <c r="W7" s="55">
        <f>IF($T7="","",ROUND(($T7-$T$3)/1000,1)+(_xlfn.RANK.AVG($T7,($J7,$O7,$T7),1)-2)*10)</f>
        <v>-5.5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6</v>
      </c>
      <c r="BT7" s="30" t="s">
        <v>196</v>
      </c>
      <c r="BU7" s="40" t="s">
        <v>201</v>
      </c>
      <c r="BV7" s="41" t="s">
        <v>82</v>
      </c>
      <c r="BW7" s="41" t="s">
        <v>86</v>
      </c>
      <c r="BX7" s="41" t="s">
        <v>79</v>
      </c>
      <c r="BY7" s="41" t="s">
        <v>80</v>
      </c>
      <c r="BZ7" s="41" t="s">
        <v>81</v>
      </c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りくと</v>
      </c>
      <c r="F8" s="8" t="s">
        <v>195</v>
      </c>
      <c r="G8" s="9">
        <v>-2600</v>
      </c>
      <c r="H8" s="9"/>
      <c r="I8" s="48">
        <v>0</v>
      </c>
      <c r="J8" s="21">
        <f t="shared" si="2"/>
        <v>23100</v>
      </c>
      <c r="K8" s="8" t="s">
        <v>194</v>
      </c>
      <c r="L8" s="9">
        <v>2600</v>
      </c>
      <c r="M8" s="9"/>
      <c r="N8" s="48">
        <v>0</v>
      </c>
      <c r="O8" s="21">
        <f t="shared" si="3"/>
        <v>52400</v>
      </c>
      <c r="P8" s="8"/>
      <c r="Q8" s="9"/>
      <c r="R8" s="9"/>
      <c r="S8" s="48"/>
      <c r="T8" s="21">
        <f t="shared" si="4"/>
        <v>29500</v>
      </c>
      <c r="U8" s="53">
        <f>IF($J8="","",ROUND(($J8-$J$3)/1000,1)+(_xlfn.RANK.AVG($J8,($J8,$O8,$T8),1)-2)*10)</f>
        <v>-21.9</v>
      </c>
      <c r="V8" s="54">
        <f>IF($O8="","",ROUND(($O8-$O$3)/1000,1)+(_xlfn.RANK.AVG($O8,($J8,$O8,$T8),1)-2)*10)</f>
        <v>27.4</v>
      </c>
      <c r="W8" s="55">
        <f>IF($T8="","",ROUND(($T8-$T$3)/1000,1)+(_xlfn.RANK.AVG($T8,($J8,$O8,$T8),1)-2)*10)</f>
        <v>-5.5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2</v>
      </c>
      <c r="AY8" s="30">
        <v>40</v>
      </c>
      <c r="AZ8" s="40" t="s">
        <v>201</v>
      </c>
      <c r="BA8" s="41" t="s">
        <v>79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いっしー</v>
      </c>
      <c r="F9" s="8" t="s">
        <v>195</v>
      </c>
      <c r="G9" s="9">
        <v>-12000</v>
      </c>
      <c r="H9" s="9"/>
      <c r="I9" s="48">
        <v>0</v>
      </c>
      <c r="J9" s="21">
        <f t="shared" si="2"/>
        <v>11100</v>
      </c>
      <c r="K9" s="8"/>
      <c r="L9" s="9"/>
      <c r="M9" s="9"/>
      <c r="N9" s="48"/>
      <c r="O9" s="21">
        <f t="shared" si="3"/>
        <v>52400</v>
      </c>
      <c r="P9" s="8" t="s">
        <v>194</v>
      </c>
      <c r="Q9" s="9">
        <v>12000</v>
      </c>
      <c r="R9" s="9"/>
      <c r="S9" s="48">
        <v>0</v>
      </c>
      <c r="T9" s="21">
        <f t="shared" si="4"/>
        <v>41500</v>
      </c>
      <c r="U9" s="53">
        <f>IF($J9="","",ROUND(($J9-$J$3)/1000,1)+(_xlfn.RANK.AVG($J9,($J9,$O9,$T9),1)-2)*10)</f>
        <v>-33.9</v>
      </c>
      <c r="V9" s="54">
        <f>IF($O9="","",ROUND(($O9-$O$3)/1000,1)+(_xlfn.RANK.AVG($O9,($J9,$O9,$T9),1)-2)*10)</f>
        <v>27.4</v>
      </c>
      <c r="W9" s="55">
        <f>IF($T9="","",ROUND(($T9-$T$3)/1000,1)+(_xlfn.RANK.AVG($T9,($J9,$O9,$T9),1)-2)*10)</f>
        <v>6.5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7</v>
      </c>
      <c r="BT9" s="30" t="s">
        <v>196</v>
      </c>
      <c r="BU9" s="40" t="s">
        <v>104</v>
      </c>
      <c r="BV9" s="41" t="s">
        <v>86</v>
      </c>
      <c r="BW9" s="41" t="s">
        <v>79</v>
      </c>
      <c r="BX9" s="41" t="s">
        <v>79</v>
      </c>
      <c r="BY9" s="41" t="s">
        <v>79</v>
      </c>
      <c r="BZ9" s="41" t="s">
        <v>81</v>
      </c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だいち</v>
      </c>
      <c r="F10" s="8" t="s">
        <v>203</v>
      </c>
      <c r="G10" s="9">
        <v>12000</v>
      </c>
      <c r="H10" s="9"/>
      <c r="I10" s="48">
        <v>0</v>
      </c>
      <c r="J10" s="21">
        <f t="shared" si="2"/>
        <v>23100</v>
      </c>
      <c r="K10" s="8" t="s">
        <v>202</v>
      </c>
      <c r="L10" s="9">
        <v>-7500</v>
      </c>
      <c r="M10" s="9"/>
      <c r="N10" s="48">
        <v>0</v>
      </c>
      <c r="O10" s="21">
        <f t="shared" si="3"/>
        <v>44900</v>
      </c>
      <c r="P10" s="8" t="s">
        <v>202</v>
      </c>
      <c r="Q10" s="9">
        <v>-4500</v>
      </c>
      <c r="R10" s="9"/>
      <c r="S10" s="48">
        <v>0</v>
      </c>
      <c r="T10" s="21">
        <f t="shared" si="4"/>
        <v>37000</v>
      </c>
      <c r="U10" s="53">
        <f>IF($J10="","",ROUND(($J10-$J$3)/1000,1)+(_xlfn.RANK.AVG($J10,($J10,$O10,$T10),1)-2)*10)</f>
        <v>-21.9</v>
      </c>
      <c r="V10" s="54">
        <f>IF($O10="","",ROUND(($O10-$O$3)/1000,1)+(_xlfn.RANK.AVG($O10,($J10,$O10,$T10),1)-2)*10)</f>
        <v>19.899999999999999</v>
      </c>
      <c r="W10" s="55">
        <f>IF($T10="","",ROUND(($T10-$T$3)/1000,1)+(_xlfn.RANK.AVG($T10,($J10,$O10,$T10),1)-2)*10)</f>
        <v>2</v>
      </c>
      <c r="Y10" s="8"/>
      <c r="Z10" s="34"/>
      <c r="AA10" s="26">
        <v>1</v>
      </c>
      <c r="AB10" s="26"/>
      <c r="AC10" s="26">
        <v>7</v>
      </c>
      <c r="AD10" s="30" t="s">
        <v>196</v>
      </c>
      <c r="AE10" s="40" t="s">
        <v>201</v>
      </c>
      <c r="AF10" s="41" t="s">
        <v>82</v>
      </c>
      <c r="AG10" s="41" t="s">
        <v>79</v>
      </c>
      <c r="AH10" s="41" t="s">
        <v>79</v>
      </c>
      <c r="AI10" s="41" t="s">
        <v>79</v>
      </c>
      <c r="AJ10" s="41" t="s">
        <v>81</v>
      </c>
      <c r="AK10" s="41" t="s">
        <v>81</v>
      </c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りくと</v>
      </c>
      <c r="F11" s="8" t="s">
        <v>204</v>
      </c>
      <c r="G11" s="9">
        <v>-3000</v>
      </c>
      <c r="H11" s="9"/>
      <c r="I11" s="48"/>
      <c r="J11" s="21">
        <f t="shared" si="2"/>
        <v>20100</v>
      </c>
      <c r="K11" s="8" t="s">
        <v>204</v>
      </c>
      <c r="L11" s="9">
        <v>1500</v>
      </c>
      <c r="M11" s="9"/>
      <c r="N11" s="48"/>
      <c r="O11" s="21">
        <f t="shared" si="3"/>
        <v>46400</v>
      </c>
      <c r="P11" s="8" t="s">
        <v>204</v>
      </c>
      <c r="Q11" s="9">
        <v>1500</v>
      </c>
      <c r="R11" s="9">
        <v>-1000</v>
      </c>
      <c r="S11" s="48"/>
      <c r="T11" s="21">
        <f t="shared" si="4"/>
        <v>37500</v>
      </c>
      <c r="U11" s="53">
        <f>IF($J11="","",ROUND(($J11-$J$3)/1000,1)+(_xlfn.RANK.AVG($J11,($J11,$O11,$T11),1)-2)*10)</f>
        <v>-24.9</v>
      </c>
      <c r="V11" s="54">
        <f>IF($O11="","",ROUND(($O11-$O$3)/1000,1)+(_xlfn.RANK.AVG($O11,($J11,$O11,$T11),1)-2)*10)</f>
        <v>21.4</v>
      </c>
      <c r="W11" s="55">
        <f>IF($T11="","",ROUND(($T11-$T$3)/1000,1)+(_xlfn.RANK.AVG($T11,($J11,$O11,$T11),1)-2)*10)</f>
        <v>2.5</v>
      </c>
      <c r="Y11" s="8" t="s">
        <v>197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198</v>
      </c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198</v>
      </c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1</v>
      </c>
      <c r="E12" s="4" t="str">
        <f>IF($P$1="","",$P$1)</f>
        <v>りくと</v>
      </c>
      <c r="F12" s="8" t="s">
        <v>204</v>
      </c>
      <c r="G12" s="9">
        <v>1500</v>
      </c>
      <c r="H12" s="9">
        <v>-1000</v>
      </c>
      <c r="I12" s="48"/>
      <c r="J12" s="21">
        <f t="shared" si="2"/>
        <v>20600</v>
      </c>
      <c r="K12" s="8" t="s">
        <v>204</v>
      </c>
      <c r="L12" s="9">
        <v>-3000</v>
      </c>
      <c r="M12" s="9"/>
      <c r="N12" s="48"/>
      <c r="O12" s="21">
        <f t="shared" si="3"/>
        <v>43400</v>
      </c>
      <c r="P12" s="8" t="s">
        <v>204</v>
      </c>
      <c r="Q12" s="9">
        <v>1500</v>
      </c>
      <c r="R12" s="9">
        <v>-1000</v>
      </c>
      <c r="S12" s="48"/>
      <c r="T12" s="21">
        <f t="shared" si="4"/>
        <v>38000</v>
      </c>
      <c r="U12" s="53">
        <f>IF($J12="","",ROUND(($J12-$J$3)/1000,1)+(_xlfn.RANK.AVG($J12,($J12,$O12,$T12),1)-2)*10)</f>
        <v>-24.4</v>
      </c>
      <c r="V12" s="54">
        <f>IF($O12="","",ROUND(($O12-$O$3)/1000,1)+(_xlfn.RANK.AVG($O12,($J12,$O12,$T12),1)-2)*10)</f>
        <v>18.399999999999999</v>
      </c>
      <c r="W12" s="55">
        <f>IF($T12="","",ROUND(($T12-$T$3)/1000,1)+(_xlfn.RANK.AVG($T12,($J12,$O12,$T12),1)-2)*10)</f>
        <v>3</v>
      </c>
      <c r="Y12" s="8" t="s">
        <v>198</v>
      </c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197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198</v>
      </c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2</v>
      </c>
      <c r="D13" s="18">
        <f t="shared" si="1"/>
        <v>3</v>
      </c>
      <c r="E13" s="4" t="str">
        <f>IF($P$1="","",$P$1)</f>
        <v>りくと</v>
      </c>
      <c r="F13" s="8" t="s">
        <v>195</v>
      </c>
      <c r="G13" s="9">
        <v>-3900</v>
      </c>
      <c r="H13" s="9"/>
      <c r="I13" s="48">
        <v>-2000</v>
      </c>
      <c r="J13" s="21">
        <f t="shared" si="2"/>
        <v>14700</v>
      </c>
      <c r="K13" s="8"/>
      <c r="L13" s="9"/>
      <c r="M13" s="9">
        <v>-1000</v>
      </c>
      <c r="N13" s="48"/>
      <c r="O13" s="21">
        <f t="shared" si="3"/>
        <v>42400</v>
      </c>
      <c r="P13" s="8" t="s">
        <v>194</v>
      </c>
      <c r="Q13" s="9">
        <v>3900</v>
      </c>
      <c r="R13" s="9">
        <v>4000</v>
      </c>
      <c r="S13" s="48">
        <v>2000</v>
      </c>
      <c r="T13" s="21">
        <f t="shared" si="4"/>
        <v>47900</v>
      </c>
      <c r="U13" s="53">
        <f>IF($J13="","",ROUND(($J13-$J$3)/1000,1)+(_xlfn.RANK.AVG($J13,($J13,$O13,$T13),1)-2)*10)</f>
        <v>-30.3</v>
      </c>
      <c r="V13" s="54">
        <f>IF($O13="","",ROUND(($O13-$O$3)/1000,1)+(_xlfn.RANK.AVG($O13,($J13,$O13,$T13),1)-2)*10)</f>
        <v>7.4</v>
      </c>
      <c r="W13" s="55">
        <f>IF($T13="","",ROUND(($T13-$T$3)/1000,1)+(_xlfn.RANK.AVG($T13,($J13,$O13,$T13),1)-2)*10)</f>
        <v>22.9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2</v>
      </c>
      <c r="BT13" s="30">
        <v>40</v>
      </c>
      <c r="BU13" s="40" t="s">
        <v>201</v>
      </c>
      <c r="BV13" s="41" t="s">
        <v>81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showInputMessage="1" showErrorMessage="1" sqref="K4:K30 P4:P30 F4:F30" xr:uid="{F9C6B162-D28B-4B20-906B-67770E40FA61}">
      <formula1>"ロン,ツモ,放銃,ツモ支払,流局,チョンボ"</formula1>
    </dataValidation>
    <dataValidation type="list" allowBlank="1" showInputMessage="1" showErrorMessage="1" sqref="E4:E30" xr:uid="{8260E90E-B5B4-4D85-8FFA-7E976F7C9690}">
      <formula1>$U$2:$W$2</formula1>
    </dataValidation>
    <dataValidation type="list" allowBlank="1" showInputMessage="1" sqref="F1:T1" xr:uid="{26DAC041-D135-408A-96E6-E7B00F9469DB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E88AC-B448-4457-8BAD-4FC92736D495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192</v>
      </c>
      <c r="G1" s="84"/>
      <c r="H1" s="84"/>
      <c r="I1" s="85"/>
      <c r="J1" s="86"/>
      <c r="K1" s="83" t="s">
        <v>205</v>
      </c>
      <c r="L1" s="84"/>
      <c r="M1" s="84"/>
      <c r="N1" s="85"/>
      <c r="O1" s="86"/>
      <c r="P1" s="83" t="s">
        <v>206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だいち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ただ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れんたろう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だいち</v>
      </c>
      <c r="V2" s="75" t="str">
        <f>$K$1</f>
        <v>ただ</v>
      </c>
      <c r="W2" s="16" t="str">
        <f>$P$1</f>
        <v>れんたろう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195</v>
      </c>
      <c r="G4" s="9">
        <v>-12000</v>
      </c>
      <c r="H4" s="9"/>
      <c r="I4" s="48">
        <v>0</v>
      </c>
      <c r="J4" s="21">
        <f>IF(COUNTA($F4,$K4,$P4)&gt;0,J3+SUM(G4:I4),"")</f>
        <v>23000</v>
      </c>
      <c r="K4" s="8"/>
      <c r="L4" s="9"/>
      <c r="M4" s="9"/>
      <c r="N4" s="48"/>
      <c r="O4" s="21">
        <f>IF(COUNTA($F4,$K4,$P4)&gt;0,O3+SUM(L4:N4),"")</f>
        <v>35000</v>
      </c>
      <c r="P4" s="8" t="s">
        <v>194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IF($J4="","",ROUND(($J4-$J$3)/1000,1)+(_xlfn.RANK.AVG($J4,($J4,$O4,$T4),1)-2)*10)</f>
        <v>-22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22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7</v>
      </c>
      <c r="BT4" s="30" t="s">
        <v>196</v>
      </c>
      <c r="BU4" s="40" t="s">
        <v>201</v>
      </c>
      <c r="BV4" s="41" t="s">
        <v>207</v>
      </c>
      <c r="BW4" s="41" t="s">
        <v>81</v>
      </c>
      <c r="BX4" s="41" t="s">
        <v>80</v>
      </c>
      <c r="BY4" s="41" t="s">
        <v>80</v>
      </c>
      <c r="BZ4" s="41" t="s">
        <v>80</v>
      </c>
      <c r="CA4" s="41" t="s">
        <v>80</v>
      </c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203</v>
      </c>
      <c r="G5" s="9">
        <v>12000</v>
      </c>
      <c r="H5" s="9">
        <v>1000</v>
      </c>
      <c r="I5" s="48">
        <v>0</v>
      </c>
      <c r="J5" s="21">
        <f t="shared" ref="J5:J30" si="2">IF(COUNTA($F5,$K5,$P5)&gt;0,J4+SUM(G5:I5),"")</f>
        <v>36000</v>
      </c>
      <c r="K5" s="8" t="s">
        <v>202</v>
      </c>
      <c r="L5" s="9">
        <v>-7500</v>
      </c>
      <c r="M5" s="9">
        <v>-1000</v>
      </c>
      <c r="N5" s="48">
        <v>0</v>
      </c>
      <c r="O5" s="21">
        <f t="shared" ref="O5:O30" si="3">IF(COUNTA($F5,$K5,$P5)&gt;0,O4+SUM(L5:N5),"")</f>
        <v>26500</v>
      </c>
      <c r="P5" s="8" t="s">
        <v>202</v>
      </c>
      <c r="Q5" s="9">
        <v>-4500</v>
      </c>
      <c r="R5" s="9"/>
      <c r="S5" s="48">
        <v>0</v>
      </c>
      <c r="T5" s="21">
        <f t="shared" ref="T5:T30" si="4">IF(COUNTA($F5,$K5,$P5)&gt;0,T4+SUM(Q5:S5),"")</f>
        <v>42500</v>
      </c>
      <c r="U5" s="53">
        <f>IF($J5="","",ROUND(($J5-$J$3)/1000,1)+(_xlfn.RANK.AVG($J5,($J5,$O5,$T5),1)-2)*10)</f>
        <v>1</v>
      </c>
      <c r="V5" s="54">
        <f>IF($O5="","",ROUND(($O5-$O$3)/1000,1)+(_xlfn.RANK.AVG($O5,($J5,$O5,$T5),1)-2)*10)</f>
        <v>-18.5</v>
      </c>
      <c r="W5" s="55">
        <f>IF($T5="","",ROUND(($T5-$T$3)/1000,1)+(_xlfn.RANK.AVG($T5,($J5,$O5,$T5),1)-2)*10)</f>
        <v>17.5</v>
      </c>
      <c r="Y5" s="8"/>
      <c r="Z5" s="34"/>
      <c r="AA5" s="26">
        <v>1</v>
      </c>
      <c r="AB5" s="26"/>
      <c r="AC5" s="26">
        <v>6</v>
      </c>
      <c r="AD5" s="30" t="s">
        <v>196</v>
      </c>
      <c r="AE5" s="40" t="s">
        <v>201</v>
      </c>
      <c r="AF5" s="41" t="s">
        <v>82</v>
      </c>
      <c r="AG5" s="41" t="s">
        <v>92</v>
      </c>
      <c r="AH5" s="41" t="s">
        <v>80</v>
      </c>
      <c r="AI5" s="41" t="s">
        <v>81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れんたろう</v>
      </c>
      <c r="F6" s="8"/>
      <c r="G6" s="9"/>
      <c r="H6" s="9"/>
      <c r="I6" s="48"/>
      <c r="J6" s="21">
        <f t="shared" si="2"/>
        <v>36000</v>
      </c>
      <c r="K6" s="8" t="s">
        <v>195</v>
      </c>
      <c r="L6" s="9">
        <v>-2900</v>
      </c>
      <c r="M6" s="9"/>
      <c r="N6" s="48">
        <v>0</v>
      </c>
      <c r="O6" s="21">
        <f t="shared" si="3"/>
        <v>23600</v>
      </c>
      <c r="P6" s="8" t="s">
        <v>194</v>
      </c>
      <c r="Q6" s="9">
        <v>2900</v>
      </c>
      <c r="R6" s="9"/>
      <c r="S6" s="48">
        <v>0</v>
      </c>
      <c r="T6" s="21">
        <f t="shared" si="4"/>
        <v>45400</v>
      </c>
      <c r="U6" s="53">
        <f>IF($J6="","",ROUND(($J6-$J$3)/1000,1)+(_xlfn.RANK.AVG($J6,($J6,$O6,$T6),1)-2)*10)</f>
        <v>1</v>
      </c>
      <c r="V6" s="54">
        <f>IF($O6="","",ROUND(($O6-$O$3)/1000,1)+(_xlfn.RANK.AVG($O6,($J6,$O6,$T6),1)-2)*10)</f>
        <v>-21.4</v>
      </c>
      <c r="W6" s="55">
        <f>IF($T6="","",ROUND(($T6-$T$3)/1000,1)+(_xlfn.RANK.AVG($T6,($J6,$O6,$T6),1)-2)*10)</f>
        <v>20.399999999999999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2</v>
      </c>
      <c r="BT6" s="30">
        <v>30</v>
      </c>
      <c r="BU6" s="40" t="s">
        <v>86</v>
      </c>
      <c r="BV6" s="41" t="s">
        <v>86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れんたろう</v>
      </c>
      <c r="F7" s="8"/>
      <c r="G7" s="9"/>
      <c r="H7" s="9"/>
      <c r="I7" s="48"/>
      <c r="J7" s="21">
        <f t="shared" si="2"/>
        <v>36000</v>
      </c>
      <c r="K7" s="8" t="s">
        <v>194</v>
      </c>
      <c r="L7" s="9">
        <v>8000</v>
      </c>
      <c r="M7" s="9"/>
      <c r="N7" s="48">
        <v>1000</v>
      </c>
      <c r="O7" s="21">
        <f t="shared" si="3"/>
        <v>32600</v>
      </c>
      <c r="P7" s="8" t="s">
        <v>195</v>
      </c>
      <c r="Q7" s="9">
        <v>-8000</v>
      </c>
      <c r="R7" s="9"/>
      <c r="S7" s="48">
        <v>-1000</v>
      </c>
      <c r="T7" s="21">
        <f t="shared" si="4"/>
        <v>36400</v>
      </c>
      <c r="U7" s="53">
        <f>IF($J7="","",ROUND(($J7-$J$3)/1000,1)+(_xlfn.RANK.AVG($J7,($J7,$O7,$T7),1)-2)*10)</f>
        <v>1</v>
      </c>
      <c r="V7" s="54">
        <f>IF($O7="","",ROUND(($O7-$O$3)/1000,1)+(_xlfn.RANK.AVG($O7,($J7,$O7,$T7),1)-2)*10)</f>
        <v>-12.4</v>
      </c>
      <c r="W7" s="55">
        <f>IF($T7="","",ROUND(($T7-$T$3)/1000,1)+(_xlfn.RANK.AVG($T7,($J7,$O7,$T7),1)-2)*10)</f>
        <v>11.4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4</v>
      </c>
      <c r="AY7" s="30">
        <v>40</v>
      </c>
      <c r="AZ7" s="40" t="s">
        <v>84</v>
      </c>
      <c r="BA7" s="41" t="s">
        <v>79</v>
      </c>
      <c r="BB7" s="41" t="s">
        <v>79</v>
      </c>
      <c r="BC7" s="41" t="s">
        <v>81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 t="s">
        <v>202</v>
      </c>
      <c r="G8" s="9">
        <v>-3300</v>
      </c>
      <c r="H8" s="9"/>
      <c r="I8" s="48">
        <v>0</v>
      </c>
      <c r="J8" s="21">
        <f t="shared" si="2"/>
        <v>32700</v>
      </c>
      <c r="K8" s="8" t="s">
        <v>203</v>
      </c>
      <c r="L8" s="9">
        <v>5300</v>
      </c>
      <c r="M8" s="9">
        <v>1000</v>
      </c>
      <c r="N8" s="48">
        <v>0</v>
      </c>
      <c r="O8" s="21">
        <f t="shared" si="3"/>
        <v>38900</v>
      </c>
      <c r="P8" s="8" t="s">
        <v>202</v>
      </c>
      <c r="Q8" s="9">
        <v>-2000</v>
      </c>
      <c r="R8" s="9">
        <v>-1000</v>
      </c>
      <c r="S8" s="48">
        <v>0</v>
      </c>
      <c r="T8" s="21">
        <f t="shared" si="4"/>
        <v>33400</v>
      </c>
      <c r="U8" s="53">
        <f>IF($J8="","",ROUND(($J8-$J$3)/1000,1)+(_xlfn.RANK.AVG($J8,($J8,$O8,$T8),1)-2)*10)</f>
        <v>-12.3</v>
      </c>
      <c r="V8" s="54">
        <f>IF($O8="","",ROUND(($O8-$O$3)/1000,1)+(_xlfn.RANK.AVG($O8,($J8,$O8,$T8),1)-2)*10)</f>
        <v>13.9</v>
      </c>
      <c r="W8" s="55">
        <f>IF($T8="","",ROUND(($T8-$T$3)/1000,1)+(_xlfn.RANK.AVG($T8,($J8,$O8,$T8),1)-2)*10)</f>
        <v>-1.6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3</v>
      </c>
      <c r="AY8" s="30">
        <v>40</v>
      </c>
      <c r="AZ8" s="40" t="s">
        <v>82</v>
      </c>
      <c r="BA8" s="41" t="s">
        <v>86</v>
      </c>
      <c r="BB8" s="41" t="s">
        <v>79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ただ</v>
      </c>
      <c r="F9" s="8" t="s">
        <v>202</v>
      </c>
      <c r="G9" s="9">
        <v>-6000</v>
      </c>
      <c r="H9" s="9"/>
      <c r="I9" s="48">
        <v>0</v>
      </c>
      <c r="J9" s="21">
        <f t="shared" si="2"/>
        <v>26700</v>
      </c>
      <c r="K9" s="8" t="s">
        <v>202</v>
      </c>
      <c r="L9" s="9">
        <v>-10000</v>
      </c>
      <c r="M9" s="9"/>
      <c r="N9" s="48">
        <v>0</v>
      </c>
      <c r="O9" s="21">
        <f t="shared" si="3"/>
        <v>28900</v>
      </c>
      <c r="P9" s="8" t="s">
        <v>203</v>
      </c>
      <c r="Q9" s="9">
        <v>16000</v>
      </c>
      <c r="R9" s="9"/>
      <c r="S9" s="48">
        <v>0</v>
      </c>
      <c r="T9" s="21">
        <f t="shared" si="4"/>
        <v>49400</v>
      </c>
      <c r="U9" s="53">
        <f>IF($J9="","",ROUND(($J9-$J$3)/1000,1)+(_xlfn.RANK.AVG($J9,($J9,$O9,$T9),1)-2)*10)</f>
        <v>-18.3</v>
      </c>
      <c r="V9" s="54">
        <f>IF($O9="","",ROUND(($O9-$O$3)/1000,1)+(_xlfn.RANK.AVG($O9,($J9,$O9,$T9),1)-2)*10)</f>
        <v>-6.1</v>
      </c>
      <c r="W9" s="55">
        <f>IF($T9="","",ROUND(($T9-$T$3)/1000,1)+(_xlfn.RANK.AVG($T9,($J9,$O9,$T9),1)-2)*10)</f>
        <v>24.4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8</v>
      </c>
      <c r="BT9" s="30" t="s">
        <v>196</v>
      </c>
      <c r="BU9" s="40" t="s">
        <v>201</v>
      </c>
      <c r="BV9" s="41" t="s">
        <v>82</v>
      </c>
      <c r="BW9" s="41" t="s">
        <v>86</v>
      </c>
      <c r="BX9" s="41" t="s">
        <v>86</v>
      </c>
      <c r="BY9" s="41" t="s">
        <v>104</v>
      </c>
      <c r="BZ9" s="41" t="s">
        <v>81</v>
      </c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れんたろう</v>
      </c>
      <c r="F10" s="8" t="s">
        <v>195</v>
      </c>
      <c r="G10" s="9">
        <v>-2600</v>
      </c>
      <c r="H10" s="9"/>
      <c r="I10" s="48">
        <v>0</v>
      </c>
      <c r="J10" s="21">
        <f t="shared" si="2"/>
        <v>24100</v>
      </c>
      <c r="K10" s="8" t="s">
        <v>194</v>
      </c>
      <c r="L10" s="9">
        <v>2600</v>
      </c>
      <c r="M10" s="9"/>
      <c r="N10" s="48">
        <v>0</v>
      </c>
      <c r="O10" s="21">
        <f t="shared" si="3"/>
        <v>31500</v>
      </c>
      <c r="P10" s="8"/>
      <c r="Q10" s="9"/>
      <c r="R10" s="9"/>
      <c r="S10" s="48"/>
      <c r="T10" s="21">
        <f t="shared" si="4"/>
        <v>49400</v>
      </c>
      <c r="U10" s="53">
        <f>IF($J10="","",ROUND(($J10-$J$3)/1000,1)+(_xlfn.RANK.AVG($J10,($J10,$O10,$T10),1)-2)*10)</f>
        <v>-20.9</v>
      </c>
      <c r="V10" s="54">
        <f>IF($O10="","",ROUND(($O10-$O$3)/1000,1)+(_xlfn.RANK.AVG($O10,($J10,$O10,$T10),1)-2)*10)</f>
        <v>-3.5</v>
      </c>
      <c r="W10" s="55">
        <f>IF($T10="","",ROUND(($T10-$T$3)/1000,1)+(_xlfn.RANK.AVG($T10,($J10,$O10,$T10),1)-2)*10)</f>
        <v>24.4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2</v>
      </c>
      <c r="AY10" s="30">
        <v>40</v>
      </c>
      <c r="AZ10" s="40" t="s">
        <v>201</v>
      </c>
      <c r="BA10" s="41" t="s">
        <v>81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qref="F1:T1" xr:uid="{A9D555A7-9D7C-41E3-B75E-D11114E37111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  <dataValidation type="list" allowBlank="1" showInputMessage="1" showErrorMessage="1" sqref="E4:E30" xr:uid="{CA5C8226-1DD8-4DEC-98C2-2359A9525420}">
      <formula1>$U$2:$W$2</formula1>
    </dataValidation>
    <dataValidation type="list" showInputMessage="1" showErrorMessage="1" sqref="K4:K30 P4:P30 F4:F30" xr:uid="{54F49694-5192-454C-8588-A1E2D3CBAB8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2AF1E-80BE-4DF0-8CBF-C78811B00328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192</v>
      </c>
      <c r="G1" s="84"/>
      <c r="H1" s="84"/>
      <c r="I1" s="85"/>
      <c r="J1" s="86"/>
      <c r="K1" s="83" t="s">
        <v>206</v>
      </c>
      <c r="L1" s="84"/>
      <c r="M1" s="84"/>
      <c r="N1" s="85"/>
      <c r="O1" s="86"/>
      <c r="P1" s="83" t="s">
        <v>205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だいち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れんたろう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ただ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だいち</v>
      </c>
      <c r="V2" s="75" t="str">
        <f>$K$1</f>
        <v>れんたろう</v>
      </c>
      <c r="W2" s="16" t="str">
        <f>$P$1</f>
        <v>ただ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194</v>
      </c>
      <c r="G4" s="9">
        <v>5800</v>
      </c>
      <c r="H4" s="9"/>
      <c r="I4" s="48">
        <v>0</v>
      </c>
      <c r="J4" s="21">
        <f>IF(COUNTA($F4,$K4,$P4)&gt;0,J3+SUM(G4:I4),"")</f>
        <v>40800</v>
      </c>
      <c r="K4" s="8" t="s">
        <v>195</v>
      </c>
      <c r="L4" s="9">
        <v>-5800</v>
      </c>
      <c r="M4" s="9"/>
      <c r="N4" s="48"/>
      <c r="O4" s="21">
        <f>IF(COUNTA($F4,$K4,$P4)&gt;0,O3+SUM(L4:N4),"")</f>
        <v>29200</v>
      </c>
      <c r="P4" s="8"/>
      <c r="Q4" s="9"/>
      <c r="R4" s="9"/>
      <c r="S4" s="48">
        <v>0</v>
      </c>
      <c r="T4" s="21">
        <f>IF(COUNTA($F4,$K4,$P4)&gt;0,T3+SUM(Q4:S4),"")</f>
        <v>35000</v>
      </c>
      <c r="U4" s="53">
        <f>IF($J4="","",ROUND(($J4-$J$3)/1000,1)+(_xlfn.RANK.AVG($J4,($J4,$O4,$T4),1)-2)*10)</f>
        <v>15.8</v>
      </c>
      <c r="V4" s="54">
        <f>IF($O4="","",ROUND(($O4-$O$3)/1000,1)+(_xlfn.RANK.AVG($O4,($J4,$O4,$T4),1)-2)*10)</f>
        <v>-15.8</v>
      </c>
      <c r="W4" s="55">
        <f>IF($T4="","",ROUND(($T4-$T$3)/1000,1)+(_xlfn.RANK.AVG($T4,($J4,$O4,$T4),1)-2)*10)</f>
        <v>0</v>
      </c>
      <c r="Y4" s="8"/>
      <c r="Z4" s="34"/>
      <c r="AA4" s="26">
        <v>1</v>
      </c>
      <c r="AB4" s="26"/>
      <c r="AC4" s="26">
        <v>3</v>
      </c>
      <c r="AD4" s="30">
        <v>30</v>
      </c>
      <c r="AE4" s="40" t="s">
        <v>201</v>
      </c>
      <c r="AF4" s="41" t="s">
        <v>83</v>
      </c>
      <c r="AG4" s="41" t="s">
        <v>79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203</v>
      </c>
      <c r="G5" s="9">
        <v>11600</v>
      </c>
      <c r="H5" s="9"/>
      <c r="I5" s="48">
        <v>1000</v>
      </c>
      <c r="J5" s="21">
        <f t="shared" ref="J5:J30" si="2">IF(COUNTA($F5,$K5,$P5)&gt;0,J4+SUM(G5:I5),"")</f>
        <v>53400</v>
      </c>
      <c r="K5" s="8" t="s">
        <v>202</v>
      </c>
      <c r="L5" s="9">
        <v>-5800</v>
      </c>
      <c r="M5" s="9"/>
      <c r="N5" s="48">
        <v>-500</v>
      </c>
      <c r="O5" s="21">
        <f t="shared" ref="O5:O30" si="3">IF(COUNTA($F5,$K5,$P5)&gt;0,O4+SUM(L5:N5),"")</f>
        <v>22900</v>
      </c>
      <c r="P5" s="8" t="s">
        <v>202</v>
      </c>
      <c r="Q5" s="9">
        <v>-5800</v>
      </c>
      <c r="R5" s="9"/>
      <c r="S5" s="48">
        <v>-500</v>
      </c>
      <c r="T5" s="21">
        <f t="shared" ref="T5:T30" si="4">IF(COUNTA($F5,$K5,$P5)&gt;0,T4+SUM(Q5:S5),"")</f>
        <v>28700</v>
      </c>
      <c r="U5" s="53">
        <f>IF($J5="","",ROUND(($J5-$J$3)/1000,1)+(_xlfn.RANK.AVG($J5,($J5,$O5,$T5),1)-2)*10)</f>
        <v>28.4</v>
      </c>
      <c r="V5" s="54">
        <f>IF($O5="","",ROUND(($O5-$O$3)/1000,1)+(_xlfn.RANK.AVG($O5,($J5,$O5,$T5),1)-2)*10)</f>
        <v>-22.1</v>
      </c>
      <c r="W5" s="55">
        <f>IF($T5="","",ROUND(($T5-$T$3)/1000,1)+(_xlfn.RANK.AVG($T5,($J5,$O5,$T5),1)-2)*10)</f>
        <v>-6.3</v>
      </c>
      <c r="Y5" s="8"/>
      <c r="Z5" s="34"/>
      <c r="AA5" s="26">
        <v>1</v>
      </c>
      <c r="AB5" s="26"/>
      <c r="AC5" s="26">
        <v>4</v>
      </c>
      <c r="AD5" s="30">
        <v>30</v>
      </c>
      <c r="AE5" s="40" t="s">
        <v>201</v>
      </c>
      <c r="AF5" s="41" t="s">
        <v>82</v>
      </c>
      <c r="AG5" s="41" t="s">
        <v>207</v>
      </c>
      <c r="AH5" s="41" t="s">
        <v>81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だいち</v>
      </c>
      <c r="F6" s="8" t="s">
        <v>202</v>
      </c>
      <c r="G6" s="9">
        <v>-7500</v>
      </c>
      <c r="H6" s="9">
        <v>-1000</v>
      </c>
      <c r="I6" s="48">
        <v>-1000</v>
      </c>
      <c r="J6" s="21">
        <f t="shared" si="2"/>
        <v>43900</v>
      </c>
      <c r="K6" s="8" t="s">
        <v>203</v>
      </c>
      <c r="L6" s="9">
        <v>12000</v>
      </c>
      <c r="M6" s="9">
        <v>1000</v>
      </c>
      <c r="N6" s="48">
        <v>2000</v>
      </c>
      <c r="O6" s="21">
        <f t="shared" si="3"/>
        <v>37900</v>
      </c>
      <c r="P6" s="8" t="s">
        <v>202</v>
      </c>
      <c r="Q6" s="9">
        <v>-4500</v>
      </c>
      <c r="R6" s="9"/>
      <c r="S6" s="48">
        <v>-1000</v>
      </c>
      <c r="T6" s="21">
        <f t="shared" si="4"/>
        <v>23200</v>
      </c>
      <c r="U6" s="53">
        <f>IF($J6="","",ROUND(($J6-$J$3)/1000,1)+(_xlfn.RANK.AVG($J6,($J6,$O6,$T6),1)-2)*10)</f>
        <v>18.899999999999999</v>
      </c>
      <c r="V6" s="54">
        <f>IF($O6="","",ROUND(($O6-$O$3)/1000,1)+(_xlfn.RANK.AVG($O6,($J6,$O6,$T6),1)-2)*10)</f>
        <v>2.9</v>
      </c>
      <c r="W6" s="55">
        <f>IF($T6="","",ROUND(($T6-$T$3)/1000,1)+(_xlfn.RANK.AVG($T6,($J6,$O6,$T6),1)-2)*10)</f>
        <v>-21.8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6</v>
      </c>
      <c r="AY6" s="30" t="s">
        <v>196</v>
      </c>
      <c r="AZ6" s="40" t="s">
        <v>91</v>
      </c>
      <c r="BA6" s="41" t="s">
        <v>82</v>
      </c>
      <c r="BB6" s="41" t="s">
        <v>86</v>
      </c>
      <c r="BC6" s="41" t="s">
        <v>81</v>
      </c>
      <c r="BD6" s="41" t="s">
        <v>80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tr">
        <f>IF($K$1="","",$K$1)</f>
        <v>れんたろう</v>
      </c>
      <c r="F7" s="8" t="s">
        <v>194</v>
      </c>
      <c r="G7" s="9">
        <v>2600</v>
      </c>
      <c r="H7" s="9">
        <v>2000</v>
      </c>
      <c r="I7" s="48">
        <v>0</v>
      </c>
      <c r="J7" s="21">
        <f t="shared" si="2"/>
        <v>48500</v>
      </c>
      <c r="K7" s="8"/>
      <c r="L7" s="9"/>
      <c r="M7" s="9"/>
      <c r="N7" s="48"/>
      <c r="O7" s="21">
        <f t="shared" si="3"/>
        <v>37900</v>
      </c>
      <c r="P7" s="8" t="s">
        <v>195</v>
      </c>
      <c r="Q7" s="9">
        <v>-2600</v>
      </c>
      <c r="R7" s="9">
        <v>-2000</v>
      </c>
      <c r="S7" s="48">
        <v>0</v>
      </c>
      <c r="T7" s="21">
        <f t="shared" si="4"/>
        <v>18600</v>
      </c>
      <c r="U7" s="53">
        <f>IF($J7="","",ROUND(($J7-$J$3)/1000,1)+(_xlfn.RANK.AVG($J7,($J7,$O7,$T7),1)-2)*10)</f>
        <v>23.5</v>
      </c>
      <c r="V7" s="54">
        <f>IF($O7="","",ROUND(($O7-$O$3)/1000,1)+(_xlfn.RANK.AVG($O7,($J7,$O7,$T7),1)-2)*10)</f>
        <v>2.9</v>
      </c>
      <c r="W7" s="55">
        <f>IF($T7="","",ROUND(($T7-$T$3)/1000,1)+(_xlfn.RANK.AVG($T7,($J7,$O7,$T7),1)-2)*10)</f>
        <v>-26.4</v>
      </c>
      <c r="Y7" s="8"/>
      <c r="Z7" s="34"/>
      <c r="AA7" s="26">
        <v>1</v>
      </c>
      <c r="AB7" s="26"/>
      <c r="AC7" s="26">
        <v>2</v>
      </c>
      <c r="AD7" s="30">
        <v>40</v>
      </c>
      <c r="AE7" s="40" t="s">
        <v>201</v>
      </c>
      <c r="AF7" s="41" t="s">
        <v>84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ただ</v>
      </c>
      <c r="F8" s="8" t="s">
        <v>199</v>
      </c>
      <c r="G8" s="9">
        <v>-3000</v>
      </c>
      <c r="H8" s="9"/>
      <c r="I8" s="48"/>
      <c r="J8" s="21">
        <f t="shared" si="2"/>
        <v>45500</v>
      </c>
      <c r="K8" s="8" t="s">
        <v>199</v>
      </c>
      <c r="L8" s="9">
        <v>1500</v>
      </c>
      <c r="M8" s="9">
        <v>-1000</v>
      </c>
      <c r="N8" s="48"/>
      <c r="O8" s="21">
        <f t="shared" si="3"/>
        <v>38400</v>
      </c>
      <c r="P8" s="8" t="s">
        <v>199</v>
      </c>
      <c r="Q8" s="9">
        <v>1500</v>
      </c>
      <c r="R8" s="9"/>
      <c r="S8" s="48"/>
      <c r="T8" s="21">
        <f t="shared" si="4"/>
        <v>20100</v>
      </c>
      <c r="U8" s="53">
        <f>IF($J8="","",ROUND(($J8-$J$3)/1000,1)+(_xlfn.RANK.AVG($J8,($J8,$O8,$T8),1)-2)*10)</f>
        <v>20.5</v>
      </c>
      <c r="V8" s="54">
        <f>IF($O8="","",ROUND(($O8-$O$3)/1000,1)+(_xlfn.RANK.AVG($O8,($J8,$O8,$T8),1)-2)*10)</f>
        <v>3.4</v>
      </c>
      <c r="W8" s="55">
        <f>IF($T8="","",ROUND(($T8-$T$3)/1000,1)+(_xlfn.RANK.AVG($T8,($J8,$O8,$T8),1)-2)*10)</f>
        <v>-24.9</v>
      </c>
      <c r="Y8" s="8" t="s">
        <v>197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198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198</v>
      </c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1</v>
      </c>
      <c r="E9" s="4" t="str">
        <f>IF($P$1="","",$P$1)</f>
        <v>ただ</v>
      </c>
      <c r="F9" s="8" t="s">
        <v>208</v>
      </c>
      <c r="G9" s="9">
        <v>5000</v>
      </c>
      <c r="H9" s="9"/>
      <c r="I9" s="48"/>
      <c r="J9" s="21">
        <f t="shared" si="2"/>
        <v>50500</v>
      </c>
      <c r="K9" s="8" t="s">
        <v>208</v>
      </c>
      <c r="L9" s="9">
        <v>5000</v>
      </c>
      <c r="M9" s="9"/>
      <c r="N9" s="48"/>
      <c r="O9" s="21">
        <f t="shared" si="3"/>
        <v>43400</v>
      </c>
      <c r="P9" s="8" t="s">
        <v>208</v>
      </c>
      <c r="Q9" s="9">
        <v>-10000</v>
      </c>
      <c r="R9" s="9"/>
      <c r="S9" s="48"/>
      <c r="T9" s="21">
        <f t="shared" si="4"/>
        <v>10100</v>
      </c>
      <c r="U9" s="53">
        <f>IF($J9="","",ROUND(($J9-$J$3)/1000,1)+(_xlfn.RANK.AVG($J9,($J9,$O9,$T9),1)-2)*10)</f>
        <v>25.5</v>
      </c>
      <c r="V9" s="54">
        <f>IF($O9="","",ROUND(($O9-$O$3)/1000,1)+(_xlfn.RANK.AVG($O9,($J9,$O9,$T9),1)-2)*10)</f>
        <v>8.4</v>
      </c>
      <c r="W9" s="55">
        <f>IF($T9="","",ROUND(($T9-$T$3)/1000,1)+(_xlfn.RANK.AVG($T9,($J9,$O9,$T9),1)-2)*10)</f>
        <v>-34.9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>
        <v>1</v>
      </c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1</v>
      </c>
      <c r="E10" s="4" t="str">
        <f>IF($F$1="","",$F$1)</f>
        <v>だいち</v>
      </c>
      <c r="F10" s="8" t="s">
        <v>202</v>
      </c>
      <c r="G10" s="9">
        <v>-7500</v>
      </c>
      <c r="H10" s="9"/>
      <c r="I10" s="48">
        <v>-500</v>
      </c>
      <c r="J10" s="21">
        <f t="shared" si="2"/>
        <v>42500</v>
      </c>
      <c r="K10" s="8" t="s">
        <v>202</v>
      </c>
      <c r="L10" s="9">
        <v>-4500</v>
      </c>
      <c r="M10" s="9"/>
      <c r="N10" s="48">
        <v>-500</v>
      </c>
      <c r="O10" s="21">
        <f t="shared" si="3"/>
        <v>38400</v>
      </c>
      <c r="P10" s="8" t="s">
        <v>203</v>
      </c>
      <c r="Q10" s="9">
        <v>12000</v>
      </c>
      <c r="R10" s="9">
        <v>1000</v>
      </c>
      <c r="S10" s="48">
        <v>1000</v>
      </c>
      <c r="T10" s="21">
        <f t="shared" si="4"/>
        <v>24100</v>
      </c>
      <c r="U10" s="53">
        <f>IF($J10="","",ROUND(($J10-$J$3)/1000,1)+(_xlfn.RANK.AVG($J10,($J10,$O10,$T10),1)-2)*10)</f>
        <v>17.5</v>
      </c>
      <c r="V10" s="54">
        <f>IF($O10="","",ROUND(($O10-$O$3)/1000,1)+(_xlfn.RANK.AVG($O10,($J10,$O10,$T10),1)-2)*10)</f>
        <v>3.4</v>
      </c>
      <c r="W10" s="55">
        <f>IF($T10="","",ROUND(($T10-$T$3)/1000,1)+(_xlfn.RANK.AVG($T10,($J10,$O10,$T10),1)-2)*10)</f>
        <v>-20.9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6</v>
      </c>
      <c r="BT10" s="30" t="s">
        <v>196</v>
      </c>
      <c r="BU10" s="40" t="s">
        <v>201</v>
      </c>
      <c r="BV10" s="41" t="s">
        <v>82</v>
      </c>
      <c r="BW10" s="41" t="s">
        <v>207</v>
      </c>
      <c r="BX10" s="41" t="s">
        <v>83</v>
      </c>
      <c r="BY10" s="41" t="s">
        <v>81</v>
      </c>
      <c r="BZ10" s="41" t="s">
        <v>81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れんたろう</v>
      </c>
      <c r="F11" s="8" t="s">
        <v>202</v>
      </c>
      <c r="G11" s="9">
        <v>-6000</v>
      </c>
      <c r="H11" s="9"/>
      <c r="I11" s="48">
        <v>0</v>
      </c>
      <c r="J11" s="21">
        <f t="shared" si="2"/>
        <v>36500</v>
      </c>
      <c r="K11" s="8" t="s">
        <v>202</v>
      </c>
      <c r="L11" s="9">
        <v>-10000</v>
      </c>
      <c r="M11" s="9"/>
      <c r="N11" s="48">
        <v>0</v>
      </c>
      <c r="O11" s="21">
        <f t="shared" si="3"/>
        <v>28400</v>
      </c>
      <c r="P11" s="8" t="s">
        <v>203</v>
      </c>
      <c r="Q11" s="9">
        <v>16000</v>
      </c>
      <c r="R11" s="9"/>
      <c r="S11" s="48">
        <v>0</v>
      </c>
      <c r="T11" s="21">
        <f t="shared" si="4"/>
        <v>40100</v>
      </c>
      <c r="U11" s="53">
        <f>IF($J11="","",ROUND(($J11-$J$3)/1000,1)+(_xlfn.RANK.AVG($J11,($J11,$O11,$T11),1)-2)*10)</f>
        <v>1.5</v>
      </c>
      <c r="V11" s="54">
        <f>IF($O11="","",ROUND(($O11-$O$3)/1000,1)+(_xlfn.RANK.AVG($O11,($J11,$O11,$T11),1)-2)*10)</f>
        <v>-16.600000000000001</v>
      </c>
      <c r="W11" s="55">
        <f>IF($T11="","",ROUND(($T11-$T$3)/1000,1)+(_xlfn.RANK.AVG($T11,($J11,$O11,$T11),1)-2)*10)</f>
        <v>15.1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9</v>
      </c>
      <c r="BT11" s="30" t="s">
        <v>196</v>
      </c>
      <c r="BU11" s="40" t="s">
        <v>201</v>
      </c>
      <c r="BV11" s="41" t="s">
        <v>82</v>
      </c>
      <c r="BW11" s="41" t="s">
        <v>207</v>
      </c>
      <c r="BX11" s="41" t="s">
        <v>83</v>
      </c>
      <c r="BY11" s="41" t="s">
        <v>85</v>
      </c>
      <c r="BZ11" s="41" t="s">
        <v>79</v>
      </c>
      <c r="CA11" s="41" t="s">
        <v>79</v>
      </c>
      <c r="CB11" s="41" t="s">
        <v>81</v>
      </c>
      <c r="CC11" s="41" t="s">
        <v>81</v>
      </c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ただ</v>
      </c>
      <c r="F12" s="8"/>
      <c r="G12" s="9"/>
      <c r="H12" s="9"/>
      <c r="I12" s="48"/>
      <c r="J12" s="21">
        <f t="shared" si="2"/>
        <v>36500</v>
      </c>
      <c r="K12" s="8" t="s">
        <v>195</v>
      </c>
      <c r="L12" s="9">
        <v>-18000</v>
      </c>
      <c r="M12" s="9"/>
      <c r="N12" s="48">
        <v>0</v>
      </c>
      <c r="O12" s="21">
        <f t="shared" si="3"/>
        <v>10400</v>
      </c>
      <c r="P12" s="8" t="s">
        <v>194</v>
      </c>
      <c r="Q12" s="9">
        <v>18000</v>
      </c>
      <c r="R12" s="9"/>
      <c r="S12" s="48">
        <v>0</v>
      </c>
      <c r="T12" s="21">
        <f t="shared" si="4"/>
        <v>58100</v>
      </c>
      <c r="U12" s="53">
        <f>IF($J12="","",ROUND(($J12-$J$3)/1000,1)+(_xlfn.RANK.AVG($J12,($J12,$O12,$T12),1)-2)*10)</f>
        <v>1.5</v>
      </c>
      <c r="V12" s="54">
        <f>IF($O12="","",ROUND(($O12-$O$3)/1000,1)+(_xlfn.RANK.AVG($O12,($J12,$O12,$T12),1)-2)*10)</f>
        <v>-34.6</v>
      </c>
      <c r="W12" s="55">
        <f>IF($T12="","",ROUND(($T12-$T$3)/1000,1)+(_xlfn.RANK.AVG($T12,($J12,$O12,$T12),1)-2)*10)</f>
        <v>33.1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7</v>
      </c>
      <c r="BT12" s="30" t="s">
        <v>196</v>
      </c>
      <c r="BU12" s="40" t="s">
        <v>201</v>
      </c>
      <c r="BV12" s="41" t="s">
        <v>79</v>
      </c>
      <c r="BW12" s="41" t="s">
        <v>79</v>
      </c>
      <c r="BX12" s="41" t="s">
        <v>79</v>
      </c>
      <c r="BY12" s="41" t="s">
        <v>81</v>
      </c>
      <c r="BZ12" s="41" t="s">
        <v>81</v>
      </c>
      <c r="CA12" s="41" t="s">
        <v>81</v>
      </c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showInputMessage="1" showErrorMessage="1" sqref="K4:K30 P4:P30 F4:F30" xr:uid="{33D09F3B-D2A5-4F8A-AA56-C01E2BCF20D9}">
      <formula1>"ロン,ツモ,放銃,ツモ支払,流局,チョンボ"</formula1>
    </dataValidation>
    <dataValidation type="list" allowBlank="1" showInputMessage="1" showErrorMessage="1" sqref="E4:E30" xr:uid="{5471BB67-825A-424A-9EED-16B77B1BF55C}">
      <formula1>$U$2:$W$2</formula1>
    </dataValidation>
    <dataValidation type="list" allowBlank="1" showInputMessage="1" sqref="F1:T1" xr:uid="{6DBF509E-A5EC-4541-9825-3C2DF776E955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11F4A-CB05-4DEF-8AB6-80B084825780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206</v>
      </c>
      <c r="G1" s="84"/>
      <c r="H1" s="84"/>
      <c r="I1" s="85"/>
      <c r="J1" s="86"/>
      <c r="K1" s="83" t="s">
        <v>205</v>
      </c>
      <c r="L1" s="84"/>
      <c r="M1" s="84"/>
      <c r="N1" s="85"/>
      <c r="O1" s="86"/>
      <c r="P1" s="83" t="s">
        <v>192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れんたろう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ただ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だいち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れんたろう</v>
      </c>
      <c r="V2" s="75" t="str">
        <f>$K$1</f>
        <v>ただ</v>
      </c>
      <c r="W2" s="16" t="str">
        <f>$P$1</f>
        <v>だいち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202</v>
      </c>
      <c r="G4" s="9">
        <v>-1300</v>
      </c>
      <c r="H4" s="9"/>
      <c r="I4" s="48">
        <v>0</v>
      </c>
      <c r="J4" s="21">
        <f>IF(COUNTA($F4,$K4,$P4)&gt;0,J3+SUM(G4:I4),"")</f>
        <v>33700</v>
      </c>
      <c r="K4" s="8" t="s">
        <v>203</v>
      </c>
      <c r="L4" s="9">
        <v>2100</v>
      </c>
      <c r="M4" s="9"/>
      <c r="N4" s="48">
        <v>0</v>
      </c>
      <c r="O4" s="21">
        <f>IF(COUNTA($F4,$K4,$P4)&gt;0,O3+SUM(L4:N4),"")</f>
        <v>37100</v>
      </c>
      <c r="P4" s="8" t="s">
        <v>202</v>
      </c>
      <c r="Q4" s="9">
        <v>-800</v>
      </c>
      <c r="R4" s="9"/>
      <c r="S4" s="48">
        <v>0</v>
      </c>
      <c r="T4" s="21">
        <f>IF(COUNTA($F4,$K4,$P4)&gt;0,T3+SUM(Q4:S4),"")</f>
        <v>34200</v>
      </c>
      <c r="U4" s="53">
        <f>IF($J4="","",ROUND(($J4-$J$3)/1000,1)+(_xlfn.RANK.AVG($J4,($J4,$O4,$T4),1)-2)*10)</f>
        <v>-11.3</v>
      </c>
      <c r="V4" s="54">
        <f>IF($O4="","",ROUND(($O4-$O$3)/1000,1)+(_xlfn.RANK.AVG($O4,($J4,$O4,$T4),1)-2)*10)</f>
        <v>12.1</v>
      </c>
      <c r="W4" s="55">
        <f>IF($T4="","",ROUND(($T4-$T$3)/1000,1)+(_xlfn.RANK.AVG($T4,($J4,$O4,$T4),1)-2)*10)</f>
        <v>-0.8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2</v>
      </c>
      <c r="AY4" s="30">
        <v>30</v>
      </c>
      <c r="AZ4" s="40" t="s">
        <v>86</v>
      </c>
      <c r="BA4" s="41" t="s">
        <v>81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203</v>
      </c>
      <c r="G5" s="9">
        <v>7700</v>
      </c>
      <c r="H5" s="9"/>
      <c r="I5" s="48">
        <v>0</v>
      </c>
      <c r="J5" s="21">
        <f t="shared" ref="J5:J30" si="2">IF(COUNTA($F5,$K5,$P5)&gt;0,J4+SUM(G5:I5),"")</f>
        <v>41400</v>
      </c>
      <c r="K5" s="8" t="s">
        <v>202</v>
      </c>
      <c r="L5" s="9">
        <v>-4800</v>
      </c>
      <c r="M5" s="9"/>
      <c r="N5" s="48">
        <v>0</v>
      </c>
      <c r="O5" s="21">
        <f t="shared" ref="O5:O30" si="3">IF(COUNTA($F5,$K5,$P5)&gt;0,O4+SUM(L5:N5),"")</f>
        <v>32300</v>
      </c>
      <c r="P5" s="8" t="s">
        <v>202</v>
      </c>
      <c r="Q5" s="9">
        <v>-2900</v>
      </c>
      <c r="R5" s="9"/>
      <c r="S5" s="48">
        <v>0</v>
      </c>
      <c r="T5" s="21">
        <f t="shared" ref="T5:T30" si="4">IF(COUNTA($F5,$K5,$P5)&gt;0,T4+SUM(Q5:S5),"")</f>
        <v>31300</v>
      </c>
      <c r="U5" s="53">
        <f>IF($J5="","",ROUND(($J5-$J$3)/1000,1)+(_xlfn.RANK.AVG($J5,($J5,$O5,$T5),1)-2)*10)</f>
        <v>16.399999999999999</v>
      </c>
      <c r="V5" s="54">
        <f>IF($O5="","",ROUND(($O5-$O$3)/1000,1)+(_xlfn.RANK.AVG($O5,($J5,$O5,$T5),1)-2)*10)</f>
        <v>-2.7</v>
      </c>
      <c r="W5" s="55">
        <f>IF($T5="","",ROUND(($T5-$T$3)/1000,1)+(_xlfn.RANK.AVG($T5,($J5,$O5,$T5),1)-2)*10)</f>
        <v>-13.7</v>
      </c>
      <c r="Y5" s="8"/>
      <c r="Z5" s="34"/>
      <c r="AA5" s="26">
        <v>1</v>
      </c>
      <c r="AB5" s="26"/>
      <c r="AC5" s="26">
        <v>4</v>
      </c>
      <c r="AD5" s="30">
        <v>30</v>
      </c>
      <c r="AE5" s="40" t="s">
        <v>201</v>
      </c>
      <c r="AF5" s="41" t="s">
        <v>82</v>
      </c>
      <c r="AG5" s="41" t="s">
        <v>207</v>
      </c>
      <c r="AH5" s="41" t="s">
        <v>86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202</v>
      </c>
      <c r="G6" s="9">
        <v>-9000</v>
      </c>
      <c r="H6" s="9"/>
      <c r="I6" s="48">
        <v>0</v>
      </c>
      <c r="J6" s="21">
        <f t="shared" si="2"/>
        <v>32400</v>
      </c>
      <c r="K6" s="8" t="s">
        <v>202</v>
      </c>
      <c r="L6" s="9">
        <v>-9000</v>
      </c>
      <c r="M6" s="9"/>
      <c r="N6" s="48">
        <v>0</v>
      </c>
      <c r="O6" s="21">
        <f t="shared" si="3"/>
        <v>23300</v>
      </c>
      <c r="P6" s="8" t="s">
        <v>203</v>
      </c>
      <c r="Q6" s="9">
        <v>18000</v>
      </c>
      <c r="R6" s="9"/>
      <c r="S6" s="48">
        <v>0</v>
      </c>
      <c r="T6" s="21">
        <f t="shared" si="4"/>
        <v>49300</v>
      </c>
      <c r="U6" s="53">
        <f>IF($J6="","",ROUND(($J6-$J$3)/1000,1)+(_xlfn.RANK.AVG($J6,($J6,$O6,$T6),1)-2)*10)</f>
        <v>-2.6</v>
      </c>
      <c r="V6" s="54">
        <f>IF($O6="","",ROUND(($O6-$O$3)/1000,1)+(_xlfn.RANK.AVG($O6,($J6,$O6,$T6),1)-2)*10)</f>
        <v>-21.7</v>
      </c>
      <c r="W6" s="55">
        <f>IF($T6="","",ROUND(($T6-$T$3)/1000,1)+(_xlfn.RANK.AVG($T6,($J6,$O6,$T6),1)-2)*10)</f>
        <v>24.3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6</v>
      </c>
      <c r="BT6" s="30" t="s">
        <v>196</v>
      </c>
      <c r="BU6" s="40" t="s">
        <v>201</v>
      </c>
      <c r="BV6" s="41" t="s">
        <v>92</v>
      </c>
      <c r="BW6" s="41" t="s">
        <v>79</v>
      </c>
      <c r="BX6" s="41" t="s">
        <v>81</v>
      </c>
      <c r="BY6" s="41" t="s">
        <v>81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だいち</v>
      </c>
      <c r="F7" s="8" t="s">
        <v>202</v>
      </c>
      <c r="G7" s="9">
        <v>-6000</v>
      </c>
      <c r="H7" s="9">
        <v>-1000</v>
      </c>
      <c r="I7" s="48">
        <v>-500</v>
      </c>
      <c r="J7" s="21">
        <f t="shared" si="2"/>
        <v>24900</v>
      </c>
      <c r="K7" s="8" t="s">
        <v>202</v>
      </c>
      <c r="L7" s="9">
        <v>-6000</v>
      </c>
      <c r="M7" s="9"/>
      <c r="N7" s="48">
        <v>-500</v>
      </c>
      <c r="O7" s="21">
        <f t="shared" si="3"/>
        <v>16800</v>
      </c>
      <c r="P7" s="8" t="s">
        <v>203</v>
      </c>
      <c r="Q7" s="9">
        <v>12000</v>
      </c>
      <c r="R7" s="9">
        <v>1000</v>
      </c>
      <c r="S7" s="48">
        <v>1000</v>
      </c>
      <c r="T7" s="21">
        <f t="shared" si="4"/>
        <v>63300</v>
      </c>
      <c r="U7" s="53">
        <f>IF($J7="","",ROUND(($J7-$J$3)/1000,1)+(_xlfn.RANK.AVG($J7,($J7,$O7,$T7),1)-2)*10)</f>
        <v>-10.1</v>
      </c>
      <c r="V7" s="54">
        <f>IF($O7="","",ROUND(($O7-$O$3)/1000,1)+(_xlfn.RANK.AVG($O7,($J7,$O7,$T7),1)-2)*10)</f>
        <v>-28.2</v>
      </c>
      <c r="W7" s="55">
        <f>IF($T7="","",ROUND(($T7-$T$3)/1000,1)+(_xlfn.RANK.AVG($T7,($J7,$O7,$T7),1)-2)*10)</f>
        <v>38.299999999999997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5</v>
      </c>
      <c r="BT7" s="30" t="s">
        <v>196</v>
      </c>
      <c r="BU7" s="40" t="s">
        <v>86</v>
      </c>
      <c r="BV7" s="41" t="s">
        <v>79</v>
      </c>
      <c r="BW7" s="41" t="s">
        <v>79</v>
      </c>
      <c r="BX7" s="41" t="s">
        <v>81</v>
      </c>
      <c r="BY7" s="41" t="s">
        <v>81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tr">
        <f>IF($P$1="","",$P$1)</f>
        <v>だいち</v>
      </c>
      <c r="F8" s="8" t="s">
        <v>195</v>
      </c>
      <c r="G8" s="9">
        <v>-12000</v>
      </c>
      <c r="H8" s="9"/>
      <c r="I8" s="48">
        <v>-2000</v>
      </c>
      <c r="J8" s="21">
        <f t="shared" si="2"/>
        <v>10900</v>
      </c>
      <c r="K8" s="8" t="s">
        <v>194</v>
      </c>
      <c r="L8" s="9">
        <v>12000</v>
      </c>
      <c r="M8" s="9"/>
      <c r="N8" s="48">
        <v>2000</v>
      </c>
      <c r="O8" s="21">
        <f t="shared" si="3"/>
        <v>30800</v>
      </c>
      <c r="P8" s="8"/>
      <c r="Q8" s="9"/>
      <c r="R8" s="9"/>
      <c r="S8" s="48"/>
      <c r="T8" s="21">
        <f t="shared" si="4"/>
        <v>63300</v>
      </c>
      <c r="U8" s="53">
        <f>IF($J8="","",ROUND(($J8-$J$3)/1000,1)+(_xlfn.RANK.AVG($J8,($J8,$O8,$T8),1)-2)*10)</f>
        <v>-34.1</v>
      </c>
      <c r="V8" s="54">
        <f>IF($O8="","",ROUND(($O8-$O$3)/1000,1)+(_xlfn.RANK.AVG($O8,($J8,$O8,$T8),1)-2)*10)</f>
        <v>-4.2</v>
      </c>
      <c r="W8" s="55">
        <f>IF($T8="","",ROUND(($T8-$T$3)/1000,1)+(_xlfn.RANK.AVG($T8,($J8,$O8,$T8),1)-2)*10)</f>
        <v>38.299999999999997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7</v>
      </c>
      <c r="AY8" s="30" t="s">
        <v>196</v>
      </c>
      <c r="AZ8" s="40" t="s">
        <v>86</v>
      </c>
      <c r="BA8" s="41" t="s">
        <v>98</v>
      </c>
      <c r="BB8" s="41" t="s">
        <v>79</v>
      </c>
      <c r="BC8" s="41" t="s">
        <v>79</v>
      </c>
      <c r="BD8" s="41" t="s">
        <v>79</v>
      </c>
      <c r="BE8" s="41" t="s">
        <v>81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れんたろう</v>
      </c>
      <c r="F9" s="8" t="s">
        <v>199</v>
      </c>
      <c r="G9" s="9">
        <v>-1500</v>
      </c>
      <c r="H9" s="9"/>
      <c r="I9" s="48"/>
      <c r="J9" s="21">
        <f t="shared" si="2"/>
        <v>9400</v>
      </c>
      <c r="K9" s="8" t="s">
        <v>199</v>
      </c>
      <c r="L9" s="9">
        <v>-1500</v>
      </c>
      <c r="M9" s="9"/>
      <c r="N9" s="48"/>
      <c r="O9" s="21">
        <f t="shared" si="3"/>
        <v>29300</v>
      </c>
      <c r="P9" s="8" t="s">
        <v>199</v>
      </c>
      <c r="Q9" s="9">
        <v>3000</v>
      </c>
      <c r="R9" s="9"/>
      <c r="S9" s="48"/>
      <c r="T9" s="21">
        <f t="shared" si="4"/>
        <v>66300</v>
      </c>
      <c r="U9" s="53">
        <f>IF($J9="","",ROUND(($J9-$J$3)/1000,1)+(_xlfn.RANK.AVG($J9,($J9,$O9,$T9),1)-2)*10)</f>
        <v>-35.6</v>
      </c>
      <c r="V9" s="54">
        <f>IF($O9="","",ROUND(($O9-$O$3)/1000,1)+(_xlfn.RANK.AVG($O9,($J9,$O9,$T9),1)-2)*10)</f>
        <v>-5.7</v>
      </c>
      <c r="W9" s="55">
        <f>IF($T9="","",ROUND(($T9-$T$3)/1000,1)+(_xlfn.RANK.AVG($T9,($J9,$O9,$T9),1)-2)*10)</f>
        <v>41.3</v>
      </c>
      <c r="Y9" s="8" t="s">
        <v>197</v>
      </c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197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198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ただ</v>
      </c>
      <c r="F10" s="8" t="s">
        <v>199</v>
      </c>
      <c r="G10" s="9">
        <v>3000</v>
      </c>
      <c r="H10" s="9">
        <v>-1000</v>
      </c>
      <c r="I10" s="48"/>
      <c r="J10" s="21">
        <f t="shared" si="2"/>
        <v>11400</v>
      </c>
      <c r="K10" s="8" t="s">
        <v>199</v>
      </c>
      <c r="L10" s="9">
        <v>-1500</v>
      </c>
      <c r="M10" s="9"/>
      <c r="N10" s="48"/>
      <c r="O10" s="21">
        <f t="shared" si="3"/>
        <v>27800</v>
      </c>
      <c r="P10" s="8" t="s">
        <v>199</v>
      </c>
      <c r="Q10" s="9">
        <v>-1500</v>
      </c>
      <c r="R10" s="9"/>
      <c r="S10" s="48"/>
      <c r="T10" s="21">
        <f t="shared" si="4"/>
        <v>64800</v>
      </c>
      <c r="U10" s="53">
        <f>IF($J10="","",ROUND(($J10-$J$3)/1000,1)+(_xlfn.RANK.AVG($J10,($J10,$O10,$T10),1)-2)*10)</f>
        <v>-33.6</v>
      </c>
      <c r="V10" s="54">
        <f>IF($O10="","",ROUND(($O10-$O$3)/1000,1)+(_xlfn.RANK.AVG($O10,($J10,$O10,$T10),1)-2)*10)</f>
        <v>-7.2</v>
      </c>
      <c r="W10" s="55">
        <f>IF($T10="","",ROUND(($T10-$T$3)/1000,1)+(_xlfn.RANK.AVG($T10,($J10,$O10,$T10),1)-2)*10)</f>
        <v>39.799999999999997</v>
      </c>
      <c r="Y10" s="8" t="s">
        <v>198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197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197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2</v>
      </c>
      <c r="D11" s="18">
        <f t="shared" si="1"/>
        <v>1</v>
      </c>
      <c r="E11" s="4" t="str">
        <f>IF($P$1="","",$P$1)</f>
        <v>だいち</v>
      </c>
      <c r="F11" s="8" t="s">
        <v>195</v>
      </c>
      <c r="G11" s="9">
        <v>-3900</v>
      </c>
      <c r="H11" s="9"/>
      <c r="I11" s="48">
        <v>-2000</v>
      </c>
      <c r="J11" s="21">
        <f t="shared" si="2"/>
        <v>5500</v>
      </c>
      <c r="K11" s="8"/>
      <c r="L11" s="9"/>
      <c r="M11" s="9"/>
      <c r="N11" s="48"/>
      <c r="O11" s="21">
        <f t="shared" si="3"/>
        <v>27800</v>
      </c>
      <c r="P11" s="8" t="s">
        <v>194</v>
      </c>
      <c r="Q11" s="9">
        <v>3900</v>
      </c>
      <c r="R11" s="9">
        <v>1000</v>
      </c>
      <c r="S11" s="48">
        <v>2000</v>
      </c>
      <c r="T11" s="21">
        <f t="shared" si="4"/>
        <v>71700</v>
      </c>
      <c r="U11" s="53">
        <f>IF($J11="","",ROUND(($J11-$J$3)/1000,1)+(_xlfn.RANK.AVG($J11,($J11,$O11,$T11),1)-2)*10)</f>
        <v>-39.5</v>
      </c>
      <c r="V11" s="54">
        <f>IF($O11="","",ROUND(($O11-$O$3)/1000,1)+(_xlfn.RANK.AVG($O11,($J11,$O11,$T11),1)-2)*10)</f>
        <v>-7.2</v>
      </c>
      <c r="W11" s="55">
        <f>IF($T11="","",ROUND(($T11-$T$3)/1000,1)+(_xlfn.RANK.AVG($T11,($J11,$O11,$T11),1)-2)*10)</f>
        <v>46.7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2</v>
      </c>
      <c r="BT11" s="30">
        <v>40</v>
      </c>
      <c r="BU11" s="40" t="s">
        <v>201</v>
      </c>
      <c r="BV11" s="41" t="s">
        <v>81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88939AB3-80B7-40A2-8BDD-E8A082C8D4B0}">
      <formula1>$U$2:$W$2</formula1>
    </dataValidation>
    <dataValidation type="list" showInputMessage="1" showErrorMessage="1" sqref="K4:K30 P4:P30 F4:F30" xr:uid="{4AC39426-8995-4658-AF0E-B38B97631A68}">
      <formula1>"ロン,ツモ,放銃,ツモ支払,流局,チョンボ"</formula1>
    </dataValidation>
    <dataValidation type="list" allowBlank="1" showInputMessage="1" sqref="F1:T1" xr:uid="{6919DB2D-DA9B-46D2-B2F9-CEF3B89D9E30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96DC5-1773-4BF7-9352-4473155D018A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209</v>
      </c>
      <c r="G1" s="84"/>
      <c r="H1" s="84"/>
      <c r="I1" s="85"/>
      <c r="J1" s="86"/>
      <c r="K1" s="83" t="s">
        <v>205</v>
      </c>
      <c r="L1" s="84"/>
      <c r="M1" s="84"/>
      <c r="N1" s="85"/>
      <c r="O1" s="86"/>
      <c r="P1" s="83" t="s">
        <v>192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まっつん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ただ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だいち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まっつん</v>
      </c>
      <c r="V2" s="82" t="str">
        <f>$K$1</f>
        <v>ただ</v>
      </c>
      <c r="W2" s="16" t="str">
        <f>$P$1</f>
        <v>だいち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7700</v>
      </c>
      <c r="M4" s="9"/>
      <c r="N4" s="48">
        <v>0</v>
      </c>
      <c r="O4" s="21">
        <f>IF(COUNTA($F4,$K4,$P4)&gt;0,O3+SUM(L4:N4),"")</f>
        <v>42700</v>
      </c>
      <c r="P4" s="8" t="s">
        <v>195</v>
      </c>
      <c r="Q4" s="9">
        <v>-7700</v>
      </c>
      <c r="R4" s="9"/>
      <c r="S4" s="48">
        <v>0</v>
      </c>
      <c r="T4" s="21">
        <f>IF(COUNTA($F4,$K4,$P4)&gt;0,T3+SUM(Q4:S4),"")</f>
        <v>27300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17.7</v>
      </c>
      <c r="W4" s="55">
        <f>IF($T4="","",ROUND(($T4-$T$3)/1000,1)+(_xlfn.RANK.AVG($T4,($J4,$O4,$T4),1)-2)*10)</f>
        <v>-17.7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4</v>
      </c>
      <c r="AY4" s="30">
        <v>30</v>
      </c>
      <c r="AZ4" s="40" t="s">
        <v>85</v>
      </c>
      <c r="BA4" s="41" t="s">
        <v>83</v>
      </c>
      <c r="BB4" s="41" t="s">
        <v>81</v>
      </c>
      <c r="BC4" s="41" t="s">
        <v>81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195</v>
      </c>
      <c r="G5" s="9">
        <v>-24000</v>
      </c>
      <c r="H5" s="9">
        <v>-1000</v>
      </c>
      <c r="I5" s="48">
        <v>0</v>
      </c>
      <c r="J5" s="21">
        <f t="shared" ref="J5:J30" si="2">IF(COUNTA($F5,$K5,$P5)&gt;0,J4+SUM(G5:I5),"")</f>
        <v>10000</v>
      </c>
      <c r="K5" s="8" t="s">
        <v>194</v>
      </c>
      <c r="L5" s="9">
        <v>24000</v>
      </c>
      <c r="M5" s="9">
        <v>1000</v>
      </c>
      <c r="N5" s="48">
        <v>0</v>
      </c>
      <c r="O5" s="21">
        <f t="shared" ref="O5:O30" si="3">IF(COUNTA($F5,$K5,$P5)&gt;0,O4+SUM(L5:N5),"")</f>
        <v>67700</v>
      </c>
      <c r="P5" s="8"/>
      <c r="Q5" s="9"/>
      <c r="R5" s="9"/>
      <c r="S5" s="48"/>
      <c r="T5" s="21">
        <f t="shared" ref="T5:T30" si="4">IF(COUNTA($F5,$K5,$P5)&gt;0,T4+SUM(Q5:S5),"")</f>
        <v>27300</v>
      </c>
      <c r="U5" s="53">
        <f>IF($J5="","",ROUND(($J5-$J$3)/1000,1)+(_xlfn.RANK.AVG($J5,($J5,$O5,$T5),1)-2)*10)</f>
        <v>-35</v>
      </c>
      <c r="V5" s="54">
        <f>IF($O5="","",ROUND(($O5-$O$3)/1000,1)+(_xlfn.RANK.AVG($O5,($J5,$O5,$T5),1)-2)*10)</f>
        <v>42.7</v>
      </c>
      <c r="W5" s="55">
        <f>IF($T5="","",ROUND(($T5-$T$3)/1000,1)+(_xlfn.RANK.AVG($T5,($J5,$O5,$T5),1)-2)*10)</f>
        <v>-7.7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8</v>
      </c>
      <c r="AY5" s="30" t="s">
        <v>196</v>
      </c>
      <c r="AZ5" s="40" t="s">
        <v>104</v>
      </c>
      <c r="BA5" s="41" t="s">
        <v>98</v>
      </c>
      <c r="BB5" s="41" t="s">
        <v>81</v>
      </c>
      <c r="BC5" s="41" t="s">
        <v>81</v>
      </c>
      <c r="BD5" s="41" t="s">
        <v>81</v>
      </c>
      <c r="BE5" s="41" t="s">
        <v>86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ただ</v>
      </c>
      <c r="F6" s="8" t="s">
        <v>203</v>
      </c>
      <c r="G6" s="9">
        <v>12000</v>
      </c>
      <c r="H6" s="9"/>
      <c r="I6" s="48">
        <v>1000</v>
      </c>
      <c r="J6" s="21">
        <f t="shared" si="2"/>
        <v>23000</v>
      </c>
      <c r="K6" s="8" t="s">
        <v>202</v>
      </c>
      <c r="L6" s="9">
        <v>-7500</v>
      </c>
      <c r="M6" s="9"/>
      <c r="N6" s="48">
        <v>-500</v>
      </c>
      <c r="O6" s="21">
        <f t="shared" si="3"/>
        <v>59700</v>
      </c>
      <c r="P6" s="8" t="s">
        <v>202</v>
      </c>
      <c r="Q6" s="9">
        <v>-4500</v>
      </c>
      <c r="R6" s="9"/>
      <c r="S6" s="48">
        <v>-500</v>
      </c>
      <c r="T6" s="21">
        <f t="shared" si="4"/>
        <v>22300</v>
      </c>
      <c r="U6" s="53">
        <f>IF($J6="","",ROUND(($J6-$J$3)/1000,1)+(_xlfn.RANK.AVG($J6,($J6,$O6,$T6),1)-2)*10)</f>
        <v>-12</v>
      </c>
      <c r="V6" s="54">
        <f>IF($O6="","",ROUND(($O6-$O$3)/1000,1)+(_xlfn.RANK.AVG($O6,($J6,$O6,$T6),1)-2)*10)</f>
        <v>34.700000000000003</v>
      </c>
      <c r="W6" s="55">
        <f>IF($T6="","",ROUND(($T6-$T$3)/1000,1)+(_xlfn.RANK.AVG($T6,($J6,$O6,$T6),1)-2)*10)</f>
        <v>-22.7</v>
      </c>
      <c r="Y6" s="8"/>
      <c r="Z6" s="34"/>
      <c r="AA6" s="26">
        <v>1</v>
      </c>
      <c r="AB6" s="26"/>
      <c r="AC6" s="26">
        <v>6</v>
      </c>
      <c r="AD6" s="30" t="s">
        <v>196</v>
      </c>
      <c r="AE6" s="40" t="s">
        <v>201</v>
      </c>
      <c r="AF6" s="41" t="s">
        <v>83</v>
      </c>
      <c r="AG6" s="41" t="s">
        <v>92</v>
      </c>
      <c r="AH6" s="41" t="s">
        <v>79</v>
      </c>
      <c r="AI6" s="41" t="s">
        <v>80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だいち</v>
      </c>
      <c r="F7" s="8" t="s">
        <v>203</v>
      </c>
      <c r="G7" s="9">
        <v>12000</v>
      </c>
      <c r="H7" s="9"/>
      <c r="I7" s="48">
        <v>0</v>
      </c>
      <c r="J7" s="21">
        <f t="shared" si="2"/>
        <v>35000</v>
      </c>
      <c r="K7" s="8" t="s">
        <v>202</v>
      </c>
      <c r="L7" s="9">
        <v>-4500</v>
      </c>
      <c r="M7" s="9"/>
      <c r="N7" s="48">
        <v>0</v>
      </c>
      <c r="O7" s="21">
        <f t="shared" si="3"/>
        <v>55200</v>
      </c>
      <c r="P7" s="8" t="s">
        <v>202</v>
      </c>
      <c r="Q7" s="9">
        <v>-7500</v>
      </c>
      <c r="R7" s="9"/>
      <c r="S7" s="48">
        <v>0</v>
      </c>
      <c r="T7" s="21">
        <f t="shared" si="4"/>
        <v>14800</v>
      </c>
      <c r="U7" s="53">
        <f>IF($J7="","",ROUND(($J7-$J$3)/1000,1)+(_xlfn.RANK.AVG($J7,($J7,$O7,$T7),1)-2)*10)</f>
        <v>0</v>
      </c>
      <c r="V7" s="54">
        <f>IF($O7="","",ROUND(($O7-$O$3)/1000,1)+(_xlfn.RANK.AVG($O7,($J7,$O7,$T7),1)-2)*10)</f>
        <v>30.2</v>
      </c>
      <c r="W7" s="55">
        <f>IF($T7="","",ROUND(($T7-$T$3)/1000,1)+(_xlfn.RANK.AVG($T7,($J7,$O7,$T7),1)-2)*10)</f>
        <v>-30.2</v>
      </c>
      <c r="Y7" s="8"/>
      <c r="Z7" s="34"/>
      <c r="AA7" s="26">
        <v>1</v>
      </c>
      <c r="AB7" s="26"/>
      <c r="AC7" s="26">
        <v>7</v>
      </c>
      <c r="AD7" s="30" t="s">
        <v>196</v>
      </c>
      <c r="AE7" s="40" t="s">
        <v>201</v>
      </c>
      <c r="AF7" s="41" t="s">
        <v>207</v>
      </c>
      <c r="AG7" s="41" t="s">
        <v>82</v>
      </c>
      <c r="AH7" s="41" t="s">
        <v>104</v>
      </c>
      <c r="AI7" s="41" t="s">
        <v>81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まっつん</v>
      </c>
      <c r="F8" s="8" t="s">
        <v>203</v>
      </c>
      <c r="G8" s="9">
        <v>7800</v>
      </c>
      <c r="H8" s="9"/>
      <c r="I8" s="48">
        <v>0</v>
      </c>
      <c r="J8" s="21">
        <f t="shared" si="2"/>
        <v>42800</v>
      </c>
      <c r="K8" s="8" t="s">
        <v>202</v>
      </c>
      <c r="L8" s="9">
        <v>-3900</v>
      </c>
      <c r="M8" s="9"/>
      <c r="N8" s="48">
        <v>0</v>
      </c>
      <c r="O8" s="21">
        <f t="shared" si="3"/>
        <v>51300</v>
      </c>
      <c r="P8" s="8" t="s">
        <v>202</v>
      </c>
      <c r="Q8" s="9">
        <v>-3900</v>
      </c>
      <c r="R8" s="9"/>
      <c r="S8" s="48">
        <v>0</v>
      </c>
      <c r="T8" s="21">
        <f t="shared" si="4"/>
        <v>10900</v>
      </c>
      <c r="U8" s="53">
        <f>IF($J8="","",ROUND(($J8-$J$3)/1000,1)+(_xlfn.RANK.AVG($J8,($J8,$O8,$T8),1)-2)*10)</f>
        <v>7.8</v>
      </c>
      <c r="V8" s="54">
        <f>IF($O8="","",ROUND(($O8-$O$3)/1000,1)+(_xlfn.RANK.AVG($O8,($J8,$O8,$T8),1)-2)*10)</f>
        <v>26.3</v>
      </c>
      <c r="W8" s="55">
        <f>IF($T8="","",ROUND(($T8-$T$3)/1000,1)+(_xlfn.RANK.AVG($T8,($J8,$O8,$T8),1)-2)*10)</f>
        <v>-34.1</v>
      </c>
      <c r="Y8" s="8"/>
      <c r="Z8" s="34"/>
      <c r="AA8" s="26">
        <v>1</v>
      </c>
      <c r="AB8" s="26"/>
      <c r="AC8" s="26">
        <v>4</v>
      </c>
      <c r="AD8" s="30">
        <v>20</v>
      </c>
      <c r="AE8" s="40" t="s">
        <v>201</v>
      </c>
      <c r="AF8" s="41" t="s">
        <v>82</v>
      </c>
      <c r="AG8" s="41" t="s">
        <v>83</v>
      </c>
      <c r="AH8" s="41" t="s">
        <v>80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まっつん</v>
      </c>
      <c r="F9" s="8"/>
      <c r="G9" s="9"/>
      <c r="H9" s="9"/>
      <c r="I9" s="48"/>
      <c r="J9" s="21">
        <f t="shared" si="2"/>
        <v>42800</v>
      </c>
      <c r="K9" s="8" t="s">
        <v>195</v>
      </c>
      <c r="L9" s="9">
        <v>-16000</v>
      </c>
      <c r="M9" s="9"/>
      <c r="N9" s="48">
        <v>-1000</v>
      </c>
      <c r="O9" s="21">
        <f t="shared" si="3"/>
        <v>34300</v>
      </c>
      <c r="P9" s="8" t="s">
        <v>194</v>
      </c>
      <c r="Q9" s="9">
        <v>16000</v>
      </c>
      <c r="R9" s="9"/>
      <c r="S9" s="48">
        <v>1000</v>
      </c>
      <c r="T9" s="21">
        <f t="shared" si="4"/>
        <v>27900</v>
      </c>
      <c r="U9" s="53">
        <f>IF($J9="","",ROUND(($J9-$J$3)/1000,1)+(_xlfn.RANK.AVG($J9,($J9,$O9,$T9),1)-2)*10)</f>
        <v>17.8</v>
      </c>
      <c r="V9" s="54">
        <f>IF($O9="","",ROUND(($O9-$O$3)/1000,1)+(_xlfn.RANK.AVG($O9,($J9,$O9,$T9),1)-2)*10)</f>
        <v>-0.7</v>
      </c>
      <c r="W9" s="55">
        <f>IF($T9="","",ROUND(($T9-$T$3)/1000,1)+(_xlfn.RANK.AVG($T9,($J9,$O9,$T9),1)-2)*10)</f>
        <v>-17.100000000000001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9</v>
      </c>
      <c r="BT9" s="30" t="s">
        <v>196</v>
      </c>
      <c r="BU9" s="40" t="s">
        <v>201</v>
      </c>
      <c r="BV9" s="41" t="s">
        <v>207</v>
      </c>
      <c r="BW9" s="41" t="s">
        <v>83</v>
      </c>
      <c r="BX9" s="41" t="s">
        <v>85</v>
      </c>
      <c r="BY9" s="41" t="s">
        <v>102</v>
      </c>
      <c r="BZ9" s="41" t="s">
        <v>80</v>
      </c>
      <c r="CA9" s="41" t="s">
        <v>80</v>
      </c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ただ</v>
      </c>
      <c r="F10" s="8" t="s">
        <v>203</v>
      </c>
      <c r="G10" s="9">
        <v>6400</v>
      </c>
      <c r="H10" s="9"/>
      <c r="I10" s="48">
        <v>0</v>
      </c>
      <c r="J10" s="21">
        <f t="shared" si="2"/>
        <v>49200</v>
      </c>
      <c r="K10" s="8" t="s">
        <v>202</v>
      </c>
      <c r="L10" s="9">
        <v>-4000</v>
      </c>
      <c r="M10" s="9"/>
      <c r="N10" s="48">
        <v>0</v>
      </c>
      <c r="O10" s="21">
        <f t="shared" si="3"/>
        <v>30300</v>
      </c>
      <c r="P10" s="8" t="s">
        <v>202</v>
      </c>
      <c r="Q10" s="9">
        <v>-2400</v>
      </c>
      <c r="R10" s="9"/>
      <c r="S10" s="48">
        <v>0</v>
      </c>
      <c r="T10" s="21">
        <f t="shared" si="4"/>
        <v>25500</v>
      </c>
      <c r="U10" s="53">
        <f>IF($J10="","",ROUND(($J10-$J$3)/1000,1)+(_xlfn.RANK.AVG($J10,($J10,$O10,$T10),1)-2)*10)</f>
        <v>24.2</v>
      </c>
      <c r="V10" s="54">
        <f>IF($O10="","",ROUND(($O10-$O$3)/1000,1)+(_xlfn.RANK.AVG($O10,($J10,$O10,$T10),1)-2)*10)</f>
        <v>-4.7</v>
      </c>
      <c r="W10" s="55">
        <f>IF($T10="","",ROUND(($T10-$T$3)/1000,1)+(_xlfn.RANK.AVG($T10,($J10,$O10,$T10),1)-2)*10)</f>
        <v>-19.5</v>
      </c>
      <c r="Y10" s="8"/>
      <c r="Z10" s="34"/>
      <c r="AA10" s="26">
        <v>1</v>
      </c>
      <c r="AB10" s="26"/>
      <c r="AC10" s="26">
        <v>4</v>
      </c>
      <c r="AD10" s="30">
        <v>25</v>
      </c>
      <c r="AE10" s="40" t="s">
        <v>201</v>
      </c>
      <c r="AF10" s="41" t="s">
        <v>82</v>
      </c>
      <c r="AG10" s="41" t="s">
        <v>101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 t="s">
        <v>194</v>
      </c>
      <c r="G11" s="9">
        <v>12000</v>
      </c>
      <c r="H11" s="9">
        <v>1000</v>
      </c>
      <c r="I11" s="48">
        <v>0</v>
      </c>
      <c r="J11" s="21">
        <f t="shared" si="2"/>
        <v>62200</v>
      </c>
      <c r="K11" s="8" t="s">
        <v>195</v>
      </c>
      <c r="L11" s="9">
        <v>-12000</v>
      </c>
      <c r="M11" s="9"/>
      <c r="N11" s="48">
        <v>0</v>
      </c>
      <c r="O11" s="21">
        <f t="shared" si="3"/>
        <v>18300</v>
      </c>
      <c r="P11" s="8"/>
      <c r="Q11" s="9"/>
      <c r="R11" s="9">
        <v>-1000</v>
      </c>
      <c r="S11" s="48"/>
      <c r="T11" s="21">
        <f t="shared" si="4"/>
        <v>24500</v>
      </c>
      <c r="U11" s="53">
        <f>IF($J11="","",ROUND(($J11-$J$3)/1000,1)+(_xlfn.RANK.AVG($J11,($J11,$O11,$T11),1)-2)*10)</f>
        <v>37.200000000000003</v>
      </c>
      <c r="V11" s="54">
        <f>IF($O11="","",ROUND(($O11-$O$3)/1000,1)+(_xlfn.RANK.AVG($O11,($J11,$O11,$T11),1)-2)*10)</f>
        <v>-26.7</v>
      </c>
      <c r="W11" s="55">
        <f>IF($T11="","",ROUND(($T11-$T$3)/1000,1)+(_xlfn.RANK.AVG($T11,($J11,$O11,$T11),1)-2)*10)</f>
        <v>-10.5</v>
      </c>
      <c r="Y11" s="8"/>
      <c r="Z11" s="34"/>
      <c r="AA11" s="26">
        <v>1</v>
      </c>
      <c r="AB11" s="26"/>
      <c r="AC11" s="26">
        <v>6</v>
      </c>
      <c r="AD11" s="30" t="s">
        <v>196</v>
      </c>
      <c r="AE11" s="40" t="s">
        <v>201</v>
      </c>
      <c r="AF11" s="41" t="s">
        <v>79</v>
      </c>
      <c r="AG11" s="41" t="s">
        <v>79</v>
      </c>
      <c r="AH11" s="41" t="s">
        <v>80</v>
      </c>
      <c r="AI11" s="41" t="s">
        <v>80</v>
      </c>
      <c r="AJ11" s="41" t="s">
        <v>84</v>
      </c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090F0EE6-725D-4732-A2F4-FF404784DA21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  <dataValidation type="list" showInputMessage="1" showErrorMessage="1" sqref="K4:K30 P4:P30 F4:F30" xr:uid="{06507DA0-C54B-470C-8BDB-B8296A461678}">
      <formula1>"ロン,ツモ,放銃,ツモ支払,流局,チョンボ"</formula1>
    </dataValidation>
    <dataValidation type="list" allowBlank="1" showInputMessage="1" showErrorMessage="1" sqref="E4:E30" xr:uid="{C3905E38-98DB-4E40-8048-01023AAF216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F34FC-C813-4CB5-B40A-6CE97EDBD2D8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192</v>
      </c>
      <c r="G1" s="84"/>
      <c r="H1" s="84"/>
      <c r="I1" s="85"/>
      <c r="J1" s="86"/>
      <c r="K1" s="83" t="s">
        <v>205</v>
      </c>
      <c r="L1" s="84"/>
      <c r="M1" s="84"/>
      <c r="N1" s="85"/>
      <c r="O1" s="86"/>
      <c r="P1" s="83" t="s">
        <v>209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だいち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ただ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まっつん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だいち</v>
      </c>
      <c r="V2" s="82" t="str">
        <f>$K$1</f>
        <v>ただ</v>
      </c>
      <c r="W2" s="16" t="str">
        <f>$P$1</f>
        <v>まっつん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195</v>
      </c>
      <c r="G4" s="9">
        <v>-24000</v>
      </c>
      <c r="H4" s="9"/>
      <c r="I4" s="48">
        <v>0</v>
      </c>
      <c r="J4" s="21">
        <f>IF(COUNTA($F4,$K4,$P4)&gt;0,J3+SUM(G4:I4),"")</f>
        <v>11000</v>
      </c>
      <c r="K4" s="8" t="s">
        <v>194</v>
      </c>
      <c r="L4" s="9">
        <v>24000</v>
      </c>
      <c r="M4" s="9"/>
      <c r="N4" s="48">
        <v>0</v>
      </c>
      <c r="O4" s="21">
        <f>IF(COUNTA($F4,$K4,$P4)&gt;0,O3+SUM(L4:N4),"")</f>
        <v>59000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-34</v>
      </c>
      <c r="V4" s="54">
        <f>IF($O4="","",ROUND(($O4-$O$3)/1000,1)+(_xlfn.RANK.AVG($O4,($J4,$O4,$T4),1)-2)*10)</f>
        <v>34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11</v>
      </c>
      <c r="AY4" s="30" t="s">
        <v>196</v>
      </c>
      <c r="AZ4" s="40" t="s">
        <v>86</v>
      </c>
      <c r="BA4" s="41" t="s">
        <v>201</v>
      </c>
      <c r="BB4" s="41" t="s">
        <v>79</v>
      </c>
      <c r="BC4" s="41" t="s">
        <v>80</v>
      </c>
      <c r="BD4" s="41" t="s">
        <v>80</v>
      </c>
      <c r="BE4" s="41" t="s">
        <v>80</v>
      </c>
      <c r="BF4" s="41" t="s">
        <v>104</v>
      </c>
      <c r="BG4" s="41" t="s">
        <v>81</v>
      </c>
      <c r="BH4" s="41" t="s">
        <v>81</v>
      </c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203</v>
      </c>
      <c r="G5" s="9">
        <v>5300</v>
      </c>
      <c r="H5" s="9"/>
      <c r="I5" s="48">
        <v>0</v>
      </c>
      <c r="J5" s="21">
        <f t="shared" ref="J5:J30" si="2">IF(COUNTA($F5,$K5,$P5)&gt;0,J4+SUM(G5:I5),"")</f>
        <v>16300</v>
      </c>
      <c r="K5" s="8" t="s">
        <v>202</v>
      </c>
      <c r="L5" s="9">
        <v>-3300</v>
      </c>
      <c r="M5" s="9"/>
      <c r="N5" s="48">
        <v>0</v>
      </c>
      <c r="O5" s="21">
        <f t="shared" ref="O5:O30" si="3">IF(COUNTA($F5,$K5,$P5)&gt;0,O4+SUM(L5:N5),"")</f>
        <v>55700</v>
      </c>
      <c r="P5" s="8" t="s">
        <v>202</v>
      </c>
      <c r="Q5" s="9">
        <v>-2000</v>
      </c>
      <c r="R5" s="9"/>
      <c r="S5" s="48">
        <v>0</v>
      </c>
      <c r="T5" s="21">
        <f t="shared" ref="T5:T30" si="4">IF(COUNTA($F5,$K5,$P5)&gt;0,T4+SUM(Q5:S5),"")</f>
        <v>33000</v>
      </c>
      <c r="U5" s="53">
        <f>IF($J5="","",ROUND(($J5-$J$3)/1000,1)+(_xlfn.RANK.AVG($J5,($J5,$O5,$T5),1)-2)*10)</f>
        <v>-28.7</v>
      </c>
      <c r="V5" s="54">
        <f>IF($O5="","",ROUND(($O5-$O$3)/1000,1)+(_xlfn.RANK.AVG($O5,($J5,$O5,$T5),1)-2)*10)</f>
        <v>30.7</v>
      </c>
      <c r="W5" s="55">
        <f>IF($T5="","",ROUND(($T5-$T$3)/1000,1)+(_xlfn.RANK.AVG($T5,($J5,$O5,$T5),1)-2)*10)</f>
        <v>-2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201</v>
      </c>
      <c r="AF5" s="41" t="s">
        <v>82</v>
      </c>
      <c r="AG5" s="41" t="s">
        <v>207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まっつん</v>
      </c>
      <c r="F6" s="8" t="s">
        <v>202</v>
      </c>
      <c r="G6" s="9">
        <v>-6000</v>
      </c>
      <c r="H6" s="9"/>
      <c r="I6" s="48">
        <v>0</v>
      </c>
      <c r="J6" s="21">
        <f t="shared" si="2"/>
        <v>10300</v>
      </c>
      <c r="K6" s="8" t="s">
        <v>202</v>
      </c>
      <c r="L6" s="9">
        <v>-6000</v>
      </c>
      <c r="M6" s="9"/>
      <c r="N6" s="48">
        <v>0</v>
      </c>
      <c r="O6" s="21">
        <f t="shared" si="3"/>
        <v>49700</v>
      </c>
      <c r="P6" s="8" t="s">
        <v>203</v>
      </c>
      <c r="Q6" s="9">
        <v>12000</v>
      </c>
      <c r="R6" s="9"/>
      <c r="S6" s="48">
        <v>0</v>
      </c>
      <c r="T6" s="21">
        <f t="shared" si="4"/>
        <v>45000</v>
      </c>
      <c r="U6" s="53">
        <f>IF($J6="","",ROUND(($J6-$J$3)/1000,1)+(_xlfn.RANK.AVG($J6,($J6,$O6,$T6),1)-2)*10)</f>
        <v>-34.700000000000003</v>
      </c>
      <c r="V6" s="54">
        <f>IF($O6="","",ROUND(($O6-$O$3)/1000,1)+(_xlfn.RANK.AVG($O6,($J6,$O6,$T6),1)-2)*10)</f>
        <v>24.7</v>
      </c>
      <c r="W6" s="55">
        <f>IF($T6="","",ROUND(($T6-$T$3)/1000,1)+(_xlfn.RANK.AVG($T6,($J6,$O6,$T6),1)-2)*10)</f>
        <v>10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196</v>
      </c>
      <c r="BU6" s="40" t="s">
        <v>201</v>
      </c>
      <c r="BV6" s="41" t="s">
        <v>83</v>
      </c>
      <c r="BW6" s="41" t="s">
        <v>82</v>
      </c>
      <c r="BX6" s="41" t="s">
        <v>81</v>
      </c>
      <c r="BY6" s="41" t="s">
        <v>81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まっつん</v>
      </c>
      <c r="F7" s="8" t="s">
        <v>194</v>
      </c>
      <c r="G7" s="9">
        <v>8000</v>
      </c>
      <c r="H7" s="9"/>
      <c r="I7" s="48">
        <v>1000</v>
      </c>
      <c r="J7" s="21">
        <f t="shared" si="2"/>
        <v>19300</v>
      </c>
      <c r="K7" s="8" t="s">
        <v>195</v>
      </c>
      <c r="L7" s="9">
        <v>-8000</v>
      </c>
      <c r="M7" s="9"/>
      <c r="N7" s="48">
        <v>-1000</v>
      </c>
      <c r="O7" s="21">
        <f t="shared" si="3"/>
        <v>40700</v>
      </c>
      <c r="P7" s="8"/>
      <c r="Q7" s="9"/>
      <c r="R7" s="9"/>
      <c r="S7" s="48"/>
      <c r="T7" s="21">
        <f t="shared" si="4"/>
        <v>45000</v>
      </c>
      <c r="U7" s="53">
        <f>IF($J7="","",ROUND(($J7-$J$3)/1000,1)+(_xlfn.RANK.AVG($J7,($J7,$O7,$T7),1)-2)*10)</f>
        <v>-25.7</v>
      </c>
      <c r="V7" s="54">
        <f>IF($O7="","",ROUND(($O7-$O$3)/1000,1)+(_xlfn.RANK.AVG($O7,($J7,$O7,$T7),1)-2)*10)</f>
        <v>5.7</v>
      </c>
      <c r="W7" s="55">
        <f>IF($T7="","",ROUND(($T7-$T$3)/1000,1)+(_xlfn.RANK.AVG($T7,($J7,$O7,$T7),1)-2)*10)</f>
        <v>20</v>
      </c>
      <c r="Y7" s="8"/>
      <c r="Z7" s="34"/>
      <c r="AA7" s="26"/>
      <c r="AB7" s="26"/>
      <c r="AC7" s="26">
        <v>5</v>
      </c>
      <c r="AD7" s="30" t="s">
        <v>196</v>
      </c>
      <c r="AE7" s="40" t="s">
        <v>101</v>
      </c>
      <c r="AF7" s="41" t="s">
        <v>79</v>
      </c>
      <c r="AG7" s="41" t="s">
        <v>79</v>
      </c>
      <c r="AH7" s="41" t="s">
        <v>81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 t="s">
        <v>194</v>
      </c>
      <c r="G8" s="9">
        <v>12000</v>
      </c>
      <c r="H8" s="9"/>
      <c r="I8" s="48">
        <v>0</v>
      </c>
      <c r="J8" s="21">
        <f t="shared" si="2"/>
        <v>31300</v>
      </c>
      <c r="K8" s="8" t="s">
        <v>195</v>
      </c>
      <c r="L8" s="9">
        <v>-12000</v>
      </c>
      <c r="M8" s="9"/>
      <c r="N8" s="48">
        <v>0</v>
      </c>
      <c r="O8" s="21">
        <f t="shared" si="3"/>
        <v>28700</v>
      </c>
      <c r="P8" s="8"/>
      <c r="Q8" s="9"/>
      <c r="R8" s="9"/>
      <c r="S8" s="48"/>
      <c r="T8" s="21">
        <f t="shared" si="4"/>
        <v>45000</v>
      </c>
      <c r="U8" s="53">
        <f>IF($J8="","",ROUND(($J8-$J$3)/1000,1)+(_xlfn.RANK.AVG($J8,($J8,$O8,$T8),1)-2)*10)</f>
        <v>-3.7</v>
      </c>
      <c r="V8" s="54">
        <f>IF($O8="","",ROUND(($O8-$O$3)/1000,1)+(_xlfn.RANK.AVG($O8,($J8,$O8,$T8),1)-2)*10)</f>
        <v>-16.3</v>
      </c>
      <c r="W8" s="55">
        <f>IF($T8="","",ROUND(($T8-$T$3)/1000,1)+(_xlfn.RANK.AVG($T8,($J8,$O8,$T8),1)-2)*10)</f>
        <v>20</v>
      </c>
      <c r="Y8" s="8"/>
      <c r="Z8" s="34"/>
      <c r="AA8" s="26"/>
      <c r="AB8" s="26"/>
      <c r="AC8" s="26">
        <v>4</v>
      </c>
      <c r="AD8" s="30">
        <v>40</v>
      </c>
      <c r="AE8" s="40" t="s">
        <v>96</v>
      </c>
      <c r="AF8" s="41" t="s">
        <v>81</v>
      </c>
      <c r="AG8" s="41" t="s">
        <v>81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だいち</v>
      </c>
      <c r="F9" s="8" t="s">
        <v>194</v>
      </c>
      <c r="G9" s="9">
        <v>48000</v>
      </c>
      <c r="H9" s="9">
        <v>1000</v>
      </c>
      <c r="I9" s="48">
        <v>1000</v>
      </c>
      <c r="J9" s="21">
        <f t="shared" si="2"/>
        <v>81300</v>
      </c>
      <c r="K9" s="8"/>
      <c r="L9" s="9"/>
      <c r="M9" s="9"/>
      <c r="N9" s="48"/>
      <c r="O9" s="21">
        <f t="shared" si="3"/>
        <v>28700</v>
      </c>
      <c r="P9" s="8" t="s">
        <v>195</v>
      </c>
      <c r="Q9" s="9">
        <v>-48000</v>
      </c>
      <c r="R9" s="9">
        <v>-1000</v>
      </c>
      <c r="S9" s="48">
        <v>-1000</v>
      </c>
      <c r="T9" s="21">
        <f t="shared" si="4"/>
        <v>-5000</v>
      </c>
      <c r="U9" s="53">
        <f>IF($J9="","",ROUND(($J9-$J$3)/1000,1)+(_xlfn.RANK.AVG($J9,($J9,$O9,$T9),1)-2)*10)</f>
        <v>56.3</v>
      </c>
      <c r="V9" s="54">
        <f>IF($O9="","",ROUND(($O9-$O$3)/1000,1)+(_xlfn.RANK.AVG($O9,($J9,$O9,$T9),1)-2)*10)</f>
        <v>-6.3</v>
      </c>
      <c r="W9" s="55">
        <f>IF($T9="","",ROUND(($T9-$T$3)/1000,1)+(_xlfn.RANK.AVG($T9,($J9,$O9,$T9),1)-2)*10)</f>
        <v>-50</v>
      </c>
      <c r="Y9" s="8"/>
      <c r="Z9" s="34"/>
      <c r="AA9" s="26"/>
      <c r="AB9" s="26"/>
      <c r="AC9" s="26">
        <v>13</v>
      </c>
      <c r="AD9" s="30" t="s">
        <v>196</v>
      </c>
      <c r="AE9" s="40" t="s">
        <v>107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D2AA35D7-7793-49A0-98D3-6EF3D0473E0D}">
      <formula1>$U$2:$W$2</formula1>
    </dataValidation>
    <dataValidation type="list" showInputMessage="1" showErrorMessage="1" sqref="K4:K30 P4:P30 F4:F30" xr:uid="{07878B9E-A279-4B55-A622-2BA1AD1009FA}">
      <formula1>"ロン,ツモ,放銃,ツモ支払,流局,チョンボ"</formula1>
    </dataValidation>
    <dataValidation type="list" allowBlank="1" showInputMessage="1" sqref="F1:T1" xr:uid="{3F253D81-2FA0-4087-BFBE-691955764A34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69E46-9C48-45E2-B1D9-1512A6BD6D9D}">
  <sheetPr codeName="Sheet17">
    <pageSetUpPr fitToPage="1"/>
  </sheetPr>
  <dimension ref="A1:CI30"/>
  <sheetViews>
    <sheetView tabSelected="1" zoomScaleNormal="100" workbookViewId="0">
      <selection activeCell="F2" sqref="F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209</v>
      </c>
      <c r="G1" s="84"/>
      <c r="H1" s="84"/>
      <c r="I1" s="85"/>
      <c r="J1" s="86"/>
      <c r="K1" s="83" t="s">
        <v>205</v>
      </c>
      <c r="L1" s="84"/>
      <c r="M1" s="84"/>
      <c r="N1" s="85"/>
      <c r="O1" s="86"/>
      <c r="P1" s="83" t="s">
        <v>192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まっつん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ただ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だいち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まっつん</v>
      </c>
      <c r="V2" s="82" t="str">
        <f>$K$1</f>
        <v>ただ</v>
      </c>
      <c r="W2" s="16" t="str">
        <f>$P$1</f>
        <v>だいち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/>
      <c r="G4" s="9"/>
      <c r="H4" s="9">
        <v>-1000</v>
      </c>
      <c r="I4" s="48"/>
      <c r="J4" s="21">
        <f>IF(COUNTA($F4,$K4,$P4)&gt;0,J3+SUM(G4:I4),"")</f>
        <v>34000</v>
      </c>
      <c r="K4" s="8" t="s">
        <v>194</v>
      </c>
      <c r="L4" s="9">
        <v>5200</v>
      </c>
      <c r="M4" s="9">
        <v>1000</v>
      </c>
      <c r="N4" s="48">
        <v>0</v>
      </c>
      <c r="O4" s="21">
        <f>IF(COUNTA($F4,$K4,$P4)&gt;0,O3+SUM(L4:N4),"")</f>
        <v>41200</v>
      </c>
      <c r="P4" s="8" t="s">
        <v>195</v>
      </c>
      <c r="Q4" s="9">
        <v>-5200</v>
      </c>
      <c r="R4" s="9"/>
      <c r="S4" s="48">
        <v>0</v>
      </c>
      <c r="T4" s="21">
        <f>IF(COUNTA($F4,$K4,$P4)&gt;0,T3+SUM(Q4:S4),"")</f>
        <v>29800</v>
      </c>
      <c r="U4" s="53">
        <f>IF($J4="","",ROUND(($J4-$J$3)/1000,1)+(_xlfn.RANK.AVG($J4,($J4,$O4,$T4),1)-2)*10)</f>
        <v>-1</v>
      </c>
      <c r="V4" s="54">
        <f>IF($O4="","",ROUND(($O4-$O$3)/1000,1)+(_xlfn.RANK.AVG($O4,($J4,$O4,$T4),1)-2)*10)</f>
        <v>16.2</v>
      </c>
      <c r="W4" s="55">
        <f>IF($T4="","",ROUND(($T4-$T$3)/1000,1)+(_xlfn.RANK.AVG($T4,($J4,$O4,$T4),1)-2)*10)</f>
        <v>-15.2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3</v>
      </c>
      <c r="AY4" s="30">
        <v>40</v>
      </c>
      <c r="AZ4" s="40" t="s">
        <v>81</v>
      </c>
      <c r="BA4" s="41" t="s">
        <v>81</v>
      </c>
      <c r="BB4" s="41" t="s">
        <v>86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203</v>
      </c>
      <c r="G5" s="9">
        <v>7700</v>
      </c>
      <c r="H5" s="9"/>
      <c r="I5" s="48">
        <v>0</v>
      </c>
      <c r="J5" s="21">
        <f t="shared" ref="J5:J30" si="2">IF(COUNTA($F5,$K5,$P5)&gt;0,J4+SUM(G5:I5),"")</f>
        <v>41700</v>
      </c>
      <c r="K5" s="8" t="s">
        <v>202</v>
      </c>
      <c r="L5" s="9">
        <v>-4800</v>
      </c>
      <c r="M5" s="9"/>
      <c r="N5" s="48">
        <v>0</v>
      </c>
      <c r="O5" s="21">
        <f t="shared" ref="O5:O30" si="3">IF(COUNTA($F5,$K5,$P5)&gt;0,O4+SUM(L5:N5),"")</f>
        <v>36400</v>
      </c>
      <c r="P5" s="8" t="s">
        <v>202</v>
      </c>
      <c r="Q5" s="9">
        <v>-2900</v>
      </c>
      <c r="R5" s="9"/>
      <c r="S5" s="48">
        <v>0</v>
      </c>
      <c r="T5" s="21">
        <f t="shared" ref="T5:T30" si="4">IF(COUNTA($F5,$K5,$P5)&gt;0,T4+SUM(Q5:S5),"")</f>
        <v>26900</v>
      </c>
      <c r="U5" s="53">
        <f>IF($J5="","",ROUND(($J5-$J$3)/1000,1)+(_xlfn.RANK.AVG($J5,($J5,$O5,$T5),1)-2)*10)</f>
        <v>16.7</v>
      </c>
      <c r="V5" s="54">
        <f>IF($O5="","",ROUND(($O5-$O$3)/1000,1)+(_xlfn.RANK.AVG($O5,($J5,$O5,$T5),1)-2)*10)</f>
        <v>1.4</v>
      </c>
      <c r="W5" s="55">
        <f>IF($T5="","",ROUND(($T5-$T$3)/1000,1)+(_xlfn.RANK.AVG($T5,($J5,$O5,$T5),1)-2)*10)</f>
        <v>-18.100000000000001</v>
      </c>
      <c r="Y5" s="8"/>
      <c r="Z5" s="34"/>
      <c r="AA5" s="26">
        <v>1</v>
      </c>
      <c r="AB5" s="26"/>
      <c r="AC5" s="26">
        <v>4</v>
      </c>
      <c r="AD5" s="30">
        <v>30</v>
      </c>
      <c r="AE5" s="40" t="s">
        <v>201</v>
      </c>
      <c r="AF5" s="41" t="s">
        <v>82</v>
      </c>
      <c r="AG5" s="41" t="s">
        <v>81</v>
      </c>
      <c r="AH5" s="41" t="s">
        <v>207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/>
      <c r="G6" s="9"/>
      <c r="H6" s="9"/>
      <c r="I6" s="48"/>
      <c r="J6" s="21">
        <f t="shared" si="2"/>
        <v>41700</v>
      </c>
      <c r="K6" s="8" t="s">
        <v>195</v>
      </c>
      <c r="L6" s="9">
        <v>-36000</v>
      </c>
      <c r="M6" s="9"/>
      <c r="N6" s="48">
        <v>0</v>
      </c>
      <c r="O6" s="21">
        <f t="shared" si="3"/>
        <v>400</v>
      </c>
      <c r="P6" s="8" t="s">
        <v>194</v>
      </c>
      <c r="Q6" s="9">
        <v>36000</v>
      </c>
      <c r="R6" s="9"/>
      <c r="S6" s="48">
        <v>0</v>
      </c>
      <c r="T6" s="21">
        <f t="shared" si="4"/>
        <v>62900</v>
      </c>
      <c r="U6" s="53">
        <f>IF($J6="","",ROUND(($J6-$J$3)/1000,1)+(_xlfn.RANK.AVG($J6,($J6,$O6,$T6),1)-2)*10)</f>
        <v>6.7</v>
      </c>
      <c r="V6" s="54">
        <f>IF($O6="","",ROUND(($O6-$O$3)/1000,1)+(_xlfn.RANK.AVG($O6,($J6,$O6,$T6),1)-2)*10)</f>
        <v>-44.6</v>
      </c>
      <c r="W6" s="55">
        <f>IF($T6="","",ROUND(($T6-$T$3)/1000,1)+(_xlfn.RANK.AVG($T6,($J6,$O6,$T6),1)-2)*10)</f>
        <v>37.9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11</v>
      </c>
      <c r="BT6" s="30" t="s">
        <v>196</v>
      </c>
      <c r="BU6" s="40" t="s">
        <v>201</v>
      </c>
      <c r="BV6" s="41" t="s">
        <v>96</v>
      </c>
      <c r="BW6" s="41" t="s">
        <v>98</v>
      </c>
      <c r="BX6" s="41" t="s">
        <v>81</v>
      </c>
      <c r="BY6" s="41" t="s">
        <v>79</v>
      </c>
      <c r="BZ6" s="41" t="s">
        <v>79</v>
      </c>
      <c r="CA6" s="41" t="s">
        <v>80</v>
      </c>
      <c r="CB6" s="41" t="s">
        <v>80</v>
      </c>
      <c r="CC6" s="41" t="s">
        <v>80</v>
      </c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だいち</v>
      </c>
      <c r="F7" s="8"/>
      <c r="G7" s="9"/>
      <c r="H7" s="9"/>
      <c r="I7" s="48"/>
      <c r="J7" s="21">
        <f t="shared" si="2"/>
        <v>41700</v>
      </c>
      <c r="K7" s="8" t="s">
        <v>194</v>
      </c>
      <c r="L7" s="9">
        <v>3900</v>
      </c>
      <c r="M7" s="9"/>
      <c r="N7" s="48">
        <v>1000</v>
      </c>
      <c r="O7" s="21">
        <f t="shared" si="3"/>
        <v>5300</v>
      </c>
      <c r="P7" s="8" t="s">
        <v>195</v>
      </c>
      <c r="Q7" s="9">
        <v>-3900</v>
      </c>
      <c r="R7" s="9"/>
      <c r="S7" s="48">
        <v>-1000</v>
      </c>
      <c r="T7" s="21">
        <f t="shared" si="4"/>
        <v>58000</v>
      </c>
      <c r="U7" s="53">
        <f>IF($J7="","",ROUND(($J7-$J$3)/1000,1)+(_xlfn.RANK.AVG($J7,($J7,$O7,$T7),1)-2)*10)</f>
        <v>6.7</v>
      </c>
      <c r="V7" s="54">
        <f>IF($O7="","",ROUND(($O7-$O$3)/1000,1)+(_xlfn.RANK.AVG($O7,($J7,$O7,$T7),1)-2)*10)</f>
        <v>-39.700000000000003</v>
      </c>
      <c r="W7" s="55">
        <f>IF($T7="","",ROUND(($T7-$T$3)/1000,1)+(_xlfn.RANK.AVG($T7,($J7,$O7,$T7),1)-2)*10)</f>
        <v>33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3</v>
      </c>
      <c r="AY7" s="30">
        <v>30</v>
      </c>
      <c r="AZ7" s="40" t="s">
        <v>86</v>
      </c>
      <c r="BA7" s="41" t="s">
        <v>81</v>
      </c>
      <c r="BB7" s="41" t="s">
        <v>81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まっつん</v>
      </c>
      <c r="F8" s="8" t="s">
        <v>202</v>
      </c>
      <c r="G8" s="9">
        <v>-3300</v>
      </c>
      <c r="H8" s="9"/>
      <c r="I8" s="48">
        <v>0</v>
      </c>
      <c r="J8" s="21">
        <f t="shared" si="2"/>
        <v>38400</v>
      </c>
      <c r="K8" s="8" t="s">
        <v>203</v>
      </c>
      <c r="L8" s="9">
        <v>5300</v>
      </c>
      <c r="M8" s="9"/>
      <c r="N8" s="48">
        <v>0</v>
      </c>
      <c r="O8" s="21">
        <f t="shared" si="3"/>
        <v>10600</v>
      </c>
      <c r="P8" s="8" t="s">
        <v>202</v>
      </c>
      <c r="Q8" s="9">
        <v>-2000</v>
      </c>
      <c r="R8" s="9"/>
      <c r="S8" s="48">
        <v>0</v>
      </c>
      <c r="T8" s="21">
        <f t="shared" si="4"/>
        <v>56000</v>
      </c>
      <c r="U8" s="53">
        <f>IF($J8="","",ROUND(($J8-$J$3)/1000,1)+(_xlfn.RANK.AVG($J8,($J8,$O8,$T8),1)-2)*10)</f>
        <v>3.4</v>
      </c>
      <c r="V8" s="54">
        <f>IF($O8="","",ROUND(($O8-$O$3)/1000,1)+(_xlfn.RANK.AVG($O8,($J8,$O8,$T8),1)-2)*10)</f>
        <v>-34.4</v>
      </c>
      <c r="W8" s="55">
        <f>IF($T8="","",ROUND(($T8-$T$3)/1000,1)+(_xlfn.RANK.AVG($T8,($J8,$O8,$T8),1)-2)*10)</f>
        <v>31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20</v>
      </c>
      <c r="AZ8" s="40" t="s">
        <v>201</v>
      </c>
      <c r="BA8" s="41" t="s">
        <v>82</v>
      </c>
      <c r="BB8" s="41" t="s">
        <v>83</v>
      </c>
      <c r="BC8" s="41" t="s">
        <v>81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ただ</v>
      </c>
      <c r="F9" s="8" t="s">
        <v>202</v>
      </c>
      <c r="G9" s="9">
        <v>-12000</v>
      </c>
      <c r="H9" s="9"/>
      <c r="I9" s="48">
        <v>0</v>
      </c>
      <c r="J9" s="21">
        <f t="shared" si="2"/>
        <v>26400</v>
      </c>
      <c r="K9" s="8" t="s">
        <v>203</v>
      </c>
      <c r="L9" s="9">
        <v>24000</v>
      </c>
      <c r="M9" s="9"/>
      <c r="N9" s="48">
        <v>0</v>
      </c>
      <c r="O9" s="21">
        <f t="shared" si="3"/>
        <v>34600</v>
      </c>
      <c r="P9" s="8" t="s">
        <v>202</v>
      </c>
      <c r="Q9" s="9">
        <v>-12000</v>
      </c>
      <c r="R9" s="9"/>
      <c r="S9" s="48">
        <v>0</v>
      </c>
      <c r="T9" s="21">
        <f t="shared" si="4"/>
        <v>44000</v>
      </c>
      <c r="U9" s="53">
        <f>IF($J9="","",ROUND(($J9-$J$3)/1000,1)+(_xlfn.RANK.AVG($J9,($J9,$O9,$T9),1)-2)*10)</f>
        <v>-18.600000000000001</v>
      </c>
      <c r="V9" s="54">
        <f>IF($O9="","",ROUND(($O9-$O$3)/1000,1)+(_xlfn.RANK.AVG($O9,($J9,$O9,$T9),1)-2)*10)</f>
        <v>-0.4</v>
      </c>
      <c r="W9" s="55">
        <f>IF($T9="","",ROUND(($T9-$T$3)/1000,1)+(_xlfn.RANK.AVG($T9,($J9,$O9,$T9),1)-2)*10)</f>
        <v>19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8</v>
      </c>
      <c r="AY9" s="30" t="s">
        <v>196</v>
      </c>
      <c r="AZ9" s="40" t="s">
        <v>201</v>
      </c>
      <c r="BA9" s="41" t="s">
        <v>82</v>
      </c>
      <c r="BB9" s="41" t="s">
        <v>207</v>
      </c>
      <c r="BC9" s="41" t="s">
        <v>81</v>
      </c>
      <c r="BD9" s="41" t="s">
        <v>81</v>
      </c>
      <c r="BE9" s="41" t="s">
        <v>81</v>
      </c>
      <c r="BF9" s="41" t="s">
        <v>80</v>
      </c>
      <c r="BG9" s="41" t="s">
        <v>80</v>
      </c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ただ</v>
      </c>
      <c r="F10" s="8" t="s">
        <v>194</v>
      </c>
      <c r="G10" s="9">
        <v>3900</v>
      </c>
      <c r="H10" s="9"/>
      <c r="I10" s="48">
        <v>1000</v>
      </c>
      <c r="J10" s="21">
        <f t="shared" si="2"/>
        <v>31300</v>
      </c>
      <c r="K10" s="8"/>
      <c r="L10" s="9"/>
      <c r="M10" s="9"/>
      <c r="N10" s="48"/>
      <c r="O10" s="21">
        <f t="shared" si="3"/>
        <v>34600</v>
      </c>
      <c r="P10" s="8" t="s">
        <v>195</v>
      </c>
      <c r="Q10" s="9">
        <v>-3900</v>
      </c>
      <c r="R10" s="9"/>
      <c r="S10" s="48">
        <v>-1000</v>
      </c>
      <c r="T10" s="21">
        <f t="shared" si="4"/>
        <v>39100</v>
      </c>
      <c r="U10" s="53">
        <f>IF($J10="","",ROUND(($J10-$J$3)/1000,1)+(_xlfn.RANK.AVG($J10,($J10,$O10,$T10),1)-2)*10)</f>
        <v>-13.7</v>
      </c>
      <c r="V10" s="54">
        <f>IF($O10="","",ROUND(($O10-$O$3)/1000,1)+(_xlfn.RANK.AVG($O10,($J10,$O10,$T10),1)-2)*10)</f>
        <v>-0.4</v>
      </c>
      <c r="W10" s="55">
        <f>IF($T10="","",ROUND(($T10-$T$3)/1000,1)+(_xlfn.RANK.AVG($T10,($J10,$O10,$T10),1)-2)*10)</f>
        <v>14.1</v>
      </c>
      <c r="Y10" s="8"/>
      <c r="Z10" s="34"/>
      <c r="AA10" s="26"/>
      <c r="AB10" s="26">
        <v>1</v>
      </c>
      <c r="AC10" s="26">
        <v>3</v>
      </c>
      <c r="AD10" s="30">
        <v>30</v>
      </c>
      <c r="AE10" s="40" t="s">
        <v>86</v>
      </c>
      <c r="AF10" s="41" t="s">
        <v>104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 t="s">
        <v>203</v>
      </c>
      <c r="G11" s="9">
        <v>2800</v>
      </c>
      <c r="H11" s="9">
        <v>1000</v>
      </c>
      <c r="I11" s="48">
        <v>0</v>
      </c>
      <c r="J11" s="21">
        <f t="shared" si="2"/>
        <v>35100</v>
      </c>
      <c r="K11" s="8" t="s">
        <v>202</v>
      </c>
      <c r="L11" s="9">
        <v>-1100</v>
      </c>
      <c r="M11" s="9"/>
      <c r="N11" s="48">
        <v>0</v>
      </c>
      <c r="O11" s="21">
        <f t="shared" si="3"/>
        <v>33500</v>
      </c>
      <c r="P11" s="8" t="s">
        <v>202</v>
      </c>
      <c r="Q11" s="9">
        <v>-1700</v>
      </c>
      <c r="R11" s="9">
        <v>-1000</v>
      </c>
      <c r="S11" s="48">
        <v>0</v>
      </c>
      <c r="T11" s="21">
        <f t="shared" si="4"/>
        <v>36400</v>
      </c>
      <c r="U11" s="53">
        <f>IF($J11="","",ROUND(($J11-$J$3)/1000,1)+(_xlfn.RANK.AVG($J11,($J11,$O11,$T11),1)-2)*10)</f>
        <v>0.1</v>
      </c>
      <c r="V11" s="54">
        <f>IF($O11="","",ROUND(($O11-$O$3)/1000,1)+(_xlfn.RANK.AVG($O11,($J11,$O11,$T11),1)-2)*10)</f>
        <v>-11.5</v>
      </c>
      <c r="W11" s="55">
        <f>IF($T11="","",ROUND(($T11-$T$3)/1000,1)+(_xlfn.RANK.AVG($T11,($J11,$O11,$T11),1)-2)*10)</f>
        <v>11.4</v>
      </c>
      <c r="Y11" s="8"/>
      <c r="Z11" s="34"/>
      <c r="AA11" s="26">
        <v>1</v>
      </c>
      <c r="AB11" s="26"/>
      <c r="AC11" s="26">
        <v>3</v>
      </c>
      <c r="AD11" s="30">
        <v>20</v>
      </c>
      <c r="AE11" s="40" t="s">
        <v>201</v>
      </c>
      <c r="AF11" s="41" t="s">
        <v>82</v>
      </c>
      <c r="AG11" s="41" t="s">
        <v>83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tr">
        <f>IF($F$1="","",$F$1)</f>
        <v>まっつん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FFB99147-AE96-4C36-A017-1353F503BFDC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  <dataValidation type="list" showInputMessage="1" showErrorMessage="1" sqref="K4:K30 P4:P30 F4:F30" xr:uid="{FAE0746B-1A2D-4D09-942A-B8C4FE2EF498}">
      <formula1>"ロン,ツモ,放銃,ツモ支払,流局,チョンボ"</formula1>
    </dataValidation>
    <dataValidation type="list" allowBlank="1" showInputMessage="1" showErrorMessage="1" sqref="E4:E30" xr:uid="{B0F0E782-DC48-4958-8A83-43BE2BBE6C63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B6" s="36" t="s">
        <v>200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2021-02-06T09:34:12Z</dcterms:modified>
</cp:coreProperties>
</file>