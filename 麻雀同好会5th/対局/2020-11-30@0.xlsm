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4CBB661B-D167-4F95-A1D4-3BAE04F49D7B}" xr6:coauthVersionLast="45" xr6:coauthVersionMax="45" xr10:uidLastSave="{00000000-0000-0000-0000-000000000000}"/>
  <bookViews>
    <workbookView xWindow="-120" yWindow="-120" windowWidth="29040" windowHeight="15990" activeTab="3" xr2:uid="{4CDB34E1-560F-4998-ABAB-D6F7F2862621}"/>
  </bookViews>
  <sheets>
    <sheet name="Sheet1" sheetId="19" r:id="rId1"/>
    <sheet name="Sheet2" sheetId="20" r:id="rId2"/>
    <sheet name="Sheet3" sheetId="22" r:id="rId3"/>
    <sheet name="Sheet4" sheetId="23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3" l="1"/>
  <c r="E12" i="23"/>
  <c r="E11" i="23"/>
  <c r="E10" i="23"/>
  <c r="E9" i="23"/>
  <c r="E8" i="23"/>
  <c r="E7" i="23"/>
  <c r="E6" i="23"/>
  <c r="D6" i="23" s="1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O12" i="23"/>
  <c r="V12" i="23" s="1"/>
  <c r="J12" i="23"/>
  <c r="D12" i="23"/>
  <c r="C12" i="23"/>
  <c r="B12" i="23"/>
  <c r="A12" i="23"/>
  <c r="T11" i="23"/>
  <c r="O11" i="23"/>
  <c r="J11" i="23"/>
  <c r="D11" i="23"/>
  <c r="C11" i="23"/>
  <c r="B11" i="23"/>
  <c r="A11" i="23"/>
  <c r="C9" i="23"/>
  <c r="D9" i="23"/>
  <c r="D8" i="23"/>
  <c r="C8" i="23"/>
  <c r="J7" i="23"/>
  <c r="J8" i="23" s="1"/>
  <c r="D7" i="23"/>
  <c r="J6" i="23"/>
  <c r="T5" i="23"/>
  <c r="T6" i="23" s="1"/>
  <c r="J5" i="23"/>
  <c r="B5" i="23"/>
  <c r="D5" i="23"/>
  <c r="T4" i="23"/>
  <c r="O4" i="23"/>
  <c r="O5" i="23" s="1"/>
  <c r="J4" i="23"/>
  <c r="E4" i="23"/>
  <c r="W3" i="23"/>
  <c r="V3" i="23"/>
  <c r="U3" i="23"/>
  <c r="W2" i="23"/>
  <c r="V2" i="23"/>
  <c r="U2" i="23"/>
  <c r="BO1" i="23"/>
  <c r="AT1" i="23"/>
  <c r="Y1" i="23"/>
  <c r="D11" i="22"/>
  <c r="E10" i="22"/>
  <c r="E9" i="22"/>
  <c r="E8" i="22"/>
  <c r="E7" i="22"/>
  <c r="D7" i="22" s="1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C14" i="22"/>
  <c r="D12" i="22"/>
  <c r="C12" i="22"/>
  <c r="D8" i="22"/>
  <c r="J6" i="22"/>
  <c r="J7" i="22" s="1"/>
  <c r="J5" i="22"/>
  <c r="T4" i="22"/>
  <c r="O4" i="22"/>
  <c r="J4" i="22"/>
  <c r="E4" i="22"/>
  <c r="W3" i="22"/>
  <c r="V3" i="22"/>
  <c r="U3" i="22"/>
  <c r="W2" i="22"/>
  <c r="V2" i="22"/>
  <c r="U2" i="22"/>
  <c r="BO1" i="22"/>
  <c r="AT1" i="22"/>
  <c r="Y1" i="22"/>
  <c r="W12" i="23" l="1"/>
  <c r="U12" i="23"/>
  <c r="W11" i="23"/>
  <c r="U11" i="23"/>
  <c r="V11" i="23"/>
  <c r="W4" i="23"/>
  <c r="T7" i="23"/>
  <c r="O6" i="23"/>
  <c r="W6" i="23" s="1"/>
  <c r="V5" i="23"/>
  <c r="U5" i="23"/>
  <c r="J9" i="23"/>
  <c r="C7" i="23"/>
  <c r="C10" i="23"/>
  <c r="C5" i="23"/>
  <c r="C6" i="23" s="1"/>
  <c r="W5" i="23"/>
  <c r="D10" i="23"/>
  <c r="B6" i="23"/>
  <c r="B7" i="23" s="1"/>
  <c r="U4" i="23"/>
  <c r="V4" i="23"/>
  <c r="A5" i="23"/>
  <c r="D9" i="22"/>
  <c r="W4" i="22"/>
  <c r="U4" i="22"/>
  <c r="J8" i="22"/>
  <c r="V4" i="22"/>
  <c r="O5" i="22"/>
  <c r="D6" i="22"/>
  <c r="D14" i="22"/>
  <c r="T5" i="22"/>
  <c r="B5" i="22"/>
  <c r="A5" i="22" s="1"/>
  <c r="C10" i="22"/>
  <c r="C11" i="22" s="1"/>
  <c r="C5" i="22"/>
  <c r="C6" i="22" s="1"/>
  <c r="C7" i="22" s="1"/>
  <c r="C8" i="22" s="1"/>
  <c r="C9" i="22" s="1"/>
  <c r="D10" i="22"/>
  <c r="C13" i="22"/>
  <c r="D5" i="22"/>
  <c r="D13" i="22"/>
  <c r="A6" i="23" l="1"/>
  <c r="A7" i="23" s="1"/>
  <c r="T8" i="23"/>
  <c r="J10" i="23"/>
  <c r="B8" i="23"/>
  <c r="O7" i="23"/>
  <c r="V6" i="23"/>
  <c r="U6" i="23"/>
  <c r="T6" i="22"/>
  <c r="W5" i="22"/>
  <c r="B6" i="22"/>
  <c r="J9" i="22"/>
  <c r="U5" i="22"/>
  <c r="O6" i="22"/>
  <c r="V5" i="22"/>
  <c r="A8" i="23" l="1"/>
  <c r="T9" i="23"/>
  <c r="O8" i="23"/>
  <c r="W8" i="23" s="1"/>
  <c r="V7" i="23"/>
  <c r="U7" i="23"/>
  <c r="B9" i="23"/>
  <c r="W7" i="23"/>
  <c r="T7" i="22"/>
  <c r="W6" i="22"/>
  <c r="O7" i="22"/>
  <c r="V6" i="22"/>
  <c r="U6" i="22"/>
  <c r="B7" i="22"/>
  <c r="A6" i="22"/>
  <c r="J10" i="22"/>
  <c r="T10" i="23" l="1"/>
  <c r="O9" i="23"/>
  <c r="V8" i="23"/>
  <c r="U8" i="23"/>
  <c r="B10" i="23"/>
  <c r="A10" i="23" s="1"/>
  <c r="A9" i="23"/>
  <c r="B8" i="22"/>
  <c r="O8" i="22"/>
  <c r="V7" i="22"/>
  <c r="U7" i="22"/>
  <c r="A7" i="22"/>
  <c r="J11" i="22"/>
  <c r="W7" i="22"/>
  <c r="T8" i="22"/>
  <c r="O10" i="23" l="1"/>
  <c r="V9" i="23"/>
  <c r="U9" i="23"/>
  <c r="W9" i="23"/>
  <c r="A8" i="22"/>
  <c r="T9" i="22"/>
  <c r="W8" i="22"/>
  <c r="J12" i="22"/>
  <c r="O9" i="22"/>
  <c r="V8" i="22"/>
  <c r="U8" i="22"/>
  <c r="B9" i="22"/>
  <c r="V10" i="23" l="1"/>
  <c r="U10" i="23"/>
  <c r="W10" i="23"/>
  <c r="A9" i="22"/>
  <c r="O10" i="22"/>
  <c r="V9" i="22"/>
  <c r="U9" i="22"/>
  <c r="J13" i="22"/>
  <c r="B10" i="22"/>
  <c r="T10" i="22"/>
  <c r="W9" i="22"/>
  <c r="W10" i="22" l="1"/>
  <c r="T11" i="22"/>
  <c r="B11" i="22"/>
  <c r="J14" i="22"/>
  <c r="A10" i="22"/>
  <c r="O11" i="22"/>
  <c r="V10" i="22"/>
  <c r="U10" i="22"/>
  <c r="A11" i="22" l="1"/>
  <c r="T12" i="22"/>
  <c r="W11" i="22"/>
  <c r="O12" i="22"/>
  <c r="V11" i="22"/>
  <c r="U11" i="22"/>
  <c r="A12" i="22"/>
  <c r="B12" i="22"/>
  <c r="B13" i="22" l="1"/>
  <c r="O13" i="22"/>
  <c r="V12" i="22"/>
  <c r="U12" i="22"/>
  <c r="T13" i="22"/>
  <c r="W12" i="22"/>
  <c r="B14" i="22" l="1"/>
  <c r="A14" i="22" s="1"/>
  <c r="T14" i="22"/>
  <c r="W14" i="22" s="1"/>
  <c r="W13" i="22"/>
  <c r="V13" i="22"/>
  <c r="O14" i="22"/>
  <c r="U13" i="22"/>
  <c r="A13" i="22"/>
  <c r="V14" i="22" l="1"/>
  <c r="U14" i="22"/>
  <c r="B15" i="20" l="1"/>
  <c r="E14" i="20"/>
  <c r="B14" i="20" s="1"/>
  <c r="E13" i="20"/>
  <c r="D13" i="20" s="1"/>
  <c r="E12" i="20"/>
  <c r="C12" i="20" s="1"/>
  <c r="E11" i="20"/>
  <c r="E10" i="20"/>
  <c r="D10" i="20" s="1"/>
  <c r="E9" i="20"/>
  <c r="E8" i="20"/>
  <c r="E7" i="20"/>
  <c r="E6" i="20"/>
  <c r="E5" i="20"/>
  <c r="C5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T14" i="20"/>
  <c r="W14" i="20" s="1"/>
  <c r="O14" i="20"/>
  <c r="V14" i="20" s="1"/>
  <c r="J14" i="20"/>
  <c r="T13" i="20"/>
  <c r="O13" i="20"/>
  <c r="J13" i="20"/>
  <c r="T12" i="20"/>
  <c r="O12" i="20"/>
  <c r="J12" i="20"/>
  <c r="D12" i="20"/>
  <c r="D11" i="20"/>
  <c r="C9" i="20"/>
  <c r="D9" i="20"/>
  <c r="T4" i="20"/>
  <c r="T5" i="20" s="1"/>
  <c r="O4" i="20"/>
  <c r="O5" i="20" s="1"/>
  <c r="J4" i="20"/>
  <c r="J5" i="20" s="1"/>
  <c r="E4" i="20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D15" i="20" l="1"/>
  <c r="C15" i="20"/>
  <c r="A15" i="20"/>
  <c r="U14" i="20"/>
  <c r="C14" i="20"/>
  <c r="D14" i="20"/>
  <c r="A14" i="20"/>
  <c r="U13" i="20"/>
  <c r="V13" i="20"/>
  <c r="W13" i="20"/>
  <c r="B13" i="20"/>
  <c r="A13" i="20" s="1"/>
  <c r="C13" i="20"/>
  <c r="V12" i="20"/>
  <c r="W12" i="20"/>
  <c r="U12" i="20"/>
  <c r="B12" i="20"/>
  <c r="A12" i="20" s="1"/>
  <c r="D5" i="20"/>
  <c r="O6" i="20"/>
  <c r="V5" i="20"/>
  <c r="T6" i="20"/>
  <c r="W5" i="20"/>
  <c r="J6" i="20"/>
  <c r="U5" i="20"/>
  <c r="U4" i="20"/>
  <c r="C11" i="20"/>
  <c r="C6" i="20"/>
  <c r="V4" i="20"/>
  <c r="D6" i="20"/>
  <c r="C7" i="20"/>
  <c r="C8" i="20" s="1"/>
  <c r="B5" i="20"/>
  <c r="D7" i="20"/>
  <c r="D8" i="20" s="1"/>
  <c r="C10" i="20"/>
  <c r="W4" i="20"/>
  <c r="E4" i="19"/>
  <c r="T7" i="20" l="1"/>
  <c r="W6" i="20"/>
  <c r="A5" i="20"/>
  <c r="O7" i="20"/>
  <c r="V6" i="20"/>
  <c r="B6" i="20"/>
  <c r="J7" i="20"/>
  <c r="U6" i="20"/>
  <c r="W3" i="19"/>
  <c r="V3" i="19"/>
  <c r="U3" i="19"/>
  <c r="B7" i="20" l="1"/>
  <c r="A7" i="20" s="1"/>
  <c r="O8" i="20"/>
  <c r="V7" i="20"/>
  <c r="A6" i="20"/>
  <c r="J8" i="20"/>
  <c r="U7" i="20"/>
  <c r="T8" i="20"/>
  <c r="W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W8" i="20" l="1"/>
  <c r="T9" i="20"/>
  <c r="J9" i="20"/>
  <c r="U8" i="20"/>
  <c r="O9" i="20"/>
  <c r="V8" i="20"/>
  <c r="B8" i="20"/>
  <c r="V11" i="19"/>
  <c r="W11" i="19"/>
  <c r="U10" i="19"/>
  <c r="U9" i="19"/>
  <c r="V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9" i="20" l="1"/>
  <c r="A8" i="20"/>
  <c r="J10" i="20"/>
  <c r="U9" i="20"/>
  <c r="O10" i="20"/>
  <c r="V9" i="20"/>
  <c r="T10" i="20"/>
  <c r="W9" i="20"/>
  <c r="W5" i="19"/>
  <c r="V5" i="19"/>
  <c r="U5" i="19"/>
  <c r="T11" i="20" l="1"/>
  <c r="W10" i="20"/>
  <c r="O11" i="20"/>
  <c r="V10" i="20"/>
  <c r="B10" i="20"/>
  <c r="J11" i="20"/>
  <c r="U10" i="20"/>
  <c r="A9" i="20"/>
  <c r="W11" i="20" l="1"/>
  <c r="U11" i="20"/>
  <c r="B11" i="20"/>
  <c r="A10" i="20"/>
  <c r="V11" i="20"/>
  <c r="A11" i="20" l="1"/>
</calcChain>
</file>

<file path=xl/sharedStrings.xml><?xml version="1.0" encoding="utf-8"?>
<sst xmlns="http://schemas.openxmlformats.org/spreadsheetml/2006/main" count="891" uniqueCount="209">
  <si>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</si>
  <si>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</si>
  <si>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</si>
  <si>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</si>
  <si>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</si>
  <si>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</si>
  <si>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</si>
  <si>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</si>
  <si>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</si>
  <si>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</si>
  <si>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</si>
  <si>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</si>
  <si>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</si>
  <si>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</si>
  <si>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</si>
  <si>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</si>
  <si>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</si>
  <si>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</si>
  <si>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</si>
  <si>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</si>
  <si>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</si>
  <si>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</si>
  <si>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</si>
  <si>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</si>
  <si>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</si>
  <si>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</si>
  <si>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</si>
  <si>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</si>
  <si>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</si>
  <si>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</si>
  <si>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</si>
  <si>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</si>
  <si>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</si>
  <si>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</si>
  <si>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</si>
  <si>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</si>
  <si>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</si>
  <si>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</si>
  <si>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</si>
  <si>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</si>
  <si>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</si>
  <si>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</si>
  <si>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</si>
  <si>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</si>
  <si>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</si>
  <si>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</si>
  <si>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</si>
  <si>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</si>
  <si>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</si>
  <si>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</si>
  <si>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</si>
  <si>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</si>
  <si>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</si>
  <si>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</si>
  <si>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</si>
  <si>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</si>
  <si>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</si>
  <si>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</si>
  <si>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</si>
  <si>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</si>
  <si>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</si>
  <si>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</si>
  <si>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</si>
  <si>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</si>
  <si>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</si>
  <si>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</si>
  <si>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</si>
  <si>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</si>
  <si>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</si>
  <si>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</si>
  <si>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</si>
  <si>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</si>
  <si>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</si>
  <si>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</si>
  <si>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</si>
  <si>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</si>
  <si>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</si>
  <si>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</si>
  <si>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</si>
  <si>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</si>
  <si>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</si>
  <si>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</si>
  <si>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</si>
  <si>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</si>
  <si>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</si>
  <si>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</si>
  <si>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</si>
  <si>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</si>
  <si>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</si>
  <si>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</si>
  <si>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</si>
  <si>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</si>
  <si>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</si>
  <si>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</si>
  <si>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</si>
  <si>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</si>
  <si>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</si>
  <si>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</si>
  <si>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</si>
  <si>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</si>
  <si>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</si>
  <si>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</si>
  <si>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</si>
  <si>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</si>
  <si>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</si>
  <si>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</si>
  <si>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</si>
  <si>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</si>
  <si>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</si>
  <si>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</si>
  <si>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</si>
  <si>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</si>
  <si>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</si>
  <si>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</si>
  <si>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</si>
  <si>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</si>
  <si>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</si>
  <si>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</si>
  <si>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</si>
  <si>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</si>
  <si>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</si>
  <si>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</si>
  <si>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</si>
  <si>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</si>
  <si>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</si>
  <si>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</si>
  <si>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</si>
  <si>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</si>
  <si>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</si>
  <si>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</si>
  <si>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</si>
  <si>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</si>
  <si>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</si>
  <si>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</si>
  <si>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</si>
  <si>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</si>
  <si>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</si>
  <si>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</si>
  <si>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</si>
  <si>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</si>
  <si>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</si>
  <si>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</si>
  <si>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</si>
  <si>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</si>
  <si>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</si>
  <si>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</si>
  <si>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</si>
  <si>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</si>
  <si>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</si>
  <si>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</si>
  <si>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</si>
  <si>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</si>
  <si>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</si>
  <si>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</si>
  <si>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</si>
  <si>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</si>
  <si>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</si>
  <si>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</si>
  <si>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</si>
  <si>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</si>
  <si>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</si>
  <si>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</si>
  <si>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</si>
  <si>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</si>
  <si>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</si>
  <si>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</si>
  <si>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</si>
  <si>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</si>
  <si>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</si>
  <si>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</si>
  <si>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</si>
  <si>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</si>
  <si>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</si>
  <si>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</si>
  <si>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</si>
  <si>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</si>
  <si>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</si>
  <si>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</si>
  <si>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</si>
  <si>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</si>
  <si>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</si>
  <si>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</si>
  <si>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</si>
  <si>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</si>
  <si>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</si>
  <si>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</si>
  <si>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</si>
  <si>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</si>
  <si>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</si>
  <si>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</si>
  <si>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</si>
  <si>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</si>
  <si>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のり</t>
    <phoneticPr fontId="1"/>
  </si>
  <si>
    <t>いちかわ</t>
    <phoneticPr fontId="1"/>
  </si>
  <si>
    <t>T</t>
  </si>
  <si>
    <t>N</t>
  </si>
  <si>
    <t>流局</t>
    <phoneticPr fontId="1"/>
  </si>
  <si>
    <t>ツモ</t>
  </si>
  <si>
    <t>ツモ支払</t>
  </si>
  <si>
    <t>52</t>
  </si>
  <si>
    <t>放銃</t>
  </si>
  <si>
    <t>ロン</t>
  </si>
  <si>
    <t>01</t>
  </si>
  <si>
    <t>*</t>
  </si>
  <si>
    <t>02</t>
  </si>
  <si>
    <t>流局</t>
    <phoneticPr fontId="1"/>
  </si>
  <si>
    <t>だいち</t>
    <phoneticPr fontId="1"/>
  </si>
  <si>
    <t>やなぎ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</si>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</sst>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のり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いちかわ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のり</v>
      </c>
      <c r="W2" s="16" t="str">
        <f>$P$1</f>
        <v>いちかわ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196</v>
      </c>
      <c r="G4" s="9">
        <v>1500</v>
      </c>
      <c r="H4" s="9"/>
      <c r="I4" s="48"/>
      <c r="J4" s="21">
        <f>IF(COUNTA($F4,$K4,$P4)&gt;0,J3+SUM(G4:I4),"")</f>
        <v>36500</v>
      </c>
      <c r="K4" s="8" t="s">
        <v>196</v>
      </c>
      <c r="L4" s="9">
        <v>-3000</v>
      </c>
      <c r="M4" s="9"/>
      <c r="N4" s="48"/>
      <c r="O4" s="21">
        <f>IF(COUNTA($F4,$K4,$P4)&gt;0,O3+SUM(L4:N4),"")</f>
        <v>32000</v>
      </c>
      <c r="P4" s="8" t="s">
        <v>196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6.5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6.5</v>
      </c>
      <c r="Y4" s="8" t="s">
        <v>194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196</v>
      </c>
      <c r="G5" s="9">
        <v>-1500</v>
      </c>
      <c r="H5" s="9"/>
      <c r="I5" s="48"/>
      <c r="J5" s="21">
        <f t="shared" ref="J5:J30" si="2">IF(COUNTA($F5,$K5,$P5)&gt;0,J4+SUM(G5:I5),"")</f>
        <v>35000</v>
      </c>
      <c r="K5" s="8" t="s">
        <v>196</v>
      </c>
      <c r="L5" s="9">
        <v>-1500</v>
      </c>
      <c r="M5" s="9"/>
      <c r="N5" s="48"/>
      <c r="O5" s="21">
        <f t="shared" ref="O5:O30" si="3">IF(COUNTA($F5,$K5,$P5)&gt;0,O4+SUM(L5:N5),"")</f>
        <v>30500</v>
      </c>
      <c r="P5" s="8" t="s">
        <v>196</v>
      </c>
      <c r="Q5" s="9">
        <v>3000</v>
      </c>
      <c r="R5" s="9">
        <v>-1000</v>
      </c>
      <c r="S5" s="48"/>
      <c r="T5" s="21">
        <f t="shared" ref="T5:T30" si="4">IF(COUNTA($F5,$K5,$P5)&gt;0,T4+SUM(Q5:S5),"")</f>
        <v>38500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-14.5</v>
      </c>
      <c r="W5" s="55">
        <f>IF($T5="","",ROUND(($T5-$T$3)/1000,1)+(_xlfn.RANK.AVG($T5,($J5,$O5,$T5),1)-2)*10)</f>
        <v>13.5</v>
      </c>
      <c r="Y5" s="8" t="s">
        <v>195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195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194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tr">
        <f>IF($K$1="","",$K$1)</f>
        <v>のり</v>
      </c>
      <c r="F6" s="8" t="s">
        <v>197</v>
      </c>
      <c r="G6" s="9">
        <v>7700</v>
      </c>
      <c r="H6" s="9">
        <v>1000</v>
      </c>
      <c r="I6" s="48">
        <v>2000</v>
      </c>
      <c r="J6" s="21">
        <f t="shared" si="2"/>
        <v>45700</v>
      </c>
      <c r="K6" s="8" t="s">
        <v>198</v>
      </c>
      <c r="L6" s="9">
        <v>-4800</v>
      </c>
      <c r="M6" s="9"/>
      <c r="N6" s="48">
        <v>-1000</v>
      </c>
      <c r="O6" s="21">
        <f t="shared" si="3"/>
        <v>24700</v>
      </c>
      <c r="P6" s="8" t="s">
        <v>198</v>
      </c>
      <c r="Q6" s="9">
        <v>-2900</v>
      </c>
      <c r="R6" s="9"/>
      <c r="S6" s="48">
        <v>-1000</v>
      </c>
      <c r="T6" s="21">
        <f t="shared" si="4"/>
        <v>34600</v>
      </c>
      <c r="U6" s="53">
        <f>IF($J6="","",ROUND(($J6-$J$3)/1000,1)+(_xlfn.RANK.AVG($J6,($J6,$O6,$T6),1)-2)*10)</f>
        <v>20.7</v>
      </c>
      <c r="V6" s="54">
        <f>IF($O6="","",ROUND(($O6-$O$3)/1000,1)+(_xlfn.RANK.AVG($O6,($J6,$O6,$T6),1)-2)*10)</f>
        <v>-20.3</v>
      </c>
      <c r="W6" s="55">
        <f>IF($T6="","",ROUND(($T6-$T$3)/1000,1)+(_xlfn.RANK.AVG($T6,($J6,$O6,$T6),1)-2)*10)</f>
        <v>-0.4</v>
      </c>
      <c r="Y6" s="8"/>
      <c r="Z6" s="34"/>
      <c r="AA6" s="26"/>
      <c r="AB6" s="26"/>
      <c r="AC6" s="26">
        <v>4</v>
      </c>
      <c r="AD6" s="30">
        <v>30</v>
      </c>
      <c r="AE6" s="40" t="s">
        <v>82</v>
      </c>
      <c r="AF6" s="41" t="s">
        <v>79</v>
      </c>
      <c r="AG6" s="41" t="s">
        <v>79</v>
      </c>
      <c r="AH6" s="41" t="s">
        <v>199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いちかわ</v>
      </c>
      <c r="F7" s="8" t="s">
        <v>196</v>
      </c>
      <c r="G7" s="9">
        <v>-3000</v>
      </c>
      <c r="H7" s="9"/>
      <c r="I7" s="48"/>
      <c r="J7" s="21">
        <f t="shared" si="2"/>
        <v>42700</v>
      </c>
      <c r="K7" s="8" t="s">
        <v>196</v>
      </c>
      <c r="L7" s="9">
        <v>1500</v>
      </c>
      <c r="M7" s="9"/>
      <c r="N7" s="48"/>
      <c r="O7" s="21">
        <f t="shared" si="3"/>
        <v>26200</v>
      </c>
      <c r="P7" s="8" t="s">
        <v>196</v>
      </c>
      <c r="Q7" s="9">
        <v>1500</v>
      </c>
      <c r="R7" s="9"/>
      <c r="S7" s="48"/>
      <c r="T7" s="21">
        <f t="shared" si="4"/>
        <v>36100</v>
      </c>
      <c r="U7" s="53">
        <f>IF($J7="","",ROUND(($J7-$J$3)/1000,1)+(_xlfn.RANK.AVG($J7,($J7,$O7,$T7),1)-2)*10)</f>
        <v>17.7</v>
      </c>
      <c r="V7" s="54">
        <f>IF($O7="","",ROUND(($O7-$O$3)/1000,1)+(_xlfn.RANK.AVG($O7,($J7,$O7,$T7),1)-2)*10)</f>
        <v>-18.8</v>
      </c>
      <c r="W7" s="55">
        <f>IF($T7="","",ROUND(($T7-$T$3)/1000,1)+(_xlfn.RANK.AVG($T7,($J7,$O7,$T7),1)-2)*10)</f>
        <v>1.1000000000000001</v>
      </c>
      <c r="Y7" s="8" t="s">
        <v>195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194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194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いちかわ</v>
      </c>
      <c r="F8" s="8" t="s">
        <v>198</v>
      </c>
      <c r="G8" s="9">
        <v>-2900</v>
      </c>
      <c r="H8" s="9">
        <v>-1000</v>
      </c>
      <c r="I8" s="48">
        <v>-500</v>
      </c>
      <c r="J8" s="21">
        <f t="shared" si="2"/>
        <v>38300</v>
      </c>
      <c r="K8" s="8" t="s">
        <v>197</v>
      </c>
      <c r="L8" s="9">
        <v>7700</v>
      </c>
      <c r="M8" s="9">
        <v>1000</v>
      </c>
      <c r="N8" s="48">
        <v>1000</v>
      </c>
      <c r="O8" s="21">
        <f t="shared" si="3"/>
        <v>35900</v>
      </c>
      <c r="P8" s="8" t="s">
        <v>198</v>
      </c>
      <c r="Q8" s="9">
        <v>-4800</v>
      </c>
      <c r="R8" s="9"/>
      <c r="S8" s="48">
        <v>-500</v>
      </c>
      <c r="T8" s="21">
        <f t="shared" si="4"/>
        <v>30800</v>
      </c>
      <c r="U8" s="53">
        <f>IF($J8="","",ROUND(($J8-$J$3)/1000,1)+(_xlfn.RANK.AVG($J8,($J8,$O8,$T8),1)-2)*10)</f>
        <v>13.3</v>
      </c>
      <c r="V8" s="54">
        <f>IF($O8="","",ROUND(($O8-$O$3)/1000,1)+(_xlfn.RANK.AVG($O8,($J8,$O8,$T8),1)-2)*10)</f>
        <v>0.9</v>
      </c>
      <c r="W8" s="55">
        <f>IF($T8="","",ROUND(($T8-$T$3)/1000,1)+(_xlfn.RANK.AVG($T8,($J8,$O8,$T8),1)-2)*10)</f>
        <v>-14.2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4</v>
      </c>
      <c r="AY8" s="30">
        <v>30</v>
      </c>
      <c r="AZ8" s="40" t="s">
        <v>82</v>
      </c>
      <c r="BA8" s="41" t="s">
        <v>199</v>
      </c>
      <c r="BB8" s="41" t="s">
        <v>199</v>
      </c>
      <c r="BC8" s="41" t="s">
        <v>85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れんたろう</v>
      </c>
      <c r="F9" s="8" t="s">
        <v>200</v>
      </c>
      <c r="G9" s="9">
        <v>-7700</v>
      </c>
      <c r="H9" s="9"/>
      <c r="I9" s="48">
        <v>0</v>
      </c>
      <c r="J9" s="21">
        <f t="shared" si="2"/>
        <v>30600</v>
      </c>
      <c r="K9" s="8"/>
      <c r="L9" s="9"/>
      <c r="M9" s="9"/>
      <c r="N9" s="48"/>
      <c r="O9" s="21">
        <f t="shared" si="3"/>
        <v>35900</v>
      </c>
      <c r="P9" s="8" t="s">
        <v>201</v>
      </c>
      <c r="Q9" s="9">
        <v>7700</v>
      </c>
      <c r="R9" s="9"/>
      <c r="S9" s="48">
        <v>0</v>
      </c>
      <c r="T9" s="21">
        <f t="shared" si="4"/>
        <v>38500</v>
      </c>
      <c r="U9" s="53">
        <f>IF($J9="","",ROUND(($J9-$J$3)/1000,1)+(_xlfn.RANK.AVG($J9,($J9,$O9,$T9),1)-2)*10)</f>
        <v>-14.4</v>
      </c>
      <c r="V9" s="54">
        <f>IF($O9="","",ROUND(($O9-$O$3)/1000,1)+(_xlfn.RANK.AVG($O9,($J9,$O9,$T9),1)-2)*10)</f>
        <v>0.9</v>
      </c>
      <c r="W9" s="55">
        <f>IF($T9="","",ROUND(($T9-$T$3)/1000,1)+(_xlfn.RANK.AVG($T9,($J9,$O9,$T9),1)-2)*10)</f>
        <v>13.5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30</v>
      </c>
      <c r="BU9" s="40" t="s">
        <v>202</v>
      </c>
      <c r="BV9" s="41" t="s">
        <v>83</v>
      </c>
      <c r="BW9" s="41" t="s">
        <v>199</v>
      </c>
      <c r="BX9" s="41" t="s">
        <v>80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のり</v>
      </c>
      <c r="F10" s="8"/>
      <c r="G10" s="9"/>
      <c r="H10" s="9"/>
      <c r="I10" s="48"/>
      <c r="J10" s="21">
        <f t="shared" si="2"/>
        <v>30600</v>
      </c>
      <c r="K10" s="8" t="s">
        <v>200</v>
      </c>
      <c r="L10" s="9">
        <v>-8000</v>
      </c>
      <c r="M10" s="9"/>
      <c r="N10" s="48">
        <v>0</v>
      </c>
      <c r="O10" s="21">
        <f t="shared" si="3"/>
        <v>27900</v>
      </c>
      <c r="P10" s="8" t="s">
        <v>201</v>
      </c>
      <c r="Q10" s="9">
        <v>8000</v>
      </c>
      <c r="R10" s="9"/>
      <c r="S10" s="48">
        <v>0</v>
      </c>
      <c r="T10" s="21">
        <f t="shared" si="4"/>
        <v>46500</v>
      </c>
      <c r="U10" s="53">
        <f>IF($J10="","",ROUND(($J10-$J$3)/1000,1)+(_xlfn.RANK.AVG($J10,($J10,$O10,$T10),1)-2)*10)</f>
        <v>-4.4000000000000004</v>
      </c>
      <c r="V10" s="54">
        <f>IF($O10="","",ROUND(($O10-$O$3)/1000,1)+(_xlfn.RANK.AVG($O10,($J10,$O10,$T10),1)-2)*10)</f>
        <v>-17.100000000000001</v>
      </c>
      <c r="W10" s="55">
        <f>IF($T10="","",ROUND(($T10-$T$3)/1000,1)+(_xlfn.RANK.AVG($T10,($J10,$O10,$T10),1)-2)*10)</f>
        <v>21.5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203</v>
      </c>
      <c r="BU10" s="40" t="s">
        <v>202</v>
      </c>
      <c r="BV10" s="41" t="s">
        <v>204</v>
      </c>
      <c r="BW10" s="41" t="s">
        <v>92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いちかわ</v>
      </c>
      <c r="F11" s="8" t="s">
        <v>200</v>
      </c>
      <c r="G11" s="9">
        <v>-7700</v>
      </c>
      <c r="H11" s="9"/>
      <c r="I11" s="48">
        <v>0</v>
      </c>
      <c r="J11" s="21">
        <f t="shared" si="2"/>
        <v>22900</v>
      </c>
      <c r="K11" s="8" t="s">
        <v>201</v>
      </c>
      <c r="L11" s="9">
        <v>7700</v>
      </c>
      <c r="M11" s="9"/>
      <c r="N11" s="48">
        <v>0</v>
      </c>
      <c r="O11" s="21">
        <f t="shared" si="3"/>
        <v>35600</v>
      </c>
      <c r="P11" s="8"/>
      <c r="Q11" s="9"/>
      <c r="R11" s="9"/>
      <c r="S11" s="48"/>
      <c r="T11" s="21">
        <f t="shared" si="4"/>
        <v>46500</v>
      </c>
      <c r="U11" s="53">
        <f>IF($J11="","",ROUND(($J11-$J$3)/1000,1)+(_xlfn.RANK.AVG($J11,($J11,$O11,$T11),1)-2)*10)</f>
        <v>-22.1</v>
      </c>
      <c r="V11" s="54">
        <f>IF($O11="","",ROUND(($O11-$O$3)/1000,1)+(_xlfn.RANK.AVG($O11,($J11,$O11,$T11),1)-2)*10)</f>
        <v>0.6</v>
      </c>
      <c r="W11" s="55">
        <f>IF($T11="","",ROUND(($T11-$T$3)/1000,1)+(_xlfn.RANK.AVG($T11,($J11,$O11,$T11),1)-2)*10)</f>
        <v>21.5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30</v>
      </c>
      <c r="AZ11" s="40" t="s">
        <v>86</v>
      </c>
      <c r="BA11" s="41" t="s">
        <v>104</v>
      </c>
      <c r="BB11" s="41" t="s">
        <v>79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E05F41F-730D-47A6-998C-F90E3E806DAC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972DD-27DD-45C0-8A4A-198548A30C3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いちかわ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のり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いちかわ</v>
      </c>
      <c r="W2" s="16" t="str">
        <f>$P$1</f>
        <v>のり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201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200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>
        <v>4</v>
      </c>
      <c r="AD4" s="30">
        <v>40</v>
      </c>
      <c r="AE4" s="40" t="s">
        <v>85</v>
      </c>
      <c r="AF4" s="41" t="s">
        <v>79</v>
      </c>
      <c r="AG4" s="41" t="s">
        <v>79</v>
      </c>
      <c r="AH4" s="41" t="s">
        <v>84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197</v>
      </c>
      <c r="G5" s="9">
        <v>12000</v>
      </c>
      <c r="H5" s="9"/>
      <c r="I5" s="48">
        <v>1000</v>
      </c>
      <c r="J5" s="21">
        <f t="shared" ref="J5:J30" si="2">IF(COUNTA($F5,$K5,$P5)&gt;0,J4+SUM(G5:I5),"")</f>
        <v>60000</v>
      </c>
      <c r="K5" s="8" t="s">
        <v>198</v>
      </c>
      <c r="L5" s="9">
        <v>-6000</v>
      </c>
      <c r="M5" s="9"/>
      <c r="N5" s="48">
        <v>-500</v>
      </c>
      <c r="O5" s="21">
        <f t="shared" ref="O5:O30" si="3">IF(COUNTA($F5,$K5,$P5)&gt;0,O4+SUM(L5:N5),"")</f>
        <v>16500</v>
      </c>
      <c r="P5" s="8" t="s">
        <v>198</v>
      </c>
      <c r="Q5" s="9">
        <v>-6000</v>
      </c>
      <c r="R5" s="9"/>
      <c r="S5" s="48">
        <v>-500</v>
      </c>
      <c r="T5" s="21">
        <f t="shared" ref="T5:T30" si="4">IF(COUNTA($F5,$K5,$P5)&gt;0,T4+SUM(Q5:S5),"")</f>
        <v>28500</v>
      </c>
      <c r="U5" s="53">
        <f>IF($J5="","",ROUND(($J5-$J$3)/1000,1)+(_xlfn.RANK.AVG($J5,($J5,$O5,$T5),1)-2)*10)</f>
        <v>35</v>
      </c>
      <c r="V5" s="54">
        <f>IF($O5="","",ROUND(($O5-$O$3)/1000,1)+(_xlfn.RANK.AVG($O5,($J5,$O5,$T5),1)-2)*10)</f>
        <v>-28.5</v>
      </c>
      <c r="W5" s="55">
        <f>IF($T5="","",ROUND(($T5-$T$3)/1000,1)+(_xlfn.RANK.AVG($T5,($J5,$O5,$T5),1)-2)*10)</f>
        <v>-6.5</v>
      </c>
      <c r="Y5" s="8"/>
      <c r="Z5" s="34"/>
      <c r="AA5" s="26"/>
      <c r="AB5" s="26">
        <v>1</v>
      </c>
      <c r="AC5" s="26">
        <v>4</v>
      </c>
      <c r="AD5" s="30">
        <v>40</v>
      </c>
      <c r="AE5" s="40" t="s">
        <v>86</v>
      </c>
      <c r="AF5" s="41" t="s">
        <v>104</v>
      </c>
      <c r="AG5" s="41" t="s">
        <v>199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れんたろう</v>
      </c>
      <c r="F6" s="8" t="s">
        <v>201</v>
      </c>
      <c r="G6" s="9">
        <v>7700</v>
      </c>
      <c r="H6" s="9"/>
      <c r="I6" s="48">
        <v>2000</v>
      </c>
      <c r="J6" s="21">
        <f t="shared" si="2"/>
        <v>69700</v>
      </c>
      <c r="K6" s="8"/>
      <c r="L6" s="9"/>
      <c r="M6" s="9"/>
      <c r="N6" s="48"/>
      <c r="O6" s="21">
        <f t="shared" si="3"/>
        <v>16500</v>
      </c>
      <c r="P6" s="8" t="s">
        <v>200</v>
      </c>
      <c r="Q6" s="9">
        <v>-7700</v>
      </c>
      <c r="R6" s="9"/>
      <c r="S6" s="48">
        <v>-2000</v>
      </c>
      <c r="T6" s="21">
        <f t="shared" si="4"/>
        <v>18800</v>
      </c>
      <c r="U6" s="53">
        <f>IF($J6="","",ROUND(($J6-$J$3)/1000,1)+(_xlfn.RANK.AVG($J6,($J6,$O6,$T6),1)-2)*10)</f>
        <v>44.7</v>
      </c>
      <c r="V6" s="54">
        <f>IF($O6="","",ROUND(($O6-$O$3)/1000,1)+(_xlfn.RANK.AVG($O6,($J6,$O6,$T6),1)-2)*10)</f>
        <v>-28.5</v>
      </c>
      <c r="W6" s="55">
        <f>IF($T6="","",ROUND(($T6-$T$3)/1000,1)+(_xlfn.RANK.AVG($T6,($J6,$O6,$T6),1)-2)*10)</f>
        <v>-16.2</v>
      </c>
      <c r="Y6" s="8"/>
      <c r="Z6" s="34"/>
      <c r="AA6" s="26">
        <v>1</v>
      </c>
      <c r="AB6" s="26"/>
      <c r="AC6" s="26">
        <v>3</v>
      </c>
      <c r="AD6" s="30">
        <v>40</v>
      </c>
      <c r="AE6" s="40" t="s">
        <v>202</v>
      </c>
      <c r="AF6" s="41" t="s">
        <v>204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れんたろう</v>
      </c>
      <c r="F7" s="8" t="s">
        <v>205</v>
      </c>
      <c r="G7" s="9">
        <v>1500</v>
      </c>
      <c r="H7" s="9">
        <v>-1000</v>
      </c>
      <c r="I7" s="48"/>
      <c r="J7" s="21">
        <f t="shared" si="2"/>
        <v>70200</v>
      </c>
      <c r="K7" s="8" t="s">
        <v>205</v>
      </c>
      <c r="L7" s="9">
        <v>-3000</v>
      </c>
      <c r="M7" s="9"/>
      <c r="N7" s="48"/>
      <c r="O7" s="21">
        <f t="shared" si="3"/>
        <v>13500</v>
      </c>
      <c r="P7" s="8" t="s">
        <v>205</v>
      </c>
      <c r="Q7" s="9">
        <v>1500</v>
      </c>
      <c r="R7" s="9"/>
      <c r="S7" s="48"/>
      <c r="T7" s="21">
        <f t="shared" si="4"/>
        <v>20300</v>
      </c>
      <c r="U7" s="53">
        <f>IF($J7="","",ROUND(($J7-$J$3)/1000,1)+(_xlfn.RANK.AVG($J7,($J7,$O7,$T7),1)-2)*10)</f>
        <v>45.2</v>
      </c>
      <c r="V7" s="54">
        <f>IF($O7="","",ROUND(($O7-$O$3)/1000,1)+(_xlfn.RANK.AVG($O7,($J7,$O7,$T7),1)-2)*10)</f>
        <v>-31.5</v>
      </c>
      <c r="W7" s="55">
        <f>IF($T7="","",ROUND(($T7-$T$3)/1000,1)+(_xlfn.RANK.AVG($T7,($J7,$O7,$T7),1)-2)*10)</f>
        <v>-14.7</v>
      </c>
      <c r="Y7" s="8" t="s">
        <v>194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194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1</v>
      </c>
      <c r="E8" s="4" t="str">
        <f>IF($F$1="","",$F$1)</f>
        <v>れんたろう</v>
      </c>
      <c r="F8" s="8" t="s">
        <v>205</v>
      </c>
      <c r="G8" s="9">
        <v>-1500</v>
      </c>
      <c r="H8" s="9"/>
      <c r="I8" s="48"/>
      <c r="J8" s="21">
        <f t="shared" si="2"/>
        <v>68700</v>
      </c>
      <c r="K8" s="8" t="s">
        <v>205</v>
      </c>
      <c r="L8" s="9">
        <v>3000</v>
      </c>
      <c r="M8" s="9"/>
      <c r="N8" s="48"/>
      <c r="O8" s="21">
        <f t="shared" si="3"/>
        <v>16500</v>
      </c>
      <c r="P8" s="8" t="s">
        <v>205</v>
      </c>
      <c r="Q8" s="9">
        <v>-1500</v>
      </c>
      <c r="R8" s="9"/>
      <c r="S8" s="48"/>
      <c r="T8" s="21">
        <f t="shared" si="4"/>
        <v>18800</v>
      </c>
      <c r="U8" s="53">
        <f>IF($J8="","",ROUND(($J8-$J$3)/1000,1)+(_xlfn.RANK.AVG($J8,($J8,$O8,$T8),1)-2)*10)</f>
        <v>43.7</v>
      </c>
      <c r="V8" s="54">
        <f>IF($O8="","",ROUND(($O8-$O$3)/1000,1)+(_xlfn.RANK.AVG($O8,($J8,$O8,$T8),1)-2)*10)</f>
        <v>-28.5</v>
      </c>
      <c r="W8" s="55">
        <f>IF($T8="","",ROUND(($T8-$T$3)/1000,1)+(_xlfn.RANK.AVG($T8,($J8,$O8,$T8),1)-2)*10)</f>
        <v>-16.2</v>
      </c>
      <c r="Y8" s="8" t="s">
        <v>195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195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5</v>
      </c>
      <c r="D9" s="18">
        <f t="shared" si="1"/>
        <v>1</v>
      </c>
      <c r="E9" s="4" t="str">
        <f>IF($K$1="","",$K$1)</f>
        <v>いちかわ</v>
      </c>
      <c r="F9" s="8"/>
      <c r="G9" s="9"/>
      <c r="H9" s="9"/>
      <c r="I9" s="48"/>
      <c r="J9" s="21">
        <f t="shared" si="2"/>
        <v>68700</v>
      </c>
      <c r="K9" s="8" t="s">
        <v>200</v>
      </c>
      <c r="L9" s="9">
        <v>-1300</v>
      </c>
      <c r="M9" s="9"/>
      <c r="N9" s="48">
        <v>-5000</v>
      </c>
      <c r="O9" s="21">
        <f t="shared" si="3"/>
        <v>10200</v>
      </c>
      <c r="P9" s="8" t="s">
        <v>201</v>
      </c>
      <c r="Q9" s="9">
        <v>1300</v>
      </c>
      <c r="R9" s="9">
        <v>1000</v>
      </c>
      <c r="S9" s="48">
        <v>5000</v>
      </c>
      <c r="T9" s="21">
        <f t="shared" si="4"/>
        <v>26100</v>
      </c>
      <c r="U9" s="53">
        <f>IF($J9="","",ROUND(($J9-$J$3)/1000,1)+(_xlfn.RANK.AVG($J9,($J9,$O9,$T9),1)-2)*10)</f>
        <v>43.7</v>
      </c>
      <c r="V9" s="54">
        <f>IF($O9="","",ROUND(($O9-$O$3)/1000,1)+(_xlfn.RANK.AVG($O9,($J9,$O9,$T9),1)-2)*10)</f>
        <v>-34.799999999999997</v>
      </c>
      <c r="W9" s="55">
        <f>IF($T9="","",ROUND(($T9-$T$3)/1000,1)+(_xlfn.RANK.AVG($T9,($J9,$O9,$T9),1)-2)*10)</f>
        <v>-8.9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1</v>
      </c>
      <c r="BT9" s="30">
        <v>40</v>
      </c>
      <c r="BU9" s="40" t="s">
        <v>85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のり</v>
      </c>
      <c r="F10" s="8" t="s">
        <v>200</v>
      </c>
      <c r="G10" s="9">
        <v>-12000</v>
      </c>
      <c r="H10" s="9"/>
      <c r="I10" s="48">
        <v>0</v>
      </c>
      <c r="J10" s="21">
        <f t="shared" si="2"/>
        <v>56700</v>
      </c>
      <c r="K10" s="8"/>
      <c r="L10" s="9"/>
      <c r="M10" s="9">
        <v>-1000</v>
      </c>
      <c r="N10" s="48"/>
      <c r="O10" s="21">
        <f t="shared" si="3"/>
        <v>9200</v>
      </c>
      <c r="P10" s="8" t="s">
        <v>201</v>
      </c>
      <c r="Q10" s="9">
        <v>12000</v>
      </c>
      <c r="R10" s="9">
        <v>1000</v>
      </c>
      <c r="S10" s="48">
        <v>0</v>
      </c>
      <c r="T10" s="21">
        <f t="shared" si="4"/>
        <v>39100</v>
      </c>
      <c r="U10" s="53">
        <f>IF($J10="","",ROUND(($J10-$J$3)/1000,1)+(_xlfn.RANK.AVG($J10,($J10,$O10,$T10),1)-2)*10)</f>
        <v>31.7</v>
      </c>
      <c r="V10" s="54">
        <f>IF($O10="","",ROUND(($O10-$O$3)/1000,1)+(_xlfn.RANK.AVG($O10,($J10,$O10,$T10),1)-2)*10)</f>
        <v>-35.799999999999997</v>
      </c>
      <c r="W10" s="55">
        <f>IF($T10="","",ROUND(($T10-$T$3)/1000,1)+(_xlfn.RANK.AVG($T10,($J10,$O10,$T10),1)-2)*10)</f>
        <v>4.0999999999999996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4</v>
      </c>
      <c r="BT10" s="30">
        <v>40</v>
      </c>
      <c r="BU10" s="40" t="s">
        <v>202</v>
      </c>
      <c r="BV10" s="41" t="s">
        <v>79</v>
      </c>
      <c r="BW10" s="41" t="s">
        <v>199</v>
      </c>
      <c r="BX10" s="41" t="s">
        <v>86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IF($P$1="","",$P$1)</f>
        <v>のり</v>
      </c>
      <c r="F11" s="8"/>
      <c r="G11" s="9"/>
      <c r="H11" s="9"/>
      <c r="I11" s="48"/>
      <c r="J11" s="21">
        <f t="shared" si="2"/>
        <v>56700</v>
      </c>
      <c r="K11" s="8" t="s">
        <v>201</v>
      </c>
      <c r="L11" s="9">
        <v>7700</v>
      </c>
      <c r="M11" s="9"/>
      <c r="N11" s="48">
        <v>1000</v>
      </c>
      <c r="O11" s="21">
        <f t="shared" si="3"/>
        <v>17900</v>
      </c>
      <c r="P11" s="8" t="s">
        <v>200</v>
      </c>
      <c r="Q11" s="9">
        <v>-7700</v>
      </c>
      <c r="R11" s="9"/>
      <c r="S11" s="48">
        <v>-1000</v>
      </c>
      <c r="T11" s="21">
        <f t="shared" si="4"/>
        <v>30400</v>
      </c>
      <c r="U11" s="53">
        <f>IF($J11="","",ROUND(($J11-$J$3)/1000,1)+(_xlfn.RANK.AVG($J11,($J11,$O11,$T11),1)-2)*10)</f>
        <v>31.7</v>
      </c>
      <c r="V11" s="54">
        <f>IF($O11="","",ROUND(($O11-$O$3)/1000,1)+(_xlfn.RANK.AVG($O11,($J11,$O11,$T11),1)-2)*10)</f>
        <v>-27.1</v>
      </c>
      <c r="W11" s="55">
        <f>IF($T11="","",ROUND(($T11-$T$3)/1000,1)+(_xlfn.RANK.AVG($T11,($J11,$O11,$T11),1)-2)*10)</f>
        <v>-4.5999999999999996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30</v>
      </c>
      <c r="AZ11" s="40" t="s">
        <v>86</v>
      </c>
      <c r="BA11" s="41" t="s">
        <v>79</v>
      </c>
      <c r="BB11" s="41" t="s">
        <v>79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れんたろう</v>
      </c>
      <c r="F12" s="8" t="s">
        <v>198</v>
      </c>
      <c r="G12" s="9">
        <v>-7500</v>
      </c>
      <c r="H12" s="9"/>
      <c r="I12" s="48">
        <v>0</v>
      </c>
      <c r="J12" s="21">
        <f t="shared" si="2"/>
        <v>49200</v>
      </c>
      <c r="K12" s="8" t="s">
        <v>197</v>
      </c>
      <c r="L12" s="9">
        <v>12000</v>
      </c>
      <c r="M12" s="9"/>
      <c r="N12" s="48">
        <v>0</v>
      </c>
      <c r="O12" s="21">
        <f t="shared" si="3"/>
        <v>29900</v>
      </c>
      <c r="P12" s="8" t="s">
        <v>198</v>
      </c>
      <c r="Q12" s="9">
        <v>-4500</v>
      </c>
      <c r="R12" s="9"/>
      <c r="S12" s="48">
        <v>0</v>
      </c>
      <c r="T12" s="21">
        <f t="shared" si="4"/>
        <v>25900</v>
      </c>
      <c r="U12" s="53">
        <f>IF($J12="","",ROUND(($J12-$J$3)/1000,1)+(_xlfn.RANK.AVG($J12,($J12,$O12,$T12),1)-2)*10)</f>
        <v>24.2</v>
      </c>
      <c r="V12" s="54">
        <f>IF($O12="","",ROUND(($O12-$O$3)/1000,1)+(_xlfn.RANK.AVG($O12,($J12,$O12,$T12),1)-2)*10)</f>
        <v>-5.0999999999999996</v>
      </c>
      <c r="W12" s="55">
        <f>IF($T12="","",ROUND(($T12-$T$3)/1000,1)+(_xlfn.RANK.AVG($T12,($J12,$O12,$T12),1)-2)*10)</f>
        <v>-19.100000000000001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6</v>
      </c>
      <c r="AY12" s="30" t="s">
        <v>203</v>
      </c>
      <c r="AZ12" s="40" t="s">
        <v>104</v>
      </c>
      <c r="BA12" s="41" t="s">
        <v>86</v>
      </c>
      <c r="BB12" s="41" t="s">
        <v>86</v>
      </c>
      <c r="BC12" s="41" t="s">
        <v>86</v>
      </c>
      <c r="BD12" s="41" t="s">
        <v>79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いちかわ</v>
      </c>
      <c r="F13" s="8" t="s">
        <v>201</v>
      </c>
      <c r="G13" s="9">
        <v>8000</v>
      </c>
      <c r="H13" s="9"/>
      <c r="I13" s="48">
        <v>0</v>
      </c>
      <c r="J13" s="21">
        <f t="shared" si="2"/>
        <v>57200</v>
      </c>
      <c r="K13" s="8" t="s">
        <v>200</v>
      </c>
      <c r="L13" s="9">
        <v>-8000</v>
      </c>
      <c r="M13" s="9"/>
      <c r="N13" s="48">
        <v>0</v>
      </c>
      <c r="O13" s="21">
        <f t="shared" si="3"/>
        <v>21900</v>
      </c>
      <c r="P13" s="8"/>
      <c r="Q13" s="9"/>
      <c r="R13" s="9"/>
      <c r="S13" s="48"/>
      <c r="T13" s="21">
        <f t="shared" si="4"/>
        <v>25900</v>
      </c>
      <c r="U13" s="53">
        <f>IF($J13="","",ROUND(($J13-$J$3)/1000,1)+(_xlfn.RANK.AVG($J13,($J13,$O13,$T13),1)-2)*10)</f>
        <v>32.200000000000003</v>
      </c>
      <c r="V13" s="54">
        <f>IF($O13="","",ROUND(($O13-$O$3)/1000,1)+(_xlfn.RANK.AVG($O13,($J13,$O13,$T13),1)-2)*10)</f>
        <v>-23.1</v>
      </c>
      <c r="W13" s="55">
        <f>IF($T13="","",ROUND(($T13-$T$3)/1000,1)+(_xlfn.RANK.AVG($T13,($J13,$O13,$T13),1)-2)*10)</f>
        <v>-9.1</v>
      </c>
      <c r="Y13" s="8"/>
      <c r="Z13" s="34"/>
      <c r="AA13" s="26">
        <v>1</v>
      </c>
      <c r="AB13" s="26"/>
      <c r="AC13" s="26">
        <v>4</v>
      </c>
      <c r="AD13" s="30">
        <v>40</v>
      </c>
      <c r="AE13" s="40" t="s">
        <v>202</v>
      </c>
      <c r="AF13" s="41" t="s">
        <v>204</v>
      </c>
      <c r="AG13" s="41" t="s">
        <v>86</v>
      </c>
      <c r="AH13" s="41" t="s">
        <v>199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IF($P$1="","",$P$1)</f>
        <v>のり</v>
      </c>
      <c r="F14" s="8"/>
      <c r="G14" s="9"/>
      <c r="H14" s="9"/>
      <c r="I14" s="48"/>
      <c r="J14" s="21">
        <f t="shared" si="2"/>
        <v>57200</v>
      </c>
      <c r="K14" s="8" t="s">
        <v>201</v>
      </c>
      <c r="L14" s="9">
        <v>8000</v>
      </c>
      <c r="M14" s="9"/>
      <c r="N14" s="48">
        <v>0</v>
      </c>
      <c r="O14" s="21">
        <f t="shared" si="3"/>
        <v>29900</v>
      </c>
      <c r="P14" s="8" t="s">
        <v>200</v>
      </c>
      <c r="Q14" s="9">
        <v>-8000</v>
      </c>
      <c r="R14" s="9"/>
      <c r="S14" s="48">
        <v>0</v>
      </c>
      <c r="T14" s="21">
        <f t="shared" si="4"/>
        <v>17900</v>
      </c>
      <c r="U14" s="53">
        <f>IF($J14="","",ROUND(($J14-$J$3)/1000,1)+(_xlfn.RANK.AVG($J14,($J14,$O14,$T14),1)-2)*10)</f>
        <v>32.200000000000003</v>
      </c>
      <c r="V14" s="54">
        <f>IF($O14="","",ROUND(($O14-$O$3)/1000,1)+(_xlfn.RANK.AVG($O14,($J14,$O14,$T14),1)-2)*10)</f>
        <v>-5.0999999999999996</v>
      </c>
      <c r="W14" s="55">
        <f>IF($T14="","",ROUND(($T14-$T$3)/1000,1)+(_xlfn.RANK.AVG($T14,($J14,$O14,$T14),1)-2)*10)</f>
        <v>-27.1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4</v>
      </c>
      <c r="AY14" s="30">
        <v>40</v>
      </c>
      <c r="AZ14" s="40" t="s">
        <v>202</v>
      </c>
      <c r="BA14" s="41" t="s">
        <v>86</v>
      </c>
      <c r="BB14" s="41" t="s">
        <v>199</v>
      </c>
      <c r="BC14" s="41" t="s">
        <v>199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8872D5BE-2B10-44A2-B4C2-0FB038A36124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4A82C518-F78A-470E-A8E0-8F5EEE1613A9}">
      <formula1>"ロン,ツモ,放銃,ツモ支払,流局,チョンボ"</formula1>
    </dataValidation>
    <dataValidation type="list" allowBlank="1" showInputMessage="1" showErrorMessage="1" sqref="E4:E30" xr:uid="{6F40A051-4E1B-4B17-8123-C933247264C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0C546-484E-4DF2-BE85-04F0B09FF149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207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206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やなぎ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やなぎ</v>
      </c>
      <c r="V2" s="70" t="str">
        <f>$K$1</f>
        <v>れんたろう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やなぎ</v>
      </c>
      <c r="F4" s="8" t="s">
        <v>198</v>
      </c>
      <c r="G4" s="9">
        <v>-4800</v>
      </c>
      <c r="H4" s="9">
        <v>-1000</v>
      </c>
      <c r="I4" s="48">
        <v>0</v>
      </c>
      <c r="J4" s="21">
        <f>IF(COUNTA($F4,$K4,$P4)&gt;0,J3+SUM(G4:I4),"")</f>
        <v>29200</v>
      </c>
      <c r="K4" s="8" t="s">
        <v>198</v>
      </c>
      <c r="L4" s="9">
        <v>-2900</v>
      </c>
      <c r="M4" s="9"/>
      <c r="N4" s="48">
        <v>0</v>
      </c>
      <c r="O4" s="21">
        <f>IF(COUNTA($F4,$K4,$P4)&gt;0,O3+SUM(L4:N4),"")</f>
        <v>32100</v>
      </c>
      <c r="P4" s="8" t="s">
        <v>197</v>
      </c>
      <c r="Q4" s="9">
        <v>7700</v>
      </c>
      <c r="R4" s="9">
        <v>1000</v>
      </c>
      <c r="S4" s="48">
        <v>0</v>
      </c>
      <c r="T4" s="21">
        <f>IF(COUNTA($F4,$K4,$P4)&gt;0,T3+SUM(Q4:S4),"")</f>
        <v>43700</v>
      </c>
      <c r="U4" s="53">
        <f>IF($J4="","",ROUND(($J4-$J$3)/1000,1)+(_xlfn.RANK.AVG($J4,($J4,$O4,$T4),1)-2)*10)</f>
        <v>-15.8</v>
      </c>
      <c r="V4" s="54">
        <f>IF($O4="","",ROUND(($O4-$O$3)/1000,1)+(_xlfn.RANK.AVG($O4,($J4,$O4,$T4),1)-2)*10)</f>
        <v>-2.9</v>
      </c>
      <c r="W4" s="55">
        <f>IF($T4="","",ROUND(($T4-$T$3)/1000,1)+(_xlfn.RANK.AVG($T4,($J4,$O4,$T4),1)-2)*10)</f>
        <v>18.7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30</v>
      </c>
      <c r="BU4" s="40" t="s">
        <v>202</v>
      </c>
      <c r="BV4" s="41" t="s">
        <v>199</v>
      </c>
      <c r="BW4" s="41" t="s">
        <v>79</v>
      </c>
      <c r="BX4" s="41" t="s">
        <v>80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/>
      <c r="G5" s="9"/>
      <c r="H5" s="9"/>
      <c r="I5" s="48"/>
      <c r="J5" s="21">
        <f t="shared" ref="J5:J30" si="2">IF(COUNTA($F5,$K5,$P5)&gt;0,J4+SUM(G5:I5),"")</f>
        <v>29200</v>
      </c>
      <c r="K5" s="8" t="s">
        <v>201</v>
      </c>
      <c r="L5" s="9">
        <v>2900</v>
      </c>
      <c r="M5" s="9">
        <v>1000</v>
      </c>
      <c r="N5" s="48">
        <v>0</v>
      </c>
      <c r="O5" s="21">
        <f t="shared" ref="O5:O30" si="3">IF(COUNTA($F5,$K5,$P5)&gt;0,O4+SUM(L5:N5),"")</f>
        <v>36000</v>
      </c>
      <c r="P5" s="8" t="s">
        <v>200</v>
      </c>
      <c r="Q5" s="9">
        <v>-2900</v>
      </c>
      <c r="R5" s="9">
        <v>-1000</v>
      </c>
      <c r="S5" s="48">
        <v>0</v>
      </c>
      <c r="T5" s="21">
        <f t="shared" ref="T5:T30" si="4">IF(COUNTA($F5,$K5,$P5)&gt;0,T4+SUM(Q5:S5),"")</f>
        <v>39800</v>
      </c>
      <c r="U5" s="53">
        <f>IF($J5="","",ROUND(($J5-$J$3)/1000,1)+(_xlfn.RANK.AVG($J5,($J5,$O5,$T5),1)-2)*10)</f>
        <v>-15.8</v>
      </c>
      <c r="V5" s="54">
        <f>IF($O5="","",ROUND(($O5-$O$3)/1000,1)+(_xlfn.RANK.AVG($O5,($J5,$O5,$T5),1)-2)*10)</f>
        <v>1</v>
      </c>
      <c r="W5" s="55">
        <f>IF($T5="","",ROUND(($T5-$T$3)/1000,1)+(_xlfn.RANK.AVG($T5,($J5,$O5,$T5),1)-2)*10)</f>
        <v>14.8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30</v>
      </c>
      <c r="AZ5" s="40" t="s">
        <v>202</v>
      </c>
      <c r="BA5" s="41" t="s">
        <v>83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れんたろう</v>
      </c>
      <c r="F6" s="8" t="s">
        <v>201</v>
      </c>
      <c r="G6" s="9">
        <v>16000</v>
      </c>
      <c r="H6" s="9">
        <v>1000</v>
      </c>
      <c r="I6" s="48">
        <v>1000</v>
      </c>
      <c r="J6" s="21">
        <f t="shared" si="2"/>
        <v>47200</v>
      </c>
      <c r="K6" s="8" t="s">
        <v>200</v>
      </c>
      <c r="L6" s="9">
        <v>-16000</v>
      </c>
      <c r="M6" s="9">
        <v>-1000</v>
      </c>
      <c r="N6" s="48">
        <v>-1000</v>
      </c>
      <c r="O6" s="21">
        <f t="shared" si="3"/>
        <v>18000</v>
      </c>
      <c r="P6" s="8"/>
      <c r="Q6" s="9"/>
      <c r="R6" s="9"/>
      <c r="S6" s="48"/>
      <c r="T6" s="21">
        <f t="shared" si="4"/>
        <v>39800</v>
      </c>
      <c r="U6" s="53">
        <f>IF($J6="","",ROUND(($J6-$J$3)/1000,1)+(_xlfn.RANK.AVG($J6,($J6,$O6,$T6),1)-2)*10)</f>
        <v>22.2</v>
      </c>
      <c r="V6" s="54">
        <f>IF($O6="","",ROUND(($O6-$O$3)/1000,1)+(_xlfn.RANK.AVG($O6,($J6,$O6,$T6),1)-2)*10)</f>
        <v>-27</v>
      </c>
      <c r="W6" s="55">
        <f>IF($T6="","",ROUND(($T6-$T$3)/1000,1)+(_xlfn.RANK.AVG($T6,($J6,$O6,$T6),1)-2)*10)</f>
        <v>4.8</v>
      </c>
      <c r="Y6" s="8"/>
      <c r="Z6" s="34"/>
      <c r="AA6" s="26">
        <v>1</v>
      </c>
      <c r="AB6" s="26"/>
      <c r="AC6" s="26">
        <v>8</v>
      </c>
      <c r="AD6" s="30" t="s">
        <v>203</v>
      </c>
      <c r="AE6" s="40" t="s">
        <v>202</v>
      </c>
      <c r="AF6" s="41" t="s">
        <v>98</v>
      </c>
      <c r="AG6" s="41" t="s">
        <v>96</v>
      </c>
      <c r="AH6" s="41" t="s">
        <v>79</v>
      </c>
      <c r="AI6" s="41" t="s">
        <v>79</v>
      </c>
      <c r="AJ6" s="41" t="s">
        <v>79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200</v>
      </c>
      <c r="G7" s="9">
        <v>-8000</v>
      </c>
      <c r="H7" s="9"/>
      <c r="I7" s="48">
        <v>0</v>
      </c>
      <c r="J7" s="21">
        <f t="shared" si="2"/>
        <v>39200</v>
      </c>
      <c r="K7" s="8" t="s">
        <v>201</v>
      </c>
      <c r="L7" s="9">
        <v>8000</v>
      </c>
      <c r="M7" s="9"/>
      <c r="N7" s="48">
        <v>0</v>
      </c>
      <c r="O7" s="21">
        <f t="shared" si="3"/>
        <v>26000</v>
      </c>
      <c r="P7" s="8"/>
      <c r="Q7" s="9"/>
      <c r="R7" s="9"/>
      <c r="S7" s="48"/>
      <c r="T7" s="21">
        <f t="shared" si="4"/>
        <v>39800</v>
      </c>
      <c r="U7" s="53">
        <f>IF($J7="","",ROUND(($J7-$J$3)/1000,1)+(_xlfn.RANK.AVG($J7,($J7,$O7,$T7),1)-2)*10)</f>
        <v>4.2</v>
      </c>
      <c r="V7" s="54">
        <f>IF($O7="","",ROUND(($O7-$O$3)/1000,1)+(_xlfn.RANK.AVG($O7,($J7,$O7,$T7),1)-2)*10)</f>
        <v>-19</v>
      </c>
      <c r="W7" s="55">
        <f>IF($T7="","",ROUND(($T7-$T$3)/1000,1)+(_xlfn.RANK.AVG($T7,($J7,$O7,$T7),1)-2)*10)</f>
        <v>14.8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5</v>
      </c>
      <c r="AY7" s="30" t="s">
        <v>203</v>
      </c>
      <c r="AZ7" s="40" t="s">
        <v>86</v>
      </c>
      <c r="BA7" s="41" t="s">
        <v>86</v>
      </c>
      <c r="BB7" s="41" t="s">
        <v>79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やなぎ</v>
      </c>
      <c r="F8" s="8" t="s">
        <v>198</v>
      </c>
      <c r="G8" s="9">
        <v>-7500</v>
      </c>
      <c r="H8" s="9"/>
      <c r="I8" s="48">
        <v>0</v>
      </c>
      <c r="J8" s="21">
        <f t="shared" si="2"/>
        <v>31700</v>
      </c>
      <c r="K8" s="8" t="s">
        <v>197</v>
      </c>
      <c r="L8" s="9">
        <v>12000</v>
      </c>
      <c r="M8" s="9"/>
      <c r="N8" s="48">
        <v>0</v>
      </c>
      <c r="O8" s="21">
        <f t="shared" si="3"/>
        <v>38000</v>
      </c>
      <c r="P8" s="8" t="s">
        <v>198</v>
      </c>
      <c r="Q8" s="9">
        <v>-4500</v>
      </c>
      <c r="R8" s="9"/>
      <c r="S8" s="48">
        <v>0</v>
      </c>
      <c r="T8" s="21">
        <f t="shared" si="4"/>
        <v>35300</v>
      </c>
      <c r="U8" s="53">
        <f>IF($J8="","",ROUND(($J8-$J$3)/1000,1)+(_xlfn.RANK.AVG($J8,($J8,$O8,$T8),1)-2)*10)</f>
        <v>-13.3</v>
      </c>
      <c r="V8" s="54">
        <f>IF($O8="","",ROUND(($O8-$O$3)/1000,1)+(_xlfn.RANK.AVG($O8,($J8,$O8,$T8),1)-2)*10)</f>
        <v>13</v>
      </c>
      <c r="W8" s="55">
        <f>IF($T8="","",ROUND(($T8-$T$3)/1000,1)+(_xlfn.RANK.AVG($T8,($J8,$O8,$T8),1)-2)*10)</f>
        <v>0.3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6</v>
      </c>
      <c r="AY8" s="30" t="s">
        <v>203</v>
      </c>
      <c r="AZ8" s="40" t="s">
        <v>86</v>
      </c>
      <c r="BA8" s="41" t="s">
        <v>86</v>
      </c>
      <c r="BB8" s="41" t="s">
        <v>86</v>
      </c>
      <c r="BC8" s="41" t="s">
        <v>79</v>
      </c>
      <c r="BD8" s="41" t="s">
        <v>79</v>
      </c>
      <c r="BE8" s="41" t="s">
        <v>79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れんたろう</v>
      </c>
      <c r="F9" s="8" t="s">
        <v>200</v>
      </c>
      <c r="G9" s="9">
        <v>-5200</v>
      </c>
      <c r="H9" s="9"/>
      <c r="I9" s="48">
        <v>0</v>
      </c>
      <c r="J9" s="21">
        <f t="shared" si="2"/>
        <v>26500</v>
      </c>
      <c r="K9" s="8"/>
      <c r="L9" s="9"/>
      <c r="M9" s="9"/>
      <c r="N9" s="48"/>
      <c r="O9" s="21">
        <f t="shared" si="3"/>
        <v>38000</v>
      </c>
      <c r="P9" s="8" t="s">
        <v>201</v>
      </c>
      <c r="Q9" s="9">
        <v>5200</v>
      </c>
      <c r="R9" s="9"/>
      <c r="S9" s="48">
        <v>0</v>
      </c>
      <c r="T9" s="21">
        <f t="shared" si="4"/>
        <v>40500</v>
      </c>
      <c r="U9" s="53">
        <f>IF($J9="","",ROUND(($J9-$J$3)/1000,1)+(_xlfn.RANK.AVG($J9,($J9,$O9,$T9),1)-2)*10)</f>
        <v>-18.5</v>
      </c>
      <c r="V9" s="54">
        <f>IF($O9="","",ROUND(($O9-$O$3)/1000,1)+(_xlfn.RANK.AVG($O9,($J9,$O9,$T9),1)-2)*10)</f>
        <v>3</v>
      </c>
      <c r="W9" s="55">
        <f>IF($T9="","",ROUND(($T9-$T$3)/1000,1)+(_xlfn.RANK.AVG($T9,($J9,$O9,$T9),1)-2)*10)</f>
        <v>15.5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202</v>
      </c>
      <c r="BV9" s="41" t="s">
        <v>204</v>
      </c>
      <c r="BW9" s="41" t="s">
        <v>199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198</v>
      </c>
      <c r="G10" s="9">
        <v>-6000</v>
      </c>
      <c r="H10" s="9"/>
      <c r="I10" s="48">
        <v>0</v>
      </c>
      <c r="J10" s="21">
        <f t="shared" si="2"/>
        <v>20500</v>
      </c>
      <c r="K10" s="8" t="s">
        <v>198</v>
      </c>
      <c r="L10" s="9">
        <v>-6000</v>
      </c>
      <c r="M10" s="9"/>
      <c r="N10" s="48">
        <v>0</v>
      </c>
      <c r="O10" s="21">
        <f t="shared" si="3"/>
        <v>32000</v>
      </c>
      <c r="P10" s="8" t="s">
        <v>197</v>
      </c>
      <c r="Q10" s="9">
        <v>12000</v>
      </c>
      <c r="R10" s="9"/>
      <c r="S10" s="48">
        <v>0</v>
      </c>
      <c r="T10" s="21">
        <f t="shared" si="4"/>
        <v>52500</v>
      </c>
      <c r="U10" s="53">
        <f>IF($J10="","",ROUND(($J10-$J$3)/1000,1)+(_xlfn.RANK.AVG($J10,($J10,$O10,$T10),1)-2)*10)</f>
        <v>-24.5</v>
      </c>
      <c r="V10" s="54">
        <f>IF($O10="","",ROUND(($O10-$O$3)/1000,1)+(_xlfn.RANK.AVG($O10,($J10,$O10,$T10),1)-2)*10)</f>
        <v>-3</v>
      </c>
      <c r="W10" s="55">
        <f>IF($T10="","",ROUND(($T10-$T$3)/1000,1)+(_xlfn.RANK.AVG($T10,($J10,$O10,$T10),1)-2)*10)</f>
        <v>27.5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203</v>
      </c>
      <c r="BU10" s="40" t="s">
        <v>202</v>
      </c>
      <c r="BV10" s="41" t="s">
        <v>82</v>
      </c>
      <c r="BW10" s="41" t="s">
        <v>199</v>
      </c>
      <c r="BX10" s="41" t="s">
        <v>80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E194C9A-887D-4C76-A706-4773A2286C5D}">
      <formula1>$U$2:$W$2</formula1>
    </dataValidation>
    <dataValidation type="list" showInputMessage="1" showErrorMessage="1" sqref="K4:K30 P4:P30 F4:F30" xr:uid="{4C810294-D563-4FA7-986D-7B537146861A}">
      <formula1>"ロン,ツモ,放銃,ツモ支払,流局,チョンボ"</formula1>
    </dataValidation>
    <dataValidation type="list" allowBlank="1" showInputMessage="1" sqref="F1:T1" xr:uid="{DDD4502E-CE5A-4D68-91F9-FFA94FBABA31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4586C-C911-4576-B9E3-9B9F91260FDC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207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やなぎ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れんたろう</v>
      </c>
      <c r="W2" s="16" t="str">
        <f>$P$1</f>
        <v>やなぎ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200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7</v>
      </c>
      <c r="AY4" s="30" t="s">
        <v>203</v>
      </c>
      <c r="AZ4" s="40" t="s">
        <v>86</v>
      </c>
      <c r="BA4" s="41" t="s">
        <v>79</v>
      </c>
      <c r="BB4" s="41" t="s">
        <v>79</v>
      </c>
      <c r="BC4" s="41" t="s">
        <v>79</v>
      </c>
      <c r="BD4" s="41" t="s">
        <v>79</v>
      </c>
      <c r="BE4" s="41" t="s">
        <v>79</v>
      </c>
      <c r="BF4" s="41" t="s">
        <v>79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197</v>
      </c>
      <c r="G5" s="9">
        <v>4000</v>
      </c>
      <c r="H5" s="9"/>
      <c r="I5" s="48">
        <v>0</v>
      </c>
      <c r="J5" s="21">
        <f t="shared" ref="J5:J30" si="2">IF(COUNTA($F5,$K5,$P5)&gt;0,J4+SUM(G5:I5),"")</f>
        <v>39000</v>
      </c>
      <c r="K5" s="8" t="s">
        <v>198</v>
      </c>
      <c r="L5" s="9">
        <v>-2500</v>
      </c>
      <c r="M5" s="9"/>
      <c r="N5" s="48">
        <v>0</v>
      </c>
      <c r="O5" s="21">
        <f t="shared" ref="O5:O30" si="3">IF(COUNTA($F5,$K5,$P5)&gt;0,O4+SUM(L5:N5),"")</f>
        <v>44500</v>
      </c>
      <c r="P5" s="8" t="s">
        <v>198</v>
      </c>
      <c r="Q5" s="9">
        <v>-1500</v>
      </c>
      <c r="R5" s="9"/>
      <c r="S5" s="48">
        <v>0</v>
      </c>
      <c r="T5" s="21">
        <f t="shared" ref="T5:T30" si="4">IF(COUNTA($F5,$K5,$P5)&gt;0,T4+SUM(Q5:S5),"")</f>
        <v>21500</v>
      </c>
      <c r="U5" s="53">
        <f>IF($J5="","",ROUND(($J5-$J$3)/1000,1)+(_xlfn.RANK.AVG($J5,($J5,$O5,$T5),1)-2)*10)</f>
        <v>4</v>
      </c>
      <c r="V5" s="54">
        <f>IF($O5="","",ROUND(($O5-$O$3)/1000,1)+(_xlfn.RANK.AVG($O5,($J5,$O5,$T5),1)-2)*10)</f>
        <v>19.5</v>
      </c>
      <c r="W5" s="55">
        <f>IF($T5="","",ROUND(($T5-$T$3)/1000,1)+(_xlfn.RANK.AVG($T5,($J5,$O5,$T5),1)-2)*10)</f>
        <v>-23.5</v>
      </c>
      <c r="Y5" s="8"/>
      <c r="Z5" s="34"/>
      <c r="AA5" s="26">
        <v>1</v>
      </c>
      <c r="AB5" s="26"/>
      <c r="AC5" s="26">
        <v>3</v>
      </c>
      <c r="AD5" s="30">
        <v>30</v>
      </c>
      <c r="AE5" s="40" t="s">
        <v>202</v>
      </c>
      <c r="AF5" s="41" t="s">
        <v>82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やなぎ</v>
      </c>
      <c r="F6" s="8" t="s">
        <v>201</v>
      </c>
      <c r="G6" s="9">
        <v>5200</v>
      </c>
      <c r="H6" s="9"/>
      <c r="I6" s="48">
        <v>0</v>
      </c>
      <c r="J6" s="21">
        <f t="shared" si="2"/>
        <v>44200</v>
      </c>
      <c r="K6" s="8" t="s">
        <v>200</v>
      </c>
      <c r="L6" s="9">
        <v>-5200</v>
      </c>
      <c r="M6" s="9"/>
      <c r="N6" s="48">
        <v>0</v>
      </c>
      <c r="O6" s="21">
        <f t="shared" si="3"/>
        <v>39300</v>
      </c>
      <c r="P6" s="8"/>
      <c r="Q6" s="9"/>
      <c r="R6" s="9"/>
      <c r="S6" s="48"/>
      <c r="T6" s="21">
        <f t="shared" si="4"/>
        <v>21500</v>
      </c>
      <c r="U6" s="53">
        <f>IF($J6="","",ROUND(($J6-$J$3)/1000,1)+(_xlfn.RANK.AVG($J6,($J6,$O6,$T6),1)-2)*10)</f>
        <v>19.2</v>
      </c>
      <c r="V6" s="54">
        <f>IF($O6="","",ROUND(($O6-$O$3)/1000,1)+(_xlfn.RANK.AVG($O6,($J6,$O6,$T6),1)-2)*10)</f>
        <v>4.3</v>
      </c>
      <c r="W6" s="55">
        <f>IF($T6="","",ROUND(($T6-$T$3)/1000,1)+(_xlfn.RANK.AVG($T6,($J6,$O6,$T6),1)-2)*10)</f>
        <v>-23.5</v>
      </c>
      <c r="Y6" s="8"/>
      <c r="Z6" s="34"/>
      <c r="AA6" s="26">
        <v>1</v>
      </c>
      <c r="AB6" s="26"/>
      <c r="AC6" s="26">
        <v>3</v>
      </c>
      <c r="AD6" s="30">
        <v>40</v>
      </c>
      <c r="AE6" s="40" t="s">
        <v>202</v>
      </c>
      <c r="AF6" s="41" t="s">
        <v>199</v>
      </c>
      <c r="AG6" s="41" t="s">
        <v>199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201</v>
      </c>
      <c r="G7" s="9">
        <v>18000</v>
      </c>
      <c r="H7" s="9"/>
      <c r="I7" s="48">
        <v>0</v>
      </c>
      <c r="J7" s="21">
        <f t="shared" si="2"/>
        <v>62200</v>
      </c>
      <c r="K7" s="8"/>
      <c r="L7" s="9"/>
      <c r="M7" s="9"/>
      <c r="N7" s="48"/>
      <c r="O7" s="21">
        <f t="shared" si="3"/>
        <v>39300</v>
      </c>
      <c r="P7" s="8" t="s">
        <v>200</v>
      </c>
      <c r="Q7" s="9">
        <v>-18000</v>
      </c>
      <c r="R7" s="9"/>
      <c r="S7" s="48">
        <v>0</v>
      </c>
      <c r="T7" s="21">
        <f t="shared" si="4"/>
        <v>3500</v>
      </c>
      <c r="U7" s="53">
        <f>IF($J7="","",ROUND(($J7-$J$3)/1000,1)+(_xlfn.RANK.AVG($J7,($J7,$O7,$T7),1)-2)*10)</f>
        <v>37.200000000000003</v>
      </c>
      <c r="V7" s="54">
        <f>IF($O7="","",ROUND(($O7-$O$3)/1000,1)+(_xlfn.RANK.AVG($O7,($J7,$O7,$T7),1)-2)*10)</f>
        <v>4.3</v>
      </c>
      <c r="W7" s="55">
        <f>IF($T7="","",ROUND(($T7-$T$3)/1000,1)+(_xlfn.RANK.AVG($T7,($J7,$O7,$T7),1)-2)*10)</f>
        <v>-41.5</v>
      </c>
      <c r="Y7" s="8"/>
      <c r="Z7" s="34"/>
      <c r="AA7" s="26"/>
      <c r="AB7" s="26"/>
      <c r="AC7" s="26">
        <v>6</v>
      </c>
      <c r="AD7" s="30" t="s">
        <v>203</v>
      </c>
      <c r="AE7" s="40" t="s">
        <v>106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だいち</v>
      </c>
      <c r="F8" s="8" t="s">
        <v>197</v>
      </c>
      <c r="G8" s="9">
        <v>4000</v>
      </c>
      <c r="H8" s="9"/>
      <c r="I8" s="48">
        <v>1000</v>
      </c>
      <c r="J8" s="21">
        <f t="shared" si="2"/>
        <v>67200</v>
      </c>
      <c r="K8" s="8" t="s">
        <v>198</v>
      </c>
      <c r="L8" s="9">
        <v>-2000</v>
      </c>
      <c r="M8" s="9"/>
      <c r="N8" s="48">
        <v>-500</v>
      </c>
      <c r="O8" s="21">
        <f t="shared" si="3"/>
        <v>36800</v>
      </c>
      <c r="P8" s="8" t="s">
        <v>198</v>
      </c>
      <c r="Q8" s="9">
        <v>-2000</v>
      </c>
      <c r="R8" s="9"/>
      <c r="S8" s="48">
        <v>-500</v>
      </c>
      <c r="T8" s="21">
        <f t="shared" si="4"/>
        <v>1000</v>
      </c>
      <c r="U8" s="53">
        <f>IF($J8="","",ROUND(($J8-$J$3)/1000,1)+(_xlfn.RANK.AVG($J8,($J8,$O8,$T8),1)-2)*10)</f>
        <v>42.2</v>
      </c>
      <c r="V8" s="54">
        <f>IF($O8="","",ROUND(($O8-$O$3)/1000,1)+(_xlfn.RANK.AVG($O8,($J8,$O8,$T8),1)-2)*10)</f>
        <v>1.8</v>
      </c>
      <c r="W8" s="55">
        <f>IF($T8="","",ROUND(($T8-$T$3)/1000,1)+(_xlfn.RANK.AVG($T8,($J8,$O8,$T8),1)-2)*10)</f>
        <v>-44</v>
      </c>
      <c r="Y8" s="8"/>
      <c r="Z8" s="34"/>
      <c r="AA8" s="26">
        <v>1</v>
      </c>
      <c r="AB8" s="26"/>
      <c r="AC8" s="26">
        <v>3</v>
      </c>
      <c r="AD8" s="30">
        <v>20</v>
      </c>
      <c r="AE8" s="40" t="s">
        <v>202</v>
      </c>
      <c r="AF8" s="41" t="s">
        <v>82</v>
      </c>
      <c r="AG8" s="41" t="s">
        <v>83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だいち</v>
      </c>
      <c r="F9" s="8" t="s">
        <v>198</v>
      </c>
      <c r="G9" s="9">
        <v>-4800</v>
      </c>
      <c r="H9" s="9"/>
      <c r="I9" s="48">
        <v>-1000</v>
      </c>
      <c r="J9" s="21">
        <f t="shared" si="2"/>
        <v>61400</v>
      </c>
      <c r="K9" s="8" t="s">
        <v>198</v>
      </c>
      <c r="L9" s="9">
        <v>-2900</v>
      </c>
      <c r="M9" s="9"/>
      <c r="N9" s="48">
        <v>-1000</v>
      </c>
      <c r="O9" s="21">
        <f t="shared" si="3"/>
        <v>32900</v>
      </c>
      <c r="P9" s="8" t="s">
        <v>197</v>
      </c>
      <c r="Q9" s="9">
        <v>7700</v>
      </c>
      <c r="R9" s="9"/>
      <c r="S9" s="48">
        <v>2000</v>
      </c>
      <c r="T9" s="21">
        <f t="shared" si="4"/>
        <v>10700</v>
      </c>
      <c r="U9" s="53">
        <f>IF($J9="","",ROUND(($J9-$J$3)/1000,1)+(_xlfn.RANK.AVG($J9,($J9,$O9,$T9),1)-2)*10)</f>
        <v>36.4</v>
      </c>
      <c r="V9" s="54">
        <f>IF($O9="","",ROUND(($O9-$O$3)/1000,1)+(_xlfn.RANK.AVG($O9,($J9,$O9,$T9),1)-2)*10)</f>
        <v>-2.1</v>
      </c>
      <c r="W9" s="55">
        <f>IF($T9="","",ROUND(($T9-$T$3)/1000,1)+(_xlfn.RANK.AVG($T9,($J9,$O9,$T9),1)-2)*10)</f>
        <v>-34.299999999999997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30</v>
      </c>
      <c r="BU9" s="40" t="s">
        <v>202</v>
      </c>
      <c r="BV9" s="41" t="s">
        <v>82</v>
      </c>
      <c r="BW9" s="41" t="s">
        <v>79</v>
      </c>
      <c r="BX9" s="41" t="s">
        <v>80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れんたろう</v>
      </c>
      <c r="F10" s="8"/>
      <c r="G10" s="9"/>
      <c r="H10" s="9">
        <v>-2000</v>
      </c>
      <c r="I10" s="48"/>
      <c r="J10" s="21">
        <f t="shared" si="2"/>
        <v>59400</v>
      </c>
      <c r="K10" s="8" t="s">
        <v>200</v>
      </c>
      <c r="L10" s="9">
        <v>-8000</v>
      </c>
      <c r="M10" s="9">
        <v>-1000</v>
      </c>
      <c r="N10" s="48">
        <v>0</v>
      </c>
      <c r="O10" s="21">
        <f t="shared" si="3"/>
        <v>23900</v>
      </c>
      <c r="P10" s="8" t="s">
        <v>201</v>
      </c>
      <c r="Q10" s="9">
        <v>8000</v>
      </c>
      <c r="R10" s="9">
        <v>3000</v>
      </c>
      <c r="S10" s="48">
        <v>0</v>
      </c>
      <c r="T10" s="21">
        <f t="shared" si="4"/>
        <v>21700</v>
      </c>
      <c r="U10" s="53">
        <f>IF($J10="","",ROUND(($J10-$J$3)/1000,1)+(_xlfn.RANK.AVG($J10,($J10,$O10,$T10),1)-2)*10)</f>
        <v>34.4</v>
      </c>
      <c r="V10" s="54">
        <f>IF($O10="","",ROUND(($O10-$O$3)/1000,1)+(_xlfn.RANK.AVG($O10,($J10,$O10,$T10),1)-2)*10)</f>
        <v>-11.1</v>
      </c>
      <c r="W10" s="55">
        <f>IF($T10="","",ROUND(($T10-$T$3)/1000,1)+(_xlfn.RANK.AVG($T10,($J10,$O10,$T10),1)-2)*10)</f>
        <v>-23.3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40</v>
      </c>
      <c r="BU10" s="40" t="s">
        <v>202</v>
      </c>
      <c r="BV10" s="41" t="s">
        <v>204</v>
      </c>
      <c r="BW10" s="41" t="s">
        <v>79</v>
      </c>
      <c r="BX10" s="41" t="s">
        <v>80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やなぎ</v>
      </c>
      <c r="F11" s="8"/>
      <c r="G11" s="9"/>
      <c r="H11" s="9"/>
      <c r="I11" s="48"/>
      <c r="J11" s="21">
        <f t="shared" si="2"/>
        <v>59400</v>
      </c>
      <c r="K11" s="8" t="s">
        <v>200</v>
      </c>
      <c r="L11" s="9">
        <v>-1500</v>
      </c>
      <c r="M11" s="9"/>
      <c r="N11" s="48">
        <v>0</v>
      </c>
      <c r="O11" s="21">
        <f t="shared" si="3"/>
        <v>22400</v>
      </c>
      <c r="P11" s="8" t="s">
        <v>201</v>
      </c>
      <c r="Q11" s="9">
        <v>1500</v>
      </c>
      <c r="R11" s="9"/>
      <c r="S11" s="48">
        <v>0</v>
      </c>
      <c r="T11" s="21">
        <f t="shared" si="4"/>
        <v>23200</v>
      </c>
      <c r="U11" s="53">
        <f>IF($J11="","",ROUND(($J11-$J$3)/1000,1)+(_xlfn.RANK.AVG($J11,($J11,$O11,$T11),1)-2)*10)</f>
        <v>34.4</v>
      </c>
      <c r="V11" s="54">
        <f>IF($O11="","",ROUND(($O11-$O$3)/1000,1)+(_xlfn.RANK.AVG($O11,($J11,$O11,$T11),1)-2)*10)</f>
        <v>-22.6</v>
      </c>
      <c r="W11" s="55">
        <f>IF($T11="","",ROUND(($T11-$T$3)/1000,1)+(_xlfn.RANK.AVG($T11,($J11,$O11,$T11),1)-2)*10)</f>
        <v>-11.8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1</v>
      </c>
      <c r="BT11" s="30">
        <v>30</v>
      </c>
      <c r="BU11" s="40" t="s">
        <v>86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IF($P$1="","",$P$1)</f>
        <v>やなぎ</v>
      </c>
      <c r="F12" s="8" t="s">
        <v>198</v>
      </c>
      <c r="G12" s="9">
        <v>-6000</v>
      </c>
      <c r="H12" s="9"/>
      <c r="I12" s="48">
        <v>-500</v>
      </c>
      <c r="J12" s="21">
        <f t="shared" si="2"/>
        <v>52900</v>
      </c>
      <c r="K12" s="8" t="s">
        <v>197</v>
      </c>
      <c r="L12" s="9">
        <v>16000</v>
      </c>
      <c r="M12" s="9"/>
      <c r="N12" s="48">
        <v>1000</v>
      </c>
      <c r="O12" s="21">
        <f t="shared" si="3"/>
        <v>39400</v>
      </c>
      <c r="P12" s="8" t="s">
        <v>198</v>
      </c>
      <c r="Q12" s="9">
        <v>-10000</v>
      </c>
      <c r="R12" s="9"/>
      <c r="S12" s="48">
        <v>-500</v>
      </c>
      <c r="T12" s="21">
        <f t="shared" si="4"/>
        <v>12700</v>
      </c>
      <c r="U12" s="53">
        <f>IF($J12="","",ROUND(($J12-$J$3)/1000,1)+(_xlfn.RANK.AVG($J12,($J12,$O12,$T12),1)-2)*10)</f>
        <v>27.9</v>
      </c>
      <c r="V12" s="54">
        <f>IF($O12="","",ROUND(($O12-$O$3)/1000,1)+(_xlfn.RANK.AVG($O12,($J12,$O12,$T12),1)-2)*10)</f>
        <v>4.4000000000000004</v>
      </c>
      <c r="W12" s="55">
        <f>IF($T12="","",ROUND(($T12-$T$3)/1000,1)+(_xlfn.RANK.AVG($T12,($J12,$O12,$T12),1)-2)*10)</f>
        <v>-32.299999999999997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8</v>
      </c>
      <c r="AY12" s="30" t="s">
        <v>203</v>
      </c>
      <c r="AZ12" s="40" t="s">
        <v>208</v>
      </c>
      <c r="BA12" s="41" t="s">
        <v>82</v>
      </c>
      <c r="BB12" s="41" t="s">
        <v>204</v>
      </c>
      <c r="BC12" s="41" t="s">
        <v>104</v>
      </c>
      <c r="BD12" s="41" t="s">
        <v>199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IF($F$1="","",$F$1)</f>
        <v>だいち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BB057781-453A-4A9C-900F-FE0D5C0BDDDD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BCAA1DB8-4108-42E7-8F27-3893A4347E0C}">
      <formula1>"ロン,ツモ,放銃,ツモ支払,流局,チョンボ"</formula1>
    </dataValidation>
    <dataValidation type="list" allowBlank="1" showInputMessage="1" showErrorMessage="1" sqref="E4:E30" xr:uid="{7FAFB706-7EE6-4F3A-9DBA-D81AECE3223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2020-11-30T14:32:01Z</dcterms:modified>
</cp:coreProperties>
</file>