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対局\"/>
    </mc:Choice>
  </mc:AlternateContent>
  <xr:revisionPtr revIDLastSave="0" documentId="13_ncr:1_{79A83B50-C694-4BB7-9785-7144F6553DBD}" xr6:coauthVersionLast="45" xr6:coauthVersionMax="45" xr10:uidLastSave="{00000000-0000-0000-0000-000000000000}"/>
  <bookViews>
    <workbookView xWindow="-108" yWindow="-108" windowWidth="23256" windowHeight="12720" activeTab="2" xr2:uid="{4CDB34E1-560F-4998-ABAB-D6F7F2862621}"/>
  </bookViews>
  <sheets>
    <sheet name="Sheet1" sheetId="19" r:id="rId1"/>
    <sheet name="Sheet2" sheetId="20" r:id="rId2"/>
    <sheet name="Sheet3" sheetId="21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0" i="21" l="1"/>
  <c r="E9" i="21"/>
  <c r="E8" i="21"/>
  <c r="E7" i="21"/>
  <c r="E6" i="21"/>
  <c r="C6" i="21" s="1"/>
  <c r="E5" i="21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V12" i="21" s="1"/>
  <c r="J12" i="21"/>
  <c r="U12" i="21" s="1"/>
  <c r="D12" i="21"/>
  <c r="C12" i="21"/>
  <c r="B12" i="21"/>
  <c r="A12" i="21"/>
  <c r="T11" i="21"/>
  <c r="W11" i="21" s="1"/>
  <c r="O11" i="21"/>
  <c r="V11" i="21" s="1"/>
  <c r="J11" i="21"/>
  <c r="U11" i="21" s="1"/>
  <c r="D11" i="21"/>
  <c r="C11" i="21"/>
  <c r="B11" i="21"/>
  <c r="A11" i="21"/>
  <c r="D8" i="21"/>
  <c r="D7" i="21"/>
  <c r="C7" i="21"/>
  <c r="J6" i="21"/>
  <c r="J7" i="21" s="1"/>
  <c r="J5" i="21"/>
  <c r="T4" i="21"/>
  <c r="T5" i="21" s="1"/>
  <c r="O4" i="21"/>
  <c r="O5" i="21" s="1"/>
  <c r="J4" i="21"/>
  <c r="E4" i="21"/>
  <c r="W3" i="21"/>
  <c r="V3" i="21"/>
  <c r="U3" i="21"/>
  <c r="W2" i="21"/>
  <c r="V2" i="21"/>
  <c r="U2" i="21"/>
  <c r="BO1" i="21"/>
  <c r="AT1" i="21"/>
  <c r="Y1" i="21"/>
  <c r="E10" i="20"/>
  <c r="D10" i="20" s="1"/>
  <c r="E9" i="20"/>
  <c r="E8" i="20"/>
  <c r="E7" i="20"/>
  <c r="E6" i="20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D11" i="20"/>
  <c r="D8" i="20"/>
  <c r="O7" i="20"/>
  <c r="O8" i="20" s="1"/>
  <c r="D7" i="20"/>
  <c r="O6" i="20"/>
  <c r="J6" i="20"/>
  <c r="J7" i="20" s="1"/>
  <c r="D6" i="20"/>
  <c r="O5" i="20"/>
  <c r="J5" i="20"/>
  <c r="T4" i="20"/>
  <c r="T5" i="20" s="1"/>
  <c r="O4" i="20"/>
  <c r="J4" i="20"/>
  <c r="E4" i="20"/>
  <c r="W3" i="20"/>
  <c r="V3" i="20"/>
  <c r="U3" i="20"/>
  <c r="W2" i="20"/>
  <c r="V2" i="20"/>
  <c r="U2" i="20"/>
  <c r="BO1" i="20"/>
  <c r="AT1" i="20"/>
  <c r="Y1" i="20"/>
  <c r="J8" i="21" l="1"/>
  <c r="O6" i="21"/>
  <c r="V5" i="21"/>
  <c r="U5" i="21"/>
  <c r="T6" i="21"/>
  <c r="W5" i="21"/>
  <c r="B5" i="21"/>
  <c r="A5" i="21" s="1"/>
  <c r="C10" i="21"/>
  <c r="C5" i="21"/>
  <c r="D10" i="21"/>
  <c r="D5" i="21"/>
  <c r="C8" i="21"/>
  <c r="C9" i="21" s="1"/>
  <c r="B6" i="21"/>
  <c r="U4" i="21"/>
  <c r="V4" i="21"/>
  <c r="D6" i="21"/>
  <c r="W4" i="21"/>
  <c r="D9" i="21"/>
  <c r="C10" i="20"/>
  <c r="C11" i="20" s="1"/>
  <c r="V5" i="20"/>
  <c r="W5" i="20"/>
  <c r="T6" i="20"/>
  <c r="U6" i="20" s="1"/>
  <c r="U5" i="20"/>
  <c r="O9" i="20"/>
  <c r="J8" i="20"/>
  <c r="B5" i="20"/>
  <c r="A5" i="20" s="1"/>
  <c r="C5" i="20"/>
  <c r="D5" i="20"/>
  <c r="C8" i="20"/>
  <c r="C9" i="20" s="1"/>
  <c r="U4" i="20"/>
  <c r="B6" i="20"/>
  <c r="B7" i="20" s="1"/>
  <c r="C6" i="20"/>
  <c r="C7" i="20" s="1"/>
  <c r="V4" i="20"/>
  <c r="W4" i="20"/>
  <c r="D9" i="20"/>
  <c r="E11" i="19"/>
  <c r="E10" i="19"/>
  <c r="E9" i="19"/>
  <c r="E8" i="19"/>
  <c r="E7" i="19"/>
  <c r="E6" i="19"/>
  <c r="E5" i="19"/>
  <c r="W6" i="21" l="1"/>
  <c r="T7" i="21"/>
  <c r="B7" i="21"/>
  <c r="O7" i="21"/>
  <c r="V6" i="21"/>
  <c r="A6" i="21"/>
  <c r="U6" i="21"/>
  <c r="J9" i="21"/>
  <c r="B8" i="20"/>
  <c r="A7" i="20"/>
  <c r="O10" i="20"/>
  <c r="A6" i="20"/>
  <c r="W6" i="20"/>
  <c r="V6" i="20"/>
  <c r="T7" i="20"/>
  <c r="J9" i="20"/>
  <c r="E4" i="19"/>
  <c r="A7" i="21" l="1"/>
  <c r="J10" i="21"/>
  <c r="W7" i="21"/>
  <c r="T8" i="21"/>
  <c r="O8" i="21"/>
  <c r="V7" i="21"/>
  <c r="U7" i="21"/>
  <c r="B8" i="21"/>
  <c r="A8" i="21" s="1"/>
  <c r="J10" i="20"/>
  <c r="B9" i="20"/>
  <c r="A9" i="20" s="1"/>
  <c r="W7" i="20"/>
  <c r="T8" i="20"/>
  <c r="U7" i="20"/>
  <c r="V7" i="20"/>
  <c r="A8" i="20"/>
  <c r="O11" i="20"/>
  <c r="W3" i="19"/>
  <c r="V3" i="19"/>
  <c r="U3" i="19"/>
  <c r="O9" i="21" l="1"/>
  <c r="V8" i="21"/>
  <c r="U8" i="21"/>
  <c r="T9" i="21"/>
  <c r="W8" i="21"/>
  <c r="B9" i="21"/>
  <c r="A9" i="21" s="1"/>
  <c r="J11" i="20"/>
  <c r="T9" i="20"/>
  <c r="W8" i="20"/>
  <c r="V8" i="20"/>
  <c r="U8" i="20"/>
  <c r="B10" i="20"/>
  <c r="A10" i="20" s="1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O11" i="19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V9" i="21" l="1"/>
  <c r="O10" i="21"/>
  <c r="U9" i="21"/>
  <c r="B10" i="21"/>
  <c r="A10" i="21" s="1"/>
  <c r="T10" i="21"/>
  <c r="W9" i="21"/>
  <c r="B11" i="20"/>
  <c r="A11" i="20" s="1"/>
  <c r="W9" i="20"/>
  <c r="T10" i="20"/>
  <c r="U9" i="20"/>
  <c r="V9" i="20"/>
  <c r="V11" i="19"/>
  <c r="W11" i="19"/>
  <c r="V9" i="19"/>
  <c r="U9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10" i="21" l="1"/>
  <c r="V10" i="21"/>
  <c r="U10" i="21"/>
  <c r="T11" i="20"/>
  <c r="W10" i="20"/>
  <c r="V10" i="20"/>
  <c r="U10" i="20"/>
  <c r="W5" i="19"/>
  <c r="V5" i="19"/>
  <c r="U5" i="19"/>
  <c r="W11" i="20" l="1"/>
  <c r="V11" i="20"/>
  <c r="U11" i="20"/>
</calcChain>
</file>

<file path=xl/sharedStrings.xml><?xml version="1.0" encoding="utf-8"?>
<sst xmlns="http://schemas.openxmlformats.org/spreadsheetml/2006/main" count="742" uniqueCount="206">
  <si>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</si>
  <si>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</si>
  <si>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</si>
  <si>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</si>
  <si>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</si>
  <si>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</si>
  <si>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</si>
  <si>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</si>
  <si>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</si>
  <si>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</si>
  <si>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</si>
  <si>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</si>
  <si>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</si>
  <si>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</si>
  <si>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</si>
  <si>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</si>
  <si>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</si>
  <si>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</si>
  <si>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</si>
  <si>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</si>
  <si>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</si>
  <si>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</si>
  <si>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</si>
  <si>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</si>
  <si>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</si>
  <si>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</si>
  <si>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</si>
  <si>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</si>
  <si>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</si>
  <si>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</si>
  <si>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</si>
  <si>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</si>
  <si>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</si>
  <si>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</si>
  <si>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</si>
  <si>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</si>
  <si>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</si>
  <si>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</si>
  <si>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</si>
  <si>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</si>
  <si>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</si>
  <si>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</si>
  <si>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</si>
  <si>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</si>
  <si>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</si>
  <si>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</si>
  <si>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</si>
  <si>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</si>
  <si>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</si>
  <si>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</si>
  <si>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</si>
  <si>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</si>
  <si>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</si>
  <si>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</si>
  <si>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</si>
  <si>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</si>
  <si>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</si>
  <si>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</si>
  <si>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</si>
  <si>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</si>
  <si>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</si>
  <si>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</si>
  <si>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</si>
  <si>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</si>
  <si>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</si>
  <si>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</si>
  <si>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</si>
  <si>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</si>
  <si>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</si>
  <si>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</si>
  <si>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</si>
  <si>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</si>
  <si>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</si>
  <si>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</si>
  <si>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</si>
  <si>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</si>
  <si>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</si>
  <si>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</si>
  <si>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</si>
  <si>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</si>
  <si>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</si>
  <si>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</si>
  <si>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</si>
  <si>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</si>
  <si>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</si>
  <si>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</si>
  <si>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</si>
  <si>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</si>
  <si>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</si>
  <si>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</si>
  <si>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</si>
  <si>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</si>
  <si>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</si>
  <si>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</si>
  <si>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</si>
  <si>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</si>
  <si>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</si>
  <si>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</si>
  <si>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</si>
  <si>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</si>
  <si>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</si>
  <si>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</si>
  <si>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</si>
  <si>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</si>
  <si>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</si>
  <si>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</si>
  <si>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</si>
  <si>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</si>
  <si>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</si>
  <si>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</si>
  <si>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</si>
  <si>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</si>
  <si>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</si>
  <si>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</si>
  <si>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</si>
  <si>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</si>
  <si>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</si>
  <si>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</si>
  <si>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</si>
  <si>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</si>
  <si>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</si>
  <si>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</si>
  <si>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</si>
  <si>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</si>
  <si>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</si>
  <si>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</si>
  <si>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</si>
  <si>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</si>
  <si>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</si>
  <si>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</si>
  <si>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</si>
  <si>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</si>
  <si>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</si>
  <si>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</si>
  <si>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</si>
  <si>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</si>
  <si>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</si>
  <si>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</si>
  <si>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</si>
  <si>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</si>
  <si>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</si>
  <si>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</si>
  <si>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</si>
  <si>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</si>
  <si>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</si>
  <si>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</si>
  <si>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</si>
  <si>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</si>
  <si>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</si>
  <si>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</si>
  <si>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</si>
  <si>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</si>
  <si>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</si>
  <si>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</si>
  <si>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</si>
  <si>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</si>
  <si>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</si>
  <si>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</si>
  <si>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</si>
  <si>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</si>
  <si>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</si>
  <si>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</si>
  <si>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</si>
  <si>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</si>
  <si>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</si>
  <si>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</si>
  <si>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</si>
  <si>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</si>
  <si>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</si>
  <si>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</si>
  <si>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</si>
  <si>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</si>
  <si>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</si>
  <si>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</si>
  <si>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</si>
  <si>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</si>
  <si>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</si>
  <si>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</si>
  <si>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</si>
  <si>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</si>
  <si>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</si>
  <si>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</si>
  <si>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</si>
  <si>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</si>
  <si>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</si>
  <si>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</si>
  <si>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</si>
  <si>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</si>
  <si>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</si>
  <si>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</si>
  <si>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</si>
  <si>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だいち</t>
    <phoneticPr fontId="1"/>
  </si>
  <si>
    <t>いちかわ</t>
    <phoneticPr fontId="1"/>
  </si>
  <si>
    <t>たか</t>
    <phoneticPr fontId="1"/>
  </si>
  <si>
    <t>ツモ支払</t>
  </si>
  <si>
    <t>ツモ</t>
  </si>
  <si>
    <t>01</t>
  </si>
  <si>
    <t>52</t>
  </si>
  <si>
    <t>N</t>
  </si>
  <si>
    <t>T</t>
  </si>
  <si>
    <t>流局</t>
    <phoneticPr fontId="1"/>
  </si>
  <si>
    <t>ロン</t>
  </si>
  <si>
    <t>放銃</t>
  </si>
  <si>
    <t>チョンボ</t>
  </si>
  <si>
    <t>*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</si>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</sst>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いちかわ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たか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いちかわ</v>
      </c>
      <c r="W2" s="16" t="str">
        <f>$P$1</f>
        <v>たか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 t="s">
        <v>194</v>
      </c>
      <c r="G4" s="9">
        <v>-700</v>
      </c>
      <c r="H4" s="9"/>
      <c r="I4" s="48">
        <v>0</v>
      </c>
      <c r="J4" s="21">
        <f>IF(COUNTA($F4,$K4,$P4)&gt;0,J3+SUM(G4:I4),"")</f>
        <v>34300</v>
      </c>
      <c r="K4" s="8" t="s">
        <v>194</v>
      </c>
      <c r="L4" s="9">
        <v>-500</v>
      </c>
      <c r="M4" s="9"/>
      <c r="N4" s="48">
        <v>0</v>
      </c>
      <c r="O4" s="21">
        <f>IF(COUNTA($F4,$K4,$P4)&gt;0,O3+SUM(L4:N4),"")</f>
        <v>34500</v>
      </c>
      <c r="P4" s="8" t="s">
        <v>195</v>
      </c>
      <c r="Q4" s="9">
        <v>1200</v>
      </c>
      <c r="R4" s="9"/>
      <c r="S4" s="48">
        <v>0</v>
      </c>
      <c r="T4" s="21">
        <f>IF(COUNTA($F4,$K4,$P4)&gt;0,T3+SUM(Q4:S4),"")</f>
        <v>36200</v>
      </c>
      <c r="U4" s="53">
        <f>IF($J4="","",ROUND(($J4-$J$3)/1000,1)+(_xlfn.RANK.AVG($J4,($J4,$O4,$T4),1)-2)*10)</f>
        <v>-10.7</v>
      </c>
      <c r="V4" s="54">
        <f>IF($O4="","",ROUND(($O4-$O$3)/1000,1)+(_xlfn.RANK.AVG($O4,($J4,$O4,$T4),1)-2)*10)</f>
        <v>-0.5</v>
      </c>
      <c r="W4" s="55">
        <f>IF($T4="","",ROUND(($T4-$T$3)/1000,1)+(_xlfn.RANK.AVG($T4,($J4,$O4,$T4),1)-2)*10)</f>
        <v>11.2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1</v>
      </c>
      <c r="BT4" s="30">
        <v>30</v>
      </c>
      <c r="BU4" s="40" t="s">
        <v>86</v>
      </c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いちかわ</v>
      </c>
      <c r="F5" s="8" t="s">
        <v>194</v>
      </c>
      <c r="G5" s="9">
        <v>-3900</v>
      </c>
      <c r="H5" s="9"/>
      <c r="I5" s="48">
        <v>0</v>
      </c>
      <c r="J5" s="21">
        <f t="shared" ref="J5:J30" si="2">IF(COUNTA($F5,$K5,$P5)&gt;0,J4+SUM(G5:I5),"")</f>
        <v>30400</v>
      </c>
      <c r="K5" s="8" t="s">
        <v>195</v>
      </c>
      <c r="L5" s="9">
        <v>7800</v>
      </c>
      <c r="M5" s="9"/>
      <c r="N5" s="48">
        <v>0</v>
      </c>
      <c r="O5" s="21">
        <f t="shared" ref="O5:O30" si="3">IF(COUNTA($F5,$K5,$P5)&gt;0,O4+SUM(L5:N5),"")</f>
        <v>42300</v>
      </c>
      <c r="P5" s="8" t="s">
        <v>194</v>
      </c>
      <c r="Q5" s="9">
        <v>-3900</v>
      </c>
      <c r="R5" s="9"/>
      <c r="S5" s="48">
        <v>0</v>
      </c>
      <c r="T5" s="21">
        <f t="shared" ref="T5:T30" si="4">IF(COUNTA($F5,$K5,$P5)&gt;0,T4+SUM(Q5:S5),"")</f>
        <v>32300</v>
      </c>
      <c r="U5" s="53">
        <f>IF($J5="","",ROUND(($J5-$J$3)/1000,1)+(_xlfn.RANK.AVG($J5,($J5,$O5,$T5),1)-2)*10)</f>
        <v>-14.6</v>
      </c>
      <c r="V5" s="54">
        <f>IF($O5="","",ROUND(($O5-$O$3)/1000,1)+(_xlfn.RANK.AVG($O5,($J5,$O5,$T5),1)-2)*10)</f>
        <v>17.3</v>
      </c>
      <c r="W5" s="55">
        <f>IF($T5="","",ROUND(($T5-$T$3)/1000,1)+(_xlfn.RANK.AVG($T5,($J5,$O5,$T5),1)-2)*10)</f>
        <v>-2.7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4</v>
      </c>
      <c r="AY5" s="30">
        <v>20</v>
      </c>
      <c r="AZ5" s="40" t="s">
        <v>196</v>
      </c>
      <c r="BA5" s="41" t="s">
        <v>82</v>
      </c>
      <c r="BB5" s="41" t="s">
        <v>83</v>
      </c>
      <c r="BC5" s="41" t="s">
        <v>197</v>
      </c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IF($K$1="","",$K$1)</f>
        <v>いちかわ</v>
      </c>
      <c r="F6" s="8" t="s">
        <v>200</v>
      </c>
      <c r="G6" s="9">
        <v>-1500</v>
      </c>
      <c r="H6" s="9"/>
      <c r="I6" s="48"/>
      <c r="J6" s="21">
        <f t="shared" si="2"/>
        <v>28900</v>
      </c>
      <c r="K6" s="8" t="s">
        <v>200</v>
      </c>
      <c r="L6" s="9">
        <v>-1500</v>
      </c>
      <c r="M6" s="9"/>
      <c r="N6" s="48"/>
      <c r="O6" s="21">
        <f t="shared" si="3"/>
        <v>40800</v>
      </c>
      <c r="P6" s="8" t="s">
        <v>200</v>
      </c>
      <c r="Q6" s="9">
        <v>3000</v>
      </c>
      <c r="R6" s="9"/>
      <c r="S6" s="48"/>
      <c r="T6" s="21">
        <f t="shared" si="4"/>
        <v>35300</v>
      </c>
      <c r="U6" s="53">
        <f>IF($J6="","",ROUND(($J6-$J$3)/1000,1)+(_xlfn.RANK.AVG($J6,($J6,$O6,$T6),1)-2)*10)</f>
        <v>-16.100000000000001</v>
      </c>
      <c r="V6" s="54">
        <f>IF($O6="","",ROUND(($O6-$O$3)/1000,1)+(_xlfn.RANK.AVG($O6,($J6,$O6,$T6),1)-2)*10)</f>
        <v>15.8</v>
      </c>
      <c r="W6" s="55">
        <f>IF($T6="","",ROUND(($T6-$T$3)/1000,1)+(_xlfn.RANK.AVG($T6,($J6,$O6,$T6),1)-2)*10)</f>
        <v>0.3</v>
      </c>
      <c r="Y6" s="8" t="s">
        <v>198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198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199</v>
      </c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2</v>
      </c>
      <c r="D7" s="18">
        <f t="shared" si="1"/>
        <v>0</v>
      </c>
      <c r="E7" s="4" t="str">
        <f>IF($P$1="","",$P$1)</f>
        <v>たか</v>
      </c>
      <c r="F7" s="8"/>
      <c r="G7" s="9"/>
      <c r="H7" s="9"/>
      <c r="I7" s="48"/>
      <c r="J7" s="21">
        <f t="shared" si="2"/>
        <v>28900</v>
      </c>
      <c r="K7" s="8" t="s">
        <v>201</v>
      </c>
      <c r="L7" s="9">
        <v>1300</v>
      </c>
      <c r="M7" s="9"/>
      <c r="N7" s="48">
        <v>2000</v>
      </c>
      <c r="O7" s="21">
        <f t="shared" si="3"/>
        <v>44100</v>
      </c>
      <c r="P7" s="8" t="s">
        <v>202</v>
      </c>
      <c r="Q7" s="9">
        <v>-1300</v>
      </c>
      <c r="R7" s="9"/>
      <c r="S7" s="48">
        <v>-2000</v>
      </c>
      <c r="T7" s="21">
        <f t="shared" si="4"/>
        <v>32000</v>
      </c>
      <c r="U7" s="53">
        <f>IF($J7="","",ROUND(($J7-$J$3)/1000,1)+(_xlfn.RANK.AVG($J7,($J7,$O7,$T7),1)-2)*10)</f>
        <v>-16.100000000000001</v>
      </c>
      <c r="V7" s="54">
        <f>IF($O7="","",ROUND(($O7-$O$3)/1000,1)+(_xlfn.RANK.AVG($O7,($J7,$O7,$T7),1)-2)*10)</f>
        <v>19.100000000000001</v>
      </c>
      <c r="W7" s="55">
        <f>IF($T7="","",ROUND(($T7-$T$3)/1000,1)+(_xlfn.RANK.AVG($T7,($J7,$O7,$T7),1)-2)*10)</f>
        <v>-3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1</v>
      </c>
      <c r="AY7" s="30">
        <v>40</v>
      </c>
      <c r="AZ7" s="40" t="s">
        <v>86</v>
      </c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だいち</v>
      </c>
      <c r="F8" s="8" t="s">
        <v>201</v>
      </c>
      <c r="G8" s="9">
        <v>2400</v>
      </c>
      <c r="H8" s="9"/>
      <c r="I8" s="48">
        <v>0</v>
      </c>
      <c r="J8" s="21">
        <f t="shared" si="2"/>
        <v>31300</v>
      </c>
      <c r="K8" s="8" t="s">
        <v>202</v>
      </c>
      <c r="L8" s="9">
        <v>-2400</v>
      </c>
      <c r="M8" s="9"/>
      <c r="N8" s="48">
        <v>0</v>
      </c>
      <c r="O8" s="21">
        <f t="shared" si="3"/>
        <v>41700</v>
      </c>
      <c r="P8" s="8"/>
      <c r="Q8" s="9"/>
      <c r="R8" s="9"/>
      <c r="S8" s="48"/>
      <c r="T8" s="21">
        <f t="shared" si="4"/>
        <v>32000</v>
      </c>
      <c r="U8" s="53">
        <f>IF($J8="","",ROUND(($J8-$J$3)/1000,1)+(_xlfn.RANK.AVG($J8,($J8,$O8,$T8),1)-2)*10)</f>
        <v>-13.7</v>
      </c>
      <c r="V8" s="54">
        <f>IF($O8="","",ROUND(($O8-$O$3)/1000,1)+(_xlfn.RANK.AVG($O8,($J8,$O8,$T8),1)-2)*10)</f>
        <v>16.7</v>
      </c>
      <c r="W8" s="55">
        <f>IF($T8="","",ROUND(($T8-$T$3)/1000,1)+(_xlfn.RANK.AVG($T8,($J8,$O8,$T8),1)-2)*10)</f>
        <v>-3</v>
      </c>
      <c r="Y8" s="8"/>
      <c r="Z8" s="34"/>
      <c r="AA8" s="26">
        <v>1</v>
      </c>
      <c r="AB8" s="26"/>
      <c r="AC8" s="26">
        <v>1</v>
      </c>
      <c r="AD8" s="30">
        <v>50</v>
      </c>
      <c r="AE8" s="40" t="s">
        <v>196</v>
      </c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tr">
        <f>IF($F$1="","",$F$1)</f>
        <v>だいち</v>
      </c>
      <c r="F9" s="8" t="s">
        <v>194</v>
      </c>
      <c r="G9" s="9">
        <v>-4800</v>
      </c>
      <c r="H9" s="9"/>
      <c r="I9" s="48">
        <v>-500</v>
      </c>
      <c r="J9" s="21">
        <f t="shared" si="2"/>
        <v>26000</v>
      </c>
      <c r="K9" s="8" t="s">
        <v>194</v>
      </c>
      <c r="L9" s="9">
        <v>-2900</v>
      </c>
      <c r="M9" s="9"/>
      <c r="N9" s="48">
        <v>-500</v>
      </c>
      <c r="O9" s="21">
        <f t="shared" si="3"/>
        <v>38300</v>
      </c>
      <c r="P9" s="8" t="s">
        <v>195</v>
      </c>
      <c r="Q9" s="9">
        <v>7700</v>
      </c>
      <c r="R9" s="9"/>
      <c r="S9" s="48">
        <v>1000</v>
      </c>
      <c r="T9" s="21">
        <f t="shared" si="4"/>
        <v>40700</v>
      </c>
      <c r="U9" s="53">
        <f>IF($J9="","",ROUND(($J9-$J$3)/1000,1)+(_xlfn.RANK.AVG($J9,($J9,$O9,$T9),1)-2)*10)</f>
        <v>-19</v>
      </c>
      <c r="V9" s="54">
        <f>IF($O9="","",ROUND(($O9-$O$3)/1000,1)+(_xlfn.RANK.AVG($O9,($J9,$O9,$T9),1)-2)*10)</f>
        <v>3.3</v>
      </c>
      <c r="W9" s="55">
        <f>IF($T9="","",ROUND(($T9-$T$3)/1000,1)+(_xlfn.RANK.AVG($T9,($J9,$O9,$T9),1)-2)*10)</f>
        <v>15.7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4</v>
      </c>
      <c r="BT9" s="30">
        <v>30</v>
      </c>
      <c r="BU9" s="40" t="s">
        <v>196</v>
      </c>
      <c r="BV9" s="41" t="s">
        <v>82</v>
      </c>
      <c r="BW9" s="41" t="s">
        <v>86</v>
      </c>
      <c r="BX9" s="41" t="s">
        <v>79</v>
      </c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IF($K$1="","",$K$1)</f>
        <v>いちかわ</v>
      </c>
      <c r="F10" s="8" t="s">
        <v>203</v>
      </c>
      <c r="G10" s="9">
        <v>5000</v>
      </c>
      <c r="H10" s="9">
        <v>-1000</v>
      </c>
      <c r="I10" s="48"/>
      <c r="J10" s="21">
        <f t="shared" si="2"/>
        <v>30000</v>
      </c>
      <c r="K10" s="8" t="s">
        <v>203</v>
      </c>
      <c r="L10" s="9">
        <v>-10000</v>
      </c>
      <c r="M10" s="9"/>
      <c r="N10" s="48"/>
      <c r="O10" s="21">
        <f t="shared" si="3"/>
        <v>28300</v>
      </c>
      <c r="P10" s="8" t="s">
        <v>203</v>
      </c>
      <c r="Q10" s="9">
        <v>5000</v>
      </c>
      <c r="R10" s="9"/>
      <c r="S10" s="48"/>
      <c r="T10" s="21">
        <f t="shared" si="4"/>
        <v>45700</v>
      </c>
      <c r="U10" s="53">
        <f>IF($J10="","",ROUND(($J10-$J$3)/1000,1)+(_xlfn.RANK.AVG($J10,($J10,$O10,$T10),1)-2)*10)</f>
        <v>-5</v>
      </c>
      <c r="V10" s="54">
        <f>IF($O10="","",ROUND(($O10-$O$3)/1000,1)+(_xlfn.RANK.AVG($O10,($J10,$O10,$T10),1)-2)*10)</f>
        <v>-16.7</v>
      </c>
      <c r="W10" s="55">
        <f>IF($T10="","",ROUND(($T10-$T$3)/1000,1)+(_xlfn.RANK.AVG($T10,($J10,$O10,$T10),1)-2)*10)</f>
        <v>20.7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>
        <v>1</v>
      </c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1</v>
      </c>
      <c r="E11" s="4" t="str">
        <f>IF($P$1="","",$P$1)</f>
        <v>たか</v>
      </c>
      <c r="F11" s="8" t="s">
        <v>194</v>
      </c>
      <c r="G11" s="9">
        <v>-9000</v>
      </c>
      <c r="H11" s="9"/>
      <c r="I11" s="48">
        <v>0</v>
      </c>
      <c r="J11" s="21">
        <f t="shared" si="2"/>
        <v>21000</v>
      </c>
      <c r="K11" s="8" t="s">
        <v>194</v>
      </c>
      <c r="L11" s="9">
        <v>-9000</v>
      </c>
      <c r="M11" s="9"/>
      <c r="N11" s="48">
        <v>0</v>
      </c>
      <c r="O11" s="21">
        <f t="shared" si="3"/>
        <v>19300</v>
      </c>
      <c r="P11" s="8" t="s">
        <v>195</v>
      </c>
      <c r="Q11" s="9">
        <v>18000</v>
      </c>
      <c r="R11" s="9">
        <v>1000</v>
      </c>
      <c r="S11" s="48">
        <v>0</v>
      </c>
      <c r="T11" s="21">
        <f t="shared" si="4"/>
        <v>64700</v>
      </c>
      <c r="U11" s="53">
        <f>IF($J11="","",ROUND(($J11-$J$3)/1000,1)+(_xlfn.RANK.AVG($J11,($J11,$O11,$T11),1)-2)*10)</f>
        <v>-14</v>
      </c>
      <c r="V11" s="54">
        <f>IF($O11="","",ROUND(($O11-$O$3)/1000,1)+(_xlfn.RANK.AVG($O11,($J11,$O11,$T11),1)-2)*10)</f>
        <v>-25.7</v>
      </c>
      <c r="W11" s="55">
        <f>IF($T11="","",ROUND(($T11-$T$3)/1000,1)+(_xlfn.RANK.AVG($T11,($J11,$O11,$T11),1)-2)*10)</f>
        <v>39.700000000000003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>
        <v>7</v>
      </c>
      <c r="BT11" s="30" t="s">
        <v>204</v>
      </c>
      <c r="BU11" s="40" t="s">
        <v>82</v>
      </c>
      <c r="BV11" s="41" t="s">
        <v>104</v>
      </c>
      <c r="BW11" s="41" t="s">
        <v>86</v>
      </c>
      <c r="BX11" s="41" t="s">
        <v>86</v>
      </c>
      <c r="BY11" s="41" t="s">
        <v>197</v>
      </c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11ACAF5A-4147-41D2-B30C-426F26DC4C9F}">
      <formula1>"だいち,れんたろう,たかの,まっつん,いちかわ,ただ,たか,のり,りくと,わさび,"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160643-C513-482D-863A-B0BD4A850725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193</v>
      </c>
      <c r="G1" s="72"/>
      <c r="H1" s="72"/>
      <c r="I1" s="73"/>
      <c r="J1" s="74"/>
      <c r="K1" s="71" t="s">
        <v>191</v>
      </c>
      <c r="L1" s="72"/>
      <c r="M1" s="72"/>
      <c r="N1" s="73"/>
      <c r="O1" s="74"/>
      <c r="P1" s="71" t="s">
        <v>192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たか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いちかわ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たか</v>
      </c>
      <c r="V2" s="70" t="str">
        <f>$K$1</f>
        <v>だいち</v>
      </c>
      <c r="W2" s="16" t="str">
        <f>$P$1</f>
        <v>いちかわ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たか</v>
      </c>
      <c r="F4" s="8"/>
      <c r="G4" s="9"/>
      <c r="H4" s="9"/>
      <c r="I4" s="48"/>
      <c r="J4" s="21">
        <f>IF(COUNTA($F4,$K4,$P4)&gt;0,J3+SUM(G4:I4),"")</f>
        <v>35000</v>
      </c>
      <c r="K4" s="8" t="s">
        <v>201</v>
      </c>
      <c r="L4" s="9">
        <v>3900</v>
      </c>
      <c r="M4" s="9"/>
      <c r="N4" s="48">
        <v>0</v>
      </c>
      <c r="O4" s="21">
        <f>IF(COUNTA($F4,$K4,$P4)&gt;0,O3+SUM(L4:N4),"")</f>
        <v>38900</v>
      </c>
      <c r="P4" s="8" t="s">
        <v>202</v>
      </c>
      <c r="Q4" s="9">
        <v>-3900</v>
      </c>
      <c r="R4" s="9"/>
      <c r="S4" s="48">
        <v>0</v>
      </c>
      <c r="T4" s="21">
        <f>IF(COUNTA($F4,$K4,$P4)&gt;0,T3+SUM(Q4:S4),"")</f>
        <v>31100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13.9</v>
      </c>
      <c r="W4" s="55">
        <f>IF($T4="","",ROUND(($T4-$T$3)/1000,1)+(_xlfn.RANK.AVG($T4,($J4,$O4,$T4),1)-2)*10)</f>
        <v>-13.9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>
        <v>3</v>
      </c>
      <c r="AY4" s="30">
        <v>30</v>
      </c>
      <c r="AZ4" s="40" t="s">
        <v>83</v>
      </c>
      <c r="BA4" s="41" t="s">
        <v>79</v>
      </c>
      <c r="BB4" s="41" t="s">
        <v>79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だいち</v>
      </c>
      <c r="F5" s="8" t="s">
        <v>194</v>
      </c>
      <c r="G5" s="9">
        <v>-6000</v>
      </c>
      <c r="H5" s="9"/>
      <c r="I5" s="48">
        <v>0</v>
      </c>
      <c r="J5" s="21">
        <f t="shared" ref="J5:J30" si="2">IF(COUNTA($F5,$K5,$P5)&gt;0,J4+SUM(G5:I5),"")</f>
        <v>29000</v>
      </c>
      <c r="K5" s="8" t="s">
        <v>194</v>
      </c>
      <c r="L5" s="9">
        <v>-10000</v>
      </c>
      <c r="M5" s="9">
        <v>-1000</v>
      </c>
      <c r="N5" s="48">
        <v>0</v>
      </c>
      <c r="O5" s="21">
        <f t="shared" ref="O5:O30" si="3">IF(COUNTA($F5,$K5,$P5)&gt;0,O4+SUM(L5:N5),"")</f>
        <v>27900</v>
      </c>
      <c r="P5" s="8" t="s">
        <v>195</v>
      </c>
      <c r="Q5" s="9">
        <v>16000</v>
      </c>
      <c r="R5" s="9">
        <v>1000</v>
      </c>
      <c r="S5" s="48">
        <v>0</v>
      </c>
      <c r="T5" s="21">
        <f t="shared" ref="T5:T30" si="4">IF(COUNTA($F5,$K5,$P5)&gt;0,T4+SUM(Q5:S5),"")</f>
        <v>48100</v>
      </c>
      <c r="U5" s="53">
        <f>IF($J5="","",ROUND(($J5-$J$3)/1000,1)+(_xlfn.RANK.AVG($J5,($J5,$O5,$T5),1)-2)*10)</f>
        <v>-6</v>
      </c>
      <c r="V5" s="54">
        <f>IF($O5="","",ROUND(($O5-$O$3)/1000,1)+(_xlfn.RANK.AVG($O5,($J5,$O5,$T5),1)-2)*10)</f>
        <v>-17.100000000000001</v>
      </c>
      <c r="W5" s="55">
        <f>IF($T5="","",ROUND(($T5-$T$3)/1000,1)+(_xlfn.RANK.AVG($T5,($J5,$O5,$T5),1)-2)*10)</f>
        <v>23.1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8</v>
      </c>
      <c r="BT5" s="30" t="s">
        <v>204</v>
      </c>
      <c r="BU5" s="40" t="s">
        <v>82</v>
      </c>
      <c r="BV5" s="41" t="s">
        <v>104</v>
      </c>
      <c r="BW5" s="41" t="s">
        <v>92</v>
      </c>
      <c r="BX5" s="41" t="s">
        <v>79</v>
      </c>
      <c r="BY5" s="41" t="s">
        <v>79</v>
      </c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いちかわ</v>
      </c>
      <c r="F6" s="8"/>
      <c r="G6" s="9"/>
      <c r="H6" s="9"/>
      <c r="I6" s="48"/>
      <c r="J6" s="21">
        <f t="shared" si="2"/>
        <v>29000</v>
      </c>
      <c r="K6" s="8" t="s">
        <v>201</v>
      </c>
      <c r="L6" s="9">
        <v>5200</v>
      </c>
      <c r="M6" s="9"/>
      <c r="N6" s="48">
        <v>0</v>
      </c>
      <c r="O6" s="21">
        <f t="shared" si="3"/>
        <v>33100</v>
      </c>
      <c r="P6" s="8" t="s">
        <v>202</v>
      </c>
      <c r="Q6" s="9">
        <v>-5200</v>
      </c>
      <c r="R6" s="9"/>
      <c r="S6" s="48">
        <v>0</v>
      </c>
      <c r="T6" s="21">
        <f t="shared" si="4"/>
        <v>42900</v>
      </c>
      <c r="U6" s="53">
        <f>IF($J6="","",ROUND(($J6-$J$3)/1000,1)+(_xlfn.RANK.AVG($J6,($J6,$O6,$T6),1)-2)*10)</f>
        <v>-16</v>
      </c>
      <c r="V6" s="54">
        <f>IF($O6="","",ROUND(($O6-$O$3)/1000,1)+(_xlfn.RANK.AVG($O6,($J6,$O6,$T6),1)-2)*10)</f>
        <v>-1.9</v>
      </c>
      <c r="W6" s="55">
        <f>IF($T6="","",ROUND(($T6-$T$3)/1000,1)+(_xlfn.RANK.AVG($T6,($J6,$O6,$T6),1)-2)*10)</f>
        <v>17.899999999999999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3</v>
      </c>
      <c r="AY6" s="30">
        <v>40</v>
      </c>
      <c r="AZ6" s="40" t="s">
        <v>196</v>
      </c>
      <c r="BA6" s="41" t="s">
        <v>85</v>
      </c>
      <c r="BB6" s="41" t="s">
        <v>79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たか</v>
      </c>
      <c r="F7" s="8" t="s">
        <v>202</v>
      </c>
      <c r="G7" s="9">
        <v>-2600</v>
      </c>
      <c r="H7" s="9"/>
      <c r="I7" s="48">
        <v>0</v>
      </c>
      <c r="J7" s="21">
        <f t="shared" si="2"/>
        <v>26400</v>
      </c>
      <c r="K7" s="8" t="s">
        <v>201</v>
      </c>
      <c r="L7" s="9">
        <v>2600</v>
      </c>
      <c r="M7" s="9"/>
      <c r="N7" s="48">
        <v>0</v>
      </c>
      <c r="O7" s="21">
        <f t="shared" si="3"/>
        <v>35700</v>
      </c>
      <c r="P7" s="8"/>
      <c r="Q7" s="9"/>
      <c r="R7" s="9"/>
      <c r="S7" s="48"/>
      <c r="T7" s="21">
        <f t="shared" si="4"/>
        <v>42900</v>
      </c>
      <c r="U7" s="53">
        <f>IF($J7="","",ROUND(($J7-$J$3)/1000,1)+(_xlfn.RANK.AVG($J7,($J7,$O7,$T7),1)-2)*10)</f>
        <v>-18.600000000000001</v>
      </c>
      <c r="V7" s="54">
        <f>IF($O7="","",ROUND(($O7-$O$3)/1000,1)+(_xlfn.RANK.AVG($O7,($J7,$O7,$T7),1)-2)*10)</f>
        <v>0.7</v>
      </c>
      <c r="W7" s="55">
        <f>IF($T7="","",ROUND(($T7-$T$3)/1000,1)+(_xlfn.RANK.AVG($T7,($J7,$O7,$T7),1)-2)*10)</f>
        <v>17.899999999999999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2</v>
      </c>
      <c r="AY7" s="30">
        <v>40</v>
      </c>
      <c r="AZ7" s="40" t="s">
        <v>196</v>
      </c>
      <c r="BA7" s="41" t="s">
        <v>80</v>
      </c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IF($K$1="","",$K$1)</f>
        <v>だいち</v>
      </c>
      <c r="F8" s="8" t="s">
        <v>202</v>
      </c>
      <c r="G8" s="9">
        <v>-7700</v>
      </c>
      <c r="H8" s="9"/>
      <c r="I8" s="48">
        <v>0</v>
      </c>
      <c r="J8" s="21">
        <f t="shared" si="2"/>
        <v>18700</v>
      </c>
      <c r="K8" s="8" t="s">
        <v>201</v>
      </c>
      <c r="L8" s="9">
        <v>7700</v>
      </c>
      <c r="M8" s="9"/>
      <c r="N8" s="48">
        <v>0</v>
      </c>
      <c r="O8" s="21">
        <f t="shared" si="3"/>
        <v>43400</v>
      </c>
      <c r="P8" s="8"/>
      <c r="Q8" s="9"/>
      <c r="R8" s="9"/>
      <c r="S8" s="48"/>
      <c r="T8" s="21">
        <f t="shared" si="4"/>
        <v>42900</v>
      </c>
      <c r="U8" s="53">
        <f>IF($J8="","",ROUND(($J8-$J$3)/1000,1)+(_xlfn.RANK.AVG($J8,($J8,$O8,$T8),1)-2)*10)</f>
        <v>-26.3</v>
      </c>
      <c r="V8" s="54">
        <f>IF($O8="","",ROUND(($O8-$O$3)/1000,1)+(_xlfn.RANK.AVG($O8,($J8,$O8,$T8),1)-2)*10)</f>
        <v>18.399999999999999</v>
      </c>
      <c r="W8" s="55">
        <f>IF($T8="","",ROUND(($T8-$T$3)/1000,1)+(_xlfn.RANK.AVG($T8,($J8,$O8,$T8),1)-2)*10)</f>
        <v>7.9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3</v>
      </c>
      <c r="AY8" s="30">
        <v>40</v>
      </c>
      <c r="AZ8" s="40" t="s">
        <v>196</v>
      </c>
      <c r="BA8" s="41" t="s">
        <v>79</v>
      </c>
      <c r="BB8" s="41" t="s">
        <v>86</v>
      </c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1</v>
      </c>
      <c r="D9" s="18">
        <f t="shared" si="1"/>
        <v>0</v>
      </c>
      <c r="E9" s="4" t="str">
        <f>IF($K$1="","",$K$1)</f>
        <v>だいち</v>
      </c>
      <c r="F9" s="8" t="s">
        <v>194</v>
      </c>
      <c r="G9" s="9">
        <v>-3000</v>
      </c>
      <c r="H9" s="9"/>
      <c r="I9" s="48">
        <v>-500</v>
      </c>
      <c r="J9" s="21">
        <f t="shared" si="2"/>
        <v>15200</v>
      </c>
      <c r="K9" s="8" t="s">
        <v>194</v>
      </c>
      <c r="L9" s="9">
        <v>-5000</v>
      </c>
      <c r="M9" s="9"/>
      <c r="N9" s="48">
        <v>-500</v>
      </c>
      <c r="O9" s="21">
        <f t="shared" si="3"/>
        <v>37900</v>
      </c>
      <c r="P9" s="8" t="s">
        <v>195</v>
      </c>
      <c r="Q9" s="9">
        <v>8000</v>
      </c>
      <c r="R9" s="9"/>
      <c r="S9" s="48">
        <v>1000</v>
      </c>
      <c r="T9" s="21">
        <f t="shared" si="4"/>
        <v>51900</v>
      </c>
      <c r="U9" s="53">
        <f>IF($J9="","",ROUND(($J9-$J$3)/1000,1)+(_xlfn.RANK.AVG($J9,($J9,$O9,$T9),1)-2)*10)</f>
        <v>-29.8</v>
      </c>
      <c r="V9" s="54">
        <f>IF($O9="","",ROUND(($O9-$O$3)/1000,1)+(_xlfn.RANK.AVG($O9,($J9,$O9,$T9),1)-2)*10)</f>
        <v>2.9</v>
      </c>
      <c r="W9" s="55">
        <f>IF($T9="","",ROUND(($T9-$T$3)/1000,1)+(_xlfn.RANK.AVG($T9,($J9,$O9,$T9),1)-2)*10)</f>
        <v>26.9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4</v>
      </c>
      <c r="BT9" s="30">
        <v>40</v>
      </c>
      <c r="BU9" s="40" t="s">
        <v>104</v>
      </c>
      <c r="BV9" s="41" t="s">
        <v>86</v>
      </c>
      <c r="BW9" s="41" t="s">
        <v>86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IF($P$1="","",$P$1)</f>
        <v>いちかわ</v>
      </c>
      <c r="F10" s="8"/>
      <c r="G10" s="9"/>
      <c r="H10" s="9"/>
      <c r="I10" s="48"/>
      <c r="J10" s="21">
        <f t="shared" si="2"/>
        <v>15200</v>
      </c>
      <c r="K10" s="8" t="s">
        <v>202</v>
      </c>
      <c r="L10" s="9">
        <v>-24000</v>
      </c>
      <c r="M10" s="9"/>
      <c r="N10" s="48">
        <v>0</v>
      </c>
      <c r="O10" s="21">
        <f t="shared" si="3"/>
        <v>13900</v>
      </c>
      <c r="P10" s="8" t="s">
        <v>201</v>
      </c>
      <c r="Q10" s="9">
        <v>24000</v>
      </c>
      <c r="R10" s="9"/>
      <c r="S10" s="48">
        <v>0</v>
      </c>
      <c r="T10" s="21">
        <f t="shared" si="4"/>
        <v>75900</v>
      </c>
      <c r="U10" s="53">
        <f>IF($J10="","",ROUND(($J10-$J$3)/1000,1)+(_xlfn.RANK.AVG($J10,($J10,$O10,$T10),1)-2)*10)</f>
        <v>-19.8</v>
      </c>
      <c r="V10" s="54">
        <f>IF($O10="","",ROUND(($O10-$O$3)/1000,1)+(_xlfn.RANK.AVG($O10,($J10,$O10,$T10),1)-2)*10)</f>
        <v>-31.1</v>
      </c>
      <c r="W10" s="55">
        <f>IF($T10="","",ROUND(($T10-$T$3)/1000,1)+(_xlfn.RANK.AVG($T10,($J10,$O10,$T10),1)-2)*10)</f>
        <v>50.9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>
        <v>9</v>
      </c>
      <c r="BT10" s="30" t="s">
        <v>204</v>
      </c>
      <c r="BU10" s="40" t="s">
        <v>106</v>
      </c>
      <c r="BV10" s="41" t="s">
        <v>79</v>
      </c>
      <c r="BW10" s="41" t="s">
        <v>79</v>
      </c>
      <c r="BX10" s="41" t="s">
        <v>79</v>
      </c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6B06A388-57D6-47F6-B960-84AE87FD9211}">
      <formula1>"だいち,れんたろう,たかの,まっつん,いちかわ,ただ,たか,のり,りくと,わさび,"</formula1>
    </dataValidation>
    <dataValidation type="list" showInputMessage="1" showErrorMessage="1" sqref="K4:K30 P4:P30 F4:F30" xr:uid="{070220CA-A802-47C8-AEB9-103472A25DC7}">
      <formula1>"ロン,ツモ,放銃,ツモ支払,流局,チョンボ"</formula1>
    </dataValidation>
    <dataValidation type="list" allowBlank="1" showInputMessage="1" showErrorMessage="1" sqref="E4:E30" xr:uid="{31DA9799-8E95-4530-BCB0-5B2E20E47A88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79BEDC-8F3E-40BF-9F10-21EC6BCB54C2}">
  <sheetPr codeName="Sheet12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いちかわ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たか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だいち</v>
      </c>
      <c r="V2" s="70" t="str">
        <f>$K$1</f>
        <v>いちかわ</v>
      </c>
      <c r="W2" s="16" t="str">
        <f>$P$1</f>
        <v>たか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 t="s">
        <v>194</v>
      </c>
      <c r="G4" s="9">
        <v>-7500</v>
      </c>
      <c r="H4" s="9"/>
      <c r="I4" s="48">
        <v>0</v>
      </c>
      <c r="J4" s="21">
        <f>IF(COUNTA($F4,$K4,$P4)&gt;0,J3+SUM(G4:I4),"")</f>
        <v>27500</v>
      </c>
      <c r="K4" s="8" t="s">
        <v>195</v>
      </c>
      <c r="L4" s="9">
        <v>12000</v>
      </c>
      <c r="M4" s="9">
        <v>1000</v>
      </c>
      <c r="N4" s="48">
        <v>0</v>
      </c>
      <c r="O4" s="21">
        <f>IF(COUNTA($F4,$K4,$P4)&gt;0,O3+SUM(L4:N4),"")</f>
        <v>48000</v>
      </c>
      <c r="P4" s="8" t="s">
        <v>194</v>
      </c>
      <c r="Q4" s="9">
        <v>-4500</v>
      </c>
      <c r="R4" s="9">
        <v>-1000</v>
      </c>
      <c r="S4" s="48">
        <v>0</v>
      </c>
      <c r="T4" s="21">
        <f>IF(COUNTA($F4,$K4,$P4)&gt;0,T3+SUM(Q4:S4),"")</f>
        <v>29500</v>
      </c>
      <c r="U4" s="53">
        <f>IF($J4="","",ROUND(($J4-$J$3)/1000,1)+(_xlfn.RANK.AVG($J4,($J4,$O4,$T4),1)-2)*10)</f>
        <v>-17.5</v>
      </c>
      <c r="V4" s="54">
        <f>IF($O4="","",ROUND(($O4-$O$3)/1000,1)+(_xlfn.RANK.AVG($O4,($J4,$O4,$T4),1)-2)*10)</f>
        <v>23</v>
      </c>
      <c r="W4" s="55">
        <f>IF($T4="","",ROUND(($T4-$T$3)/1000,1)+(_xlfn.RANK.AVG($T4,($J4,$O4,$T4),1)-2)*10)</f>
        <v>-5.5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6</v>
      </c>
      <c r="AY4" s="30" t="s">
        <v>204</v>
      </c>
      <c r="AZ4" s="40" t="s">
        <v>89</v>
      </c>
      <c r="BA4" s="41" t="s">
        <v>86</v>
      </c>
      <c r="BB4" s="41" t="s">
        <v>79</v>
      </c>
      <c r="BC4" s="41" t="s">
        <v>79</v>
      </c>
      <c r="BD4" s="41" t="s">
        <v>79</v>
      </c>
      <c r="BE4" s="41" t="s">
        <v>79</v>
      </c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いちかわ</v>
      </c>
      <c r="F5" s="8" t="s">
        <v>201</v>
      </c>
      <c r="G5" s="9">
        <v>5200</v>
      </c>
      <c r="H5" s="9"/>
      <c r="I5" s="48">
        <v>0</v>
      </c>
      <c r="J5" s="21">
        <f t="shared" ref="J5:J30" si="2">IF(COUNTA($F5,$K5,$P5)&gt;0,J4+SUM(G5:I5),"")</f>
        <v>32700</v>
      </c>
      <c r="K5" s="8" t="s">
        <v>202</v>
      </c>
      <c r="L5" s="9">
        <v>-5200</v>
      </c>
      <c r="M5" s="9"/>
      <c r="N5" s="48">
        <v>0</v>
      </c>
      <c r="O5" s="21">
        <f t="shared" ref="O5:O30" si="3">IF(COUNTA($F5,$K5,$P5)&gt;0,O4+SUM(L5:N5),"")</f>
        <v>42800</v>
      </c>
      <c r="P5" s="8"/>
      <c r="Q5" s="9"/>
      <c r="R5" s="9"/>
      <c r="S5" s="48"/>
      <c r="T5" s="21">
        <f t="shared" ref="T5:T30" si="4">IF(COUNTA($F5,$K5,$P5)&gt;0,T4+SUM(Q5:S5),"")</f>
        <v>29500</v>
      </c>
      <c r="U5" s="53">
        <f>IF($J5="","",ROUND(($J5-$J$3)/1000,1)+(_xlfn.RANK.AVG($J5,($J5,$O5,$T5),1)-2)*10)</f>
        <v>-2.2999999999999998</v>
      </c>
      <c r="V5" s="54">
        <f>IF($O5="","",ROUND(($O5-$O$3)/1000,1)+(_xlfn.RANK.AVG($O5,($J5,$O5,$T5),1)-2)*10)</f>
        <v>17.8</v>
      </c>
      <c r="W5" s="55">
        <f>IF($T5="","",ROUND(($T5-$T$3)/1000,1)+(_xlfn.RANK.AVG($T5,($J5,$O5,$T5),1)-2)*10)</f>
        <v>-15.5</v>
      </c>
      <c r="Y5" s="8"/>
      <c r="Z5" s="34"/>
      <c r="AA5" s="26"/>
      <c r="AB5" s="26">
        <v>1</v>
      </c>
      <c r="AC5" s="26">
        <v>3</v>
      </c>
      <c r="AD5" s="30">
        <v>40</v>
      </c>
      <c r="AE5" s="40" t="s">
        <v>93</v>
      </c>
      <c r="AF5" s="41" t="s">
        <v>86</v>
      </c>
      <c r="AG5" s="41" t="s">
        <v>86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たか</v>
      </c>
      <c r="F6" s="8" t="s">
        <v>194</v>
      </c>
      <c r="G6" s="9">
        <v>-2900</v>
      </c>
      <c r="H6" s="9"/>
      <c r="I6" s="48">
        <v>0</v>
      </c>
      <c r="J6" s="21">
        <f t="shared" si="2"/>
        <v>29800</v>
      </c>
      <c r="K6" s="8" t="s">
        <v>195</v>
      </c>
      <c r="L6" s="9">
        <v>7700</v>
      </c>
      <c r="M6" s="9"/>
      <c r="N6" s="48">
        <v>0</v>
      </c>
      <c r="O6" s="21">
        <f t="shared" si="3"/>
        <v>50500</v>
      </c>
      <c r="P6" s="8" t="s">
        <v>194</v>
      </c>
      <c r="Q6" s="9">
        <v>-4800</v>
      </c>
      <c r="R6" s="9"/>
      <c r="S6" s="48">
        <v>0</v>
      </c>
      <c r="T6" s="21">
        <f t="shared" si="4"/>
        <v>24700</v>
      </c>
      <c r="U6" s="53">
        <f>IF($J6="","",ROUND(($J6-$J$3)/1000,1)+(_xlfn.RANK.AVG($J6,($J6,$O6,$T6),1)-2)*10)</f>
        <v>-5.2</v>
      </c>
      <c r="V6" s="54">
        <f>IF($O6="","",ROUND(($O6-$O$3)/1000,1)+(_xlfn.RANK.AVG($O6,($J6,$O6,$T6),1)-2)*10)</f>
        <v>25.5</v>
      </c>
      <c r="W6" s="55">
        <f>IF($T6="","",ROUND(($T6-$T$3)/1000,1)+(_xlfn.RANK.AVG($T6,($J6,$O6,$T6),1)-2)*10)</f>
        <v>-20.3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4</v>
      </c>
      <c r="AY6" s="30">
        <v>30</v>
      </c>
      <c r="AZ6" s="40" t="s">
        <v>196</v>
      </c>
      <c r="BA6" s="41" t="s">
        <v>82</v>
      </c>
      <c r="BB6" s="41" t="s">
        <v>79</v>
      </c>
      <c r="BC6" s="41" t="s">
        <v>79</v>
      </c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だいち</v>
      </c>
      <c r="F7" s="8" t="s">
        <v>202</v>
      </c>
      <c r="G7" s="9">
        <v>-1300</v>
      </c>
      <c r="H7" s="9"/>
      <c r="I7" s="48">
        <v>0</v>
      </c>
      <c r="J7" s="21">
        <f t="shared" si="2"/>
        <v>28500</v>
      </c>
      <c r="K7" s="8"/>
      <c r="L7" s="9"/>
      <c r="M7" s="9"/>
      <c r="N7" s="48"/>
      <c r="O7" s="21">
        <f t="shared" si="3"/>
        <v>50500</v>
      </c>
      <c r="P7" s="8" t="s">
        <v>201</v>
      </c>
      <c r="Q7" s="9">
        <v>1300</v>
      </c>
      <c r="R7" s="9"/>
      <c r="S7" s="48">
        <v>0</v>
      </c>
      <c r="T7" s="21">
        <f t="shared" si="4"/>
        <v>26000</v>
      </c>
      <c r="U7" s="53">
        <f>IF($J7="","",ROUND(($J7-$J$3)/1000,1)+(_xlfn.RANK.AVG($J7,($J7,$O7,$T7),1)-2)*10)</f>
        <v>-6.5</v>
      </c>
      <c r="V7" s="54">
        <f>IF($O7="","",ROUND(($O7-$O$3)/1000,1)+(_xlfn.RANK.AVG($O7,($J7,$O7,$T7),1)-2)*10)</f>
        <v>25.5</v>
      </c>
      <c r="W7" s="55">
        <f>IF($T7="","",ROUND(($T7-$T$3)/1000,1)+(_xlfn.RANK.AVG($T7,($J7,$O7,$T7),1)-2)*10)</f>
        <v>-19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1</v>
      </c>
      <c r="BT7" s="30">
        <v>40</v>
      </c>
      <c r="BU7" s="40" t="s">
        <v>196</v>
      </c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IF($K$1="","",$K$1)</f>
        <v>いちかわ</v>
      </c>
      <c r="F8" s="8" t="s">
        <v>205</v>
      </c>
      <c r="G8" s="9">
        <v>-1500</v>
      </c>
      <c r="H8" s="9"/>
      <c r="I8" s="48"/>
      <c r="J8" s="21">
        <f t="shared" si="2"/>
        <v>27000</v>
      </c>
      <c r="K8" s="8" t="s">
        <v>205</v>
      </c>
      <c r="L8" s="9">
        <v>-1500</v>
      </c>
      <c r="M8" s="9"/>
      <c r="N8" s="48"/>
      <c r="O8" s="21">
        <f t="shared" si="3"/>
        <v>49000</v>
      </c>
      <c r="P8" s="8" t="s">
        <v>205</v>
      </c>
      <c r="Q8" s="9">
        <v>3000</v>
      </c>
      <c r="R8" s="9">
        <v>-1000</v>
      </c>
      <c r="S8" s="48"/>
      <c r="T8" s="21">
        <f t="shared" si="4"/>
        <v>28000</v>
      </c>
      <c r="U8" s="53">
        <f>IF($J8="","",ROUND(($J8-$J$3)/1000,1)+(_xlfn.RANK.AVG($J8,($J8,$O8,$T8),1)-2)*10)</f>
        <v>-18</v>
      </c>
      <c r="V8" s="54">
        <f>IF($O8="","",ROUND(($O8-$O$3)/1000,1)+(_xlfn.RANK.AVG($O8,($J8,$O8,$T8),1)-2)*10)</f>
        <v>24</v>
      </c>
      <c r="W8" s="55">
        <f>IF($T8="","",ROUND(($T8-$T$3)/1000,1)+(_xlfn.RANK.AVG($T8,($J8,$O8,$T8),1)-2)*10)</f>
        <v>-7</v>
      </c>
      <c r="Y8" s="8" t="s">
        <v>198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198</v>
      </c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199</v>
      </c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3</v>
      </c>
      <c r="C9" s="18">
        <f t="shared" si="6"/>
        <v>1</v>
      </c>
      <c r="D9" s="18">
        <f t="shared" si="1"/>
        <v>1</v>
      </c>
      <c r="E9" s="4" t="str">
        <f>IF($P$1="","",$P$1)</f>
        <v>たか</v>
      </c>
      <c r="F9" s="8" t="s">
        <v>202</v>
      </c>
      <c r="G9" s="9">
        <v>-7700</v>
      </c>
      <c r="H9" s="9"/>
      <c r="I9" s="48">
        <v>-1000</v>
      </c>
      <c r="J9" s="21">
        <f t="shared" si="2"/>
        <v>18300</v>
      </c>
      <c r="K9" s="8" t="s">
        <v>201</v>
      </c>
      <c r="L9" s="9">
        <v>7700</v>
      </c>
      <c r="M9" s="9">
        <v>1000</v>
      </c>
      <c r="N9" s="48">
        <v>1000</v>
      </c>
      <c r="O9" s="21">
        <f t="shared" si="3"/>
        <v>58700</v>
      </c>
      <c r="P9" s="8"/>
      <c r="Q9" s="9"/>
      <c r="R9" s="9"/>
      <c r="S9" s="48"/>
      <c r="T9" s="21">
        <f t="shared" si="4"/>
        <v>28000</v>
      </c>
      <c r="U9" s="53">
        <f>IF($J9="","",ROUND(($J9-$J$3)/1000,1)+(_xlfn.RANK.AVG($J9,($J9,$O9,$T9),1)-2)*10)</f>
        <v>-26.7</v>
      </c>
      <c r="V9" s="54">
        <f>IF($O9="","",ROUND(($O9-$O$3)/1000,1)+(_xlfn.RANK.AVG($O9,($J9,$O9,$T9),1)-2)*10)</f>
        <v>33.700000000000003</v>
      </c>
      <c r="W9" s="55">
        <f>IF($T9="","",ROUND(($T9-$T$3)/1000,1)+(_xlfn.RANK.AVG($T9,($J9,$O9,$T9),1)-2)*10)</f>
        <v>-7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4</v>
      </c>
      <c r="AY9" s="30">
        <v>30</v>
      </c>
      <c r="AZ9" s="40" t="s">
        <v>86</v>
      </c>
      <c r="BA9" s="41" t="s">
        <v>86</v>
      </c>
      <c r="BB9" s="41" t="s">
        <v>79</v>
      </c>
      <c r="BC9" s="41" t="s">
        <v>79</v>
      </c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西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tr">
        <f>IF($F$1="","",$F$1)</f>
        <v>だいち</v>
      </c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03F4386A-54DA-41C2-87DC-3A6750ED1D6F}">
      <formula1>$U$2:$W$2</formula1>
    </dataValidation>
    <dataValidation type="list" showInputMessage="1" showErrorMessage="1" sqref="K4:K30 P4:P30 F4:F30" xr:uid="{8F267879-DFEF-4821-92C7-23821130CB48}">
      <formula1>"ロン,ツモ,放銃,ツモ支払,流局,チョンボ"</formula1>
    </dataValidation>
    <dataValidation type="list" allowBlank="1" showInputMessage="1" sqref="F1:T1" xr:uid="{96E2B32E-13BE-4ACD-AE09-9F2D80C5FB7C}">
      <formula1>"だいち,れんたろう,たかの,まっつん,いちかわ,ただ,たか,のり,りくと,わさび,"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2020-10-09T15:15:46Z</dcterms:modified>
</cp:coreProperties>
</file>