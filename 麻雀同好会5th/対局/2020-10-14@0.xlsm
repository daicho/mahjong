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7417BE80-BC35-4474-A251-F674D52B9B07}" xr6:coauthVersionLast="45" xr6:coauthVersionMax="45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1" l="1"/>
  <c r="E12" i="21"/>
  <c r="E11" i="21"/>
  <c r="E10" i="21"/>
  <c r="E9" i="21"/>
  <c r="E8" i="21"/>
  <c r="E7" i="21"/>
  <c r="E6" i="21"/>
  <c r="D6" i="21" s="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O12" i="21"/>
  <c r="V12" i="21" s="1"/>
  <c r="J12" i="21"/>
  <c r="D12" i="21"/>
  <c r="C12" i="21"/>
  <c r="B12" i="21"/>
  <c r="A12" i="21" s="1"/>
  <c r="C11" i="21"/>
  <c r="D11" i="21"/>
  <c r="D10" i="21"/>
  <c r="C10" i="21"/>
  <c r="D7" i="21"/>
  <c r="O6" i="21"/>
  <c r="O7" i="21" s="1"/>
  <c r="O5" i="21"/>
  <c r="J5" i="21"/>
  <c r="J6" i="21" s="1"/>
  <c r="T4" i="21"/>
  <c r="T5" i="21" s="1"/>
  <c r="O4" i="21"/>
  <c r="J4" i="21"/>
  <c r="E4" i="21"/>
  <c r="B5" i="21" s="1"/>
  <c r="W3" i="21"/>
  <c r="V3" i="21"/>
  <c r="U3" i="21"/>
  <c r="W2" i="21"/>
  <c r="V2" i="21"/>
  <c r="U2" i="21"/>
  <c r="BO1" i="21"/>
  <c r="AT1" i="21"/>
  <c r="Y1" i="21"/>
  <c r="D12" i="20"/>
  <c r="E11" i="20"/>
  <c r="E10" i="20"/>
  <c r="E9" i="20"/>
  <c r="E8" i="20"/>
  <c r="E7" i="20"/>
  <c r="E6" i="20"/>
  <c r="D6" i="20" s="1"/>
  <c r="E5" i="20"/>
  <c r="C5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C10" i="20"/>
  <c r="D10" i="20"/>
  <c r="D9" i="20"/>
  <c r="C9" i="20"/>
  <c r="D7" i="20"/>
  <c r="T6" i="20"/>
  <c r="T7" i="20" s="1"/>
  <c r="T5" i="20"/>
  <c r="O5" i="20"/>
  <c r="O6" i="20" s="1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W12" i="21" l="1"/>
  <c r="U12" i="21"/>
  <c r="V4" i="21"/>
  <c r="U4" i="21"/>
  <c r="V5" i="21"/>
  <c r="T6" i="21"/>
  <c r="W5" i="21"/>
  <c r="B6" i="21"/>
  <c r="A6" i="21" s="1"/>
  <c r="J7" i="21"/>
  <c r="A5" i="21"/>
  <c r="O8" i="21"/>
  <c r="C5" i="21"/>
  <c r="C6" i="21" s="1"/>
  <c r="C7" i="21" s="1"/>
  <c r="B8" i="21"/>
  <c r="D5" i="21"/>
  <c r="C8" i="21"/>
  <c r="C9" i="21" s="1"/>
  <c r="D8" i="21"/>
  <c r="D9" i="21" s="1"/>
  <c r="B9" i="21"/>
  <c r="B10" i="21" s="1"/>
  <c r="W4" i="21"/>
  <c r="B7" i="21"/>
  <c r="U5" i="21"/>
  <c r="C6" i="20"/>
  <c r="B5" i="20"/>
  <c r="A5" i="20" s="1"/>
  <c r="D5" i="20"/>
  <c r="V4" i="20"/>
  <c r="W4" i="20"/>
  <c r="O7" i="20"/>
  <c r="T8" i="20"/>
  <c r="C8" i="20"/>
  <c r="B6" i="20"/>
  <c r="D8" i="20"/>
  <c r="C11" i="20"/>
  <c r="U4" i="20"/>
  <c r="J5" i="20"/>
  <c r="D11" i="20"/>
  <c r="C12" i="20"/>
  <c r="C7" i="20"/>
  <c r="A7" i="21" l="1"/>
  <c r="A8" i="21" s="1"/>
  <c r="A9" i="21" s="1"/>
  <c r="B11" i="21"/>
  <c r="W6" i="21"/>
  <c r="T7" i="21"/>
  <c r="V7" i="21" s="1"/>
  <c r="U6" i="21"/>
  <c r="J8" i="21"/>
  <c r="O9" i="21"/>
  <c r="V6" i="21"/>
  <c r="A10" i="21"/>
  <c r="J6" i="20"/>
  <c r="U5" i="20"/>
  <c r="W5" i="20"/>
  <c r="T9" i="20"/>
  <c r="B7" i="20"/>
  <c r="A7" i="20" s="1"/>
  <c r="O8" i="20"/>
  <c r="V5" i="20"/>
  <c r="A6" i="20"/>
  <c r="A11" i="21" l="1"/>
  <c r="T8" i="21"/>
  <c r="W7" i="21"/>
  <c r="O10" i="21"/>
  <c r="J9" i="21"/>
  <c r="U8" i="21"/>
  <c r="U7" i="21"/>
  <c r="J7" i="20"/>
  <c r="U6" i="20"/>
  <c r="V6" i="20"/>
  <c r="W6" i="20"/>
  <c r="O9" i="20"/>
  <c r="B8" i="20"/>
  <c r="A8" i="20" s="1"/>
  <c r="T10" i="20"/>
  <c r="T9" i="21" l="1"/>
  <c r="W8" i="21"/>
  <c r="V8" i="21"/>
  <c r="J10" i="21"/>
  <c r="O11" i="21"/>
  <c r="U7" i="20"/>
  <c r="J8" i="20"/>
  <c r="W7" i="20"/>
  <c r="V7" i="20"/>
  <c r="B9" i="20"/>
  <c r="O10" i="20"/>
  <c r="T11" i="20"/>
  <c r="T10" i="21" l="1"/>
  <c r="W9" i="21"/>
  <c r="V9" i="21"/>
  <c r="U9" i="21"/>
  <c r="J11" i="21"/>
  <c r="U10" i="21"/>
  <c r="J9" i="20"/>
  <c r="U8" i="20"/>
  <c r="W8" i="20"/>
  <c r="V8" i="20"/>
  <c r="T12" i="20"/>
  <c r="O11" i="20"/>
  <c r="B10" i="20"/>
  <c r="A9" i="20"/>
  <c r="T11" i="21" l="1"/>
  <c r="W11" i="21" s="1"/>
  <c r="W10" i="21"/>
  <c r="V10" i="21"/>
  <c r="B11" i="20"/>
  <c r="A11" i="20" s="1"/>
  <c r="A10" i="20"/>
  <c r="J10" i="20"/>
  <c r="U9" i="20"/>
  <c r="W9" i="20"/>
  <c r="V9" i="20"/>
  <c r="O12" i="20"/>
  <c r="V11" i="21" l="1"/>
  <c r="U11" i="21"/>
  <c r="B12" i="20"/>
  <c r="A12" i="20" s="1"/>
  <c r="U10" i="20"/>
  <c r="J11" i="20"/>
  <c r="W10" i="20"/>
  <c r="V10" i="20"/>
  <c r="J12" i="20" l="1"/>
  <c r="U11" i="20"/>
  <c r="W11" i="20"/>
  <c r="V11" i="20"/>
  <c r="U12" i="20" l="1"/>
  <c r="W12" i="20"/>
  <c r="V12" i="20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U12" i="19" l="1"/>
  <c r="V11" i="19"/>
  <c r="W11" i="19"/>
  <c r="U9" i="19"/>
  <c r="V9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<sst xmlns="http://schemas.openxmlformats.org/spreadsheetml/2006/main" count="796" uniqueCount="207">
  <si>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</si>
  <si>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</si>
  <si>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</si>
  <si>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</si>
  <si>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</si>
  <si>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</si>
  <si>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</si>
  <si>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</si>
  <si>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</si>
  <si>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</si>
  <si>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</si>
  <si>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</si>
  <si>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</si>
  <si>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</si>
  <si>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</si>
  <si>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</si>
  <si>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</si>
  <si>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</si>
  <si>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</si>
  <si>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</si>
  <si>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</si>
  <si>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</si>
  <si>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</si>
  <si>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</si>
  <si>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</si>
  <si>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</si>
  <si>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</si>
  <si>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</si>
  <si>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</si>
  <si>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</si>
  <si>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</si>
  <si>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</si>
  <si>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</si>
  <si>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</si>
  <si>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</si>
  <si>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</si>
  <si>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</si>
  <si>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</si>
  <si>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</si>
  <si>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</si>
  <si>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</si>
  <si>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</si>
  <si>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</si>
  <si>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</si>
  <si>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</si>
  <si>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</si>
  <si>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</si>
  <si>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</si>
  <si>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</si>
  <si>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</si>
  <si>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</si>
  <si>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</si>
  <si>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</si>
  <si>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</si>
  <si>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</si>
  <si>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</si>
  <si>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</si>
  <si>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</si>
  <si>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</si>
  <si>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</si>
  <si>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</si>
  <si>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</si>
  <si>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</si>
  <si>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</si>
  <si>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</si>
  <si>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</si>
  <si>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</si>
  <si>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</si>
  <si>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</si>
  <si>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</si>
  <si>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</si>
  <si>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</si>
  <si>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</si>
  <si>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</si>
  <si>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</si>
  <si>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</si>
  <si>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</si>
  <si>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</si>
  <si>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</si>
  <si>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</si>
  <si>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</si>
  <si>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</si>
  <si>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</si>
  <si>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</si>
  <si>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</si>
  <si>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</si>
  <si>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</si>
  <si>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</si>
  <si>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</si>
  <si>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</si>
  <si>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</si>
  <si>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</si>
  <si>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</si>
  <si>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</si>
  <si>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</si>
  <si>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</si>
  <si>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</si>
  <si>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</si>
  <si>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</si>
  <si>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</si>
  <si>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</si>
  <si>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</si>
  <si>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</si>
  <si>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</si>
  <si>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</si>
  <si>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</si>
  <si>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</si>
  <si>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</si>
  <si>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</si>
  <si>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</si>
  <si>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</si>
  <si>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</si>
  <si>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</si>
  <si>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</si>
  <si>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</si>
  <si>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</si>
  <si>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</si>
  <si>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</si>
  <si>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</si>
  <si>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</si>
  <si>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</si>
  <si>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</si>
  <si>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</si>
  <si>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</si>
  <si>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</si>
  <si>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</si>
  <si>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</si>
  <si>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</si>
  <si>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</si>
  <si>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</si>
  <si>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</si>
  <si>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</si>
  <si>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</si>
  <si>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</si>
  <si>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</si>
  <si>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</si>
  <si>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</si>
  <si>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</si>
  <si>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</si>
  <si>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</si>
  <si>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</si>
  <si>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</si>
  <si>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</si>
  <si>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</si>
  <si>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</si>
  <si>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</si>
  <si>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</si>
  <si>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</si>
  <si>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</si>
  <si>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</si>
  <si>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</si>
  <si>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</si>
  <si>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</si>
  <si>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</si>
  <si>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</si>
  <si>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</si>
  <si>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</si>
  <si>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</si>
  <si>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</si>
  <si>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</si>
  <si>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</si>
  <si>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</si>
  <si>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</si>
  <si>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</si>
  <si>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</si>
  <si>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</si>
  <si>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</si>
  <si>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</si>
  <si>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</si>
  <si>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</si>
  <si>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</si>
  <si>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</si>
  <si>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</si>
  <si>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</si>
  <si>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</si>
  <si>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</si>
  <si>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</si>
  <si>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</si>
  <si>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</si>
  <si>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</si>
  <si>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</si>
  <si>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</si>
  <si>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</si>
  <si>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</si>
  <si>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</si>
  <si>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</si>
  <si>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</si>
  <si>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</si>
  <si>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</si>
  <si>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</si>
  <si>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</si>
  <si>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</si>
  <si>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れんたろう</t>
    <phoneticPr fontId="1"/>
  </si>
  <si>
    <t>たか</t>
    <phoneticPr fontId="1"/>
  </si>
  <si>
    <t>ロン</t>
  </si>
  <si>
    <t>放銃</t>
  </si>
  <si>
    <t>01</t>
  </si>
  <si>
    <t>02</t>
  </si>
  <si>
    <t>ツモ支払</t>
  </si>
  <si>
    <t>ツモ</t>
  </si>
  <si>
    <t>*</t>
  </si>
  <si>
    <t>52</t>
  </si>
  <si>
    <t>N</t>
  </si>
  <si>
    <t>流局</t>
    <phoneticPr fontId="1"/>
  </si>
  <si>
    <t>T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</si>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</sst>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8000</v>
      </c>
      <c r="M4" s="9"/>
      <c r="N4" s="48">
        <v>0</v>
      </c>
      <c r="O4" s="21">
        <f>IF(COUNTA($F4,$K4,$P4)&gt;0,O3+SUM(L4:N4),"")</f>
        <v>43000</v>
      </c>
      <c r="P4" s="8" t="s">
        <v>195</v>
      </c>
      <c r="Q4" s="9">
        <v>-8000</v>
      </c>
      <c r="R4" s="9"/>
      <c r="S4" s="48">
        <v>0</v>
      </c>
      <c r="T4" s="21">
        <f>IF(COUNTA($F4,$K4,$P4)&gt;0,T3+SUM(Q4:S4),"")</f>
        <v>27000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18</v>
      </c>
      <c r="W4" s="55">
        <f>IF($T4="","",ROUND(($T4-$T$3)/1000,1)+(_xlfn.RANK.AVG($T4,($J4,$O4,$T4),1)-2)*10)</f>
        <v>-18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40</v>
      </c>
      <c r="AZ4" s="40" t="s">
        <v>196</v>
      </c>
      <c r="BA4" s="41" t="s">
        <v>197</v>
      </c>
      <c r="BB4" s="41" t="s">
        <v>92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 t="s">
        <v>198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199</v>
      </c>
      <c r="L5" s="9">
        <v>18000</v>
      </c>
      <c r="M5" s="9"/>
      <c r="N5" s="48">
        <v>0</v>
      </c>
      <c r="O5" s="21">
        <f t="shared" ref="O5:O30" si="3">IF(COUNTA($F5,$K5,$P5)&gt;0,O4+SUM(L5:N5),"")</f>
        <v>61000</v>
      </c>
      <c r="P5" s="8" t="s">
        <v>198</v>
      </c>
      <c r="Q5" s="9">
        <v>-9000</v>
      </c>
      <c r="R5" s="9"/>
      <c r="S5" s="48">
        <v>0</v>
      </c>
      <c r="T5" s="21">
        <f t="shared" ref="T5:T30" si="4">IF(COUNTA($F5,$K5,$P5)&gt;0,T4+SUM(Q5:S5),"")</f>
        <v>18000</v>
      </c>
      <c r="U5" s="53">
        <f>IF($J5="","",ROUND(($J5-$J$3)/1000,1)+(_xlfn.RANK.AVG($J5,($J5,$O5,$T5),1)-2)*10)</f>
        <v>-9</v>
      </c>
      <c r="V5" s="54">
        <f>IF($O5="","",ROUND(($O5-$O$3)/1000,1)+(_xlfn.RANK.AVG($O5,($J5,$O5,$T5),1)-2)*10)</f>
        <v>36</v>
      </c>
      <c r="W5" s="55">
        <f>IF($T5="","",ROUND(($T5-$T$3)/1000,1)+(_xlfn.RANK.AVG($T5,($J5,$O5,$T5),1)-2)*10)</f>
        <v>-27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200</v>
      </c>
      <c r="AZ5" s="40" t="s">
        <v>196</v>
      </c>
      <c r="BA5" s="41" t="s">
        <v>82</v>
      </c>
      <c r="BB5" s="41" t="s">
        <v>83</v>
      </c>
      <c r="BC5" s="41" t="s">
        <v>80</v>
      </c>
      <c r="BD5" s="41" t="s">
        <v>79</v>
      </c>
      <c r="BE5" s="41" t="s">
        <v>82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195</v>
      </c>
      <c r="G6" s="9">
        <v>-12000</v>
      </c>
      <c r="H6" s="9"/>
      <c r="I6" s="48">
        <v>-1000</v>
      </c>
      <c r="J6" s="21">
        <f t="shared" si="2"/>
        <v>13000</v>
      </c>
      <c r="K6" s="8" t="s">
        <v>194</v>
      </c>
      <c r="L6" s="9">
        <v>12000</v>
      </c>
      <c r="M6" s="9"/>
      <c r="N6" s="48">
        <v>1000</v>
      </c>
      <c r="O6" s="21">
        <f t="shared" si="3"/>
        <v>74000</v>
      </c>
      <c r="P6" s="8"/>
      <c r="Q6" s="9"/>
      <c r="R6" s="9"/>
      <c r="S6" s="48"/>
      <c r="T6" s="21">
        <f t="shared" si="4"/>
        <v>18000</v>
      </c>
      <c r="U6" s="53">
        <f>IF($J6="","",ROUND(($J6-$J$3)/1000,1)+(_xlfn.RANK.AVG($J6,($J6,$O6,$T6),1)-2)*10)</f>
        <v>-32</v>
      </c>
      <c r="V6" s="54">
        <f>IF($O6="","",ROUND(($O6-$O$3)/1000,1)+(_xlfn.RANK.AVG($O6,($J6,$O6,$T6),1)-2)*10)</f>
        <v>49</v>
      </c>
      <c r="W6" s="55">
        <f>IF($T6="","",ROUND(($T6-$T$3)/1000,1)+(_xlfn.RANK.AVG($T6,($J6,$O6,$T6),1)-2)*10)</f>
        <v>-17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4</v>
      </c>
      <c r="AY6" s="30">
        <v>40</v>
      </c>
      <c r="AZ6" s="40" t="s">
        <v>86</v>
      </c>
      <c r="BA6" s="41" t="s">
        <v>79</v>
      </c>
      <c r="BB6" s="41" t="s">
        <v>79</v>
      </c>
      <c r="BC6" s="41" t="s">
        <v>201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れんたろう</v>
      </c>
      <c r="F7" s="8" t="s">
        <v>194</v>
      </c>
      <c r="G7" s="9">
        <v>5200</v>
      </c>
      <c r="H7" s="9"/>
      <c r="I7" s="48">
        <v>2000</v>
      </c>
      <c r="J7" s="21">
        <f t="shared" si="2"/>
        <v>20200</v>
      </c>
      <c r="K7" s="8"/>
      <c r="L7" s="9"/>
      <c r="M7" s="9"/>
      <c r="N7" s="48"/>
      <c r="O7" s="21">
        <f t="shared" si="3"/>
        <v>74000</v>
      </c>
      <c r="P7" s="8" t="s">
        <v>195</v>
      </c>
      <c r="Q7" s="9">
        <v>-5200</v>
      </c>
      <c r="R7" s="9"/>
      <c r="S7" s="48">
        <v>-2000</v>
      </c>
      <c r="T7" s="21">
        <f t="shared" si="4"/>
        <v>10800</v>
      </c>
      <c r="U7" s="53">
        <f>IF($J7="","",ROUND(($J7-$J$3)/1000,1)+(_xlfn.RANK.AVG($J7,($J7,$O7,$T7),1)-2)*10)</f>
        <v>-14.8</v>
      </c>
      <c r="V7" s="54">
        <f>IF($O7="","",ROUND(($O7-$O$3)/1000,1)+(_xlfn.RANK.AVG($O7,($J7,$O7,$T7),1)-2)*10)</f>
        <v>49</v>
      </c>
      <c r="W7" s="55">
        <f>IF($T7="","",ROUND(($T7-$T$3)/1000,1)+(_xlfn.RANK.AVG($T7,($J7,$O7,$T7),1)-2)*10)</f>
        <v>-34.200000000000003</v>
      </c>
      <c r="Y7" s="8"/>
      <c r="Z7" s="34"/>
      <c r="AA7" s="26">
        <v>1</v>
      </c>
      <c r="AB7" s="26"/>
      <c r="AC7" s="26">
        <v>3</v>
      </c>
      <c r="AD7" s="30">
        <v>40</v>
      </c>
      <c r="AE7" s="40" t="s">
        <v>196</v>
      </c>
      <c r="AF7" s="41" t="s">
        <v>86</v>
      </c>
      <c r="AG7" s="41" t="s">
        <v>79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たか</v>
      </c>
      <c r="F8" s="8" t="s">
        <v>194</v>
      </c>
      <c r="G8" s="9">
        <v>8000</v>
      </c>
      <c r="H8" s="9"/>
      <c r="I8" s="48">
        <v>0</v>
      </c>
      <c r="J8" s="21">
        <f t="shared" si="2"/>
        <v>28200</v>
      </c>
      <c r="K8" s="8" t="s">
        <v>195</v>
      </c>
      <c r="L8" s="9">
        <v>-8000</v>
      </c>
      <c r="M8" s="9"/>
      <c r="N8" s="48">
        <v>0</v>
      </c>
      <c r="O8" s="21">
        <f t="shared" si="3"/>
        <v>66000</v>
      </c>
      <c r="P8" s="8"/>
      <c r="Q8" s="9"/>
      <c r="R8" s="9"/>
      <c r="S8" s="48"/>
      <c r="T8" s="21">
        <f t="shared" si="4"/>
        <v>10800</v>
      </c>
      <c r="U8" s="53">
        <f>IF($J8="","",ROUND(($J8-$J$3)/1000,1)+(_xlfn.RANK.AVG($J8,($J8,$O8,$T8),1)-2)*10)</f>
        <v>-6.8</v>
      </c>
      <c r="V8" s="54">
        <f>IF($O8="","",ROUND(($O8-$O$3)/1000,1)+(_xlfn.RANK.AVG($O8,($J8,$O8,$T8),1)-2)*10)</f>
        <v>41</v>
      </c>
      <c r="W8" s="55">
        <f>IF($T8="","",ROUND(($T8-$T$3)/1000,1)+(_xlfn.RANK.AVG($T8,($J8,$O8,$T8),1)-2)*10)</f>
        <v>-34.200000000000003</v>
      </c>
      <c r="Y8" s="8"/>
      <c r="Z8" s="34"/>
      <c r="AA8" s="26"/>
      <c r="AB8" s="26"/>
      <c r="AC8" s="26">
        <v>4</v>
      </c>
      <c r="AD8" s="30">
        <v>40</v>
      </c>
      <c r="AE8" s="40" t="s">
        <v>85</v>
      </c>
      <c r="AF8" s="41" t="s">
        <v>84</v>
      </c>
      <c r="AG8" s="41" t="s">
        <v>79</v>
      </c>
      <c r="AH8" s="41" t="s">
        <v>79</v>
      </c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tr">
        <f>IF($F$1="","",$F$1)</f>
        <v>だいち</v>
      </c>
      <c r="F9" s="8" t="s">
        <v>198</v>
      </c>
      <c r="G9" s="9">
        <v>-5000</v>
      </c>
      <c r="H9" s="9"/>
      <c r="I9" s="48">
        <v>0</v>
      </c>
      <c r="J9" s="21">
        <f t="shared" si="2"/>
        <v>23200</v>
      </c>
      <c r="K9" s="8" t="s">
        <v>198</v>
      </c>
      <c r="L9" s="9">
        <v>-3000</v>
      </c>
      <c r="M9" s="9"/>
      <c r="N9" s="48">
        <v>0</v>
      </c>
      <c r="O9" s="21">
        <f t="shared" si="3"/>
        <v>63000</v>
      </c>
      <c r="P9" s="8" t="s">
        <v>199</v>
      </c>
      <c r="Q9" s="9">
        <v>8000</v>
      </c>
      <c r="R9" s="9"/>
      <c r="S9" s="48">
        <v>0</v>
      </c>
      <c r="T9" s="21">
        <f t="shared" si="4"/>
        <v>18800</v>
      </c>
      <c r="U9" s="53">
        <f>IF($J9="","",ROUND(($J9-$J$3)/1000,1)+(_xlfn.RANK.AVG($J9,($J9,$O9,$T9),1)-2)*10)</f>
        <v>-11.8</v>
      </c>
      <c r="V9" s="54">
        <f>IF($O9="","",ROUND(($O9-$O$3)/1000,1)+(_xlfn.RANK.AVG($O9,($J9,$O9,$T9),1)-2)*10)</f>
        <v>38</v>
      </c>
      <c r="W9" s="55">
        <f>IF($T9="","",ROUND(($T9-$T$3)/1000,1)+(_xlfn.RANK.AVG($T9,($J9,$O9,$T9),1)-2)*10)</f>
        <v>-26.2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200</v>
      </c>
      <c r="BU9" s="40" t="s">
        <v>196</v>
      </c>
      <c r="BV9" s="41" t="s">
        <v>82</v>
      </c>
      <c r="BW9" s="41" t="s">
        <v>85</v>
      </c>
      <c r="BX9" s="41" t="s">
        <v>84</v>
      </c>
      <c r="BY9" s="41" t="s">
        <v>201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198</v>
      </c>
      <c r="G10" s="9">
        <v>-2900</v>
      </c>
      <c r="H10" s="9"/>
      <c r="I10" s="48">
        <v>0</v>
      </c>
      <c r="J10" s="21">
        <f t="shared" si="2"/>
        <v>20300</v>
      </c>
      <c r="K10" s="8" t="s">
        <v>198</v>
      </c>
      <c r="L10" s="9">
        <v>-4800</v>
      </c>
      <c r="M10" s="9">
        <v>-1000</v>
      </c>
      <c r="N10" s="48">
        <v>0</v>
      </c>
      <c r="O10" s="21">
        <f t="shared" si="3"/>
        <v>57200</v>
      </c>
      <c r="P10" s="8" t="s">
        <v>199</v>
      </c>
      <c r="Q10" s="9">
        <v>7700</v>
      </c>
      <c r="R10" s="9">
        <v>1000</v>
      </c>
      <c r="S10" s="48">
        <v>0</v>
      </c>
      <c r="T10" s="21">
        <f t="shared" si="4"/>
        <v>27500</v>
      </c>
      <c r="U10" s="53">
        <f>IF($J10="","",ROUND(($J10-$J$3)/1000,1)+(_xlfn.RANK.AVG($J10,($J10,$O10,$T10),1)-2)*10)</f>
        <v>-24.7</v>
      </c>
      <c r="V10" s="54">
        <f>IF($O10="","",ROUND(($O10-$O$3)/1000,1)+(_xlfn.RANK.AVG($O10,($J10,$O10,$T10),1)-2)*10)</f>
        <v>32.200000000000003</v>
      </c>
      <c r="W10" s="55">
        <f>IF($T10="","",ROUND(($T10-$T$3)/1000,1)+(_xlfn.RANK.AVG($T10,($J10,$O10,$T10),1)-2)*10)</f>
        <v>-7.5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196</v>
      </c>
      <c r="BV10" s="41" t="s">
        <v>82</v>
      </c>
      <c r="BW10" s="41" t="s">
        <v>79</v>
      </c>
      <c r="BX10" s="41" t="s">
        <v>79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たか</v>
      </c>
      <c r="F11" s="8"/>
      <c r="G11" s="9"/>
      <c r="H11" s="9"/>
      <c r="I11" s="48"/>
      <c r="J11" s="21">
        <f t="shared" si="2"/>
        <v>20300</v>
      </c>
      <c r="K11" s="8" t="s">
        <v>195</v>
      </c>
      <c r="L11" s="9">
        <v>-11600</v>
      </c>
      <c r="M11" s="9"/>
      <c r="N11" s="48">
        <v>0</v>
      </c>
      <c r="O11" s="21">
        <f t="shared" si="3"/>
        <v>45600</v>
      </c>
      <c r="P11" s="8" t="s">
        <v>194</v>
      </c>
      <c r="Q11" s="9">
        <v>11600</v>
      </c>
      <c r="R11" s="9"/>
      <c r="S11" s="48">
        <v>0</v>
      </c>
      <c r="T11" s="21">
        <f t="shared" si="4"/>
        <v>39100</v>
      </c>
      <c r="U11" s="53">
        <f>IF($J11="","",ROUND(($J11-$J$3)/1000,1)+(_xlfn.RANK.AVG($J11,($J11,$O11,$T11),1)-2)*10)</f>
        <v>-24.7</v>
      </c>
      <c r="V11" s="54">
        <f>IF($O11="","",ROUND(($O11-$O$3)/1000,1)+(_xlfn.RANK.AVG($O11,($J11,$O11,$T11),1)-2)*10)</f>
        <v>20.6</v>
      </c>
      <c r="W11" s="55">
        <f>IF($T11="","",ROUND(($T11-$T$3)/1000,1)+(_xlfn.RANK.AVG($T11,($J11,$O11,$T11),1)-2)*10)</f>
        <v>4.0999999999999996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30</v>
      </c>
      <c r="BU11" s="40" t="s">
        <v>196</v>
      </c>
      <c r="BV11" s="41" t="s">
        <v>197</v>
      </c>
      <c r="BW11" s="41" t="s">
        <v>83</v>
      </c>
      <c r="BX11" s="41" t="s">
        <v>79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tr">
        <f>IF($P$1="","",$P$1)</f>
        <v>たか</v>
      </c>
      <c r="F12" s="8" t="s">
        <v>203</v>
      </c>
      <c r="G12" s="9">
        <v>0</v>
      </c>
      <c r="H12" s="9"/>
      <c r="I12" s="48"/>
      <c r="J12" s="21">
        <f t="shared" si="2"/>
        <v>20300</v>
      </c>
      <c r="K12" s="8" t="s">
        <v>203</v>
      </c>
      <c r="L12" s="9">
        <v>0</v>
      </c>
      <c r="M12" s="9"/>
      <c r="N12" s="48"/>
      <c r="O12" s="21">
        <f t="shared" si="3"/>
        <v>45600</v>
      </c>
      <c r="P12" s="8" t="s">
        <v>203</v>
      </c>
      <c r="Q12" s="9">
        <v>0</v>
      </c>
      <c r="R12" s="9"/>
      <c r="S12" s="48"/>
      <c r="T12" s="21">
        <f t="shared" si="4"/>
        <v>39100</v>
      </c>
      <c r="U12" s="53">
        <f>IF($J12="","",ROUND(($J12-$J$3)/1000,1)+(_xlfn.RANK.AVG($J12,($J12,$O12,$T12),1)-2)*10)</f>
        <v>-24.7</v>
      </c>
      <c r="V12" s="54">
        <f>IF($O12="","",ROUND(($O12-$O$3)/1000,1)+(_xlfn.RANK.AVG($O12,($J12,$O12,$T12),1)-2)*10)</f>
        <v>20.6</v>
      </c>
      <c r="W12" s="55">
        <f>IF($T12="","",ROUND(($T12-$T$3)/1000,1)+(_xlfn.RANK.AVG($T12,($J12,$O12,$T12),1)-2)*10)</f>
        <v>4.0999999999999996</v>
      </c>
      <c r="Y12" s="8" t="s">
        <v>202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202</v>
      </c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202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AFA146B-994D-4E6E-9621-A1AC32C36FBB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D2564-18EE-4AFF-9AF8-5914C9B32D5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 t="s">
        <v>198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199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198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-14.8</v>
      </c>
      <c r="V4" s="54">
        <f>IF($O4="","",ROUND(($O4-$O$3)/1000,1)+(_xlfn.RANK.AVG($O4,($J4,$O4,$T4),1)-2)*10)</f>
        <v>17.7</v>
      </c>
      <c r="W4" s="55">
        <f>IF($T4="","",ROUND(($T4-$T$3)/1000,1)+(_xlfn.RANK.AVG($T4,($J4,$O4,$T4),1)-2)*10)</f>
        <v>-2.9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104</v>
      </c>
      <c r="BA4" s="41" t="s">
        <v>86</v>
      </c>
      <c r="BB4" s="41" t="s">
        <v>201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れんたろう</v>
      </c>
      <c r="F5" s="8"/>
      <c r="G5" s="9"/>
      <c r="H5" s="9"/>
      <c r="I5" s="48"/>
      <c r="J5" s="21">
        <f t="shared" ref="J5:J30" si="2">IF(COUNTA($F5,$K5,$P5)&gt;0,J4+SUM(G5:I5),"")</f>
        <v>30200</v>
      </c>
      <c r="K5" s="8" t="s">
        <v>194</v>
      </c>
      <c r="L5" s="9">
        <v>12000</v>
      </c>
      <c r="M5" s="9"/>
      <c r="N5" s="48">
        <v>0</v>
      </c>
      <c r="O5" s="21">
        <f t="shared" ref="O5:O30" si="3">IF(COUNTA($F5,$K5,$P5)&gt;0,O4+SUM(L5:N5),"")</f>
        <v>54700</v>
      </c>
      <c r="P5" s="8" t="s">
        <v>195</v>
      </c>
      <c r="Q5" s="9">
        <v>-12000</v>
      </c>
      <c r="R5" s="9"/>
      <c r="S5" s="48">
        <v>0</v>
      </c>
      <c r="T5" s="21">
        <f t="shared" ref="T5:T30" si="4">IF(COUNTA($F5,$K5,$P5)&gt;0,T4+SUM(Q5:S5),"")</f>
        <v>20100</v>
      </c>
      <c r="U5" s="53">
        <f>IF($J5="","",ROUND(($J5-$J$3)/1000,1)+(_xlfn.RANK.AVG($J5,($J5,$O5,$T5),1)-2)*10)</f>
        <v>-4.8</v>
      </c>
      <c r="V5" s="54">
        <f>IF($O5="","",ROUND(($O5-$O$3)/1000,1)+(_xlfn.RANK.AVG($O5,($J5,$O5,$T5),1)-2)*10)</f>
        <v>29.7</v>
      </c>
      <c r="W5" s="55">
        <f>IF($T5="","",ROUND(($T5-$T$3)/1000,1)+(_xlfn.RANK.AVG($T5,($J5,$O5,$T5),1)-2)*10)</f>
        <v>-24.9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200</v>
      </c>
      <c r="AZ5" s="40" t="s">
        <v>196</v>
      </c>
      <c r="BA5" s="41" t="s">
        <v>86</v>
      </c>
      <c r="BB5" s="41" t="s">
        <v>79</v>
      </c>
      <c r="BC5" s="41" t="s">
        <v>80</v>
      </c>
      <c r="BD5" s="41" t="s">
        <v>80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れんたろう</v>
      </c>
      <c r="F6" s="8" t="s">
        <v>195</v>
      </c>
      <c r="G6" s="9">
        <v>-11600</v>
      </c>
      <c r="H6" s="9"/>
      <c r="I6" s="48">
        <v>-1000</v>
      </c>
      <c r="J6" s="21">
        <f t="shared" si="2"/>
        <v>17600</v>
      </c>
      <c r="K6" s="8" t="s">
        <v>194</v>
      </c>
      <c r="L6" s="9">
        <v>11600</v>
      </c>
      <c r="M6" s="9"/>
      <c r="N6" s="48">
        <v>1000</v>
      </c>
      <c r="O6" s="21">
        <f t="shared" si="3"/>
        <v>67300</v>
      </c>
      <c r="P6" s="8"/>
      <c r="Q6" s="9"/>
      <c r="R6" s="9"/>
      <c r="S6" s="48"/>
      <c r="T6" s="21">
        <f t="shared" si="4"/>
        <v>20100</v>
      </c>
      <c r="U6" s="53">
        <f>IF($J6="","",ROUND(($J6-$J$3)/1000,1)+(_xlfn.RANK.AVG($J6,($J6,$O6,$T6),1)-2)*10)</f>
        <v>-27.4</v>
      </c>
      <c r="V6" s="54">
        <f>IF($O6="","",ROUND(($O6-$O$3)/1000,1)+(_xlfn.RANK.AVG($O6,($J6,$O6,$T6),1)-2)*10)</f>
        <v>42.3</v>
      </c>
      <c r="W6" s="55">
        <f>IF($T6="","",ROUND(($T6-$T$3)/1000,1)+(_xlfn.RANK.AVG($T6,($J6,$O6,$T6),1)-2)*10)</f>
        <v>-14.9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4</v>
      </c>
      <c r="AY6" s="30">
        <v>30</v>
      </c>
      <c r="AZ6" s="40" t="s">
        <v>196</v>
      </c>
      <c r="BA6" s="41" t="s">
        <v>83</v>
      </c>
      <c r="BB6" s="41" t="s">
        <v>79</v>
      </c>
      <c r="BC6" s="41" t="s">
        <v>80</v>
      </c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tr">
        <f>IF($K$1="","",$K$1)</f>
        <v>れんたろう</v>
      </c>
      <c r="F7" s="8" t="s">
        <v>194</v>
      </c>
      <c r="G7" s="9">
        <v>8000</v>
      </c>
      <c r="H7" s="9">
        <v>1000</v>
      </c>
      <c r="I7" s="48">
        <v>2000</v>
      </c>
      <c r="J7" s="21">
        <f t="shared" si="2"/>
        <v>28600</v>
      </c>
      <c r="K7" s="8" t="s">
        <v>195</v>
      </c>
      <c r="L7" s="9">
        <v>-8000</v>
      </c>
      <c r="M7" s="9">
        <v>-1000</v>
      </c>
      <c r="N7" s="48">
        <v>-2000</v>
      </c>
      <c r="O7" s="21">
        <f t="shared" si="3"/>
        <v>56300</v>
      </c>
      <c r="P7" s="8"/>
      <c r="Q7" s="9"/>
      <c r="R7" s="9"/>
      <c r="S7" s="48"/>
      <c r="T7" s="21">
        <f t="shared" si="4"/>
        <v>20100</v>
      </c>
      <c r="U7" s="53">
        <f>IF($J7="","",ROUND(($J7-$J$3)/1000,1)+(_xlfn.RANK.AVG($J7,($J7,$O7,$T7),1)-2)*10)</f>
        <v>-6.4</v>
      </c>
      <c r="V7" s="54">
        <f>IF($O7="","",ROUND(($O7-$O$3)/1000,1)+(_xlfn.RANK.AVG($O7,($J7,$O7,$T7),1)-2)*10)</f>
        <v>31.3</v>
      </c>
      <c r="W7" s="55">
        <f>IF($T7="","",ROUND(($T7-$T$3)/1000,1)+(_xlfn.RANK.AVG($T7,($J7,$O7,$T7),1)-2)*10)</f>
        <v>-24.9</v>
      </c>
      <c r="Y7" s="8"/>
      <c r="Z7" s="34"/>
      <c r="AA7" s="26"/>
      <c r="AB7" s="26"/>
      <c r="AC7" s="26">
        <v>3</v>
      </c>
      <c r="AD7" s="30">
        <v>80</v>
      </c>
      <c r="AE7" s="40" t="s">
        <v>86</v>
      </c>
      <c r="AF7" s="41" t="s">
        <v>96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tr">
        <f>IF($P$1="","",$P$1)</f>
        <v>だいち</v>
      </c>
      <c r="F8" s="8" t="s">
        <v>205</v>
      </c>
      <c r="G8" s="9">
        <v>1500</v>
      </c>
      <c r="H8" s="9">
        <v>-1000</v>
      </c>
      <c r="I8" s="48"/>
      <c r="J8" s="21">
        <f t="shared" si="2"/>
        <v>29100</v>
      </c>
      <c r="K8" s="8" t="s">
        <v>205</v>
      </c>
      <c r="L8" s="9">
        <v>1500</v>
      </c>
      <c r="M8" s="9">
        <v>-1000</v>
      </c>
      <c r="N8" s="48"/>
      <c r="O8" s="21">
        <f t="shared" si="3"/>
        <v>56800</v>
      </c>
      <c r="P8" s="8" t="s">
        <v>205</v>
      </c>
      <c r="Q8" s="9">
        <v>-3000</v>
      </c>
      <c r="R8" s="9"/>
      <c r="S8" s="48"/>
      <c r="T8" s="21">
        <f t="shared" si="4"/>
        <v>17100</v>
      </c>
      <c r="U8" s="53">
        <f>IF($J8="","",ROUND(($J8-$J$3)/1000,1)+(_xlfn.RANK.AVG($J8,($J8,$O8,$T8),1)-2)*10)</f>
        <v>-5.9</v>
      </c>
      <c r="V8" s="54">
        <f>IF($O8="","",ROUND(($O8-$O$3)/1000,1)+(_xlfn.RANK.AVG($O8,($J8,$O8,$T8),1)-2)*10)</f>
        <v>31.8</v>
      </c>
      <c r="W8" s="55">
        <f>IF($T8="","",ROUND(($T8-$T$3)/1000,1)+(_xlfn.RANK.AVG($T8,($J8,$O8,$T8),1)-2)*10)</f>
        <v>-27.9</v>
      </c>
      <c r="Y8" s="8" t="s">
        <v>204</v>
      </c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204</v>
      </c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2</v>
      </c>
      <c r="E9" s="4" t="str">
        <f>IF($F$1="","",$F$1)</f>
        <v>たか</v>
      </c>
      <c r="F9" s="8" t="s">
        <v>198</v>
      </c>
      <c r="G9" s="9">
        <v>-7500</v>
      </c>
      <c r="H9" s="9"/>
      <c r="I9" s="48">
        <v>-500</v>
      </c>
      <c r="J9" s="21">
        <f t="shared" si="2"/>
        <v>21100</v>
      </c>
      <c r="K9" s="8" t="s">
        <v>198</v>
      </c>
      <c r="L9" s="9">
        <v>-4500</v>
      </c>
      <c r="M9" s="9"/>
      <c r="N9" s="48">
        <v>-500</v>
      </c>
      <c r="O9" s="21">
        <f t="shared" si="3"/>
        <v>51800</v>
      </c>
      <c r="P9" s="8" t="s">
        <v>199</v>
      </c>
      <c r="Q9" s="9">
        <v>12000</v>
      </c>
      <c r="R9" s="9">
        <v>2000</v>
      </c>
      <c r="S9" s="48">
        <v>1000</v>
      </c>
      <c r="T9" s="21">
        <f t="shared" si="4"/>
        <v>32100</v>
      </c>
      <c r="U9" s="53">
        <f>IF($J9="","",ROUND(($J9-$J$3)/1000,1)+(_xlfn.RANK.AVG($J9,($J9,$O9,$T9),1)-2)*10)</f>
        <v>-23.9</v>
      </c>
      <c r="V9" s="54">
        <f>IF($O9="","",ROUND(($O9-$O$3)/1000,1)+(_xlfn.RANK.AVG($O9,($J9,$O9,$T9),1)-2)*10)</f>
        <v>26.8</v>
      </c>
      <c r="W9" s="55">
        <f>IF($T9="","",ROUND(($T9-$T$3)/1000,1)+(_xlfn.RANK.AVG($T9,($J9,$O9,$T9),1)-2)*10)</f>
        <v>-2.9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6</v>
      </c>
      <c r="BT9" s="30" t="s">
        <v>200</v>
      </c>
      <c r="BU9" s="40" t="s">
        <v>206</v>
      </c>
      <c r="BV9" s="41" t="s">
        <v>85</v>
      </c>
      <c r="BW9" s="41" t="s">
        <v>83</v>
      </c>
      <c r="BX9" s="41" t="s">
        <v>82</v>
      </c>
      <c r="BY9" s="41" t="s">
        <v>84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れんたろう</v>
      </c>
      <c r="F10" s="8" t="s">
        <v>198</v>
      </c>
      <c r="G10" s="9">
        <v>-6000</v>
      </c>
      <c r="H10" s="9"/>
      <c r="I10" s="48">
        <v>0</v>
      </c>
      <c r="J10" s="21">
        <f t="shared" si="2"/>
        <v>15100</v>
      </c>
      <c r="K10" s="8" t="s">
        <v>198</v>
      </c>
      <c r="L10" s="9">
        <v>-10000</v>
      </c>
      <c r="M10" s="9"/>
      <c r="N10" s="48">
        <v>0</v>
      </c>
      <c r="O10" s="21">
        <f t="shared" si="3"/>
        <v>41800</v>
      </c>
      <c r="P10" s="8" t="s">
        <v>199</v>
      </c>
      <c r="Q10" s="9">
        <v>16000</v>
      </c>
      <c r="R10" s="9"/>
      <c r="S10" s="48">
        <v>0</v>
      </c>
      <c r="T10" s="21">
        <f t="shared" si="4"/>
        <v>48100</v>
      </c>
      <c r="U10" s="53">
        <f>IF($J10="","",ROUND(($J10-$J$3)/1000,1)+(_xlfn.RANK.AVG($J10,($J10,$O10,$T10),1)-2)*10)</f>
        <v>-29.9</v>
      </c>
      <c r="V10" s="54">
        <f>IF($O10="","",ROUND(($O10-$O$3)/1000,1)+(_xlfn.RANK.AVG($O10,($J10,$O10,$T10),1)-2)*10)</f>
        <v>6.8</v>
      </c>
      <c r="W10" s="55">
        <f>IF($T10="","",ROUND(($T10-$T$3)/1000,1)+(_xlfn.RANK.AVG($T10,($J10,$O10,$T10),1)-2)*10)</f>
        <v>23.1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9</v>
      </c>
      <c r="BT10" s="30" t="s">
        <v>200</v>
      </c>
      <c r="BU10" s="40" t="s">
        <v>196</v>
      </c>
      <c r="BV10" s="41" t="s">
        <v>82</v>
      </c>
      <c r="BW10" s="41" t="s">
        <v>84</v>
      </c>
      <c r="BX10" s="41" t="s">
        <v>79</v>
      </c>
      <c r="BY10" s="41" t="s">
        <v>79</v>
      </c>
      <c r="BZ10" s="41" t="s">
        <v>80</v>
      </c>
      <c r="CA10" s="41" t="s">
        <v>80</v>
      </c>
      <c r="CB10" s="41" t="s">
        <v>80</v>
      </c>
      <c r="CC10" s="41" t="s">
        <v>80</v>
      </c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だいち</v>
      </c>
      <c r="F11" s="8" t="s">
        <v>195</v>
      </c>
      <c r="G11" s="9">
        <v>-8000</v>
      </c>
      <c r="H11" s="9"/>
      <c r="I11" s="48">
        <v>0</v>
      </c>
      <c r="J11" s="21">
        <f t="shared" si="2"/>
        <v>7100</v>
      </c>
      <c r="K11" s="8" t="s">
        <v>194</v>
      </c>
      <c r="L11" s="9">
        <v>8000</v>
      </c>
      <c r="M11" s="9"/>
      <c r="N11" s="48">
        <v>0</v>
      </c>
      <c r="O11" s="21">
        <f t="shared" si="3"/>
        <v>49800</v>
      </c>
      <c r="P11" s="8"/>
      <c r="Q11" s="9"/>
      <c r="R11" s="9"/>
      <c r="S11" s="48"/>
      <c r="T11" s="21">
        <f t="shared" si="4"/>
        <v>48100</v>
      </c>
      <c r="U11" s="53">
        <f>IF($J11="","",ROUND(($J11-$J$3)/1000,1)+(_xlfn.RANK.AVG($J11,($J11,$O11,$T11),1)-2)*10)</f>
        <v>-37.9</v>
      </c>
      <c r="V11" s="54">
        <f>IF($O11="","",ROUND(($O11-$O$3)/1000,1)+(_xlfn.RANK.AVG($O11,($J11,$O11,$T11),1)-2)*10)</f>
        <v>24.8</v>
      </c>
      <c r="W11" s="55">
        <f>IF($T11="","",ROUND(($T11-$T$3)/1000,1)+(_xlfn.RANK.AVG($T11,($J11,$O11,$T11),1)-2)*10)</f>
        <v>13.1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5</v>
      </c>
      <c r="AY11" s="30" t="s">
        <v>200</v>
      </c>
      <c r="AZ11" s="40" t="s">
        <v>104</v>
      </c>
      <c r="BA11" s="41" t="s">
        <v>86</v>
      </c>
      <c r="BB11" s="41" t="s">
        <v>93</v>
      </c>
      <c r="BC11" s="41" t="s">
        <v>79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7C17F1DA-DCEA-46A1-A4EF-90E2DFDAF240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DC936E28-E2E1-4F03-A627-E71293950E91}">
      <formula1>"ロン,ツモ,放銃,ツモ支払,流局,チョンボ"</formula1>
    </dataValidation>
    <dataValidation type="list" allowBlank="1" showInputMessage="1" showErrorMessage="1" sqref="E4:E30" xr:uid="{62ACA328-4AA0-4A26-9EA5-322FEAA8C0D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8C99-1D6D-4965-B60C-5DB4D2CEA507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193</v>
      </c>
      <c r="G1" s="72"/>
      <c r="H1" s="72"/>
      <c r="I1" s="73"/>
      <c r="J1" s="74"/>
      <c r="K1" s="71" t="s">
        <v>191</v>
      </c>
      <c r="L1" s="72"/>
      <c r="M1" s="72"/>
      <c r="N1" s="73"/>
      <c r="O1" s="74"/>
      <c r="P1" s="71" t="s">
        <v>192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</v>
      </c>
      <c r="V2" s="70" t="str">
        <f>$K$1</f>
        <v>だいち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 t="s">
        <v>205</v>
      </c>
      <c r="G4" s="9">
        <v>-1500</v>
      </c>
      <c r="H4" s="9"/>
      <c r="I4" s="48"/>
      <c r="J4" s="21">
        <f>IF(COUNTA($F4,$K4,$P4)&gt;0,J3+SUM(G4:I4),"")</f>
        <v>33500</v>
      </c>
      <c r="K4" s="8" t="s">
        <v>205</v>
      </c>
      <c r="L4" s="9">
        <v>3000</v>
      </c>
      <c r="M4" s="9">
        <v>-1000</v>
      </c>
      <c r="N4" s="48"/>
      <c r="O4" s="21">
        <f>IF(COUNTA($F4,$K4,$P4)&gt;0,O3+SUM(L4:N4),"")</f>
        <v>37000</v>
      </c>
      <c r="P4" s="8" t="s">
        <v>205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12</v>
      </c>
      <c r="W4" s="55">
        <f>IF($T4="","",ROUND(($T4-$T$3)/1000,1)+(_xlfn.RANK.AVG($T4,($J4,$O4,$T4),1)-2)*10)</f>
        <v>-6.5</v>
      </c>
      <c r="Y4" s="8" t="s">
        <v>202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204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202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IF($K$1="","",$K$1)</f>
        <v>だいち</v>
      </c>
      <c r="F5" s="8" t="s">
        <v>195</v>
      </c>
      <c r="G5" s="9">
        <v>-11600</v>
      </c>
      <c r="H5" s="9"/>
      <c r="I5" s="48">
        <v>-1000</v>
      </c>
      <c r="J5" s="21">
        <f t="shared" ref="J5:J30" si="2">IF(COUNTA($F5,$K5,$P5)&gt;0,J4+SUM(G5:I5),"")</f>
        <v>20900</v>
      </c>
      <c r="K5" s="8" t="s">
        <v>194</v>
      </c>
      <c r="L5" s="9">
        <v>11600</v>
      </c>
      <c r="M5" s="9">
        <v>1000</v>
      </c>
      <c r="N5" s="48">
        <v>1000</v>
      </c>
      <c r="O5" s="21">
        <f t="shared" ref="O5:O30" si="3">IF(COUNTA($F5,$K5,$P5)&gt;0,O4+SUM(L5:N5),"")</f>
        <v>50600</v>
      </c>
      <c r="P5" s="8"/>
      <c r="Q5" s="9"/>
      <c r="R5" s="9"/>
      <c r="S5" s="48"/>
      <c r="T5" s="21">
        <f t="shared" ref="T5:T30" si="4">IF(COUNTA($F5,$K5,$P5)&gt;0,T4+SUM(Q5:S5),"")</f>
        <v>33500</v>
      </c>
      <c r="U5" s="53">
        <f>IF($J5="","",ROUND(($J5-$J$3)/1000,1)+(_xlfn.RANK.AVG($J5,($J5,$O5,$T5),1)-2)*10)</f>
        <v>-24.1</v>
      </c>
      <c r="V5" s="54">
        <f>IF($O5="","",ROUND(($O5-$O$3)/1000,1)+(_xlfn.RANK.AVG($O5,($J5,$O5,$T5),1)-2)*10)</f>
        <v>25.6</v>
      </c>
      <c r="W5" s="55">
        <f>IF($T5="","",ROUND(($T5-$T$3)/1000,1)+(_xlfn.RANK.AVG($T5,($J5,$O5,$T5),1)-2)*10)</f>
        <v>-1.5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86</v>
      </c>
      <c r="BA5" s="41" t="s">
        <v>201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IF($K$1="","",$K$1)</f>
        <v>だいち</v>
      </c>
      <c r="F6" s="8" t="s">
        <v>194</v>
      </c>
      <c r="G6" s="9">
        <v>8000</v>
      </c>
      <c r="H6" s="9"/>
      <c r="I6" s="48">
        <v>2000</v>
      </c>
      <c r="J6" s="21">
        <f t="shared" si="2"/>
        <v>30900</v>
      </c>
      <c r="K6" s="8"/>
      <c r="L6" s="9"/>
      <c r="M6" s="9"/>
      <c r="N6" s="48"/>
      <c r="O6" s="21">
        <f t="shared" si="3"/>
        <v>50600</v>
      </c>
      <c r="P6" s="8" t="s">
        <v>195</v>
      </c>
      <c r="Q6" s="9">
        <v>-8000</v>
      </c>
      <c r="R6" s="9"/>
      <c r="S6" s="48">
        <v>-2000</v>
      </c>
      <c r="T6" s="21">
        <f t="shared" si="4"/>
        <v>23500</v>
      </c>
      <c r="U6" s="53">
        <f>IF($J6="","",ROUND(($J6-$J$3)/1000,1)+(_xlfn.RANK.AVG($J6,($J6,$O6,$T6),1)-2)*10)</f>
        <v>-4.0999999999999996</v>
      </c>
      <c r="V6" s="54">
        <f>IF($O6="","",ROUND(($O6-$O$3)/1000,1)+(_xlfn.RANK.AVG($O6,($J6,$O6,$T6),1)-2)*10)</f>
        <v>25.6</v>
      </c>
      <c r="W6" s="55">
        <f>IF($T6="","",ROUND(($T6-$T$3)/1000,1)+(_xlfn.RANK.AVG($T6,($J6,$O6,$T6),1)-2)*10)</f>
        <v>-21.5</v>
      </c>
      <c r="Y6" s="8"/>
      <c r="Z6" s="34"/>
      <c r="AA6" s="26"/>
      <c r="AB6" s="26"/>
      <c r="AC6" s="26">
        <v>4</v>
      </c>
      <c r="AD6" s="30">
        <v>40</v>
      </c>
      <c r="AE6" s="40" t="s">
        <v>104</v>
      </c>
      <c r="AF6" s="41" t="s">
        <v>201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れんたろう</v>
      </c>
      <c r="F7" s="8" t="s">
        <v>195</v>
      </c>
      <c r="G7" s="9">
        <v>-18000</v>
      </c>
      <c r="H7" s="9"/>
      <c r="I7" s="48">
        <v>0</v>
      </c>
      <c r="J7" s="21">
        <f t="shared" si="2"/>
        <v>12900</v>
      </c>
      <c r="K7" s="8"/>
      <c r="L7" s="9"/>
      <c r="M7" s="9"/>
      <c r="N7" s="48"/>
      <c r="O7" s="21">
        <f t="shared" si="3"/>
        <v>50600</v>
      </c>
      <c r="P7" s="8" t="s">
        <v>194</v>
      </c>
      <c r="Q7" s="9">
        <v>18000</v>
      </c>
      <c r="R7" s="9"/>
      <c r="S7" s="48">
        <v>0</v>
      </c>
      <c r="T7" s="21">
        <f t="shared" si="4"/>
        <v>41500</v>
      </c>
      <c r="U7" s="53">
        <f>IF($J7="","",ROUND(($J7-$J$3)/1000,1)+(_xlfn.RANK.AVG($J7,($J7,$O7,$T7),1)-2)*10)</f>
        <v>-32.1</v>
      </c>
      <c r="V7" s="54">
        <f>IF($O7="","",ROUND(($O7-$O$3)/1000,1)+(_xlfn.RANK.AVG($O7,($J7,$O7,$T7),1)-2)*10)</f>
        <v>25.6</v>
      </c>
      <c r="W7" s="55">
        <f>IF($T7="","",ROUND(($T7-$T$3)/1000,1)+(_xlfn.RANK.AVG($T7,($J7,$O7,$T7),1)-2)*10)</f>
        <v>6.5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200</v>
      </c>
      <c r="BU7" s="40" t="s">
        <v>86</v>
      </c>
      <c r="BV7" s="41" t="s">
        <v>86</v>
      </c>
      <c r="BW7" s="41" t="s">
        <v>104</v>
      </c>
      <c r="BX7" s="41" t="s">
        <v>201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tr">
        <f>IF($P$1="","",$P$1)</f>
        <v>れんたろう</v>
      </c>
      <c r="F8" s="8" t="s">
        <v>205</v>
      </c>
      <c r="G8" s="9">
        <v>3000</v>
      </c>
      <c r="H8" s="9"/>
      <c r="I8" s="48"/>
      <c r="J8" s="21">
        <f t="shared" si="2"/>
        <v>15900</v>
      </c>
      <c r="K8" s="8" t="s">
        <v>205</v>
      </c>
      <c r="L8" s="9">
        <v>-1500</v>
      </c>
      <c r="M8" s="9"/>
      <c r="N8" s="48"/>
      <c r="O8" s="21">
        <f t="shared" si="3"/>
        <v>49100</v>
      </c>
      <c r="P8" s="8" t="s">
        <v>205</v>
      </c>
      <c r="Q8" s="9">
        <v>-1500</v>
      </c>
      <c r="R8" s="9"/>
      <c r="S8" s="48"/>
      <c r="T8" s="21">
        <f t="shared" si="4"/>
        <v>40000</v>
      </c>
      <c r="U8" s="53">
        <f>IF($J8="","",ROUND(($J8-$J$3)/1000,1)+(_xlfn.RANK.AVG($J8,($J8,$O8,$T8),1)-2)*10)</f>
        <v>-29.1</v>
      </c>
      <c r="V8" s="54">
        <f>IF($O8="","",ROUND(($O8-$O$3)/1000,1)+(_xlfn.RANK.AVG($O8,($J8,$O8,$T8),1)-2)*10)</f>
        <v>24.1</v>
      </c>
      <c r="W8" s="55">
        <f>IF($T8="","",ROUND(($T8-$T$3)/1000,1)+(_xlfn.RANK.AVG($T8,($J8,$O8,$T8),1)-2)*10)</f>
        <v>5</v>
      </c>
      <c r="Y8" s="8" t="s">
        <v>204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0</v>
      </c>
      <c r="E9" s="4" t="str">
        <f>IF($F$1="","",$F$1)</f>
        <v>たか</v>
      </c>
      <c r="F9" s="8" t="s">
        <v>198</v>
      </c>
      <c r="G9" s="9">
        <v>-1300</v>
      </c>
      <c r="H9" s="9"/>
      <c r="I9" s="48">
        <v>-1000</v>
      </c>
      <c r="J9" s="21">
        <f t="shared" si="2"/>
        <v>13600</v>
      </c>
      <c r="K9" s="8" t="s">
        <v>198</v>
      </c>
      <c r="L9" s="9">
        <v>-800</v>
      </c>
      <c r="M9" s="9">
        <v>-1000</v>
      </c>
      <c r="N9" s="48">
        <v>-1000</v>
      </c>
      <c r="O9" s="21">
        <f t="shared" si="3"/>
        <v>46300</v>
      </c>
      <c r="P9" s="8" t="s">
        <v>199</v>
      </c>
      <c r="Q9" s="9">
        <v>2100</v>
      </c>
      <c r="R9" s="9">
        <v>1000</v>
      </c>
      <c r="S9" s="48">
        <v>2000</v>
      </c>
      <c r="T9" s="21">
        <f t="shared" si="4"/>
        <v>45100</v>
      </c>
      <c r="U9" s="53">
        <f>IF($J9="","",ROUND(($J9-$J$3)/1000,1)+(_xlfn.RANK.AVG($J9,($J9,$O9,$T9),1)-2)*10)</f>
        <v>-31.4</v>
      </c>
      <c r="V9" s="54">
        <f>IF($O9="","",ROUND(($O9-$O$3)/1000,1)+(_xlfn.RANK.AVG($O9,($J9,$O9,$T9),1)-2)*10)</f>
        <v>21.3</v>
      </c>
      <c r="W9" s="55">
        <f>IF($T9="","",ROUND(($T9-$T$3)/1000,1)+(_xlfn.RANK.AVG($T9,($J9,$O9,$T9),1)-2)*10)</f>
        <v>10.1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2</v>
      </c>
      <c r="BT9" s="30">
        <v>30</v>
      </c>
      <c r="BU9" s="40" t="s">
        <v>82</v>
      </c>
      <c r="BV9" s="41" t="s">
        <v>201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だいち</v>
      </c>
      <c r="F10" s="8"/>
      <c r="G10" s="9"/>
      <c r="H10" s="9">
        <v>-1000</v>
      </c>
      <c r="I10" s="48"/>
      <c r="J10" s="21">
        <f t="shared" si="2"/>
        <v>12600</v>
      </c>
      <c r="K10" s="8" t="s">
        <v>194</v>
      </c>
      <c r="L10" s="9">
        <v>1500</v>
      </c>
      <c r="M10" s="9">
        <v>1000</v>
      </c>
      <c r="N10" s="48">
        <v>0</v>
      </c>
      <c r="O10" s="21">
        <f t="shared" si="3"/>
        <v>48800</v>
      </c>
      <c r="P10" s="8" t="s">
        <v>195</v>
      </c>
      <c r="Q10" s="9">
        <v>-1500</v>
      </c>
      <c r="R10" s="9"/>
      <c r="S10" s="48">
        <v>0</v>
      </c>
      <c r="T10" s="21">
        <f t="shared" si="4"/>
        <v>43600</v>
      </c>
      <c r="U10" s="53">
        <f>IF($J10="","",ROUND(($J10-$J$3)/1000,1)+(_xlfn.RANK.AVG($J10,($J10,$O10,$T10),1)-2)*10)</f>
        <v>-32.4</v>
      </c>
      <c r="V10" s="54">
        <f>IF($O10="","",ROUND(($O10-$O$3)/1000,1)+(_xlfn.RANK.AVG($O10,($J10,$O10,$T10),1)-2)*10)</f>
        <v>23.8</v>
      </c>
      <c r="W10" s="55">
        <f>IF($T10="","",ROUND(($T10-$T$3)/1000,1)+(_xlfn.RANK.AVG($T10,($J10,$O10,$T10),1)-2)*10)</f>
        <v>8.6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1</v>
      </c>
      <c r="AY10" s="30">
        <v>30</v>
      </c>
      <c r="AZ10" s="40" t="s">
        <v>86</v>
      </c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だいち</v>
      </c>
      <c r="F11" s="8"/>
      <c r="G11" s="9"/>
      <c r="H11" s="9"/>
      <c r="I11" s="48"/>
      <c r="J11" s="21">
        <f t="shared" si="2"/>
        <v>12600</v>
      </c>
      <c r="K11" s="8" t="s">
        <v>195</v>
      </c>
      <c r="L11" s="9">
        <v>-12000</v>
      </c>
      <c r="M11" s="9"/>
      <c r="N11" s="48">
        <v>-1000</v>
      </c>
      <c r="O11" s="21">
        <f t="shared" si="3"/>
        <v>35800</v>
      </c>
      <c r="P11" s="8" t="s">
        <v>194</v>
      </c>
      <c r="Q11" s="9">
        <v>12000</v>
      </c>
      <c r="R11" s="9"/>
      <c r="S11" s="48">
        <v>1000</v>
      </c>
      <c r="T11" s="21">
        <f t="shared" si="4"/>
        <v>56600</v>
      </c>
      <c r="U11" s="53">
        <f>IF($J11="","",ROUND(($J11-$J$3)/1000,1)+(_xlfn.RANK.AVG($J11,($J11,$O11,$T11),1)-2)*10)</f>
        <v>-32.4</v>
      </c>
      <c r="V11" s="54">
        <f>IF($O11="","",ROUND(($O11-$O$3)/1000,1)+(_xlfn.RANK.AVG($O11,($J11,$O11,$T11),1)-2)*10)</f>
        <v>0.8</v>
      </c>
      <c r="W11" s="55">
        <f>IF($T11="","",ROUND(($T11-$T$3)/1000,1)+(_xlfn.RANK.AVG($T11,($J11,$O11,$T11),1)-2)*10)</f>
        <v>31.6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7</v>
      </c>
      <c r="BT11" s="30" t="s">
        <v>200</v>
      </c>
      <c r="BU11" s="40" t="s">
        <v>104</v>
      </c>
      <c r="BV11" s="41" t="s">
        <v>86</v>
      </c>
      <c r="BW11" s="41" t="s">
        <v>86</v>
      </c>
      <c r="BX11" s="41" t="s">
        <v>201</v>
      </c>
      <c r="BY11" s="41" t="s">
        <v>79</v>
      </c>
      <c r="BZ11" s="41" t="s">
        <v>79</v>
      </c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れんたろう</v>
      </c>
      <c r="F12" s="8" t="s">
        <v>198</v>
      </c>
      <c r="G12" s="9">
        <v>-9000</v>
      </c>
      <c r="H12" s="9"/>
      <c r="I12" s="48">
        <v>0</v>
      </c>
      <c r="J12" s="21">
        <f t="shared" si="2"/>
        <v>3600</v>
      </c>
      <c r="K12" s="8" t="s">
        <v>198</v>
      </c>
      <c r="L12" s="9">
        <v>-9000</v>
      </c>
      <c r="M12" s="9"/>
      <c r="N12" s="48">
        <v>0</v>
      </c>
      <c r="O12" s="21">
        <f t="shared" si="3"/>
        <v>26800</v>
      </c>
      <c r="P12" s="8" t="s">
        <v>199</v>
      </c>
      <c r="Q12" s="9">
        <v>18000</v>
      </c>
      <c r="R12" s="9"/>
      <c r="S12" s="48">
        <v>0</v>
      </c>
      <c r="T12" s="21">
        <f t="shared" si="4"/>
        <v>74600</v>
      </c>
      <c r="U12" s="53">
        <f>IF($J12="","",ROUND(($J12-$J$3)/1000,1)+(_xlfn.RANK.AVG($J12,($J12,$O12,$T12),1)-2)*10)</f>
        <v>-41.4</v>
      </c>
      <c r="V12" s="54">
        <f>IF($O12="","",ROUND(($O12-$O$3)/1000,1)+(_xlfn.RANK.AVG($O12,($J12,$O12,$T12),1)-2)*10)</f>
        <v>-8.1999999999999993</v>
      </c>
      <c r="W12" s="55">
        <f>IF($T12="","",ROUND(($T12-$T$3)/1000,1)+(_xlfn.RANK.AVG($T12,($J12,$O12,$T12),1)-2)*10)</f>
        <v>49.6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7</v>
      </c>
      <c r="BT12" s="30" t="s">
        <v>200</v>
      </c>
      <c r="BU12" s="40" t="s">
        <v>86</v>
      </c>
      <c r="BV12" s="41" t="s">
        <v>86</v>
      </c>
      <c r="BW12" s="41" t="s">
        <v>86</v>
      </c>
      <c r="BX12" s="41" t="s">
        <v>100</v>
      </c>
      <c r="BY12" s="41" t="s">
        <v>98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れんたろう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3F0F1BF4-4612-4E2E-A98B-7360188B95F0}">
      <formula1>$U$2:$W$2</formula1>
    </dataValidation>
    <dataValidation type="list" showInputMessage="1" showErrorMessage="1" sqref="K4:K30 P4:P30 F4:F30" xr:uid="{4EA649B8-0BA8-4814-B239-DAFD453C2C0A}">
      <formula1>"ロン,ツモ,放銃,ツモ支払,流局,チョンボ"</formula1>
    </dataValidation>
    <dataValidation type="list" allowBlank="1" showInputMessage="1" sqref="F1:T1" xr:uid="{8251CBE9-5B8B-4FB8-BD09-507881908358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2020-10-14T13:40:55Z</dcterms:modified>
</cp:coreProperties>
</file>