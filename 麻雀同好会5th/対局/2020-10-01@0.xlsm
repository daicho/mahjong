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431F5EED-E93C-4594-AB5E-8A3ABCB2AEA6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0" l="1"/>
  <c r="E14" i="20"/>
  <c r="B14" i="20" s="1"/>
  <c r="A14" i="20" s="1"/>
  <c r="E13" i="20"/>
  <c r="E12" i="20"/>
  <c r="C12" i="20" s="1"/>
  <c r="E11" i="20"/>
  <c r="E10" i="20"/>
  <c r="E9" i="20"/>
  <c r="E8" i="20"/>
  <c r="E7" i="20"/>
  <c r="E6" i="20"/>
  <c r="C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D14" i="20"/>
  <c r="C14" i="20"/>
  <c r="T13" i="20"/>
  <c r="O13" i="20"/>
  <c r="V13" i="20" s="1"/>
  <c r="J13" i="20"/>
  <c r="D13" i="20"/>
  <c r="C13" i="20"/>
  <c r="B13" i="20"/>
  <c r="A13" i="20" s="1"/>
  <c r="T12" i="20"/>
  <c r="W12" i="20" s="1"/>
  <c r="O12" i="20"/>
  <c r="V12" i="20" s="1"/>
  <c r="J12" i="20"/>
  <c r="D12" i="20"/>
  <c r="D11" i="20"/>
  <c r="D10" i="20"/>
  <c r="D9" i="20"/>
  <c r="D8" i="20"/>
  <c r="C8" i="20"/>
  <c r="B5" i="20"/>
  <c r="D5" i="20"/>
  <c r="C5" i="20"/>
  <c r="T4" i="20"/>
  <c r="T5" i="20" s="1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U14" i="20" l="1"/>
  <c r="W13" i="20"/>
  <c r="U13" i="20"/>
  <c r="U12" i="20"/>
  <c r="B12" i="20"/>
  <c r="A12" i="20"/>
  <c r="D6" i="20"/>
  <c r="J6" i="20"/>
  <c r="U5" i="20"/>
  <c r="O6" i="20"/>
  <c r="V5" i="20"/>
  <c r="T6" i="20"/>
  <c r="W5" i="20"/>
  <c r="B6" i="20"/>
  <c r="A7" i="20" s="1"/>
  <c r="U4" i="20"/>
  <c r="C9" i="20"/>
  <c r="C10" i="20" s="1"/>
  <c r="C11" i="20" s="1"/>
  <c r="W4" i="20"/>
  <c r="B7" i="20"/>
  <c r="B8" i="20" s="1"/>
  <c r="C7" i="20"/>
  <c r="V4" i="20"/>
  <c r="A5" i="20"/>
  <c r="D7" i="20"/>
  <c r="E4" i="19"/>
  <c r="A6" i="20" l="1"/>
  <c r="B9" i="20"/>
  <c r="A8" i="20"/>
  <c r="T7" i="20"/>
  <c r="W6" i="20"/>
  <c r="O7" i="20"/>
  <c r="V6" i="20"/>
  <c r="U6" i="20"/>
  <c r="J7" i="20"/>
  <c r="W3" i="19"/>
  <c r="V3" i="19"/>
  <c r="U3" i="19"/>
  <c r="B10" i="20" l="1"/>
  <c r="A10" i="20" s="1"/>
  <c r="J8" i="20"/>
  <c r="U7" i="20"/>
  <c r="A9" i="20"/>
  <c r="O8" i="20"/>
  <c r="V7" i="20"/>
  <c r="W7" i="20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9" i="20" l="1"/>
  <c r="V8" i="20"/>
  <c r="J9" i="20"/>
  <c r="U8" i="20"/>
  <c r="T9" i="20"/>
  <c r="W8" i="20"/>
  <c r="B11" i="20"/>
  <c r="A11" i="20" s="1"/>
  <c r="U11" i="19"/>
  <c r="V11" i="19"/>
  <c r="W11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0" i="20" l="1"/>
  <c r="V9" i="20"/>
  <c r="T10" i="20"/>
  <c r="W9" i="20"/>
  <c r="J10" i="20"/>
  <c r="U9" i="20"/>
  <c r="W5" i="19"/>
  <c r="V5" i="19"/>
  <c r="U5" i="19"/>
  <c r="O11" i="20" l="1"/>
  <c r="V10" i="20"/>
  <c r="J11" i="20"/>
  <c r="U10" i="20"/>
  <c r="T11" i="20"/>
  <c r="W10" i="20"/>
  <c r="U11" i="20" l="1"/>
  <c r="V11" i="20"/>
  <c r="W11" i="20"/>
</calcChain>
</file>

<file path=xl/sharedStrings.xml><?xml version="1.0" encoding="utf-8"?>
<sst xmlns="http://schemas.openxmlformats.org/spreadsheetml/2006/main" count="684" uniqueCount="205">
  <si>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</si>
  <si>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</si>
  <si>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</si>
  <si>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</si>
  <si>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</si>
  <si>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</si>
  <si>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</si>
  <si>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</si>
  <si>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</si>
  <si>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</si>
  <si>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</si>
  <si>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</si>
  <si>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</si>
  <si>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</si>
  <si>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</si>
  <si>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</si>
  <si>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</si>
  <si>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</si>
  <si>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</si>
  <si>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</si>
  <si>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</si>
  <si>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</si>
  <si>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</si>
  <si>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</si>
  <si>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</si>
  <si>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</si>
  <si>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</si>
  <si>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</si>
  <si>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</si>
  <si>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</si>
  <si>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</si>
  <si>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</si>
  <si>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</si>
  <si>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</si>
  <si>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</si>
  <si>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</si>
  <si>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</si>
  <si>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</si>
  <si>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</si>
  <si>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</si>
  <si>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</si>
  <si>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</si>
  <si>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</si>
  <si>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</si>
  <si>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</si>
  <si>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</si>
  <si>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</si>
  <si>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</si>
  <si>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</si>
  <si>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</si>
  <si>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</si>
  <si>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</si>
  <si>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</si>
  <si>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</si>
  <si>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</si>
  <si>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</si>
  <si>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</si>
  <si>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</si>
  <si>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</si>
  <si>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</si>
  <si>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</si>
  <si>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</si>
  <si>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</si>
  <si>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</si>
  <si>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</si>
  <si>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</si>
  <si>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</si>
  <si>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</si>
  <si>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</si>
  <si>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</si>
  <si>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</si>
  <si>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</si>
  <si>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</si>
  <si>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</si>
  <si>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</si>
  <si>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</si>
  <si>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</si>
  <si>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</si>
  <si>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</si>
  <si>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</si>
  <si>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</si>
  <si>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</si>
  <si>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</si>
  <si>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</si>
  <si>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</si>
  <si>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</si>
  <si>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</si>
  <si>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</si>
  <si>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</si>
  <si>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</si>
  <si>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</si>
  <si>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</si>
  <si>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</si>
  <si>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</si>
  <si>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</si>
  <si>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</si>
  <si>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</si>
  <si>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</si>
  <si>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</si>
  <si>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</si>
  <si>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</si>
  <si>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</si>
  <si>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</si>
  <si>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</si>
  <si>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</si>
  <si>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</si>
  <si>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</si>
  <si>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</si>
  <si>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</si>
  <si>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</si>
  <si>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</si>
  <si>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</si>
  <si>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</si>
  <si>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</si>
  <si>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</si>
  <si>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</si>
  <si>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</si>
  <si>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</si>
  <si>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</si>
  <si>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</si>
  <si>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</si>
  <si>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</si>
  <si>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</si>
  <si>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</si>
  <si>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</si>
  <si>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</si>
  <si>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</si>
  <si>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</si>
  <si>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</si>
  <si>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</si>
  <si>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</si>
  <si>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</si>
  <si>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</si>
  <si>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</si>
  <si>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</si>
  <si>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</si>
  <si>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</si>
  <si>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</si>
  <si>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</si>
  <si>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</si>
  <si>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</si>
  <si>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</si>
  <si>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</si>
  <si>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</si>
  <si>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</si>
  <si>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</si>
  <si>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</si>
  <si>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</si>
  <si>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</si>
  <si>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</si>
  <si>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</si>
  <si>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</si>
  <si>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</si>
  <si>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</si>
  <si>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</si>
  <si>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</si>
  <si>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</si>
  <si>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</si>
  <si>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</si>
  <si>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</si>
  <si>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</si>
  <si>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</si>
  <si>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</si>
  <si>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</si>
  <si>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</si>
  <si>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</si>
  <si>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</si>
  <si>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</si>
  <si>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</si>
  <si>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</si>
  <si>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</si>
  <si>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</si>
  <si>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</si>
  <si>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</si>
  <si>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</si>
  <si>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</si>
  <si>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</si>
  <si>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</si>
  <si>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</si>
  <si>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</si>
  <si>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</si>
  <si>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</si>
  <si>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</si>
  <si>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</si>
  <si>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</si>
  <si>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</si>
  <si>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</si>
  <si>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</si>
  <si>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</si>
  <si>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</si>
  <si>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</si>
  <si>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</si>
  <si>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ただ</t>
    <phoneticPr fontId="1"/>
  </si>
  <si>
    <t>たかの</t>
    <phoneticPr fontId="1"/>
  </si>
  <si>
    <t>放銃</t>
  </si>
  <si>
    <t>ロン</t>
  </si>
  <si>
    <t>52</t>
  </si>
  <si>
    <t>T</t>
  </si>
  <si>
    <t>N</t>
  </si>
  <si>
    <t>流局</t>
    <phoneticPr fontId="1"/>
  </si>
  <si>
    <t>*</t>
  </si>
  <si>
    <t>ツモ支払</t>
  </si>
  <si>
    <t>ツモ</t>
  </si>
  <si>
    <t>01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</si>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</sst>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-1000</v>
      </c>
      <c r="H4" s="9">
        <v>-1000</v>
      </c>
      <c r="I4" s="48">
        <v>0</v>
      </c>
      <c r="J4" s="21">
        <f>IF(COUNTA($F4,$K4,$P4)&gt;0,J3+SUM(G4:I4),"")</f>
        <v>33000</v>
      </c>
      <c r="K4" s="8" t="s">
        <v>195</v>
      </c>
      <c r="L4" s="9">
        <v>1000</v>
      </c>
      <c r="M4" s="9">
        <v>1000</v>
      </c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-2000</v>
      </c>
      <c r="H5" s="9"/>
      <c r="I5" s="48">
        <v>0</v>
      </c>
      <c r="J5" s="21">
        <f t="shared" ref="J5:J30" si="2">IF(COUNTA($F5,$K5,$P5)&gt;0,J4+SUM(G5:I5),"")</f>
        <v>31000</v>
      </c>
      <c r="K5" s="8"/>
      <c r="L5" s="9"/>
      <c r="M5" s="9"/>
      <c r="N5" s="48"/>
      <c r="O5" s="21">
        <f t="shared" ref="O5:O30" si="3">IF(COUNTA($F5,$K5,$P5)&gt;0,O4+SUM(L5:N5),"")</f>
        <v>37000</v>
      </c>
      <c r="P5" s="8" t="s">
        <v>195</v>
      </c>
      <c r="Q5" s="9">
        <v>2000</v>
      </c>
      <c r="R5" s="9"/>
      <c r="S5" s="48">
        <v>0</v>
      </c>
      <c r="T5" s="21">
        <f t="shared" ref="T5:T30" si="4">IF(COUNTA($F5,$K5,$P5)&gt;0,T4+SUM(Q5:S5),"")</f>
        <v>37000</v>
      </c>
      <c r="U5" s="53">
        <f>IF($J5="","",ROUND(($J5-$J$3)/1000,1)+(_xlfn.RANK.AVG($J5,($J5,$O5,$T5),1)-2)*10)</f>
        <v>-14</v>
      </c>
      <c r="V5" s="54">
        <f>IF($O5="","",ROUND(($O5-$O$3)/1000,1)+(_xlfn.RANK.AVG($O5,($J5,$O5,$T5),1)-2)*10)</f>
        <v>7</v>
      </c>
      <c r="W5" s="55">
        <f>IF($T5="","",ROUND(($T5-$T$3)/1000,1)+(_xlfn.RANK.AVG($T5,($J5,$O5,$T5),1)-2)*10)</f>
        <v>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196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199</v>
      </c>
      <c r="G6" s="9">
        <v>3000</v>
      </c>
      <c r="H6" s="9">
        <v>-1000</v>
      </c>
      <c r="I6" s="48"/>
      <c r="J6" s="21">
        <f t="shared" si="2"/>
        <v>33000</v>
      </c>
      <c r="K6" s="8" t="s">
        <v>199</v>
      </c>
      <c r="L6" s="9">
        <v>-1500</v>
      </c>
      <c r="M6" s="9"/>
      <c r="N6" s="48"/>
      <c r="O6" s="21">
        <f t="shared" si="3"/>
        <v>35500</v>
      </c>
      <c r="P6" s="8" t="s">
        <v>199</v>
      </c>
      <c r="Q6" s="9">
        <v>-1500</v>
      </c>
      <c r="R6" s="9"/>
      <c r="S6" s="48"/>
      <c r="T6" s="21">
        <f t="shared" si="4"/>
        <v>35500</v>
      </c>
      <c r="U6" s="53">
        <f>IF($J6="","",ROUND(($J6-$J$3)/1000,1)+(_xlfn.RANK.AVG($J6,($J6,$O6,$T6),1)-2)*10)</f>
        <v>-12</v>
      </c>
      <c r="V6" s="54">
        <f>IF($O6="","",ROUND(($O6-$O$3)/1000,1)+(_xlfn.RANK.AVG($O6,($J6,$O6,$T6),1)-2)*10)</f>
        <v>5.5</v>
      </c>
      <c r="W6" s="55">
        <f>IF($T6="","",ROUND(($T6-$T$3)/1000,1)+(_xlfn.RANK.AVG($T6,($J6,$O6,$T6),1)-2)*10)</f>
        <v>5.5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198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tr">
        <f>IF($F$1="","",$F$1)</f>
        <v>だいち</v>
      </c>
      <c r="F7" s="8"/>
      <c r="G7" s="9"/>
      <c r="H7" s="9"/>
      <c r="I7" s="48"/>
      <c r="J7" s="21">
        <f t="shared" si="2"/>
        <v>33000</v>
      </c>
      <c r="K7" s="8" t="s">
        <v>195</v>
      </c>
      <c r="L7" s="9">
        <v>2600</v>
      </c>
      <c r="M7" s="9">
        <v>1000</v>
      </c>
      <c r="N7" s="48">
        <v>1000</v>
      </c>
      <c r="O7" s="21">
        <f t="shared" si="3"/>
        <v>40100</v>
      </c>
      <c r="P7" s="8" t="s">
        <v>194</v>
      </c>
      <c r="Q7" s="9">
        <v>-2600</v>
      </c>
      <c r="R7" s="9"/>
      <c r="S7" s="48">
        <v>-1000</v>
      </c>
      <c r="T7" s="21">
        <f t="shared" si="4"/>
        <v>31900</v>
      </c>
      <c r="U7" s="53">
        <f>IF($J7="","",ROUND(($J7-$J$3)/1000,1)+(_xlfn.RANK.AVG($J7,($J7,$O7,$T7),1)-2)*10)</f>
        <v>-2</v>
      </c>
      <c r="V7" s="54">
        <f>IF($O7="","",ROUND(($O7-$O$3)/1000,1)+(_xlfn.RANK.AVG($O7,($J7,$O7,$T7),1)-2)*10)</f>
        <v>15.1</v>
      </c>
      <c r="W7" s="55">
        <f>IF($T7="","",ROUND(($T7-$T$3)/1000,1)+(_xlfn.RANK.AVG($T7,($J7,$O7,$T7),1)-2)*10)</f>
        <v>-13.1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40</v>
      </c>
      <c r="AZ7" s="40" t="s">
        <v>84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195</v>
      </c>
      <c r="G8" s="9">
        <v>8000</v>
      </c>
      <c r="H8" s="9">
        <v>1000</v>
      </c>
      <c r="I8" s="48">
        <v>0</v>
      </c>
      <c r="J8" s="21">
        <f t="shared" si="2"/>
        <v>42000</v>
      </c>
      <c r="K8" s="8"/>
      <c r="L8" s="9"/>
      <c r="M8" s="9"/>
      <c r="N8" s="48"/>
      <c r="O8" s="21">
        <f t="shared" si="3"/>
        <v>40100</v>
      </c>
      <c r="P8" s="8" t="s">
        <v>194</v>
      </c>
      <c r="Q8" s="9">
        <v>-8000</v>
      </c>
      <c r="R8" s="9">
        <v>-1000</v>
      </c>
      <c r="S8" s="48">
        <v>0</v>
      </c>
      <c r="T8" s="21">
        <f t="shared" si="4"/>
        <v>22900</v>
      </c>
      <c r="U8" s="53">
        <f>IF($J8="","",ROUND(($J8-$J$3)/1000,1)+(_xlfn.RANK.AVG($J8,($J8,$O8,$T8),1)-2)*10)</f>
        <v>17</v>
      </c>
      <c r="V8" s="54">
        <f>IF($O8="","",ROUND(($O8-$O$3)/1000,1)+(_xlfn.RANK.AVG($O8,($J8,$O8,$T8),1)-2)*10)</f>
        <v>5.0999999999999996</v>
      </c>
      <c r="W8" s="55">
        <f>IF($T8="","",ROUND(($T8-$T$3)/1000,1)+(_xlfn.RANK.AVG($T8,($J8,$O8,$T8),1)-2)*10)</f>
        <v>-22.1</v>
      </c>
      <c r="Y8" s="8"/>
      <c r="Z8" s="34"/>
      <c r="AA8" s="26"/>
      <c r="AB8" s="26">
        <v>1</v>
      </c>
      <c r="AC8" s="26">
        <v>5</v>
      </c>
      <c r="AD8" s="30" t="s">
        <v>200</v>
      </c>
      <c r="AE8" s="40" t="s">
        <v>86</v>
      </c>
      <c r="AF8" s="41" t="s">
        <v>86</v>
      </c>
      <c r="AG8" s="41" t="s">
        <v>196</v>
      </c>
      <c r="AH8" s="41" t="s">
        <v>196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194</v>
      </c>
      <c r="G9" s="9">
        <v>-9600</v>
      </c>
      <c r="H9" s="9"/>
      <c r="I9" s="48">
        <v>0</v>
      </c>
      <c r="J9" s="21">
        <f t="shared" si="2"/>
        <v>32400</v>
      </c>
      <c r="K9" s="8"/>
      <c r="L9" s="9"/>
      <c r="M9" s="9"/>
      <c r="N9" s="48"/>
      <c r="O9" s="21">
        <f t="shared" si="3"/>
        <v>40100</v>
      </c>
      <c r="P9" s="8" t="s">
        <v>195</v>
      </c>
      <c r="Q9" s="9">
        <v>9600</v>
      </c>
      <c r="R9" s="9"/>
      <c r="S9" s="48">
        <v>0</v>
      </c>
      <c r="T9" s="21">
        <f t="shared" si="4"/>
        <v>32500</v>
      </c>
      <c r="U9" s="53">
        <f>IF($J9="","",ROUND(($J9-$J$3)/1000,1)+(_xlfn.RANK.AVG($J9,($J9,$O9,$T9),1)-2)*10)</f>
        <v>-12.6</v>
      </c>
      <c r="V9" s="54">
        <f>IF($O9="","",ROUND(($O9-$O$3)/1000,1)+(_xlfn.RANK.AVG($O9,($J9,$O9,$T9),1)-2)*10)</f>
        <v>15.1</v>
      </c>
      <c r="W9" s="55">
        <f>IF($T9="","",ROUND(($T9-$T$3)/1000,1)+(_xlfn.RANK.AVG($T9,($J9,$O9,$T9),1)-2)*10)</f>
        <v>-2.5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25</v>
      </c>
      <c r="BU9" s="40" t="s">
        <v>101</v>
      </c>
      <c r="BV9" s="41" t="s">
        <v>79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たかの</v>
      </c>
      <c r="F10" s="8" t="s">
        <v>201</v>
      </c>
      <c r="G10" s="9">
        <v>-1500</v>
      </c>
      <c r="H10" s="9"/>
      <c r="I10" s="48">
        <v>-500</v>
      </c>
      <c r="J10" s="21">
        <f t="shared" si="2"/>
        <v>30400</v>
      </c>
      <c r="K10" s="8" t="s">
        <v>201</v>
      </c>
      <c r="L10" s="9">
        <v>-1500</v>
      </c>
      <c r="M10" s="9"/>
      <c r="N10" s="48">
        <v>-500</v>
      </c>
      <c r="O10" s="21">
        <f t="shared" si="3"/>
        <v>38100</v>
      </c>
      <c r="P10" s="8" t="s">
        <v>202</v>
      </c>
      <c r="Q10" s="9">
        <v>3000</v>
      </c>
      <c r="R10" s="9"/>
      <c r="S10" s="48">
        <v>1000</v>
      </c>
      <c r="T10" s="21">
        <f t="shared" si="4"/>
        <v>36500</v>
      </c>
      <c r="U10" s="53">
        <f>IF($J10="","",ROUND(($J10-$J$3)/1000,1)+(_xlfn.RANK.AVG($J10,($J10,$O10,$T10),1)-2)*10)</f>
        <v>-14.6</v>
      </c>
      <c r="V10" s="54">
        <f>IF($O10="","",ROUND(($O10-$O$3)/1000,1)+(_xlfn.RANK.AVG($O10,($J10,$O10,$T10),1)-2)*10)</f>
        <v>13.1</v>
      </c>
      <c r="W10" s="55">
        <f>IF($T10="","",ROUND(($T10-$T$3)/1000,1)+(_xlfn.RANK.AVG($T10,($J10,$O10,$T10),1)-2)*10)</f>
        <v>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30</v>
      </c>
      <c r="BU10" s="40" t="s">
        <v>86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IF($P$1="","",$P$1)</f>
        <v>たかの</v>
      </c>
      <c r="F11" s="8" t="s">
        <v>199</v>
      </c>
      <c r="G11" s="9">
        <v>3000</v>
      </c>
      <c r="H11" s="9"/>
      <c r="I11" s="48"/>
      <c r="J11" s="21">
        <f t="shared" si="2"/>
        <v>33400</v>
      </c>
      <c r="K11" s="8" t="s">
        <v>199</v>
      </c>
      <c r="L11" s="9">
        <v>-1500</v>
      </c>
      <c r="M11" s="9"/>
      <c r="N11" s="48"/>
      <c r="O11" s="21">
        <f t="shared" si="3"/>
        <v>36600</v>
      </c>
      <c r="P11" s="8" t="s">
        <v>199</v>
      </c>
      <c r="Q11" s="9">
        <v>-1500</v>
      </c>
      <c r="R11" s="9"/>
      <c r="S11" s="48"/>
      <c r="T11" s="21">
        <f t="shared" si="4"/>
        <v>35000</v>
      </c>
      <c r="U11" s="53">
        <f>IF($J11="","",ROUND(($J11-$J$3)/1000,1)+(_xlfn.RANK.AVG($J11,($J11,$O11,$T11),1)-2)*10)</f>
        <v>-11.6</v>
      </c>
      <c r="V11" s="54">
        <f>IF($O11="","",ROUND(($O11-$O$3)/1000,1)+(_xlfn.RANK.AVG($O11,($J11,$O11,$T11),1)-2)*10)</f>
        <v>11.6</v>
      </c>
      <c r="W11" s="55">
        <f>IF($T11="","",ROUND(($T11-$T$3)/1000,1)+(_xlfn.RANK.AVG($T11,($J11,$O11,$T11),1)-2)*10)</f>
        <v>0</v>
      </c>
      <c r="Y11" s="8" t="s">
        <v>197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198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198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BB0AF7E-CAF5-477E-823A-E8061BAF6F61}">
      <formula1>"だいち,れんたろう,たかの,まっつん,いちかわ,"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3517F-B355-4080-AF6F-840D6A390CCD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201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202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201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203</v>
      </c>
      <c r="BA4" s="41" t="s">
        <v>82</v>
      </c>
      <c r="BB4" s="41" t="s">
        <v>84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201</v>
      </c>
      <c r="G5" s="9">
        <v>-3000</v>
      </c>
      <c r="H5" s="9"/>
      <c r="I5" s="48">
        <v>0</v>
      </c>
      <c r="J5" s="21">
        <f t="shared" ref="J5:J30" si="2">IF(COUNTA($F5,$K5,$P5)&gt;0,J4+SUM(G5:I5),"")</f>
        <v>29500</v>
      </c>
      <c r="K5" s="8" t="s">
        <v>202</v>
      </c>
      <c r="L5" s="9">
        <v>6000</v>
      </c>
      <c r="M5" s="9"/>
      <c r="N5" s="48">
        <v>0</v>
      </c>
      <c r="O5" s="21">
        <f t="shared" ref="O5:O30" si="3">IF(COUNTA($F5,$K5,$P5)&gt;0,O4+SUM(L5:N5),"")</f>
        <v>45000</v>
      </c>
      <c r="P5" s="8" t="s">
        <v>201</v>
      </c>
      <c r="Q5" s="9">
        <v>-3000</v>
      </c>
      <c r="R5" s="9"/>
      <c r="S5" s="48">
        <v>0</v>
      </c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-15.5</v>
      </c>
      <c r="V5" s="54">
        <f>IF($O5="","",ROUND(($O5-$O$3)/1000,1)+(_xlfn.RANK.AVG($O5,($J5,$O5,$T5),1)-2)*10)</f>
        <v>20</v>
      </c>
      <c r="W5" s="55">
        <f>IF($T5="","",ROUND(($T5-$T$3)/1000,1)+(_xlfn.RANK.AVG($T5,($J5,$O5,$T5),1)-2)*10)</f>
        <v>-4.5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201</v>
      </c>
      <c r="G6" s="9">
        <v>-2900</v>
      </c>
      <c r="H6" s="9">
        <v>-1000</v>
      </c>
      <c r="I6" s="48">
        <v>-500</v>
      </c>
      <c r="J6" s="21">
        <f t="shared" si="2"/>
        <v>25100</v>
      </c>
      <c r="K6" s="8" t="s">
        <v>201</v>
      </c>
      <c r="L6" s="9">
        <v>-4800</v>
      </c>
      <c r="M6" s="9"/>
      <c r="N6" s="48">
        <v>-500</v>
      </c>
      <c r="O6" s="21">
        <f t="shared" si="3"/>
        <v>39700</v>
      </c>
      <c r="P6" s="8" t="s">
        <v>202</v>
      </c>
      <c r="Q6" s="9">
        <v>7700</v>
      </c>
      <c r="R6" s="9">
        <v>1000</v>
      </c>
      <c r="S6" s="48">
        <v>1000</v>
      </c>
      <c r="T6" s="21">
        <f t="shared" si="4"/>
        <v>40200</v>
      </c>
      <c r="U6" s="53">
        <f>IF($J6="","",ROUND(($J6-$J$3)/1000,1)+(_xlfn.RANK.AVG($J6,($J6,$O6,$T6),1)-2)*10)</f>
        <v>-19.899999999999999</v>
      </c>
      <c r="V6" s="54">
        <f>IF($O6="","",ROUND(($O6-$O$3)/1000,1)+(_xlfn.RANK.AVG($O6,($J6,$O6,$T6),1)-2)*10)</f>
        <v>4.7</v>
      </c>
      <c r="W6" s="55">
        <f>IF($T6="","",ROUND(($T6-$T$3)/1000,1)+(_xlfn.RANK.AVG($T6,($J6,$O6,$T6),1)-2)*10)</f>
        <v>15.2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203</v>
      </c>
      <c r="BV6" s="41" t="s">
        <v>82</v>
      </c>
      <c r="BW6" s="41" t="s">
        <v>86</v>
      </c>
      <c r="BX6" s="41" t="s">
        <v>196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204</v>
      </c>
      <c r="G7" s="9">
        <v>-1500</v>
      </c>
      <c r="H7" s="9"/>
      <c r="I7" s="48"/>
      <c r="J7" s="21">
        <f t="shared" si="2"/>
        <v>23600</v>
      </c>
      <c r="K7" s="8" t="s">
        <v>204</v>
      </c>
      <c r="L7" s="9">
        <v>-1500</v>
      </c>
      <c r="M7" s="9"/>
      <c r="N7" s="48"/>
      <c r="O7" s="21">
        <f t="shared" si="3"/>
        <v>38200</v>
      </c>
      <c r="P7" s="8" t="s">
        <v>204</v>
      </c>
      <c r="Q7" s="9">
        <v>3000</v>
      </c>
      <c r="R7" s="9">
        <v>-1000</v>
      </c>
      <c r="S7" s="48"/>
      <c r="T7" s="21">
        <f t="shared" si="4"/>
        <v>42200</v>
      </c>
      <c r="U7" s="53">
        <f>IF($J7="","",ROUND(($J7-$J$3)/1000,1)+(_xlfn.RANK.AVG($J7,($J7,$O7,$T7),1)-2)*10)</f>
        <v>-21.4</v>
      </c>
      <c r="V7" s="54">
        <f>IF($O7="","",ROUND(($O7-$O$3)/1000,1)+(_xlfn.RANK.AVG($O7,($J7,$O7,$T7),1)-2)*10)</f>
        <v>3.2</v>
      </c>
      <c r="W7" s="55">
        <f>IF($T7="","",ROUND(($T7-$T$3)/1000,1)+(_xlfn.RANK.AVG($T7,($J7,$O7,$T7),1)-2)*10)</f>
        <v>17.2</v>
      </c>
      <c r="Y7" s="8" t="s">
        <v>198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198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tr">
        <f>IF($P$1="","",$P$1)</f>
        <v>ただ</v>
      </c>
      <c r="F8" s="8"/>
      <c r="G8" s="9"/>
      <c r="H8" s="9"/>
      <c r="I8" s="48"/>
      <c r="J8" s="21">
        <f t="shared" si="2"/>
        <v>23600</v>
      </c>
      <c r="K8" s="8" t="s">
        <v>194</v>
      </c>
      <c r="L8" s="9">
        <v>-3900</v>
      </c>
      <c r="M8" s="9"/>
      <c r="N8" s="48">
        <v>-1000</v>
      </c>
      <c r="O8" s="21">
        <f t="shared" si="3"/>
        <v>33300</v>
      </c>
      <c r="P8" s="8" t="s">
        <v>195</v>
      </c>
      <c r="Q8" s="9">
        <v>3900</v>
      </c>
      <c r="R8" s="9">
        <v>1000</v>
      </c>
      <c r="S8" s="48">
        <v>1000</v>
      </c>
      <c r="T8" s="21">
        <f t="shared" si="4"/>
        <v>48100</v>
      </c>
      <c r="U8" s="53">
        <f>IF($J8="","",ROUND(($J8-$J$3)/1000,1)+(_xlfn.RANK.AVG($J8,($J8,$O8,$T8),1)-2)*10)</f>
        <v>-21.4</v>
      </c>
      <c r="V8" s="54">
        <f>IF($O8="","",ROUND(($O8-$O$3)/1000,1)+(_xlfn.RANK.AVG($O8,($J8,$O8,$T8),1)-2)*10)</f>
        <v>-1.7</v>
      </c>
      <c r="W8" s="55">
        <f>IF($T8="","",ROUND(($T8-$T$3)/1000,1)+(_xlfn.RANK.AVG($T8,($J8,$O8,$T8),1)-2)*10)</f>
        <v>23.1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84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ただ</v>
      </c>
      <c r="F9" s="8" t="s">
        <v>201</v>
      </c>
      <c r="G9" s="9">
        <v>-5800</v>
      </c>
      <c r="H9" s="9">
        <v>-1000</v>
      </c>
      <c r="I9" s="48">
        <v>-1000</v>
      </c>
      <c r="J9" s="21">
        <f t="shared" si="2"/>
        <v>15800</v>
      </c>
      <c r="K9" s="8" t="s">
        <v>201</v>
      </c>
      <c r="L9" s="9">
        <v>-5800</v>
      </c>
      <c r="M9" s="9"/>
      <c r="N9" s="48">
        <v>-1000</v>
      </c>
      <c r="O9" s="21">
        <f t="shared" si="3"/>
        <v>26500</v>
      </c>
      <c r="P9" s="8" t="s">
        <v>202</v>
      </c>
      <c r="Q9" s="9">
        <v>11600</v>
      </c>
      <c r="R9" s="9">
        <v>1000</v>
      </c>
      <c r="S9" s="48">
        <v>2000</v>
      </c>
      <c r="T9" s="21">
        <f t="shared" si="4"/>
        <v>62700</v>
      </c>
      <c r="U9" s="53">
        <f>IF($J9="","",ROUND(($J9-$J$3)/1000,1)+(_xlfn.RANK.AVG($J9,($J9,$O9,$T9),1)-2)*10)</f>
        <v>-29.2</v>
      </c>
      <c r="V9" s="54">
        <f>IF($O9="","",ROUND(($O9-$O$3)/1000,1)+(_xlfn.RANK.AVG($O9,($J9,$O9,$T9),1)-2)*10)</f>
        <v>-8.5</v>
      </c>
      <c r="W9" s="55">
        <f>IF($T9="","",ROUND(($T9-$T$3)/1000,1)+(_xlfn.RANK.AVG($T9,($J9,$O9,$T9),1)-2)*10)</f>
        <v>37.700000000000003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203</v>
      </c>
      <c r="BV9" s="41" t="s">
        <v>82</v>
      </c>
      <c r="BW9" s="41" t="s">
        <v>85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IF($P$1="","",$P$1)</f>
        <v>ただ</v>
      </c>
      <c r="F10" s="8" t="s">
        <v>195</v>
      </c>
      <c r="G10" s="9">
        <v>12000</v>
      </c>
      <c r="H10" s="9">
        <v>1000</v>
      </c>
      <c r="I10" s="48">
        <v>3000</v>
      </c>
      <c r="J10" s="21">
        <f t="shared" si="2"/>
        <v>31800</v>
      </c>
      <c r="K10" s="8"/>
      <c r="L10" s="9"/>
      <c r="M10" s="9"/>
      <c r="N10" s="48"/>
      <c r="O10" s="21">
        <f t="shared" si="3"/>
        <v>26500</v>
      </c>
      <c r="P10" s="8" t="s">
        <v>194</v>
      </c>
      <c r="Q10" s="9">
        <v>-12000</v>
      </c>
      <c r="R10" s="9">
        <v>-1000</v>
      </c>
      <c r="S10" s="48">
        <v>-3000</v>
      </c>
      <c r="T10" s="21">
        <f t="shared" si="4"/>
        <v>46700</v>
      </c>
      <c r="U10" s="53">
        <f>IF($J10="","",ROUND(($J10-$J$3)/1000,1)+(_xlfn.RANK.AVG($J10,($J10,$O10,$T10),1)-2)*10)</f>
        <v>-3.2</v>
      </c>
      <c r="V10" s="54">
        <f>IF($O10="","",ROUND(($O10-$O$3)/1000,1)+(_xlfn.RANK.AVG($O10,($J10,$O10,$T10),1)-2)*10)</f>
        <v>-18.5</v>
      </c>
      <c r="W10" s="55">
        <f>IF($T10="","",ROUND(($T10-$T$3)/1000,1)+(_xlfn.RANK.AVG($T10,($J10,$O10,$T10),1)-2)*10)</f>
        <v>21.7</v>
      </c>
      <c r="Y10" s="8"/>
      <c r="Z10" s="34"/>
      <c r="AA10" s="26">
        <v>1</v>
      </c>
      <c r="AB10" s="26"/>
      <c r="AC10" s="26">
        <v>7</v>
      </c>
      <c r="AD10" s="30" t="s">
        <v>200</v>
      </c>
      <c r="AE10" s="40" t="s">
        <v>203</v>
      </c>
      <c r="AF10" s="41" t="s">
        <v>104</v>
      </c>
      <c r="AG10" s="41" t="s">
        <v>86</v>
      </c>
      <c r="AH10" s="41" t="s">
        <v>196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 t="s">
        <v>202</v>
      </c>
      <c r="G11" s="9">
        <v>6000</v>
      </c>
      <c r="H11" s="9"/>
      <c r="I11" s="48">
        <v>0</v>
      </c>
      <c r="J11" s="21">
        <f t="shared" si="2"/>
        <v>37800</v>
      </c>
      <c r="K11" s="8" t="s">
        <v>201</v>
      </c>
      <c r="L11" s="9">
        <v>-3000</v>
      </c>
      <c r="M11" s="9"/>
      <c r="N11" s="48">
        <v>0</v>
      </c>
      <c r="O11" s="21">
        <f t="shared" si="3"/>
        <v>23500</v>
      </c>
      <c r="P11" s="8" t="s">
        <v>201</v>
      </c>
      <c r="Q11" s="9">
        <v>-3000</v>
      </c>
      <c r="R11" s="9"/>
      <c r="S11" s="48">
        <v>0</v>
      </c>
      <c r="T11" s="21">
        <f t="shared" si="4"/>
        <v>43700</v>
      </c>
      <c r="U11" s="53">
        <f>IF($J11="","",ROUND(($J11-$J$3)/1000,1)+(_xlfn.RANK.AVG($J11,($J11,$O11,$T11),1)-2)*10)</f>
        <v>2.8</v>
      </c>
      <c r="V11" s="54">
        <f>IF($O11="","",ROUND(($O11-$O$3)/1000,1)+(_xlfn.RANK.AVG($O11,($J11,$O11,$T11),1)-2)*10)</f>
        <v>-21.5</v>
      </c>
      <c r="W11" s="55">
        <f>IF($T11="","",ROUND(($T11-$T$3)/1000,1)+(_xlfn.RANK.AVG($T11,($J11,$O11,$T11),1)-2)*10)</f>
        <v>18.7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203</v>
      </c>
      <c r="AF11" s="41" t="s">
        <v>82</v>
      </c>
      <c r="AG11" s="41" t="s">
        <v>80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たかの</v>
      </c>
      <c r="F12" s="8" t="s">
        <v>201</v>
      </c>
      <c r="G12" s="9">
        <v>-4800</v>
      </c>
      <c r="H12" s="9"/>
      <c r="I12" s="48">
        <v>-500</v>
      </c>
      <c r="J12" s="21">
        <f t="shared" si="2"/>
        <v>32500</v>
      </c>
      <c r="K12" s="8" t="s">
        <v>201</v>
      </c>
      <c r="L12" s="9">
        <v>-2900</v>
      </c>
      <c r="M12" s="9"/>
      <c r="N12" s="48">
        <v>-500</v>
      </c>
      <c r="O12" s="21">
        <f t="shared" si="3"/>
        <v>20100</v>
      </c>
      <c r="P12" s="8" t="s">
        <v>202</v>
      </c>
      <c r="Q12" s="9">
        <v>7700</v>
      </c>
      <c r="R12" s="9"/>
      <c r="S12" s="48">
        <v>1000</v>
      </c>
      <c r="T12" s="21">
        <f t="shared" si="4"/>
        <v>52400</v>
      </c>
      <c r="U12" s="53">
        <f>IF($J12="","",ROUND(($J12-$J$3)/1000,1)+(_xlfn.RANK.AVG($J12,($J12,$O12,$T12),1)-2)*10)</f>
        <v>-2.5</v>
      </c>
      <c r="V12" s="54">
        <f>IF($O12="","",ROUND(($O12-$O$3)/1000,1)+(_xlfn.RANK.AVG($O12,($J12,$O12,$T12),1)-2)*10)</f>
        <v>-24.9</v>
      </c>
      <c r="W12" s="55">
        <f>IF($T12="","",ROUND(($T12-$T$3)/1000,1)+(_xlfn.RANK.AVG($T12,($J12,$O12,$T12),1)-2)*10)</f>
        <v>27.4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203</v>
      </c>
      <c r="BV12" s="41" t="s">
        <v>82</v>
      </c>
      <c r="BW12" s="41" t="s">
        <v>196</v>
      </c>
      <c r="BX12" s="41" t="s">
        <v>196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だいち</v>
      </c>
      <c r="F13" s="8" t="s">
        <v>194</v>
      </c>
      <c r="G13" s="9">
        <v>-7700</v>
      </c>
      <c r="H13" s="9"/>
      <c r="I13" s="48">
        <v>0</v>
      </c>
      <c r="J13" s="21">
        <f t="shared" si="2"/>
        <v>24800</v>
      </c>
      <c r="K13" s="8"/>
      <c r="L13" s="9"/>
      <c r="M13" s="9">
        <v>-1000</v>
      </c>
      <c r="N13" s="48"/>
      <c r="O13" s="21">
        <f t="shared" si="3"/>
        <v>19100</v>
      </c>
      <c r="P13" s="8" t="s">
        <v>195</v>
      </c>
      <c r="Q13" s="9">
        <v>7700</v>
      </c>
      <c r="R13" s="9">
        <v>1000</v>
      </c>
      <c r="S13" s="48">
        <v>0</v>
      </c>
      <c r="T13" s="21">
        <f t="shared" si="4"/>
        <v>61100</v>
      </c>
      <c r="U13" s="53">
        <f>IF($J13="","",ROUND(($J13-$J$3)/1000,1)+(_xlfn.RANK.AVG($J13,($J13,$O13,$T13),1)-2)*10)</f>
        <v>-10.199999999999999</v>
      </c>
      <c r="V13" s="54">
        <f>IF($O13="","",ROUND(($O13-$O$3)/1000,1)+(_xlfn.RANK.AVG($O13,($J13,$O13,$T13),1)-2)*10)</f>
        <v>-25.9</v>
      </c>
      <c r="W13" s="55">
        <f>IF($T13="","",ROUND(($T13-$T$3)/1000,1)+(_xlfn.RANK.AVG($T13,($J13,$O13,$T13),1)-2)*10)</f>
        <v>36.1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30</v>
      </c>
      <c r="BU13" s="40" t="s">
        <v>104</v>
      </c>
      <c r="BV13" s="41" t="s">
        <v>93</v>
      </c>
      <c r="BW13" s="41" t="s">
        <v>86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ただ</v>
      </c>
      <c r="F14" s="8" t="s">
        <v>201</v>
      </c>
      <c r="G14" s="9">
        <v>-2900</v>
      </c>
      <c r="H14" s="9"/>
      <c r="I14" s="48">
        <v>0</v>
      </c>
      <c r="J14" s="21">
        <f t="shared" si="2"/>
        <v>21900</v>
      </c>
      <c r="K14" s="8" t="s">
        <v>202</v>
      </c>
      <c r="L14" s="9">
        <v>7700</v>
      </c>
      <c r="M14" s="9"/>
      <c r="N14" s="48">
        <v>0</v>
      </c>
      <c r="O14" s="21">
        <f t="shared" si="3"/>
        <v>26800</v>
      </c>
      <c r="P14" s="8" t="s">
        <v>201</v>
      </c>
      <c r="Q14" s="9">
        <v>-4800</v>
      </c>
      <c r="R14" s="9"/>
      <c r="S14" s="48">
        <v>0</v>
      </c>
      <c r="T14" s="21">
        <f t="shared" si="4"/>
        <v>56300</v>
      </c>
      <c r="U14" s="53">
        <f>IF($J14="","",ROUND(($J14-$J$3)/1000,1)+(_xlfn.RANK.AVG($J14,($J14,$O14,$T14),1)-2)*10)</f>
        <v>-23.1</v>
      </c>
      <c r="V14" s="54">
        <f>IF($O14="","",ROUND(($O14-$O$3)/1000,1)+(_xlfn.RANK.AVG($O14,($J14,$O14,$T14),1)-2)*10)</f>
        <v>-8.1999999999999993</v>
      </c>
      <c r="W14" s="55">
        <f>IF($T14="","",ROUND(($T14-$T$3)/1000,1)+(_xlfn.RANK.AVG($T14,($J14,$O14,$T14),1)-2)*10)</f>
        <v>31.3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4</v>
      </c>
      <c r="AY14" s="30">
        <v>30</v>
      </c>
      <c r="AZ14" s="40" t="s">
        <v>104</v>
      </c>
      <c r="BA14" s="41" t="s">
        <v>86</v>
      </c>
      <c r="BB14" s="41" t="s">
        <v>79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たかの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8D492FBB-AA0C-4F6F-8EA9-2107E1C9ABA4}">
      <formula1>"だいち,れんたろう,たかの,まっつん,いちかわ,"</formula1>
    </dataValidation>
    <dataValidation type="list" showInputMessage="1" showErrorMessage="1" sqref="K4:K30 P4:P30 F4:F30" xr:uid="{2E53B903-C47B-48B6-9239-41599A44E4CB}">
      <formula1>"ロン,ツモ,放銃,ツモ支払,流局,チョンボ"</formula1>
    </dataValidation>
    <dataValidation type="list" allowBlank="1" showInputMessage="1" showErrorMessage="1" sqref="E4:E30" xr:uid="{509CEC15-E4E4-4255-9BFA-C26B2245B7C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2020-10-01T07:30:03Z</dcterms:modified>
</cp:coreProperties>
</file>