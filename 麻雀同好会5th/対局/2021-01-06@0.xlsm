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0BC5CCB5-B6E1-4194-BA18-D556A3F3614D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9" i="19" l="1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<sst xmlns="http://schemas.openxmlformats.org/spreadsheetml/2006/main" count="572" uniqueCount="201">
  <si>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</si>
  <si>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</si>
  <si>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</si>
  <si>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</si>
  <si>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</si>
  <si>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</si>
  <si>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</si>
  <si>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</si>
  <si>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</si>
  <si>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</si>
  <si>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</si>
  <si>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</si>
  <si>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</si>
  <si>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</si>
  <si>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</si>
  <si>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</si>
  <si>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</si>
  <si>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</si>
  <si>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</si>
  <si>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</si>
  <si>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</si>
  <si>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</si>
  <si>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</si>
  <si>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</si>
  <si>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</si>
  <si>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</si>
  <si>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</si>
  <si>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</si>
  <si>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</si>
  <si>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</si>
  <si>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</si>
  <si>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</si>
  <si>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</si>
  <si>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</si>
  <si>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</si>
  <si>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</si>
  <si>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</si>
  <si>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</si>
  <si>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</si>
  <si>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</si>
  <si>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</si>
  <si>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</si>
  <si>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</si>
  <si>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</si>
  <si>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</si>
  <si>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</si>
  <si>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</si>
  <si>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</si>
  <si>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</si>
  <si>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</si>
  <si>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</si>
  <si>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</si>
  <si>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</si>
  <si>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</si>
  <si>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</si>
  <si>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</si>
  <si>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</si>
  <si>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</si>
  <si>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</si>
  <si>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</si>
  <si>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</si>
  <si>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</si>
  <si>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</si>
  <si>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</si>
  <si>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</si>
  <si>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</si>
  <si>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</si>
  <si>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</si>
  <si>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</si>
  <si>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</si>
  <si>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</si>
  <si>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</si>
  <si>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</si>
  <si>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</si>
  <si>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</si>
  <si>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</si>
  <si>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</si>
  <si>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</si>
  <si>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</si>
  <si>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</si>
  <si>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</si>
  <si>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</si>
  <si>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</si>
  <si>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</si>
  <si>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</si>
  <si>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</si>
  <si>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</si>
  <si>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</si>
  <si>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</si>
  <si>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</si>
  <si>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</si>
  <si>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</si>
  <si>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</si>
  <si>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</si>
  <si>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</si>
  <si>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</si>
  <si>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</si>
  <si>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</si>
  <si>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</si>
  <si>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</si>
  <si>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</si>
  <si>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</si>
  <si>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</si>
  <si>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</si>
  <si>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</si>
  <si>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</si>
  <si>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</si>
  <si>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</si>
  <si>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</si>
  <si>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</si>
  <si>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</si>
  <si>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</si>
  <si>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</si>
  <si>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</si>
  <si>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</si>
  <si>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</si>
  <si>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</si>
  <si>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</si>
  <si>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</si>
  <si>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</si>
  <si>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</si>
  <si>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</si>
  <si>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</si>
  <si>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</si>
  <si>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</si>
  <si>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</si>
  <si>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</si>
  <si>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</si>
  <si>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</si>
  <si>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</si>
  <si>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</si>
  <si>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</si>
  <si>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</si>
  <si>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</si>
  <si>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</si>
  <si>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</si>
  <si>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</si>
  <si>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</si>
  <si>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</si>
  <si>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</si>
  <si>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</si>
  <si>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</si>
  <si>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</si>
  <si>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</si>
  <si>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</si>
  <si>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</si>
  <si>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</si>
  <si>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</si>
  <si>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</si>
  <si>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</si>
  <si>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</si>
  <si>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</si>
  <si>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</si>
  <si>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</si>
  <si>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</si>
  <si>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</si>
  <si>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</si>
  <si>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</si>
  <si>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</si>
  <si>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</si>
  <si>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</si>
  <si>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</si>
  <si>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</si>
  <si>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</si>
  <si>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</si>
  <si>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</si>
  <si>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</si>
  <si>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</si>
  <si>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</si>
  <si>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</si>
  <si>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</si>
  <si>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</si>
  <si>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</si>
  <si>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</si>
  <si>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</si>
  <si>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</si>
  <si>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</si>
  <si>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</si>
  <si>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</si>
  <si>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</si>
  <si>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</si>
  <si>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</si>
  <si>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</si>
  <si>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</si>
  <si>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</si>
  <si>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</si>
  <si>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</si>
  <si>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</si>
  <si>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</si>
  <si>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</si>
  <si>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</si>
  <si>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</si>
  <si>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</si>
  <si>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たかの</t>
    <phoneticPr fontId="1"/>
  </si>
  <si>
    <t>放銃</t>
  </si>
  <si>
    <t>ロン</t>
  </si>
  <si>
    <t>ツモ支払</t>
  </si>
  <si>
    <t>ツモ</t>
  </si>
  <si>
    <t>*</t>
  </si>
  <si>
    <t>52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</si>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</sst>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まっつん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たかの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 t="s">
        <v>195</v>
      </c>
      <c r="Q4" s="9">
        <v>3900</v>
      </c>
      <c r="R4" s="9">
        <v>2000</v>
      </c>
      <c r="S4" s="48">
        <v>0</v>
      </c>
      <c r="T4" s="21">
        <f>IF(COUNTA($F4,$K4,$P4)&gt;0,T3+SUM(Q4:S4),"")</f>
        <v>40900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15.9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83</v>
      </c>
      <c r="BV4" s="41" t="s">
        <v>85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/>
      <c r="G5" s="9"/>
      <c r="H5" s="9">
        <v>-1000</v>
      </c>
      <c r="I5" s="48"/>
      <c r="J5" s="21">
        <f t="shared" ref="J5:J30" si="2">IF(COUNTA($F5,$K5,$P5)&gt;0,J4+SUM(G5:I5),"")</f>
        <v>33000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22400</v>
      </c>
      <c r="P5" s="8" t="s">
        <v>195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49600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-22.6</v>
      </c>
      <c r="W5" s="55">
        <f>IF($T5="","",ROUND(($T5-$T$3)/1000,1)+(_xlfn.RANK.AVG($T5,($J5,$O5,$T5),1)-2)*10)</f>
        <v>24.6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104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196</v>
      </c>
      <c r="G6" s="9">
        <v>-6000</v>
      </c>
      <c r="H6" s="9">
        <v>-1000</v>
      </c>
      <c r="I6" s="48">
        <v>0</v>
      </c>
      <c r="J6" s="21">
        <f t="shared" si="2"/>
        <v>26000</v>
      </c>
      <c r="K6" s="8" t="s">
        <v>196</v>
      </c>
      <c r="L6" s="9">
        <v>-6000</v>
      </c>
      <c r="M6" s="9"/>
      <c r="N6" s="48">
        <v>0</v>
      </c>
      <c r="O6" s="21">
        <f t="shared" si="3"/>
        <v>16400</v>
      </c>
      <c r="P6" s="8" t="s">
        <v>197</v>
      </c>
      <c r="Q6" s="9">
        <v>12000</v>
      </c>
      <c r="R6" s="9">
        <v>1000</v>
      </c>
      <c r="S6" s="48">
        <v>0</v>
      </c>
      <c r="T6" s="21">
        <f t="shared" si="4"/>
        <v>62600</v>
      </c>
      <c r="U6" s="53">
        <f>IF($J6="","",ROUND(($J6-$J$3)/1000,1)+(_xlfn.RANK.AVG($J6,($J6,$O6,$T6),1)-2)*10)</f>
        <v>-9</v>
      </c>
      <c r="V6" s="54">
        <f>IF($O6="","",ROUND(($O6-$O$3)/1000,1)+(_xlfn.RANK.AVG($O6,($J6,$O6,$T6),1)-2)*10)</f>
        <v>-28.6</v>
      </c>
      <c r="W6" s="55">
        <f>IF($T6="","",ROUND(($T6-$T$3)/1000,1)+(_xlfn.RANK.AVG($T6,($J6,$O6,$T6),1)-2)*10)</f>
        <v>37.6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79</v>
      </c>
      <c r="BV6" s="41" t="s">
        <v>79</v>
      </c>
      <c r="BW6" s="41" t="s">
        <v>79</v>
      </c>
      <c r="BX6" s="41" t="s">
        <v>86</v>
      </c>
      <c r="BY6" s="41" t="s">
        <v>199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-12000</v>
      </c>
      <c r="H7" s="9"/>
      <c r="I7" s="48">
        <v>-1000</v>
      </c>
      <c r="J7" s="21">
        <f t="shared" si="2"/>
        <v>13000</v>
      </c>
      <c r="K7" s="8" t="s">
        <v>195</v>
      </c>
      <c r="L7" s="9">
        <v>12000</v>
      </c>
      <c r="M7" s="9"/>
      <c r="N7" s="48">
        <v>1000</v>
      </c>
      <c r="O7" s="21">
        <f t="shared" si="3"/>
        <v>29400</v>
      </c>
      <c r="P7" s="8"/>
      <c r="Q7" s="9"/>
      <c r="R7" s="9"/>
      <c r="S7" s="48"/>
      <c r="T7" s="21">
        <f t="shared" si="4"/>
        <v>62600</v>
      </c>
      <c r="U7" s="53">
        <f>IF($J7="","",ROUND(($J7-$J$3)/1000,1)+(_xlfn.RANK.AVG($J7,($J7,$O7,$T7),1)-2)*10)</f>
        <v>-32</v>
      </c>
      <c r="V7" s="54">
        <f>IF($O7="","",ROUND(($O7-$O$3)/1000,1)+(_xlfn.RANK.AVG($O7,($J7,$O7,$T7),1)-2)*10)</f>
        <v>-5.6</v>
      </c>
      <c r="W7" s="55">
        <f>IF($T7="","",ROUND(($T7-$T$3)/1000,1)+(_xlfn.RANK.AVG($T7,($J7,$O7,$T7),1)-2)*10)</f>
        <v>37.6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198</v>
      </c>
      <c r="AZ7" s="40" t="s">
        <v>104</v>
      </c>
      <c r="BA7" s="41" t="s">
        <v>86</v>
      </c>
      <c r="BB7" s="41" t="s">
        <v>92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-1700</v>
      </c>
      <c r="H8" s="9"/>
      <c r="I8" s="48">
        <v>0</v>
      </c>
      <c r="J8" s="21">
        <f t="shared" si="2"/>
        <v>11300</v>
      </c>
      <c r="K8" s="8" t="s">
        <v>196</v>
      </c>
      <c r="L8" s="9">
        <v>-1100</v>
      </c>
      <c r="M8" s="9"/>
      <c r="N8" s="48">
        <v>0</v>
      </c>
      <c r="O8" s="21">
        <f t="shared" si="3"/>
        <v>28300</v>
      </c>
      <c r="P8" s="8" t="s">
        <v>197</v>
      </c>
      <c r="Q8" s="9">
        <v>2800</v>
      </c>
      <c r="R8" s="9"/>
      <c r="S8" s="48">
        <v>0</v>
      </c>
      <c r="T8" s="21">
        <f t="shared" si="4"/>
        <v>65400</v>
      </c>
      <c r="U8" s="53">
        <f>IF($J8="","",ROUND(($J8-$J$3)/1000,1)+(_xlfn.RANK.AVG($J8,($J8,$O8,$T8),1)-2)*10)</f>
        <v>-33.700000000000003</v>
      </c>
      <c r="V8" s="54">
        <f>IF($O8="","",ROUND(($O8-$O$3)/1000,1)+(_xlfn.RANK.AVG($O8,($J8,$O8,$T8),1)-2)*10)</f>
        <v>-6.7</v>
      </c>
      <c r="W8" s="55">
        <f>IF($T8="","",ROUND(($T8-$T$3)/1000,1)+(_xlfn.RANK.AVG($T8,($J8,$O8,$T8),1)-2)*10)</f>
        <v>40.4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20</v>
      </c>
      <c r="BU8" s="40" t="s">
        <v>83</v>
      </c>
      <c r="BV8" s="41" t="s">
        <v>82</v>
      </c>
      <c r="BW8" s="41" t="s">
        <v>199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まっつん</v>
      </c>
      <c r="F9" s="8" t="s">
        <v>196</v>
      </c>
      <c r="G9" s="9">
        <v>-1500</v>
      </c>
      <c r="H9" s="9"/>
      <c r="I9" s="48">
        <v>0</v>
      </c>
      <c r="J9" s="21">
        <f t="shared" si="2"/>
        <v>9800</v>
      </c>
      <c r="K9" s="8" t="s">
        <v>196</v>
      </c>
      <c r="L9" s="9">
        <v>-2500</v>
      </c>
      <c r="M9" s="9"/>
      <c r="N9" s="48">
        <v>0</v>
      </c>
      <c r="O9" s="21">
        <f t="shared" si="3"/>
        <v>25800</v>
      </c>
      <c r="P9" s="8" t="s">
        <v>197</v>
      </c>
      <c r="Q9" s="9">
        <v>4000</v>
      </c>
      <c r="R9" s="9"/>
      <c r="S9" s="48">
        <v>0</v>
      </c>
      <c r="T9" s="21">
        <f t="shared" si="4"/>
        <v>69400</v>
      </c>
      <c r="U9" s="53">
        <f>IF($J9="","",ROUND(($J9-$J$3)/1000,1)+(_xlfn.RANK.AVG($J9,($J9,$O9,$T9),1)-2)*10)</f>
        <v>-35.200000000000003</v>
      </c>
      <c r="V9" s="54">
        <f>IF($O9="","",ROUND(($O9-$O$3)/1000,1)+(_xlfn.RANK.AVG($O9,($J9,$O9,$T9),1)-2)*10)</f>
        <v>-9.1999999999999993</v>
      </c>
      <c r="W9" s="55">
        <f>IF($T9="","",ROUND(($T9-$T$3)/1000,1)+(_xlfn.RANK.AVG($T9,($J9,$O9,$T9),1)-2)*10)</f>
        <v>44.4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200</v>
      </c>
      <c r="BV9" s="41" t="s">
        <v>82</v>
      </c>
      <c r="BW9" s="41" t="s">
        <v>199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 t="s">
        <v>194</v>
      </c>
      <c r="G10" s="9">
        <v>-7700</v>
      </c>
      <c r="H10" s="9"/>
      <c r="I10" s="48">
        <v>0</v>
      </c>
      <c r="J10" s="21">
        <f t="shared" si="2"/>
        <v>2100</v>
      </c>
      <c r="K10" s="8"/>
      <c r="L10" s="9"/>
      <c r="M10" s="9"/>
      <c r="N10" s="48"/>
      <c r="O10" s="21">
        <f t="shared" si="3"/>
        <v>25800</v>
      </c>
      <c r="P10" s="8" t="s">
        <v>195</v>
      </c>
      <c r="Q10" s="9">
        <v>7700</v>
      </c>
      <c r="R10" s="9"/>
      <c r="S10" s="48">
        <v>0</v>
      </c>
      <c r="T10" s="21">
        <f t="shared" si="4"/>
        <v>77100</v>
      </c>
      <c r="U10" s="53">
        <f>IF($J10="","",ROUND(($J10-$J$3)/1000,1)+(_xlfn.RANK.AVG($J10,($J10,$O10,$T10),1)-2)*10)</f>
        <v>-42.9</v>
      </c>
      <c r="V10" s="54">
        <f>IF($O10="","",ROUND(($O10-$O$3)/1000,1)+(_xlfn.RANK.AVG($O10,($J10,$O10,$T10),1)-2)*10)</f>
        <v>-9.1999999999999993</v>
      </c>
      <c r="W10" s="55">
        <f>IF($T10="","",ROUND(($T10-$T$3)/1000,1)+(_xlfn.RANK.AVG($T10,($J10,$O10,$T10),1)-2)*10)</f>
        <v>52.1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40</v>
      </c>
      <c r="BU10" s="40" t="s">
        <v>86</v>
      </c>
      <c r="BV10" s="41" t="s">
        <v>79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たかの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0943CC2-76D3-4D25-B1F3-A8D5161D2483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2021-01-06T07:37:54Z</dcterms:modified>
</cp:coreProperties>
</file>