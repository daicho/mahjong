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B3ABA3D7-F7BA-425F-BC7B-FABE61376ECE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" i="20" l="1"/>
  <c r="E9" i="20"/>
  <c r="E8" i="20"/>
  <c r="E7" i="20"/>
  <c r="C7" i="20" s="1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D8" i="20"/>
  <c r="C8" i="20"/>
  <c r="D7" i="20"/>
  <c r="J6" i="20"/>
  <c r="J7" i="20" s="1"/>
  <c r="J5" i="20"/>
  <c r="D5" i="20"/>
  <c r="T4" i="20"/>
  <c r="T5" i="20" s="1"/>
  <c r="O4" i="20"/>
  <c r="O5" i="20" s="1"/>
  <c r="J4" i="20"/>
  <c r="E4" i="20"/>
  <c r="W3" i="20"/>
  <c r="V3" i="20"/>
  <c r="U3" i="20"/>
  <c r="W2" i="20"/>
  <c r="V2" i="20"/>
  <c r="U2" i="20"/>
  <c r="BO1" i="20"/>
  <c r="AT1" i="20"/>
  <c r="Y1" i="20"/>
  <c r="E10" i="19"/>
  <c r="E9" i="19"/>
  <c r="E8" i="19"/>
  <c r="E7" i="19"/>
  <c r="E6" i="19"/>
  <c r="E5" i="19"/>
  <c r="O6" i="20" l="1"/>
  <c r="V5" i="20"/>
  <c r="U5" i="20"/>
  <c r="T6" i="20"/>
  <c r="W5" i="20"/>
  <c r="J8" i="20"/>
  <c r="B5" i="20"/>
  <c r="B6" i="20" s="1"/>
  <c r="C10" i="20"/>
  <c r="C5" i="20"/>
  <c r="C6" i="20" s="1"/>
  <c r="U4" i="20"/>
  <c r="V4" i="20"/>
  <c r="D6" i="20"/>
  <c r="C9" i="20"/>
  <c r="W4" i="20"/>
  <c r="D9" i="20"/>
  <c r="E4" i="19"/>
  <c r="B7" i="20" l="1"/>
  <c r="J9" i="20"/>
  <c r="O7" i="20"/>
  <c r="V6" i="20"/>
  <c r="U6" i="20"/>
  <c r="T7" i="20"/>
  <c r="W6" i="20"/>
  <c r="A5" i="20"/>
  <c r="A6" i="20" s="1"/>
  <c r="W3" i="19"/>
  <c r="V3" i="19"/>
  <c r="U3" i="19"/>
  <c r="A7" i="20" l="1"/>
  <c r="B8" i="20"/>
  <c r="A8" i="20" s="1"/>
  <c r="W7" i="20"/>
  <c r="T8" i="20"/>
  <c r="J10" i="20"/>
  <c r="O8" i="20"/>
  <c r="V7" i="20"/>
  <c r="U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O9" i="20" l="1"/>
  <c r="V8" i="20"/>
  <c r="U8" i="20"/>
  <c r="T9" i="20"/>
  <c r="W8" i="20"/>
  <c r="B9" i="20"/>
  <c r="A9" i="20" s="1"/>
  <c r="U10" i="19"/>
  <c r="U9" i="19"/>
  <c r="V9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V9" i="20" l="1"/>
  <c r="O10" i="20"/>
  <c r="U9" i="20"/>
  <c r="B10" i="20"/>
  <c r="A10" i="20" s="1"/>
  <c r="T10" i="20"/>
  <c r="W9" i="20"/>
  <c r="W5" i="19"/>
  <c r="V5" i="19"/>
  <c r="U5" i="19"/>
  <c r="V10" i="20" l="1"/>
  <c r="U10" i="20"/>
  <c r="W10" i="20"/>
</calcChain>
</file>

<file path=xl/sharedStrings.xml><?xml version="1.0" encoding="utf-8"?>
<sst xmlns="http://schemas.openxmlformats.org/spreadsheetml/2006/main" count="661" uniqueCount="204">
  <si>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</si>
  <si>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</si>
  <si>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</si>
  <si>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</si>
  <si>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</si>
  <si>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</si>
  <si>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</si>
  <si>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</si>
  <si>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</si>
  <si>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</si>
  <si>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</si>
  <si>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</si>
  <si>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</si>
  <si>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</si>
  <si>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</si>
  <si>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</si>
  <si>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</si>
  <si>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</si>
  <si>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</si>
  <si>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</si>
  <si>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</si>
  <si>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</si>
  <si>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</si>
  <si>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</si>
  <si>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</si>
  <si>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</si>
  <si>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</si>
  <si>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</si>
  <si>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</si>
  <si>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</si>
  <si>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</si>
  <si>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</si>
  <si>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</si>
  <si>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</si>
  <si>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</si>
  <si>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</si>
  <si>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</si>
  <si>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</si>
  <si>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</si>
  <si>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</si>
  <si>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</si>
  <si>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</si>
  <si>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</si>
  <si>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</si>
  <si>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</si>
  <si>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</si>
  <si>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</si>
  <si>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</si>
  <si>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</si>
  <si>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</si>
  <si>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</si>
  <si>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</si>
  <si>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</si>
  <si>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</si>
  <si>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</si>
  <si>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</si>
  <si>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</si>
  <si>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</si>
  <si>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</si>
  <si>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</si>
  <si>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</si>
  <si>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</si>
  <si>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</si>
  <si>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</si>
  <si>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</si>
  <si>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</si>
  <si>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</si>
  <si>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</si>
  <si>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</si>
  <si>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</si>
  <si>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</si>
  <si>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</si>
  <si>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</si>
  <si>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</si>
  <si>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</si>
  <si>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</si>
  <si>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</si>
  <si>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</si>
  <si>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</si>
  <si>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</si>
  <si>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</si>
  <si>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</si>
  <si>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</si>
  <si>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</si>
  <si>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</si>
  <si>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</si>
  <si>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</si>
  <si>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</si>
  <si>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</si>
  <si>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</si>
  <si>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</si>
  <si>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</si>
  <si>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</si>
  <si>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</si>
  <si>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</si>
  <si>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</si>
  <si>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</si>
  <si>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</si>
  <si>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</si>
  <si>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</si>
  <si>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</si>
  <si>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</si>
  <si>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</si>
  <si>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</si>
  <si>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</si>
  <si>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</si>
  <si>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</si>
  <si>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</si>
  <si>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</si>
  <si>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</si>
  <si>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</si>
  <si>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</si>
  <si>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</si>
  <si>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</si>
  <si>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</si>
  <si>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</si>
  <si>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</si>
  <si>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</si>
  <si>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</si>
  <si>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</si>
  <si>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</si>
  <si>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</si>
  <si>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</si>
  <si>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</si>
  <si>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</si>
  <si>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</si>
  <si>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</si>
  <si>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</si>
  <si>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</si>
  <si>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</si>
  <si>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</si>
  <si>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</si>
  <si>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</si>
  <si>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</si>
  <si>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</si>
  <si>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</si>
  <si>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</si>
  <si>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</si>
  <si>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</si>
  <si>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</si>
  <si>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</si>
  <si>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</si>
  <si>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</si>
  <si>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</si>
  <si>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</si>
  <si>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</si>
  <si>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</si>
  <si>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</si>
  <si>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</si>
  <si>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</si>
  <si>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</si>
  <si>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</si>
  <si>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</si>
  <si>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</si>
  <si>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</si>
  <si>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</si>
  <si>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</si>
  <si>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</si>
  <si>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</si>
  <si>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</si>
  <si>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</si>
  <si>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</si>
  <si>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</si>
  <si>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</si>
  <si>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</si>
  <si>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</si>
  <si>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</si>
  <si>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</si>
  <si>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</si>
  <si>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</si>
  <si>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</si>
  <si>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</si>
  <si>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</si>
  <si>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</si>
  <si>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</si>
  <si>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</si>
  <si>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</si>
  <si>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</si>
  <si>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</si>
  <si>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</si>
  <si>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</si>
  <si>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</si>
  <si>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</si>
  <si>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</si>
  <si>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</si>
  <si>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</si>
  <si>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</si>
  <si>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</si>
  <si>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</si>
  <si>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</si>
  <si>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</si>
  <si>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  <phoneticPr fontId="1"/>
  </si>
  <si>
    <t>ただ</t>
    <phoneticPr fontId="1"/>
  </si>
  <si>
    <t>だいち</t>
    <phoneticPr fontId="1"/>
  </si>
  <si>
    <t>ロン</t>
  </si>
  <si>
    <t>放銃</t>
  </si>
  <si>
    <t>ツモ支払</t>
  </si>
  <si>
    <t>ツモ</t>
  </si>
  <si>
    <t>52</t>
  </si>
  <si>
    <t>01</t>
  </si>
  <si>
    <t>*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</si>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</sst>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40</v>
      </c>
      <c r="AZ4" s="40" t="s">
        <v>86</v>
      </c>
      <c r="BA4" s="41" t="s">
        <v>104</v>
      </c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-1500</v>
      </c>
      <c r="H5" s="9"/>
      <c r="I5" s="48">
        <v>0</v>
      </c>
      <c r="J5" s="21">
        <f t="shared" ref="J5:J30" si="2">IF(COUNTA($F5,$K5,$P5)&gt;0,J4+SUM(G5:I5),"")</f>
        <v>33500</v>
      </c>
      <c r="K5" s="8" t="s">
        <v>197</v>
      </c>
      <c r="L5" s="9">
        <v>3000</v>
      </c>
      <c r="M5" s="9"/>
      <c r="N5" s="48">
        <v>0</v>
      </c>
      <c r="O5" s="21">
        <f t="shared" ref="O5:O30" si="3">IF(COUNTA($F5,$K5,$P5)&gt;0,O4+SUM(L5:N5),"")</f>
        <v>46000</v>
      </c>
      <c r="P5" s="8" t="s">
        <v>196</v>
      </c>
      <c r="Q5" s="9">
        <v>-1500</v>
      </c>
      <c r="R5" s="9"/>
      <c r="S5" s="48">
        <v>0</v>
      </c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21</v>
      </c>
      <c r="W5" s="55">
        <f>IF($T5="","",ROUND(($T5-$T$3)/1000,1)+(_xlfn.RANK.AVG($T5,($J5,$O5,$T5),1)-2)*10)</f>
        <v>-19.5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2</v>
      </c>
      <c r="AY5" s="30">
        <v>30</v>
      </c>
      <c r="AZ5" s="40" t="s">
        <v>86</v>
      </c>
      <c r="BA5" s="41" t="s">
        <v>198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196</v>
      </c>
      <c r="G6" s="9">
        <v>-3000</v>
      </c>
      <c r="H6" s="9"/>
      <c r="I6" s="48">
        <v>-500</v>
      </c>
      <c r="J6" s="21">
        <f t="shared" si="2"/>
        <v>30000</v>
      </c>
      <c r="K6" s="8" t="s">
        <v>196</v>
      </c>
      <c r="L6" s="9">
        <v>-5000</v>
      </c>
      <c r="M6" s="9"/>
      <c r="N6" s="48">
        <v>-500</v>
      </c>
      <c r="O6" s="21">
        <f t="shared" si="3"/>
        <v>40500</v>
      </c>
      <c r="P6" s="8" t="s">
        <v>197</v>
      </c>
      <c r="Q6" s="9">
        <v>8000</v>
      </c>
      <c r="R6" s="9"/>
      <c r="S6" s="48">
        <v>1000</v>
      </c>
      <c r="T6" s="21">
        <f t="shared" si="4"/>
        <v>34500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15.5</v>
      </c>
      <c r="W6" s="55">
        <f>IF($T6="","",ROUND(($T6-$T$3)/1000,1)+(_xlfn.RANK.AVG($T6,($J6,$O6,$T6),1)-2)*10)</f>
        <v>-0.5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40</v>
      </c>
      <c r="BU6" s="40" t="s">
        <v>199</v>
      </c>
      <c r="BV6" s="41" t="s">
        <v>82</v>
      </c>
      <c r="BW6" s="41" t="s">
        <v>79</v>
      </c>
      <c r="BX6" s="41" t="s">
        <v>198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だいち</v>
      </c>
      <c r="F7" s="8" t="s">
        <v>196</v>
      </c>
      <c r="G7" s="9">
        <v>-2000</v>
      </c>
      <c r="H7" s="9"/>
      <c r="I7" s="48">
        <v>0</v>
      </c>
      <c r="J7" s="21">
        <f t="shared" si="2"/>
        <v>28000</v>
      </c>
      <c r="K7" s="8" t="s">
        <v>197</v>
      </c>
      <c r="L7" s="9">
        <v>5300</v>
      </c>
      <c r="M7" s="9"/>
      <c r="N7" s="48">
        <v>0</v>
      </c>
      <c r="O7" s="21">
        <f t="shared" si="3"/>
        <v>45800</v>
      </c>
      <c r="P7" s="8" t="s">
        <v>196</v>
      </c>
      <c r="Q7" s="9">
        <v>-3300</v>
      </c>
      <c r="R7" s="9"/>
      <c r="S7" s="48">
        <v>0</v>
      </c>
      <c r="T7" s="21">
        <f t="shared" si="4"/>
        <v>31200</v>
      </c>
      <c r="U7" s="53">
        <f>IF($J7="","",ROUND(($J7-$J$3)/1000,1)+(_xlfn.RANK.AVG($J7,($J7,$O7,$T7),1)-2)*10)</f>
        <v>-17</v>
      </c>
      <c r="V7" s="54">
        <f>IF($O7="","",ROUND(($O7-$O$3)/1000,1)+(_xlfn.RANK.AVG($O7,($J7,$O7,$T7),1)-2)*10)</f>
        <v>20.8</v>
      </c>
      <c r="W7" s="55">
        <f>IF($T7="","",ROUND(($T7-$T$3)/1000,1)+(_xlfn.RANK.AVG($T7,($J7,$O7,$T7),1)-2)*10)</f>
        <v>-3.8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4</v>
      </c>
      <c r="AY7" s="30">
        <v>20</v>
      </c>
      <c r="AZ7" s="40" t="s">
        <v>199</v>
      </c>
      <c r="BA7" s="41" t="s">
        <v>83</v>
      </c>
      <c r="BB7" s="41" t="s">
        <v>198</v>
      </c>
      <c r="BC7" s="41" t="s">
        <v>198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たかの</v>
      </c>
      <c r="F8" s="8"/>
      <c r="G8" s="9"/>
      <c r="H8" s="9"/>
      <c r="I8" s="48"/>
      <c r="J8" s="21">
        <f t="shared" si="2"/>
        <v>28000</v>
      </c>
      <c r="K8" s="8" t="s">
        <v>194</v>
      </c>
      <c r="L8" s="9">
        <v>2600</v>
      </c>
      <c r="M8" s="9"/>
      <c r="N8" s="48">
        <v>0</v>
      </c>
      <c r="O8" s="21">
        <f t="shared" si="3"/>
        <v>48400</v>
      </c>
      <c r="P8" s="8" t="s">
        <v>195</v>
      </c>
      <c r="Q8" s="9">
        <v>-2600</v>
      </c>
      <c r="R8" s="9"/>
      <c r="S8" s="48">
        <v>0</v>
      </c>
      <c r="T8" s="21">
        <f t="shared" si="4"/>
        <v>28600</v>
      </c>
      <c r="U8" s="53">
        <f>IF($J8="","",ROUND(($J8-$J$3)/1000,1)+(_xlfn.RANK.AVG($J8,($J8,$O8,$T8),1)-2)*10)</f>
        <v>-17</v>
      </c>
      <c r="V8" s="54">
        <f>IF($O8="","",ROUND(($O8-$O$3)/1000,1)+(_xlfn.RANK.AVG($O8,($J8,$O8,$T8),1)-2)*10)</f>
        <v>23.4</v>
      </c>
      <c r="W8" s="55">
        <f>IF($T8="","",ROUND(($T8-$T$3)/1000,1)+(_xlfn.RANK.AVG($T8,($J8,$O8,$T8),1)-2)*10)</f>
        <v>-6.4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2</v>
      </c>
      <c r="AY8" s="30">
        <v>40</v>
      </c>
      <c r="AZ8" s="40" t="s">
        <v>86</v>
      </c>
      <c r="BA8" s="41" t="s">
        <v>198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196</v>
      </c>
      <c r="G9" s="9">
        <v>-4500</v>
      </c>
      <c r="H9" s="9"/>
      <c r="I9" s="48">
        <v>0</v>
      </c>
      <c r="J9" s="21">
        <f t="shared" si="2"/>
        <v>23500</v>
      </c>
      <c r="K9" s="8" t="s">
        <v>196</v>
      </c>
      <c r="L9" s="9">
        <v>-7500</v>
      </c>
      <c r="M9" s="9"/>
      <c r="N9" s="48">
        <v>0</v>
      </c>
      <c r="O9" s="21">
        <f t="shared" si="3"/>
        <v>40900</v>
      </c>
      <c r="P9" s="8" t="s">
        <v>197</v>
      </c>
      <c r="Q9" s="9">
        <v>12000</v>
      </c>
      <c r="R9" s="9"/>
      <c r="S9" s="48">
        <v>0</v>
      </c>
      <c r="T9" s="21">
        <f t="shared" si="4"/>
        <v>40600</v>
      </c>
      <c r="U9" s="53">
        <f>IF($J9="","",ROUND(($J9-$J$3)/1000,1)+(_xlfn.RANK.AVG($J9,($J9,$O9,$T9),1)-2)*10)</f>
        <v>-21.5</v>
      </c>
      <c r="V9" s="54">
        <f>IF($O9="","",ROUND(($O9-$O$3)/1000,1)+(_xlfn.RANK.AVG($O9,($J9,$O9,$T9),1)-2)*10)</f>
        <v>15.9</v>
      </c>
      <c r="W9" s="55">
        <f>IF($T9="","",ROUND(($T9-$T$3)/1000,1)+(_xlfn.RANK.AVG($T9,($J9,$O9,$T9),1)-2)*10)</f>
        <v>5.6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199</v>
      </c>
      <c r="BV9" s="41" t="s">
        <v>85</v>
      </c>
      <c r="BW9" s="41" t="s">
        <v>83</v>
      </c>
      <c r="BX9" s="41" t="s">
        <v>79</v>
      </c>
      <c r="BY9" s="41" t="s">
        <v>198</v>
      </c>
      <c r="BZ9" s="41" t="s">
        <v>80</v>
      </c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196</v>
      </c>
      <c r="G10" s="9">
        <v>-3000</v>
      </c>
      <c r="H10" s="9"/>
      <c r="I10" s="48">
        <v>0</v>
      </c>
      <c r="J10" s="21">
        <f t="shared" si="2"/>
        <v>20500</v>
      </c>
      <c r="K10" s="8" t="s">
        <v>197</v>
      </c>
      <c r="L10" s="9">
        <v>8000</v>
      </c>
      <c r="M10" s="9"/>
      <c r="N10" s="48">
        <v>0</v>
      </c>
      <c r="O10" s="21">
        <f t="shared" si="3"/>
        <v>48900</v>
      </c>
      <c r="P10" s="8" t="s">
        <v>196</v>
      </c>
      <c r="Q10" s="9">
        <v>-5000</v>
      </c>
      <c r="R10" s="9"/>
      <c r="S10" s="48">
        <v>0</v>
      </c>
      <c r="T10" s="21">
        <f t="shared" si="4"/>
        <v>35600</v>
      </c>
      <c r="U10" s="53">
        <f>IF($J10="","",ROUND(($J10-$J$3)/1000,1)+(_xlfn.RANK.AVG($J10,($J10,$O10,$T10),1)-2)*10)</f>
        <v>-24.5</v>
      </c>
      <c r="V10" s="54">
        <f>IF($O10="","",ROUND(($O10-$O$3)/1000,1)+(_xlfn.RANK.AVG($O10,($J10,$O10,$T10),1)-2)*10)</f>
        <v>23.9</v>
      </c>
      <c r="W10" s="55">
        <f>IF($T10="","",ROUND(($T10-$T$3)/1000,1)+(_xlfn.RANK.AVG($T10,($J10,$O10,$T10),1)-2)*10)</f>
        <v>0.6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5</v>
      </c>
      <c r="AY10" s="30" t="s">
        <v>200</v>
      </c>
      <c r="AZ10" s="40" t="s">
        <v>79</v>
      </c>
      <c r="BA10" s="41" t="s">
        <v>79</v>
      </c>
      <c r="BB10" s="41" t="s">
        <v>199</v>
      </c>
      <c r="BC10" s="41" t="s">
        <v>85</v>
      </c>
      <c r="BD10" s="41" t="s">
        <v>84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808A1B13-C2B0-4EA2-900C-5C78D5CAF72C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73C0-3E59-4E16-98E1-BC970F7E0F66}">
  <sheetPr codeName="Sheet11">
    <pageSetUpPr fitToPage="1"/>
  </sheetPr>
  <dimension ref="A1:CI30"/>
  <sheetViews>
    <sheetView tabSelected="1" zoomScaleNormal="100" workbookViewId="0">
      <selection activeCell="K2" sqref="K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196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196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200</v>
      </c>
      <c r="AZ4" s="40" t="s">
        <v>199</v>
      </c>
      <c r="BA4" s="41" t="s">
        <v>82</v>
      </c>
      <c r="BB4" s="41" t="s">
        <v>96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たかの</v>
      </c>
      <c r="F5" s="8" t="s">
        <v>197</v>
      </c>
      <c r="G5" s="9">
        <v>8000</v>
      </c>
      <c r="H5" s="9"/>
      <c r="I5" s="48">
        <v>0</v>
      </c>
      <c r="J5" s="21">
        <f t="shared" ref="J5:J30" si="2">IF(COUNTA($F5,$K5,$P5)&gt;0,J4+SUM(G5:I5),"")</f>
        <v>38000</v>
      </c>
      <c r="K5" s="8" t="s">
        <v>196</v>
      </c>
      <c r="L5" s="9">
        <v>-5000</v>
      </c>
      <c r="M5" s="9"/>
      <c r="N5" s="48">
        <v>0</v>
      </c>
      <c r="O5" s="21">
        <f t="shared" ref="O5:O30" si="3">IF(COUNTA($F5,$K5,$P5)&gt;0,O4+SUM(L5:N5),"")</f>
        <v>38000</v>
      </c>
      <c r="P5" s="8" t="s">
        <v>196</v>
      </c>
      <c r="Q5" s="9">
        <v>-3000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8</v>
      </c>
      <c r="V5" s="54">
        <f>IF($O5="","",ROUND(($O5-$O$3)/1000,1)+(_xlfn.RANK.AVG($O5,($J5,$O5,$T5),1)-2)*10)</f>
        <v>8</v>
      </c>
      <c r="W5" s="55">
        <f>IF($T5="","",ROUND(($T5-$T$3)/1000,1)+(_xlfn.RANK.AVG($T5,($J5,$O5,$T5),1)-2)*10)</f>
        <v>-16</v>
      </c>
      <c r="Y5" s="8"/>
      <c r="Z5" s="34"/>
      <c r="AA5" s="26">
        <v>1</v>
      </c>
      <c r="AB5" s="26"/>
      <c r="AC5" s="26">
        <v>5</v>
      </c>
      <c r="AD5" s="30" t="s">
        <v>200</v>
      </c>
      <c r="AE5" s="40" t="s">
        <v>199</v>
      </c>
      <c r="AF5" s="41" t="s">
        <v>80</v>
      </c>
      <c r="AG5" s="41" t="s">
        <v>80</v>
      </c>
      <c r="AH5" s="41" t="s">
        <v>198</v>
      </c>
      <c r="AI5" s="41" t="s">
        <v>198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197</v>
      </c>
      <c r="G6" s="9">
        <v>4000</v>
      </c>
      <c r="H6" s="9"/>
      <c r="I6" s="48">
        <v>0</v>
      </c>
      <c r="J6" s="21">
        <f t="shared" si="2"/>
        <v>42000</v>
      </c>
      <c r="K6" s="8" t="s">
        <v>196</v>
      </c>
      <c r="L6" s="9">
        <v>-1500</v>
      </c>
      <c r="M6" s="9"/>
      <c r="N6" s="48">
        <v>0</v>
      </c>
      <c r="O6" s="21">
        <f t="shared" si="3"/>
        <v>36500</v>
      </c>
      <c r="P6" s="8" t="s">
        <v>196</v>
      </c>
      <c r="Q6" s="9">
        <v>-2500</v>
      </c>
      <c r="R6" s="9"/>
      <c r="S6" s="48">
        <v>0</v>
      </c>
      <c r="T6" s="21">
        <f t="shared" si="4"/>
        <v>26500</v>
      </c>
      <c r="U6" s="53">
        <f>IF($J6="","",ROUND(($J6-$J$3)/1000,1)+(_xlfn.RANK.AVG($J6,($J6,$O6,$T6),1)-2)*10)</f>
        <v>17</v>
      </c>
      <c r="V6" s="54">
        <f>IF($O6="","",ROUND(($O6-$O$3)/1000,1)+(_xlfn.RANK.AVG($O6,($J6,$O6,$T6),1)-2)*10)</f>
        <v>1.5</v>
      </c>
      <c r="W6" s="55">
        <f>IF($T6="","",ROUND(($T6-$T$3)/1000,1)+(_xlfn.RANK.AVG($T6,($J6,$O6,$T6),1)-2)*10)</f>
        <v>-18.5</v>
      </c>
      <c r="Y6" s="8"/>
      <c r="Z6" s="34"/>
      <c r="AA6" s="26">
        <v>1</v>
      </c>
      <c r="AB6" s="26"/>
      <c r="AC6" s="26">
        <v>3</v>
      </c>
      <c r="AD6" s="30">
        <v>30</v>
      </c>
      <c r="AE6" s="40" t="s">
        <v>199</v>
      </c>
      <c r="AF6" s="41" t="s">
        <v>82</v>
      </c>
      <c r="AG6" s="41" t="s">
        <v>80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203</v>
      </c>
      <c r="G7" s="9">
        <v>-1500</v>
      </c>
      <c r="H7" s="9"/>
      <c r="I7" s="48"/>
      <c r="J7" s="21">
        <f t="shared" si="2"/>
        <v>40500</v>
      </c>
      <c r="K7" s="8" t="s">
        <v>203</v>
      </c>
      <c r="L7" s="9">
        <v>3000</v>
      </c>
      <c r="M7" s="9">
        <v>-1000</v>
      </c>
      <c r="N7" s="48"/>
      <c r="O7" s="21">
        <f t="shared" si="3"/>
        <v>38500</v>
      </c>
      <c r="P7" s="8" t="s">
        <v>203</v>
      </c>
      <c r="Q7" s="9">
        <v>-1500</v>
      </c>
      <c r="R7" s="9"/>
      <c r="S7" s="48"/>
      <c r="T7" s="21">
        <f t="shared" si="4"/>
        <v>25000</v>
      </c>
      <c r="U7" s="53">
        <f>IF($J7="","",ROUND(($J7-$J$3)/1000,1)+(_xlfn.RANK.AVG($J7,($J7,$O7,$T7),1)-2)*10)</f>
        <v>15.5</v>
      </c>
      <c r="V7" s="54">
        <f>IF($O7="","",ROUND(($O7-$O$3)/1000,1)+(_xlfn.RANK.AVG($O7,($J7,$O7,$T7),1)-2)*10)</f>
        <v>3.5</v>
      </c>
      <c r="W7" s="55">
        <f>IF($T7="","",ROUND(($T7-$T$3)/1000,1)+(_xlfn.RANK.AVG($T7,($J7,$O7,$T7),1)-2)*10)</f>
        <v>-20</v>
      </c>
      <c r="Y7" s="8" t="s">
        <v>201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1</v>
      </c>
      <c r="D8" s="18">
        <f t="shared" si="1"/>
        <v>1</v>
      </c>
      <c r="E8" s="4" t="str">
        <f>IF($K$1="","",$K$1)</f>
        <v>たかの</v>
      </c>
      <c r="F8" s="8" t="s">
        <v>194</v>
      </c>
      <c r="G8" s="9">
        <v>8000</v>
      </c>
      <c r="H8" s="9">
        <v>3000</v>
      </c>
      <c r="I8" s="48">
        <v>1000</v>
      </c>
      <c r="J8" s="21">
        <f t="shared" si="2"/>
        <v>52500</v>
      </c>
      <c r="K8" s="8" t="s">
        <v>195</v>
      </c>
      <c r="L8" s="9">
        <v>-8000</v>
      </c>
      <c r="M8" s="9">
        <v>-2000</v>
      </c>
      <c r="N8" s="48">
        <v>-1000</v>
      </c>
      <c r="O8" s="21">
        <f t="shared" si="3"/>
        <v>27500</v>
      </c>
      <c r="P8" s="8"/>
      <c r="Q8" s="9"/>
      <c r="R8" s="9"/>
      <c r="S8" s="48"/>
      <c r="T8" s="21">
        <f t="shared" si="4"/>
        <v>25000</v>
      </c>
      <c r="U8" s="53">
        <f>IF($J8="","",ROUND(($J8-$J$3)/1000,1)+(_xlfn.RANK.AVG($J8,($J8,$O8,$T8),1)-2)*10)</f>
        <v>27.5</v>
      </c>
      <c r="V8" s="54">
        <f>IF($O8="","",ROUND(($O8-$O$3)/1000,1)+(_xlfn.RANK.AVG($O8,($J8,$O8,$T8),1)-2)*10)</f>
        <v>-7.5</v>
      </c>
      <c r="W8" s="55">
        <f>IF($T8="","",ROUND(($T8-$T$3)/1000,1)+(_xlfn.RANK.AVG($T8,($J8,$O8,$T8),1)-2)*10)</f>
        <v>-20</v>
      </c>
      <c r="Y8" s="8"/>
      <c r="Z8" s="34"/>
      <c r="AA8" s="26"/>
      <c r="AB8" s="26"/>
      <c r="AC8" s="26">
        <v>4</v>
      </c>
      <c r="AD8" s="30">
        <v>40</v>
      </c>
      <c r="AE8" s="40" t="s">
        <v>104</v>
      </c>
      <c r="AF8" s="41" t="s">
        <v>198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194</v>
      </c>
      <c r="G9" s="9">
        <v>8000</v>
      </c>
      <c r="H9" s="9"/>
      <c r="I9" s="48">
        <v>0</v>
      </c>
      <c r="J9" s="21">
        <f t="shared" si="2"/>
        <v>60500</v>
      </c>
      <c r="K9" s="8" t="s">
        <v>195</v>
      </c>
      <c r="L9" s="9">
        <v>-8000</v>
      </c>
      <c r="M9" s="9"/>
      <c r="N9" s="48">
        <v>0</v>
      </c>
      <c r="O9" s="21">
        <f t="shared" si="3"/>
        <v>19500</v>
      </c>
      <c r="P9" s="8"/>
      <c r="Q9" s="9"/>
      <c r="R9" s="9"/>
      <c r="S9" s="48"/>
      <c r="T9" s="21">
        <f t="shared" si="4"/>
        <v>25000</v>
      </c>
      <c r="U9" s="53">
        <f>IF($J9="","",ROUND(($J9-$J$3)/1000,1)+(_xlfn.RANK.AVG($J9,($J9,$O9,$T9),1)-2)*10)</f>
        <v>35.5</v>
      </c>
      <c r="V9" s="54">
        <f>IF($O9="","",ROUND(($O9-$O$3)/1000,1)+(_xlfn.RANK.AVG($O9,($J9,$O9,$T9),1)-2)*10)</f>
        <v>-25.5</v>
      </c>
      <c r="W9" s="55">
        <f>IF($T9="","",ROUND(($T9-$T$3)/1000,1)+(_xlfn.RANK.AVG($T9,($J9,$O9,$T9),1)-2)*10)</f>
        <v>-10</v>
      </c>
      <c r="Y9" s="8"/>
      <c r="Z9" s="34"/>
      <c r="AA9" s="26"/>
      <c r="AB9" s="26">
        <v>1</v>
      </c>
      <c r="AC9" s="26">
        <v>5</v>
      </c>
      <c r="AD9" s="30" t="s">
        <v>200</v>
      </c>
      <c r="AE9" s="40" t="s">
        <v>98</v>
      </c>
      <c r="AF9" s="41" t="s">
        <v>86</v>
      </c>
      <c r="AG9" s="41" t="s">
        <v>95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9920346-2CA9-4AF8-BC44-B3BEF44B7083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3A467D8B-3031-48B9-967C-A5117B9508F8}">
      <formula1>"ロン,ツモ,放銃,ツモ支払,流局,チョンボ"</formula1>
    </dataValidation>
    <dataValidation type="list" allowBlank="1" showInputMessage="1" showErrorMessage="1" sqref="E4:E30" xr:uid="{9605B3B8-0245-47C5-B96D-F6D508AB396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2020-11-12T12:01:09Z</dcterms:modified>
</cp:coreProperties>
</file>