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EC0E51A4-942C-4935-9501-60BBF681CB43}" xr6:coauthVersionLast="45" xr6:coauthVersionMax="45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" i="21" l="1"/>
  <c r="E13" i="21"/>
  <c r="E12" i="21"/>
  <c r="D12" i="21" s="1"/>
  <c r="E11" i="21"/>
  <c r="E10" i="21"/>
  <c r="C10" i="21" s="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 s="1"/>
  <c r="T13" i="21"/>
  <c r="O13" i="21"/>
  <c r="J13" i="21"/>
  <c r="D13" i="21"/>
  <c r="C13" i="21"/>
  <c r="B13" i="21"/>
  <c r="A13" i="21" s="1"/>
  <c r="T12" i="21"/>
  <c r="W12" i="21" s="1"/>
  <c r="O12" i="21"/>
  <c r="V12" i="21" s="1"/>
  <c r="J12" i="21"/>
  <c r="D11" i="21"/>
  <c r="D10" i="21"/>
  <c r="D7" i="21"/>
  <c r="C7" i="21"/>
  <c r="O6" i="21"/>
  <c r="O7" i="21" s="1"/>
  <c r="D6" i="21"/>
  <c r="C6" i="21"/>
  <c r="O5" i="21"/>
  <c r="J5" i="21"/>
  <c r="C5" i="21"/>
  <c r="T4" i="21"/>
  <c r="T5" i="21" s="1"/>
  <c r="O4" i="21"/>
  <c r="J4" i="21"/>
  <c r="U4" i="21" s="1"/>
  <c r="E4" i="21"/>
  <c r="B5" i="21" s="1"/>
  <c r="W3" i="21"/>
  <c r="V3" i="21"/>
  <c r="U3" i="21"/>
  <c r="W2" i="21"/>
  <c r="V2" i="21"/>
  <c r="U2" i="21"/>
  <c r="BO1" i="21"/>
  <c r="AT1" i="21"/>
  <c r="Y1" i="21"/>
  <c r="E11" i="20"/>
  <c r="E10" i="20"/>
  <c r="E9" i="20"/>
  <c r="U13" i="21" l="1"/>
  <c r="W13" i="21"/>
  <c r="V13" i="21"/>
  <c r="U12" i="21"/>
  <c r="C12" i="21"/>
  <c r="B12" i="21"/>
  <c r="A12" i="21" s="1"/>
  <c r="V4" i="21"/>
  <c r="U5" i="21"/>
  <c r="O8" i="21"/>
  <c r="A5" i="21"/>
  <c r="T6" i="21"/>
  <c r="W5" i="21"/>
  <c r="J6" i="21"/>
  <c r="D5" i="21"/>
  <c r="C8" i="21"/>
  <c r="V5" i="21"/>
  <c r="B6" i="21"/>
  <c r="D8" i="21"/>
  <c r="C11" i="21"/>
  <c r="C9" i="21"/>
  <c r="W4" i="21"/>
  <c r="D9" i="21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D12" i="20"/>
  <c r="C12" i="20"/>
  <c r="D11" i="20"/>
  <c r="D10" i="20"/>
  <c r="D9" i="20"/>
  <c r="D8" i="20"/>
  <c r="D7" i="20"/>
  <c r="T5" i="20"/>
  <c r="T6" i="20" s="1"/>
  <c r="J5" i="20"/>
  <c r="D5" i="20"/>
  <c r="T4" i="20"/>
  <c r="O4" i="20"/>
  <c r="O5" i="20" s="1"/>
  <c r="J4" i="20"/>
  <c r="E4" i="20"/>
  <c r="W3" i="20"/>
  <c r="V3" i="20"/>
  <c r="U3" i="20"/>
  <c r="W2" i="20"/>
  <c r="V2" i="20"/>
  <c r="U2" i="20"/>
  <c r="BO1" i="20"/>
  <c r="AT1" i="20"/>
  <c r="Y1" i="20"/>
  <c r="W6" i="21" l="1"/>
  <c r="T7" i="21"/>
  <c r="A6" i="21"/>
  <c r="J7" i="21"/>
  <c r="U6" i="21"/>
  <c r="O9" i="21"/>
  <c r="V6" i="21"/>
  <c r="B7" i="21"/>
  <c r="A7" i="21" s="1"/>
  <c r="U4" i="20"/>
  <c r="W4" i="20"/>
  <c r="B6" i="20"/>
  <c r="A6" i="20" s="1"/>
  <c r="O6" i="20"/>
  <c r="V5" i="20"/>
  <c r="T7" i="20"/>
  <c r="U5" i="20"/>
  <c r="V4" i="20"/>
  <c r="D6" i="20"/>
  <c r="C9" i="20"/>
  <c r="C10" i="20" s="1"/>
  <c r="C11" i="20" s="1"/>
  <c r="J6" i="20"/>
  <c r="W6" i="20" s="1"/>
  <c r="B5" i="20"/>
  <c r="A5" i="20" s="1"/>
  <c r="C5" i="20"/>
  <c r="C6" i="20" s="1"/>
  <c r="W5" i="20"/>
  <c r="C7" i="20"/>
  <c r="C13" i="20"/>
  <c r="C8" i="20"/>
  <c r="T8" i="21" l="1"/>
  <c r="W7" i="21"/>
  <c r="O10" i="21"/>
  <c r="J8" i="21"/>
  <c r="U7" i="21"/>
  <c r="V7" i="21"/>
  <c r="B8" i="21"/>
  <c r="B7" i="20"/>
  <c r="A7" i="20" s="1"/>
  <c r="J7" i="20"/>
  <c r="U6" i="20"/>
  <c r="T8" i="20"/>
  <c r="O7" i="20"/>
  <c r="W7" i="20" s="1"/>
  <c r="V6" i="20"/>
  <c r="B9" i="21" l="1"/>
  <c r="A9" i="21" s="1"/>
  <c r="T9" i="21"/>
  <c r="W8" i="21"/>
  <c r="A8" i="21"/>
  <c r="J9" i="21"/>
  <c r="U8" i="21"/>
  <c r="V8" i="21"/>
  <c r="O11" i="21"/>
  <c r="V7" i="20"/>
  <c r="O8" i="20"/>
  <c r="J8" i="20"/>
  <c r="U7" i="20"/>
  <c r="T9" i="20"/>
  <c r="W8" i="20"/>
  <c r="B8" i="20"/>
  <c r="A8" i="20" s="1"/>
  <c r="T10" i="21" l="1"/>
  <c r="W9" i="21"/>
  <c r="J10" i="21"/>
  <c r="U9" i="21"/>
  <c r="V9" i="21"/>
  <c r="B10" i="21"/>
  <c r="A10" i="21" s="1"/>
  <c r="J9" i="20"/>
  <c r="U8" i="20"/>
  <c r="O9" i="20"/>
  <c r="V8" i="20"/>
  <c r="B9" i="20"/>
  <c r="T10" i="20"/>
  <c r="W9" i="20"/>
  <c r="B11" i="21" l="1"/>
  <c r="A11" i="21" s="1"/>
  <c r="J11" i="21"/>
  <c r="U10" i="21"/>
  <c r="V10" i="21"/>
  <c r="W10" i="21"/>
  <c r="T11" i="21"/>
  <c r="W11" i="21" s="1"/>
  <c r="T11" i="20"/>
  <c r="B10" i="20"/>
  <c r="A9" i="20"/>
  <c r="O10" i="20"/>
  <c r="V9" i="20"/>
  <c r="J10" i="20"/>
  <c r="U9" i="20"/>
  <c r="U11" i="21" l="1"/>
  <c r="V11" i="21"/>
  <c r="U10" i="20"/>
  <c r="J11" i="20"/>
  <c r="B11" i="20"/>
  <c r="A10" i="20"/>
  <c r="O11" i="20"/>
  <c r="W11" i="20" s="1"/>
  <c r="V10" i="20"/>
  <c r="W10" i="20"/>
  <c r="T12" i="20"/>
  <c r="B12" i="20" l="1"/>
  <c r="A11" i="20"/>
  <c r="U11" i="20"/>
  <c r="J12" i="20"/>
  <c r="O12" i="20"/>
  <c r="V11" i="20"/>
  <c r="T13" i="20"/>
  <c r="W13" i="20" l="1"/>
  <c r="O13" i="20"/>
  <c r="V12" i="20"/>
  <c r="B13" i="20"/>
  <c r="J13" i="20"/>
  <c r="U13" i="20" s="1"/>
  <c r="U12" i="20"/>
  <c r="W12" i="20"/>
  <c r="A12" i="20"/>
  <c r="A13" i="20" s="1"/>
  <c r="V13" i="20" l="1"/>
  <c r="E13" i="19" l="1"/>
  <c r="E12" i="19"/>
  <c r="E11" i="19"/>
  <c r="E10" i="19" l="1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W13" i="19" l="1"/>
  <c r="U13" i="19"/>
  <c r="V13" i="19"/>
  <c r="W12" i="19"/>
  <c r="V12" i="19"/>
  <c r="W11" i="19"/>
  <c r="V11" i="19"/>
  <c r="U10" i="19"/>
  <c r="U9" i="19"/>
  <c r="V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<sst xmlns="http://schemas.openxmlformats.org/spreadsheetml/2006/main" count="783" uniqueCount="205">
  <si>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</si>
  <si>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</si>
  <si>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</si>
  <si>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</si>
  <si>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</si>
  <si>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</si>
  <si>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</si>
  <si>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</si>
  <si>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</si>
  <si>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</si>
  <si>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</si>
  <si>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</si>
  <si>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</si>
  <si>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</si>
  <si>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</si>
  <si>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</si>
  <si>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</si>
  <si>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</si>
  <si>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</si>
  <si>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</si>
  <si>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</si>
  <si>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</si>
  <si>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</si>
  <si>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</si>
  <si>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</si>
  <si>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</si>
  <si>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</si>
  <si>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</si>
  <si>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</si>
  <si>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</si>
  <si>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</si>
  <si>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</si>
  <si>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</si>
  <si>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</si>
  <si>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</si>
  <si>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</si>
  <si>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</si>
  <si>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</si>
  <si>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</si>
  <si>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</si>
  <si>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</si>
  <si>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</si>
  <si>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</si>
  <si>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</si>
  <si>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</si>
  <si>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</si>
  <si>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</si>
  <si>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</si>
  <si>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</si>
  <si>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</si>
  <si>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</si>
  <si>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</si>
  <si>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</si>
  <si>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</si>
  <si>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</si>
  <si>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</si>
  <si>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</si>
  <si>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</si>
  <si>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</si>
  <si>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</si>
  <si>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</si>
  <si>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</si>
  <si>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</si>
  <si>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</si>
  <si>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</si>
  <si>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</si>
  <si>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</si>
  <si>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</si>
  <si>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</si>
  <si>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</si>
  <si>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</si>
  <si>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</si>
  <si>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</si>
  <si>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</si>
  <si>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</si>
  <si>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</si>
  <si>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</si>
  <si>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</si>
  <si>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</si>
  <si>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</si>
  <si>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</si>
  <si>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</si>
  <si>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</si>
  <si>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</si>
  <si>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</si>
  <si>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</si>
  <si>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</si>
  <si>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</si>
  <si>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</si>
  <si>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</si>
  <si>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</si>
  <si>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</si>
  <si>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</si>
  <si>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</si>
  <si>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</si>
  <si>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</si>
  <si>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</si>
  <si>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</si>
  <si>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</si>
  <si>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</si>
  <si>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</si>
  <si>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</si>
  <si>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</si>
  <si>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</si>
  <si>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</si>
  <si>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</si>
  <si>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</si>
  <si>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</si>
  <si>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</si>
  <si>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</si>
  <si>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</si>
  <si>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</si>
  <si>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</si>
  <si>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</si>
  <si>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</si>
  <si>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</si>
  <si>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</si>
  <si>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</si>
  <si>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</si>
  <si>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</si>
  <si>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</si>
  <si>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</si>
  <si>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</si>
  <si>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</si>
  <si>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</si>
  <si>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</si>
  <si>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</si>
  <si>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</si>
  <si>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</si>
  <si>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</si>
  <si>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</si>
  <si>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</si>
  <si>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</si>
  <si>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</si>
  <si>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</si>
  <si>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</si>
  <si>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</si>
  <si>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</si>
  <si>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</si>
  <si>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</si>
  <si>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</si>
  <si>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</si>
  <si>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</si>
  <si>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</si>
  <si>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</si>
  <si>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</si>
  <si>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</si>
  <si>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</si>
  <si>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</si>
  <si>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</si>
  <si>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</si>
  <si>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</si>
  <si>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</si>
  <si>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</si>
  <si>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</si>
  <si>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</si>
  <si>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</si>
  <si>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</si>
  <si>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</si>
  <si>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</si>
  <si>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</si>
  <si>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</si>
  <si>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</si>
  <si>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</si>
  <si>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</si>
  <si>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</si>
  <si>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</si>
  <si>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</si>
  <si>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</si>
  <si>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</si>
  <si>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</si>
  <si>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</si>
  <si>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</si>
  <si>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</si>
  <si>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</si>
  <si>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</si>
  <si>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</si>
  <si>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</si>
  <si>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</si>
  <si>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</si>
  <si>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</si>
  <si>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</si>
  <si>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</si>
  <si>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</si>
  <si>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</si>
  <si>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</si>
  <si>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</si>
  <si>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</si>
  <si>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</si>
  <si>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</si>
  <si>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</si>
  <si>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</si>
  <si>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たかの</t>
    <phoneticPr fontId="1"/>
  </si>
  <si>
    <t>いちかわ</t>
    <phoneticPr fontId="1"/>
  </si>
  <si>
    <t>ロン</t>
  </si>
  <si>
    <t>放銃</t>
  </si>
  <si>
    <t>01</t>
  </si>
  <si>
    <t>ツモ</t>
  </si>
  <si>
    <t>ツモ支払</t>
  </si>
  <si>
    <t>*</t>
  </si>
  <si>
    <t>52</t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</si>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</sst>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いちかわ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たかの</v>
      </c>
      <c r="W2" s="16" t="str">
        <f>$P$1</f>
        <v>いちかわ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6800</v>
      </c>
      <c r="H4" s="9"/>
      <c r="I4" s="48">
        <v>0</v>
      </c>
      <c r="J4" s="21">
        <f>IF(COUNTA($F4,$K4,$P4)&gt;0,J3+SUM(G4:I4),"")</f>
        <v>41800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-6800</v>
      </c>
      <c r="R4" s="9"/>
      <c r="S4" s="48">
        <v>0</v>
      </c>
      <c r="T4" s="21">
        <f>IF(COUNTA($F4,$K4,$P4)&gt;0,T3+SUM(Q4:S4),"")</f>
        <v>28200</v>
      </c>
      <c r="U4" s="53">
        <f>IF($J4="","",ROUND(($J4-$J$3)/1000,1)+(_xlfn.RANK.AVG($J4,($J4,$O4,$T4),1)-2)*10)</f>
        <v>16.8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-16.8</v>
      </c>
      <c r="Y4" s="8"/>
      <c r="Z4" s="34"/>
      <c r="AA4" s="26"/>
      <c r="AB4" s="26"/>
      <c r="AC4" s="26">
        <v>2</v>
      </c>
      <c r="AD4" s="30">
        <v>70</v>
      </c>
      <c r="AE4" s="40" t="s">
        <v>86</v>
      </c>
      <c r="AF4" s="41" t="s">
        <v>79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194</v>
      </c>
      <c r="G5" s="9">
        <v>7700</v>
      </c>
      <c r="H5" s="9">
        <v>1000</v>
      </c>
      <c r="I5" s="48">
        <v>1000</v>
      </c>
      <c r="J5" s="21">
        <f t="shared" ref="J5:J30" si="2">IF(COUNTA($F5,$K5,$P5)&gt;0,J4+SUM(G5:I5),"")</f>
        <v>51500</v>
      </c>
      <c r="K5" s="8" t="s">
        <v>195</v>
      </c>
      <c r="L5" s="9">
        <v>-7700</v>
      </c>
      <c r="M5" s="9"/>
      <c r="N5" s="48">
        <v>-1000</v>
      </c>
      <c r="O5" s="21">
        <f t="shared" ref="O5:O30" si="3">IF(COUNTA($F5,$K5,$P5)&gt;0,O4+SUM(L5:N5),"")</f>
        <v>26300</v>
      </c>
      <c r="P5" s="8"/>
      <c r="Q5" s="9"/>
      <c r="R5" s="9">
        <v>-1000</v>
      </c>
      <c r="S5" s="48"/>
      <c r="T5" s="21">
        <f t="shared" ref="T5:T30" si="4">IF(COUNTA($F5,$K5,$P5)&gt;0,T4+SUM(Q5:S5),"")</f>
        <v>27200</v>
      </c>
      <c r="U5" s="53">
        <f>IF($J5="","",ROUND(($J5-$J$3)/1000,1)+(_xlfn.RANK.AVG($J5,($J5,$O5,$T5),1)-2)*10)</f>
        <v>26.5</v>
      </c>
      <c r="V5" s="54">
        <f>IF($O5="","",ROUND(($O5-$O$3)/1000,1)+(_xlfn.RANK.AVG($O5,($J5,$O5,$T5),1)-2)*10)</f>
        <v>-18.7</v>
      </c>
      <c r="W5" s="55">
        <f>IF($T5="","",ROUND(($T5-$T$3)/1000,1)+(_xlfn.RANK.AVG($T5,($J5,$O5,$T5),1)-2)*10)</f>
        <v>-7.8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196</v>
      </c>
      <c r="AF5" s="41" t="s">
        <v>79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195</v>
      </c>
      <c r="G6" s="9">
        <v>-1600</v>
      </c>
      <c r="H6" s="9"/>
      <c r="I6" s="48">
        <v>-2000</v>
      </c>
      <c r="J6" s="21">
        <f t="shared" si="2"/>
        <v>47900</v>
      </c>
      <c r="K6" s="8"/>
      <c r="L6" s="9"/>
      <c r="M6" s="9"/>
      <c r="N6" s="48"/>
      <c r="O6" s="21">
        <f t="shared" si="3"/>
        <v>26300</v>
      </c>
      <c r="P6" s="8" t="s">
        <v>194</v>
      </c>
      <c r="Q6" s="9">
        <v>1600</v>
      </c>
      <c r="R6" s="9"/>
      <c r="S6" s="48">
        <v>2000</v>
      </c>
      <c r="T6" s="21">
        <f t="shared" si="4"/>
        <v>30800</v>
      </c>
      <c r="U6" s="53">
        <f>IF($J6="","",ROUND(($J6-$J$3)/1000,1)+(_xlfn.RANK.AVG($J6,($J6,$O6,$T6),1)-2)*10)</f>
        <v>22.9</v>
      </c>
      <c r="V6" s="54">
        <f>IF($O6="","",ROUND(($O6-$O$3)/1000,1)+(_xlfn.RANK.AVG($O6,($J6,$O6,$T6),1)-2)*10)</f>
        <v>-18.7</v>
      </c>
      <c r="W6" s="55">
        <f>IF($T6="","",ROUND(($T6-$T$3)/1000,1)+(_xlfn.RANK.AVG($T6,($J6,$O6,$T6),1)-2)*10)</f>
        <v>-4.2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25</v>
      </c>
      <c r="BU6" s="40" t="s">
        <v>101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たかの</v>
      </c>
      <c r="F7" s="8"/>
      <c r="G7" s="9"/>
      <c r="H7" s="9"/>
      <c r="I7" s="48"/>
      <c r="J7" s="21">
        <f t="shared" si="2"/>
        <v>47900</v>
      </c>
      <c r="K7" s="8" t="s">
        <v>195</v>
      </c>
      <c r="L7" s="9">
        <v>-3900</v>
      </c>
      <c r="M7" s="9"/>
      <c r="N7" s="48">
        <v>0</v>
      </c>
      <c r="O7" s="21">
        <f t="shared" si="3"/>
        <v>22400</v>
      </c>
      <c r="P7" s="8" t="s">
        <v>194</v>
      </c>
      <c r="Q7" s="9">
        <v>3900</v>
      </c>
      <c r="R7" s="9"/>
      <c r="S7" s="48">
        <v>0</v>
      </c>
      <c r="T7" s="21">
        <f t="shared" si="4"/>
        <v>34700</v>
      </c>
      <c r="U7" s="53">
        <f>IF($J7="","",ROUND(($J7-$J$3)/1000,1)+(_xlfn.RANK.AVG($J7,($J7,$O7,$T7),1)-2)*10)</f>
        <v>22.9</v>
      </c>
      <c r="V7" s="54">
        <f>IF($O7="","",ROUND(($O7-$O$3)/1000,1)+(_xlfn.RANK.AVG($O7,($J7,$O7,$T7),1)-2)*10)</f>
        <v>-22.6</v>
      </c>
      <c r="W7" s="55">
        <f>IF($T7="","",ROUND(($T7-$T$3)/1000,1)+(_xlfn.RANK.AVG($T7,($J7,$O7,$T7),1)-2)*10)</f>
        <v>-0.3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3</v>
      </c>
      <c r="BT7" s="30">
        <v>30</v>
      </c>
      <c r="BU7" s="40" t="s">
        <v>85</v>
      </c>
      <c r="BV7" s="41" t="s">
        <v>79</v>
      </c>
      <c r="BW7" s="41" t="s">
        <v>83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いちかわ</v>
      </c>
      <c r="F8" s="8" t="s">
        <v>197</v>
      </c>
      <c r="G8" s="9">
        <v>8000</v>
      </c>
      <c r="H8" s="9"/>
      <c r="I8" s="48">
        <v>0</v>
      </c>
      <c r="J8" s="21">
        <f t="shared" si="2"/>
        <v>55900</v>
      </c>
      <c r="K8" s="8" t="s">
        <v>198</v>
      </c>
      <c r="L8" s="9">
        <v>-3000</v>
      </c>
      <c r="M8" s="9"/>
      <c r="N8" s="48">
        <v>0</v>
      </c>
      <c r="O8" s="21">
        <f t="shared" si="3"/>
        <v>19400</v>
      </c>
      <c r="P8" s="8" t="s">
        <v>198</v>
      </c>
      <c r="Q8" s="9">
        <v>-5000</v>
      </c>
      <c r="R8" s="9"/>
      <c r="S8" s="48">
        <v>0</v>
      </c>
      <c r="T8" s="21">
        <f t="shared" si="4"/>
        <v>29700</v>
      </c>
      <c r="U8" s="53">
        <f>IF($J8="","",ROUND(($J8-$J$3)/1000,1)+(_xlfn.RANK.AVG($J8,($J8,$O8,$T8),1)-2)*10)</f>
        <v>30.9</v>
      </c>
      <c r="V8" s="54">
        <f>IF($O8="","",ROUND(($O8-$O$3)/1000,1)+(_xlfn.RANK.AVG($O8,($J8,$O8,$T8),1)-2)*10)</f>
        <v>-25.6</v>
      </c>
      <c r="W8" s="55">
        <f>IF($T8="","",ROUND(($T8-$T$3)/1000,1)+(_xlfn.RANK.AVG($T8,($J8,$O8,$T8),1)-2)*10)</f>
        <v>-5.3</v>
      </c>
      <c r="Y8" s="8"/>
      <c r="Z8" s="34"/>
      <c r="AA8" s="26"/>
      <c r="AB8" s="26">
        <v>1</v>
      </c>
      <c r="AC8" s="26">
        <v>5</v>
      </c>
      <c r="AD8" s="30" t="s">
        <v>199</v>
      </c>
      <c r="AE8" s="40" t="s">
        <v>106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197</v>
      </c>
      <c r="G9" s="9">
        <v>11600</v>
      </c>
      <c r="H9" s="9"/>
      <c r="I9" s="48">
        <v>0</v>
      </c>
      <c r="J9" s="21">
        <f t="shared" si="2"/>
        <v>67500</v>
      </c>
      <c r="K9" s="8" t="s">
        <v>198</v>
      </c>
      <c r="L9" s="9">
        <v>-5800</v>
      </c>
      <c r="M9" s="9"/>
      <c r="N9" s="48">
        <v>0</v>
      </c>
      <c r="O9" s="21">
        <f t="shared" si="3"/>
        <v>13600</v>
      </c>
      <c r="P9" s="8" t="s">
        <v>198</v>
      </c>
      <c r="Q9" s="9">
        <v>-5800</v>
      </c>
      <c r="R9" s="9"/>
      <c r="S9" s="48">
        <v>0</v>
      </c>
      <c r="T9" s="21">
        <f t="shared" si="4"/>
        <v>23900</v>
      </c>
      <c r="U9" s="53">
        <f>IF($J9="","",ROUND(($J9-$J$3)/1000,1)+(_xlfn.RANK.AVG($J9,($J9,$O9,$T9),1)-2)*10)</f>
        <v>42.5</v>
      </c>
      <c r="V9" s="54">
        <f>IF($O9="","",ROUND(($O9-$O$3)/1000,1)+(_xlfn.RANK.AVG($O9,($J9,$O9,$T9),1)-2)*10)</f>
        <v>-31.4</v>
      </c>
      <c r="W9" s="55">
        <f>IF($T9="","",ROUND(($T9-$T$3)/1000,1)+(_xlfn.RANK.AVG($T9,($J9,$O9,$T9),1)-2)*10)</f>
        <v>-11.1</v>
      </c>
      <c r="Y9" s="8"/>
      <c r="Z9" s="34"/>
      <c r="AA9" s="26"/>
      <c r="AB9" s="26"/>
      <c r="AC9" s="26">
        <v>4</v>
      </c>
      <c r="AD9" s="30">
        <v>30</v>
      </c>
      <c r="AE9" s="40" t="s">
        <v>82</v>
      </c>
      <c r="AF9" s="41" t="s">
        <v>200</v>
      </c>
      <c r="AG9" s="41" t="s">
        <v>92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IF($F$1="","",$F$1)</f>
        <v>だいち</v>
      </c>
      <c r="F10" s="8" t="s">
        <v>194</v>
      </c>
      <c r="G10" s="9">
        <v>18000</v>
      </c>
      <c r="H10" s="9"/>
      <c r="I10" s="48">
        <v>1000</v>
      </c>
      <c r="J10" s="21">
        <f t="shared" si="2"/>
        <v>86500</v>
      </c>
      <c r="K10" s="8"/>
      <c r="L10" s="9"/>
      <c r="M10" s="9"/>
      <c r="N10" s="48"/>
      <c r="O10" s="21">
        <f t="shared" si="3"/>
        <v>13600</v>
      </c>
      <c r="P10" s="8" t="s">
        <v>195</v>
      </c>
      <c r="Q10" s="9">
        <v>-18000</v>
      </c>
      <c r="R10" s="9"/>
      <c r="S10" s="48">
        <v>-1000</v>
      </c>
      <c r="T10" s="21">
        <f t="shared" si="4"/>
        <v>4900</v>
      </c>
      <c r="U10" s="53">
        <f>IF($J10="","",ROUND(($J10-$J$3)/1000,1)+(_xlfn.RANK.AVG($J10,($J10,$O10,$T10),1)-2)*10)</f>
        <v>61.5</v>
      </c>
      <c r="V10" s="54">
        <f>IF($O10="","",ROUND(($O10-$O$3)/1000,1)+(_xlfn.RANK.AVG($O10,($J10,$O10,$T10),1)-2)*10)</f>
        <v>-21.4</v>
      </c>
      <c r="W10" s="55">
        <f>IF($T10="","",ROUND(($T10-$T$3)/1000,1)+(_xlfn.RANK.AVG($T10,($J10,$O10,$T10),1)-2)*10)</f>
        <v>-40.1</v>
      </c>
      <c r="Y10" s="8"/>
      <c r="Z10" s="34"/>
      <c r="AA10" s="26"/>
      <c r="AB10" s="26">
        <v>1</v>
      </c>
      <c r="AC10" s="26">
        <v>7</v>
      </c>
      <c r="AD10" s="30" t="s">
        <v>199</v>
      </c>
      <c r="AE10" s="40" t="s">
        <v>104</v>
      </c>
      <c r="AF10" s="41" t="s">
        <v>86</v>
      </c>
      <c r="AG10" s="41" t="s">
        <v>79</v>
      </c>
      <c r="AH10" s="41" t="s">
        <v>79</v>
      </c>
      <c r="AI10" s="41" t="s">
        <v>79</v>
      </c>
      <c r="AJ10" s="41" t="s">
        <v>200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tr">
        <f>IF($F$1="","",$F$1)</f>
        <v>だいち</v>
      </c>
      <c r="F11" s="8" t="s">
        <v>195</v>
      </c>
      <c r="G11" s="9">
        <v>-1000</v>
      </c>
      <c r="H11" s="9"/>
      <c r="I11" s="48">
        <v>-2000</v>
      </c>
      <c r="J11" s="21">
        <f t="shared" si="2"/>
        <v>83500</v>
      </c>
      <c r="K11" s="8"/>
      <c r="L11" s="9"/>
      <c r="M11" s="9"/>
      <c r="N11" s="48"/>
      <c r="O11" s="21">
        <f t="shared" si="3"/>
        <v>13600</v>
      </c>
      <c r="P11" s="8" t="s">
        <v>194</v>
      </c>
      <c r="Q11" s="9">
        <v>1000</v>
      </c>
      <c r="R11" s="9"/>
      <c r="S11" s="48">
        <v>2000</v>
      </c>
      <c r="T11" s="21">
        <f t="shared" si="4"/>
        <v>7900</v>
      </c>
      <c r="U11" s="53">
        <f>IF($J11="","",ROUND(($J11-$J$3)/1000,1)+(_xlfn.RANK.AVG($J11,($J11,$O11,$T11),1)-2)*10)</f>
        <v>58.5</v>
      </c>
      <c r="V11" s="54">
        <f>IF($O11="","",ROUND(($O11-$O$3)/1000,1)+(_xlfn.RANK.AVG($O11,($J11,$O11,$T11),1)-2)*10)</f>
        <v>-21.4</v>
      </c>
      <c r="W11" s="55">
        <f>IF($T11="","",ROUND(($T11-$T$3)/1000,1)+(_xlfn.RANK.AVG($T11,($J11,$O11,$T11),1)-2)*10)</f>
        <v>-37.1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1</v>
      </c>
      <c r="BT11" s="30">
        <v>30</v>
      </c>
      <c r="BU11" s="40" t="s">
        <v>86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たかの</v>
      </c>
      <c r="F12" s="8" t="s">
        <v>195</v>
      </c>
      <c r="G12" s="9">
        <v>-8000</v>
      </c>
      <c r="H12" s="9"/>
      <c r="I12" s="48">
        <v>0</v>
      </c>
      <c r="J12" s="21">
        <f t="shared" si="2"/>
        <v>75500</v>
      </c>
      <c r="K12" s="8"/>
      <c r="L12" s="9"/>
      <c r="M12" s="9"/>
      <c r="N12" s="48"/>
      <c r="O12" s="21">
        <f t="shared" si="3"/>
        <v>13600</v>
      </c>
      <c r="P12" s="8" t="s">
        <v>194</v>
      </c>
      <c r="Q12" s="9">
        <v>8000</v>
      </c>
      <c r="R12" s="9"/>
      <c r="S12" s="48">
        <v>0</v>
      </c>
      <c r="T12" s="21">
        <f t="shared" si="4"/>
        <v>15900</v>
      </c>
      <c r="U12" s="53">
        <f>IF($J12="","",ROUND(($J12-$J$3)/1000,1)+(_xlfn.RANK.AVG($J12,($J12,$O12,$T12),1)-2)*10)</f>
        <v>50.5</v>
      </c>
      <c r="V12" s="54">
        <f>IF($O12="","",ROUND(($O12-$O$3)/1000,1)+(_xlfn.RANK.AVG($O12,($J12,$O12,$T12),1)-2)*10)</f>
        <v>-31.4</v>
      </c>
      <c r="W12" s="55">
        <f>IF($T12="","",ROUND(($T12-$T$3)/1000,1)+(_xlfn.RANK.AVG($T12,($J12,$O12,$T12),1)-2)*10)</f>
        <v>-19.100000000000001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5</v>
      </c>
      <c r="BT12" s="30" t="s">
        <v>199</v>
      </c>
      <c r="BU12" s="40" t="s">
        <v>86</v>
      </c>
      <c r="BV12" s="41" t="s">
        <v>92</v>
      </c>
      <c r="BW12" s="41" t="s">
        <v>79</v>
      </c>
      <c r="BX12" s="41" t="s">
        <v>104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いちかわ</v>
      </c>
      <c r="F13" s="8" t="s">
        <v>197</v>
      </c>
      <c r="G13" s="9">
        <v>8000</v>
      </c>
      <c r="H13" s="9"/>
      <c r="I13" s="48">
        <v>0</v>
      </c>
      <c r="J13" s="21">
        <f t="shared" si="2"/>
        <v>83500</v>
      </c>
      <c r="K13" s="8" t="s">
        <v>198</v>
      </c>
      <c r="L13" s="9">
        <v>-3000</v>
      </c>
      <c r="M13" s="9"/>
      <c r="N13" s="48">
        <v>0</v>
      </c>
      <c r="O13" s="21">
        <f t="shared" si="3"/>
        <v>10600</v>
      </c>
      <c r="P13" s="8" t="s">
        <v>198</v>
      </c>
      <c r="Q13" s="9">
        <v>-5000</v>
      </c>
      <c r="R13" s="9"/>
      <c r="S13" s="48">
        <v>0</v>
      </c>
      <c r="T13" s="21">
        <f t="shared" si="4"/>
        <v>10900</v>
      </c>
      <c r="U13" s="53">
        <f>IF($J13="","",ROUND(($J13-$J$3)/1000,1)+(_xlfn.RANK.AVG($J13,($J13,$O13,$T13),1)-2)*10)</f>
        <v>58.5</v>
      </c>
      <c r="V13" s="54">
        <f>IF($O13="","",ROUND(($O13-$O$3)/1000,1)+(_xlfn.RANK.AVG($O13,($J13,$O13,$T13),1)-2)*10)</f>
        <v>-34.4</v>
      </c>
      <c r="W13" s="55">
        <f>IF($T13="","",ROUND(($T13-$T$3)/1000,1)+(_xlfn.RANK.AVG($T13,($J13,$O13,$T13),1)-2)*10)</f>
        <v>-24.1</v>
      </c>
      <c r="Y13" s="8"/>
      <c r="Z13" s="34"/>
      <c r="AA13" s="26">
        <v>1</v>
      </c>
      <c r="AB13" s="26"/>
      <c r="AC13" s="26">
        <v>5</v>
      </c>
      <c r="AD13" s="30" t="s">
        <v>199</v>
      </c>
      <c r="AE13" s="40" t="s">
        <v>196</v>
      </c>
      <c r="AF13" s="41" t="s">
        <v>82</v>
      </c>
      <c r="AG13" s="41" t="s">
        <v>201</v>
      </c>
      <c r="AH13" s="41" t="s">
        <v>200</v>
      </c>
      <c r="AI13" s="41" t="s">
        <v>79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D5DBC82-7C93-4489-861D-B808CB73636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830D-76C1-4BA7-93E8-AABE82219F3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いちかわ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いちかわ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197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198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198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-11</v>
      </c>
      <c r="Y4" s="8"/>
      <c r="Z4" s="34"/>
      <c r="AA4" s="26">
        <v>1</v>
      </c>
      <c r="AB4" s="26"/>
      <c r="AC4" s="26">
        <v>5</v>
      </c>
      <c r="AD4" s="30" t="s">
        <v>199</v>
      </c>
      <c r="AE4" s="40" t="s">
        <v>196</v>
      </c>
      <c r="AF4" s="41" t="s">
        <v>82</v>
      </c>
      <c r="AG4" s="41" t="s">
        <v>79</v>
      </c>
      <c r="AH4" s="41" t="s">
        <v>79</v>
      </c>
      <c r="AI4" s="41" t="s">
        <v>79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198</v>
      </c>
      <c r="G5" s="9">
        <v>-7500</v>
      </c>
      <c r="H5" s="9"/>
      <c r="I5" s="48">
        <v>-500</v>
      </c>
      <c r="J5" s="21">
        <f t="shared" ref="J5:J30" si="2">IF(COUNTA($F5,$K5,$P5)&gt;0,J4+SUM(G5:I5),"")</f>
        <v>39000</v>
      </c>
      <c r="K5" s="8" t="s">
        <v>197</v>
      </c>
      <c r="L5" s="9">
        <v>12000</v>
      </c>
      <c r="M5" s="9"/>
      <c r="N5" s="48">
        <v>1000</v>
      </c>
      <c r="O5" s="21">
        <f t="shared" ref="O5:O30" si="3">IF(COUNTA($F5,$K5,$P5)&gt;0,O4+SUM(L5:N5),"")</f>
        <v>42000</v>
      </c>
      <c r="P5" s="8" t="s">
        <v>198</v>
      </c>
      <c r="Q5" s="9">
        <v>-4500</v>
      </c>
      <c r="R5" s="9"/>
      <c r="S5" s="48">
        <v>-500</v>
      </c>
      <c r="T5" s="21">
        <f t="shared" ref="T5:T30" si="4">IF(COUNTA($F5,$K5,$P5)&gt;0,T4+SUM(Q5:S5),"")</f>
        <v>24000</v>
      </c>
      <c r="U5" s="53">
        <f>IF($J5="","",ROUND(($J5-$J$3)/1000,1)+(_xlfn.RANK.AVG($J5,($J5,$O5,$T5),1)-2)*10)</f>
        <v>4</v>
      </c>
      <c r="V5" s="54">
        <f>IF($O5="","",ROUND(($O5-$O$3)/1000,1)+(_xlfn.RANK.AVG($O5,($J5,$O5,$T5),1)-2)*10)</f>
        <v>17</v>
      </c>
      <c r="W5" s="55">
        <f>IF($T5="","",ROUND(($T5-$T$3)/1000,1)+(_xlfn.RANK.AVG($T5,($J5,$O5,$T5),1)-2)*10)</f>
        <v>-21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7</v>
      </c>
      <c r="AY5" s="30" t="s">
        <v>199</v>
      </c>
      <c r="AZ5" s="40" t="s">
        <v>196</v>
      </c>
      <c r="BA5" s="41" t="s">
        <v>82</v>
      </c>
      <c r="BB5" s="41" t="s">
        <v>201</v>
      </c>
      <c r="BC5" s="41" t="s">
        <v>101</v>
      </c>
      <c r="BD5" s="41" t="s">
        <v>79</v>
      </c>
      <c r="BE5" s="41" t="s">
        <v>79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いちかわ</v>
      </c>
      <c r="F6" s="8" t="s">
        <v>198</v>
      </c>
      <c r="G6" s="9">
        <v>-800</v>
      </c>
      <c r="H6" s="9"/>
      <c r="I6" s="48">
        <v>0</v>
      </c>
      <c r="J6" s="21">
        <f t="shared" si="2"/>
        <v>38200</v>
      </c>
      <c r="K6" s="8" t="s">
        <v>198</v>
      </c>
      <c r="L6" s="9">
        <v>-1300</v>
      </c>
      <c r="M6" s="9"/>
      <c r="N6" s="48">
        <v>0</v>
      </c>
      <c r="O6" s="21">
        <f t="shared" si="3"/>
        <v>40700</v>
      </c>
      <c r="P6" s="8" t="s">
        <v>197</v>
      </c>
      <c r="Q6" s="9">
        <v>2100</v>
      </c>
      <c r="R6" s="9"/>
      <c r="S6" s="48">
        <v>0</v>
      </c>
      <c r="T6" s="21">
        <f t="shared" si="4"/>
        <v>26100</v>
      </c>
      <c r="U6" s="53">
        <f>IF($J6="","",ROUND(($J6-$J$3)/1000,1)+(_xlfn.RANK.AVG($J6,($J6,$O6,$T6),1)-2)*10)</f>
        <v>3.2</v>
      </c>
      <c r="V6" s="54">
        <f>IF($O6="","",ROUND(($O6-$O$3)/1000,1)+(_xlfn.RANK.AVG($O6,($J6,$O6,$T6),1)-2)*10)</f>
        <v>15.7</v>
      </c>
      <c r="W6" s="55">
        <f>IF($T6="","",ROUND(($T6-$T$3)/1000,1)+(_xlfn.RANK.AVG($T6,($J6,$O6,$T6),1)-2)*10)</f>
        <v>-18.899999999999999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30</v>
      </c>
      <c r="BU6" s="40" t="s">
        <v>196</v>
      </c>
      <c r="BV6" s="41" t="s">
        <v>82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たかの</v>
      </c>
      <c r="F7" s="8" t="s">
        <v>198</v>
      </c>
      <c r="G7" s="9">
        <v>-800</v>
      </c>
      <c r="H7" s="9"/>
      <c r="I7" s="48">
        <v>0</v>
      </c>
      <c r="J7" s="21">
        <f t="shared" si="2"/>
        <v>37400</v>
      </c>
      <c r="K7" s="8" t="s">
        <v>197</v>
      </c>
      <c r="L7" s="9">
        <v>2100</v>
      </c>
      <c r="M7" s="9"/>
      <c r="N7" s="48">
        <v>0</v>
      </c>
      <c r="O7" s="21">
        <f t="shared" si="3"/>
        <v>42800</v>
      </c>
      <c r="P7" s="8" t="s">
        <v>198</v>
      </c>
      <c r="Q7" s="9">
        <v>-1300</v>
      </c>
      <c r="R7" s="9"/>
      <c r="S7" s="48">
        <v>0</v>
      </c>
      <c r="T7" s="21">
        <f t="shared" si="4"/>
        <v>24800</v>
      </c>
      <c r="U7" s="53">
        <f>IF($J7="","",ROUND(($J7-$J$3)/1000,1)+(_xlfn.RANK.AVG($J7,($J7,$O7,$T7),1)-2)*10)</f>
        <v>2.4</v>
      </c>
      <c r="V7" s="54">
        <f>IF($O7="","",ROUND(($O7-$O$3)/1000,1)+(_xlfn.RANK.AVG($O7,($J7,$O7,$T7),1)-2)*10)</f>
        <v>17.8</v>
      </c>
      <c r="W7" s="55">
        <f>IF($T7="","",ROUND(($T7-$T$3)/1000,1)+(_xlfn.RANK.AVG($T7,($J7,$O7,$T7),1)-2)*10)</f>
        <v>-20.2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86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198</v>
      </c>
      <c r="G8" s="9">
        <v>-2500</v>
      </c>
      <c r="H8" s="9"/>
      <c r="I8" s="48">
        <v>0</v>
      </c>
      <c r="J8" s="21">
        <f t="shared" si="2"/>
        <v>34900</v>
      </c>
      <c r="K8" s="8" t="s">
        <v>198</v>
      </c>
      <c r="L8" s="9">
        <v>-1500</v>
      </c>
      <c r="M8" s="9"/>
      <c r="N8" s="48">
        <v>0</v>
      </c>
      <c r="O8" s="21">
        <f t="shared" si="3"/>
        <v>41300</v>
      </c>
      <c r="P8" s="8" t="s">
        <v>197</v>
      </c>
      <c r="Q8" s="9">
        <v>4000</v>
      </c>
      <c r="R8" s="9"/>
      <c r="S8" s="48">
        <v>0</v>
      </c>
      <c r="T8" s="21">
        <f t="shared" si="4"/>
        <v>28800</v>
      </c>
      <c r="U8" s="53">
        <f>IF($J8="","",ROUND(($J8-$J$3)/1000,1)+(_xlfn.RANK.AVG($J8,($J8,$O8,$T8),1)-2)*10)</f>
        <v>-0.1</v>
      </c>
      <c r="V8" s="54">
        <f>IF($O8="","",ROUND(($O8-$O$3)/1000,1)+(_xlfn.RANK.AVG($O8,($J8,$O8,$T8),1)-2)*10)</f>
        <v>16.3</v>
      </c>
      <c r="W8" s="55">
        <f>IF($T8="","",ROUND(($T8-$T$3)/1000,1)+(_xlfn.RANK.AVG($T8,($J8,$O8,$T8),1)-2)*10)</f>
        <v>-16.2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86</v>
      </c>
      <c r="BV8" s="41" t="s">
        <v>79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いちかわ</v>
      </c>
      <c r="F9" s="8" t="s">
        <v>195</v>
      </c>
      <c r="G9" s="9">
        <v>-2000</v>
      </c>
      <c r="H9" s="9"/>
      <c r="I9" s="48">
        <v>0</v>
      </c>
      <c r="J9" s="21">
        <f t="shared" si="2"/>
        <v>32900</v>
      </c>
      <c r="K9" s="8"/>
      <c r="L9" s="9"/>
      <c r="M9" s="9"/>
      <c r="N9" s="48"/>
      <c r="O9" s="21">
        <f t="shared" si="3"/>
        <v>41300</v>
      </c>
      <c r="P9" s="8" t="s">
        <v>194</v>
      </c>
      <c r="Q9" s="9">
        <v>2000</v>
      </c>
      <c r="R9" s="9"/>
      <c r="S9" s="48">
        <v>0</v>
      </c>
      <c r="T9" s="21">
        <f t="shared" si="4"/>
        <v>30800</v>
      </c>
      <c r="U9" s="53">
        <f>IF($J9="","",ROUND(($J9-$J$3)/1000,1)+(_xlfn.RANK.AVG($J9,($J9,$O9,$T9),1)-2)*10)</f>
        <v>-2.1</v>
      </c>
      <c r="V9" s="54">
        <f>IF($O9="","",ROUND(($O9-$O$3)/1000,1)+(_xlfn.RANK.AVG($O9,($J9,$O9,$T9),1)-2)*10)</f>
        <v>16.3</v>
      </c>
      <c r="W9" s="55">
        <f>IF($T9="","",ROUND(($T9-$T$3)/1000,1)+(_xlfn.RANK.AVG($T9,($J9,$O9,$T9),1)-2)*10)</f>
        <v>-14.2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30</v>
      </c>
      <c r="BU9" s="40" t="s">
        <v>196</v>
      </c>
      <c r="BV9" s="41" t="s">
        <v>83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たかの</v>
      </c>
      <c r="F10" s="8" t="s">
        <v>204</v>
      </c>
      <c r="G10" s="9">
        <v>-1500</v>
      </c>
      <c r="H10" s="9"/>
      <c r="I10" s="48"/>
      <c r="J10" s="21">
        <f t="shared" si="2"/>
        <v>31400</v>
      </c>
      <c r="K10" s="8" t="s">
        <v>204</v>
      </c>
      <c r="L10" s="9">
        <v>-1500</v>
      </c>
      <c r="M10" s="9"/>
      <c r="N10" s="48"/>
      <c r="O10" s="21">
        <f t="shared" si="3"/>
        <v>39800</v>
      </c>
      <c r="P10" s="8" t="s">
        <v>204</v>
      </c>
      <c r="Q10" s="9">
        <v>3000</v>
      </c>
      <c r="R10" s="9">
        <v>-1000</v>
      </c>
      <c r="S10" s="48"/>
      <c r="T10" s="21">
        <f t="shared" si="4"/>
        <v>32800</v>
      </c>
      <c r="U10" s="53">
        <f>IF($J10="","",ROUND(($J10-$J$3)/1000,1)+(_xlfn.RANK.AVG($J10,($J10,$O10,$T10),1)-2)*10)</f>
        <v>-13.6</v>
      </c>
      <c r="V10" s="54">
        <f>IF($O10="","",ROUND(($O10-$O$3)/1000,1)+(_xlfn.RANK.AVG($O10,($J10,$O10,$T10),1)-2)*10)</f>
        <v>14.8</v>
      </c>
      <c r="W10" s="55">
        <f>IF($T10="","",ROUND(($T10-$T$3)/1000,1)+(_xlfn.RANK.AVG($T10,($J10,$O10,$T10),1)-2)*10)</f>
        <v>-2.2000000000000002</v>
      </c>
      <c r="Y10" s="8" t="s">
        <v>202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202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tr">
        <f>IF($P$1="","",$P$1)</f>
        <v>たかの</v>
      </c>
      <c r="F11" s="8" t="s">
        <v>198</v>
      </c>
      <c r="G11" s="9">
        <v>-1500</v>
      </c>
      <c r="H11" s="9"/>
      <c r="I11" s="48">
        <v>-500</v>
      </c>
      <c r="J11" s="21">
        <f t="shared" si="2"/>
        <v>29400</v>
      </c>
      <c r="K11" s="8" t="s">
        <v>198</v>
      </c>
      <c r="L11" s="9">
        <v>-1500</v>
      </c>
      <c r="M11" s="9"/>
      <c r="N11" s="48">
        <v>-500</v>
      </c>
      <c r="O11" s="21">
        <f t="shared" si="3"/>
        <v>37800</v>
      </c>
      <c r="P11" s="8" t="s">
        <v>197</v>
      </c>
      <c r="Q11" s="9">
        <v>3000</v>
      </c>
      <c r="R11" s="9">
        <v>1000</v>
      </c>
      <c r="S11" s="48">
        <v>1000</v>
      </c>
      <c r="T11" s="21">
        <f t="shared" si="4"/>
        <v>37800</v>
      </c>
      <c r="U11" s="53">
        <f>IF($J11="","",ROUND(($J11-$J$3)/1000,1)+(_xlfn.RANK.AVG($J11,($J11,$O11,$T11),1)-2)*10)</f>
        <v>-15.6</v>
      </c>
      <c r="V11" s="54">
        <f>IF($O11="","",ROUND(($O11-$O$3)/1000,1)+(_xlfn.RANK.AVG($O11,($J11,$O11,$T11),1)-2)*10)</f>
        <v>7.8</v>
      </c>
      <c r="W11" s="55">
        <f>IF($T11="","",ROUND(($T11-$T$3)/1000,1)+(_xlfn.RANK.AVG($T11,($J11,$O11,$T11),1)-2)*10)</f>
        <v>7.8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2</v>
      </c>
      <c r="BT11" s="30">
        <v>30</v>
      </c>
      <c r="BU11" s="40" t="s">
        <v>82</v>
      </c>
      <c r="BV11" s="41" t="s">
        <v>79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F2525FF1-99EC-47E5-BEBC-A1D91FB1977D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DE99DFF4-8067-45FC-AA38-5A98A57004E7}">
      <formula1>"ロン,ツモ,放銃,ツモ支払,流局,チョンボ"</formula1>
    </dataValidation>
    <dataValidation type="list" allowBlank="1" showInputMessage="1" showErrorMessage="1" sqref="E4:E30" xr:uid="{9C5748EF-C404-4502-9D2A-A3A5809F882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C883F-7E88-4EC5-AC32-7ECDA3DB5258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いちかわ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いちかわ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204</v>
      </c>
      <c r="G4" s="9">
        <v>1500</v>
      </c>
      <c r="H4" s="9"/>
      <c r="I4" s="48"/>
      <c r="J4" s="21">
        <f>IF(COUNTA($F4,$K4,$P4)&gt;0,J3+SUM(G4:I4),"")</f>
        <v>36500</v>
      </c>
      <c r="K4" s="8" t="s">
        <v>204</v>
      </c>
      <c r="L4" s="9">
        <v>-3000</v>
      </c>
      <c r="M4" s="9"/>
      <c r="N4" s="48"/>
      <c r="O4" s="21">
        <f>IF(COUNTA($F4,$K4,$P4)&gt;0,O3+SUM(L4:N4),"")</f>
        <v>32000</v>
      </c>
      <c r="P4" s="8" t="s">
        <v>204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6.5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6.5</v>
      </c>
      <c r="Y4" s="8" t="s">
        <v>203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たかの</v>
      </c>
      <c r="F5" s="8" t="s">
        <v>204</v>
      </c>
      <c r="G5" s="9">
        <v>1500</v>
      </c>
      <c r="H5" s="9">
        <v>-1000</v>
      </c>
      <c r="I5" s="48"/>
      <c r="J5" s="21">
        <f t="shared" ref="J5:J30" si="2">IF(COUNTA($F5,$K5,$P5)&gt;0,J4+SUM(G5:I5),"")</f>
        <v>37000</v>
      </c>
      <c r="K5" s="8" t="s">
        <v>204</v>
      </c>
      <c r="L5" s="9">
        <v>-3000</v>
      </c>
      <c r="M5" s="9"/>
      <c r="N5" s="48"/>
      <c r="O5" s="21">
        <f t="shared" ref="O5:O30" si="3">IF(COUNTA($F5,$K5,$P5)&gt;0,O4+SUM(L5:N5),"")</f>
        <v>29000</v>
      </c>
      <c r="P5" s="8" t="s">
        <v>204</v>
      </c>
      <c r="Q5" s="9">
        <v>1500</v>
      </c>
      <c r="R5" s="9"/>
      <c r="S5" s="48"/>
      <c r="T5" s="21">
        <f t="shared" ref="T5:T30" si="4">IF(COUNTA($F5,$K5,$P5)&gt;0,T4+SUM(Q5:S5),"")</f>
        <v>38000</v>
      </c>
      <c r="U5" s="53">
        <f>IF($J5="","",ROUND(($J5-$J$3)/1000,1)+(_xlfn.RANK.AVG($J5,($J5,$O5,$T5),1)-2)*10)</f>
        <v>2</v>
      </c>
      <c r="V5" s="54">
        <f>IF($O5="","",ROUND(($O5-$O$3)/1000,1)+(_xlfn.RANK.AVG($O5,($J5,$O5,$T5),1)-2)*10)</f>
        <v>-16</v>
      </c>
      <c r="W5" s="55">
        <f>IF($T5="","",ROUND(($T5-$T$3)/1000,1)+(_xlfn.RANK.AVG($T5,($J5,$O5,$T5),1)-2)*10)</f>
        <v>13</v>
      </c>
      <c r="Y5" s="8" t="s">
        <v>203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202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tr">
        <f>IF($F$1="","",$F$1)</f>
        <v>たかの</v>
      </c>
      <c r="F6" s="8"/>
      <c r="G6" s="9"/>
      <c r="H6" s="9"/>
      <c r="I6" s="48"/>
      <c r="J6" s="21">
        <f t="shared" si="2"/>
        <v>37000</v>
      </c>
      <c r="K6" s="8" t="s">
        <v>194</v>
      </c>
      <c r="L6" s="9">
        <v>2000</v>
      </c>
      <c r="M6" s="9">
        <v>1000</v>
      </c>
      <c r="N6" s="48">
        <v>2000</v>
      </c>
      <c r="O6" s="21">
        <f t="shared" si="3"/>
        <v>34000</v>
      </c>
      <c r="P6" s="8" t="s">
        <v>195</v>
      </c>
      <c r="Q6" s="9">
        <v>-2000</v>
      </c>
      <c r="R6" s="9"/>
      <c r="S6" s="48">
        <v>-2000</v>
      </c>
      <c r="T6" s="21">
        <f t="shared" si="4"/>
        <v>34000</v>
      </c>
      <c r="U6" s="53">
        <f>IF($J6="","",ROUND(($J6-$J$3)/1000,1)+(_xlfn.RANK.AVG($J6,($J6,$O6,$T6),1)-2)*10)</f>
        <v>12</v>
      </c>
      <c r="V6" s="54">
        <f>IF($O6="","",ROUND(($O6-$O$3)/1000,1)+(_xlfn.RANK.AVG($O6,($J6,$O6,$T6),1)-2)*10)</f>
        <v>-6</v>
      </c>
      <c r="W6" s="55">
        <f>IF($T6="","",ROUND(($T6-$T$3)/1000,1)+(_xlfn.RANK.AVG($T6,($J6,$O6,$T6),1)-2)*10)</f>
        <v>-6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2</v>
      </c>
      <c r="AY6" s="30">
        <v>30</v>
      </c>
      <c r="AZ6" s="40" t="s">
        <v>86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だいち</v>
      </c>
      <c r="F7" s="8" t="s">
        <v>194</v>
      </c>
      <c r="G7" s="9">
        <v>2000</v>
      </c>
      <c r="H7" s="9">
        <v>1000</v>
      </c>
      <c r="I7" s="48">
        <v>0</v>
      </c>
      <c r="J7" s="21">
        <f t="shared" si="2"/>
        <v>40000</v>
      </c>
      <c r="K7" s="8" t="s">
        <v>195</v>
      </c>
      <c r="L7" s="9">
        <v>-2000</v>
      </c>
      <c r="M7" s="9">
        <v>-1000</v>
      </c>
      <c r="N7" s="48">
        <v>0</v>
      </c>
      <c r="O7" s="21">
        <f t="shared" si="3"/>
        <v>31000</v>
      </c>
      <c r="P7" s="8"/>
      <c r="Q7" s="9"/>
      <c r="R7" s="9"/>
      <c r="S7" s="48"/>
      <c r="T7" s="21">
        <f t="shared" si="4"/>
        <v>34000</v>
      </c>
      <c r="U7" s="53">
        <f>IF($J7="","",ROUND(($J7-$J$3)/1000,1)+(_xlfn.RANK.AVG($J7,($J7,$O7,$T7),1)-2)*10)</f>
        <v>15</v>
      </c>
      <c r="V7" s="54">
        <f>IF($O7="","",ROUND(($O7-$O$3)/1000,1)+(_xlfn.RANK.AVG($O7,($J7,$O7,$T7),1)-2)*10)</f>
        <v>-14</v>
      </c>
      <c r="W7" s="55">
        <f>IF($T7="","",ROUND(($T7-$T$3)/1000,1)+(_xlfn.RANK.AVG($T7,($J7,$O7,$T7),1)-2)*10)</f>
        <v>-1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86</v>
      </c>
      <c r="AF7" s="41" t="s">
        <v>79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いちかわ</v>
      </c>
      <c r="F8" s="8" t="s">
        <v>194</v>
      </c>
      <c r="G8" s="9">
        <v>7700</v>
      </c>
      <c r="H8" s="9"/>
      <c r="I8" s="48">
        <v>0</v>
      </c>
      <c r="J8" s="21">
        <f t="shared" si="2"/>
        <v>47700</v>
      </c>
      <c r="K8" s="8" t="s">
        <v>195</v>
      </c>
      <c r="L8" s="9">
        <v>-7700</v>
      </c>
      <c r="M8" s="9"/>
      <c r="N8" s="48">
        <v>0</v>
      </c>
      <c r="O8" s="21">
        <f t="shared" si="3"/>
        <v>23300</v>
      </c>
      <c r="P8" s="8"/>
      <c r="Q8" s="9"/>
      <c r="R8" s="9"/>
      <c r="S8" s="48"/>
      <c r="T8" s="21">
        <f t="shared" si="4"/>
        <v>34000</v>
      </c>
      <c r="U8" s="53">
        <f>IF($J8="","",ROUND(($J8-$J$3)/1000,1)+(_xlfn.RANK.AVG($J8,($J8,$O8,$T8),1)-2)*10)</f>
        <v>22.7</v>
      </c>
      <c r="V8" s="54">
        <f>IF($O8="","",ROUND(($O8-$O$3)/1000,1)+(_xlfn.RANK.AVG($O8,($J8,$O8,$T8),1)-2)*10)</f>
        <v>-21.7</v>
      </c>
      <c r="W8" s="55">
        <f>IF($T8="","",ROUND(($T8-$T$3)/1000,1)+(_xlfn.RANK.AVG($T8,($J8,$O8,$T8),1)-2)*10)</f>
        <v>-1</v>
      </c>
      <c r="Y8" s="8"/>
      <c r="Z8" s="34"/>
      <c r="AA8" s="26"/>
      <c r="AB8" s="26">
        <v>1</v>
      </c>
      <c r="AC8" s="26">
        <v>4</v>
      </c>
      <c r="AD8" s="30">
        <v>30</v>
      </c>
      <c r="AE8" s="40" t="s">
        <v>86</v>
      </c>
      <c r="AF8" s="41" t="s">
        <v>79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たかの</v>
      </c>
      <c r="F9" s="8" t="s">
        <v>194</v>
      </c>
      <c r="G9" s="9">
        <v>3900</v>
      </c>
      <c r="H9" s="9">
        <v>1000</v>
      </c>
      <c r="I9" s="48">
        <v>0</v>
      </c>
      <c r="J9" s="21">
        <f t="shared" si="2"/>
        <v>52600</v>
      </c>
      <c r="K9" s="8" t="s">
        <v>195</v>
      </c>
      <c r="L9" s="9">
        <v>-3900</v>
      </c>
      <c r="M9" s="9">
        <v>-1000</v>
      </c>
      <c r="N9" s="48">
        <v>0</v>
      </c>
      <c r="O9" s="21">
        <f t="shared" si="3"/>
        <v>18400</v>
      </c>
      <c r="P9" s="8"/>
      <c r="Q9" s="9"/>
      <c r="R9" s="9"/>
      <c r="S9" s="48"/>
      <c r="T9" s="21">
        <f t="shared" si="4"/>
        <v>34000</v>
      </c>
      <c r="U9" s="53">
        <f>IF($J9="","",ROUND(($J9-$J$3)/1000,1)+(_xlfn.RANK.AVG($J9,($J9,$O9,$T9),1)-2)*10)</f>
        <v>27.6</v>
      </c>
      <c r="V9" s="54">
        <f>IF($O9="","",ROUND(($O9-$O$3)/1000,1)+(_xlfn.RANK.AVG($O9,($J9,$O9,$T9),1)-2)*10)</f>
        <v>-26.6</v>
      </c>
      <c r="W9" s="55">
        <f>IF($T9="","",ROUND(($T9-$T$3)/1000,1)+(_xlfn.RANK.AVG($T9,($J9,$O9,$T9),1)-2)*10)</f>
        <v>-1</v>
      </c>
      <c r="Y9" s="8"/>
      <c r="Z9" s="34"/>
      <c r="AA9" s="26">
        <v>1</v>
      </c>
      <c r="AB9" s="26"/>
      <c r="AC9" s="26">
        <v>2</v>
      </c>
      <c r="AD9" s="30">
        <v>40</v>
      </c>
      <c r="AE9" s="40" t="s">
        <v>196</v>
      </c>
      <c r="AF9" s="41" t="s">
        <v>200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IF($F$1="","",$F$1)</f>
        <v>たかの</v>
      </c>
      <c r="F10" s="8"/>
      <c r="G10" s="9"/>
      <c r="H10" s="9">
        <v>-1000</v>
      </c>
      <c r="I10" s="48"/>
      <c r="J10" s="21">
        <f t="shared" si="2"/>
        <v>51600</v>
      </c>
      <c r="K10" s="8" t="s">
        <v>194</v>
      </c>
      <c r="L10" s="9">
        <v>3900</v>
      </c>
      <c r="M10" s="9">
        <v>1000</v>
      </c>
      <c r="N10" s="48">
        <v>1000</v>
      </c>
      <c r="O10" s="21">
        <f t="shared" si="3"/>
        <v>24300</v>
      </c>
      <c r="P10" s="8" t="s">
        <v>195</v>
      </c>
      <c r="Q10" s="9">
        <v>-3900</v>
      </c>
      <c r="R10" s="9"/>
      <c r="S10" s="48">
        <v>-1000</v>
      </c>
      <c r="T10" s="21">
        <f t="shared" si="4"/>
        <v>29100</v>
      </c>
      <c r="U10" s="53">
        <f>IF($J10="","",ROUND(($J10-$J$3)/1000,1)+(_xlfn.RANK.AVG($J10,($J10,$O10,$T10),1)-2)*10)</f>
        <v>26.6</v>
      </c>
      <c r="V10" s="54">
        <f>IF($O10="","",ROUND(($O10-$O$3)/1000,1)+(_xlfn.RANK.AVG($O10,($J10,$O10,$T10),1)-2)*10)</f>
        <v>-20.7</v>
      </c>
      <c r="W10" s="55">
        <f>IF($T10="","",ROUND(($T10-$T$3)/1000,1)+(_xlfn.RANK.AVG($T10,($J10,$O10,$T10),1)-2)*10)</f>
        <v>-5.9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30</v>
      </c>
      <c r="AZ10" s="40" t="s">
        <v>196</v>
      </c>
      <c r="BA10" s="41" t="s">
        <v>83</v>
      </c>
      <c r="BB10" s="41" t="s">
        <v>79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だいち</v>
      </c>
      <c r="F11" s="8" t="s">
        <v>195</v>
      </c>
      <c r="G11" s="9">
        <v>-2000</v>
      </c>
      <c r="H11" s="9"/>
      <c r="I11" s="48">
        <v>0</v>
      </c>
      <c r="J11" s="21">
        <f t="shared" si="2"/>
        <v>49600</v>
      </c>
      <c r="K11" s="8"/>
      <c r="L11" s="9"/>
      <c r="M11" s="9"/>
      <c r="N11" s="48"/>
      <c r="O11" s="21">
        <f t="shared" si="3"/>
        <v>24300</v>
      </c>
      <c r="P11" s="8" t="s">
        <v>194</v>
      </c>
      <c r="Q11" s="9">
        <v>2000</v>
      </c>
      <c r="R11" s="9"/>
      <c r="S11" s="48">
        <v>0</v>
      </c>
      <c r="T11" s="21">
        <f t="shared" si="4"/>
        <v>31100</v>
      </c>
      <c r="U11" s="53">
        <f>IF($J11="","",ROUND(($J11-$J$3)/1000,1)+(_xlfn.RANK.AVG($J11,($J11,$O11,$T11),1)-2)*10)</f>
        <v>24.6</v>
      </c>
      <c r="V11" s="54">
        <f>IF($O11="","",ROUND(($O11-$O$3)/1000,1)+(_xlfn.RANK.AVG($O11,($J11,$O11,$T11),1)-2)*10)</f>
        <v>-20.7</v>
      </c>
      <c r="W11" s="55">
        <f>IF($T11="","",ROUND(($T11-$T$3)/1000,1)+(_xlfn.RANK.AVG($T11,($J11,$O11,$T11),1)-2)*10)</f>
        <v>-3.9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86</v>
      </c>
      <c r="BV11" s="41" t="s">
        <v>79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いちかわ</v>
      </c>
      <c r="F12" s="8"/>
      <c r="G12" s="9"/>
      <c r="H12" s="9"/>
      <c r="I12" s="48"/>
      <c r="J12" s="21">
        <f t="shared" si="2"/>
        <v>49600</v>
      </c>
      <c r="K12" s="8" t="s">
        <v>195</v>
      </c>
      <c r="L12" s="9">
        <v>-12000</v>
      </c>
      <c r="M12" s="9">
        <v>-1000</v>
      </c>
      <c r="N12" s="48">
        <v>0</v>
      </c>
      <c r="O12" s="21">
        <f t="shared" si="3"/>
        <v>11300</v>
      </c>
      <c r="P12" s="8" t="s">
        <v>194</v>
      </c>
      <c r="Q12" s="9">
        <v>12000</v>
      </c>
      <c r="R12" s="9">
        <v>1000</v>
      </c>
      <c r="S12" s="48">
        <v>0</v>
      </c>
      <c r="T12" s="21">
        <f t="shared" si="4"/>
        <v>44100</v>
      </c>
      <c r="U12" s="53">
        <f>IF($J12="","",ROUND(($J12-$J$3)/1000,1)+(_xlfn.RANK.AVG($J12,($J12,$O12,$T12),1)-2)*10)</f>
        <v>24.6</v>
      </c>
      <c r="V12" s="54">
        <f>IF($O12="","",ROUND(($O12-$O$3)/1000,1)+(_xlfn.RANK.AVG($O12,($J12,$O12,$T12),1)-2)*10)</f>
        <v>-33.700000000000003</v>
      </c>
      <c r="W12" s="55">
        <f>IF($T12="","",ROUND(($T12-$T$3)/1000,1)+(_xlfn.RANK.AVG($T12,($J12,$O12,$T12),1)-2)*10)</f>
        <v>9.1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40</v>
      </c>
      <c r="BU12" s="40" t="s">
        <v>196</v>
      </c>
      <c r="BV12" s="41" t="s">
        <v>85</v>
      </c>
      <c r="BW12" s="41" t="s">
        <v>200</v>
      </c>
      <c r="BX12" s="41" t="s">
        <v>84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tr">
        <f>IF($P$1="","",$P$1)</f>
        <v>いちかわ</v>
      </c>
      <c r="F13" s="8" t="s">
        <v>198</v>
      </c>
      <c r="G13" s="9">
        <v>-6000</v>
      </c>
      <c r="H13" s="9"/>
      <c r="I13" s="48">
        <v>-500</v>
      </c>
      <c r="J13" s="21">
        <f t="shared" si="2"/>
        <v>43100</v>
      </c>
      <c r="K13" s="8" t="s">
        <v>197</v>
      </c>
      <c r="L13" s="9">
        <v>16000</v>
      </c>
      <c r="M13" s="9"/>
      <c r="N13" s="48">
        <v>1000</v>
      </c>
      <c r="O13" s="21">
        <f t="shared" si="3"/>
        <v>28300</v>
      </c>
      <c r="P13" s="8" t="s">
        <v>198</v>
      </c>
      <c r="Q13" s="9">
        <v>-10000</v>
      </c>
      <c r="R13" s="9"/>
      <c r="S13" s="48">
        <v>-500</v>
      </c>
      <c r="T13" s="21">
        <f t="shared" si="4"/>
        <v>33600</v>
      </c>
      <c r="U13" s="53">
        <f>IF($J13="","",ROUND(($J13-$J$3)/1000,1)+(_xlfn.RANK.AVG($J13,($J13,$O13,$T13),1)-2)*10)</f>
        <v>18.100000000000001</v>
      </c>
      <c r="V13" s="54">
        <f>IF($O13="","",ROUND(($O13-$O$3)/1000,1)+(_xlfn.RANK.AVG($O13,($J13,$O13,$T13),1)-2)*10)</f>
        <v>-16.7</v>
      </c>
      <c r="W13" s="55">
        <f>IF($T13="","",ROUND(($T13-$T$3)/1000,1)+(_xlfn.RANK.AVG($T13,($J13,$O13,$T13),1)-2)*10)</f>
        <v>-1.4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9</v>
      </c>
      <c r="AY13" s="30" t="s">
        <v>199</v>
      </c>
      <c r="AZ13" s="40" t="s">
        <v>98</v>
      </c>
      <c r="BA13" s="41" t="s">
        <v>86</v>
      </c>
      <c r="BB13" s="41" t="s">
        <v>86</v>
      </c>
      <c r="BC13" s="41" t="s">
        <v>86</v>
      </c>
      <c r="BD13" s="41" t="s">
        <v>104</v>
      </c>
      <c r="BE13" s="41" t="s">
        <v>100</v>
      </c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tr">
        <f>IF($F$1="","",$F$1)</f>
        <v>たかの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0F2F9A0A-50F3-4A25-9B1C-54D033393DE1}">
      <formula1>$U$2:$W$2</formula1>
    </dataValidation>
    <dataValidation type="list" showInputMessage="1" showErrorMessage="1" sqref="K4:K30 P4:P30 F4:F30" xr:uid="{F665FEE0-EA8F-420C-ADC1-84C57CC53F30}">
      <formula1>"ロン,ツモ,放銃,ツモ支払,流局,チョンボ"</formula1>
    </dataValidation>
    <dataValidation type="list" allowBlank="1" showInputMessage="1" sqref="F1:T1" xr:uid="{0577150A-6B51-4C77-98CC-3DE0156758D2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2020-10-17T06:38:06Z</dcterms:modified>
</cp:coreProperties>
</file>