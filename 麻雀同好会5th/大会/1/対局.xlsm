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EB6445B8-3032-4942-AB8F-9ACCFD57ADCE}" xr6:coauthVersionLast="45" xr6:coauthVersionMax="45" xr10:uidLastSave="{00000000-0000-0000-0000-000000000000}"/>
  <bookViews>
    <workbookView xWindow="-120" yWindow="-120" windowWidth="29040" windowHeight="15990" activeTab="6" xr2:uid="{4CDB34E1-560F-4998-ABAB-D6F7F2862621}"/>
  </bookViews>
  <sheets>
    <sheet name="Sheet1" sheetId="21" r:id="rId1"/>
    <sheet name="Sheet2" sheetId="22" r:id="rId2"/>
    <sheet name="Sheet3" sheetId="23" r:id="rId3"/>
    <sheet name="Sheet4" sheetId="24" r:id="rId4"/>
    <sheet name="Sheet5" sheetId="25" r:id="rId5"/>
    <sheet name="Sheet6" sheetId="26" r:id="rId6"/>
    <sheet name="Sheet7" sheetId="27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 l="1"/>
  <c r="E7" i="27"/>
  <c r="E6" i="27"/>
  <c r="E5" i="27"/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C14" i="27"/>
  <c r="D12" i="27"/>
  <c r="D11" i="27"/>
  <c r="D10" i="27"/>
  <c r="D8" i="27"/>
  <c r="C8" i="27"/>
  <c r="C7" i="27"/>
  <c r="C6" i="27"/>
  <c r="T4" i="27"/>
  <c r="T5" i="27" s="1"/>
  <c r="O4" i="27"/>
  <c r="O5" i="27" s="1"/>
  <c r="J4" i="27"/>
  <c r="J5" i="27" s="1"/>
  <c r="E4" i="27"/>
  <c r="W3" i="27"/>
  <c r="V3" i="27"/>
  <c r="U3" i="27"/>
  <c r="W2" i="27"/>
  <c r="V2" i="27"/>
  <c r="U2" i="27"/>
  <c r="BO1" i="27"/>
  <c r="AT1" i="27"/>
  <c r="Y1" i="27"/>
  <c r="U5" i="27" l="1"/>
  <c r="J6" i="27"/>
  <c r="O6" i="27"/>
  <c r="V5" i="27"/>
  <c r="B8" i="27"/>
  <c r="B9" i="27" s="1"/>
  <c r="W5" i="27"/>
  <c r="T6" i="27"/>
  <c r="B6" i="27"/>
  <c r="V4" i="27"/>
  <c r="D6" i="27"/>
  <c r="C9" i="27"/>
  <c r="D14" i="27"/>
  <c r="W4" i="27"/>
  <c r="B7" i="27"/>
  <c r="D9" i="27"/>
  <c r="C12" i="27"/>
  <c r="C13" i="27" s="1"/>
  <c r="B5" i="27"/>
  <c r="D7" i="27"/>
  <c r="C10" i="27"/>
  <c r="C11" i="27" s="1"/>
  <c r="C5" i="27"/>
  <c r="D5" i="27"/>
  <c r="D13" i="27"/>
  <c r="U4" i="27"/>
  <c r="A15" i="26"/>
  <c r="E14" i="26"/>
  <c r="C14" i="26" s="1"/>
  <c r="E13" i="26"/>
  <c r="E12" i="26"/>
  <c r="C12" i="26" s="1"/>
  <c r="E11" i="26"/>
  <c r="D11" i="26" s="1"/>
  <c r="E10" i="26"/>
  <c r="E9" i="26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C15" i="26"/>
  <c r="B15" i="26"/>
  <c r="T14" i="26"/>
  <c r="W14" i="26" s="1"/>
  <c r="O14" i="26"/>
  <c r="V14" i="26" s="1"/>
  <c r="J14" i="26"/>
  <c r="U14" i="26" s="1"/>
  <c r="D14" i="26"/>
  <c r="C13" i="26"/>
  <c r="D13" i="26"/>
  <c r="D12" i="26"/>
  <c r="C9" i="26"/>
  <c r="D9" i="26"/>
  <c r="D7" i="26"/>
  <c r="J5" i="26"/>
  <c r="J6" i="26" s="1"/>
  <c r="D5" i="26"/>
  <c r="T4" i="26"/>
  <c r="T5" i="26" s="1"/>
  <c r="O4" i="26"/>
  <c r="O5" i="26" s="1"/>
  <c r="J4" i="26"/>
  <c r="U4" i="26" s="1"/>
  <c r="E4" i="26"/>
  <c r="W3" i="26"/>
  <c r="V3" i="26"/>
  <c r="U3" i="26"/>
  <c r="W2" i="26"/>
  <c r="V2" i="26"/>
  <c r="U2" i="26"/>
  <c r="BO1" i="26"/>
  <c r="AT1" i="26"/>
  <c r="Y1" i="26"/>
  <c r="C14" i="25"/>
  <c r="E13" i="25"/>
  <c r="D13" i="25" s="1"/>
  <c r="E12" i="25"/>
  <c r="E11" i="25"/>
  <c r="D11" i="25" s="1"/>
  <c r="E10" i="25"/>
  <c r="E9" i="25"/>
  <c r="E8" i="25"/>
  <c r="E7" i="25"/>
  <c r="C7" i="25" s="1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W13" i="25" s="1"/>
  <c r="O13" i="25"/>
  <c r="V13" i="25" s="1"/>
  <c r="J13" i="25"/>
  <c r="U13" i="25" s="1"/>
  <c r="B13" i="25"/>
  <c r="C12" i="25"/>
  <c r="D12" i="25"/>
  <c r="C11" i="25"/>
  <c r="D10" i="25"/>
  <c r="C10" i="25"/>
  <c r="C8" i="25"/>
  <c r="D8" i="25"/>
  <c r="D7" i="25"/>
  <c r="O5" i="25"/>
  <c r="O6" i="25" s="1"/>
  <c r="J5" i="25"/>
  <c r="U5" i="25" s="1"/>
  <c r="T4" i="25"/>
  <c r="T5" i="25" s="1"/>
  <c r="O4" i="25"/>
  <c r="V4" i="25" s="1"/>
  <c r="J4" i="25"/>
  <c r="U4" i="25" s="1"/>
  <c r="E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V12" i="24" s="1"/>
  <c r="J12" i="24"/>
  <c r="U12" i="24" s="1"/>
  <c r="B12" i="24"/>
  <c r="T11" i="24"/>
  <c r="W11" i="24" s="1"/>
  <c r="O11" i="24"/>
  <c r="V11" i="24" s="1"/>
  <c r="J11" i="24"/>
  <c r="U11" i="24" s="1"/>
  <c r="D11" i="24"/>
  <c r="C11" i="24"/>
  <c r="B11" i="24"/>
  <c r="A11" i="24"/>
  <c r="D9" i="24"/>
  <c r="C8" i="24"/>
  <c r="D8" i="24"/>
  <c r="D7" i="24"/>
  <c r="C7" i="24"/>
  <c r="J6" i="24"/>
  <c r="J7" i="24" s="1"/>
  <c r="D6" i="24"/>
  <c r="J5" i="24"/>
  <c r="U5" i="24" s="1"/>
  <c r="C6" i="24"/>
  <c r="T4" i="24"/>
  <c r="T5" i="24" s="1"/>
  <c r="O4" i="24"/>
  <c r="O5" i="24" s="1"/>
  <c r="J4" i="24"/>
  <c r="U4" i="24" s="1"/>
  <c r="E4" i="24"/>
  <c r="W3" i="24"/>
  <c r="V3" i="24"/>
  <c r="U3" i="24"/>
  <c r="W2" i="24"/>
  <c r="V2" i="24"/>
  <c r="U2" i="24"/>
  <c r="BO1" i="24"/>
  <c r="AT1" i="24"/>
  <c r="Y1" i="24"/>
  <c r="B10" i="27" l="1"/>
  <c r="V6" i="27"/>
  <c r="O7" i="27"/>
  <c r="J7" i="27"/>
  <c r="U6" i="27"/>
  <c r="A5" i="27"/>
  <c r="T7" i="27"/>
  <c r="W6" i="27"/>
  <c r="D15" i="26"/>
  <c r="B14" i="26"/>
  <c r="A14" i="26" s="1"/>
  <c r="C8" i="26"/>
  <c r="T6" i="26"/>
  <c r="W5" i="26"/>
  <c r="J7" i="26"/>
  <c r="U6" i="26"/>
  <c r="O6" i="26"/>
  <c r="V5" i="26"/>
  <c r="C6" i="26"/>
  <c r="V4" i="26"/>
  <c r="D6" i="26"/>
  <c r="W4" i="26"/>
  <c r="C7" i="26"/>
  <c r="B5" i="26"/>
  <c r="B6" i="26" s="1"/>
  <c r="C10" i="26"/>
  <c r="C11" i="26" s="1"/>
  <c r="U5" i="26"/>
  <c r="C5" i="26"/>
  <c r="D10" i="26"/>
  <c r="B14" i="25"/>
  <c r="A14" i="25" s="1"/>
  <c r="A13" i="25"/>
  <c r="C13" i="25"/>
  <c r="D6" i="25"/>
  <c r="O7" i="25"/>
  <c r="V6" i="25"/>
  <c r="T6" i="25"/>
  <c r="W5" i="25"/>
  <c r="C9" i="25"/>
  <c r="B6" i="25"/>
  <c r="B7" i="25" s="1"/>
  <c r="W4" i="25"/>
  <c r="D9" i="25"/>
  <c r="J6" i="25"/>
  <c r="B5" i="25"/>
  <c r="A5" i="25" s="1"/>
  <c r="V5" i="25"/>
  <c r="C6" i="25"/>
  <c r="C5" i="25"/>
  <c r="A12" i="24"/>
  <c r="C12" i="24"/>
  <c r="O6" i="24"/>
  <c r="V5" i="24"/>
  <c r="T6" i="24"/>
  <c r="W5" i="24"/>
  <c r="J8" i="24"/>
  <c r="U7" i="24"/>
  <c r="B5" i="24"/>
  <c r="C10" i="24"/>
  <c r="C5" i="24"/>
  <c r="D10" i="24"/>
  <c r="D5" i="24"/>
  <c r="U6" i="24"/>
  <c r="B6" i="24"/>
  <c r="V4" i="24"/>
  <c r="C9" i="24"/>
  <c r="W4" i="24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A6" i="27" l="1"/>
  <c r="J8" i="27"/>
  <c r="U7" i="27"/>
  <c r="B11" i="27"/>
  <c r="A10" i="27"/>
  <c r="O8" i="27"/>
  <c r="V7" i="27"/>
  <c r="W7" i="27"/>
  <c r="T8" i="27"/>
  <c r="A5" i="26"/>
  <c r="B7" i="26"/>
  <c r="A7" i="26" s="1"/>
  <c r="O7" i="26"/>
  <c r="V6" i="26"/>
  <c r="A6" i="26"/>
  <c r="J8" i="26"/>
  <c r="U7" i="26"/>
  <c r="T7" i="26"/>
  <c r="W6" i="26"/>
  <c r="B8" i="25"/>
  <c r="A6" i="25"/>
  <c r="A7" i="25" s="1"/>
  <c r="O8" i="25"/>
  <c r="V7" i="25"/>
  <c r="J7" i="25"/>
  <c r="U6" i="25"/>
  <c r="T7" i="25"/>
  <c r="W6" i="25"/>
  <c r="A5" i="24"/>
  <c r="A6" i="24" s="1"/>
  <c r="B7" i="24"/>
  <c r="U8" i="24"/>
  <c r="J9" i="24"/>
  <c r="T7" i="24"/>
  <c r="W6" i="24"/>
  <c r="O7" i="24"/>
  <c r="V6" i="24"/>
  <c r="E12" i="23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A7" i="27" l="1"/>
  <c r="O9" i="27"/>
  <c r="V8" i="27"/>
  <c r="B12" i="27"/>
  <c r="A12" i="27" s="1"/>
  <c r="A11" i="27"/>
  <c r="T9" i="27"/>
  <c r="W8" i="27"/>
  <c r="J9" i="27"/>
  <c r="U8" i="27"/>
  <c r="J9" i="26"/>
  <c r="U8" i="26"/>
  <c r="T8" i="26"/>
  <c r="W7" i="26"/>
  <c r="O8" i="26"/>
  <c r="V7" i="26"/>
  <c r="B8" i="26"/>
  <c r="A8" i="26" s="1"/>
  <c r="A8" i="25"/>
  <c r="T8" i="25"/>
  <c r="W7" i="25"/>
  <c r="B9" i="25"/>
  <c r="A9" i="25" s="1"/>
  <c r="J8" i="25"/>
  <c r="U7" i="25"/>
  <c r="V8" i="25"/>
  <c r="O9" i="25"/>
  <c r="A7" i="24"/>
  <c r="O8" i="24"/>
  <c r="V7" i="24"/>
  <c r="W7" i="24"/>
  <c r="T8" i="24"/>
  <c r="J10" i="24"/>
  <c r="U9" i="24"/>
  <c r="B8" i="24"/>
  <c r="A8" i="24" s="1"/>
  <c r="J6" i="23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A8" i="27" l="1"/>
  <c r="J10" i="27"/>
  <c r="U9" i="27"/>
  <c r="T10" i="27"/>
  <c r="W9" i="27"/>
  <c r="B13" i="27"/>
  <c r="O10" i="27"/>
  <c r="V9" i="27"/>
  <c r="B9" i="26"/>
  <c r="A9" i="26" s="1"/>
  <c r="J10" i="26"/>
  <c r="U9" i="26"/>
  <c r="O9" i="26"/>
  <c r="V8" i="26"/>
  <c r="W8" i="26"/>
  <c r="T9" i="26"/>
  <c r="T9" i="25"/>
  <c r="W8" i="25"/>
  <c r="V9" i="25"/>
  <c r="O10" i="25"/>
  <c r="J9" i="25"/>
  <c r="U8" i="25"/>
  <c r="B10" i="25"/>
  <c r="A10" i="25" s="1"/>
  <c r="U10" i="24"/>
  <c r="T9" i="24"/>
  <c r="W8" i="24"/>
  <c r="B9" i="24"/>
  <c r="O9" i="24"/>
  <c r="V8" i="24"/>
  <c r="B8" i="23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A9" i="27" l="1"/>
  <c r="T11" i="27"/>
  <c r="W10" i="27"/>
  <c r="J11" i="27"/>
  <c r="U10" i="27"/>
  <c r="V10" i="27"/>
  <c r="O11" i="27"/>
  <c r="B14" i="27"/>
  <c r="A14" i="27" s="1"/>
  <c r="A13" i="27"/>
  <c r="T10" i="26"/>
  <c r="W9" i="26"/>
  <c r="O10" i="26"/>
  <c r="V9" i="26"/>
  <c r="U10" i="26"/>
  <c r="J11" i="26"/>
  <c r="B10" i="26"/>
  <c r="A10" i="26" s="1"/>
  <c r="T10" i="25"/>
  <c r="W9" i="25"/>
  <c r="B11" i="25"/>
  <c r="J10" i="25"/>
  <c r="U9" i="25"/>
  <c r="O11" i="25"/>
  <c r="V10" i="25"/>
  <c r="T10" i="24"/>
  <c r="W9" i="24"/>
  <c r="V9" i="24"/>
  <c r="O10" i="24"/>
  <c r="B10" i="24"/>
  <c r="A10" i="24" s="1"/>
  <c r="A9" i="24"/>
  <c r="A8" i="23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O12" i="27" l="1"/>
  <c r="V11" i="27"/>
  <c r="J12" i="27"/>
  <c r="U11" i="27"/>
  <c r="T12" i="27"/>
  <c r="W11" i="27"/>
  <c r="O11" i="26"/>
  <c r="V10" i="26"/>
  <c r="T11" i="26"/>
  <c r="W10" i="26"/>
  <c r="J12" i="26"/>
  <c r="U11" i="26"/>
  <c r="B11" i="26"/>
  <c r="A11" i="26" s="1"/>
  <c r="T11" i="25"/>
  <c r="W10" i="25"/>
  <c r="B12" i="25"/>
  <c r="A12" i="25" s="1"/>
  <c r="O12" i="25"/>
  <c r="V11" i="25"/>
  <c r="J11" i="25"/>
  <c r="U10" i="25"/>
  <c r="A11" i="25"/>
  <c r="V10" i="24"/>
  <c r="W10" i="24"/>
  <c r="O9" i="23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J13" i="27" l="1"/>
  <c r="U12" i="27"/>
  <c r="T13" i="27"/>
  <c r="W12" i="27"/>
  <c r="O13" i="27"/>
  <c r="V12" i="27"/>
  <c r="B12" i="26"/>
  <c r="J13" i="26"/>
  <c r="U13" i="26" s="1"/>
  <c r="U12" i="26"/>
  <c r="T12" i="26"/>
  <c r="W11" i="26"/>
  <c r="O12" i="26"/>
  <c r="V11" i="26"/>
  <c r="V12" i="25"/>
  <c r="T12" i="25"/>
  <c r="W11" i="25"/>
  <c r="J12" i="25"/>
  <c r="U11" i="25"/>
  <c r="A10" i="23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T14" i="27" l="1"/>
  <c r="W14" i="27" s="1"/>
  <c r="W13" i="27"/>
  <c r="O14" i="27"/>
  <c r="V14" i="27" s="1"/>
  <c r="V13" i="27"/>
  <c r="J14" i="27"/>
  <c r="U14" i="27" s="1"/>
  <c r="U13" i="27"/>
  <c r="O13" i="26"/>
  <c r="V12" i="26"/>
  <c r="B13" i="26"/>
  <c r="A12" i="26"/>
  <c r="W12" i="26"/>
  <c r="T13" i="26"/>
  <c r="U12" i="25"/>
  <c r="W12" i="25"/>
  <c r="T11" i="23"/>
  <c r="W11" i="23" s="1"/>
  <c r="B12" i="23"/>
  <c r="A12" i="23" s="1"/>
  <c r="A11" i="23"/>
  <c r="O11" i="23"/>
  <c r="V11" i="23" s="1"/>
  <c r="J11" i="23"/>
  <c r="U11" i="23" s="1"/>
  <c r="B9" i="21"/>
  <c r="T10" i="21"/>
  <c r="A8" i="21"/>
  <c r="W13" i="26" l="1"/>
  <c r="V13" i="26"/>
  <c r="A13" i="26"/>
  <c r="J12" i="23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<sst xmlns="http://schemas.openxmlformats.org/spreadsheetml/2006/main" count="1195" uniqueCount="212">
  <si>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</si>
  <si>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</si>
  <si>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</si>
  <si>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</si>
  <si>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</si>
  <si>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</si>
  <si>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</si>
  <si>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</si>
  <si>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</si>
  <si>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</si>
  <si>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</si>
  <si>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</si>
  <si>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</si>
  <si>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</si>
  <si>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</si>
  <si>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</si>
  <si>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</si>
  <si>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</si>
  <si>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</si>
  <si>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</si>
  <si>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</si>
  <si>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</si>
  <si>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</si>
  <si>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</si>
  <si>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</si>
  <si>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</si>
  <si>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</si>
  <si>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</si>
  <si>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</si>
  <si>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</si>
  <si>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</si>
  <si>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</si>
  <si>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</si>
  <si>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</si>
  <si>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</si>
  <si>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</si>
  <si>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</si>
  <si>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</si>
  <si>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</si>
  <si>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</si>
  <si>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</si>
  <si>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</si>
  <si>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</si>
  <si>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</si>
  <si>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</si>
  <si>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</si>
  <si>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</si>
  <si>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</si>
  <si>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</si>
  <si>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</si>
  <si>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</si>
  <si>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</si>
  <si>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</si>
  <si>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</si>
  <si>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</si>
  <si>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</si>
  <si>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</si>
  <si>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</si>
  <si>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</si>
  <si>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</si>
  <si>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</si>
  <si>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</si>
  <si>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</si>
  <si>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</si>
  <si>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</si>
  <si>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</si>
  <si>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</si>
  <si>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</si>
  <si>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</si>
  <si>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</si>
  <si>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</si>
  <si>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</si>
  <si>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</si>
  <si>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</si>
  <si>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</si>
  <si>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</si>
  <si>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</si>
  <si>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</si>
  <si>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</si>
  <si>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</si>
  <si>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</si>
  <si>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</si>
  <si>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</si>
  <si>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</si>
  <si>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</si>
  <si>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</si>
  <si>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</si>
  <si>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</si>
  <si>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</si>
  <si>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</si>
  <si>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</si>
  <si>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</si>
  <si>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</si>
  <si>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</si>
  <si>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</si>
  <si>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</si>
  <si>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</si>
  <si>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</si>
  <si>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</si>
  <si>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</si>
  <si>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</si>
  <si>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</si>
  <si>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</si>
  <si>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</si>
  <si>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</si>
  <si>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</si>
  <si>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</si>
  <si>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</si>
  <si>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</si>
  <si>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</si>
  <si>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</si>
  <si>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</si>
  <si>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</si>
  <si>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</si>
  <si>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</si>
  <si>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</si>
  <si>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</si>
  <si>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</si>
  <si>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</si>
  <si>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</si>
  <si>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</si>
  <si>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</si>
  <si>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</si>
  <si>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</si>
  <si>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</si>
  <si>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</si>
  <si>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</si>
  <si>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</si>
  <si>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</si>
  <si>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</si>
  <si>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</si>
  <si>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</si>
  <si>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</si>
  <si>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</si>
  <si>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</si>
  <si>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</si>
  <si>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</si>
  <si>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</si>
  <si>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</si>
  <si>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</si>
  <si>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</si>
  <si>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</si>
  <si>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</si>
  <si>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</si>
  <si>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</si>
  <si>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</si>
  <si>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</si>
  <si>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</si>
  <si>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</si>
  <si>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</si>
  <si>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</si>
  <si>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</si>
  <si>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</si>
  <si>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</si>
  <si>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</si>
  <si>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</si>
  <si>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</si>
  <si>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</si>
  <si>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</si>
  <si>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</si>
  <si>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</si>
  <si>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</si>
  <si>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</si>
  <si>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</si>
  <si>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</si>
  <si>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</si>
  <si>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</si>
  <si>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</si>
  <si>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</si>
  <si>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</si>
  <si>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</si>
  <si>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</si>
  <si>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</si>
  <si>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</si>
  <si>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</si>
  <si>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</si>
  <si>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</si>
  <si>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</si>
  <si>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</si>
  <si>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</si>
  <si>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</si>
  <si>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</si>
  <si>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</si>
  <si>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</si>
  <si>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</si>
  <si>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</si>
  <si>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</si>
  <si>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</si>
  <si>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</si>
  <si>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</si>
  <si>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</si>
  <si>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</si>
  <si>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</si>
  <si>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</si>
  <si>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</si>
  <si>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</si>
  <si>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</si>
  <si>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</si>
  <si>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</si>
  <si>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</si>
  <si>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</si>
  <si>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</si>
  <si>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</si>
  <si>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</si>
  <si>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</si>
  <si>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</si>
  <si>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</si>
  <si>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</si>
  <si>
    <t>ただ</t>
    <phoneticPr fontId="1"/>
  </si>
  <si>
    <t>まっつん</t>
    <phoneticPr fontId="1"/>
  </si>
  <si>
    <t>いちかわ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</si>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</sst>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201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207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いちかわ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201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EDDB8-D3EB-41EF-BFF7-8A9DF8C03299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208</v>
      </c>
      <c r="G1" s="79"/>
      <c r="H1" s="79"/>
      <c r="I1" s="80"/>
      <c r="J1" s="81"/>
      <c r="K1" s="78" t="s">
        <v>201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94500</v>
      </c>
      <c r="K3" s="7"/>
      <c r="L3" s="23"/>
      <c r="M3" s="23"/>
      <c r="N3" s="47"/>
      <c r="O3" s="20">
        <v>84200</v>
      </c>
      <c r="P3" s="7"/>
      <c r="Q3" s="23"/>
      <c r="R3" s="23"/>
      <c r="S3" s="47"/>
      <c r="T3" s="20">
        <v>121300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48">
        <v>0</v>
      </c>
      <c r="J4" s="21">
        <f>IF(COUNTA($F4,$K4,$P4)&gt;0,J3+SUM(G4:I4),"")</f>
        <v>92900</v>
      </c>
      <c r="K4" s="8"/>
      <c r="L4" s="9"/>
      <c r="M4" s="9">
        <v>-1000</v>
      </c>
      <c r="N4" s="48"/>
      <c r="O4" s="21">
        <f>IF(COUNTA($F4,$K4,$P4)&gt;0,O3+SUM(L4:N4),"")</f>
        <v>83200</v>
      </c>
      <c r="P4" s="8" t="s">
        <v>193</v>
      </c>
      <c r="Q4" s="9">
        <v>1600</v>
      </c>
      <c r="R4" s="9">
        <v>1000</v>
      </c>
      <c r="S4" s="48">
        <v>0</v>
      </c>
      <c r="T4" s="21">
        <f>IF(COUNTA($F4,$K4,$P4)&gt;0,T3+SUM(Q4:S4),"")</f>
        <v>123900</v>
      </c>
      <c r="U4" s="53">
        <f t="shared" ref="U4:U30" si="0">IF($J4="","",ROUND(($J4-$J$3)/1000,1))</f>
        <v>-1.6</v>
      </c>
      <c r="V4" s="54">
        <f t="shared" ref="V4:V30" si="1">IF($O4="","",ROUND(($O4-$O$3)/1000,1))</f>
        <v>-1</v>
      </c>
      <c r="W4" s="55">
        <f t="shared" ref="W4:W30" si="2">IF($T4="","",ROUND(($T4-$T$3)/1000,1))</f>
        <v>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-1500</v>
      </c>
      <c r="H5" s="9"/>
      <c r="I5" s="48"/>
      <c r="J5" s="21">
        <f t="shared" ref="J5:J30" si="5">IF(COUNTA($F5,$K5,$P5)&gt;0,J4+SUM(G5:I5),"")</f>
        <v>91400</v>
      </c>
      <c r="K5" s="8" t="s">
        <v>204</v>
      </c>
      <c r="L5" s="9">
        <v>-1500</v>
      </c>
      <c r="M5" s="9"/>
      <c r="N5" s="48"/>
      <c r="O5" s="21">
        <f t="shared" ref="O5:O30" si="6">IF(COUNTA($F5,$K5,$P5)&gt;0,O4+SUM(L5:N5),"")</f>
        <v>81700</v>
      </c>
      <c r="P5" s="8" t="s">
        <v>204</v>
      </c>
      <c r="Q5" s="9">
        <v>3000</v>
      </c>
      <c r="R5" s="9">
        <v>-1000</v>
      </c>
      <c r="S5" s="48"/>
      <c r="T5" s="21">
        <f t="shared" ref="T5:T30" si="7">IF(COUNTA($F5,$K5,$P5)&gt;0,T4+SUM(Q5:S5),"")</f>
        <v>125900</v>
      </c>
      <c r="U5" s="53">
        <f t="shared" si="0"/>
        <v>-3.1</v>
      </c>
      <c r="V5" s="54">
        <f t="shared" si="1"/>
        <v>-2.5</v>
      </c>
      <c r="W5" s="55">
        <f t="shared" si="2"/>
        <v>4.5999999999999996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tr">
        <f>IF($P$1="","",$P$1)</f>
        <v>だいち</v>
      </c>
      <c r="F6" s="8" t="s">
        <v>193</v>
      </c>
      <c r="G6" s="9">
        <v>2600</v>
      </c>
      <c r="H6" s="9">
        <v>1000</v>
      </c>
      <c r="I6" s="48">
        <v>1000</v>
      </c>
      <c r="J6" s="21">
        <f t="shared" si="5"/>
        <v>96000</v>
      </c>
      <c r="K6" s="8"/>
      <c r="L6" s="9"/>
      <c r="M6" s="9"/>
      <c r="N6" s="48"/>
      <c r="O6" s="21">
        <f t="shared" si="6"/>
        <v>81700</v>
      </c>
      <c r="P6" s="8" t="s">
        <v>194</v>
      </c>
      <c r="Q6" s="9">
        <v>-2600</v>
      </c>
      <c r="R6" s="9"/>
      <c r="S6" s="48">
        <v>-1000</v>
      </c>
      <c r="T6" s="21">
        <f t="shared" si="7"/>
        <v>122300</v>
      </c>
      <c r="U6" s="53">
        <f t="shared" si="0"/>
        <v>1.5</v>
      </c>
      <c r="V6" s="54">
        <f t="shared" si="1"/>
        <v>-2.5</v>
      </c>
      <c r="W6" s="55">
        <f t="shared" si="2"/>
        <v>1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195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ただ</v>
      </c>
      <c r="F7" s="8" t="s">
        <v>193</v>
      </c>
      <c r="G7" s="9">
        <v>3900</v>
      </c>
      <c r="H7" s="9"/>
      <c r="I7" s="48">
        <v>0</v>
      </c>
      <c r="J7" s="21">
        <f t="shared" si="5"/>
        <v>99900</v>
      </c>
      <c r="K7" s="8" t="s">
        <v>194</v>
      </c>
      <c r="L7" s="9">
        <v>-3900</v>
      </c>
      <c r="M7" s="9"/>
      <c r="N7" s="48">
        <v>0</v>
      </c>
      <c r="O7" s="21">
        <f t="shared" si="6"/>
        <v>77800</v>
      </c>
      <c r="P7" s="8"/>
      <c r="Q7" s="9"/>
      <c r="R7" s="9"/>
      <c r="S7" s="48"/>
      <c r="T7" s="21">
        <f t="shared" si="7"/>
        <v>122300</v>
      </c>
      <c r="U7" s="53">
        <f t="shared" si="0"/>
        <v>5.4</v>
      </c>
      <c r="V7" s="54">
        <f t="shared" si="1"/>
        <v>-6.4</v>
      </c>
      <c r="W7" s="55">
        <f t="shared" si="2"/>
        <v>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195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ただ</v>
      </c>
      <c r="F8" s="8" t="s">
        <v>193</v>
      </c>
      <c r="G8" s="9">
        <v>18000</v>
      </c>
      <c r="H8" s="9"/>
      <c r="I8" s="48">
        <v>1000</v>
      </c>
      <c r="J8" s="21">
        <f t="shared" si="5"/>
        <v>118900</v>
      </c>
      <c r="K8" s="8" t="s">
        <v>194</v>
      </c>
      <c r="L8" s="9">
        <v>-18000</v>
      </c>
      <c r="M8" s="9"/>
      <c r="N8" s="48">
        <v>-1000</v>
      </c>
      <c r="O8" s="21">
        <f t="shared" si="6"/>
        <v>58800</v>
      </c>
      <c r="P8" s="8"/>
      <c r="Q8" s="9"/>
      <c r="R8" s="9"/>
      <c r="S8" s="48"/>
      <c r="T8" s="21">
        <f t="shared" si="7"/>
        <v>122300</v>
      </c>
      <c r="U8" s="53">
        <f t="shared" si="0"/>
        <v>24.4</v>
      </c>
      <c r="V8" s="54">
        <f t="shared" si="1"/>
        <v>-25.4</v>
      </c>
      <c r="W8" s="55">
        <f t="shared" si="2"/>
        <v>1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86</v>
      </c>
      <c r="AF8" s="41" t="s">
        <v>197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tr">
        <f>IF($F$1="","",$F$1)</f>
        <v>ただ</v>
      </c>
      <c r="F9" s="8"/>
      <c r="G9" s="9"/>
      <c r="H9" s="9"/>
      <c r="I9" s="48"/>
      <c r="J9" s="21">
        <f t="shared" si="5"/>
        <v>118900</v>
      </c>
      <c r="K9" s="8" t="s">
        <v>194</v>
      </c>
      <c r="L9" s="9">
        <v>-7700</v>
      </c>
      <c r="M9" s="9"/>
      <c r="N9" s="48">
        <v>-2000</v>
      </c>
      <c r="O9" s="21">
        <f t="shared" si="6"/>
        <v>49100</v>
      </c>
      <c r="P9" s="8" t="s">
        <v>193</v>
      </c>
      <c r="Q9" s="9">
        <v>7700</v>
      </c>
      <c r="R9" s="9"/>
      <c r="S9" s="48">
        <v>2000</v>
      </c>
      <c r="T9" s="21">
        <f t="shared" si="7"/>
        <v>132000</v>
      </c>
      <c r="U9" s="53">
        <f t="shared" si="0"/>
        <v>24.4</v>
      </c>
      <c r="V9" s="54">
        <f t="shared" si="1"/>
        <v>-35.1</v>
      </c>
      <c r="W9" s="55">
        <f t="shared" si="2"/>
        <v>10.7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たかの</v>
      </c>
      <c r="F10" s="8" t="s">
        <v>198</v>
      </c>
      <c r="G10" s="9">
        <v>-2900</v>
      </c>
      <c r="H10" s="9"/>
      <c r="I10" s="48">
        <v>0</v>
      </c>
      <c r="J10" s="21">
        <f t="shared" si="5"/>
        <v>116000</v>
      </c>
      <c r="K10" s="8" t="s">
        <v>198</v>
      </c>
      <c r="L10" s="9">
        <v>-4800</v>
      </c>
      <c r="M10" s="9"/>
      <c r="N10" s="48">
        <v>0</v>
      </c>
      <c r="O10" s="21">
        <f t="shared" si="6"/>
        <v>44300</v>
      </c>
      <c r="P10" s="8" t="s">
        <v>199</v>
      </c>
      <c r="Q10" s="9">
        <v>7700</v>
      </c>
      <c r="R10" s="9"/>
      <c r="S10" s="48">
        <v>0</v>
      </c>
      <c r="T10" s="21">
        <f t="shared" si="7"/>
        <v>139700</v>
      </c>
      <c r="U10" s="53">
        <f t="shared" si="0"/>
        <v>21.5</v>
      </c>
      <c r="V10" s="54">
        <f t="shared" si="1"/>
        <v>-39.9</v>
      </c>
      <c r="W10" s="55">
        <f t="shared" si="2"/>
        <v>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195</v>
      </c>
      <c r="BV10" s="41" t="s">
        <v>82</v>
      </c>
      <c r="BW10" s="41" t="s">
        <v>84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5"/>
        <v>116000</v>
      </c>
      <c r="K11" s="8" t="s">
        <v>194</v>
      </c>
      <c r="L11" s="9">
        <v>-2900</v>
      </c>
      <c r="M11" s="9"/>
      <c r="N11" s="48">
        <v>0</v>
      </c>
      <c r="O11" s="21">
        <f t="shared" si="6"/>
        <v>41400</v>
      </c>
      <c r="P11" s="8" t="s">
        <v>193</v>
      </c>
      <c r="Q11" s="9">
        <v>2900</v>
      </c>
      <c r="R11" s="9"/>
      <c r="S11" s="48">
        <v>0</v>
      </c>
      <c r="T11" s="21">
        <f t="shared" si="7"/>
        <v>142600</v>
      </c>
      <c r="U11" s="53">
        <f t="shared" si="0"/>
        <v>21.5</v>
      </c>
      <c r="V11" s="54">
        <f t="shared" si="1"/>
        <v>-42.8</v>
      </c>
      <c r="W11" s="55">
        <f t="shared" si="2"/>
        <v>21.3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197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だいち</v>
      </c>
      <c r="F12" s="8" t="s">
        <v>193</v>
      </c>
      <c r="G12" s="9">
        <v>8000</v>
      </c>
      <c r="H12" s="9"/>
      <c r="I12" s="48">
        <v>1000</v>
      </c>
      <c r="J12" s="21">
        <f t="shared" si="5"/>
        <v>125000</v>
      </c>
      <c r="K12" s="8"/>
      <c r="L12" s="9"/>
      <c r="M12" s="9"/>
      <c r="N12" s="48"/>
      <c r="O12" s="21">
        <f t="shared" si="6"/>
        <v>41400</v>
      </c>
      <c r="P12" s="8" t="s">
        <v>194</v>
      </c>
      <c r="Q12" s="9">
        <v>-8000</v>
      </c>
      <c r="R12" s="9"/>
      <c r="S12" s="48">
        <v>-1000</v>
      </c>
      <c r="T12" s="21">
        <f t="shared" si="7"/>
        <v>133600</v>
      </c>
      <c r="U12" s="53">
        <f t="shared" si="0"/>
        <v>30.5</v>
      </c>
      <c r="V12" s="54">
        <f t="shared" si="1"/>
        <v>-42.8</v>
      </c>
      <c r="W12" s="55">
        <f t="shared" si="2"/>
        <v>12.3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84</v>
      </c>
      <c r="AF12" s="41" t="s">
        <v>197</v>
      </c>
      <c r="AG12" s="41" t="s">
        <v>79</v>
      </c>
      <c r="AH12" s="41" t="s">
        <v>79</v>
      </c>
      <c r="AI12" s="41" t="s">
        <v>83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7A22D74F-A11F-49ED-BECC-3254BC8687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98E34-46A8-42B9-A694-9FDCB1B06768}">
      <formula1>"ロン,ツモ,放銃,ツモ支払,流局,チョンボ"</formula1>
    </dataValidation>
    <dataValidation type="list" allowBlank="1" showInputMessage="1" showErrorMessage="1" sqref="E4:E30" xr:uid="{CEFE34E9-94E7-41AD-AB04-1FF265B969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749-E037-409C-BC4A-410302646F6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133600</v>
      </c>
      <c r="K3" s="7"/>
      <c r="L3" s="23"/>
      <c r="M3" s="23"/>
      <c r="N3" s="47"/>
      <c r="O3" s="20">
        <v>31400</v>
      </c>
      <c r="P3" s="7"/>
      <c r="Q3" s="23"/>
      <c r="R3" s="23"/>
      <c r="S3" s="47"/>
      <c r="T3" s="20">
        <v>135000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7800</v>
      </c>
      <c r="H4" s="9"/>
      <c r="I4" s="48">
        <v>0</v>
      </c>
      <c r="J4" s="21">
        <f>IF(COUNTA($F4,$K4,$P4)&gt;0,J3+SUM(G4:I4),"")</f>
        <v>141400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131100</v>
      </c>
      <c r="U4" s="53">
        <f t="shared" ref="U4:U30" si="0">IF($J4="","",ROUND(($J4-$J$3)/1000,1))</f>
        <v>7.8</v>
      </c>
      <c r="V4" s="54">
        <f t="shared" ref="V4:V30" si="1">IF($O4="","",ROUND(($O4-$O$3)/1000,1))</f>
        <v>-3.9</v>
      </c>
      <c r="W4" s="55">
        <f t="shared" ref="W4:W30" si="2">IF($T4="","",ROUND(($T4-$T$3)/1000,1))</f>
        <v>-3.9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5">IF(COUNTA($F5,$K5,$P5)&gt;0,J4+SUM(G5:I5),"")</f>
        <v>141400</v>
      </c>
      <c r="K5" s="8" t="s">
        <v>193</v>
      </c>
      <c r="L5" s="9">
        <v>7700</v>
      </c>
      <c r="M5" s="9"/>
      <c r="N5" s="48">
        <v>1000</v>
      </c>
      <c r="O5" s="21">
        <f t="shared" ref="O5:O30" si="6">IF(COUNTA($F5,$K5,$P5)&gt;0,O4+SUM(L5:N5),"")</f>
        <v>36200</v>
      </c>
      <c r="P5" s="8" t="s">
        <v>194</v>
      </c>
      <c r="Q5" s="9">
        <v>-7700</v>
      </c>
      <c r="R5" s="9"/>
      <c r="S5" s="48">
        <v>-1000</v>
      </c>
      <c r="T5" s="21">
        <f t="shared" ref="T5:T30" si="7">IF(COUNTA($F5,$K5,$P5)&gt;0,T4+SUM(Q5:S5),"")</f>
        <v>122400</v>
      </c>
      <c r="U5" s="53">
        <f t="shared" si="0"/>
        <v>7.8</v>
      </c>
      <c r="V5" s="54">
        <f t="shared" si="1"/>
        <v>4.8</v>
      </c>
      <c r="W5" s="55">
        <f t="shared" si="2"/>
        <v>-12.6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まっつん</v>
      </c>
      <c r="F6" s="8" t="s">
        <v>193</v>
      </c>
      <c r="G6" s="9">
        <v>3200</v>
      </c>
      <c r="H6" s="9"/>
      <c r="I6" s="48">
        <v>0</v>
      </c>
      <c r="J6" s="21">
        <f t="shared" si="5"/>
        <v>144600</v>
      </c>
      <c r="K6" s="8" t="s">
        <v>194</v>
      </c>
      <c r="L6" s="9">
        <v>-3200</v>
      </c>
      <c r="M6" s="9"/>
      <c r="N6" s="48">
        <v>0</v>
      </c>
      <c r="O6" s="21">
        <f t="shared" si="6"/>
        <v>33000</v>
      </c>
      <c r="P6" s="8"/>
      <c r="Q6" s="9"/>
      <c r="R6" s="9"/>
      <c r="S6" s="48"/>
      <c r="T6" s="21">
        <f t="shared" si="7"/>
        <v>122400</v>
      </c>
      <c r="U6" s="53">
        <f t="shared" si="0"/>
        <v>11</v>
      </c>
      <c r="V6" s="54">
        <f t="shared" si="1"/>
        <v>1.6</v>
      </c>
      <c r="W6" s="55">
        <f t="shared" si="2"/>
        <v>-12.6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195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199</v>
      </c>
      <c r="G7" s="9">
        <v>8000</v>
      </c>
      <c r="H7" s="9">
        <v>2000</v>
      </c>
      <c r="I7" s="48">
        <v>0</v>
      </c>
      <c r="J7" s="21">
        <f t="shared" si="5"/>
        <v>154600</v>
      </c>
      <c r="K7" s="8" t="s">
        <v>198</v>
      </c>
      <c r="L7" s="9">
        <v>-3000</v>
      </c>
      <c r="M7" s="9">
        <v>-1000</v>
      </c>
      <c r="N7" s="48">
        <v>0</v>
      </c>
      <c r="O7" s="21">
        <f t="shared" si="6"/>
        <v>29000</v>
      </c>
      <c r="P7" s="8" t="s">
        <v>198</v>
      </c>
      <c r="Q7" s="9">
        <v>-5000</v>
      </c>
      <c r="R7" s="9">
        <v>-1000</v>
      </c>
      <c r="S7" s="48">
        <v>0</v>
      </c>
      <c r="T7" s="21">
        <f t="shared" si="7"/>
        <v>116400</v>
      </c>
      <c r="U7" s="53">
        <f t="shared" si="0"/>
        <v>21</v>
      </c>
      <c r="V7" s="54">
        <f t="shared" si="1"/>
        <v>-2.4</v>
      </c>
      <c r="W7" s="55">
        <f t="shared" si="2"/>
        <v>-18.600000000000001</v>
      </c>
      <c r="Y7" s="8"/>
      <c r="Z7" s="34"/>
      <c r="AA7" s="26"/>
      <c r="AB7" s="26"/>
      <c r="AC7" s="26">
        <v>4</v>
      </c>
      <c r="AD7" s="30">
        <v>40</v>
      </c>
      <c r="AE7" s="40" t="s">
        <v>82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だいち</v>
      </c>
      <c r="F8" s="8" t="s">
        <v>199</v>
      </c>
      <c r="G8" s="9">
        <v>18000</v>
      </c>
      <c r="H8" s="9"/>
      <c r="I8" s="48">
        <v>0</v>
      </c>
      <c r="J8" s="21">
        <f t="shared" si="5"/>
        <v>172600</v>
      </c>
      <c r="K8" s="8" t="s">
        <v>198</v>
      </c>
      <c r="L8" s="9">
        <v>-9000</v>
      </c>
      <c r="M8" s="9"/>
      <c r="N8" s="48">
        <v>0</v>
      </c>
      <c r="O8" s="21">
        <f t="shared" si="6"/>
        <v>20000</v>
      </c>
      <c r="P8" s="8" t="s">
        <v>198</v>
      </c>
      <c r="Q8" s="9">
        <v>-9000</v>
      </c>
      <c r="R8" s="9"/>
      <c r="S8" s="48">
        <v>0</v>
      </c>
      <c r="T8" s="21">
        <f t="shared" si="7"/>
        <v>107400</v>
      </c>
      <c r="U8" s="53">
        <f t="shared" si="0"/>
        <v>39</v>
      </c>
      <c r="V8" s="54">
        <f t="shared" si="1"/>
        <v>-11.4</v>
      </c>
      <c r="W8" s="55">
        <f t="shared" si="2"/>
        <v>-27.6</v>
      </c>
      <c r="Y8" s="8"/>
      <c r="Z8" s="34"/>
      <c r="AA8" s="26"/>
      <c r="AB8" s="26"/>
      <c r="AC8" s="26">
        <v>6</v>
      </c>
      <c r="AD8" s="30" t="s">
        <v>200</v>
      </c>
      <c r="AE8" s="40" t="s">
        <v>101</v>
      </c>
      <c r="AF8" s="41" t="s">
        <v>197</v>
      </c>
      <c r="AG8" s="41" t="s">
        <v>79</v>
      </c>
      <c r="AH8" s="41" t="s">
        <v>79</v>
      </c>
      <c r="AI8" s="41" t="s">
        <v>82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だいち</v>
      </c>
      <c r="F9" s="8" t="s">
        <v>204</v>
      </c>
      <c r="G9" s="9">
        <v>-3000</v>
      </c>
      <c r="H9" s="9"/>
      <c r="I9" s="48"/>
      <c r="J9" s="21">
        <f t="shared" si="5"/>
        <v>169600</v>
      </c>
      <c r="K9" s="8" t="s">
        <v>204</v>
      </c>
      <c r="L9" s="9">
        <v>1500</v>
      </c>
      <c r="M9" s="9"/>
      <c r="N9" s="48"/>
      <c r="O9" s="21">
        <f t="shared" si="6"/>
        <v>21500</v>
      </c>
      <c r="P9" s="8" t="s">
        <v>204</v>
      </c>
      <c r="Q9" s="9">
        <v>1500</v>
      </c>
      <c r="R9" s="9"/>
      <c r="S9" s="48"/>
      <c r="T9" s="21">
        <f t="shared" si="7"/>
        <v>108900</v>
      </c>
      <c r="U9" s="53">
        <f t="shared" si="0"/>
        <v>36</v>
      </c>
      <c r="V9" s="54">
        <f t="shared" si="1"/>
        <v>-9.9</v>
      </c>
      <c r="W9" s="55">
        <f t="shared" si="2"/>
        <v>-26.1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5"/>
        <v>169600</v>
      </c>
      <c r="K10" s="8" t="s">
        <v>193</v>
      </c>
      <c r="L10" s="9">
        <v>9600</v>
      </c>
      <c r="M10" s="9"/>
      <c r="N10" s="48">
        <v>2000</v>
      </c>
      <c r="O10" s="21">
        <f t="shared" si="6"/>
        <v>33100</v>
      </c>
      <c r="P10" s="8" t="s">
        <v>194</v>
      </c>
      <c r="Q10" s="9">
        <v>-9600</v>
      </c>
      <c r="R10" s="9"/>
      <c r="S10" s="48">
        <v>-2000</v>
      </c>
      <c r="T10" s="21">
        <f t="shared" si="7"/>
        <v>97300</v>
      </c>
      <c r="U10" s="53">
        <f t="shared" si="0"/>
        <v>36</v>
      </c>
      <c r="V10" s="54">
        <f t="shared" si="1"/>
        <v>1.7</v>
      </c>
      <c r="W10" s="55">
        <f t="shared" si="2"/>
        <v>-37.700000000000003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3</v>
      </c>
      <c r="D11" s="18">
        <f t="shared" si="4"/>
        <v>0</v>
      </c>
      <c r="E11" s="4" t="str">
        <f>IF($K$1="","",$K$1)</f>
        <v>まっつん</v>
      </c>
      <c r="F11" s="8" t="s">
        <v>199</v>
      </c>
      <c r="G11" s="9">
        <v>12000</v>
      </c>
      <c r="H11" s="9"/>
      <c r="I11" s="48">
        <v>3000</v>
      </c>
      <c r="J11" s="21">
        <f t="shared" si="5"/>
        <v>184600</v>
      </c>
      <c r="K11" s="8" t="s">
        <v>198</v>
      </c>
      <c r="L11" s="9">
        <v>-7500</v>
      </c>
      <c r="M11" s="9"/>
      <c r="N11" s="48">
        <v>-1500</v>
      </c>
      <c r="O11" s="21">
        <f t="shared" si="6"/>
        <v>24100</v>
      </c>
      <c r="P11" s="8" t="s">
        <v>198</v>
      </c>
      <c r="Q11" s="9">
        <v>-4500</v>
      </c>
      <c r="R11" s="9"/>
      <c r="S11" s="48">
        <v>-1500</v>
      </c>
      <c r="T11" s="21">
        <f t="shared" si="7"/>
        <v>91300</v>
      </c>
      <c r="U11" s="53">
        <f t="shared" si="0"/>
        <v>51</v>
      </c>
      <c r="V11" s="54">
        <f t="shared" si="1"/>
        <v>-7.3</v>
      </c>
      <c r="W11" s="55">
        <f t="shared" si="2"/>
        <v>-43.7</v>
      </c>
      <c r="Y11" s="8"/>
      <c r="Z11" s="34"/>
      <c r="AA11" s="26"/>
      <c r="AB11" s="26"/>
      <c r="AC11" s="26">
        <v>6</v>
      </c>
      <c r="AD11" s="30" t="s">
        <v>200</v>
      </c>
      <c r="AE11" s="40" t="s">
        <v>82</v>
      </c>
      <c r="AF11" s="41" t="s">
        <v>101</v>
      </c>
      <c r="AG11" s="41" t="s">
        <v>79</v>
      </c>
      <c r="AH11" s="41" t="s">
        <v>79</v>
      </c>
      <c r="AI11" s="41" t="s">
        <v>197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tr">
        <f>IF($P$1="","",$P$1)</f>
        <v>ただ</v>
      </c>
      <c r="F12" s="8" t="s">
        <v>204</v>
      </c>
      <c r="G12" s="9">
        <v>-3000</v>
      </c>
      <c r="H12" s="9"/>
      <c r="I12" s="48"/>
      <c r="J12" s="21">
        <f t="shared" si="5"/>
        <v>181600</v>
      </c>
      <c r="K12" s="8" t="s">
        <v>204</v>
      </c>
      <c r="L12" s="9">
        <v>1500</v>
      </c>
      <c r="M12" s="9">
        <v>-1000</v>
      </c>
      <c r="N12" s="48"/>
      <c r="O12" s="21">
        <f t="shared" si="6"/>
        <v>24600</v>
      </c>
      <c r="P12" s="8" t="s">
        <v>204</v>
      </c>
      <c r="Q12" s="9">
        <v>1500</v>
      </c>
      <c r="R12" s="9">
        <v>-1000</v>
      </c>
      <c r="S12" s="48"/>
      <c r="T12" s="21">
        <f t="shared" si="7"/>
        <v>91800</v>
      </c>
      <c r="U12" s="53">
        <f t="shared" si="0"/>
        <v>48</v>
      </c>
      <c r="V12" s="54">
        <f t="shared" si="1"/>
        <v>-6.8</v>
      </c>
      <c r="W12" s="55">
        <f t="shared" si="2"/>
        <v>-43.2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1</v>
      </c>
      <c r="D13" s="18">
        <f t="shared" si="4"/>
        <v>2</v>
      </c>
      <c r="E13" s="4" t="str">
        <f>IF($P$1="","",$P$1)</f>
        <v>ただ</v>
      </c>
      <c r="F13" s="8" t="s">
        <v>193</v>
      </c>
      <c r="G13" s="9">
        <v>2000</v>
      </c>
      <c r="H13" s="9">
        <v>2000</v>
      </c>
      <c r="I13" s="48">
        <v>1000</v>
      </c>
      <c r="J13" s="21">
        <f t="shared" si="5"/>
        <v>186600</v>
      </c>
      <c r="K13" s="8" t="s">
        <v>194</v>
      </c>
      <c r="L13" s="9">
        <v>-2000</v>
      </c>
      <c r="M13" s="9"/>
      <c r="N13" s="48">
        <v>-1000</v>
      </c>
      <c r="O13" s="21">
        <f t="shared" si="6"/>
        <v>21600</v>
      </c>
      <c r="P13" s="8"/>
      <c r="Q13" s="9"/>
      <c r="R13" s="9"/>
      <c r="S13" s="48"/>
      <c r="T13" s="21">
        <f t="shared" si="7"/>
        <v>91800</v>
      </c>
      <c r="U13" s="53">
        <f t="shared" si="0"/>
        <v>53</v>
      </c>
      <c r="V13" s="54">
        <f t="shared" si="1"/>
        <v>-9.8000000000000007</v>
      </c>
      <c r="W13" s="55">
        <f t="shared" si="2"/>
        <v>-43.2</v>
      </c>
      <c r="Y13" s="8"/>
      <c r="Z13" s="34"/>
      <c r="AA13" s="26"/>
      <c r="AB13" s="26"/>
      <c r="AC13" s="26">
        <v>2</v>
      </c>
      <c r="AD13" s="30">
        <v>30</v>
      </c>
      <c r="AE13" s="40" t="s">
        <v>84</v>
      </c>
      <c r="AF13" s="41" t="s">
        <v>83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15FF805B-2208-4738-9C79-895EDAA29467}">
      <formula1>$U$2:$W$2</formula1>
    </dataValidation>
    <dataValidation type="list" showInputMessage="1" showErrorMessage="1" sqref="K4:K30 P4:P30 F4:F30" xr:uid="{6710AE1C-80B3-4DF5-A93C-333DE19480AA}">
      <formula1>"ロン,ツモ,放銃,ツモ支払,流局,チョンボ"</formula1>
    </dataValidation>
    <dataValidation type="list" allowBlank="1" showInputMessage="1" sqref="F1:T1" xr:uid="{F9B3F645-1913-466E-AB75-7980DF21449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035E-6579-4664-A229-6072286AFDB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209</v>
      </c>
      <c r="G1" s="79"/>
      <c r="H1" s="79"/>
      <c r="I1" s="80"/>
      <c r="J1" s="81"/>
      <c r="K1" s="78" t="s">
        <v>210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いちかわ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21600</v>
      </c>
      <c r="K3" s="7"/>
      <c r="L3" s="23"/>
      <c r="M3" s="23"/>
      <c r="N3" s="47"/>
      <c r="O3" s="20">
        <v>196600</v>
      </c>
      <c r="P3" s="7"/>
      <c r="Q3" s="23"/>
      <c r="R3" s="23"/>
      <c r="S3" s="47"/>
      <c r="T3" s="20">
        <v>81800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1500</v>
      </c>
      <c r="H4" s="9"/>
      <c r="I4" s="48"/>
      <c r="J4" s="21">
        <f>IF(COUNTA($F4,$K4,$P4)&gt;0,J3+SUM(G4:I4),"")</f>
        <v>23100</v>
      </c>
      <c r="K4" s="8" t="s">
        <v>204</v>
      </c>
      <c r="L4" s="9">
        <v>-3000</v>
      </c>
      <c r="M4" s="9"/>
      <c r="N4" s="48"/>
      <c r="O4" s="21">
        <f>IF(COUNTA($F4,$K4,$P4)&gt;0,O3+SUM(L4:N4),"")</f>
        <v>193600</v>
      </c>
      <c r="P4" s="8" t="s">
        <v>204</v>
      </c>
      <c r="Q4" s="9">
        <v>1500</v>
      </c>
      <c r="R4" s="9"/>
      <c r="S4" s="48"/>
      <c r="T4" s="21">
        <f>IF(COUNTA($F4,$K4,$P4)&gt;0,T3+SUM(Q4:S4),"")</f>
        <v>83300</v>
      </c>
      <c r="U4" s="53">
        <f t="shared" ref="U4:U30" si="0">IF($J4="","",ROUND(($J4-$J$3)/1000,1))</f>
        <v>1.5</v>
      </c>
      <c r="V4" s="54">
        <f t="shared" ref="V4:V30" si="1">IF($O4="","",ROUND(($O4-$O$3)/1000,1))</f>
        <v>-3</v>
      </c>
      <c r="W4" s="55">
        <f t="shared" ref="W4:W30" si="2">IF($T4="","",ROUND(($T4-$T$3)/1000,1))</f>
        <v>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-5000</v>
      </c>
      <c r="H5" s="9">
        <v>-1000</v>
      </c>
      <c r="I5" s="48">
        <v>-500</v>
      </c>
      <c r="J5" s="21">
        <f t="shared" ref="J5:J30" si="5">IF(COUNTA($F5,$K5,$P5)&gt;0,J4+SUM(G5:I5),"")</f>
        <v>16600</v>
      </c>
      <c r="K5" s="8" t="s">
        <v>198</v>
      </c>
      <c r="L5" s="9">
        <v>-3000</v>
      </c>
      <c r="M5" s="9"/>
      <c r="N5" s="48">
        <v>-500</v>
      </c>
      <c r="O5" s="21">
        <f t="shared" ref="O5:O30" si="6">IF(COUNTA($F5,$K5,$P5)&gt;0,O4+SUM(L5:N5),"")</f>
        <v>190100</v>
      </c>
      <c r="P5" s="8" t="s">
        <v>199</v>
      </c>
      <c r="Q5" s="9">
        <v>8000</v>
      </c>
      <c r="R5" s="9">
        <v>1000</v>
      </c>
      <c r="S5" s="48">
        <v>1000</v>
      </c>
      <c r="T5" s="21">
        <f t="shared" ref="T5:T30" si="7">IF(COUNTA($F5,$K5,$P5)&gt;0,T4+SUM(Q5:S5),"")</f>
        <v>93300</v>
      </c>
      <c r="U5" s="53">
        <f t="shared" si="0"/>
        <v>-5</v>
      </c>
      <c r="V5" s="54">
        <f t="shared" si="1"/>
        <v>-6.5</v>
      </c>
      <c r="W5" s="55">
        <f t="shared" si="2"/>
        <v>11.5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104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いちかわ</v>
      </c>
      <c r="F6" s="8" t="s">
        <v>199</v>
      </c>
      <c r="G6" s="9">
        <v>7700</v>
      </c>
      <c r="H6" s="9">
        <v>1000</v>
      </c>
      <c r="I6" s="48">
        <v>0</v>
      </c>
      <c r="J6" s="21">
        <f t="shared" si="5"/>
        <v>25300</v>
      </c>
      <c r="K6" s="8" t="s">
        <v>198</v>
      </c>
      <c r="L6" s="9">
        <v>-4800</v>
      </c>
      <c r="M6" s="9">
        <v>-1000</v>
      </c>
      <c r="N6" s="48">
        <v>0</v>
      </c>
      <c r="O6" s="21">
        <f t="shared" si="6"/>
        <v>184300</v>
      </c>
      <c r="P6" s="8" t="s">
        <v>198</v>
      </c>
      <c r="Q6" s="9">
        <v>-2900</v>
      </c>
      <c r="R6" s="9"/>
      <c r="S6" s="48">
        <v>0</v>
      </c>
      <c r="T6" s="21">
        <f t="shared" si="7"/>
        <v>90400</v>
      </c>
      <c r="U6" s="53">
        <f t="shared" si="0"/>
        <v>3.7</v>
      </c>
      <c r="V6" s="54">
        <f t="shared" si="1"/>
        <v>-12.3</v>
      </c>
      <c r="W6" s="55">
        <f t="shared" si="2"/>
        <v>8.6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195</v>
      </c>
      <c r="AF6" s="41" t="s">
        <v>82</v>
      </c>
      <c r="AG6" s="41" t="s">
        <v>196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198</v>
      </c>
      <c r="G7" s="9">
        <v>-500</v>
      </c>
      <c r="H7" s="9"/>
      <c r="I7" s="48">
        <v>0</v>
      </c>
      <c r="J7" s="21">
        <f t="shared" si="5"/>
        <v>24800</v>
      </c>
      <c r="K7" s="8" t="s">
        <v>199</v>
      </c>
      <c r="L7" s="9">
        <v>1200</v>
      </c>
      <c r="M7" s="9"/>
      <c r="N7" s="48">
        <v>0</v>
      </c>
      <c r="O7" s="21">
        <f t="shared" si="6"/>
        <v>185500</v>
      </c>
      <c r="P7" s="8" t="s">
        <v>198</v>
      </c>
      <c r="Q7" s="9">
        <v>-700</v>
      </c>
      <c r="R7" s="9"/>
      <c r="S7" s="48">
        <v>0</v>
      </c>
      <c r="T7" s="21">
        <f t="shared" si="7"/>
        <v>89700</v>
      </c>
      <c r="U7" s="53">
        <f t="shared" si="0"/>
        <v>3.2</v>
      </c>
      <c r="V7" s="54">
        <f t="shared" si="1"/>
        <v>-11.1</v>
      </c>
      <c r="W7" s="55">
        <f t="shared" si="2"/>
        <v>7.9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まっつん</v>
      </c>
      <c r="F8" s="8" t="s">
        <v>193</v>
      </c>
      <c r="G8" s="9">
        <v>7700</v>
      </c>
      <c r="H8" s="9"/>
      <c r="I8" s="48">
        <v>0</v>
      </c>
      <c r="J8" s="21">
        <f t="shared" si="5"/>
        <v>32500</v>
      </c>
      <c r="K8" s="8" t="s">
        <v>194</v>
      </c>
      <c r="L8" s="9">
        <v>-7700</v>
      </c>
      <c r="M8" s="9"/>
      <c r="N8" s="48">
        <v>0</v>
      </c>
      <c r="O8" s="21">
        <f t="shared" si="6"/>
        <v>177800</v>
      </c>
      <c r="P8" s="8"/>
      <c r="Q8" s="9"/>
      <c r="R8" s="9"/>
      <c r="S8" s="48"/>
      <c r="T8" s="21">
        <f t="shared" si="7"/>
        <v>89700</v>
      </c>
      <c r="U8" s="53">
        <f t="shared" si="0"/>
        <v>10.9</v>
      </c>
      <c r="V8" s="54">
        <f t="shared" si="1"/>
        <v>-18.8</v>
      </c>
      <c r="W8" s="55">
        <f t="shared" si="2"/>
        <v>7.9</v>
      </c>
      <c r="Y8" s="8"/>
      <c r="Z8" s="34"/>
      <c r="AA8" s="26"/>
      <c r="AB8" s="26"/>
      <c r="AC8" s="26">
        <v>3</v>
      </c>
      <c r="AD8" s="30">
        <v>40</v>
      </c>
      <c r="AE8" s="40" t="s">
        <v>85</v>
      </c>
      <c r="AF8" s="41" t="s">
        <v>84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まっつん</v>
      </c>
      <c r="F9" s="8" t="s">
        <v>199</v>
      </c>
      <c r="G9" s="9">
        <v>12000</v>
      </c>
      <c r="H9" s="9">
        <v>1000</v>
      </c>
      <c r="I9" s="48">
        <v>1000</v>
      </c>
      <c r="J9" s="21">
        <f t="shared" si="5"/>
        <v>46500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6"/>
        <v>170300</v>
      </c>
      <c r="P9" s="8" t="s">
        <v>198</v>
      </c>
      <c r="Q9" s="9">
        <v>-6000</v>
      </c>
      <c r="R9" s="9"/>
      <c r="S9" s="48">
        <v>-500</v>
      </c>
      <c r="T9" s="21">
        <f t="shared" si="7"/>
        <v>83200</v>
      </c>
      <c r="U9" s="53">
        <f t="shared" si="0"/>
        <v>24.9</v>
      </c>
      <c r="V9" s="54">
        <f t="shared" si="1"/>
        <v>-26.3</v>
      </c>
      <c r="W9" s="55">
        <f t="shared" si="2"/>
        <v>1.4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tr">
        <f>IF($F$1="","",$F$1)</f>
        <v>まっつん</v>
      </c>
      <c r="F10" s="8" t="s">
        <v>193</v>
      </c>
      <c r="G10" s="9">
        <v>7700</v>
      </c>
      <c r="H10" s="9"/>
      <c r="I10" s="48">
        <v>2000</v>
      </c>
      <c r="J10" s="21">
        <f t="shared" si="5"/>
        <v>56200</v>
      </c>
      <c r="K10" s="8" t="s">
        <v>193</v>
      </c>
      <c r="L10" s="9">
        <v>12000</v>
      </c>
      <c r="M10" s="9"/>
      <c r="N10" s="48"/>
      <c r="O10" s="21">
        <f t="shared" si="6"/>
        <v>182300</v>
      </c>
      <c r="P10" s="8" t="s">
        <v>194</v>
      </c>
      <c r="Q10" s="9">
        <v>-19700</v>
      </c>
      <c r="R10" s="9"/>
      <c r="S10" s="48">
        <v>-2000</v>
      </c>
      <c r="T10" s="21">
        <f t="shared" si="7"/>
        <v>61500</v>
      </c>
      <c r="U10" s="53">
        <f t="shared" si="0"/>
        <v>34.6</v>
      </c>
      <c r="V10" s="54">
        <f t="shared" si="1"/>
        <v>-14.3</v>
      </c>
      <c r="W10" s="55">
        <f t="shared" si="2"/>
        <v>-20.3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200</v>
      </c>
      <c r="AZ10" s="40" t="s">
        <v>96</v>
      </c>
      <c r="BA10" s="41" t="s">
        <v>98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48">
        <v>-3000</v>
      </c>
      <c r="J11" s="21">
        <f t="shared" si="5"/>
        <v>45500</v>
      </c>
      <c r="K11" s="8"/>
      <c r="L11" s="9"/>
      <c r="M11" s="9"/>
      <c r="N11" s="48"/>
      <c r="O11" s="21">
        <f t="shared" si="6"/>
        <v>182300</v>
      </c>
      <c r="P11" s="8" t="s">
        <v>193</v>
      </c>
      <c r="Q11" s="9">
        <v>7700</v>
      </c>
      <c r="R11" s="9"/>
      <c r="S11" s="48">
        <v>3000</v>
      </c>
      <c r="T11" s="21">
        <f t="shared" si="7"/>
        <v>72200</v>
      </c>
      <c r="U11" s="53">
        <f t="shared" si="0"/>
        <v>23.9</v>
      </c>
      <c r="V11" s="54">
        <f t="shared" si="1"/>
        <v>-14.3</v>
      </c>
      <c r="W11" s="55">
        <f t="shared" si="2"/>
        <v>-9.6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195</v>
      </c>
      <c r="BV11" s="41" t="s">
        <v>85</v>
      </c>
      <c r="BW11" s="41" t="s">
        <v>83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いちかわ</v>
      </c>
      <c r="F12" s="8"/>
      <c r="G12" s="9"/>
      <c r="H12" s="9"/>
      <c r="I12" s="48"/>
      <c r="J12" s="21">
        <f t="shared" si="5"/>
        <v>45500</v>
      </c>
      <c r="K12" s="8" t="s">
        <v>193</v>
      </c>
      <c r="L12" s="9">
        <v>7700</v>
      </c>
      <c r="M12" s="9"/>
      <c r="N12" s="48">
        <v>0</v>
      </c>
      <c r="O12" s="21">
        <f t="shared" si="6"/>
        <v>190000</v>
      </c>
      <c r="P12" s="8" t="s">
        <v>194</v>
      </c>
      <c r="Q12" s="9">
        <v>-7700</v>
      </c>
      <c r="R12" s="9"/>
      <c r="S12" s="48">
        <v>0</v>
      </c>
      <c r="T12" s="21">
        <f t="shared" si="7"/>
        <v>64500</v>
      </c>
      <c r="U12" s="53">
        <f t="shared" si="0"/>
        <v>23.9</v>
      </c>
      <c r="V12" s="54">
        <f t="shared" si="1"/>
        <v>-6.6</v>
      </c>
      <c r="W12" s="55">
        <f t="shared" si="2"/>
        <v>-17.3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195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tr">
        <f>IF($K$1="","",$K$1)</f>
        <v>いちかわ</v>
      </c>
      <c r="F13" s="8" t="s">
        <v>199</v>
      </c>
      <c r="G13" s="9">
        <v>8000</v>
      </c>
      <c r="H13" s="9"/>
      <c r="I13" s="48">
        <v>1000</v>
      </c>
      <c r="J13" s="21">
        <f t="shared" si="5"/>
        <v>54500</v>
      </c>
      <c r="K13" s="8" t="s">
        <v>198</v>
      </c>
      <c r="L13" s="9">
        <v>-5000</v>
      </c>
      <c r="M13" s="9"/>
      <c r="N13" s="48">
        <v>-500</v>
      </c>
      <c r="O13" s="21">
        <f t="shared" si="6"/>
        <v>184500</v>
      </c>
      <c r="P13" s="8" t="s">
        <v>198</v>
      </c>
      <c r="Q13" s="9">
        <v>-3000</v>
      </c>
      <c r="R13" s="9"/>
      <c r="S13" s="48">
        <v>-500</v>
      </c>
      <c r="T13" s="21">
        <f t="shared" si="7"/>
        <v>61000</v>
      </c>
      <c r="U13" s="53">
        <f t="shared" si="0"/>
        <v>32.9</v>
      </c>
      <c r="V13" s="54">
        <f t="shared" si="1"/>
        <v>-12.1</v>
      </c>
      <c r="W13" s="55">
        <f t="shared" si="2"/>
        <v>-20.8</v>
      </c>
      <c r="Y13" s="8"/>
      <c r="Z13" s="34"/>
      <c r="AA13" s="26"/>
      <c r="AB13" s="26">
        <v>1</v>
      </c>
      <c r="AC13" s="26">
        <v>5</v>
      </c>
      <c r="AD13" s="30" t="s">
        <v>200</v>
      </c>
      <c r="AE13" s="40" t="s">
        <v>86</v>
      </c>
      <c r="AF13" s="41" t="s">
        <v>197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tr">
        <f>IF($P$1="","",$P$1)</f>
        <v>ただ</v>
      </c>
      <c r="F14" s="8" t="s">
        <v>193</v>
      </c>
      <c r="G14" s="9">
        <v>8000</v>
      </c>
      <c r="H14" s="9"/>
      <c r="I14" s="48">
        <v>0</v>
      </c>
      <c r="J14" s="21">
        <f t="shared" si="5"/>
        <v>62500</v>
      </c>
      <c r="K14" s="8" t="s">
        <v>194</v>
      </c>
      <c r="L14" s="9">
        <v>-8000</v>
      </c>
      <c r="M14" s="9"/>
      <c r="N14" s="48">
        <v>0</v>
      </c>
      <c r="O14" s="21">
        <f t="shared" si="6"/>
        <v>176500</v>
      </c>
      <c r="P14" s="8"/>
      <c r="Q14" s="9"/>
      <c r="R14" s="9"/>
      <c r="S14" s="48"/>
      <c r="T14" s="21">
        <f t="shared" si="7"/>
        <v>61000</v>
      </c>
      <c r="U14" s="53">
        <f t="shared" si="0"/>
        <v>40.9</v>
      </c>
      <c r="V14" s="54">
        <f t="shared" si="1"/>
        <v>-20.100000000000001</v>
      </c>
      <c r="W14" s="55">
        <f t="shared" si="2"/>
        <v>-20.8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195</v>
      </c>
      <c r="AF14" s="41" t="s">
        <v>196</v>
      </c>
      <c r="AG14" s="41" t="s">
        <v>84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1E937B0-A86E-45DD-AA03-F8146BB7F53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F37668E-E365-4C83-9526-2C85282A3107}">
      <formula1>"ロン,ツモ,放銃,ツモ支払,流局,チョンボ"</formula1>
    </dataValidation>
    <dataValidation type="list" allowBlank="1" showInputMessage="1" showErrorMessage="1" sqref="E4:E30" xr:uid="{3C6375D3-CD4D-4B90-B7C8-683C67A2DC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5C8F-2C1B-4A22-8CA7-7617AEC56FF4}">
  <sheetPr codeName="Sheet18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51000</v>
      </c>
      <c r="K3" s="7"/>
      <c r="L3" s="23"/>
      <c r="M3" s="23"/>
      <c r="N3" s="47"/>
      <c r="O3" s="20">
        <v>72500</v>
      </c>
      <c r="P3" s="7"/>
      <c r="Q3" s="23"/>
      <c r="R3" s="23"/>
      <c r="S3" s="47"/>
      <c r="T3" s="20">
        <v>176500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42000</v>
      </c>
      <c r="K4" s="8" t="s">
        <v>193</v>
      </c>
      <c r="L4" s="9">
        <v>8000</v>
      </c>
      <c r="M4" s="9">
        <v>1000</v>
      </c>
      <c r="N4" s="48">
        <v>0</v>
      </c>
      <c r="O4" s="21">
        <f>IF(COUNTA($F4,$K4,$P4)&gt;0,O3+SUM(L4:N4),"")</f>
        <v>81500</v>
      </c>
      <c r="P4" s="8"/>
      <c r="Q4" s="9"/>
      <c r="R4" s="9"/>
      <c r="S4" s="48"/>
      <c r="T4" s="21">
        <f>IF(COUNTA($F4,$K4,$P4)&gt;0,T3+SUM(Q4:S4),"")</f>
        <v>176500</v>
      </c>
      <c r="U4" s="53">
        <f t="shared" ref="U4:U30" si="0">IF($J4="","",ROUND(($J4-$J$3)/1000,1))</f>
        <v>-9</v>
      </c>
      <c r="V4" s="54">
        <f t="shared" ref="V4:V30" si="1">IF($O4="","",ROUND(($O4-$O$3)/1000,1))</f>
        <v>9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200</v>
      </c>
      <c r="AZ4" s="40" t="s">
        <v>195</v>
      </c>
      <c r="BA4" s="41" t="s">
        <v>197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-2400</v>
      </c>
      <c r="H5" s="9"/>
      <c r="I5" s="48">
        <v>0</v>
      </c>
      <c r="J5" s="21">
        <f t="shared" ref="J5:J30" si="5">IF(COUNTA($F5,$K5,$P5)&gt;0,J4+SUM(G5:I5),"")</f>
        <v>39600</v>
      </c>
      <c r="K5" s="8" t="s">
        <v>198</v>
      </c>
      <c r="L5" s="9">
        <v>-4000</v>
      </c>
      <c r="M5" s="9"/>
      <c r="N5" s="48">
        <v>0</v>
      </c>
      <c r="O5" s="21">
        <f t="shared" ref="O5:O30" si="6">IF(COUNTA($F5,$K5,$P5)&gt;0,O4+SUM(L5:N5),"")</f>
        <v>77500</v>
      </c>
      <c r="P5" s="8" t="s">
        <v>199</v>
      </c>
      <c r="Q5" s="9">
        <v>6400</v>
      </c>
      <c r="R5" s="9"/>
      <c r="S5" s="48">
        <v>0</v>
      </c>
      <c r="T5" s="21">
        <f t="shared" ref="T5:T30" si="7">IF(COUNTA($F5,$K5,$P5)&gt;0,T4+SUM(Q5:S5),"")</f>
        <v>182900</v>
      </c>
      <c r="U5" s="53">
        <f t="shared" si="0"/>
        <v>-11.4</v>
      </c>
      <c r="V5" s="54">
        <f t="shared" si="1"/>
        <v>5</v>
      </c>
      <c r="W5" s="55">
        <f t="shared" si="2"/>
        <v>6.4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25</v>
      </c>
      <c r="BU5" s="40" t="s">
        <v>195</v>
      </c>
      <c r="BV5" s="41" t="s">
        <v>82</v>
      </c>
      <c r="BW5" s="41" t="s">
        <v>101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5"/>
        <v>39600</v>
      </c>
      <c r="K6" s="8" t="s">
        <v>193</v>
      </c>
      <c r="L6" s="9">
        <v>2600</v>
      </c>
      <c r="M6" s="9">
        <v>1000</v>
      </c>
      <c r="N6" s="48">
        <v>0</v>
      </c>
      <c r="O6" s="21">
        <f t="shared" si="6"/>
        <v>81100</v>
      </c>
      <c r="P6" s="8" t="s">
        <v>194</v>
      </c>
      <c r="Q6" s="9">
        <v>-2600</v>
      </c>
      <c r="R6" s="9">
        <v>-1000</v>
      </c>
      <c r="S6" s="48">
        <v>0</v>
      </c>
      <c r="T6" s="21">
        <f t="shared" si="7"/>
        <v>179300</v>
      </c>
      <c r="U6" s="53">
        <f t="shared" si="0"/>
        <v>-11.4</v>
      </c>
      <c r="V6" s="54">
        <f t="shared" si="1"/>
        <v>8.6</v>
      </c>
      <c r="W6" s="55">
        <f t="shared" si="2"/>
        <v>2.8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197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りくと</v>
      </c>
      <c r="F7" s="8" t="s">
        <v>193</v>
      </c>
      <c r="G7" s="9">
        <v>12000</v>
      </c>
      <c r="H7" s="9"/>
      <c r="I7" s="48">
        <v>0</v>
      </c>
      <c r="J7" s="21">
        <f t="shared" si="5"/>
        <v>51600</v>
      </c>
      <c r="K7" s="8"/>
      <c r="L7" s="9"/>
      <c r="M7" s="9"/>
      <c r="N7" s="48"/>
      <c r="O7" s="21">
        <f t="shared" si="6"/>
        <v>81100</v>
      </c>
      <c r="P7" s="8" t="s">
        <v>194</v>
      </c>
      <c r="Q7" s="9">
        <v>-12000</v>
      </c>
      <c r="R7" s="9"/>
      <c r="S7" s="48">
        <v>0</v>
      </c>
      <c r="T7" s="21">
        <f t="shared" si="7"/>
        <v>167300</v>
      </c>
      <c r="U7" s="53">
        <f t="shared" si="0"/>
        <v>0.6</v>
      </c>
      <c r="V7" s="54">
        <f t="shared" si="1"/>
        <v>8.6</v>
      </c>
      <c r="W7" s="55">
        <f t="shared" si="2"/>
        <v>-9.1999999999999993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195</v>
      </c>
      <c r="AF7" s="41" t="s">
        <v>83</v>
      </c>
      <c r="AG7" s="41" t="s">
        <v>92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5"/>
        <v>51600</v>
      </c>
      <c r="K8" s="8" t="s">
        <v>194</v>
      </c>
      <c r="L8" s="9">
        <v>-8000</v>
      </c>
      <c r="M8" s="9"/>
      <c r="N8" s="48">
        <v>-1000</v>
      </c>
      <c r="O8" s="21">
        <f t="shared" si="6"/>
        <v>72100</v>
      </c>
      <c r="P8" s="8" t="s">
        <v>193</v>
      </c>
      <c r="Q8" s="9">
        <v>8000</v>
      </c>
      <c r="R8" s="9"/>
      <c r="S8" s="48">
        <v>1000</v>
      </c>
      <c r="T8" s="21">
        <f t="shared" si="7"/>
        <v>176300</v>
      </c>
      <c r="U8" s="53">
        <f t="shared" si="0"/>
        <v>0.6</v>
      </c>
      <c r="V8" s="54">
        <f t="shared" si="1"/>
        <v>-0.4</v>
      </c>
      <c r="W8" s="55">
        <f t="shared" si="2"/>
        <v>-0.2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50</v>
      </c>
      <c r="BU8" s="40" t="s">
        <v>86</v>
      </c>
      <c r="BV8" s="41" t="s">
        <v>86</v>
      </c>
      <c r="BW8" s="41" t="s">
        <v>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まっつん</v>
      </c>
      <c r="F9" s="8" t="s">
        <v>204</v>
      </c>
      <c r="G9" s="9">
        <v>-1500</v>
      </c>
      <c r="H9" s="9"/>
      <c r="I9" s="48"/>
      <c r="J9" s="21">
        <f t="shared" si="5"/>
        <v>50100</v>
      </c>
      <c r="K9" s="8" t="s">
        <v>204</v>
      </c>
      <c r="L9" s="9">
        <v>3000</v>
      </c>
      <c r="M9" s="9">
        <v>-1000</v>
      </c>
      <c r="N9" s="48"/>
      <c r="O9" s="21">
        <f t="shared" si="6"/>
        <v>74100</v>
      </c>
      <c r="P9" s="8" t="s">
        <v>204</v>
      </c>
      <c r="Q9" s="9">
        <v>-1500</v>
      </c>
      <c r="R9" s="9"/>
      <c r="S9" s="48"/>
      <c r="T9" s="21">
        <f t="shared" si="7"/>
        <v>174800</v>
      </c>
      <c r="U9" s="53">
        <f t="shared" si="0"/>
        <v>-0.9</v>
      </c>
      <c r="V9" s="54">
        <f t="shared" si="1"/>
        <v>1.6</v>
      </c>
      <c r="W9" s="55">
        <f t="shared" si="2"/>
        <v>-1.7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tr">
        <f>IF($K$1="","",$K$1)</f>
        <v>まっつん</v>
      </c>
      <c r="F10" s="8" t="s">
        <v>199</v>
      </c>
      <c r="G10" s="9">
        <v>5300</v>
      </c>
      <c r="H10" s="9">
        <v>1000</v>
      </c>
      <c r="I10" s="48">
        <v>1000</v>
      </c>
      <c r="J10" s="21">
        <f t="shared" si="5"/>
        <v>57400</v>
      </c>
      <c r="K10" s="8" t="s">
        <v>198</v>
      </c>
      <c r="L10" s="9">
        <v>-3300</v>
      </c>
      <c r="M10" s="9"/>
      <c r="N10" s="48">
        <v>-500</v>
      </c>
      <c r="O10" s="21">
        <f t="shared" si="6"/>
        <v>70300</v>
      </c>
      <c r="P10" s="8" t="s">
        <v>198</v>
      </c>
      <c r="Q10" s="9">
        <v>-2000</v>
      </c>
      <c r="R10" s="9"/>
      <c r="S10" s="48">
        <v>-500</v>
      </c>
      <c r="T10" s="21">
        <f t="shared" si="7"/>
        <v>172300</v>
      </c>
      <c r="U10" s="53">
        <f t="shared" si="0"/>
        <v>6.4</v>
      </c>
      <c r="V10" s="54">
        <f t="shared" si="1"/>
        <v>-2.2000000000000002</v>
      </c>
      <c r="W10" s="55">
        <f t="shared" si="2"/>
        <v>-4.2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195</v>
      </c>
      <c r="AF10" s="41" t="s">
        <v>82</v>
      </c>
      <c r="AG10" s="41" t="s">
        <v>83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 t="s">
        <v>198</v>
      </c>
      <c r="G11" s="9">
        <v>-1500</v>
      </c>
      <c r="H11" s="9"/>
      <c r="I11" s="48">
        <v>0</v>
      </c>
      <c r="J11" s="21">
        <f t="shared" si="5"/>
        <v>55900</v>
      </c>
      <c r="K11" s="8" t="s">
        <v>199</v>
      </c>
      <c r="L11" s="9">
        <v>4000</v>
      </c>
      <c r="M11" s="9"/>
      <c r="N11" s="48">
        <v>0</v>
      </c>
      <c r="O11" s="21">
        <f t="shared" si="6"/>
        <v>74300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169800</v>
      </c>
      <c r="U11" s="53">
        <f t="shared" si="0"/>
        <v>4.9000000000000004</v>
      </c>
      <c r="V11" s="54">
        <f t="shared" si="1"/>
        <v>1.8</v>
      </c>
      <c r="W11" s="55">
        <f t="shared" si="2"/>
        <v>-6.7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195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りくと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927B3657-0982-44A6-A3E8-153F2A63591B}">
      <formula1>$U$2:$W$2</formula1>
    </dataValidation>
    <dataValidation type="list" showInputMessage="1" showErrorMessage="1" sqref="K4:K30 P4:P30 F4:F30" xr:uid="{5691E6ED-F909-4C40-A9C9-CC75B2B0CA84}">
      <formula1>"ロン,ツモ,放銃,ツモ支払,流局,チョンボ"</formula1>
    </dataValidation>
    <dataValidation type="list" allowBlank="1" showInputMessage="1" sqref="F1:T1" xr:uid="{3B6D897B-73B0-45B1-A26C-35BBCF241D1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2020-11-20T06:25:20Z</dcterms:modified>
</cp:coreProperties>
</file>