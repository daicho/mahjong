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7BC3A01-2132-4E40-ACE7-F28AD9D7177F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852" l="1"/>
  <c r="P18" i="6856"/>
  <c r="P15" i="6866" l="1"/>
  <c r="P21" i="6852"/>
  <c r="P17" i="6854" l="1"/>
  <c r="P19" i="6856"/>
  <c r="P21" i="6860"/>
  <c r="P16" i="6856"/>
  <c r="P19" i="6862" l="1"/>
  <c r="P15" i="6854"/>
  <c r="P17" i="6866" l="1"/>
  <c r="P20" i="6850"/>
  <c r="P21" i="6858" l="1"/>
  <c r="P19" i="6854"/>
  <c r="P15" i="6860" l="1"/>
  <c r="P18" i="6860"/>
  <c r="P18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8" i="6848"/>
  <c r="P19" i="6866"/>
  <c r="P16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4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7" i="6848"/>
  <c r="C19" i="6866" l="1"/>
  <c r="H26" i="6866"/>
  <c r="H31" i="6866"/>
  <c r="H17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2" i="6866"/>
  <c r="H10" i="6866"/>
  <c r="C25" i="6866"/>
  <c r="H4" i="6866"/>
  <c r="C26" i="6866"/>
  <c r="H5" i="6866"/>
  <c r="H15" i="6866"/>
  <c r="H28" i="6866"/>
  <c r="H37" i="6866"/>
  <c r="H20" i="6866"/>
  <c r="B28" i="6866"/>
  <c r="C37" i="6866"/>
  <c r="H48" i="6866"/>
  <c r="H47" i="6866"/>
  <c r="H9" i="6866"/>
  <c r="C22" i="6866"/>
  <c r="H29" i="6866"/>
  <c r="H39" i="6866"/>
  <c r="H49" i="6866"/>
  <c r="H7" i="6866"/>
  <c r="H18" i="6866"/>
  <c r="C20" i="6866"/>
  <c r="H13" i="6866"/>
  <c r="H6" i="6866"/>
  <c r="H2" i="6866"/>
  <c r="H8" i="6866"/>
  <c r="H16" i="6866"/>
  <c r="H24" i="6866"/>
  <c r="H40" i="6866"/>
  <c r="H3" i="6866"/>
  <c r="H21" i="6866"/>
  <c r="H23" i="6866"/>
  <c r="H27" i="6866"/>
  <c r="H30" i="6866"/>
  <c r="H36" i="6866"/>
  <c r="C40" i="6866"/>
  <c r="C44" i="6866"/>
  <c r="C48" i="6866"/>
  <c r="C41" i="6866"/>
  <c r="C45" i="6866"/>
  <c r="C49" i="6866"/>
  <c r="H19" i="6866"/>
  <c r="H11" i="6866"/>
  <c r="C23" i="6866"/>
  <c r="B27" i="6866"/>
  <c r="H32" i="6866"/>
  <c r="H38" i="6866"/>
  <c r="H42" i="6866"/>
  <c r="H46" i="6866"/>
  <c r="H50" i="6866"/>
  <c r="H25" i="6866"/>
  <c r="H12" i="6866"/>
  <c r="H33" i="6866"/>
  <c r="C38" i="6866"/>
  <c r="C42" i="6866"/>
  <c r="C46" i="6866"/>
  <c r="H51" i="6866"/>
  <c r="C39" i="6866"/>
  <c r="C43" i="6866"/>
  <c r="C47" i="6866"/>
  <c r="P19" i="6852" l="1"/>
  <c r="P19" i="6860"/>
  <c r="P16" i="6858"/>
  <c r="P16" i="6860"/>
  <c r="P22" i="6860"/>
  <c r="P18" i="6862"/>
  <c r="P20" i="6858"/>
  <c r="P20" i="6862"/>
  <c r="P17" i="6852"/>
  <c r="P15" i="6852"/>
  <c r="P17" i="6864" l="1"/>
  <c r="P16" i="6862"/>
  <c r="P15" i="6850"/>
  <c r="P16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5" i="6848"/>
  <c r="P16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2" i="6860"/>
  <c r="C47" i="6860"/>
  <c r="H13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7" i="6860"/>
  <c r="B28" i="6860"/>
  <c r="H38" i="6860"/>
  <c r="H44" i="6860"/>
  <c r="C49" i="6860"/>
  <c r="C25" i="6860"/>
  <c r="H31" i="6860"/>
  <c r="H10" i="6860"/>
  <c r="H18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6" i="6860"/>
  <c r="H41" i="6860"/>
  <c r="H45" i="6860"/>
  <c r="H50" i="6860"/>
  <c r="H15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17" i="6850" l="1"/>
  <c r="P19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5" i="6856"/>
  <c r="P17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6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1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0" i="6858"/>
  <c r="H25" i="6858"/>
  <c r="H26" i="6858"/>
  <c r="C37" i="6858"/>
  <c r="H44" i="6858"/>
  <c r="H6" i="6858"/>
  <c r="H7" i="6858"/>
  <c r="H18" i="6858"/>
  <c r="H31" i="6858"/>
  <c r="H14" i="6858"/>
  <c r="H3" i="6858"/>
  <c r="H35" i="6858"/>
  <c r="H2" i="6858"/>
  <c r="H17" i="6858"/>
  <c r="B28" i="6858"/>
  <c r="H5" i="6858"/>
  <c r="H15" i="6858"/>
  <c r="H22" i="6858"/>
  <c r="C23" i="6858"/>
  <c r="H30" i="6858"/>
  <c r="H39" i="6858"/>
  <c r="H45" i="6858"/>
  <c r="H52" i="6858"/>
  <c r="H24" i="6858"/>
  <c r="H13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8" i="6856"/>
  <c r="C49" i="6856"/>
  <c r="H43" i="6856"/>
  <c r="H23" i="6856"/>
  <c r="C26" i="6856"/>
  <c r="H39" i="6856"/>
  <c r="C44" i="6856"/>
  <c r="H6" i="6856"/>
  <c r="H13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5" i="6856"/>
  <c r="H4" i="6856"/>
  <c r="H25" i="6856"/>
  <c r="B27" i="6856"/>
  <c r="H35" i="6856"/>
  <c r="C40" i="6856"/>
  <c r="C45" i="6856"/>
  <c r="H5" i="6856"/>
  <c r="H3" i="6856"/>
  <c r="H12" i="6856"/>
  <c r="H42" i="6856"/>
  <c r="H19" i="6856"/>
  <c r="H24" i="6856"/>
  <c r="H17" i="6856"/>
  <c r="H32" i="6856"/>
  <c r="H9" i="6856"/>
  <c r="H16" i="6856"/>
  <c r="H18" i="6856"/>
  <c r="H22" i="6856"/>
  <c r="H14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20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8" i="6850"/>
  <c r="C35" i="6850"/>
  <c r="B30" i="6850"/>
  <c r="C21" i="6850"/>
  <c r="B20" i="6850"/>
  <c r="H15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6" i="6850"/>
  <c r="C19" i="6850"/>
  <c r="B14" i="6848"/>
  <c r="C19" i="6854"/>
  <c r="H31" i="6854"/>
  <c r="H6" i="6854"/>
  <c r="H10" i="6854"/>
  <c r="C20" i="6854"/>
  <c r="H17" i="6854"/>
  <c r="H18" i="6854"/>
  <c r="H37" i="6854"/>
  <c r="C41" i="6854"/>
  <c r="H46" i="6854"/>
  <c r="H52" i="6854"/>
  <c r="H27" i="6854"/>
  <c r="C25" i="6854"/>
  <c r="C37" i="6854"/>
  <c r="H42" i="6854"/>
  <c r="H47" i="6854"/>
  <c r="H21" i="6854"/>
  <c r="H24" i="6854"/>
  <c r="H30" i="6854"/>
  <c r="H32" i="6854"/>
  <c r="H38" i="6854"/>
  <c r="H43" i="6854"/>
  <c r="C47" i="6854"/>
  <c r="C24" i="6854"/>
  <c r="H41" i="6854"/>
  <c r="H23" i="6854"/>
  <c r="H7" i="6854"/>
  <c r="C26" i="6854"/>
  <c r="C43" i="6854"/>
  <c r="H4" i="6854"/>
  <c r="H25" i="6854"/>
  <c r="C22" i="6854"/>
  <c r="H19" i="6854"/>
  <c r="H34" i="6854"/>
  <c r="C39" i="6854"/>
  <c r="H44" i="6854"/>
  <c r="C48" i="6854"/>
  <c r="H3" i="6854"/>
  <c r="H36" i="6854"/>
  <c r="C45" i="6854"/>
  <c r="H2" i="6854"/>
  <c r="H15" i="6854"/>
  <c r="H8" i="6854"/>
  <c r="H26" i="6854"/>
  <c r="H14" i="6854"/>
  <c r="H20" i="6854"/>
  <c r="H39" i="6854"/>
  <c r="H48" i="6854"/>
  <c r="H5" i="6854"/>
  <c r="H12" i="6854"/>
  <c r="H22" i="6854"/>
  <c r="H28" i="6854"/>
  <c r="B27" i="6854"/>
  <c r="H35" i="6854"/>
  <c r="H40" i="6854"/>
  <c r="C44" i="6854"/>
  <c r="H49" i="6854"/>
  <c r="H11" i="6854"/>
  <c r="H16" i="6854"/>
  <c r="H13" i="6854"/>
  <c r="C23" i="6854"/>
  <c r="B28" i="6854"/>
  <c r="C40" i="6854"/>
  <c r="H45" i="6854"/>
  <c r="H50" i="6854"/>
  <c r="C49" i="6854"/>
  <c r="H29" i="6854"/>
  <c r="H9" i="6854"/>
  <c r="H33" i="6854"/>
  <c r="C38" i="6854"/>
  <c r="C42" i="6854"/>
  <c r="C46" i="6854"/>
  <c r="H10" i="6852"/>
  <c r="H37" i="6852"/>
  <c r="H42" i="6852"/>
  <c r="H48" i="6852"/>
  <c r="H19" i="6852"/>
  <c r="H14" i="6852"/>
  <c r="H24" i="6852"/>
  <c r="C25" i="6852"/>
  <c r="H44" i="6852"/>
  <c r="H49" i="6852"/>
  <c r="C20" i="6852"/>
  <c r="H38" i="6852"/>
  <c r="H9" i="6852"/>
  <c r="C37" i="6852"/>
  <c r="H25" i="6852"/>
  <c r="H30" i="6852"/>
  <c r="H32" i="6852"/>
  <c r="H39" i="6852"/>
  <c r="C43" i="6852"/>
  <c r="C48" i="6852"/>
  <c r="C47" i="6852"/>
  <c r="H18" i="6852"/>
  <c r="C26" i="6852"/>
  <c r="H50" i="6852"/>
  <c r="H31" i="6852"/>
  <c r="H27" i="6852"/>
  <c r="H33" i="6852"/>
  <c r="H7" i="6852"/>
  <c r="H11" i="6852"/>
  <c r="H26" i="6852"/>
  <c r="C22" i="6852"/>
  <c r="H21" i="6852"/>
  <c r="H35" i="6852"/>
  <c r="C39" i="6852"/>
  <c r="C44" i="6852"/>
  <c r="C49" i="6852"/>
  <c r="C24" i="6852"/>
  <c r="H22" i="6852"/>
  <c r="H28" i="6852"/>
  <c r="H40" i="6852"/>
  <c r="H4" i="6852"/>
  <c r="H29" i="6852"/>
  <c r="B27" i="6852"/>
  <c r="H36" i="6852"/>
  <c r="H41" i="6852"/>
  <c r="H46" i="6852"/>
  <c r="H5" i="6852"/>
  <c r="H3" i="6852"/>
  <c r="C41" i="6852"/>
  <c r="H2" i="6852"/>
  <c r="H15" i="6852"/>
  <c r="H45" i="6852"/>
  <c r="H6" i="6852"/>
  <c r="H12" i="6852"/>
  <c r="H23" i="6852"/>
  <c r="H16" i="6852"/>
  <c r="H13" i="6852"/>
  <c r="C23" i="6852"/>
  <c r="B28" i="6852"/>
  <c r="C40" i="6852"/>
  <c r="C45" i="6852"/>
  <c r="H52" i="6852"/>
  <c r="H43" i="6852"/>
  <c r="H47" i="6852"/>
  <c r="H51" i="6852"/>
  <c r="H20" i="6852"/>
  <c r="H8" i="6852"/>
  <c r="H34" i="6852"/>
  <c r="C38" i="6852"/>
  <c r="C42" i="6852"/>
  <c r="C46" i="6852"/>
  <c r="C19" i="6848"/>
  <c r="H14" i="6850"/>
  <c r="H6" i="6850"/>
  <c r="H46" i="6850"/>
  <c r="H11" i="6850"/>
  <c r="H25" i="6850"/>
  <c r="H21" i="6850"/>
  <c r="H48" i="6850"/>
  <c r="C25" i="6850"/>
  <c r="C40" i="6850"/>
  <c r="C26" i="6850"/>
  <c r="H36" i="6850"/>
  <c r="H42" i="6850"/>
  <c r="C47" i="6850"/>
  <c r="C20" i="6850"/>
  <c r="H50" i="6850"/>
  <c r="H31" i="6850"/>
  <c r="H8" i="6850"/>
  <c r="H32" i="6850"/>
  <c r="C41" i="6850"/>
  <c r="H19" i="6850"/>
  <c r="H22" i="6850"/>
  <c r="C22" i="6850"/>
  <c r="B28" i="6850"/>
  <c r="H37" i="6850"/>
  <c r="H44" i="6850"/>
  <c r="C49" i="6850"/>
  <c r="H13" i="6850"/>
  <c r="C45" i="6850"/>
  <c r="H29" i="6850"/>
  <c r="H20" i="6850"/>
  <c r="H27" i="6850"/>
  <c r="H7" i="6850"/>
  <c r="H9" i="6850"/>
  <c r="H30" i="6850"/>
  <c r="H24" i="6850"/>
  <c r="H38" i="6850"/>
  <c r="C43" i="6850"/>
  <c r="H5" i="6850"/>
  <c r="H40" i="6850"/>
  <c r="C39" i="6850"/>
  <c r="H3" i="6850"/>
  <c r="H35" i="6850"/>
  <c r="H2" i="6850"/>
  <c r="H12" i="6850"/>
  <c r="H4" i="6850"/>
  <c r="H28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3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2" i="6848"/>
  <c r="H13" i="6848"/>
  <c r="H27" i="6848"/>
  <c r="H37" i="6848"/>
  <c r="C39" i="6848"/>
  <c r="C43" i="6848"/>
  <c r="C47" i="6848"/>
  <c r="H52" i="6848"/>
  <c r="H20" i="6848"/>
  <c r="H31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6" i="6848"/>
  <c r="H14" i="6848"/>
  <c r="H34" i="6848"/>
  <c r="H17" i="6848"/>
  <c r="H38" i="6848"/>
  <c r="C40" i="6848"/>
  <c r="C44" i="6848"/>
  <c r="C48" i="6848"/>
  <c r="H4" i="6848"/>
  <c r="H24" i="6848"/>
  <c r="C22" i="6848"/>
  <c r="C26" i="6848"/>
  <c r="H39" i="6848"/>
  <c r="H29" i="6848"/>
  <c r="H46" i="6848"/>
  <c r="H50" i="6848"/>
  <c r="H6" i="6848"/>
  <c r="H12" i="6848"/>
  <c r="H30" i="6848"/>
  <c r="H33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28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<sst xmlns="http://schemas.openxmlformats.org/spreadsheetml/2006/main" count="2958" uniqueCount="245">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</sst>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xVal>
          <c:yVal>
            <c:numRef>
              <c:f>全体!$L$2:$L$242</c:f>
              <c:numCache>
                <c:formatCode>\+0.0;\-0.0;\±0</c:formatCode>
                <c:ptCount val="24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-41.666666666666664</c:v>
                </c:pt>
                <c:pt idx="1">
                  <c:v>42.735042735042732</c:v>
                </c:pt>
                <c:pt idx="2">
                  <c:v>-25.316455696202532</c:v>
                </c:pt>
                <c:pt idx="3">
                  <c:v>-4.5045045045045047</c:v>
                </c:pt>
                <c:pt idx="4">
                  <c:v>19.607843137254903</c:v>
                </c:pt>
                <c:pt idx="5">
                  <c:v>18.518518518518519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51</c:v>
                </c:pt>
                <c:pt idx="1">
                  <c:v>119</c:v>
                </c:pt>
                <c:pt idx="2">
                  <c:v>111</c:v>
                </c:pt>
                <c:pt idx="3">
                  <c:v>104</c:v>
                </c:pt>
                <c:pt idx="4">
                  <c:v>81</c:v>
                </c:pt>
                <c:pt idx="5">
                  <c:v>54</c:v>
                </c:pt>
                <c:pt idx="6">
                  <c:v>29</c:v>
                </c:pt>
                <c:pt idx="7">
                  <c:v>17</c:v>
                </c:pt>
                <c:pt idx="8">
                  <c:v>12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xVal>
          <c:yVal>
            <c:numRef>
              <c:f>全体!$M$2:$M$242</c:f>
              <c:numCache>
                <c:formatCode>0</c:formatCode>
                <c:ptCount val="24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だいち!$L$2:$L$67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406.15384615384613</c:v>
                </c:pt>
                <c:pt idx="1">
                  <c:v>-895.23809523809518</c:v>
                </c:pt>
                <c:pt idx="2">
                  <c:v>-1067.1875</c:v>
                </c:pt>
                <c:pt idx="3">
                  <c:v>286.88524590163934</c:v>
                </c:pt>
                <c:pt idx="4">
                  <c:v>-164.28571428571428</c:v>
                </c:pt>
                <c:pt idx="5">
                  <c:v>-404.54545454545456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28</c:v>
                </c:pt>
                <c:pt idx="2">
                  <c:v>38</c:v>
                </c:pt>
                <c:pt idx="3">
                  <c:v>25</c:v>
                </c:pt>
                <c:pt idx="4">
                  <c:v>28</c:v>
                </c:pt>
                <c:pt idx="5">
                  <c:v>19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だいち!$M$2:$M$67</c:f>
              <c:numCache>
                <c:formatCode>0</c:formatCode>
                <c:ptCount val="6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れんたろう!$L$2:$L$34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2418.75</c:v>
                </c:pt>
                <c:pt idx="1">
                  <c:v>-1174.1935483870968</c:v>
                </c:pt>
                <c:pt idx="2">
                  <c:v>322.58064516129031</c:v>
                </c:pt>
                <c:pt idx="3">
                  <c:v>333.33333333333331</c:v>
                </c:pt>
                <c:pt idx="4">
                  <c:v>162.96296296296296</c:v>
                </c:pt>
                <c:pt idx="5">
                  <c:v>-715.78947368421052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15</c:v>
                </c:pt>
                <c:pt idx="3">
                  <c:v>14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れんたろう!$M$2:$M$34</c:f>
              <c:numCache>
                <c:formatCode>0</c:formatCode>
                <c:ptCount val="3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743.33333333333337</c:v>
                </c:pt>
                <c:pt idx="1">
                  <c:v>-780</c:v>
                </c:pt>
                <c:pt idx="2">
                  <c:v>1076.6666666666667</c:v>
                </c:pt>
                <c:pt idx="3">
                  <c:v>266.66666666666669</c:v>
                </c:pt>
                <c:pt idx="4">
                  <c:v>-1773.3333333333333</c:v>
                </c:pt>
                <c:pt idx="5">
                  <c:v>713.63636363636363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たかの!$M$2:$M$32</c:f>
              <c:numCache>
                <c:formatCode>0</c:formatCode>
                <c:ptCount val="3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-458.8235294117647</c:v>
                </c:pt>
                <c:pt idx="1">
                  <c:v>1423.5294117647059</c:v>
                </c:pt>
                <c:pt idx="2">
                  <c:v>747.05882352941171</c:v>
                </c:pt>
                <c:pt idx="3">
                  <c:v>-3120</c:v>
                </c:pt>
                <c:pt idx="4">
                  <c:v>528.57142857142856</c:v>
                </c:pt>
                <c:pt idx="5">
                  <c:v>-2550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まっつん!$M$2:$M$19</c:f>
              <c:numCache>
                <c:formatCode>0</c:formatCode>
                <c:ptCount val="1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-810.71428571428567</c:v>
                </c:pt>
                <c:pt idx="1">
                  <c:v>878.57142857142856</c:v>
                </c:pt>
                <c:pt idx="2">
                  <c:v>2214.2857142857142</c:v>
                </c:pt>
                <c:pt idx="3">
                  <c:v>200</c:v>
                </c:pt>
                <c:pt idx="4">
                  <c:v>557.14285714285711</c:v>
                </c:pt>
                <c:pt idx="5">
                  <c:v>1431.578947368421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いちかわ!$M$2:$M$30</c:f>
              <c:numCache>
                <c:formatCode>0</c:formatCode>
                <c:ptCount val="2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-58.333333333333336</c:v>
                </c:pt>
                <c:pt idx="1">
                  <c:v>2032.3529411764705</c:v>
                </c:pt>
                <c:pt idx="2">
                  <c:v>217.14285714285714</c:v>
                </c:pt>
                <c:pt idx="3">
                  <c:v>1178.125</c:v>
                </c:pt>
                <c:pt idx="4">
                  <c:v>1513.3333333333333</c:v>
                </c:pt>
                <c:pt idx="5">
                  <c:v>279.16666666666669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25</c:v>
                </c:pt>
                <c:pt idx="2">
                  <c:v>24</c:v>
                </c:pt>
                <c:pt idx="3">
                  <c:v>17</c:v>
                </c:pt>
                <c:pt idx="4">
                  <c:v>15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ただ!$M$2:$M$38</c:f>
              <c:numCache>
                <c:formatCode>0</c:formatCode>
                <c:ptCount val="3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-3500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まっつん2!$B$3:$B$20</c:f>
              <c:numCache>
                <c:formatCode>\+0.0;\-0.0;\±0</c:formatCode>
                <c:ptCount val="1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まっつん2!$C$3:$C$20</c:f>
              <c:numCache>
                <c:formatCode>\+0.0;\-0.0;\±0</c:formatCode>
                <c:ptCount val="18"/>
                <c:pt idx="1">
                  <c:v>-33.6</c:v>
                </c:pt>
                <c:pt idx="2">
                  <c:v>-18.45</c:v>
                </c:pt>
                <c:pt idx="3">
                  <c:v>-13.466666666666667</c:v>
                </c:pt>
                <c:pt idx="4">
                  <c:v>-9.1999999999999993</c:v>
                </c:pt>
                <c:pt idx="5">
                  <c:v>-14.780000000000001</c:v>
                </c:pt>
                <c:pt idx="6">
                  <c:v>-14.25</c:v>
                </c:pt>
                <c:pt idx="7">
                  <c:v>-11.114285714285714</c:v>
                </c:pt>
                <c:pt idx="8">
                  <c:v>-2.8499999999999996</c:v>
                </c:pt>
                <c:pt idx="9">
                  <c:v>-3.2888888888888888</c:v>
                </c:pt>
                <c:pt idx="10">
                  <c:v>-5.5</c:v>
                </c:pt>
                <c:pt idx="11">
                  <c:v>-9.9</c:v>
                </c:pt>
                <c:pt idx="12">
                  <c:v>-7.6750000000000007</c:v>
                </c:pt>
                <c:pt idx="13">
                  <c:v>-7.1923076923076934</c:v>
                </c:pt>
                <c:pt idx="14">
                  <c:v>-5.6571428571428584</c:v>
                </c:pt>
                <c:pt idx="15">
                  <c:v>-2.9466666666666677</c:v>
                </c:pt>
                <c:pt idx="16">
                  <c:v>-3.1125000000000012</c:v>
                </c:pt>
                <c:pt idx="17">
                  <c:v>-2.8117647058823541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80297366166875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まっつん2!$D$3:$D$20</c:f>
              <c:numCache>
                <c:formatCode>0.00\ "位"</c:formatCode>
                <c:ptCount val="18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2.1111111111111112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833333333333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まっつん2!$E$3:$E$20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500000000000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まっつん2!$F$3:$F$20</c:f>
              <c:numCache>
                <c:formatCode>0.0%</c:formatCode>
                <c:ptCount val="1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まっつん2!$G$3:$G$20</c:f>
              <c:numCache>
                <c:formatCode>0.0%</c:formatCode>
                <c:ptCount val="18"/>
                <c:pt idx="1">
                  <c:v>0.1</c:v>
                </c:pt>
                <c:pt idx="2">
                  <c:v>0.1875</c:v>
                </c:pt>
                <c:pt idx="3">
                  <c:v>0.14285714285714285</c:v>
                </c:pt>
                <c:pt idx="4">
                  <c:v>0.18518518518518517</c:v>
                </c:pt>
                <c:pt idx="5">
                  <c:v>0.17499999999999999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0.24590163934426229</c:v>
                </c:pt>
                <c:pt idx="9">
                  <c:v>0.25352112676056338</c:v>
                </c:pt>
                <c:pt idx="10">
                  <c:v>0.24675324675324675</c:v>
                </c:pt>
                <c:pt idx="11">
                  <c:v>0.22093023255813954</c:v>
                </c:pt>
                <c:pt idx="12">
                  <c:v>0.23404255319148937</c:v>
                </c:pt>
                <c:pt idx="13">
                  <c:v>0.22641509433962265</c:v>
                </c:pt>
                <c:pt idx="14">
                  <c:v>0.23008849557522124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0.22794117647058823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029850746268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まっつん2!$H$3:$H$20</c:f>
              <c:numCache>
                <c:formatCode>0.0%</c:formatCode>
                <c:ptCount val="18"/>
                <c:pt idx="1">
                  <c:v>0.1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0.1</c:v>
                </c:pt>
                <c:pt idx="6">
                  <c:v>0.1</c:v>
                </c:pt>
                <c:pt idx="7">
                  <c:v>8.771929824561403E-2</c:v>
                </c:pt>
                <c:pt idx="8">
                  <c:v>8.1967213114754092E-2</c:v>
                </c:pt>
                <c:pt idx="9">
                  <c:v>7.0422535211267609E-2</c:v>
                </c:pt>
                <c:pt idx="10">
                  <c:v>6.4935064935064929E-2</c:v>
                </c:pt>
                <c:pt idx="11">
                  <c:v>9.3023255813953487E-2</c:v>
                </c:pt>
                <c:pt idx="12">
                  <c:v>9.5744680851063829E-2</c:v>
                </c:pt>
                <c:pt idx="13">
                  <c:v>0.10377358490566038</c:v>
                </c:pt>
                <c:pt idx="14">
                  <c:v>9.7345132743362831E-2</c:v>
                </c:pt>
                <c:pt idx="15">
                  <c:v>0.1</c:v>
                </c:pt>
                <c:pt idx="16">
                  <c:v>0.10852713178294573</c:v>
                </c:pt>
                <c:pt idx="17">
                  <c:v>0.10294117647058823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66169154228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まっつん2!$I$3:$I$20</c:f>
              <c:numCache>
                <c:formatCode>0</c:formatCode>
                <c:ptCount val="18"/>
                <c:pt idx="1">
                  <c:v>7700</c:v>
                </c:pt>
                <c:pt idx="2">
                  <c:v>5800</c:v>
                </c:pt>
                <c:pt idx="3">
                  <c:v>5800</c:v>
                </c:pt>
                <c:pt idx="4">
                  <c:v>6300</c:v>
                </c:pt>
                <c:pt idx="5">
                  <c:v>6057.1428571428569</c:v>
                </c:pt>
                <c:pt idx="6">
                  <c:v>5072.727272727273</c:v>
                </c:pt>
                <c:pt idx="7">
                  <c:v>5316.666666666667</c:v>
                </c:pt>
                <c:pt idx="8">
                  <c:v>7453.333333333333</c:v>
                </c:pt>
                <c:pt idx="9">
                  <c:v>6666.666666666667</c:v>
                </c:pt>
                <c:pt idx="10">
                  <c:v>6452.6315789473683</c:v>
                </c:pt>
                <c:pt idx="11">
                  <c:v>6452.6315789473683</c:v>
                </c:pt>
                <c:pt idx="12">
                  <c:v>6600</c:v>
                </c:pt>
                <c:pt idx="13">
                  <c:v>7050</c:v>
                </c:pt>
                <c:pt idx="14">
                  <c:v>7003.8461538461543</c:v>
                </c:pt>
                <c:pt idx="15">
                  <c:v>7451.7241379310344</c:v>
                </c:pt>
                <c:pt idx="16">
                  <c:v>7376.666666666667</c:v>
                </c:pt>
                <c:pt idx="17">
                  <c:v>7654.8387096774195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01.5228426395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まっつん2!$J$3:$J$20</c:f>
              <c:numCache>
                <c:formatCode>0</c:formatCode>
                <c:ptCount val="18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  <c:pt idx="4">
                  <c:v>-3900</c:v>
                </c:pt>
                <c:pt idx="5">
                  <c:v>-3975</c:v>
                </c:pt>
                <c:pt idx="6">
                  <c:v>-3380</c:v>
                </c:pt>
                <c:pt idx="7">
                  <c:v>-3380</c:v>
                </c:pt>
                <c:pt idx="8">
                  <c:v>-3380</c:v>
                </c:pt>
                <c:pt idx="9">
                  <c:v>-3380</c:v>
                </c:pt>
                <c:pt idx="10">
                  <c:v>-3380</c:v>
                </c:pt>
                <c:pt idx="11">
                  <c:v>-4812.5</c:v>
                </c:pt>
                <c:pt idx="12">
                  <c:v>-5611.1111111111113</c:v>
                </c:pt>
                <c:pt idx="13">
                  <c:v>-5827.272727272727</c:v>
                </c:pt>
                <c:pt idx="14">
                  <c:v>-5827.272727272727</c:v>
                </c:pt>
                <c:pt idx="15">
                  <c:v>-6008.333333333333</c:v>
                </c:pt>
                <c:pt idx="16">
                  <c:v>-5385.7142857142853</c:v>
                </c:pt>
                <c:pt idx="17">
                  <c:v>-5385.7142857142853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36.4985163204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まっつん2!$K$3:$K$20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916666666666666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まっつん2!$L$3:$L$20</c:f>
              <c:numCache>
                <c:formatCode>0.0%</c:formatCode>
                <c:ptCount val="18"/>
                <c:pt idx="1">
                  <c:v>0.1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0.1111111111111111</c:v>
                </c:pt>
                <c:pt idx="5">
                  <c:v>0.125</c:v>
                </c:pt>
                <c:pt idx="6">
                  <c:v>0.22</c:v>
                </c:pt>
                <c:pt idx="7">
                  <c:v>0.22807017543859648</c:v>
                </c:pt>
                <c:pt idx="8">
                  <c:v>0.24590163934426229</c:v>
                </c:pt>
                <c:pt idx="9">
                  <c:v>0.26760563380281688</c:v>
                </c:pt>
                <c:pt idx="10">
                  <c:v>0.27272727272727271</c:v>
                </c:pt>
                <c:pt idx="11">
                  <c:v>0.2441860465116279</c:v>
                </c:pt>
                <c:pt idx="12">
                  <c:v>0.24468085106382978</c:v>
                </c:pt>
                <c:pt idx="13">
                  <c:v>0.22641509433962265</c:v>
                </c:pt>
                <c:pt idx="14">
                  <c:v>0.23893805309734514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81094527363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まっつん2!$M$3:$M$20</c:f>
              <c:numCache>
                <c:formatCode>0.0%</c:formatCode>
                <c:ptCount val="18"/>
                <c:pt idx="1">
                  <c:v>0.2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0.25925925925925924</c:v>
                </c:pt>
                <c:pt idx="5">
                  <c:v>0.22500000000000001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0.21311475409836064</c:v>
                </c:pt>
                <c:pt idx="9">
                  <c:v>0.19718309859154928</c:v>
                </c:pt>
                <c:pt idx="10">
                  <c:v>0.20779220779220781</c:v>
                </c:pt>
                <c:pt idx="11">
                  <c:v>0.19767441860465115</c:v>
                </c:pt>
                <c:pt idx="12">
                  <c:v>0.19148936170212766</c:v>
                </c:pt>
                <c:pt idx="13">
                  <c:v>0.18867924528301888</c:v>
                </c:pt>
                <c:pt idx="14">
                  <c:v>0.18584070796460178</c:v>
                </c:pt>
                <c:pt idx="15">
                  <c:v>0.18333333333333332</c:v>
                </c:pt>
                <c:pt idx="16">
                  <c:v>0.19379844961240311</c:v>
                </c:pt>
                <c:pt idx="17">
                  <c:v>0.20588235294117646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348258706467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まっつん2!$N$3:$N$20</c:f>
              <c:numCache>
                <c:formatCode>0.0%</c:formatCode>
                <c:ptCount val="18"/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0.66666666666666663</c:v>
                </c:pt>
                <c:pt idx="5">
                  <c:v>0.4</c:v>
                </c:pt>
                <c:pt idx="6">
                  <c:v>0.45454545454545453</c:v>
                </c:pt>
                <c:pt idx="7">
                  <c:v>0.46153846153846156</c:v>
                </c:pt>
                <c:pt idx="8">
                  <c:v>0.53333333333333333</c:v>
                </c:pt>
                <c:pt idx="9">
                  <c:v>0.52631578947368418</c:v>
                </c:pt>
                <c:pt idx="10">
                  <c:v>0.52380952380952384</c:v>
                </c:pt>
                <c:pt idx="11">
                  <c:v>0.52380952380952384</c:v>
                </c:pt>
                <c:pt idx="12">
                  <c:v>0.56521739130434778</c:v>
                </c:pt>
                <c:pt idx="13">
                  <c:v>0.54166666666666663</c:v>
                </c:pt>
                <c:pt idx="14">
                  <c:v>0.51851851851851849</c:v>
                </c:pt>
                <c:pt idx="15">
                  <c:v>0.55172413793103448</c:v>
                </c:pt>
                <c:pt idx="16">
                  <c:v>0.56666666666666665</c:v>
                </c:pt>
                <c:pt idx="17">
                  <c:v>0.56666666666666665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920502092050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まっつん2!$O$3:$O$20</c:f>
              <c:numCache>
                <c:formatCode>0.0%</c:formatCode>
                <c:ptCount val="18"/>
                <c:pt idx="1">
                  <c:v>0.5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0.46153846153846156</c:v>
                </c:pt>
                <c:pt idx="9">
                  <c:v>0.5</c:v>
                </c:pt>
                <c:pt idx="10">
                  <c:v>0.4375</c:v>
                </c:pt>
                <c:pt idx="11">
                  <c:v>0.41176470588235292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0.47619047619047616</c:v>
                </c:pt>
                <c:pt idx="15">
                  <c:v>0.5</c:v>
                </c:pt>
                <c:pt idx="16">
                  <c:v>0.44</c:v>
                </c:pt>
                <c:pt idx="17">
                  <c:v>0.39285714285714285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166306695464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まっつん2!$P$3:$P$20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0.13333333333333333</c:v>
                </c:pt>
                <c:pt idx="9">
                  <c:v>0.16666666666666666</c:v>
                </c:pt>
                <c:pt idx="10">
                  <c:v>0.15789473684210525</c:v>
                </c:pt>
                <c:pt idx="11">
                  <c:v>0.15789473684210525</c:v>
                </c:pt>
                <c:pt idx="12">
                  <c:v>0.13636363636363635</c:v>
                </c:pt>
                <c:pt idx="13">
                  <c:v>0.125</c:v>
                </c:pt>
                <c:pt idx="14">
                  <c:v>0.11538461538461539</c:v>
                </c:pt>
                <c:pt idx="15">
                  <c:v>0.13793103448275862</c:v>
                </c:pt>
                <c:pt idx="16">
                  <c:v>0.13333333333333333</c:v>
                </c:pt>
                <c:pt idx="17">
                  <c:v>0.12903225806451613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639593908629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7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7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7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7" x14ac:dyDescent="0.45">
      <c r="A30" s="2" t="s">
        <v>244</v>
      </c>
      <c r="B30" s="3">
        <v>44149.780335648145</v>
      </c>
      <c r="C30" s="2" t="s">
        <v>127</v>
      </c>
      <c r="D30" s="2" t="s">
        <v>188</v>
      </c>
      <c r="E30" s="2" t="s">
        <v>191</v>
      </c>
      <c r="F30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65</v>
      </c>
      <c r="C2" s="120">
        <v>1842.3339395535957</v>
      </c>
    </row>
    <row r="3" spans="1:3" x14ac:dyDescent="0.45">
      <c r="A3" t="s">
        <v>163</v>
      </c>
      <c r="B3" s="120">
        <v>32</v>
      </c>
      <c r="C3" s="120">
        <v>1653.1699313523677</v>
      </c>
    </row>
    <row r="4" spans="1:3" x14ac:dyDescent="0.45">
      <c r="A4" t="s">
        <v>139</v>
      </c>
      <c r="B4" s="120">
        <v>240</v>
      </c>
      <c r="C4" s="120">
        <v>1594.5463045050694</v>
      </c>
    </row>
    <row r="5" spans="1:3" x14ac:dyDescent="0.45">
      <c r="A5" t="s">
        <v>190</v>
      </c>
      <c r="B5" s="120">
        <v>17</v>
      </c>
      <c r="C5" s="120">
        <v>1524.3778689305989</v>
      </c>
    </row>
    <row r="6" spans="1:3" x14ac:dyDescent="0.45">
      <c r="A6" t="s">
        <v>192</v>
      </c>
      <c r="B6" s="120">
        <v>36</v>
      </c>
      <c r="C6" s="120">
        <v>1517.1288342047803</v>
      </c>
    </row>
    <row r="7" spans="1:3" x14ac:dyDescent="0.45">
      <c r="A7" t="s">
        <v>211</v>
      </c>
      <c r="B7" s="120">
        <v>28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30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0.85500802955468791</v>
      </c>
      <c r="C2" s="144"/>
      <c r="D2" s="143">
        <v>3.7223273762516072E-2</v>
      </c>
      <c r="E2" s="144"/>
      <c r="F2" s="143">
        <v>0.19914335283636087</v>
      </c>
      <c r="G2" s="144"/>
      <c r="H2" s="145"/>
      <c r="I2" s="146"/>
      <c r="J2" s="143">
        <v>1.19100652271253E-2</v>
      </c>
      <c r="K2" s="144"/>
      <c r="L2" s="143">
        <v>-2.324337591582906E-3</v>
      </c>
      <c r="M2" s="144"/>
      <c r="N2" s="143">
        <v>2.5945479399326399E-2</v>
      </c>
      <c r="O2" s="144"/>
      <c r="P2" s="143">
        <v>0.35938934069932466</v>
      </c>
      <c r="Q2" s="144"/>
      <c r="R2" s="143">
        <v>-0.20167506898748994</v>
      </c>
      <c r="S2" s="144"/>
      <c r="T2" s="143">
        <v>0.80404835160219978</v>
      </c>
      <c r="U2" s="144"/>
      <c r="V2" s="143">
        <v>3.9194245978396124E-3</v>
      </c>
      <c r="W2" s="144"/>
      <c r="X2" s="143">
        <v>-0.28388805916014659</v>
      </c>
      <c r="Y2" s="144"/>
      <c r="Z2" s="143">
        <v>0.17430223335963135</v>
      </c>
      <c r="AA2" s="144"/>
      <c r="AB2" s="143">
        <v>-0.1745592530946338</v>
      </c>
      <c r="AC2" s="144"/>
      <c r="AD2" s="143">
        <v>0.40556636789324046</v>
      </c>
      <c r="AE2" s="144"/>
      <c r="AF2" s="143">
        <v>0.22262539951874927</v>
      </c>
      <c r="AG2" s="144"/>
      <c r="AH2" s="143">
        <v>0.17516355680786111</v>
      </c>
      <c r="AI2" s="144"/>
      <c r="AJ2" s="143">
        <v>0.92504710798262724</v>
      </c>
      <c r="AK2" s="144"/>
    </row>
    <row r="3" spans="1:37" x14ac:dyDescent="0.45">
      <c r="A3" s="38">
        <v>1</v>
      </c>
      <c r="B3" s="41" t="s">
        <v>139</v>
      </c>
      <c r="C3" s="113">
        <v>80</v>
      </c>
      <c r="D3" s="39" t="s">
        <v>192</v>
      </c>
      <c r="E3" s="40">
        <v>334.59999999999997</v>
      </c>
      <c r="F3" s="41" t="s">
        <v>192</v>
      </c>
      <c r="G3" s="60">
        <v>9.2944444444444443</v>
      </c>
      <c r="H3" s="41" t="s">
        <v>126</v>
      </c>
      <c r="I3" s="45">
        <v>1751.1326614092266</v>
      </c>
      <c r="J3" s="41" t="s">
        <v>192</v>
      </c>
      <c r="K3" s="42">
        <v>1.6944444444444444</v>
      </c>
      <c r="L3" s="41" t="s">
        <v>192</v>
      </c>
      <c r="M3" s="43">
        <v>0.5</v>
      </c>
      <c r="N3" s="41" t="s">
        <v>192</v>
      </c>
      <c r="O3" s="43">
        <v>0.19444444444444445</v>
      </c>
      <c r="P3" s="41" t="s">
        <v>192</v>
      </c>
      <c r="Q3" s="44">
        <v>0.34615384615384615</v>
      </c>
      <c r="R3" s="41" t="s">
        <v>190</v>
      </c>
      <c r="S3" s="44">
        <v>0.10294117647058823</v>
      </c>
      <c r="T3" s="41" t="s">
        <v>221</v>
      </c>
      <c r="U3" s="45">
        <v>10925</v>
      </c>
      <c r="V3" s="41" t="s">
        <v>190</v>
      </c>
      <c r="W3" s="45">
        <v>-5385.7142857142853</v>
      </c>
      <c r="X3" s="41" t="s">
        <v>193</v>
      </c>
      <c r="Y3" s="43">
        <v>0</v>
      </c>
      <c r="Z3" s="41" t="s">
        <v>189</v>
      </c>
      <c r="AA3" s="44">
        <v>0.27238805970149255</v>
      </c>
      <c r="AB3" s="41" t="s">
        <v>189</v>
      </c>
      <c r="AC3" s="44">
        <v>0.29477611940298509</v>
      </c>
      <c r="AD3" s="41" t="s">
        <v>195</v>
      </c>
      <c r="AE3" s="44">
        <v>0.76923076923076927</v>
      </c>
      <c r="AF3" s="41" t="s">
        <v>211</v>
      </c>
      <c r="AG3" s="44">
        <v>0.50943396226415094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65</v>
      </c>
      <c r="D4" s="47" t="s">
        <v>211</v>
      </c>
      <c r="E4" s="48">
        <v>106.39999999999998</v>
      </c>
      <c r="F4" s="49" t="s">
        <v>211</v>
      </c>
      <c r="G4" s="61">
        <v>3.7999999999999994</v>
      </c>
      <c r="H4" s="49" t="s">
        <v>163</v>
      </c>
      <c r="I4" s="53">
        <v>1642.7185533941417</v>
      </c>
      <c r="J4" s="49" t="s">
        <v>211</v>
      </c>
      <c r="K4" s="50">
        <v>1.9285714285714286</v>
      </c>
      <c r="L4" s="49" t="s">
        <v>195</v>
      </c>
      <c r="M4" s="51">
        <v>0.5</v>
      </c>
      <c r="N4" s="49" t="s">
        <v>190</v>
      </c>
      <c r="O4" s="51">
        <v>0.23529411764705882</v>
      </c>
      <c r="P4" s="49" t="s">
        <v>211</v>
      </c>
      <c r="Q4" s="52">
        <v>0.32126696832579188</v>
      </c>
      <c r="R4" s="49" t="s">
        <v>192</v>
      </c>
      <c r="S4" s="52">
        <v>0.125</v>
      </c>
      <c r="T4" s="49" t="s">
        <v>163</v>
      </c>
      <c r="U4" s="53">
        <v>8677.6315789473683</v>
      </c>
      <c r="V4" s="49" t="s">
        <v>126</v>
      </c>
      <c r="W4" s="53">
        <v>-6929.5238095238092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0.57777777777777772</v>
      </c>
      <c r="AF4" s="49" t="s">
        <v>192</v>
      </c>
      <c r="AG4" s="52">
        <v>0.47499999999999998</v>
      </c>
      <c r="AH4" s="49" t="s">
        <v>189</v>
      </c>
      <c r="AI4" s="52">
        <v>0.49367088607594939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36</v>
      </c>
      <c r="D5" s="47" t="s">
        <v>189</v>
      </c>
      <c r="E5" s="48">
        <v>11.199999999999989</v>
      </c>
      <c r="F5" s="49" t="s">
        <v>189</v>
      </c>
      <c r="G5" s="61">
        <v>0.37333333333333296</v>
      </c>
      <c r="H5" s="49" t="s">
        <v>139</v>
      </c>
      <c r="I5" s="53">
        <v>1602.3886693728255</v>
      </c>
      <c r="J5" s="49" t="s">
        <v>189</v>
      </c>
      <c r="K5" s="50">
        <v>1.9666666666666666</v>
      </c>
      <c r="L5" s="49" t="s">
        <v>211</v>
      </c>
      <c r="M5" s="51">
        <v>0.39285714285714285</v>
      </c>
      <c r="N5" s="49" t="s">
        <v>211</v>
      </c>
      <c r="O5" s="51">
        <v>0.32142857142857145</v>
      </c>
      <c r="P5" s="49" t="s">
        <v>126</v>
      </c>
      <c r="Q5" s="52">
        <v>0.30555555555555558</v>
      </c>
      <c r="R5" s="49" t="s">
        <v>211</v>
      </c>
      <c r="S5" s="52">
        <v>0.14479638009049775</v>
      </c>
      <c r="T5" s="49" t="s">
        <v>195</v>
      </c>
      <c r="U5" s="53">
        <v>8526.3157894736851</v>
      </c>
      <c r="V5" s="49" t="s">
        <v>211</v>
      </c>
      <c r="W5" s="53">
        <v>-6971.875</v>
      </c>
      <c r="X5" s="49" t="s">
        <v>189</v>
      </c>
      <c r="Y5" s="51">
        <v>3.3333333333333333E-2</v>
      </c>
      <c r="Z5" s="49" t="s">
        <v>126</v>
      </c>
      <c r="AA5" s="52">
        <v>0.25370370370370371</v>
      </c>
      <c r="AB5" s="49" t="s">
        <v>221</v>
      </c>
      <c r="AC5" s="52">
        <v>0.27777777777777779</v>
      </c>
      <c r="AD5" s="49" t="s">
        <v>190</v>
      </c>
      <c r="AE5" s="52">
        <v>0.56666666666666665</v>
      </c>
      <c r="AF5" s="49" t="s">
        <v>195</v>
      </c>
      <c r="AG5" s="52">
        <v>0.44444444444444442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163</v>
      </c>
      <c r="C6" s="114">
        <v>32</v>
      </c>
      <c r="D6" s="47" t="s">
        <v>139</v>
      </c>
      <c r="E6" s="48">
        <v>3.5527136788005009E-14</v>
      </c>
      <c r="F6" s="49" t="s">
        <v>139</v>
      </c>
      <c r="G6" s="61">
        <v>1.4802973661668753E-16</v>
      </c>
      <c r="H6" s="49" t="s">
        <v>192</v>
      </c>
      <c r="I6" s="53">
        <v>1589.9026760335635</v>
      </c>
      <c r="J6" s="49" t="s">
        <v>139</v>
      </c>
      <c r="K6" s="50">
        <v>1.9958333333333333</v>
      </c>
      <c r="L6" s="49" t="s">
        <v>189</v>
      </c>
      <c r="M6" s="51">
        <v>0.36666666666666664</v>
      </c>
      <c r="N6" s="49" t="s">
        <v>189</v>
      </c>
      <c r="O6" s="51">
        <v>0.33333333333333331</v>
      </c>
      <c r="P6" s="49" t="s">
        <v>189</v>
      </c>
      <c r="Q6" s="52">
        <v>0.29477611940298509</v>
      </c>
      <c r="R6" s="49" t="s">
        <v>221</v>
      </c>
      <c r="S6" s="52">
        <v>0.16666666666666666</v>
      </c>
      <c r="T6" s="49" t="s">
        <v>126</v>
      </c>
      <c r="U6" s="53">
        <v>8238.7878787878781</v>
      </c>
      <c r="V6" s="49" t="s">
        <v>195</v>
      </c>
      <c r="W6" s="53">
        <v>-7154.545454545455</v>
      </c>
      <c r="X6" s="49" t="s">
        <v>192</v>
      </c>
      <c r="Y6" s="51">
        <v>5.5555555555555552E-2</v>
      </c>
      <c r="Z6" s="49" t="s">
        <v>163</v>
      </c>
      <c r="AA6" s="52">
        <v>0.24727272727272728</v>
      </c>
      <c r="AB6" s="49" t="s">
        <v>192</v>
      </c>
      <c r="AC6" s="52">
        <v>0.25641025641025639</v>
      </c>
      <c r="AD6" s="49" t="s">
        <v>126</v>
      </c>
      <c r="AE6" s="52">
        <v>0.56204379562043794</v>
      </c>
      <c r="AF6" s="49" t="s">
        <v>126</v>
      </c>
      <c r="AG6" s="52">
        <v>0.43103448275862066</v>
      </c>
      <c r="AH6" s="49" t="s">
        <v>163</v>
      </c>
      <c r="AI6" s="52">
        <v>0.46052631578947367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30</v>
      </c>
      <c r="D7" s="47" t="s">
        <v>221</v>
      </c>
      <c r="E7" s="48">
        <v>-13.5</v>
      </c>
      <c r="F7" s="49" t="s">
        <v>126</v>
      </c>
      <c r="G7" s="61">
        <v>-1.1000000000000008</v>
      </c>
      <c r="H7" s="49" t="s">
        <v>190</v>
      </c>
      <c r="I7" s="53">
        <v>1524.9050618397528</v>
      </c>
      <c r="J7" s="49" t="s">
        <v>190</v>
      </c>
      <c r="K7" s="50">
        <v>2</v>
      </c>
      <c r="L7" s="49" t="s">
        <v>139</v>
      </c>
      <c r="M7" s="51">
        <v>0.33750000000000002</v>
      </c>
      <c r="N7" s="49" t="s">
        <v>139</v>
      </c>
      <c r="O7" s="51">
        <v>0.33333333333333331</v>
      </c>
      <c r="P7" s="49" t="s">
        <v>139</v>
      </c>
      <c r="Q7" s="52">
        <v>0.29402985074626864</v>
      </c>
      <c r="R7" s="49" t="s">
        <v>139</v>
      </c>
      <c r="S7" s="52">
        <v>0.16766169154228855</v>
      </c>
      <c r="T7" s="49" t="s">
        <v>193</v>
      </c>
      <c r="U7" s="53">
        <v>8212.5</v>
      </c>
      <c r="V7" s="49" t="s">
        <v>139</v>
      </c>
      <c r="W7" s="53">
        <v>-7336.4985163204747</v>
      </c>
      <c r="X7" s="49" t="s">
        <v>190</v>
      </c>
      <c r="Y7" s="51">
        <v>5.8823529411764705E-2</v>
      </c>
      <c r="Z7" s="49" t="s">
        <v>139</v>
      </c>
      <c r="AA7" s="52">
        <v>0.23781094527363184</v>
      </c>
      <c r="AB7" s="49" t="s">
        <v>211</v>
      </c>
      <c r="AC7" s="52">
        <v>0.23981900452488689</v>
      </c>
      <c r="AD7" s="49" t="s">
        <v>192</v>
      </c>
      <c r="AE7" s="52">
        <v>0.52238805970149249</v>
      </c>
      <c r="AF7" s="49" t="s">
        <v>139</v>
      </c>
      <c r="AG7" s="52">
        <v>0.42116630669546434</v>
      </c>
      <c r="AH7" s="49" t="s">
        <v>126</v>
      </c>
      <c r="AI7" s="52">
        <v>0.44848484848484849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28</v>
      </c>
      <c r="D8" s="47" t="s">
        <v>163</v>
      </c>
      <c r="E8" s="48">
        <v>-41.700000000000024</v>
      </c>
      <c r="F8" s="49" t="s">
        <v>163</v>
      </c>
      <c r="G8" s="61">
        <v>-1.3031250000000008</v>
      </c>
      <c r="H8" s="49" t="s">
        <v>211</v>
      </c>
      <c r="I8" s="53">
        <v>1520.3458986715063</v>
      </c>
      <c r="J8" s="49" t="s">
        <v>195</v>
      </c>
      <c r="K8" s="50">
        <v>2</v>
      </c>
      <c r="L8" s="49" t="s">
        <v>163</v>
      </c>
      <c r="M8" s="51">
        <v>0.3125</v>
      </c>
      <c r="N8" s="49" t="s">
        <v>163</v>
      </c>
      <c r="O8" s="51">
        <v>0.34375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8001.5228426395943</v>
      </c>
      <c r="V8" s="49" t="s">
        <v>192</v>
      </c>
      <c r="W8" s="53">
        <v>-7448.7179487179483</v>
      </c>
      <c r="X8" s="49" t="s">
        <v>211</v>
      </c>
      <c r="Y8" s="51">
        <v>7.1428571428571425E-2</v>
      </c>
      <c r="Z8" s="49" t="s">
        <v>216</v>
      </c>
      <c r="AA8" s="52">
        <v>0.22857142857142856</v>
      </c>
      <c r="AB8" s="49" t="s">
        <v>139</v>
      </c>
      <c r="AC8" s="52">
        <v>0.23034825870646766</v>
      </c>
      <c r="AD8" s="49" t="s">
        <v>139</v>
      </c>
      <c r="AE8" s="52">
        <v>0.52092050209205021</v>
      </c>
      <c r="AF8" s="49" t="s">
        <v>193</v>
      </c>
      <c r="AG8" s="52">
        <v>0.4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195</v>
      </c>
      <c r="E9" s="48">
        <v>-45.7</v>
      </c>
      <c r="F9" s="49" t="s">
        <v>190</v>
      </c>
      <c r="G9" s="61">
        <v>-2.8117647058823541</v>
      </c>
      <c r="H9" s="49" t="s">
        <v>221</v>
      </c>
      <c r="I9" s="53">
        <v>1497.379788</v>
      </c>
      <c r="J9" s="49" t="s">
        <v>163</v>
      </c>
      <c r="K9" s="50">
        <v>2.03125</v>
      </c>
      <c r="L9" s="49" t="s">
        <v>126</v>
      </c>
      <c r="M9" s="51">
        <v>0.27692307692307694</v>
      </c>
      <c r="N9" s="49" t="s">
        <v>126</v>
      </c>
      <c r="O9" s="51">
        <v>0.36923076923076925</v>
      </c>
      <c r="P9" s="49" t="s">
        <v>163</v>
      </c>
      <c r="Q9" s="52">
        <v>0.27636363636363637</v>
      </c>
      <c r="R9" s="49" t="s">
        <v>189</v>
      </c>
      <c r="S9" s="52">
        <v>0.17164179104477612</v>
      </c>
      <c r="T9" s="49" t="s">
        <v>192</v>
      </c>
      <c r="U9" s="53">
        <v>7805.5555555555557</v>
      </c>
      <c r="V9" s="49" t="s">
        <v>189</v>
      </c>
      <c r="W9" s="53">
        <v>-7539.130434782609</v>
      </c>
      <c r="X9" s="49" t="s">
        <v>126</v>
      </c>
      <c r="Y9" s="51">
        <v>7.6923076923076927E-2</v>
      </c>
      <c r="Z9" s="49" t="s">
        <v>221</v>
      </c>
      <c r="AA9" s="52">
        <v>0.22222222222222221</v>
      </c>
      <c r="AB9" s="49" t="s">
        <v>126</v>
      </c>
      <c r="AC9" s="52">
        <v>0.21481481481481482</v>
      </c>
      <c r="AD9" s="49" t="s">
        <v>163</v>
      </c>
      <c r="AE9" s="52">
        <v>0.48529411764705882</v>
      </c>
      <c r="AF9" s="49" t="s">
        <v>221</v>
      </c>
      <c r="AG9" s="52">
        <v>0.4</v>
      </c>
      <c r="AH9" s="49" t="s">
        <v>139</v>
      </c>
      <c r="AI9" s="52">
        <v>0.42639593908629442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17</v>
      </c>
      <c r="D10" s="47" t="s">
        <v>190</v>
      </c>
      <c r="E10" s="48">
        <v>-47.800000000000018</v>
      </c>
      <c r="F10" s="49" t="s">
        <v>195</v>
      </c>
      <c r="G10" s="61">
        <v>-5.7125000000000004</v>
      </c>
      <c r="H10" s="49" t="s">
        <v>216</v>
      </c>
      <c r="I10" s="53">
        <v>1475.2783888604056</v>
      </c>
      <c r="J10" s="49" t="s">
        <v>126</v>
      </c>
      <c r="K10" s="50">
        <v>2.0923076923076924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0.18181818181818182</v>
      </c>
      <c r="T10" s="49" t="s">
        <v>211</v>
      </c>
      <c r="U10" s="53">
        <v>7802.8169014084506</v>
      </c>
      <c r="V10" s="49" t="s">
        <v>216</v>
      </c>
      <c r="W10" s="53">
        <v>-7886.2068965517237</v>
      </c>
      <c r="X10" s="49" t="s">
        <v>139</v>
      </c>
      <c r="Y10" s="51">
        <v>7.9166666666666663E-2</v>
      </c>
      <c r="Z10" s="49" t="s">
        <v>190</v>
      </c>
      <c r="AA10" s="52">
        <v>0.22058823529411764</v>
      </c>
      <c r="AB10" s="49" t="s">
        <v>163</v>
      </c>
      <c r="AC10" s="52">
        <v>0.21454545454545454</v>
      </c>
      <c r="AD10" s="49" t="s">
        <v>189</v>
      </c>
      <c r="AE10" s="52">
        <v>0.46575342465753422</v>
      </c>
      <c r="AF10" s="49" t="s">
        <v>190</v>
      </c>
      <c r="AG10" s="52">
        <v>0.39285714285714285</v>
      </c>
      <c r="AH10" s="49" t="s">
        <v>192</v>
      </c>
      <c r="AI10" s="52">
        <v>0.41666666666666669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1461.3380512742167</v>
      </c>
      <c r="J11" s="49" t="s">
        <v>216</v>
      </c>
      <c r="K11" s="50">
        <v>2.2222222222222223</v>
      </c>
      <c r="L11" s="49" t="s">
        <v>190</v>
      </c>
      <c r="M11" s="51">
        <v>0.23529411764705882</v>
      </c>
      <c r="N11" s="49" t="s">
        <v>195</v>
      </c>
      <c r="O11" s="51">
        <v>0.5</v>
      </c>
      <c r="P11" s="49" t="s">
        <v>190</v>
      </c>
      <c r="Q11" s="52">
        <v>0.22794117647058823</v>
      </c>
      <c r="R11" s="49" t="s">
        <v>126</v>
      </c>
      <c r="S11" s="52">
        <v>0.19444444444444445</v>
      </c>
      <c r="T11" s="49" t="s">
        <v>190</v>
      </c>
      <c r="U11" s="53">
        <v>7654.8387096774195</v>
      </c>
      <c r="V11" s="49" t="s">
        <v>163</v>
      </c>
      <c r="W11" s="53">
        <v>-7912</v>
      </c>
      <c r="X11" s="49" t="s">
        <v>216</v>
      </c>
      <c r="Y11" s="51">
        <v>0.1111111111111111</v>
      </c>
      <c r="Z11" s="49" t="s">
        <v>192</v>
      </c>
      <c r="AA11" s="52">
        <v>0.21474358974358973</v>
      </c>
      <c r="AB11" s="49" t="s">
        <v>190</v>
      </c>
      <c r="AC11" s="52">
        <v>0.20588235294117646</v>
      </c>
      <c r="AD11" s="49" t="s">
        <v>216</v>
      </c>
      <c r="AE11" s="52">
        <v>0.4375</v>
      </c>
      <c r="AF11" s="49" t="s">
        <v>189</v>
      </c>
      <c r="AG11" s="52">
        <v>0.39240506329113922</v>
      </c>
      <c r="AH11" s="49" t="s">
        <v>211</v>
      </c>
      <c r="AI11" s="52">
        <v>0.38028169014084506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126</v>
      </c>
      <c r="E12" s="48">
        <v>-71.500000000000043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7453.164556962025</v>
      </c>
      <c r="V12" s="49" t="s">
        <v>193</v>
      </c>
      <c r="W12" s="53">
        <v>-9387.5</v>
      </c>
      <c r="X12" s="49" t="s">
        <v>163</v>
      </c>
      <c r="Y12" s="51">
        <v>0.125</v>
      </c>
      <c r="Z12" s="49" t="s">
        <v>211</v>
      </c>
      <c r="AA12" s="52">
        <v>0.20361990950226244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0.3559322033898305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0.12903225806451613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4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240</v>
      </c>
      <c r="C2" s="134"/>
      <c r="E2" s="26" t="s">
        <v>66</v>
      </c>
      <c r="F2" s="23" t="s">
        <v>22</v>
      </c>
      <c r="G2" s="11">
        <v>460</v>
      </c>
      <c r="H2" s="87">
        <f>IF(B$20=0,0,G2/B$20)</f>
        <v>0.77834179357021993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-41.666666666666664</v>
      </c>
      <c r="Q2" s="76">
        <v>240</v>
      </c>
      <c r="R2" s="63">
        <v>-10000</v>
      </c>
    </row>
    <row r="3" spans="1:18" x14ac:dyDescent="0.45">
      <c r="A3" s="19" t="s">
        <v>8</v>
      </c>
      <c r="B3" s="135">
        <v>2010</v>
      </c>
      <c r="C3" s="136"/>
      <c r="E3" s="27" t="s">
        <v>72</v>
      </c>
      <c r="F3" s="24" t="s">
        <v>27</v>
      </c>
      <c r="G3" s="12">
        <v>348</v>
      </c>
      <c r="H3" s="88">
        <f>IF(B$20=0,0,G3/B$20)</f>
        <v>0.58883248730964466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42.735042735042732</v>
      </c>
      <c r="Q3" s="77">
        <v>234</v>
      </c>
      <c r="R3" s="64">
        <v>10000</v>
      </c>
    </row>
    <row r="4" spans="1:18" x14ac:dyDescent="0.45">
      <c r="A4" s="19" t="s">
        <v>6</v>
      </c>
      <c r="B4" s="137">
        <v>3.5527136788005009E-14</v>
      </c>
      <c r="C4" s="138"/>
      <c r="E4" s="27" t="s">
        <v>64</v>
      </c>
      <c r="F4" s="24" t="s">
        <v>20</v>
      </c>
      <c r="G4" s="12">
        <v>242</v>
      </c>
      <c r="H4" s="88">
        <f>IF(B$20=0,0,G4/B$20)</f>
        <v>0.40947546531302875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-25.316455696202532</v>
      </c>
      <c r="Q4" s="77">
        <v>237</v>
      </c>
      <c r="R4" s="64">
        <v>-6000</v>
      </c>
    </row>
    <row r="5" spans="1:18" x14ac:dyDescent="0.45">
      <c r="A5" s="19" t="s">
        <v>7</v>
      </c>
      <c r="B5" s="125">
        <f>IF(B$2=0,0,B$4/B$2)</f>
        <v>1.4802973661668753E-16</v>
      </c>
      <c r="C5" s="126"/>
      <c r="E5" s="27" t="s">
        <v>159</v>
      </c>
      <c r="F5" s="24" t="s">
        <v>160</v>
      </c>
      <c r="G5" s="12">
        <v>227</v>
      </c>
      <c r="H5" s="88">
        <f>IF(B$20=0,0,G5/B$20)</f>
        <v>0.38409475465313031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-4.5045045045045047</v>
      </c>
      <c r="Q5" s="77">
        <v>222</v>
      </c>
      <c r="R5" s="64">
        <v>-1000</v>
      </c>
    </row>
    <row r="6" spans="1:18" x14ac:dyDescent="0.45">
      <c r="A6" s="19" t="s">
        <v>196</v>
      </c>
      <c r="B6" s="129">
        <v>1602.3886693728255</v>
      </c>
      <c r="C6" s="130"/>
      <c r="E6" s="27" t="s">
        <v>68</v>
      </c>
      <c r="F6" s="24" t="s">
        <v>12</v>
      </c>
      <c r="G6" s="12">
        <v>171</v>
      </c>
      <c r="H6" s="88">
        <f>IF(B$20=0,0,G6/B$20)</f>
        <v>0.28934010152284262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19.607843137254903</v>
      </c>
      <c r="Q6" s="77">
        <v>204</v>
      </c>
      <c r="R6" s="64">
        <v>4000</v>
      </c>
    </row>
    <row r="7" spans="1:18" x14ac:dyDescent="0.45">
      <c r="A7" s="19" t="s">
        <v>1</v>
      </c>
      <c r="B7" s="139">
        <f>IF(B$2=0,0,(B$8*1+B$9*2+B$10*3)/B$2)</f>
        <v>1.9958333333333333</v>
      </c>
      <c r="C7" s="140"/>
      <c r="E7" s="27" t="s">
        <v>67</v>
      </c>
      <c r="F7" s="24" t="s">
        <v>23</v>
      </c>
      <c r="G7" s="12">
        <v>125</v>
      </c>
      <c r="H7" s="88">
        <f>IF(B$20=0,0,G7/B$20)</f>
        <v>0.21150592216582065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18.518518518518519</v>
      </c>
      <c r="Q7" s="78">
        <v>162</v>
      </c>
      <c r="R7" s="65">
        <v>3000</v>
      </c>
    </row>
    <row r="8" spans="1:18" x14ac:dyDescent="0.45">
      <c r="A8" s="19" t="s">
        <v>2</v>
      </c>
      <c r="B8" s="12">
        <v>81</v>
      </c>
      <c r="C8" s="6">
        <f t="shared" ref="C8:C15" si="1">IF(B$2=0,0,B8/B$2)</f>
        <v>0.33750000000000002</v>
      </c>
      <c r="E8" s="27" t="s">
        <v>89</v>
      </c>
      <c r="F8" s="24" t="s">
        <v>44</v>
      </c>
      <c r="G8" s="12">
        <v>81</v>
      </c>
      <c r="H8" s="88">
        <f>IF(B$20=0,0,G8/B$20)</f>
        <v>0.13705583756345177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79</v>
      </c>
      <c r="C9" s="6">
        <f t="shared" si="1"/>
        <v>0.32916666666666666</v>
      </c>
      <c r="E9" s="27" t="s">
        <v>69</v>
      </c>
      <c r="F9" s="24" t="s">
        <v>24</v>
      </c>
      <c r="G9" s="12">
        <v>78</v>
      </c>
      <c r="H9" s="88">
        <f>IF(B$20=0,0,G9/B$20)</f>
        <v>0.13197969543147209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80</v>
      </c>
      <c r="C10" s="7">
        <f t="shared" si="1"/>
        <v>0.33333333333333331</v>
      </c>
      <c r="E10" s="27" t="s">
        <v>70</v>
      </c>
      <c r="F10" s="24" t="s">
        <v>25</v>
      </c>
      <c r="G10" s="12">
        <v>63</v>
      </c>
      <c r="H10" s="88">
        <f>IF(B$20=0,0,G10/B$20)</f>
        <v>0.1065989847715736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2.9125000000000005</v>
      </c>
      <c r="Q10" s="76">
        <v>80</v>
      </c>
      <c r="R10" s="67">
        <v>233.00000000000006</v>
      </c>
    </row>
    <row r="11" spans="1:18" x14ac:dyDescent="0.45">
      <c r="A11" s="20" t="s">
        <v>184</v>
      </c>
      <c r="B11" s="109">
        <f>IF(B8=0,0,C11/B8)</f>
        <v>34.432098765432087</v>
      </c>
      <c r="C11" s="110">
        <v>2788.9999999999991</v>
      </c>
      <c r="E11" s="27" t="s">
        <v>65</v>
      </c>
      <c r="F11" s="24" t="s">
        <v>21</v>
      </c>
      <c r="G11" s="12">
        <v>49</v>
      </c>
      <c r="H11" s="88">
        <f>IF(B$20=0,0,G11/B$20)</f>
        <v>8.2910321489001695E-2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-5.433749999999999</v>
      </c>
      <c r="Q11" s="77">
        <v>80</v>
      </c>
      <c r="R11" s="68">
        <v>-434.69999999999993</v>
      </c>
    </row>
    <row r="12" spans="1:18" x14ac:dyDescent="0.45">
      <c r="A12" s="20" t="s">
        <v>185</v>
      </c>
      <c r="B12" s="109">
        <f>IF(B9=0,0,C12/B9)</f>
        <v>-1.1772151898734176</v>
      </c>
      <c r="C12" s="110">
        <v>-92.999999999999986</v>
      </c>
      <c r="E12" s="27" t="s">
        <v>71</v>
      </c>
      <c r="F12" s="24" t="s">
        <v>26</v>
      </c>
      <c r="G12" s="12">
        <v>34</v>
      </c>
      <c r="H12" s="88">
        <f>IF(B$20=0,0,G12/B$20)</f>
        <v>5.7529610829103212E-2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2.5212499999999998</v>
      </c>
      <c r="Q12" s="78">
        <v>80</v>
      </c>
      <c r="R12" s="69">
        <v>201.7</v>
      </c>
    </row>
    <row r="13" spans="1:18" x14ac:dyDescent="0.45">
      <c r="A13" s="20" t="s">
        <v>186</v>
      </c>
      <c r="B13" s="109">
        <f>IF(B10=0,0,C13/B10)</f>
        <v>-33.700000000000003</v>
      </c>
      <c r="C13" s="110">
        <v>-2696</v>
      </c>
      <c r="E13" s="27" t="s">
        <v>86</v>
      </c>
      <c r="F13" s="24" t="s">
        <v>41</v>
      </c>
      <c r="G13" s="12">
        <v>31</v>
      </c>
      <c r="H13" s="88">
        <f>IF(B$20=0,0,G13/B$20)</f>
        <v>5.2453468697123522E-2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-0.14837214148044353</v>
      </c>
      <c r="C14" s="126"/>
      <c r="E14" s="27" t="s">
        <v>83</v>
      </c>
      <c r="F14" s="24" t="s">
        <v>38</v>
      </c>
      <c r="G14" s="12">
        <v>26</v>
      </c>
      <c r="H14" s="88">
        <f>IF(B$20=0,0,G14/B$20)</f>
        <v>4.3993231810490696E-2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19</v>
      </c>
      <c r="C15" s="9">
        <f t="shared" si="1"/>
        <v>7.9166666666666663E-2</v>
      </c>
      <c r="E15" s="27" t="s">
        <v>81</v>
      </c>
      <c r="F15" s="24" t="s">
        <v>36</v>
      </c>
      <c r="G15" s="12">
        <v>23</v>
      </c>
      <c r="H15" s="88">
        <f>IF(B$20=0,0,G15/B$20)</f>
        <v>3.8917089678510999E-2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478</v>
      </c>
      <c r="C16" s="10">
        <f>IF(B$3=0,0,B16/B$3)</f>
        <v>0.23781094527363184</v>
      </c>
      <c r="E16" s="27" t="s">
        <v>78</v>
      </c>
      <c r="F16" s="24" t="s">
        <v>33</v>
      </c>
      <c r="G16" s="12">
        <v>15</v>
      </c>
      <c r="H16" s="88">
        <f>IF(B$20=0,0,G16/B$20)</f>
        <v>2.5380710659898477E-2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463</v>
      </c>
      <c r="C17" s="6">
        <f>IF(B$3=0,0,B17/B$3)</f>
        <v>0.23034825870646766</v>
      </c>
      <c r="E17" s="27" t="s">
        <v>91</v>
      </c>
      <c r="F17" s="24" t="s">
        <v>46</v>
      </c>
      <c r="G17" s="12">
        <v>12</v>
      </c>
      <c r="H17" s="88">
        <f>IF(B$20=0,0,G17/B$20)</f>
        <v>2.030456852791878E-2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249</v>
      </c>
      <c r="C18" s="5">
        <f>IF(B$16=0,0,B18/B$16)</f>
        <v>0.52092050209205021</v>
      </c>
      <c r="E18" s="27" t="s">
        <v>155</v>
      </c>
      <c r="F18" s="24" t="s">
        <v>156</v>
      </c>
      <c r="G18" s="12">
        <v>11</v>
      </c>
      <c r="H18" s="88">
        <f>IF(B$20=0,0,G18/B$20)</f>
        <v>1.8612521150592216E-2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8.568750000000005</v>
      </c>
      <c r="Q18" s="77">
        <v>16</v>
      </c>
      <c r="R18" s="68">
        <v>137.10000000000008</v>
      </c>
    </row>
    <row r="19" spans="1:18" x14ac:dyDescent="0.45">
      <c r="A19" s="18" t="s">
        <v>124</v>
      </c>
      <c r="B19" s="11">
        <f>B25</f>
        <v>195</v>
      </c>
      <c r="C19" s="5">
        <f>IF(B$17=0,0,B19/B$17)</f>
        <v>0.42116630669546434</v>
      </c>
      <c r="E19" s="27" t="s">
        <v>79</v>
      </c>
      <c r="F19" s="24" t="s">
        <v>34</v>
      </c>
      <c r="G19" s="12">
        <v>10</v>
      </c>
      <c r="H19" s="88">
        <f>IF(B$20=0,0,G19/B$20)</f>
        <v>1.6920473773265651E-2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4.2176470588235286</v>
      </c>
      <c r="Q19" s="77">
        <v>34</v>
      </c>
      <c r="R19" s="68">
        <v>143.39999999999998</v>
      </c>
    </row>
    <row r="20" spans="1:18" x14ac:dyDescent="0.45">
      <c r="A20" s="18" t="s">
        <v>10</v>
      </c>
      <c r="B20" s="11">
        <f>B23+B22</f>
        <v>591</v>
      </c>
      <c r="C20" s="5">
        <f>IF(B$3=0,0,B20/B$3)</f>
        <v>0.29402985074626864</v>
      </c>
      <c r="E20" s="27" t="s">
        <v>73</v>
      </c>
      <c r="F20" s="24" t="s">
        <v>28</v>
      </c>
      <c r="G20" s="12">
        <v>6</v>
      </c>
      <c r="H20" s="88">
        <f>IF(B$20=0,0,G20/B$20)</f>
        <v>1.015228426395939E-2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1.9546875000000026</v>
      </c>
      <c r="Q20" s="77">
        <v>64</v>
      </c>
      <c r="R20" s="68">
        <v>125.10000000000016</v>
      </c>
    </row>
    <row r="21" spans="1:18" x14ac:dyDescent="0.45">
      <c r="A21" s="19" t="s">
        <v>13</v>
      </c>
      <c r="B21" s="12">
        <v>337</v>
      </c>
      <c r="C21" s="6">
        <f>IF(B$3=0,0,B21/B$3)</f>
        <v>0.16766169154228855</v>
      </c>
      <c r="E21" s="27" t="s">
        <v>85</v>
      </c>
      <c r="F21" s="24" t="s">
        <v>40</v>
      </c>
      <c r="G21" s="12">
        <v>3</v>
      </c>
      <c r="H21" s="88">
        <f>IF(B$20=0,0,G21/B$20)</f>
        <v>5.076142131979695E-3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1.650000000000003</v>
      </c>
      <c r="Q21" s="77">
        <v>130</v>
      </c>
      <c r="R21" s="68">
        <v>214.5000000000004</v>
      </c>
    </row>
    <row r="22" spans="1:18" x14ac:dyDescent="0.45">
      <c r="A22" s="19" t="s">
        <v>12</v>
      </c>
      <c r="B22" s="12">
        <v>252</v>
      </c>
      <c r="C22" s="6">
        <f>IF(B$20=0,0,B22/B$20)</f>
        <v>0.42639593908629442</v>
      </c>
      <c r="E22" s="27" t="s">
        <v>88</v>
      </c>
      <c r="F22" s="24" t="s">
        <v>43</v>
      </c>
      <c r="G22" s="12">
        <v>3</v>
      </c>
      <c r="H22" s="88">
        <f>IF(B$20=0,0,G22/B$20)</f>
        <v>5.076142131979695E-3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-0.55999999999999894</v>
      </c>
      <c r="Q22" s="77">
        <v>60</v>
      </c>
      <c r="R22" s="68">
        <v>-33.599999999999937</v>
      </c>
    </row>
    <row r="23" spans="1:18" x14ac:dyDescent="0.45">
      <c r="A23" s="19" t="s">
        <v>11</v>
      </c>
      <c r="B23" s="12">
        <v>339</v>
      </c>
      <c r="C23" s="6">
        <f>IF(B$20=0,0,B23/B$20)</f>
        <v>0.57360406091370564</v>
      </c>
      <c r="E23" s="27" t="s">
        <v>75</v>
      </c>
      <c r="F23" s="24" t="s">
        <v>30</v>
      </c>
      <c r="G23" s="12">
        <v>2</v>
      </c>
      <c r="H23" s="88">
        <f>IF(B$20=0,0,G23/B$20)</f>
        <v>3.3840947546531302E-3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-5.7000000000000011</v>
      </c>
      <c r="Q23" s="77">
        <v>56</v>
      </c>
      <c r="R23" s="68">
        <v>-319.20000000000005</v>
      </c>
    </row>
    <row r="24" spans="1:18" x14ac:dyDescent="0.45">
      <c r="A24" s="19" t="s">
        <v>183</v>
      </c>
      <c r="B24" s="12">
        <v>249</v>
      </c>
      <c r="C24" s="6">
        <f>IF(B$20=0,0,B24/B$20)</f>
        <v>0.42131979695431471</v>
      </c>
      <c r="E24" s="27" t="s">
        <v>77</v>
      </c>
      <c r="F24" s="24" t="s">
        <v>32</v>
      </c>
      <c r="G24" s="12">
        <v>2</v>
      </c>
      <c r="H24" s="88">
        <f>IF(B$20=0,0,G24/B$20)</f>
        <v>3.3840947546531302E-3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-13.941666666666672</v>
      </c>
      <c r="Q24" s="77">
        <v>72</v>
      </c>
      <c r="R24" s="68">
        <v>-1003.8000000000004</v>
      </c>
    </row>
    <row r="25" spans="1:18" x14ac:dyDescent="0.45">
      <c r="A25" s="19" t="s">
        <v>181</v>
      </c>
      <c r="B25" s="12">
        <v>195</v>
      </c>
      <c r="C25" s="6">
        <f>IF(B$20=0,0,B25/B$20)</f>
        <v>0.32994923857868019</v>
      </c>
      <c r="E25" s="27" t="s">
        <v>92</v>
      </c>
      <c r="F25" s="24" t="s">
        <v>47</v>
      </c>
      <c r="G25" s="12">
        <v>2</v>
      </c>
      <c r="H25" s="88">
        <f>IF(B$20=0,0,G25/B$20)</f>
        <v>3.3840947546531302E-3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147</v>
      </c>
      <c r="C26" s="6">
        <f>IF(B$20=0,0,B26/B$20)</f>
        <v>0.24873096446700507</v>
      </c>
      <c r="E26" s="27" t="s">
        <v>80</v>
      </c>
      <c r="F26" s="24" t="s">
        <v>35</v>
      </c>
      <c r="G26" s="12">
        <v>1</v>
      </c>
      <c r="H26" s="88">
        <f>IF(B$20=0,0,G26/B$20)</f>
        <v>1.6920473773265651E-3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8001.5228426395943</v>
      </c>
      <c r="C27" s="8">
        <v>4728900</v>
      </c>
      <c r="E27" s="27" t="s">
        <v>90</v>
      </c>
      <c r="F27" s="24" t="s">
        <v>45</v>
      </c>
      <c r="G27" s="12">
        <v>1</v>
      </c>
      <c r="H27" s="88">
        <f>IF(B$20=0,0,G27/B$20)</f>
        <v>1.6920473773265651E-3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8624.4949494949487</v>
      </c>
      <c r="C28" s="96">
        <v>3415300</v>
      </c>
      <c r="E28" s="27" t="s">
        <v>93</v>
      </c>
      <c r="F28" s="24" t="s">
        <v>48</v>
      </c>
      <c r="G28" s="12">
        <v>1</v>
      </c>
      <c r="H28" s="88">
        <f>IF(B$20=0,0,G28/B$20)</f>
        <v>1.6920473773265651E-3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6736.4102564102568</v>
      </c>
      <c r="C29" s="96">
        <v>1313600</v>
      </c>
      <c r="E29" s="27" t="s">
        <v>102</v>
      </c>
      <c r="F29" s="24" t="s">
        <v>57</v>
      </c>
      <c r="G29" s="12">
        <v>1</v>
      </c>
      <c r="H29" s="88">
        <f>IF(B$20=0,0,G29/B$20)</f>
        <v>1.6920473773265651E-3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-7336.4985163204747</v>
      </c>
      <c r="C30" s="96">
        <v>-2472400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7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2.4875621890547263E-3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51</v>
      </c>
      <c r="C37" s="98">
        <f t="shared" ref="C37:C49" si="2">IF(B$20=0,0,B37/B$20)</f>
        <v>8.6294416243654817E-2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119</v>
      </c>
      <c r="C38" s="6">
        <f t="shared" si="2"/>
        <v>0.20135363790186125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111</v>
      </c>
      <c r="C39" s="6">
        <f t="shared" si="2"/>
        <v>0.18781725888324874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104</v>
      </c>
      <c r="C40" s="6">
        <f t="shared" si="2"/>
        <v>0.17597292724196278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81</v>
      </c>
      <c r="C41" s="6">
        <f t="shared" si="2"/>
        <v>0.13705583756345177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54</v>
      </c>
      <c r="C42" s="6">
        <f t="shared" si="2"/>
        <v>9.1370558375634514E-2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29</v>
      </c>
      <c r="C43" s="6">
        <f t="shared" si="2"/>
        <v>4.9069373942470386E-2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17</v>
      </c>
      <c r="C44" s="6">
        <f t="shared" si="2"/>
        <v>2.8764805414551606E-2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12</v>
      </c>
      <c r="C45" s="6">
        <f t="shared" si="2"/>
        <v>2.030456852791878E-2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1.1844331641285956E-2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3.3840947546531302E-3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6.7681895093062603E-3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6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65</v>
      </c>
      <c r="C2" s="134"/>
      <c r="E2" s="26" t="s">
        <v>66</v>
      </c>
      <c r="F2" s="23" t="s">
        <v>22</v>
      </c>
      <c r="G2" s="11">
        <v>123</v>
      </c>
      <c r="H2" s="87">
        <f>IF(B$20=0,0,G2/B$20)</f>
        <v>0.74545454545454548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406.15384615384613</v>
      </c>
      <c r="Q2" s="76">
        <v>65</v>
      </c>
      <c r="R2" s="63">
        <v>26400</v>
      </c>
    </row>
    <row r="3" spans="1:18" x14ac:dyDescent="0.45">
      <c r="A3" s="19" t="s">
        <v>8</v>
      </c>
      <c r="B3" s="135">
        <v>540</v>
      </c>
      <c r="C3" s="136"/>
      <c r="E3" s="27" t="s">
        <v>72</v>
      </c>
      <c r="F3" s="24" t="s">
        <v>27</v>
      </c>
      <c r="G3" s="12">
        <v>93</v>
      </c>
      <c r="H3" s="88">
        <f>IF(B$20=0,0,G3/B$20)</f>
        <v>0.5636363636363636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-895.23809523809518</v>
      </c>
      <c r="Q3" s="77">
        <v>63</v>
      </c>
      <c r="R3" s="64">
        <v>-56400</v>
      </c>
    </row>
    <row r="4" spans="1:18" x14ac:dyDescent="0.45">
      <c r="A4" s="19" t="s">
        <v>6</v>
      </c>
      <c r="B4" s="137">
        <v>-71.500000000000043</v>
      </c>
      <c r="C4" s="138"/>
      <c r="E4" s="27" t="s">
        <v>64</v>
      </c>
      <c r="F4" s="24" t="s">
        <v>20</v>
      </c>
      <c r="G4" s="12">
        <v>70</v>
      </c>
      <c r="H4" s="88">
        <f>IF(B$20=0,0,G4/B$20)</f>
        <v>0.42424242424242425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-1067.1875</v>
      </c>
      <c r="Q4" s="77">
        <v>64</v>
      </c>
      <c r="R4" s="64">
        <v>-68300</v>
      </c>
    </row>
    <row r="5" spans="1:18" x14ac:dyDescent="0.45">
      <c r="A5" s="19" t="s">
        <v>7</v>
      </c>
      <c r="B5" s="125">
        <f>IF(B$2=0,0,B$4/B$2)</f>
        <v>-1.1000000000000008</v>
      </c>
      <c r="C5" s="126"/>
      <c r="E5" s="27" t="s">
        <v>159</v>
      </c>
      <c r="F5" s="24" t="s">
        <v>160</v>
      </c>
      <c r="G5" s="12">
        <v>60</v>
      </c>
      <c r="H5" s="88">
        <f>IF(B$20=0,0,G5/B$20)</f>
        <v>0.36363636363636365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286.88524590163934</v>
      </c>
      <c r="Q5" s="77">
        <v>61</v>
      </c>
      <c r="R5" s="64">
        <v>17500</v>
      </c>
    </row>
    <row r="6" spans="1:18" x14ac:dyDescent="0.45">
      <c r="A6" s="19" t="s">
        <v>196</v>
      </c>
      <c r="B6" s="129">
        <v>1751.1326614092266</v>
      </c>
      <c r="C6" s="130"/>
      <c r="E6" s="27" t="s">
        <v>68</v>
      </c>
      <c r="F6" s="24" t="s">
        <v>12</v>
      </c>
      <c r="G6" s="12">
        <v>49</v>
      </c>
      <c r="H6" s="88">
        <f>IF(B$20=0,0,G6/B$20)</f>
        <v>0.29696969696969699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-164.28571428571428</v>
      </c>
      <c r="Q6" s="77">
        <v>56</v>
      </c>
      <c r="R6" s="64">
        <v>-9200</v>
      </c>
    </row>
    <row r="7" spans="1:18" x14ac:dyDescent="0.45">
      <c r="A7" s="19" t="s">
        <v>1</v>
      </c>
      <c r="B7" s="139">
        <f>IF(B$2=0,0,(B$8*1+B$9*2+B$10*3)/B$2)</f>
        <v>2.0923076923076924</v>
      </c>
      <c r="C7" s="140"/>
      <c r="E7" s="27" t="s">
        <v>67</v>
      </c>
      <c r="F7" s="24" t="s">
        <v>23</v>
      </c>
      <c r="G7" s="12">
        <v>38</v>
      </c>
      <c r="H7" s="88">
        <f>IF(B$20=0,0,G7/B$20)</f>
        <v>0.23030303030303031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-404.54545454545456</v>
      </c>
      <c r="Q7" s="78">
        <v>44</v>
      </c>
      <c r="R7" s="65">
        <v>-17800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0.27692307692307694</v>
      </c>
      <c r="E8" s="27" t="s">
        <v>69</v>
      </c>
      <c r="F8" s="24" t="s">
        <v>24</v>
      </c>
      <c r="G8" s="12">
        <v>29</v>
      </c>
      <c r="H8" s="88">
        <f>IF(B$20=0,0,G8/B$20)</f>
        <v>0.17575757575757575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23</v>
      </c>
      <c r="C9" s="6">
        <f t="shared" si="1"/>
        <v>0.35384615384615387</v>
      </c>
      <c r="E9" s="27" t="s">
        <v>70</v>
      </c>
      <c r="F9" s="24" t="s">
        <v>25</v>
      </c>
      <c r="G9" s="12">
        <v>23</v>
      </c>
      <c r="H9" s="88">
        <f>IF(B$20=0,0,G9/B$20)</f>
        <v>0.1393939393939394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24</v>
      </c>
      <c r="C10" s="7">
        <f t="shared" si="1"/>
        <v>0.36923076923076925</v>
      </c>
      <c r="E10" s="27" t="s">
        <v>89</v>
      </c>
      <c r="F10" s="24" t="s">
        <v>44</v>
      </c>
      <c r="G10" s="12">
        <v>23</v>
      </c>
      <c r="H10" s="88">
        <f>IF(B$20=0,0,G10/B$20)</f>
        <v>0.1393939393939394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7.4999999999999991</v>
      </c>
      <c r="Q10" s="76">
        <v>22</v>
      </c>
      <c r="R10" s="67">
        <v>164.99999999999997</v>
      </c>
    </row>
    <row r="11" spans="1:18" x14ac:dyDescent="0.45">
      <c r="A11" s="20" t="s">
        <v>184</v>
      </c>
      <c r="B11" s="109">
        <f>IF(B8=0,0,C11/B8)</f>
        <v>38.555555555555564</v>
      </c>
      <c r="C11" s="110">
        <v>694.00000000000011</v>
      </c>
      <c r="E11" s="27" t="s">
        <v>65</v>
      </c>
      <c r="F11" s="24" t="s">
        <v>21</v>
      </c>
      <c r="G11" s="12">
        <v>13</v>
      </c>
      <c r="H11" s="88">
        <f>IF(B$20=0,0,G11/B$20)</f>
        <v>7.8787878787878782E-2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-12.335999999999999</v>
      </c>
      <c r="Q11" s="77">
        <v>25</v>
      </c>
      <c r="R11" s="68">
        <v>-308.39999999999998</v>
      </c>
    </row>
    <row r="12" spans="1:18" x14ac:dyDescent="0.45">
      <c r="A12" s="20" t="s">
        <v>185</v>
      </c>
      <c r="B12" s="109">
        <f>IF(B9=0,0,C12/B9)</f>
        <v>-2.3739130434782605</v>
      </c>
      <c r="C12" s="110">
        <v>-54.599999999999994</v>
      </c>
      <c r="E12" s="27" t="s">
        <v>83</v>
      </c>
      <c r="F12" s="24" t="s">
        <v>38</v>
      </c>
      <c r="G12" s="12">
        <v>10</v>
      </c>
      <c r="H12" s="88">
        <f>IF(B$20=0,0,G12/B$20)</f>
        <v>6.0606060606060608E-2</v>
      </c>
      <c r="I12" s="58">
        <v>2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3.9944444444444449</v>
      </c>
      <c r="Q12" s="78">
        <v>18</v>
      </c>
      <c r="R12" s="69">
        <v>71.900000000000006</v>
      </c>
    </row>
    <row r="13" spans="1:18" x14ac:dyDescent="0.45">
      <c r="A13" s="20" t="s">
        <v>186</v>
      </c>
      <c r="B13" s="109">
        <f>IF(B10=0,0,C13/B10)</f>
        <v>-29.620833333333337</v>
      </c>
      <c r="C13" s="110">
        <v>-710.90000000000009</v>
      </c>
      <c r="E13" s="27" t="s">
        <v>86</v>
      </c>
      <c r="F13" s="24" t="s">
        <v>41</v>
      </c>
      <c r="G13" s="12">
        <v>9</v>
      </c>
      <c r="H13" s="88">
        <f>IF(B$20=0,0,G13/B$20)</f>
        <v>5.4545454545454543E-2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2.1869363929146552</v>
      </c>
      <c r="C14" s="126"/>
      <c r="E14" s="27" t="s">
        <v>71</v>
      </c>
      <c r="F14" s="24" t="s">
        <v>26</v>
      </c>
      <c r="G14" s="12">
        <v>8</v>
      </c>
      <c r="H14" s="88">
        <f>IF(B$20=0,0,G14/B$20)</f>
        <v>4.8484848484848485E-2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7.6923076923076927E-2</v>
      </c>
      <c r="E15" s="27" t="s">
        <v>155</v>
      </c>
      <c r="F15" s="24" t="s">
        <v>156</v>
      </c>
      <c r="G15" s="12">
        <v>8</v>
      </c>
      <c r="H15" s="88">
        <f>IF(B$20=0,0,G15/B$20)</f>
        <v>4.8484848484848485E-2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137</v>
      </c>
      <c r="C16" s="10">
        <f>IF(B$3=0,0,B16/B$3)</f>
        <v>0.25370370370370371</v>
      </c>
      <c r="E16" s="27" t="s">
        <v>81</v>
      </c>
      <c r="F16" s="24" t="s">
        <v>36</v>
      </c>
      <c r="G16" s="12">
        <v>4</v>
      </c>
      <c r="H16" s="88">
        <f>IF(B$20=0,0,G16/B$20)</f>
        <v>2.4242424242424242E-2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116</v>
      </c>
      <c r="C17" s="6">
        <f>IF(B$3=0,0,B17/B$3)</f>
        <v>0.21481481481481482</v>
      </c>
      <c r="E17" s="27" t="s">
        <v>91</v>
      </c>
      <c r="F17" s="24" t="s">
        <v>46</v>
      </c>
      <c r="G17" s="12">
        <v>4</v>
      </c>
      <c r="H17" s="88">
        <f>IF(B$20=0,0,G17/B$20)</f>
        <v>2.4242424242424242E-2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211</v>
      </c>
      <c r="P17" s="83">
        <f>IF(Q17=0,0,R17/Q17)</f>
        <v>5.71875</v>
      </c>
      <c r="Q17" s="77">
        <v>16</v>
      </c>
      <c r="R17" s="68">
        <v>91.5</v>
      </c>
    </row>
    <row r="18" spans="1:18" x14ac:dyDescent="0.45">
      <c r="A18" s="18" t="s">
        <v>123</v>
      </c>
      <c r="B18" s="11">
        <f>B24</f>
        <v>77</v>
      </c>
      <c r="C18" s="5">
        <f>IF(B$16=0,0,B18/B$16)</f>
        <v>0.56204379562043794</v>
      </c>
      <c r="E18" s="27" t="s">
        <v>78</v>
      </c>
      <c r="F18" s="24" t="s">
        <v>33</v>
      </c>
      <c r="G18" s="12">
        <v>3</v>
      </c>
      <c r="H18" s="88">
        <f>IF(B$20=0,0,G18/B$20)</f>
        <v>1.8181818181818181E-2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4.2160000000000011</v>
      </c>
      <c r="Q18" s="77">
        <v>25</v>
      </c>
      <c r="R18" s="68">
        <v>105.40000000000003</v>
      </c>
    </row>
    <row r="19" spans="1:18" x14ac:dyDescent="0.45">
      <c r="A19" s="18" t="s">
        <v>124</v>
      </c>
      <c r="B19" s="11">
        <f>B25</f>
        <v>50</v>
      </c>
      <c r="C19" s="5">
        <f>IF(B$17=0,0,B19/B$17)</f>
        <v>0.43103448275862066</v>
      </c>
      <c r="E19" s="27" t="s">
        <v>73</v>
      </c>
      <c r="F19" s="24" t="s">
        <v>28</v>
      </c>
      <c r="G19" s="12">
        <v>2</v>
      </c>
      <c r="H19" s="88">
        <f>IF(B$20=0,0,G19/B$20)</f>
        <v>1.2121212121212121E-2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0.20714285714285655</v>
      </c>
      <c r="Q19" s="77">
        <v>14</v>
      </c>
      <c r="R19" s="68">
        <v>2.8999999999999915</v>
      </c>
    </row>
    <row r="20" spans="1:18" x14ac:dyDescent="0.45">
      <c r="A20" s="18" t="s">
        <v>10</v>
      </c>
      <c r="B20" s="11">
        <f>B23+B22</f>
        <v>165</v>
      </c>
      <c r="C20" s="5">
        <f>IF(B$3=0,0,B20/B$3)</f>
        <v>0.30555555555555558</v>
      </c>
      <c r="E20" s="27" t="s">
        <v>75</v>
      </c>
      <c r="F20" s="24" t="s">
        <v>30</v>
      </c>
      <c r="G20" s="12">
        <v>1</v>
      </c>
      <c r="H20" s="88">
        <f>IF(B$20=0,0,G20/B$20)</f>
        <v>6.0606060606060606E-3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105</v>
      </c>
      <c r="C21" s="6">
        <f>IF(B$3=0,0,B21/B$3)</f>
        <v>0.19444444444444445</v>
      </c>
      <c r="E21" s="27" t="s">
        <v>79</v>
      </c>
      <c r="F21" s="24" t="s">
        <v>34</v>
      </c>
      <c r="G21" s="12">
        <v>1</v>
      </c>
      <c r="H21" s="88">
        <f>IF(B$20=0,0,G21/B$20)</f>
        <v>6.0606060606060606E-3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-5.9777777777777779</v>
      </c>
      <c r="Q21" s="77">
        <v>27</v>
      </c>
      <c r="R21" s="68">
        <v>-161.4</v>
      </c>
    </row>
    <row r="22" spans="1:18" x14ac:dyDescent="0.45">
      <c r="A22" s="19" t="s">
        <v>12</v>
      </c>
      <c r="B22" s="12">
        <v>74</v>
      </c>
      <c r="C22" s="6">
        <f>IF(B$20=0,0,B22/B$20)</f>
        <v>0.44848484848484849</v>
      </c>
      <c r="E22" s="27" t="s">
        <v>80</v>
      </c>
      <c r="F22" s="24" t="s">
        <v>35</v>
      </c>
      <c r="G22" s="12">
        <v>1</v>
      </c>
      <c r="H22" s="88">
        <f>IF(B$20=0,0,G22/B$20)</f>
        <v>6.0606060606060606E-3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-14.226666666666667</v>
      </c>
      <c r="Q22" s="77">
        <v>30</v>
      </c>
      <c r="R22" s="68">
        <v>-426.8</v>
      </c>
    </row>
    <row r="23" spans="1:18" x14ac:dyDescent="0.45">
      <c r="A23" s="19" t="s">
        <v>11</v>
      </c>
      <c r="B23" s="12">
        <v>91</v>
      </c>
      <c r="C23" s="6">
        <f>IF(B$20=0,0,B23/B$20)</f>
        <v>0.55151515151515151</v>
      </c>
      <c r="E23" s="27" t="s">
        <v>85</v>
      </c>
      <c r="F23" s="24" t="s">
        <v>40</v>
      </c>
      <c r="G23" s="12">
        <v>1</v>
      </c>
      <c r="H23" s="88">
        <f>IF(B$20=0,0,G23/B$20)</f>
        <v>6.0606060606060606E-3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77</v>
      </c>
      <c r="C24" s="6">
        <f>IF(B$20=0,0,B24/B$20)</f>
        <v>0.46666666666666667</v>
      </c>
      <c r="E24" s="27" t="s">
        <v>90</v>
      </c>
      <c r="F24" s="24" t="s">
        <v>45</v>
      </c>
      <c r="G24" s="12">
        <v>1</v>
      </c>
      <c r="H24" s="88">
        <f>IF(B$20=0,0,G24/B$20)</f>
        <v>6.0606060606060606E-3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50</v>
      </c>
      <c r="C25" s="6">
        <f>IF(B$20=0,0,B25/B$20)</f>
        <v>0.30303030303030304</v>
      </c>
      <c r="E25" s="27" t="s">
        <v>92</v>
      </c>
      <c r="F25" s="24" t="s">
        <v>47</v>
      </c>
      <c r="G25" s="12">
        <v>1</v>
      </c>
      <c r="H25" s="88">
        <f>IF(B$20=0,0,G25/B$20)</f>
        <v>6.0606060606060606E-3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38</v>
      </c>
      <c r="C26" s="6">
        <f>IF(B$20=0,0,B26/B$20)</f>
        <v>0.23030303030303031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8238.7878787878781</v>
      </c>
      <c r="C27" s="8">
        <v>1359400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8585.217391304348</v>
      </c>
      <c r="C28" s="96">
        <v>987300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7442</v>
      </c>
      <c r="C29" s="96">
        <v>372100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-6929.5238095238092</v>
      </c>
      <c r="C30" s="96">
        <v>-727600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1.8518518518518519E-3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6.0606060606060608E-2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28</v>
      </c>
      <c r="C38" s="6">
        <f t="shared" si="2"/>
        <v>0.16969696969696971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38</v>
      </c>
      <c r="C39" s="6">
        <f t="shared" si="2"/>
        <v>0.23030303030303031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25</v>
      </c>
      <c r="C40" s="6">
        <f t="shared" si="2"/>
        <v>0.15151515151515152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28</v>
      </c>
      <c r="C41" s="6">
        <f t="shared" si="2"/>
        <v>0.16969696969696971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19</v>
      </c>
      <c r="C42" s="6">
        <f t="shared" si="2"/>
        <v>0.11515151515151516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4.8484848484848485E-2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1.2121212121212121E-2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2.4242424242424242E-2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6.0606060606060606E-3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6.0606060606060606E-3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6.0606060606060606E-3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32</v>
      </c>
      <c r="C2" s="134"/>
      <c r="E2" s="26" t="s">
        <v>66</v>
      </c>
      <c r="F2" s="23" t="s">
        <v>22</v>
      </c>
      <c r="G2" s="11">
        <v>71</v>
      </c>
      <c r="H2" s="87">
        <f>IF(B$20=0,0,G2/B$20)</f>
        <v>0.93421052631578949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2418.75</v>
      </c>
      <c r="Q2" s="76">
        <v>32</v>
      </c>
      <c r="R2" s="63">
        <v>77400</v>
      </c>
    </row>
    <row r="3" spans="1:18" x14ac:dyDescent="0.45">
      <c r="A3" s="19" t="s">
        <v>8</v>
      </c>
      <c r="B3" s="135">
        <v>275</v>
      </c>
      <c r="C3" s="136"/>
      <c r="E3" s="27" t="s">
        <v>72</v>
      </c>
      <c r="F3" s="24" t="s">
        <v>27</v>
      </c>
      <c r="G3" s="12">
        <v>38</v>
      </c>
      <c r="H3" s="88">
        <f>IF(B$20=0,0,G3/B$20)</f>
        <v>0.5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-1174.1935483870968</v>
      </c>
      <c r="Q3" s="77">
        <v>31</v>
      </c>
      <c r="R3" s="64">
        <v>-36400</v>
      </c>
    </row>
    <row r="4" spans="1:18" x14ac:dyDescent="0.45">
      <c r="A4" s="19" t="s">
        <v>6</v>
      </c>
      <c r="B4" s="137">
        <v>-41.700000000000024</v>
      </c>
      <c r="C4" s="138"/>
      <c r="E4" s="27" t="s">
        <v>64</v>
      </c>
      <c r="F4" s="24" t="s">
        <v>20</v>
      </c>
      <c r="G4" s="12">
        <v>33</v>
      </c>
      <c r="H4" s="88">
        <f>IF(B$20=0,0,G4/B$20)</f>
        <v>0.43421052631578949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322.58064516129031</v>
      </c>
      <c r="Q4" s="77">
        <v>31</v>
      </c>
      <c r="R4" s="64">
        <v>10000</v>
      </c>
    </row>
    <row r="5" spans="1:18" x14ac:dyDescent="0.45">
      <c r="A5" s="19" t="s">
        <v>7</v>
      </c>
      <c r="B5" s="125">
        <f>IF(B$2=0,0,B$4/B$2)</f>
        <v>-1.3031250000000008</v>
      </c>
      <c r="C5" s="126"/>
      <c r="E5" s="27" t="s">
        <v>159</v>
      </c>
      <c r="F5" s="24" t="s">
        <v>160</v>
      </c>
      <c r="G5" s="12">
        <v>30</v>
      </c>
      <c r="H5" s="88">
        <f>IF(B$20=0,0,G5/B$20)</f>
        <v>0.39473684210526316</v>
      </c>
      <c r="I5" s="58">
        <v>5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333.33333333333331</v>
      </c>
      <c r="Q5" s="77">
        <v>30</v>
      </c>
      <c r="R5" s="64">
        <v>10000</v>
      </c>
    </row>
    <row r="6" spans="1:18" x14ac:dyDescent="0.45">
      <c r="A6" s="19" t="s">
        <v>196</v>
      </c>
      <c r="B6" s="129">
        <v>1642.7185533941417</v>
      </c>
      <c r="C6" s="130"/>
      <c r="E6" s="27" t="s">
        <v>68</v>
      </c>
      <c r="F6" s="24" t="s">
        <v>12</v>
      </c>
      <c r="G6" s="12">
        <v>27</v>
      </c>
      <c r="H6" s="88">
        <f>IF(B$20=0,0,G6/B$20)</f>
        <v>0.35526315789473684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162.96296296296296</v>
      </c>
      <c r="Q6" s="77">
        <v>27</v>
      </c>
      <c r="R6" s="64">
        <v>4400</v>
      </c>
    </row>
    <row r="7" spans="1:18" x14ac:dyDescent="0.45">
      <c r="A7" s="19" t="s">
        <v>1</v>
      </c>
      <c r="B7" s="139">
        <f>IF(B$2=0,0,(B$8*1+B$9*2+B$10*3)/B$2)</f>
        <v>2.03125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0.18421052631578946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-715.78947368421052</v>
      </c>
      <c r="Q7" s="78">
        <v>19</v>
      </c>
      <c r="R7" s="65">
        <v>-13600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0.3125</v>
      </c>
      <c r="E8" s="27" t="s">
        <v>89</v>
      </c>
      <c r="F8" s="24" t="s">
        <v>44</v>
      </c>
      <c r="G8" s="12">
        <v>12</v>
      </c>
      <c r="H8" s="88">
        <f>IF(B$20=0,0,G8/B$20)</f>
        <v>0.15789473684210525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0.34375</v>
      </c>
      <c r="E9" s="27" t="s">
        <v>69</v>
      </c>
      <c r="F9" s="24" t="s">
        <v>24</v>
      </c>
      <c r="G9" s="12">
        <v>9</v>
      </c>
      <c r="H9" s="88">
        <f>IF(B$20=0,0,G9/B$20)</f>
        <v>0.11842105263157894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11</v>
      </c>
      <c r="C10" s="7">
        <f t="shared" si="1"/>
        <v>0.34375</v>
      </c>
      <c r="E10" s="27" t="s">
        <v>65</v>
      </c>
      <c r="F10" s="24" t="s">
        <v>21</v>
      </c>
      <c r="G10" s="12">
        <v>6</v>
      </c>
      <c r="H10" s="88">
        <f>IF(B$20=0,0,G10/B$20)</f>
        <v>7.8947368421052627E-2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-1.0846153846153848</v>
      </c>
      <c r="Q10" s="76">
        <v>13</v>
      </c>
      <c r="R10" s="67">
        <v>-14.100000000000001</v>
      </c>
    </row>
    <row r="11" spans="1:18" x14ac:dyDescent="0.45">
      <c r="A11" s="20" t="s">
        <v>184</v>
      </c>
      <c r="B11" s="109">
        <f>IF(B8=0,0,C11/B8)</f>
        <v>39.069999999999993</v>
      </c>
      <c r="C11" s="110">
        <v>390.69999999999993</v>
      </c>
      <c r="E11" s="27" t="s">
        <v>70</v>
      </c>
      <c r="F11" s="24" t="s">
        <v>25</v>
      </c>
      <c r="G11" s="12">
        <v>6</v>
      </c>
      <c r="H11" s="88">
        <f>IF(B$20=0,0,G11/B$20)</f>
        <v>7.8947368421052627E-2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-0.50000000000000233</v>
      </c>
      <c r="Q11" s="77">
        <v>9</v>
      </c>
      <c r="R11" s="68">
        <v>-4.5000000000000213</v>
      </c>
    </row>
    <row r="12" spans="1:18" x14ac:dyDescent="0.45">
      <c r="A12" s="20" t="s">
        <v>185</v>
      </c>
      <c r="B12" s="109">
        <f>IF(B9=0,0,C12/B9)</f>
        <v>0.58181818181818168</v>
      </c>
      <c r="C12" s="110">
        <v>6.3999999999999986</v>
      </c>
      <c r="E12" s="27" t="s">
        <v>71</v>
      </c>
      <c r="F12" s="24" t="s">
        <v>26</v>
      </c>
      <c r="G12" s="12">
        <v>5</v>
      </c>
      <c r="H12" s="88">
        <f>IF(B$20=0,0,G12/B$20)</f>
        <v>6.5789473684210523E-2</v>
      </c>
      <c r="I12" s="58">
        <v>4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-2.31</v>
      </c>
      <c r="Q12" s="78">
        <v>10</v>
      </c>
      <c r="R12" s="69">
        <v>-23.1</v>
      </c>
    </row>
    <row r="13" spans="1:18" x14ac:dyDescent="0.45">
      <c r="A13" s="20" t="s">
        <v>186</v>
      </c>
      <c r="B13" s="109">
        <f>IF(B10=0,0,C13/B10)</f>
        <v>-39.890909090909091</v>
      </c>
      <c r="C13" s="110">
        <v>-438.8</v>
      </c>
      <c r="E13" s="27" t="s">
        <v>81</v>
      </c>
      <c r="F13" s="24" t="s">
        <v>36</v>
      </c>
      <c r="G13" s="12">
        <v>5</v>
      </c>
      <c r="H13" s="88">
        <f>IF(B$20=0,0,G13/B$20)</f>
        <v>6.5789473684210523E-2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-7.9696969696973E-2</v>
      </c>
      <c r="C14" s="126"/>
      <c r="E14" s="27" t="s">
        <v>86</v>
      </c>
      <c r="F14" s="24" t="s">
        <v>41</v>
      </c>
      <c r="G14" s="12">
        <v>5</v>
      </c>
      <c r="H14" s="88">
        <f>IF(B$20=0,0,G14/B$20)</f>
        <v>6.5789473684210523E-2</v>
      </c>
      <c r="I14" s="58">
        <v>3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0.125</v>
      </c>
      <c r="E15" s="27" t="s">
        <v>83</v>
      </c>
      <c r="F15" s="24" t="s">
        <v>38</v>
      </c>
      <c r="G15" s="12">
        <v>4</v>
      </c>
      <c r="H15" s="88">
        <f>IF(B$20=0,0,G15/B$20)</f>
        <v>5.2631578947368418E-2</v>
      </c>
      <c r="I15" s="58">
        <v>4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68</v>
      </c>
      <c r="C16" s="10">
        <f>IF(B$3=0,0,B16/B$3)</f>
        <v>0.24727272727272728</v>
      </c>
      <c r="E16" s="27" t="s">
        <v>78</v>
      </c>
      <c r="F16" s="24" t="s">
        <v>33</v>
      </c>
      <c r="G16" s="12">
        <v>3</v>
      </c>
      <c r="H16" s="88">
        <f>IF(B$20=0,0,G16/B$20)</f>
        <v>3.9473684210526314E-2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59</v>
      </c>
      <c r="C17" s="6">
        <f>IF(B$3=0,0,B17/B$3)</f>
        <v>0.21454545454545454</v>
      </c>
      <c r="E17" s="27" t="s">
        <v>155</v>
      </c>
      <c r="F17" s="24" t="s">
        <v>156</v>
      </c>
      <c r="G17" s="12">
        <v>2</v>
      </c>
      <c r="H17" s="88">
        <f>IF(B$20=0,0,G17/B$20)</f>
        <v>2.6315789473684209E-2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-0.23333333333333398</v>
      </c>
      <c r="Q17" s="77">
        <v>9</v>
      </c>
      <c r="R17" s="68">
        <v>-2.1000000000000059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0.48529411764705882</v>
      </c>
      <c r="E18" s="27" t="s">
        <v>73</v>
      </c>
      <c r="F18" s="24" t="s">
        <v>28</v>
      </c>
      <c r="G18" s="12">
        <v>1</v>
      </c>
      <c r="H18" s="88">
        <f>IF(B$20=0,0,G18/B$20)</f>
        <v>1.3157894736842105E-2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-4.2160000000000037</v>
      </c>
      <c r="Q18" s="77">
        <v>25</v>
      </c>
      <c r="R18" s="68">
        <v>-105.40000000000009</v>
      </c>
    </row>
    <row r="19" spans="1:18" x14ac:dyDescent="0.45">
      <c r="A19" s="18" t="s">
        <v>124</v>
      </c>
      <c r="B19" s="11">
        <f>B25</f>
        <v>21</v>
      </c>
      <c r="C19" s="5">
        <f>IF(B$17=0,0,B19/B$17)</f>
        <v>0.3559322033898305</v>
      </c>
      <c r="E19" s="27" t="s">
        <v>79</v>
      </c>
      <c r="F19" s="24" t="s">
        <v>34</v>
      </c>
      <c r="G19" s="12">
        <v>1</v>
      </c>
      <c r="H19" s="88">
        <f>IF(B$20=0,0,G19/B$20)</f>
        <v>1.3157894736842105E-2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192</v>
      </c>
      <c r="P19" s="83">
        <f>IF(Q19=0,0,R19/Q19)</f>
        <v>-14.78571428571429</v>
      </c>
      <c r="Q19" s="77">
        <v>7</v>
      </c>
      <c r="R19" s="68">
        <v>-103.50000000000003</v>
      </c>
    </row>
    <row r="20" spans="1:18" x14ac:dyDescent="0.45">
      <c r="A20" s="18" t="s">
        <v>10</v>
      </c>
      <c r="B20" s="11">
        <f>B23+B22</f>
        <v>76</v>
      </c>
      <c r="C20" s="5">
        <f>IF(B$3=0,0,B20/B$3)</f>
        <v>0.27636363636363637</v>
      </c>
      <c r="E20" s="27" t="s">
        <v>85</v>
      </c>
      <c r="F20" s="24" t="s">
        <v>40</v>
      </c>
      <c r="G20" s="12">
        <v>1</v>
      </c>
      <c r="H20" s="88">
        <f>IF(B$20=0,0,G20/B$20)</f>
        <v>1.3157894736842105E-2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189</v>
      </c>
      <c r="P20" s="83">
        <f>IF(Q20=0,0,R20/Q20)</f>
        <v>-17.012499999999999</v>
      </c>
      <c r="Q20" s="77">
        <v>8</v>
      </c>
      <c r="R20" s="68">
        <v>-136.1</v>
      </c>
    </row>
    <row r="21" spans="1:18" x14ac:dyDescent="0.45">
      <c r="A21" s="19" t="s">
        <v>13</v>
      </c>
      <c r="B21" s="12">
        <v>50</v>
      </c>
      <c r="C21" s="6">
        <f>IF(B$3=0,0,B21/B$3)</f>
        <v>0.18181818181818182</v>
      </c>
      <c r="E21" s="27" t="s">
        <v>88</v>
      </c>
      <c r="F21" s="24" t="s">
        <v>43</v>
      </c>
      <c r="G21" s="12">
        <v>1</v>
      </c>
      <c r="H21" s="88">
        <f>IF(B$20=0,0,G21/B$20)</f>
        <v>1.3157894736842105E-2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35</v>
      </c>
      <c r="C22" s="6">
        <f>IF(B$20=0,0,B22/B$20)</f>
        <v>0.46052631578947367</v>
      </c>
      <c r="E22" s="27" t="s">
        <v>91</v>
      </c>
      <c r="F22" s="24" t="s">
        <v>46</v>
      </c>
      <c r="G22" s="12">
        <v>1</v>
      </c>
      <c r="H22" s="88">
        <f>IF(B$20=0,0,G22/B$20)</f>
        <v>1.3157894736842105E-2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41</v>
      </c>
      <c r="C23" s="6">
        <f>IF(B$20=0,0,B23/B$20)</f>
        <v>0.53947368421052633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33</v>
      </c>
      <c r="C24" s="6">
        <f>IF(B$20=0,0,B24/B$20)</f>
        <v>0.43421052631578949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21</v>
      </c>
      <c r="C25" s="6">
        <f>IF(B$20=0,0,B25/B$20)</f>
        <v>0.27631578947368424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22</v>
      </c>
      <c r="C26" s="6">
        <f>IF(B$20=0,0,B26/B$20)</f>
        <v>0.28947368421052633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8677.6315789473683</v>
      </c>
      <c r="C27" s="8">
        <v>659500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8918.181818181818</v>
      </c>
      <c r="C28" s="96">
        <v>490500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8047.6190476190477</v>
      </c>
      <c r="C29" s="96">
        <v>169000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-7912</v>
      </c>
      <c r="C30" s="96">
        <v>-395600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3.6363636363636364E-3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9.2105263157894732E-2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8</v>
      </c>
      <c r="C38" s="6">
        <f t="shared" si="2"/>
        <v>0.10526315789473684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15</v>
      </c>
      <c r="C39" s="6">
        <f t="shared" si="2"/>
        <v>0.19736842105263158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14</v>
      </c>
      <c r="C40" s="6">
        <f t="shared" si="2"/>
        <v>0.18421052631578946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14</v>
      </c>
      <c r="C41" s="6">
        <f t="shared" si="2"/>
        <v>0.18421052631578946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10</v>
      </c>
      <c r="C42" s="6">
        <f t="shared" si="2"/>
        <v>0.13157894736842105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5">
      <c r="A43" s="19" t="s">
        <v>173</v>
      </c>
      <c r="B43" s="124">
        <v>3</v>
      </c>
      <c r="C43" s="6">
        <f t="shared" si="2"/>
        <v>3.9473684210526314E-2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3</v>
      </c>
      <c r="C44" s="6">
        <f t="shared" si="2"/>
        <v>3.9473684210526314E-2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1.3157894736842105E-2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1.3157894736842105E-2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0.68354430379746833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743.33333333333337</v>
      </c>
      <c r="Q2" s="76">
        <v>30</v>
      </c>
      <c r="R2" s="63">
        <v>22300</v>
      </c>
    </row>
    <row r="3" spans="1:18" x14ac:dyDescent="0.45">
      <c r="A3" s="19" t="s">
        <v>8</v>
      </c>
      <c r="B3" s="135">
        <v>268</v>
      </c>
      <c r="C3" s="136"/>
      <c r="E3" s="27" t="s">
        <v>72</v>
      </c>
      <c r="F3" s="24" t="s">
        <v>27</v>
      </c>
      <c r="G3" s="12">
        <v>51</v>
      </c>
      <c r="H3" s="88">
        <f>IF(B$20=0,0,G3/B$20)</f>
        <v>0.64556962025316456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-780</v>
      </c>
      <c r="Q3" s="77">
        <v>30</v>
      </c>
      <c r="R3" s="64">
        <v>-23400</v>
      </c>
    </row>
    <row r="4" spans="1:18" x14ac:dyDescent="0.45">
      <c r="A4" s="19" t="s">
        <v>6</v>
      </c>
      <c r="B4" s="137">
        <v>11.199999999999989</v>
      </c>
      <c r="C4" s="138"/>
      <c r="E4" s="27" t="s">
        <v>64</v>
      </c>
      <c r="F4" s="24" t="s">
        <v>20</v>
      </c>
      <c r="G4" s="12">
        <v>33</v>
      </c>
      <c r="H4" s="88">
        <f>IF(B$20=0,0,G4/B$20)</f>
        <v>0.41772151898734178</v>
      </c>
      <c r="I4" s="58">
        <v>6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1076.6666666666667</v>
      </c>
      <c r="Q4" s="77">
        <v>30</v>
      </c>
      <c r="R4" s="64">
        <v>32300</v>
      </c>
    </row>
    <row r="5" spans="1:18" x14ac:dyDescent="0.45">
      <c r="A5" s="19" t="s">
        <v>7</v>
      </c>
      <c r="B5" s="125">
        <f>IF(B$2=0,0,B$4/B$2)</f>
        <v>0.37333333333333296</v>
      </c>
      <c r="C5" s="126"/>
      <c r="E5" s="27" t="s">
        <v>68</v>
      </c>
      <c r="F5" s="24" t="s">
        <v>12</v>
      </c>
      <c r="G5" s="12">
        <v>25</v>
      </c>
      <c r="H5" s="88">
        <f>IF(B$20=0,0,G5/B$20)</f>
        <v>0.31645569620253167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266.66666666666669</v>
      </c>
      <c r="Q5" s="77">
        <v>30</v>
      </c>
      <c r="R5" s="64">
        <v>8000</v>
      </c>
    </row>
    <row r="6" spans="1:18" x14ac:dyDescent="0.45">
      <c r="A6" s="19" t="s">
        <v>196</v>
      </c>
      <c r="B6" s="129">
        <v>1461.3380512742167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0.29113924050632911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-1773.3333333333333</v>
      </c>
      <c r="Q6" s="77">
        <v>30</v>
      </c>
      <c r="R6" s="64">
        <v>-53200</v>
      </c>
    </row>
    <row r="7" spans="1:18" x14ac:dyDescent="0.45">
      <c r="A7" s="19" t="s">
        <v>1</v>
      </c>
      <c r="B7" s="139">
        <f>IF(B$2=0,0,(B$8*1+B$9*2+B$10*3)/B$2)</f>
        <v>1.9666666666666666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0.25316455696202533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713.63636363636363</v>
      </c>
      <c r="Q7" s="78">
        <v>22</v>
      </c>
      <c r="R7" s="65">
        <v>15700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0.36666666666666664</v>
      </c>
      <c r="E8" s="27" t="s">
        <v>70</v>
      </c>
      <c r="F8" s="24" t="s">
        <v>25</v>
      </c>
      <c r="G8" s="12">
        <v>9</v>
      </c>
      <c r="H8" s="88">
        <f>IF(B$20=0,0,G8/B$20)</f>
        <v>0.11392405063291139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</v>
      </c>
      <c r="E9" s="27" t="s">
        <v>89</v>
      </c>
      <c r="F9" s="24" t="s">
        <v>44</v>
      </c>
      <c r="G9" s="12">
        <v>9</v>
      </c>
      <c r="H9" s="88">
        <f>IF(B$20=0,0,G9/B$20)</f>
        <v>0.11392405063291139</v>
      </c>
      <c r="I9" s="58">
        <v>8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0.33333333333333331</v>
      </c>
      <c r="E10" s="27" t="s">
        <v>69</v>
      </c>
      <c r="F10" s="24" t="s">
        <v>24</v>
      </c>
      <c r="G10" s="12">
        <v>8</v>
      </c>
      <c r="H10" s="88">
        <f>IF(B$20=0,0,G10/B$20)</f>
        <v>0.10126582278481013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8.6333333333333329</v>
      </c>
      <c r="Q10" s="76">
        <v>9</v>
      </c>
      <c r="R10" s="67">
        <v>77.7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7.5949367088607597E-2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-3.1222222222222222</v>
      </c>
      <c r="Q11" s="77">
        <v>9</v>
      </c>
      <c r="R11" s="68">
        <v>-28.1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5.0632911392405063E-2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-32.28</v>
      </c>
      <c r="C13" s="110">
        <v>-322.8</v>
      </c>
      <c r="E13" s="27" t="s">
        <v>81</v>
      </c>
      <c r="F13" s="24" t="s">
        <v>36</v>
      </c>
      <c r="G13" s="12">
        <v>4</v>
      </c>
      <c r="H13" s="88">
        <f>IF(B$20=0,0,G13/B$20)</f>
        <v>5.0632911392405063E-2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-0.34922558922558977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5.0632911392405063E-2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3.3333333333333333E-2</v>
      </c>
      <c r="E15" s="27" t="s">
        <v>79</v>
      </c>
      <c r="F15" s="24" t="s">
        <v>34</v>
      </c>
      <c r="G15" s="12">
        <v>3</v>
      </c>
      <c r="H15" s="88">
        <f>IF(B$20=0,0,G15/B$20)</f>
        <v>3.7974683544303799E-2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73</v>
      </c>
      <c r="C16" s="10">
        <f>IF(B$3=0,0,B16/B$3)</f>
        <v>0.27238805970149255</v>
      </c>
      <c r="E16" s="27" t="s">
        <v>78</v>
      </c>
      <c r="F16" s="24" t="s">
        <v>33</v>
      </c>
      <c r="G16" s="12">
        <v>2</v>
      </c>
      <c r="H16" s="88">
        <f>IF(B$20=0,0,G16/B$20)</f>
        <v>2.5316455696202531E-2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79</v>
      </c>
      <c r="C17" s="6">
        <f>IF(B$3=0,0,B17/B$3)</f>
        <v>0.29477611940298509</v>
      </c>
      <c r="E17" s="27" t="s">
        <v>86</v>
      </c>
      <c r="F17" s="24" t="s">
        <v>41</v>
      </c>
      <c r="G17" s="12">
        <v>2</v>
      </c>
      <c r="H17" s="88">
        <f>IF(B$20=0,0,G17/B$20)</f>
        <v>2.5316455696202531E-2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34</v>
      </c>
      <c r="C18" s="5">
        <f>IF(B$16=0,0,B18/B$16)</f>
        <v>0.46575342465753422</v>
      </c>
      <c r="E18" s="27" t="s">
        <v>91</v>
      </c>
      <c r="F18" s="24" t="s">
        <v>46</v>
      </c>
      <c r="G18" s="12">
        <v>2</v>
      </c>
      <c r="H18" s="88">
        <f>IF(B$20=0,0,G18/B$20)</f>
        <v>2.5316455696202531E-2</v>
      </c>
      <c r="I18" s="58">
        <v>2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5.9777777777777761</v>
      </c>
      <c r="Q18" s="77">
        <v>27</v>
      </c>
      <c r="R18" s="68">
        <v>161.39999999999995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0.39240506329113922</v>
      </c>
      <c r="E19" s="27" t="s">
        <v>88</v>
      </c>
      <c r="F19" s="24" t="s">
        <v>43</v>
      </c>
      <c r="G19" s="12">
        <v>1</v>
      </c>
      <c r="H19" s="88">
        <f>IF(B$20=0,0,G19/B$20)</f>
        <v>1.2658227848101266E-2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79</v>
      </c>
      <c r="C20" s="5">
        <f>IF(B$3=0,0,B20/B$3)</f>
        <v>0.29477611940298509</v>
      </c>
      <c r="E20" s="27" t="s">
        <v>93</v>
      </c>
      <c r="F20" s="24" t="s">
        <v>48</v>
      </c>
      <c r="G20" s="12">
        <v>1</v>
      </c>
      <c r="H20" s="88">
        <f>IF(B$20=0,0,G20/B$20)</f>
        <v>1.2658227848101266E-2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46</v>
      </c>
      <c r="C21" s="6">
        <f>IF(B$3=0,0,B21/B$3)</f>
        <v>0.17164179104477612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39</v>
      </c>
      <c r="C22" s="6">
        <f>IF(B$20=0,0,B22/B$20)</f>
        <v>0.49367088607594939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0.50632911392405067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34</v>
      </c>
      <c r="C24" s="6">
        <f>IF(B$20=0,0,B24/B$20)</f>
        <v>0.43037974683544306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0.39240506329113922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0.17721518987341772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7453.164556962025</v>
      </c>
      <c r="C27" s="8">
        <v>588800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8770.8333333333339</v>
      </c>
      <c r="C28" s="96">
        <v>421000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-7539.130434782609</v>
      </c>
      <c r="C30" s="96">
        <v>-346800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3.7313432835820895E-3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3">IF(B$20=0,0,B37/B$20)</f>
        <v>0.12658227848101267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3"/>
        <v>0.26582278481012656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3"/>
        <v>0.13924050632911392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3"/>
        <v>0.20253164556962025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6.3291139240506333E-2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3.7974683544303799E-2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3.7974683544303799E-2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2.5316455696202531E-2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3"/>
        <v>5.0632911392405063E-2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3"/>
        <v>3.7974683544303799E-2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3"/>
        <v>1.2658227848101266E-2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30</v>
      </c>
      <c r="H2" s="87">
        <f>IF(B$20=0,0,G2/B$20)</f>
        <v>0.967741935483871</v>
      </c>
      <c r="I2" s="57">
        <v>2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-458.8235294117647</v>
      </c>
      <c r="Q2" s="76">
        <v>17</v>
      </c>
      <c r="R2" s="63">
        <v>-7800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18</v>
      </c>
      <c r="H3" s="88">
        <f>IF(B$20=0,0,G3/B$20)</f>
        <v>0.58064516129032262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1423.5294117647059</v>
      </c>
      <c r="Q3" s="77">
        <v>17</v>
      </c>
      <c r="R3" s="64">
        <v>24200</v>
      </c>
    </row>
    <row r="4" spans="1:18" x14ac:dyDescent="0.45">
      <c r="A4" s="19" t="s">
        <v>6</v>
      </c>
      <c r="B4" s="137">
        <v>-47.800000000000018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747.05882352941171</v>
      </c>
      <c r="Q4" s="77">
        <v>17</v>
      </c>
      <c r="R4" s="64">
        <v>12700</v>
      </c>
    </row>
    <row r="5" spans="1:18" x14ac:dyDescent="0.45">
      <c r="A5" s="19" t="s">
        <v>7</v>
      </c>
      <c r="B5" s="125">
        <f>IF(B$2=0,0,B$4/B$2)</f>
        <v>-2.8117647058823541</v>
      </c>
      <c r="C5" s="126"/>
      <c r="E5" s="27" t="s">
        <v>159</v>
      </c>
      <c r="F5" s="24" t="s">
        <v>160</v>
      </c>
      <c r="G5" s="12">
        <v>14</v>
      </c>
      <c r="H5" s="88">
        <f>IF(B$20=0,0,G5/B$20)</f>
        <v>0.45161290322580644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-3120</v>
      </c>
      <c r="Q5" s="77">
        <v>15</v>
      </c>
      <c r="R5" s="64">
        <v>-46800</v>
      </c>
    </row>
    <row r="6" spans="1:18" x14ac:dyDescent="0.45">
      <c r="A6" s="19" t="s">
        <v>196</v>
      </c>
      <c r="B6" s="129">
        <v>1524.9050618397528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0.25806451612903225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528.57142857142856</v>
      </c>
      <c r="Q6" s="77">
        <v>14</v>
      </c>
      <c r="R6" s="64">
        <v>7400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7</v>
      </c>
      <c r="H7" s="88">
        <f>IF(B$20=0,0,G7/B$20)</f>
        <v>0.22580645161290322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-2550</v>
      </c>
      <c r="Q7" s="78">
        <v>10</v>
      </c>
      <c r="R7" s="65">
        <v>-25500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0.23529411764705882</v>
      </c>
      <c r="E8" s="27" t="s">
        <v>69</v>
      </c>
      <c r="F8" s="24" t="s">
        <v>24</v>
      </c>
      <c r="G8" s="12">
        <v>5</v>
      </c>
      <c r="H8" s="88">
        <f>IF(B$20=0,0,G8/B$20)</f>
        <v>0.16129032258064516</v>
      </c>
      <c r="I8" s="58">
        <v>3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0.52941176470588236</v>
      </c>
      <c r="E9" s="27" t="s">
        <v>68</v>
      </c>
      <c r="F9" s="24" t="s">
        <v>12</v>
      </c>
      <c r="G9" s="12">
        <v>4</v>
      </c>
      <c r="H9" s="88">
        <f>IF(B$20=0,0,G9/B$20)</f>
        <v>0.12903225806451613</v>
      </c>
      <c r="I9" s="58">
        <v>11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0.23529411764705882</v>
      </c>
      <c r="E10" s="27" t="s">
        <v>89</v>
      </c>
      <c r="F10" s="24" t="s">
        <v>44</v>
      </c>
      <c r="G10" s="12">
        <v>3</v>
      </c>
      <c r="H10" s="88">
        <f>IF(B$20=0,0,G10/B$20)</f>
        <v>9.6774193548387094E-2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-16.766666666666666</v>
      </c>
      <c r="Q10" s="76">
        <v>6</v>
      </c>
      <c r="R10" s="67">
        <v>-100.6</v>
      </c>
    </row>
    <row r="11" spans="1:18" x14ac:dyDescent="0.45">
      <c r="A11" s="20" t="s">
        <v>184</v>
      </c>
      <c r="B11" s="109">
        <f>IF(B8=0,0,C11/B8)</f>
        <v>30.274999999999999</v>
      </c>
      <c r="C11" s="110">
        <v>121.1</v>
      </c>
      <c r="E11" s="27" t="s">
        <v>79</v>
      </c>
      <c r="F11" s="24" t="s">
        <v>34</v>
      </c>
      <c r="G11" s="12">
        <v>2</v>
      </c>
      <c r="H11" s="88">
        <f>IF(B$20=0,0,G11/B$20)</f>
        <v>6.4516129032258063E-2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-1.6999999999999993</v>
      </c>
      <c r="Q11" s="77">
        <v>4</v>
      </c>
      <c r="R11" s="68">
        <v>-6.7999999999999972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-18.899999999999999</v>
      </c>
      <c r="E12" s="27" t="s">
        <v>86</v>
      </c>
      <c r="F12" s="24" t="s">
        <v>41</v>
      </c>
      <c r="G12" s="12">
        <v>2</v>
      </c>
      <c r="H12" s="88">
        <f>IF(B$20=0,0,G12/B$20)</f>
        <v>6.4516129032258063E-2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70</v>
      </c>
      <c r="F13" s="24" t="s">
        <v>25</v>
      </c>
      <c r="G13" s="12">
        <v>1</v>
      </c>
      <c r="H13" s="88">
        <f>IF(B$20=0,0,G13/B$20)</f>
        <v>3.2258064516129031E-2</v>
      </c>
      <c r="I13" s="58">
        <v>9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-3.1083333333333343</v>
      </c>
      <c r="C14" s="126"/>
      <c r="E14" s="27" t="s">
        <v>81</v>
      </c>
      <c r="F14" s="24" t="s">
        <v>36</v>
      </c>
      <c r="G14" s="12">
        <v>1</v>
      </c>
      <c r="H14" s="88">
        <f>IF(B$20=0,0,G14/B$20)</f>
        <v>3.2258064516129031E-2</v>
      </c>
      <c r="I14" s="58">
        <v>8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5.8823529411764705E-2</v>
      </c>
      <c r="E15" s="27" t="s">
        <v>83</v>
      </c>
      <c r="F15" s="24" t="s">
        <v>38</v>
      </c>
      <c r="G15" s="12">
        <v>1</v>
      </c>
      <c r="H15" s="88">
        <f>IF(B$20=0,0,G15/B$20)</f>
        <v>3.2258064516129031E-2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126</v>
      </c>
      <c r="P15" s="82">
        <f>IF(Q15=0,0,R15/Q15)</f>
        <v>-0.20714285714285804</v>
      </c>
      <c r="Q15" s="76">
        <v>14</v>
      </c>
      <c r="R15" s="67">
        <v>-2.9000000000000128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-3.0714285714285707</v>
      </c>
      <c r="Q16" s="77">
        <v>7</v>
      </c>
      <c r="R16" s="68">
        <v>-21.499999999999996</v>
      </c>
    </row>
    <row r="17" spans="1:18" x14ac:dyDescent="0.45">
      <c r="A17" s="19" t="s">
        <v>118</v>
      </c>
      <c r="B17" s="12">
        <v>28</v>
      </c>
      <c r="C17" s="6">
        <f>IF(B$3=0,0,B17/B$3)</f>
        <v>0.20588235294117646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-8.0399999999999991</v>
      </c>
      <c r="Q17" s="77">
        <v>5</v>
      </c>
      <c r="R17" s="68">
        <v>-40.199999999999996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0.56666666666666665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11</v>
      </c>
      <c r="C19" s="5">
        <f>IF(B$17=0,0,B19/B$17)</f>
        <v>0.39285714285714285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-47.800000000000018</v>
      </c>
      <c r="M19" s="117">
        <v>1524.9050618397528</v>
      </c>
      <c r="O19" s="74" t="s">
        <v>189</v>
      </c>
      <c r="P19" s="83">
        <f>IF(Q19=0,0,R19/Q19)</f>
        <v>-13.200000000000003</v>
      </c>
      <c r="Q19" s="77">
        <v>2</v>
      </c>
      <c r="R19" s="68">
        <v>-26.400000000000006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0.22794117647058823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14</v>
      </c>
      <c r="C21" s="6">
        <f>IF(B$3=0,0,B21/B$3)</f>
        <v>0.10294117647058823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4</v>
      </c>
      <c r="C22" s="6">
        <f>IF(B$20=0,0,B22/B$20)</f>
        <v>0.12903225806451613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27</v>
      </c>
      <c r="C23" s="6">
        <f>IF(B$20=0,0,B23/B$20)</f>
        <v>0.87096774193548387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0.54838709677419351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11</v>
      </c>
      <c r="C25" s="6">
        <f>IF(B$20=0,0,B25/B$20)</f>
        <v>0.35483870967741937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9.6774193548387094E-2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7654.8387096774195</v>
      </c>
      <c r="C27" s="8">
        <v>237300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7600</v>
      </c>
      <c r="C28" s="96">
        <v>152000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7754.545454545455</v>
      </c>
      <c r="C29" s="96">
        <v>85300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-5385.7142857142853</v>
      </c>
      <c r="C30" s="96">
        <v>-75400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0.22580645161290322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0.22580645161290322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0.25806451612903225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9.6774193548387094E-2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6.4516129032258063E-2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6.4516129032258063E-2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3.2258064516129031E-2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57</v>
      </c>
      <c r="H2" s="87">
        <f>IF(B$20=0,0,G2/B$20)</f>
        <v>0.80281690140845074</v>
      </c>
      <c r="I2" s="57">
        <v>5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-810.71428571428567</v>
      </c>
      <c r="Q2" s="76">
        <v>28</v>
      </c>
      <c r="R2" s="63">
        <v>-22700</v>
      </c>
    </row>
    <row r="3" spans="1:18" x14ac:dyDescent="0.45">
      <c r="A3" s="19" t="s">
        <v>8</v>
      </c>
      <c r="B3" s="135">
        <v>221</v>
      </c>
      <c r="C3" s="136"/>
      <c r="E3" s="27" t="s">
        <v>72</v>
      </c>
      <c r="F3" s="24" t="s">
        <v>27</v>
      </c>
      <c r="G3" s="12">
        <v>44</v>
      </c>
      <c r="H3" s="88">
        <f>IF(B$20=0,0,G3/B$20)</f>
        <v>0.61971830985915488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878.57142857142856</v>
      </c>
      <c r="Q3" s="77">
        <v>28</v>
      </c>
      <c r="R3" s="64">
        <v>24600</v>
      </c>
    </row>
    <row r="4" spans="1:18" x14ac:dyDescent="0.45">
      <c r="A4" s="19" t="s">
        <v>6</v>
      </c>
      <c r="B4" s="137">
        <v>106.39999999999998</v>
      </c>
      <c r="C4" s="138"/>
      <c r="E4" s="27" t="s">
        <v>64</v>
      </c>
      <c r="F4" s="24" t="s">
        <v>20</v>
      </c>
      <c r="G4" s="12">
        <v>27</v>
      </c>
      <c r="H4" s="88">
        <f>IF(B$20=0,0,G4/B$20)</f>
        <v>0.38028169014084506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2214.2857142857142</v>
      </c>
      <c r="Q4" s="77">
        <v>28</v>
      </c>
      <c r="R4" s="64">
        <v>62000</v>
      </c>
    </row>
    <row r="5" spans="1:18" x14ac:dyDescent="0.45">
      <c r="A5" s="19" t="s">
        <v>7</v>
      </c>
      <c r="B5" s="125">
        <f>IF(B$2=0,0,B$4/B$2)</f>
        <v>3.7999999999999994</v>
      </c>
      <c r="C5" s="126"/>
      <c r="E5" s="27" t="s">
        <v>67</v>
      </c>
      <c r="F5" s="24" t="s">
        <v>23</v>
      </c>
      <c r="G5" s="12">
        <v>19</v>
      </c>
      <c r="H5" s="88">
        <f>IF(B$20=0,0,G5/B$20)</f>
        <v>0.26760563380281688</v>
      </c>
      <c r="I5" s="58">
        <v>2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200</v>
      </c>
      <c r="Q5" s="77">
        <v>25</v>
      </c>
      <c r="R5" s="64">
        <v>5000</v>
      </c>
    </row>
    <row r="6" spans="1:18" x14ac:dyDescent="0.45">
      <c r="A6" s="19" t="s">
        <v>196</v>
      </c>
      <c r="B6" s="129">
        <v>1520.3458986715063</v>
      </c>
      <c r="C6" s="130"/>
      <c r="E6" s="27" t="s">
        <v>159</v>
      </c>
      <c r="F6" s="24" t="s">
        <v>160</v>
      </c>
      <c r="G6" s="12">
        <v>17</v>
      </c>
      <c r="H6" s="88">
        <f>IF(B$20=0,0,G6/B$20)</f>
        <v>0.23943661971830985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557.14285714285711</v>
      </c>
      <c r="Q6" s="77">
        <v>21</v>
      </c>
      <c r="R6" s="64">
        <v>11700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16</v>
      </c>
      <c r="H7" s="88">
        <f>IF(B$20=0,0,G7/B$20)</f>
        <v>0.22535211267605634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1431.578947368421</v>
      </c>
      <c r="Q7" s="78">
        <v>19</v>
      </c>
      <c r="R7" s="65">
        <v>27200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89</v>
      </c>
      <c r="F8" s="24" t="s">
        <v>44</v>
      </c>
      <c r="G8" s="12">
        <v>11</v>
      </c>
      <c r="H8" s="88">
        <f>IF(B$20=0,0,G8/B$20)</f>
        <v>0.15492957746478872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0.2857142857142857</v>
      </c>
      <c r="E9" s="27" t="s">
        <v>69</v>
      </c>
      <c r="F9" s="24" t="s">
        <v>24</v>
      </c>
      <c r="G9" s="12">
        <v>10</v>
      </c>
      <c r="H9" s="88">
        <f>IF(B$20=0,0,G9/B$20)</f>
        <v>0.14084507042253522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0.32142857142857145</v>
      </c>
      <c r="E10" s="27" t="s">
        <v>86</v>
      </c>
      <c r="F10" s="24" t="s">
        <v>41</v>
      </c>
      <c r="G10" s="12">
        <v>7</v>
      </c>
      <c r="H10" s="88">
        <f>IF(B$20=0,0,G10/B$20)</f>
        <v>9.8591549295774641E-2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71</v>
      </c>
      <c r="F11" s="24" t="s">
        <v>26</v>
      </c>
      <c r="G11" s="12">
        <v>6</v>
      </c>
      <c r="H11" s="88">
        <f>IF(B$20=0,0,G11/B$20)</f>
        <v>8.4507042253521125E-2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91</v>
      </c>
      <c r="F12" s="24" t="s">
        <v>46</v>
      </c>
      <c r="G12" s="12">
        <v>5</v>
      </c>
      <c r="H12" s="88">
        <f>IF(B$20=0,0,G12/B$20)</f>
        <v>7.0422535211267609E-2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11.123076923076923</v>
      </c>
      <c r="Q12" s="78">
        <v>13</v>
      </c>
      <c r="R12" s="69">
        <v>144.6</v>
      </c>
    </row>
    <row r="13" spans="1:18" x14ac:dyDescent="0.45">
      <c r="A13" s="20" t="s">
        <v>186</v>
      </c>
      <c r="B13" s="109">
        <f>IF(B10=0,0,C13/B10)</f>
        <v>-28.555555555555557</v>
      </c>
      <c r="C13" s="110">
        <v>-257</v>
      </c>
      <c r="E13" s="27" t="s">
        <v>83</v>
      </c>
      <c r="F13" s="24" t="s">
        <v>38</v>
      </c>
      <c r="G13" s="12">
        <v>4</v>
      </c>
      <c r="H13" s="88">
        <f>IF(B$20=0,0,G13/B$20)</f>
        <v>5.6338028169014086E-2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1.5640572390572369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4.2253521126760563E-2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7.1428571428571425E-2</v>
      </c>
      <c r="E15" s="27" t="s">
        <v>70</v>
      </c>
      <c r="F15" s="24" t="s">
        <v>25</v>
      </c>
      <c r="G15" s="12">
        <v>3</v>
      </c>
      <c r="H15" s="88">
        <f>IF(B$20=0,0,G15/B$20)</f>
        <v>4.2253521126760563E-2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45</v>
      </c>
      <c r="C16" s="10">
        <f>IF(B$3=0,0,B16/B$3)</f>
        <v>0.20361990950226244</v>
      </c>
      <c r="E16" s="27" t="s">
        <v>81</v>
      </c>
      <c r="F16" s="24" t="s">
        <v>36</v>
      </c>
      <c r="G16" s="12">
        <v>3</v>
      </c>
      <c r="H16" s="88">
        <f>IF(B$20=0,0,G16/B$20)</f>
        <v>4.2253521126760563E-2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53</v>
      </c>
      <c r="C17" s="6">
        <f>IF(B$3=0,0,B17/B$3)</f>
        <v>0.23981900452488689</v>
      </c>
      <c r="E17" s="27" t="s">
        <v>73</v>
      </c>
      <c r="F17" s="24" t="s">
        <v>28</v>
      </c>
      <c r="G17" s="12">
        <v>2</v>
      </c>
      <c r="H17" s="88">
        <f>IF(B$20=0,0,G17/B$20)</f>
        <v>2.8169014084507043E-2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26</v>
      </c>
      <c r="C18" s="5">
        <f>IF(B$16=0,0,B18/B$16)</f>
        <v>0.57777777777777772</v>
      </c>
      <c r="E18" s="27" t="s">
        <v>78</v>
      </c>
      <c r="F18" s="24" t="s">
        <v>33</v>
      </c>
      <c r="G18" s="12">
        <v>2</v>
      </c>
      <c r="H18" s="88">
        <f>IF(B$20=0,0,G18/B$20)</f>
        <v>2.8169014084507043E-2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27</v>
      </c>
      <c r="C19" s="5">
        <f>IF(B$17=0,0,B19/B$17)</f>
        <v>0.50943396226415094</v>
      </c>
      <c r="E19" s="27" t="s">
        <v>75</v>
      </c>
      <c r="F19" s="24" t="s">
        <v>30</v>
      </c>
      <c r="G19" s="12">
        <v>1</v>
      </c>
      <c r="H19" s="88">
        <f>IF(B$20=0,0,G19/B$20)</f>
        <v>1.4084507042253521E-2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71</v>
      </c>
      <c r="C20" s="5">
        <f>IF(B$3=0,0,B20/B$3)</f>
        <v>0.32126696832579188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0.2333333333333335</v>
      </c>
      <c r="Q20" s="77">
        <v>9</v>
      </c>
      <c r="R20" s="68">
        <v>2.1000000000000014</v>
      </c>
    </row>
    <row r="21" spans="1:18" x14ac:dyDescent="0.45">
      <c r="A21" s="19" t="s">
        <v>13</v>
      </c>
      <c r="B21" s="12">
        <v>32</v>
      </c>
      <c r="C21" s="6">
        <f>IF(B$3=0,0,B21/B$3)</f>
        <v>0.14479638009049775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27</v>
      </c>
      <c r="C22" s="6">
        <f>IF(B$20=0,0,B22/B$20)</f>
        <v>0.38028169014084506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-5.71875</v>
      </c>
      <c r="Q22" s="77">
        <v>16</v>
      </c>
      <c r="R22" s="68">
        <v>-91.5</v>
      </c>
    </row>
    <row r="23" spans="1:18" x14ac:dyDescent="0.45">
      <c r="A23" s="19" t="s">
        <v>11</v>
      </c>
      <c r="B23" s="12">
        <v>44</v>
      </c>
      <c r="C23" s="6">
        <f>IF(B$20=0,0,B23/B$20)</f>
        <v>0.61971830985915488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26</v>
      </c>
      <c r="C24" s="6">
        <f>IF(B$20=0,0,B24/B$20)</f>
        <v>0.36619718309859156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27</v>
      </c>
      <c r="C25" s="6">
        <f>IF(B$20=0,0,B25/B$20)</f>
        <v>0.38028169014084506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18</v>
      </c>
      <c r="C26" s="6">
        <f>IF(B$20=0,0,B26/B$20)</f>
        <v>0.25352112676056338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7802.8169014084506</v>
      </c>
      <c r="C27" s="8">
        <v>554000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8034.090909090909</v>
      </c>
      <c r="C28" s="96">
        <v>353500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7425.9259259259261</v>
      </c>
      <c r="C29" s="96">
        <v>200500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-6971.875</v>
      </c>
      <c r="C30" s="96">
        <v>-223100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4.5248868778280547E-3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8.4507042253521125E-2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3"/>
        <v>0.25352112676056338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0.14084507042253522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3"/>
        <v>0.14084507042253522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3"/>
        <v>0.12676056338028169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3"/>
        <v>9.8591549295774641E-2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7.0422535211267609E-2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4.2253521126760563E-2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1.4084507042253521E-2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1.4084507042253521E-2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1.4084507042253521E-2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0.75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-58.333333333333336</v>
      </c>
      <c r="Q2" s="76">
        <v>36</v>
      </c>
      <c r="R2" s="63">
        <v>-2100</v>
      </c>
    </row>
    <row r="3" spans="1:18" x14ac:dyDescent="0.45">
      <c r="A3" s="19" t="s">
        <v>8</v>
      </c>
      <c r="B3" s="135">
        <v>312</v>
      </c>
      <c r="C3" s="136"/>
      <c r="E3" s="27" t="s">
        <v>72</v>
      </c>
      <c r="F3" s="24" t="s">
        <v>27</v>
      </c>
      <c r="G3" s="12">
        <v>70</v>
      </c>
      <c r="H3" s="88">
        <f>IF(B$20=0,0,G3/B$20)</f>
        <v>0.64814814814814814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2032.3529411764705</v>
      </c>
      <c r="Q3" s="77">
        <v>34</v>
      </c>
      <c r="R3" s="64">
        <v>69100</v>
      </c>
    </row>
    <row r="4" spans="1:18" x14ac:dyDescent="0.45">
      <c r="A4" s="19" t="s">
        <v>6</v>
      </c>
      <c r="B4" s="137">
        <v>334.59999999999997</v>
      </c>
      <c r="C4" s="138"/>
      <c r="E4" s="27" t="s">
        <v>159</v>
      </c>
      <c r="F4" s="24" t="s">
        <v>160</v>
      </c>
      <c r="G4" s="12">
        <v>55</v>
      </c>
      <c r="H4" s="88">
        <f>IF(B$20=0,0,G4/B$20)</f>
        <v>0.5092592592592593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217.14285714285714</v>
      </c>
      <c r="Q4" s="77">
        <v>35</v>
      </c>
      <c r="R4" s="64">
        <v>7600</v>
      </c>
    </row>
    <row r="5" spans="1:18" x14ac:dyDescent="0.45">
      <c r="A5" s="19" t="s">
        <v>7</v>
      </c>
      <c r="B5" s="125">
        <f>IF(B$2=0,0,B$4/B$2)</f>
        <v>9.2944444444444443</v>
      </c>
      <c r="C5" s="126"/>
      <c r="E5" s="27" t="s">
        <v>64</v>
      </c>
      <c r="F5" s="24" t="s">
        <v>20</v>
      </c>
      <c r="G5" s="12">
        <v>36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1178.125</v>
      </c>
      <c r="Q5" s="77">
        <v>32</v>
      </c>
      <c r="R5" s="64">
        <v>37700</v>
      </c>
    </row>
    <row r="6" spans="1:18" x14ac:dyDescent="0.45">
      <c r="A6" s="19" t="s">
        <v>196</v>
      </c>
      <c r="B6" s="129">
        <v>1589.9026760335635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0.25925925925925924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1513.3333333333333</v>
      </c>
      <c r="Q6" s="77">
        <v>30</v>
      </c>
      <c r="R6" s="64">
        <v>45400</v>
      </c>
    </row>
    <row r="7" spans="1:18" x14ac:dyDescent="0.45">
      <c r="A7" s="19" t="s">
        <v>1</v>
      </c>
      <c r="B7" s="139">
        <f>IF(B$2=0,0,(B$8*1+B$9*2+B$10*3)/B$2)</f>
        <v>1.6944444444444444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0.14814814814814814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279.16666666666669</v>
      </c>
      <c r="Q7" s="78">
        <v>24</v>
      </c>
      <c r="R7" s="65">
        <v>6700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0.12962962962962962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0.30555555555555558</v>
      </c>
      <c r="E9" s="27" t="s">
        <v>89</v>
      </c>
      <c r="F9" s="24" t="s">
        <v>44</v>
      </c>
      <c r="G9" s="12">
        <v>12</v>
      </c>
      <c r="H9" s="88">
        <f>IF(B$20=0,0,G9/B$20)</f>
        <v>0.1111111111111111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0.19444444444444445</v>
      </c>
      <c r="E10" s="27" t="s">
        <v>69</v>
      </c>
      <c r="F10" s="24" t="s">
        <v>24</v>
      </c>
      <c r="G10" s="12">
        <v>9</v>
      </c>
      <c r="H10" s="88">
        <f>IF(B$20=0,0,G10/B$20)</f>
        <v>8.3333333333333329E-2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8.3333333333333329E-2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-5.6454545454545446</v>
      </c>
      <c r="C12" s="110">
        <v>-62.099999999999994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4.6296296296296294E-2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7.5428571428571427</v>
      </c>
      <c r="Q12" s="78">
        <v>7</v>
      </c>
      <c r="R12" s="69">
        <v>52.8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3.7037037037037035E-2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-1.7495430495430508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2.7777777777777776E-2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5.5555555555555552E-2</v>
      </c>
      <c r="E15" s="27" t="s">
        <v>81</v>
      </c>
      <c r="F15" s="24" t="s">
        <v>36</v>
      </c>
      <c r="G15" s="12">
        <v>3</v>
      </c>
      <c r="H15" s="88">
        <f>IF(B$20=0,0,G15/B$20)</f>
        <v>2.7777777777777776E-2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0.21474358974358973</v>
      </c>
      <c r="E16" s="27" t="s">
        <v>86</v>
      </c>
      <c r="F16" s="24" t="s">
        <v>41</v>
      </c>
      <c r="G16" s="12">
        <v>3</v>
      </c>
      <c r="H16" s="88">
        <f>IF(B$20=0,0,G16/B$20)</f>
        <v>2.7777777777777776E-2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80</v>
      </c>
      <c r="C17" s="6">
        <f>IF(B$3=0,0,B17/B$3)</f>
        <v>0.25641025641025639</v>
      </c>
      <c r="E17" s="27" t="s">
        <v>83</v>
      </c>
      <c r="F17" s="24" t="s">
        <v>38</v>
      </c>
      <c r="G17" s="12">
        <v>2</v>
      </c>
      <c r="H17" s="88">
        <f>IF(B$20=0,0,G17/B$20)</f>
        <v>1.8518518518518517E-2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9.2592592592592587E-3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38</v>
      </c>
      <c r="C19" s="5">
        <f>IF(B$17=0,0,B19/B$17)</f>
        <v>0.47499999999999998</v>
      </c>
      <c r="E19" s="27" t="s">
        <v>88</v>
      </c>
      <c r="F19" s="24" t="s">
        <v>43</v>
      </c>
      <c r="G19" s="12">
        <v>1</v>
      </c>
      <c r="H19" s="88">
        <f>IF(B$20=0,0,G19/B$20)</f>
        <v>9.2592592592592587E-3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108</v>
      </c>
      <c r="C20" s="5">
        <f>IF(B$3=0,0,B20/B$3)</f>
        <v>0.34615384615384615</v>
      </c>
      <c r="E20" s="27" t="s">
        <v>92</v>
      </c>
      <c r="F20" s="24" t="s">
        <v>47</v>
      </c>
      <c r="G20" s="12">
        <v>1</v>
      </c>
      <c r="H20" s="88">
        <f>IF(B$20=0,0,G20/B$20)</f>
        <v>9.2592592592592587E-3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14.226666666666663</v>
      </c>
      <c r="Q20" s="77">
        <v>30</v>
      </c>
      <c r="R20" s="68">
        <v>426.7999999999999</v>
      </c>
    </row>
    <row r="21" spans="1:18" x14ac:dyDescent="0.45">
      <c r="A21" s="19" t="s">
        <v>13</v>
      </c>
      <c r="B21" s="12">
        <v>39</v>
      </c>
      <c r="C21" s="6">
        <f>IF(B$3=0,0,B21/B$3)</f>
        <v>0.125</v>
      </c>
      <c r="E21" s="27" t="s">
        <v>102</v>
      </c>
      <c r="F21" s="24" t="s">
        <v>57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45</v>
      </c>
      <c r="C22" s="6">
        <f>IF(B$20=0,0,B22/B$20)</f>
        <v>0.41666666666666669</v>
      </c>
      <c r="E22" s="27" t="s">
        <v>155</v>
      </c>
      <c r="F22" s="24" t="s">
        <v>156</v>
      </c>
      <c r="G22" s="12">
        <v>1</v>
      </c>
      <c r="H22" s="88">
        <f>IF(B$20=0,0,G22/B$20)</f>
        <v>9.2592592592592587E-3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63</v>
      </c>
      <c r="C23" s="6">
        <f>IF(B$20=0,0,B23/B$20)</f>
        <v>0.58333333333333337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0.32407407407407407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38</v>
      </c>
      <c r="C25" s="6">
        <f>IF(B$20=0,0,B25/B$20)</f>
        <v>0.35185185185185186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35</v>
      </c>
      <c r="C26" s="6">
        <f>IF(B$20=0,0,B26/B$20)</f>
        <v>0.32407407407407407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7805.5555555555557</v>
      </c>
      <c r="C27" s="8">
        <v>843000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9262.8571428571431</v>
      </c>
      <c r="C28" s="96">
        <v>648400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5121.0526315789475</v>
      </c>
      <c r="C29" s="96">
        <v>194600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51</v>
      </c>
      <c r="C32" s="90">
        <v>51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9.2592592592592587E-2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3"/>
        <v>0.23148148148148148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24</v>
      </c>
      <c r="C39" s="6">
        <f t="shared" si="3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17</v>
      </c>
      <c r="C40" s="6">
        <f t="shared" si="3"/>
        <v>0.15740740740740741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3"/>
        <v>0.1388888888888889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3"/>
        <v>7.407407407407407E-2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1.8518518518518517E-2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9.2592592592592587E-3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9.2592592592592587E-3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1.8518518518518517E-2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4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7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-3500</v>
      </c>
      <c r="Q5" s="77">
        <v>7</v>
      </c>
      <c r="R5" s="64">
        <v>-24500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3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6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8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2020-11-14T09:44:36Z</dcterms:modified>
</cp:coreProperties>
</file>