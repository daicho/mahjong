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E9526320-F84A-4135-BB9C-C50968E05B0F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わさび2" sheetId="7001" state="hidden" r:id="rId17"/>
    <sheet name="りくと2" sheetId="6999" state="hidden" r:id="rId18"/>
    <sheet name="のり2" sheetId="6997" state="hidden" r:id="rId19"/>
    <sheet name="たか2" sheetId="6995" state="hidden" r:id="rId20"/>
    <sheet name="ただ2" sheetId="6993" state="hidden" r:id="rId21"/>
    <sheet name="いちかわ2" sheetId="6991" state="hidden" r:id="rId22"/>
    <sheet name="まっつん2" sheetId="6989" state="hidden" r:id="rId23"/>
    <sheet name="たかの2" sheetId="6987" state="hidden" r:id="rId24"/>
    <sheet name="れんたろう2" sheetId="6985" state="hidden" r:id="rId25"/>
    <sheet name="だいち2" sheetId="6983" state="hidden" r:id="rId26"/>
    <sheet name="全体2" sheetId="6981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1" i="6998" l="1"/>
  <c r="P15" i="6986"/>
  <c r="P16" i="6998" l="1"/>
  <c r="P19" i="6988"/>
  <c r="P16" i="6984" l="1"/>
  <c r="P18" i="6988"/>
  <c r="P15" i="6998" l="1"/>
  <c r="P21" i="6984"/>
  <c r="P17" i="6986" l="1"/>
  <c r="P20" i="6988"/>
  <c r="P21" i="6992"/>
  <c r="P16" i="6988"/>
  <c r="P19" i="6994" l="1"/>
  <c r="P16" i="6986"/>
  <c r="P17" i="6998" l="1"/>
  <c r="P22" i="6982"/>
  <c r="P22" i="6990" l="1"/>
  <c r="P18" i="6986"/>
  <c r="P15" i="6992" l="1"/>
  <c r="P18" i="6992"/>
  <c r="P20" i="6998"/>
  <c r="P17" i="7000"/>
  <c r="P17" i="6990"/>
  <c r="P19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9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7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0" i="6984" l="1"/>
  <c r="P19" i="6992"/>
  <c r="P15" i="6990"/>
  <c r="P16" i="6992"/>
  <c r="P22" i="6992"/>
  <c r="P18" i="6994"/>
  <c r="P18" i="6990"/>
  <c r="P20" i="6994"/>
  <c r="P17" i="6984"/>
  <c r="P15" i="6984"/>
  <c r="P17" i="6996" l="1"/>
  <c r="P16" i="6994"/>
  <c r="P15" i="6982"/>
  <c r="P16" i="6982"/>
  <c r="P16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21" i="6990"/>
  <c r="P16" i="6990"/>
  <c r="P15" i="6980"/>
  <c r="P16" i="6980"/>
  <c r="B14" i="6994" l="1"/>
  <c r="B14" i="6996"/>
  <c r="C19" i="6996"/>
  <c r="C20" i="6996"/>
  <c r="H2" i="6996"/>
  <c r="H4" i="6996"/>
  <c r="C38" i="6996"/>
  <c r="H51" i="6996"/>
  <c r="H3" i="6996"/>
  <c r="H12" i="6996"/>
  <c r="H17" i="6996"/>
  <c r="H21" i="6996"/>
  <c r="C24" i="6996"/>
  <c r="B28" i="6996"/>
  <c r="H34" i="6996"/>
  <c r="H39" i="6996"/>
  <c r="H43" i="6996"/>
  <c r="H47" i="6996"/>
  <c r="H5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1" i="6996"/>
  <c r="H13" i="6996"/>
  <c r="H22" i="6996"/>
  <c r="H10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14" i="6996"/>
  <c r="H16" i="6996"/>
  <c r="H24" i="6996"/>
  <c r="H28" i="6996"/>
  <c r="H31" i="6996"/>
  <c r="C37" i="6996"/>
  <c r="C41" i="6996"/>
  <c r="C45" i="6996"/>
  <c r="C49" i="6996"/>
  <c r="H8" i="6996"/>
  <c r="H20" i="6996"/>
  <c r="H9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0" i="6992"/>
  <c r="P17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1" i="6982"/>
  <c r="P24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4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8" i="6992"/>
  <c r="H7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3" i="6992"/>
  <c r="H16" i="6992"/>
  <c r="C23" i="6992"/>
  <c r="B27" i="6992"/>
  <c r="H34" i="6992"/>
  <c r="H40" i="6992"/>
  <c r="H43" i="6992"/>
  <c r="H47" i="6992"/>
  <c r="P19" i="6982" l="1"/>
  <c r="P18" i="6982"/>
  <c r="P23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0" i="6980"/>
  <c r="P17" i="6988"/>
  <c r="P15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1" i="6980"/>
  <c r="C19" i="6988" l="1"/>
  <c r="B14" i="6988"/>
  <c r="B14" i="6990"/>
  <c r="C19" i="6990"/>
  <c r="C20" i="6990"/>
  <c r="H3" i="6990"/>
  <c r="H27" i="6990"/>
  <c r="H8" i="6990"/>
  <c r="C38" i="6990"/>
  <c r="C46" i="6990"/>
  <c r="H9" i="6990"/>
  <c r="H19" i="6990"/>
  <c r="H23" i="6990"/>
  <c r="C24" i="6990"/>
  <c r="B28" i="6990"/>
  <c r="H34" i="6990"/>
  <c r="H39" i="6990"/>
  <c r="H43" i="6990"/>
  <c r="H47" i="6990"/>
  <c r="H5" i="6990"/>
  <c r="H25" i="6990"/>
  <c r="H11" i="6990"/>
  <c r="H30" i="6990"/>
  <c r="H35" i="6990"/>
  <c r="C39" i="6990"/>
  <c r="C43" i="6990"/>
  <c r="C47" i="6990"/>
  <c r="H52" i="6990"/>
  <c r="H18" i="6990"/>
  <c r="H21" i="6990"/>
  <c r="C25" i="6990"/>
  <c r="H40" i="6990"/>
  <c r="H44" i="6990"/>
  <c r="H48" i="6990"/>
  <c r="H33" i="6990"/>
  <c r="C42" i="6990"/>
  <c r="H51" i="6990"/>
  <c r="H2" i="6990"/>
  <c r="H6" i="6990"/>
  <c r="H15" i="6990"/>
  <c r="H24" i="6990"/>
  <c r="H12" i="6990"/>
  <c r="H28" i="6990"/>
  <c r="H14" i="6990"/>
  <c r="H36" i="6990"/>
  <c r="C40" i="6990"/>
  <c r="C44" i="6990"/>
  <c r="C48" i="6990"/>
  <c r="H4" i="6990"/>
  <c r="H22" i="6990"/>
  <c r="C22" i="6990"/>
  <c r="C26" i="6990"/>
  <c r="H37" i="6990"/>
  <c r="H41" i="6990"/>
  <c r="H45" i="6990"/>
  <c r="H49" i="6990"/>
  <c r="H7" i="6990"/>
  <c r="H10" i="6990"/>
  <c r="H20" i="6990"/>
  <c r="H26" i="6990"/>
  <c r="H29" i="6990"/>
  <c r="H31" i="6990"/>
  <c r="C37" i="6990"/>
  <c r="C41" i="6990"/>
  <c r="C45" i="6990"/>
  <c r="C49" i="6990"/>
  <c r="H13" i="6990"/>
  <c r="H17" i="6990"/>
  <c r="H16" i="6990"/>
  <c r="C23" i="6990"/>
  <c r="B27" i="6990"/>
  <c r="H32" i="6990"/>
  <c r="H38" i="6990"/>
  <c r="H42" i="6990"/>
  <c r="H46" i="6990"/>
  <c r="C20" i="6988"/>
  <c r="H3" i="6988"/>
  <c r="H26" i="6988"/>
  <c r="H33" i="6988"/>
  <c r="C42" i="6988"/>
  <c r="H51" i="6988"/>
  <c r="H2" i="6988"/>
  <c r="H9" i="6988"/>
  <c r="H19" i="6988"/>
  <c r="H13" i="6988"/>
  <c r="C24" i="6988"/>
  <c r="B28" i="6988"/>
  <c r="H34" i="6988"/>
  <c r="H39" i="6988"/>
  <c r="H43" i="6988"/>
  <c r="H47" i="6988"/>
  <c r="H5" i="6988"/>
  <c r="H24" i="6988"/>
  <c r="H12" i="6988"/>
  <c r="H29" i="6988"/>
  <c r="H35" i="6988"/>
  <c r="C39" i="6988"/>
  <c r="C43" i="6988"/>
  <c r="C47" i="6988"/>
  <c r="H52" i="6988"/>
  <c r="H17" i="6988"/>
  <c r="H20" i="6988"/>
  <c r="C25" i="6988"/>
  <c r="H40" i="6988"/>
  <c r="H44" i="6988"/>
  <c r="H48" i="6988"/>
  <c r="H10" i="6988"/>
  <c r="C38" i="6988"/>
  <c r="C46" i="6988"/>
  <c r="H6" i="6988"/>
  <c r="H11" i="6988"/>
  <c r="H23" i="6988"/>
  <c r="H16" i="6988"/>
  <c r="H27" i="6988"/>
  <c r="H30" i="6988"/>
  <c r="H36" i="6988"/>
  <c r="C40" i="6988"/>
  <c r="C44" i="6988"/>
  <c r="C48" i="6988"/>
  <c r="H4" i="6988"/>
  <c r="H21" i="6988"/>
  <c r="C22" i="6988"/>
  <c r="C26" i="6988"/>
  <c r="H37" i="6988"/>
  <c r="H41" i="6988"/>
  <c r="H45" i="6988"/>
  <c r="H49" i="6988"/>
  <c r="H7" i="6988"/>
  <c r="H15" i="6988"/>
  <c r="H18" i="6988"/>
  <c r="H25" i="6988"/>
  <c r="H28" i="6988"/>
  <c r="H31" i="6988"/>
  <c r="C37" i="6988"/>
  <c r="C41" i="6988"/>
  <c r="C45" i="6988"/>
  <c r="C49" i="6988"/>
  <c r="H8" i="6988"/>
  <c r="H22" i="6988"/>
  <c r="H14" i="6988"/>
  <c r="C23" i="6988"/>
  <c r="B27" i="6988"/>
  <c r="H32" i="6988"/>
  <c r="H38" i="6988"/>
  <c r="H42" i="6988"/>
  <c r="H46" i="6988"/>
  <c r="P19" i="6986" l="1"/>
  <c r="P20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18" i="6984"/>
  <c r="P19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0" i="6982"/>
  <c r="P17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18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4" i="6984"/>
  <c r="H25" i="6984"/>
  <c r="H3" i="6984"/>
  <c r="H13" i="6984"/>
  <c r="B14" i="6980"/>
  <c r="B14" i="6982"/>
  <c r="C19" i="6982"/>
  <c r="C25" i="6984"/>
  <c r="H45" i="6984"/>
  <c r="H31" i="6984"/>
  <c r="C45" i="6984"/>
  <c r="H28" i="6984"/>
  <c r="H32" i="6984"/>
  <c r="H11" i="6984"/>
  <c r="H36" i="6984"/>
  <c r="H18" i="6984"/>
  <c r="H7" i="6984"/>
  <c r="H19" i="6984"/>
  <c r="C22" i="6984"/>
  <c r="H2" i="6984"/>
  <c r="H26" i="6984"/>
  <c r="H4" i="6984"/>
  <c r="H29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10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9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3" i="6984"/>
  <c r="C20" i="6984"/>
  <c r="H21" i="6984"/>
  <c r="C39" i="6984"/>
  <c r="C49" i="6984"/>
  <c r="H41" i="6984"/>
  <c r="H52" i="6984"/>
  <c r="H27" i="6984"/>
  <c r="H15" i="6984"/>
  <c r="H30" i="6984"/>
  <c r="H22" i="6984"/>
  <c r="H37" i="6984"/>
  <c r="C40" i="6984"/>
  <c r="C44" i="6984"/>
  <c r="C48" i="6984"/>
  <c r="H38" i="6984"/>
  <c r="H42" i="6984"/>
  <c r="H46" i="6984"/>
  <c r="H50" i="6984"/>
  <c r="H16" i="6984"/>
  <c r="H14" i="6984"/>
  <c r="C23" i="6984"/>
  <c r="B27" i="6984"/>
  <c r="H33" i="6984"/>
  <c r="H39" i="6984"/>
  <c r="H43" i="6984"/>
  <c r="H47" i="6984"/>
  <c r="H51" i="6984"/>
  <c r="H20" i="6984"/>
  <c r="H8" i="6984"/>
  <c r="H34" i="6984"/>
  <c r="C38" i="6984"/>
  <c r="C42" i="6984"/>
  <c r="C46" i="6984"/>
  <c r="H17" i="6984"/>
  <c r="C24" i="6984"/>
  <c r="B28" i="6984"/>
  <c r="H35" i="6984"/>
  <c r="H40" i="6984"/>
  <c r="H44" i="6984"/>
  <c r="H48" i="6984"/>
  <c r="C19" i="6980"/>
  <c r="C20" i="6982"/>
  <c r="H3" i="6982"/>
  <c r="H23" i="6982"/>
  <c r="H34" i="6982"/>
  <c r="C42" i="6982"/>
  <c r="H15" i="6982"/>
  <c r="H2" i="6982"/>
  <c r="H8" i="6982"/>
  <c r="H20" i="6982"/>
  <c r="H21" i="6982"/>
  <c r="C24" i="6982"/>
  <c r="B28" i="6982"/>
  <c r="H35" i="6982"/>
  <c r="H40" i="6982"/>
  <c r="H44" i="6982"/>
  <c r="H48" i="6982"/>
  <c r="H5" i="6982"/>
  <c r="H29" i="6982"/>
  <c r="H12" i="6982"/>
  <c r="H24" i="6982"/>
  <c r="H36" i="6982"/>
  <c r="C39" i="6982"/>
  <c r="C43" i="6982"/>
  <c r="C47" i="6982"/>
  <c r="H52" i="6982"/>
  <c r="H18" i="6982"/>
  <c r="H27" i="6982"/>
  <c r="C25" i="6982"/>
  <c r="H41" i="6982"/>
  <c r="H45" i="6982"/>
  <c r="H49" i="6982"/>
  <c r="H9" i="6982"/>
  <c r="C38" i="6982"/>
  <c r="C46" i="6982"/>
  <c r="H7" i="6982"/>
  <c r="H10" i="6982"/>
  <c r="H22" i="6982"/>
  <c r="H13" i="6982"/>
  <c r="H31" i="6982"/>
  <c r="H16" i="6982"/>
  <c r="H37" i="6982"/>
  <c r="C40" i="6982"/>
  <c r="C44" i="6982"/>
  <c r="C48" i="6982"/>
  <c r="H4" i="6982"/>
  <c r="H28" i="6982"/>
  <c r="C22" i="6982"/>
  <c r="C26" i="6982"/>
  <c r="H38" i="6982"/>
  <c r="H42" i="6982"/>
  <c r="H46" i="6982"/>
  <c r="H50" i="6982"/>
  <c r="H6" i="6982"/>
  <c r="H14" i="6982"/>
  <c r="H26" i="6982"/>
  <c r="H30" i="6982"/>
  <c r="H32" i="6982"/>
  <c r="H25" i="6982"/>
  <c r="C37" i="6982"/>
  <c r="C41" i="6982"/>
  <c r="C45" i="6982"/>
  <c r="C49" i="6982"/>
  <c r="H11" i="6982"/>
  <c r="H19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34" i="6980"/>
  <c r="C39" i="6980"/>
  <c r="C45" i="6980"/>
  <c r="H32" i="6980"/>
  <c r="H9" i="6980"/>
  <c r="H2" i="6980"/>
  <c r="H10" i="6980"/>
  <c r="H46" i="6980"/>
  <c r="H7" i="6980"/>
  <c r="H13" i="6980"/>
  <c r="H21" i="6980"/>
  <c r="H27" i="6980"/>
  <c r="H48" i="6980"/>
  <c r="H25" i="6980"/>
  <c r="H43" i="6980"/>
  <c r="C47" i="6980"/>
  <c r="H49" i="6980"/>
  <c r="H24" i="6980"/>
  <c r="C25" i="6980"/>
  <c r="H29" i="6980"/>
  <c r="H6" i="6980"/>
  <c r="H12" i="6980"/>
  <c r="H31" i="6980"/>
  <c r="C26" i="6980"/>
  <c r="C41" i="6980"/>
  <c r="C49" i="6980"/>
  <c r="C20" i="6980"/>
  <c r="H38" i="6980"/>
  <c r="H11" i="6980"/>
  <c r="H33" i="6980"/>
  <c r="H45" i="6980"/>
  <c r="H5" i="6980"/>
  <c r="H37" i="6980"/>
  <c r="H23" i="6980"/>
  <c r="H3" i="6980"/>
  <c r="H19" i="6980"/>
  <c r="B28" i="6980"/>
  <c r="H40" i="6980"/>
  <c r="C43" i="6980"/>
  <c r="H52" i="6980"/>
  <c r="H26" i="6980"/>
  <c r="H14" i="6980"/>
  <c r="H35" i="6980"/>
  <c r="H17" i="6980"/>
  <c r="H39" i="6980"/>
  <c r="C40" i="6980"/>
  <c r="C44" i="6980"/>
  <c r="C48" i="6980"/>
  <c r="H30" i="6980"/>
  <c r="H50" i="6980"/>
  <c r="H16" i="6980"/>
  <c r="H15" i="6980"/>
  <c r="C23" i="6980"/>
  <c r="B27" i="6980"/>
  <c r="H28" i="6980"/>
  <c r="H41" i="6980"/>
  <c r="H44" i="6980"/>
  <c r="H47" i="6980"/>
  <c r="H51" i="6980"/>
  <c r="H22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<sst xmlns="http://schemas.openxmlformats.org/spreadsheetml/2006/main" count="2990" uniqueCount="254">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</sst>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全体!$K$2:$K$305</c:f>
              <c:numCache>
                <c:formatCode>General</c:formatCode>
                <c:ptCount val="3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</c:numCache>
            </c:numRef>
          </c:xVal>
          <c:yVal>
            <c:numRef>
              <c:f>全体!$L$2:$L$305</c:f>
              <c:numCache>
                <c:formatCode>\+0.0;\-0.0;\±0</c:formatCode>
                <c:ptCount val="304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-36.303630363036305</c:v>
                </c:pt>
                <c:pt idx="1">
                  <c:v>34.013605442176868</c:v>
                </c:pt>
                <c:pt idx="2">
                  <c:v>-20.408163265306122</c:v>
                </c:pt>
                <c:pt idx="3">
                  <c:v>-3.5842293906810037</c:v>
                </c:pt>
                <c:pt idx="4">
                  <c:v>19.379844961240309</c:v>
                </c:pt>
                <c:pt idx="5">
                  <c:v>13.513513513513514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63</c:v>
                </c:pt>
                <c:pt idx="1">
                  <c:v>143</c:v>
                </c:pt>
                <c:pt idx="2">
                  <c:v>149</c:v>
                </c:pt>
                <c:pt idx="3">
                  <c:v>145</c:v>
                </c:pt>
                <c:pt idx="4">
                  <c:v>104</c:v>
                </c:pt>
                <c:pt idx="5">
                  <c:v>68</c:v>
                </c:pt>
                <c:pt idx="6">
                  <c:v>34</c:v>
                </c:pt>
                <c:pt idx="7">
                  <c:v>21</c:v>
                </c:pt>
                <c:pt idx="8">
                  <c:v>14</c:v>
                </c:pt>
                <c:pt idx="9">
                  <c:v>9</c:v>
                </c:pt>
                <c:pt idx="10">
                  <c:v>2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全体!$K$2:$K$305</c:f>
              <c:numCache>
                <c:formatCode>General</c:formatCode>
                <c:ptCount val="3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</c:numCache>
            </c:numRef>
          </c:xVal>
          <c:yVal>
            <c:numRef>
              <c:f>全体!$M$2:$M$305</c:f>
              <c:numCache>
                <c:formatCode>0</c:formatCode>
                <c:ptCount val="304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だいち!$L$2:$L$84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259.7560975609756</c:v>
                </c:pt>
                <c:pt idx="1">
                  <c:v>-597.46835443037969</c:v>
                </c:pt>
                <c:pt idx="2">
                  <c:v>-487.34177215189874</c:v>
                </c:pt>
                <c:pt idx="3">
                  <c:v>855.26315789473688</c:v>
                </c:pt>
                <c:pt idx="4">
                  <c:v>428.57142857142856</c:v>
                </c:pt>
                <c:pt idx="5">
                  <c:v>121.66666666666667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</c:v>
                </c:pt>
                <c:pt idx="1">
                  <c:v>38</c:v>
                </c:pt>
                <c:pt idx="2">
                  <c:v>46</c:v>
                </c:pt>
                <c:pt idx="3">
                  <c:v>42</c:v>
                </c:pt>
                <c:pt idx="4">
                  <c:v>36</c:v>
                </c:pt>
                <c:pt idx="5">
                  <c:v>25</c:v>
                </c:pt>
                <c:pt idx="6">
                  <c:v>8</c:v>
                </c:pt>
                <c:pt idx="7">
                  <c:v>3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だいち!$M$2:$M$84</c:f>
              <c:numCache>
                <c:formatCode>0</c:formatCode>
                <c:ptCount val="83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1743.9024390243903</c:v>
                </c:pt>
                <c:pt idx="1">
                  <c:v>-169.23076923076923</c:v>
                </c:pt>
                <c:pt idx="2">
                  <c:v>-464.10256410256409</c:v>
                </c:pt>
                <c:pt idx="3">
                  <c:v>-286.84210526315792</c:v>
                </c:pt>
                <c:pt idx="4">
                  <c:v>-31.428571428571427</c:v>
                </c:pt>
                <c:pt idx="5">
                  <c:v>-913.79310344827582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18</c:v>
                </c:pt>
                <c:pt idx="3">
                  <c:v>20</c:v>
                </c:pt>
                <c:pt idx="4">
                  <c:v>17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れんたろう!$M$2:$M$43</c:f>
              <c:numCache>
                <c:formatCode>0</c:formatCode>
                <c:ptCount val="42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たかの!$L$2:$L$41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233.33333333333334</c:v>
                </c:pt>
                <c:pt idx="1">
                  <c:v>-864.10256410256409</c:v>
                </c:pt>
                <c:pt idx="2">
                  <c:v>1144.7368421052631</c:v>
                </c:pt>
                <c:pt idx="3">
                  <c:v>-673.68421052631584</c:v>
                </c:pt>
                <c:pt idx="4">
                  <c:v>-871.0526315789474</c:v>
                </c:pt>
                <c:pt idx="5">
                  <c:v>674.19354838709683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13</c:v>
                </c:pt>
                <c:pt idx="1">
                  <c:v>24</c:v>
                </c:pt>
                <c:pt idx="2">
                  <c:v>21</c:v>
                </c:pt>
                <c:pt idx="3">
                  <c:v>19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たかの!$M$2:$M$41</c:f>
              <c:numCache>
                <c:formatCode>0</c:formatCode>
                <c:ptCount val="40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176</c:v>
                </c:pt>
                <c:pt idx="1">
                  <c:v>220</c:v>
                </c:pt>
                <c:pt idx="2">
                  <c:v>-87.5</c:v>
                </c:pt>
                <c:pt idx="3">
                  <c:v>-1942.8571428571429</c:v>
                </c:pt>
                <c:pt idx="4">
                  <c:v>2045</c:v>
                </c:pt>
                <c:pt idx="5">
                  <c:v>-341.1764705882353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9</c:v>
                </c:pt>
                <c:pt idx="2">
                  <c:v>13</c:v>
                </c:pt>
                <c:pt idx="3">
                  <c:v>16</c:v>
                </c:pt>
                <c:pt idx="4">
                  <c:v>6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まっつん!$M$2:$M$27</c:f>
              <c:numCache>
                <c:formatCode>0</c:formatCode>
                <c:ptCount val="26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いちかわ!$L$2:$L$39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-8.1081081081081088</c:v>
                </c:pt>
                <c:pt idx="1">
                  <c:v>1072.9729729729729</c:v>
                </c:pt>
                <c:pt idx="2">
                  <c:v>1364.8648648648648</c:v>
                </c:pt>
                <c:pt idx="3">
                  <c:v>-885.29411764705878</c:v>
                </c:pt>
                <c:pt idx="4">
                  <c:v>-1010</c:v>
                </c:pt>
                <c:pt idx="5">
                  <c:v>321.42857142857144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21</c:v>
                </c:pt>
                <c:pt idx="2">
                  <c:v>17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いちかわ!$M$2:$M$39</c:f>
              <c:numCache>
                <c:formatCode>0</c:formatCode>
                <c:ptCount val="38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ただ!$L$2:$L$45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-158.13953488372093</c:v>
                </c:pt>
                <c:pt idx="1">
                  <c:v>850</c:v>
                </c:pt>
                <c:pt idx="2">
                  <c:v>58.536585365853661</c:v>
                </c:pt>
                <c:pt idx="3">
                  <c:v>2318.4210526315787</c:v>
                </c:pt>
                <c:pt idx="4">
                  <c:v>808.57142857142856</c:v>
                </c:pt>
                <c:pt idx="5">
                  <c:v>79.310344827586206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</c:v>
                </c:pt>
                <c:pt idx="1">
                  <c:v>30</c:v>
                </c:pt>
                <c:pt idx="2">
                  <c:v>27</c:v>
                </c:pt>
                <c:pt idx="3">
                  <c:v>18</c:v>
                </c:pt>
                <c:pt idx="4">
                  <c:v>19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ただ!$M$2:$M$45</c:f>
              <c:numCache>
                <c:formatCode>0</c:formatCode>
                <c:ptCount val="44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たか2!$B$3:$B$21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たか2!$C$3:$C$21</c:f>
              <c:numCache>
                <c:formatCode>\+0.0;\-0.0;\±0</c:formatCode>
                <c:ptCount val="19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  <c:pt idx="15">
                  <c:v>-9.6399999999999988</c:v>
                </c:pt>
                <c:pt idx="16">
                  <c:v>-9.2624999999999993</c:v>
                </c:pt>
                <c:pt idx="17">
                  <c:v>-8.8235294117647065</c:v>
                </c:pt>
                <c:pt idx="18">
                  <c:v>-10.016666666666667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80102122245547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たか2!$D$3:$D$21</c:f>
              <c:numCache>
                <c:formatCode>0.00\ "位"</c:formatCode>
                <c:ptCount val="19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2.1764705882352939</c:v>
                </c:pt>
                <c:pt idx="18">
                  <c:v>2.2222222222222223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699669966996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たか2!$E$3:$E$21</c:f>
              <c:numCache>
                <c:formatCode>0.0%</c:formatCode>
                <c:ptCount val="1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63366336633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たか2!$F$3:$F$21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たか2!$G$3:$G$21</c:f>
              <c:numCache>
                <c:formatCode>0.0%</c:formatCode>
                <c:ptCount val="19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0.22900763358778625</c:v>
                </c:pt>
                <c:pt idx="18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165884194053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たか2!$H$3:$H$21</c:f>
              <c:numCache>
                <c:formatCode>0.0%</c:formatCode>
                <c:ptCount val="19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  <c:pt idx="15">
                  <c:v>0.23478260869565218</c:v>
                </c:pt>
                <c:pt idx="16">
                  <c:v>0.21774193548387097</c:v>
                </c:pt>
                <c:pt idx="17">
                  <c:v>0.21374045801526717</c:v>
                </c:pt>
                <c:pt idx="18">
                  <c:v>0.20714285714285716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14553990610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たか2!$I$3:$I$21</c:f>
              <c:numCache>
                <c:formatCode>0</c:formatCode>
                <c:ptCount val="19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  <c:pt idx="15">
                  <c:v>7796</c:v>
                </c:pt>
                <c:pt idx="16">
                  <c:v>7367.8571428571431</c:v>
                </c:pt>
                <c:pt idx="17">
                  <c:v>7183.333333333333</c:v>
                </c:pt>
                <c:pt idx="18">
                  <c:v>7183.333333333333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97.09379128137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たか2!$J$3:$J$21</c:f>
              <c:numCache>
                <c:formatCode>0</c:formatCode>
                <c:ptCount val="19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  <c:pt idx="15">
                  <c:v>-7988.8888888888887</c:v>
                </c:pt>
                <c:pt idx="16">
                  <c:v>-7988.8888888888887</c:v>
                </c:pt>
                <c:pt idx="17">
                  <c:v>-8132.1428571428569</c:v>
                </c:pt>
                <c:pt idx="18">
                  <c:v>-7886.2068965517237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500.71942446043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たか2!$K$3:$K$21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250825082508250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たか2!$L$3:$L$21</c:f>
              <c:numCache>
                <c:formatCode>0.0%</c:formatCode>
                <c:ptCount val="19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  <c:pt idx="15">
                  <c:v>0.23478260869565218</c:v>
                </c:pt>
                <c:pt idx="16">
                  <c:v>0.23387096774193547</c:v>
                </c:pt>
                <c:pt idx="17">
                  <c:v>0.22900763358778625</c:v>
                </c:pt>
                <c:pt idx="18">
                  <c:v>0.22857142857142856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959311424100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たか2!$M$3:$M$21</c:f>
              <c:numCache>
                <c:formatCode>0.0%</c:formatCode>
                <c:ptCount val="19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  <c:pt idx="15">
                  <c:v>0.2</c:v>
                </c:pt>
                <c:pt idx="16">
                  <c:v>0.18548387096774194</c:v>
                </c:pt>
                <c:pt idx="17">
                  <c:v>0.17557251908396945</c:v>
                </c:pt>
                <c:pt idx="18">
                  <c:v>0.17142857142857143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56807511737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たか2!$N$3:$N$21</c:f>
              <c:numCache>
                <c:formatCode>0.0%</c:formatCode>
                <c:ptCount val="19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  <c:pt idx="15">
                  <c:v>0.44444444444444442</c:v>
                </c:pt>
                <c:pt idx="16">
                  <c:v>0.48275862068965519</c:v>
                </c:pt>
                <c:pt idx="17">
                  <c:v>0.46666666666666667</c:v>
                </c:pt>
                <c:pt idx="18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1739130434782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たか2!$O$3:$O$21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  <c:pt idx="15">
                  <c:v>0.30434782608695654</c:v>
                </c:pt>
                <c:pt idx="16">
                  <c:v>0.30434782608695654</c:v>
                </c:pt>
                <c:pt idx="17">
                  <c:v>0.30434782608695654</c:v>
                </c:pt>
                <c:pt idx="18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760469011725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たか2!$P$3:$P$21</c:f>
              <c:numCache>
                <c:formatCode>0.0%</c:formatCode>
                <c:ptCount val="19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  <c:pt idx="15">
                  <c:v>0.44</c:v>
                </c:pt>
                <c:pt idx="16">
                  <c:v>0.42857142857142855</c:v>
                </c:pt>
                <c:pt idx="17">
                  <c:v>0.43333333333333335</c:v>
                </c:pt>
                <c:pt idx="18">
                  <c:v>0.43333333333333335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536327608982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6F1C41-4005-4138-B979-BEE921299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03AAE9-CC24-43F8-BBEA-9294C2E09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857DE7-115F-486D-B652-7DB462F08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ED26AEE-E68A-4AFB-8E3F-F0DC132BBA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5EABB1-898A-4F5B-894E-20ABABA24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A18146-D464-4896-91F3-7D8C7A53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1F4810-C1A9-4BEF-B3B8-3E7E8F1E4D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B457DB4-8E3D-48E7-90E9-4D76FBDAC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9DAAB2-FB5A-4297-BDC2-3DB6A956E1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709991-606D-4947-ADDB-9A1B86C955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F9BFF3-D1A2-41DC-B144-A838B408A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A24BE80-6619-4B35-A980-BF0569D1EC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6C9C38-9FA3-4494-8B74-EB097F819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60A44C-E12E-435E-A59F-DA102B569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8F813E6-1EA7-4D07-B3EC-98374E2F06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562D1BE-253F-4794-9A9B-4A8511F58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EA6DA2-3575-4ABA-8A67-ED911D217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4A9C57-8A6D-4935-B644-3FF3F45B7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2214D7-69F1-4BBE-867F-A36CF6B59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4262565-1F47-4F9B-B595-B74078B6E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1C7D16-93CF-4971-BAD5-CA955B2CE5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257619-D854-496B-8C8F-D79E689CF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657A03-2A1B-4703-A9CD-8A314470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40172A3-64FE-4871-9728-07334503D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CC1E11-4481-45EB-B226-453D597EBC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6CE6E9-9D8B-4ACF-ADC9-816902D4C9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E68912-4750-4467-B8B2-74CFCB22B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CC0D09-32E0-40E8-8281-87B60335FF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490572-5D11-46AF-90BF-D492F5CEBC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6F699C-01FE-4D6E-AD79-388421A66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8990A36-EC39-4C33-A55C-2E3D0A5C7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139AD5B-0C46-49A0-85DE-60381E22B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08A6A9-A635-45D4-92A1-42820A2DD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46CF20-47A2-4A94-88D3-AA80F8EE75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472527-742B-4AD9-83BE-CADF4DED8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2327C69-01AF-4829-BB0D-8683FBE75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9969A9-D55E-4AE3-AC40-524C73F47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4D08E6-36B6-4F81-A7B2-676CCCB16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CC6470-E163-43C5-B015-B4D4E8414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FAEB89F-9134-4856-9968-0B5BEE6C5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25BAB5-A679-404F-B0F7-098E6AD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42602F-531A-40F1-9404-0CA43B9057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19005B-B6B7-42A2-B071-5ADE44A186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B40581-475D-45B5-8D2A-43C9568A2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">
      <c r="A34" s="2" t="s">
        <v>250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251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252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253</v>
      </c>
      <c r="B37" s="3">
        <v>44157.735578703701</v>
      </c>
      <c r="C37" s="2" t="s">
        <v>127</v>
      </c>
      <c r="D37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82</v>
      </c>
      <c r="C2" s="120">
        <v>1842.3339395535957</v>
      </c>
    </row>
    <row r="3" spans="1:3" x14ac:dyDescent="0.4">
      <c r="A3" t="s">
        <v>163</v>
      </c>
      <c r="B3" s="120">
        <v>41</v>
      </c>
      <c r="C3" s="120">
        <v>1653.1699313523677</v>
      </c>
    </row>
    <row r="4" spans="1:3" x14ac:dyDescent="0.4">
      <c r="A4" t="s">
        <v>139</v>
      </c>
      <c r="B4" s="120">
        <v>303</v>
      </c>
      <c r="C4" s="120">
        <v>1594.5463045050694</v>
      </c>
    </row>
    <row r="5" spans="1:3" x14ac:dyDescent="0.4">
      <c r="A5" t="s">
        <v>190</v>
      </c>
      <c r="B5" s="120">
        <v>25</v>
      </c>
      <c r="C5" s="120">
        <v>1524.3778689305989</v>
      </c>
    </row>
    <row r="6" spans="1:3" x14ac:dyDescent="0.4">
      <c r="A6" t="s">
        <v>192</v>
      </c>
      <c r="B6" s="120">
        <v>43</v>
      </c>
      <c r="C6" s="120">
        <v>1517.1288342047803</v>
      </c>
    </row>
    <row r="7" spans="1:3" x14ac:dyDescent="0.4">
      <c r="A7" t="s">
        <v>211</v>
      </c>
      <c r="B7" s="120">
        <v>37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39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208</v>
      </c>
      <c r="B2" s="143">
        <v>0.91953230956144161</v>
      </c>
      <c r="C2" s="144"/>
      <c r="D2" s="143">
        <v>0.39941727809488803</v>
      </c>
      <c r="E2" s="144"/>
      <c r="F2" s="143">
        <v>0.37002448719652553</v>
      </c>
      <c r="G2" s="144"/>
      <c r="H2" s="145"/>
      <c r="I2" s="146"/>
      <c r="J2" s="143">
        <v>-8.0838411291377629E-2</v>
      </c>
      <c r="K2" s="144"/>
      <c r="L2" s="143">
        <v>-0.2877262695168597</v>
      </c>
      <c r="M2" s="144"/>
      <c r="N2" s="143">
        <v>0.21368294808083907</v>
      </c>
      <c r="O2" s="144"/>
      <c r="P2" s="143">
        <v>0.43009545146069311</v>
      </c>
      <c r="Q2" s="144"/>
      <c r="R2" s="143">
        <v>-0.11041959261791758</v>
      </c>
      <c r="S2" s="144"/>
      <c r="T2" s="143">
        <v>0.23361836401487202</v>
      </c>
      <c r="U2" s="144"/>
      <c r="V2" s="143">
        <v>5.9924526850915261E-2</v>
      </c>
      <c r="W2" s="144"/>
      <c r="X2" s="143">
        <v>0.31763398741075427</v>
      </c>
      <c r="Y2" s="144"/>
      <c r="Z2" s="143">
        <v>0.20682857956269285</v>
      </c>
      <c r="AA2" s="144"/>
      <c r="AB2" s="143">
        <v>0.27058669954109993</v>
      </c>
      <c r="AC2" s="144"/>
      <c r="AD2" s="143">
        <v>-0.17085043131246735</v>
      </c>
      <c r="AE2" s="144"/>
      <c r="AF2" s="143">
        <v>0.48349765370163883</v>
      </c>
      <c r="AG2" s="144"/>
      <c r="AH2" s="143">
        <v>-0.12580408685356184</v>
      </c>
      <c r="AI2" s="144"/>
      <c r="AJ2" s="143">
        <v>0.84609538285742092</v>
      </c>
      <c r="AK2" s="144"/>
    </row>
    <row r="3" spans="1:37" x14ac:dyDescent="0.4">
      <c r="A3" s="38">
        <v>1</v>
      </c>
      <c r="B3" s="41" t="s">
        <v>139</v>
      </c>
      <c r="C3" s="113">
        <v>101</v>
      </c>
      <c r="D3" s="39" t="s">
        <v>192</v>
      </c>
      <c r="E3" s="40">
        <v>234.09999999999994</v>
      </c>
      <c r="F3" s="41" t="s">
        <v>192</v>
      </c>
      <c r="G3" s="60">
        <v>5.4441860465116267</v>
      </c>
      <c r="H3" s="41" t="s">
        <v>126</v>
      </c>
      <c r="I3" s="45">
        <v>1778.0357725598371</v>
      </c>
      <c r="J3" s="41" t="s">
        <v>192</v>
      </c>
      <c r="K3" s="42">
        <v>1.7906976744186047</v>
      </c>
      <c r="L3" s="41" t="s">
        <v>195</v>
      </c>
      <c r="M3" s="43">
        <v>0.5</v>
      </c>
      <c r="N3" s="41" t="s">
        <v>190</v>
      </c>
      <c r="O3" s="43">
        <v>0.2</v>
      </c>
      <c r="P3" s="41" t="s">
        <v>192</v>
      </c>
      <c r="Q3" s="44">
        <v>0.32887700534759357</v>
      </c>
      <c r="R3" s="41" t="s">
        <v>190</v>
      </c>
      <c r="S3" s="44">
        <v>0.10679611650485436</v>
      </c>
      <c r="T3" s="41" t="s">
        <v>221</v>
      </c>
      <c r="U3" s="45">
        <v>10925</v>
      </c>
      <c r="V3" s="41" t="s">
        <v>211</v>
      </c>
      <c r="W3" s="45">
        <v>-6369.7674418604647</v>
      </c>
      <c r="X3" s="41" t="s">
        <v>193</v>
      </c>
      <c r="Y3" s="43">
        <v>0</v>
      </c>
      <c r="Z3" s="41" t="s">
        <v>189</v>
      </c>
      <c r="AA3" s="44">
        <v>0.26470588235294118</v>
      </c>
      <c r="AB3" s="41" t="s">
        <v>189</v>
      </c>
      <c r="AC3" s="44">
        <v>0.30294117647058821</v>
      </c>
      <c r="AD3" s="41" t="s">
        <v>195</v>
      </c>
      <c r="AE3" s="44">
        <v>0.69565217391304346</v>
      </c>
      <c r="AF3" s="41" t="s">
        <v>126</v>
      </c>
      <c r="AG3" s="44">
        <v>0.48965517241379308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82</v>
      </c>
      <c r="D4" s="47" t="s">
        <v>126</v>
      </c>
      <c r="E4" s="48">
        <v>157.09999999999997</v>
      </c>
      <c r="F4" s="49" t="s">
        <v>126</v>
      </c>
      <c r="G4" s="61">
        <v>1.9158536585365848</v>
      </c>
      <c r="H4" s="49" t="s">
        <v>163</v>
      </c>
      <c r="I4" s="53">
        <v>1623.0600080708391</v>
      </c>
      <c r="J4" s="49" t="s">
        <v>195</v>
      </c>
      <c r="K4" s="50">
        <v>1.9166666666666667</v>
      </c>
      <c r="L4" s="49" t="s">
        <v>192</v>
      </c>
      <c r="M4" s="51">
        <v>0.44186046511627908</v>
      </c>
      <c r="N4" s="49" t="s">
        <v>192</v>
      </c>
      <c r="O4" s="51">
        <v>0.23255813953488372</v>
      </c>
      <c r="P4" s="49" t="s">
        <v>126</v>
      </c>
      <c r="Q4" s="52">
        <v>0.32452276064610869</v>
      </c>
      <c r="R4" s="49" t="s">
        <v>192</v>
      </c>
      <c r="S4" s="52">
        <v>0.12032085561497326</v>
      </c>
      <c r="T4" s="49" t="s">
        <v>163</v>
      </c>
      <c r="U4" s="53">
        <v>8634.0425531914898</v>
      </c>
      <c r="V4" s="49" t="s">
        <v>190</v>
      </c>
      <c r="W4" s="53">
        <v>-6495.454545454545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190</v>
      </c>
      <c r="AE4" s="52">
        <v>0.57446808510638303</v>
      </c>
      <c r="AF4" s="49" t="s">
        <v>211</v>
      </c>
      <c r="AG4" s="52">
        <v>0.47761194029850745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192</v>
      </c>
      <c r="C5" s="114">
        <v>43</v>
      </c>
      <c r="D5" s="47" t="s">
        <v>189</v>
      </c>
      <c r="E5" s="48">
        <v>53.800000000000004</v>
      </c>
      <c r="F5" s="49" t="s">
        <v>189</v>
      </c>
      <c r="G5" s="61">
        <v>1.3794871794871797</v>
      </c>
      <c r="H5" s="49" t="s">
        <v>139</v>
      </c>
      <c r="I5" s="53">
        <v>1598.702570514338</v>
      </c>
      <c r="J5" s="49" t="s">
        <v>189</v>
      </c>
      <c r="K5" s="50">
        <v>1.9487179487179487</v>
      </c>
      <c r="L5" s="49" t="s">
        <v>189</v>
      </c>
      <c r="M5" s="51">
        <v>0.38461538461538464</v>
      </c>
      <c r="N5" s="49" t="s">
        <v>189</v>
      </c>
      <c r="O5" s="51">
        <v>0.33333333333333331</v>
      </c>
      <c r="P5" s="49" t="s">
        <v>189</v>
      </c>
      <c r="Q5" s="52">
        <v>0.30294117647058821</v>
      </c>
      <c r="R5" s="49" t="s">
        <v>211</v>
      </c>
      <c r="S5" s="52">
        <v>0.13915857605177995</v>
      </c>
      <c r="T5" s="49" t="s">
        <v>195</v>
      </c>
      <c r="U5" s="53">
        <v>8606.8965517241377</v>
      </c>
      <c r="V5" s="49" t="s">
        <v>126</v>
      </c>
      <c r="W5" s="53">
        <v>-7146.4</v>
      </c>
      <c r="X5" s="49" t="s">
        <v>189</v>
      </c>
      <c r="Y5" s="51">
        <v>5.128205128205128E-2</v>
      </c>
      <c r="Z5" s="49" t="s">
        <v>163</v>
      </c>
      <c r="AA5" s="52">
        <v>0.25428571428571428</v>
      </c>
      <c r="AB5" s="49" t="s">
        <v>221</v>
      </c>
      <c r="AC5" s="52">
        <v>0.27777777777777779</v>
      </c>
      <c r="AD5" s="49" t="s">
        <v>126</v>
      </c>
      <c r="AE5" s="52">
        <v>0.5696969696969697</v>
      </c>
      <c r="AF5" s="49" t="s">
        <v>192</v>
      </c>
      <c r="AG5" s="52">
        <v>0.42</v>
      </c>
      <c r="AH5" s="49" t="s">
        <v>126</v>
      </c>
      <c r="AI5" s="52">
        <v>0.47058823529411764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163</v>
      </c>
      <c r="C6" s="114">
        <v>41</v>
      </c>
      <c r="D6" s="47" t="s">
        <v>211</v>
      </c>
      <c r="E6" s="48">
        <v>17.09999999999998</v>
      </c>
      <c r="F6" s="49" t="s">
        <v>211</v>
      </c>
      <c r="G6" s="61">
        <v>0.4621621621621616</v>
      </c>
      <c r="H6" s="49" t="s">
        <v>192</v>
      </c>
      <c r="I6" s="53">
        <v>1573.2920192249817</v>
      </c>
      <c r="J6" s="49" t="s">
        <v>190</v>
      </c>
      <c r="K6" s="50">
        <v>1.96</v>
      </c>
      <c r="L6" s="49" t="s">
        <v>211</v>
      </c>
      <c r="M6" s="51">
        <v>0.35135135135135137</v>
      </c>
      <c r="N6" s="49" t="s">
        <v>139</v>
      </c>
      <c r="O6" s="51">
        <v>0.33333333333333331</v>
      </c>
      <c r="P6" s="49" t="s">
        <v>211</v>
      </c>
      <c r="Q6" s="52">
        <v>0.29773462783171523</v>
      </c>
      <c r="R6" s="49" t="s">
        <v>139</v>
      </c>
      <c r="S6" s="52">
        <v>0.16314553990610328</v>
      </c>
      <c r="T6" s="49" t="s">
        <v>126</v>
      </c>
      <c r="U6" s="53">
        <v>8244.7963800904981</v>
      </c>
      <c r="V6" s="49" t="s">
        <v>139</v>
      </c>
      <c r="W6" s="53">
        <v>-7500.7194244604316</v>
      </c>
      <c r="X6" s="49" t="s">
        <v>211</v>
      </c>
      <c r="Y6" s="51">
        <v>5.4054054054054057E-2</v>
      </c>
      <c r="Z6" s="49" t="s">
        <v>126</v>
      </c>
      <c r="AA6" s="52">
        <v>0.24229074889867841</v>
      </c>
      <c r="AB6" s="49" t="s">
        <v>192</v>
      </c>
      <c r="AC6" s="52">
        <v>0.26737967914438504</v>
      </c>
      <c r="AD6" s="49" t="s">
        <v>211</v>
      </c>
      <c r="AE6" s="52">
        <v>0.55555555555555558</v>
      </c>
      <c r="AF6" s="49" t="s">
        <v>139</v>
      </c>
      <c r="AG6" s="52">
        <v>0.41876046901172531</v>
      </c>
      <c r="AH6" s="49" t="s">
        <v>189</v>
      </c>
      <c r="AI6" s="52">
        <v>0.46601941747572817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189</v>
      </c>
      <c r="C7" s="114">
        <v>39</v>
      </c>
      <c r="D7" s="47" t="s">
        <v>139</v>
      </c>
      <c r="E7" s="48">
        <v>2.8421709430404007E-14</v>
      </c>
      <c r="F7" s="49" t="s">
        <v>139</v>
      </c>
      <c r="G7" s="61">
        <v>9.3801021222455471E-17</v>
      </c>
      <c r="H7" s="49" t="s">
        <v>190</v>
      </c>
      <c r="I7" s="53">
        <v>1531.0608147403154</v>
      </c>
      <c r="J7" s="49" t="s">
        <v>139</v>
      </c>
      <c r="K7" s="50">
        <v>1.9966996699669968</v>
      </c>
      <c r="L7" s="49" t="s">
        <v>139</v>
      </c>
      <c r="M7" s="51">
        <v>0.33663366336633666</v>
      </c>
      <c r="N7" s="49" t="s">
        <v>211</v>
      </c>
      <c r="O7" s="51">
        <v>0.35135135135135137</v>
      </c>
      <c r="P7" s="49" t="s">
        <v>139</v>
      </c>
      <c r="Q7" s="52">
        <v>0.29616588419405321</v>
      </c>
      <c r="R7" s="49" t="s">
        <v>195</v>
      </c>
      <c r="S7" s="52">
        <v>0.1650485436893204</v>
      </c>
      <c r="T7" s="49" t="s">
        <v>193</v>
      </c>
      <c r="U7" s="53">
        <v>8212.5</v>
      </c>
      <c r="V7" s="49" t="s">
        <v>195</v>
      </c>
      <c r="W7" s="53">
        <v>-7629.411764705882</v>
      </c>
      <c r="X7" s="49" t="s">
        <v>126</v>
      </c>
      <c r="Y7" s="51">
        <v>7.3170731707317069E-2</v>
      </c>
      <c r="Z7" s="49" t="s">
        <v>139</v>
      </c>
      <c r="AA7" s="52">
        <v>0.23395931142410015</v>
      </c>
      <c r="AB7" s="49" t="s">
        <v>163</v>
      </c>
      <c r="AC7" s="52">
        <v>0.24</v>
      </c>
      <c r="AD7" s="49" t="s">
        <v>192</v>
      </c>
      <c r="AE7" s="52">
        <v>0.52631578947368418</v>
      </c>
      <c r="AF7" s="49" t="s">
        <v>189</v>
      </c>
      <c r="AG7" s="52">
        <v>0.40776699029126212</v>
      </c>
      <c r="AH7" s="49" t="s">
        <v>163</v>
      </c>
      <c r="AI7" s="52">
        <v>0.45744680851063829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211</v>
      </c>
      <c r="C8" s="114">
        <v>37</v>
      </c>
      <c r="D8" s="47" t="s">
        <v>221</v>
      </c>
      <c r="E8" s="48">
        <v>-13.5</v>
      </c>
      <c r="F8" s="49" t="s">
        <v>190</v>
      </c>
      <c r="G8" s="61">
        <v>-1.076000000000001</v>
      </c>
      <c r="H8" s="49" t="s">
        <v>211</v>
      </c>
      <c r="I8" s="53">
        <v>1506.4237748633886</v>
      </c>
      <c r="J8" s="49" t="s">
        <v>211</v>
      </c>
      <c r="K8" s="50">
        <v>2</v>
      </c>
      <c r="L8" s="49" t="s">
        <v>126</v>
      </c>
      <c r="M8" s="51">
        <v>0.32926829268292684</v>
      </c>
      <c r="N8" s="49" t="s">
        <v>126</v>
      </c>
      <c r="O8" s="51">
        <v>0.35365853658536583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139</v>
      </c>
      <c r="U8" s="53">
        <v>7997.0937912813743</v>
      </c>
      <c r="V8" s="49" t="s">
        <v>189</v>
      </c>
      <c r="W8" s="53">
        <v>-7798.3050847457625</v>
      </c>
      <c r="X8" s="49" t="s">
        <v>190</v>
      </c>
      <c r="Y8" s="51">
        <v>0.08</v>
      </c>
      <c r="Z8" s="49" t="s">
        <v>216</v>
      </c>
      <c r="AA8" s="52">
        <v>0.22857142857142856</v>
      </c>
      <c r="AB8" s="49" t="s">
        <v>139</v>
      </c>
      <c r="AC8" s="52">
        <v>0.2335680751173709</v>
      </c>
      <c r="AD8" s="49" t="s">
        <v>139</v>
      </c>
      <c r="AE8" s="52">
        <v>0.52173913043478259</v>
      </c>
      <c r="AF8" s="49" t="s">
        <v>193</v>
      </c>
      <c r="AG8" s="52">
        <v>0.4</v>
      </c>
      <c r="AH8" s="49" t="s">
        <v>139</v>
      </c>
      <c r="AI8" s="52">
        <v>0.44253632760898282</v>
      </c>
      <c r="AJ8" s="49" t="s">
        <v>211</v>
      </c>
      <c r="AK8" s="56">
        <v>80600</v>
      </c>
    </row>
    <row r="9" spans="1:37" x14ac:dyDescent="0.4">
      <c r="A9" s="46">
        <v>7</v>
      </c>
      <c r="B9" s="49" t="s">
        <v>190</v>
      </c>
      <c r="C9" s="114">
        <v>25</v>
      </c>
      <c r="D9" s="47" t="s">
        <v>190</v>
      </c>
      <c r="E9" s="48">
        <v>-26.900000000000023</v>
      </c>
      <c r="F9" s="49" t="s">
        <v>195</v>
      </c>
      <c r="G9" s="61">
        <v>-3.2916666666666665</v>
      </c>
      <c r="H9" s="49" t="s">
        <v>221</v>
      </c>
      <c r="I9" s="53">
        <v>1497.379788</v>
      </c>
      <c r="J9" s="49" t="s">
        <v>126</v>
      </c>
      <c r="K9" s="50">
        <v>2.024390243902439</v>
      </c>
      <c r="L9" s="49" t="s">
        <v>163</v>
      </c>
      <c r="M9" s="51">
        <v>0.26829268292682928</v>
      </c>
      <c r="N9" s="49" t="s">
        <v>163</v>
      </c>
      <c r="O9" s="51">
        <v>0.36585365853658536</v>
      </c>
      <c r="P9" s="49" t="s">
        <v>163</v>
      </c>
      <c r="Q9" s="52">
        <v>0.26857142857142857</v>
      </c>
      <c r="R9" s="49" t="s">
        <v>189</v>
      </c>
      <c r="S9" s="52">
        <v>0.17352941176470588</v>
      </c>
      <c r="T9" s="49" t="s">
        <v>190</v>
      </c>
      <c r="U9" s="53">
        <v>7824.5283018867922</v>
      </c>
      <c r="V9" s="49" t="s">
        <v>216</v>
      </c>
      <c r="W9" s="53">
        <v>-7886.2068965517237</v>
      </c>
      <c r="X9" s="49" t="s">
        <v>139</v>
      </c>
      <c r="Y9" s="51">
        <v>8.2508250825082508E-2</v>
      </c>
      <c r="Z9" s="49" t="s">
        <v>190</v>
      </c>
      <c r="AA9" s="52">
        <v>0.22815533980582525</v>
      </c>
      <c r="AB9" s="49" t="s">
        <v>190</v>
      </c>
      <c r="AC9" s="52">
        <v>0.21844660194174756</v>
      </c>
      <c r="AD9" s="49" t="s">
        <v>189</v>
      </c>
      <c r="AE9" s="52">
        <v>0.46666666666666667</v>
      </c>
      <c r="AF9" s="49" t="s">
        <v>221</v>
      </c>
      <c r="AG9" s="52">
        <v>0.4</v>
      </c>
      <c r="AH9" s="49" t="s">
        <v>216</v>
      </c>
      <c r="AI9" s="52">
        <v>0.43333333333333335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195</v>
      </c>
      <c r="E10" s="48">
        <v>-39.5</v>
      </c>
      <c r="F10" s="49" t="s">
        <v>163</v>
      </c>
      <c r="G10" s="61">
        <v>-3.6634146341463421</v>
      </c>
      <c r="H10" s="49" t="s">
        <v>216</v>
      </c>
      <c r="I10" s="53">
        <v>1475.2783888604056</v>
      </c>
      <c r="J10" s="49" t="s">
        <v>163</v>
      </c>
      <c r="K10" s="50">
        <v>2.0975609756097562</v>
      </c>
      <c r="L10" s="49" t="s">
        <v>193</v>
      </c>
      <c r="M10" s="51">
        <v>0.25</v>
      </c>
      <c r="N10" s="49" t="s">
        <v>195</v>
      </c>
      <c r="O10" s="51">
        <v>0.41666666666666669</v>
      </c>
      <c r="P10" s="49" t="s">
        <v>190</v>
      </c>
      <c r="Q10" s="52">
        <v>0.25728155339805825</v>
      </c>
      <c r="R10" s="49" t="s">
        <v>126</v>
      </c>
      <c r="S10" s="52">
        <v>0.18355359765051396</v>
      </c>
      <c r="T10" s="49" t="s">
        <v>211</v>
      </c>
      <c r="U10" s="53">
        <v>7730.434782608696</v>
      </c>
      <c r="V10" s="49" t="s">
        <v>192</v>
      </c>
      <c r="W10" s="53">
        <v>-8017.7777777777774</v>
      </c>
      <c r="X10" s="49" t="s">
        <v>192</v>
      </c>
      <c r="Y10" s="51">
        <v>9.3023255813953487E-2</v>
      </c>
      <c r="Z10" s="49" t="s">
        <v>195</v>
      </c>
      <c r="AA10" s="52">
        <v>0.22330097087378642</v>
      </c>
      <c r="AB10" s="49" t="s">
        <v>211</v>
      </c>
      <c r="AC10" s="52">
        <v>0.2168284789644013</v>
      </c>
      <c r="AD10" s="49" t="s">
        <v>163</v>
      </c>
      <c r="AE10" s="52">
        <v>0.4606741573033708</v>
      </c>
      <c r="AF10" s="49" t="s">
        <v>190</v>
      </c>
      <c r="AG10" s="52">
        <v>0.37777777777777777</v>
      </c>
      <c r="AH10" s="49" t="s">
        <v>192</v>
      </c>
      <c r="AI10" s="52">
        <v>0.41463414634146339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1475.0557740819513</v>
      </c>
      <c r="J11" s="49" t="s">
        <v>216</v>
      </c>
      <c r="K11" s="50">
        <v>2.2222222222222223</v>
      </c>
      <c r="L11" s="49" t="s">
        <v>190</v>
      </c>
      <c r="M11" s="51">
        <v>0.24</v>
      </c>
      <c r="N11" s="49" t="s">
        <v>216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0.18857142857142858</v>
      </c>
      <c r="T11" s="49" t="s">
        <v>189</v>
      </c>
      <c r="U11" s="53">
        <v>7652.4271844660198</v>
      </c>
      <c r="V11" s="49" t="s">
        <v>163</v>
      </c>
      <c r="W11" s="53">
        <v>-8066.666666666667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126</v>
      </c>
      <c r="AC11" s="52">
        <v>0.21292217327459617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211</v>
      </c>
      <c r="AI11" s="52">
        <v>0.41304347826086957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4</v>
      </c>
      <c r="D12" s="47" t="s">
        <v>163</v>
      </c>
      <c r="E12" s="48">
        <v>-150.20000000000002</v>
      </c>
      <c r="F12" s="49" t="s">
        <v>216</v>
      </c>
      <c r="G12" s="61">
        <v>-10.016666666666667</v>
      </c>
      <c r="H12" s="49" t="s">
        <v>195</v>
      </c>
      <c r="I12" s="53">
        <v>1396.3170423346389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192</v>
      </c>
      <c r="U12" s="53">
        <v>7573.1707317073169</v>
      </c>
      <c r="V12" s="49" t="s">
        <v>193</v>
      </c>
      <c r="W12" s="53">
        <v>-9387.5</v>
      </c>
      <c r="X12" s="49" t="s">
        <v>163</v>
      </c>
      <c r="Y12" s="51">
        <v>0.12195121951219512</v>
      </c>
      <c r="Z12" s="49" t="s">
        <v>211</v>
      </c>
      <c r="AA12" s="52">
        <v>0.20388349514563106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0.33333333333333331</v>
      </c>
      <c r="AH12" s="49" t="s">
        <v>190</v>
      </c>
      <c r="AI12" s="52">
        <v>0.30188679245283018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0.16666666666666666</v>
      </c>
      <c r="Z13" s="49" t="s">
        <v>192</v>
      </c>
      <c r="AA13" s="52">
        <v>0.20320855614973263</v>
      </c>
      <c r="AB13" s="49" t="s">
        <v>195</v>
      </c>
      <c r="AC13" s="52">
        <v>0.13592233009708737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193</v>
      </c>
      <c r="AI13" s="52">
        <v>0.25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0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303</v>
      </c>
      <c r="C2" s="134"/>
      <c r="E2" s="26" t="s">
        <v>66</v>
      </c>
      <c r="F2" s="23" t="s">
        <v>22</v>
      </c>
      <c r="G2" s="11">
        <v>587</v>
      </c>
      <c r="H2" s="87">
        <f>IF(B$20=0,0,G2/B$20)</f>
        <v>0.77542932628797889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-36.303630363036305</v>
      </c>
      <c r="Q2" s="76">
        <v>303</v>
      </c>
      <c r="R2" s="63">
        <v>-11000</v>
      </c>
    </row>
    <row r="3" spans="1:18" x14ac:dyDescent="0.4">
      <c r="A3" s="19" t="s">
        <v>8</v>
      </c>
      <c r="B3" s="135">
        <v>2556</v>
      </c>
      <c r="C3" s="136"/>
      <c r="E3" s="27" t="s">
        <v>72</v>
      </c>
      <c r="F3" s="24" t="s">
        <v>27</v>
      </c>
      <c r="G3" s="12">
        <v>449</v>
      </c>
      <c r="H3" s="88">
        <f>IF(B$20=0,0,G3/B$20)</f>
        <v>0.59313077939233816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34.013605442176868</v>
      </c>
      <c r="Q3" s="77">
        <v>294</v>
      </c>
      <c r="R3" s="64">
        <v>10000</v>
      </c>
    </row>
    <row r="4" spans="1:18" x14ac:dyDescent="0.4">
      <c r="A4" s="19" t="s">
        <v>6</v>
      </c>
      <c r="B4" s="137">
        <v>2.8421709430404007E-14</v>
      </c>
      <c r="C4" s="138"/>
      <c r="E4" s="27" t="s">
        <v>64</v>
      </c>
      <c r="F4" s="24" t="s">
        <v>20</v>
      </c>
      <c r="G4" s="12">
        <v>306</v>
      </c>
      <c r="H4" s="88">
        <f>IF(B$20=0,0,G4/B$20)</f>
        <v>0.40422721268163803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-20.408163265306122</v>
      </c>
      <c r="Q4" s="77">
        <v>294</v>
      </c>
      <c r="R4" s="64">
        <v>-6000</v>
      </c>
    </row>
    <row r="5" spans="1:18" x14ac:dyDescent="0.4">
      <c r="A5" s="19" t="s">
        <v>7</v>
      </c>
      <c r="B5" s="125">
        <f>IF(B$2=0,0,B$4/B$2)</f>
        <v>9.3801021222455471E-17</v>
      </c>
      <c r="C5" s="126"/>
      <c r="E5" s="27" t="s">
        <v>159</v>
      </c>
      <c r="F5" s="24" t="s">
        <v>160</v>
      </c>
      <c r="G5" s="12">
        <v>301</v>
      </c>
      <c r="H5" s="88">
        <f>IF(B$20=0,0,G5/B$20)</f>
        <v>0.39762219286657857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-3.5842293906810037</v>
      </c>
      <c r="Q5" s="77">
        <v>279</v>
      </c>
      <c r="R5" s="64">
        <v>-1000</v>
      </c>
    </row>
    <row r="6" spans="1:18" x14ac:dyDescent="0.4">
      <c r="A6" s="19" t="s">
        <v>196</v>
      </c>
      <c r="B6" s="129">
        <v>1598.702570514338</v>
      </c>
      <c r="C6" s="130"/>
      <c r="E6" s="27" t="s">
        <v>68</v>
      </c>
      <c r="F6" s="24" t="s">
        <v>12</v>
      </c>
      <c r="G6" s="12">
        <v>223</v>
      </c>
      <c r="H6" s="88">
        <f>IF(B$20=0,0,G6/B$20)</f>
        <v>0.29458388375165123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19.379844961240309</v>
      </c>
      <c r="Q6" s="77">
        <v>258</v>
      </c>
      <c r="R6" s="64">
        <v>5000</v>
      </c>
    </row>
    <row r="7" spans="1:18" x14ac:dyDescent="0.4">
      <c r="A7" s="19" t="s">
        <v>1</v>
      </c>
      <c r="B7" s="139">
        <f>IF(B$2=0,0,(B$8*1+B$9*2+B$10*3)/B$2)</f>
        <v>1.9966996699669968</v>
      </c>
      <c r="C7" s="140"/>
      <c r="E7" s="27" t="s">
        <v>67</v>
      </c>
      <c r="F7" s="24" t="s">
        <v>23</v>
      </c>
      <c r="G7" s="12">
        <v>161</v>
      </c>
      <c r="H7" s="88">
        <f>IF(B$20=0,0,G7/B$20)</f>
        <v>0.21268163804491413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13.513513513513514</v>
      </c>
      <c r="Q7" s="78">
        <v>222</v>
      </c>
      <c r="R7" s="65">
        <v>3000</v>
      </c>
    </row>
    <row r="8" spans="1:18" x14ac:dyDescent="0.4">
      <c r="A8" s="19" t="s">
        <v>2</v>
      </c>
      <c r="B8" s="12">
        <v>102</v>
      </c>
      <c r="C8" s="6">
        <f t="shared" ref="C8:C15" si="1">IF(B$2=0,0,B8/B$2)</f>
        <v>0.33663366336633666</v>
      </c>
      <c r="E8" s="27" t="s">
        <v>89</v>
      </c>
      <c r="F8" s="24" t="s">
        <v>44</v>
      </c>
      <c r="G8" s="12">
        <v>107</v>
      </c>
      <c r="H8" s="88">
        <f>IF(B$20=0,0,G8/B$20)</f>
        <v>0.14134742404227213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100</v>
      </c>
      <c r="C9" s="6">
        <f t="shared" si="1"/>
        <v>0.33003300330033003</v>
      </c>
      <c r="E9" s="27" t="s">
        <v>69</v>
      </c>
      <c r="F9" s="24" t="s">
        <v>24</v>
      </c>
      <c r="G9" s="12">
        <v>96</v>
      </c>
      <c r="H9" s="88">
        <f>IF(B$20=0,0,G9/B$20)</f>
        <v>0.12681638044914134</v>
      </c>
      <c r="I9" s="58">
        <v>3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101</v>
      </c>
      <c r="C10" s="7">
        <f t="shared" si="1"/>
        <v>0.33333333333333331</v>
      </c>
      <c r="E10" s="27" t="s">
        <v>70</v>
      </c>
      <c r="F10" s="24" t="s">
        <v>25</v>
      </c>
      <c r="G10" s="12">
        <v>80</v>
      </c>
      <c r="H10" s="88">
        <f>IF(B$20=0,0,G10/B$20)</f>
        <v>0.10568031704095113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3.015841584158415</v>
      </c>
      <c r="Q10" s="76">
        <v>101</v>
      </c>
      <c r="R10" s="67">
        <v>304.59999999999991</v>
      </c>
    </row>
    <row r="11" spans="1:18" x14ac:dyDescent="0.4">
      <c r="A11" s="20" t="s">
        <v>184</v>
      </c>
      <c r="B11" s="109">
        <f>IF(B8=0,0,C11/B8)</f>
        <v>34.417647058823526</v>
      </c>
      <c r="C11" s="110">
        <v>3510.5999999999995</v>
      </c>
      <c r="E11" s="27" t="s">
        <v>65</v>
      </c>
      <c r="F11" s="24" t="s">
        <v>21</v>
      </c>
      <c r="G11" s="12">
        <v>63</v>
      </c>
      <c r="H11" s="88">
        <f>IF(B$20=0,0,G11/B$20)</f>
        <v>8.3223249669749005E-2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-4.0366336633663362</v>
      </c>
      <c r="Q11" s="77">
        <v>101</v>
      </c>
      <c r="R11" s="68">
        <v>-407.69999999999993</v>
      </c>
    </row>
    <row r="12" spans="1:18" x14ac:dyDescent="0.4">
      <c r="A12" s="20" t="s">
        <v>185</v>
      </c>
      <c r="B12" s="109">
        <f>IF(B9=0,0,C12/B9)</f>
        <v>-0.97399999999999987</v>
      </c>
      <c r="C12" s="110">
        <v>-97.399999999999991</v>
      </c>
      <c r="E12" s="27" t="s">
        <v>71</v>
      </c>
      <c r="F12" s="24" t="s">
        <v>26</v>
      </c>
      <c r="G12" s="12">
        <v>45</v>
      </c>
      <c r="H12" s="88">
        <f>IF(B$20=0,0,G12/B$20)</f>
        <v>5.9445178335535004E-2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1.0207920792079208</v>
      </c>
      <c r="Q12" s="78">
        <v>101</v>
      </c>
      <c r="R12" s="69">
        <v>103.1</v>
      </c>
    </row>
    <row r="13" spans="1:18" x14ac:dyDescent="0.4">
      <c r="A13" s="20" t="s">
        <v>186</v>
      </c>
      <c r="B13" s="109">
        <f>IF(B10=0,0,C13/B10)</f>
        <v>-33.794059405940594</v>
      </c>
      <c r="C13" s="110">
        <v>-3413.2000000000003</v>
      </c>
      <c r="E13" s="27" t="s">
        <v>86</v>
      </c>
      <c r="F13" s="24" t="s">
        <v>41</v>
      </c>
      <c r="G13" s="12">
        <v>41</v>
      </c>
      <c r="H13" s="88">
        <f>IF(B$20=0,0,G13/B$20)</f>
        <v>5.416116248348745E-2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-0.11680411570568812</v>
      </c>
      <c r="C14" s="126"/>
      <c r="E14" s="27" t="s">
        <v>83</v>
      </c>
      <c r="F14" s="24" t="s">
        <v>38</v>
      </c>
      <c r="G14" s="12">
        <v>33</v>
      </c>
      <c r="H14" s="88">
        <f>IF(B$20=0,0,G14/B$20)</f>
        <v>4.3593130779392336E-2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25</v>
      </c>
      <c r="C15" s="9">
        <f t="shared" si="1"/>
        <v>8.2508250825082508E-2</v>
      </c>
      <c r="E15" s="27" t="s">
        <v>81</v>
      </c>
      <c r="F15" s="24" t="s">
        <v>36</v>
      </c>
      <c r="G15" s="12">
        <v>25</v>
      </c>
      <c r="H15" s="88">
        <f>IF(B$20=0,0,G15/B$20)</f>
        <v>3.3025099075297229E-2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">
      <c r="A16" s="22" t="s">
        <v>121</v>
      </c>
      <c r="B16" s="15">
        <v>598</v>
      </c>
      <c r="C16" s="10">
        <f>IF(B$3=0,0,B16/B$3)</f>
        <v>0.23395931142410015</v>
      </c>
      <c r="E16" s="27" t="s">
        <v>78</v>
      </c>
      <c r="F16" s="24" t="s">
        <v>33</v>
      </c>
      <c r="G16" s="12">
        <v>19</v>
      </c>
      <c r="H16" s="88">
        <f>IF(B$20=0,0,G16/B$20)</f>
        <v>2.5099075297225892E-2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">
      <c r="A17" s="19" t="s">
        <v>118</v>
      </c>
      <c r="B17" s="12">
        <v>597</v>
      </c>
      <c r="C17" s="6">
        <f>IF(B$3=0,0,B17/B$3)</f>
        <v>0.2335680751173709</v>
      </c>
      <c r="E17" s="27" t="s">
        <v>91</v>
      </c>
      <c r="F17" s="24" t="s">
        <v>46</v>
      </c>
      <c r="G17" s="12">
        <v>14</v>
      </c>
      <c r="H17" s="88">
        <f>IF(B$20=0,0,G17/B$20)</f>
        <v>1.8494055482166448E-2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">
      <c r="A18" s="18" t="s">
        <v>123</v>
      </c>
      <c r="B18" s="11">
        <f>B24</f>
        <v>312</v>
      </c>
      <c r="C18" s="5">
        <f>IF(B$16=0,0,B18/B$16)</f>
        <v>0.52173913043478259</v>
      </c>
      <c r="E18" s="27" t="s">
        <v>155</v>
      </c>
      <c r="F18" s="24" t="s">
        <v>156</v>
      </c>
      <c r="G18" s="12">
        <v>14</v>
      </c>
      <c r="H18" s="88">
        <f>IF(B$20=0,0,G18/B$20)</f>
        <v>1.8494055482166448E-2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163</v>
      </c>
      <c r="P18" s="83">
        <f>IF(Q18=0,0,R18/Q18)</f>
        <v>5.495121951219514</v>
      </c>
      <c r="Q18" s="77">
        <v>82</v>
      </c>
      <c r="R18" s="68">
        <v>450.60000000000014</v>
      </c>
    </row>
    <row r="19" spans="1:18" x14ac:dyDescent="0.4">
      <c r="A19" s="18" t="s">
        <v>124</v>
      </c>
      <c r="B19" s="11">
        <f>B25</f>
        <v>250</v>
      </c>
      <c r="C19" s="5">
        <f>IF(B$17=0,0,B19/B$17)</f>
        <v>0.41876046901172531</v>
      </c>
      <c r="E19" s="27" t="s">
        <v>79</v>
      </c>
      <c r="F19" s="24" t="s">
        <v>34</v>
      </c>
      <c r="G19" s="12">
        <v>10</v>
      </c>
      <c r="H19" s="88">
        <f>IF(B$20=0,0,G19/B$20)</f>
        <v>1.3210039630118891E-2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4.9375000000000036</v>
      </c>
      <c r="Q19" s="77">
        <v>24</v>
      </c>
      <c r="R19" s="68">
        <v>118.50000000000009</v>
      </c>
    </row>
    <row r="20" spans="1:18" x14ac:dyDescent="0.4">
      <c r="A20" s="18" t="s">
        <v>10</v>
      </c>
      <c r="B20" s="11">
        <f>B23+B22</f>
        <v>757</v>
      </c>
      <c r="C20" s="5">
        <f>IF(B$3=0,0,B20/B$3)</f>
        <v>0.29616588419405321</v>
      </c>
      <c r="E20" s="27" t="s">
        <v>73</v>
      </c>
      <c r="F20" s="24" t="s">
        <v>28</v>
      </c>
      <c r="G20" s="12">
        <v>7</v>
      </c>
      <c r="H20" s="88">
        <f>IF(B$20=0,0,G20/B$20)</f>
        <v>9.247027741083224E-3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1.6139999999999994</v>
      </c>
      <c r="Q20" s="77">
        <v>50</v>
      </c>
      <c r="R20" s="68">
        <v>80.699999999999974</v>
      </c>
    </row>
    <row r="21" spans="1:18" x14ac:dyDescent="0.4">
      <c r="A21" s="19" t="s">
        <v>13</v>
      </c>
      <c r="B21" s="12">
        <v>417</v>
      </c>
      <c r="C21" s="6">
        <f>IF(B$3=0,0,B21/B$3)</f>
        <v>0.16314553990610328</v>
      </c>
      <c r="E21" s="27" t="s">
        <v>75</v>
      </c>
      <c r="F21" s="24" t="s">
        <v>30</v>
      </c>
      <c r="G21" s="12">
        <v>3</v>
      </c>
      <c r="H21" s="88">
        <f>IF(B$20=0,0,G21/B$20)</f>
        <v>3.9630118890356669E-3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211</v>
      </c>
      <c r="P21" s="83">
        <f>IF(Q21=0,0,R21/Q21)</f>
        <v>-0.69324324324324449</v>
      </c>
      <c r="Q21" s="77">
        <v>74</v>
      </c>
      <c r="R21" s="68">
        <v>-51.30000000000009</v>
      </c>
    </row>
    <row r="22" spans="1:18" x14ac:dyDescent="0.4">
      <c r="A22" s="19" t="s">
        <v>12</v>
      </c>
      <c r="B22" s="12">
        <v>335</v>
      </c>
      <c r="C22" s="6">
        <f>IF(B$20=0,0,B22/B$20)</f>
        <v>0.44253632760898282</v>
      </c>
      <c r="E22" s="27" t="s">
        <v>85</v>
      </c>
      <c r="F22" s="24" t="s">
        <v>40</v>
      </c>
      <c r="G22" s="12">
        <v>3</v>
      </c>
      <c r="H22" s="88">
        <f>IF(B$20=0,0,G22/B$20)</f>
        <v>3.9630118890356669E-3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-2.0692307692307681</v>
      </c>
      <c r="Q22" s="77">
        <v>78</v>
      </c>
      <c r="R22" s="68">
        <v>-161.39999999999992</v>
      </c>
    </row>
    <row r="23" spans="1:18" x14ac:dyDescent="0.4">
      <c r="A23" s="19" t="s">
        <v>11</v>
      </c>
      <c r="B23" s="12">
        <v>422</v>
      </c>
      <c r="C23" s="6">
        <f>IF(B$20=0,0,B23/B$20)</f>
        <v>0.55746367239101713</v>
      </c>
      <c r="E23" s="27" t="s">
        <v>88</v>
      </c>
      <c r="F23" s="24" t="s">
        <v>43</v>
      </c>
      <c r="G23" s="12">
        <v>3</v>
      </c>
      <c r="H23" s="88">
        <f>IF(B$20=0,0,G23/B$20)</f>
        <v>3.9630118890356669E-3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-2.8737804878048756</v>
      </c>
      <c r="Q23" s="77">
        <v>164</v>
      </c>
      <c r="R23" s="68">
        <v>-471.29999999999961</v>
      </c>
    </row>
    <row r="24" spans="1:18" x14ac:dyDescent="0.4">
      <c r="A24" s="19" t="s">
        <v>183</v>
      </c>
      <c r="B24" s="12">
        <v>312</v>
      </c>
      <c r="C24" s="6">
        <f>IF(B$20=0,0,B24/B$20)</f>
        <v>0.41215323645970936</v>
      </c>
      <c r="E24" s="27" t="s">
        <v>77</v>
      </c>
      <c r="F24" s="24" t="s">
        <v>32</v>
      </c>
      <c r="G24" s="12">
        <v>2</v>
      </c>
      <c r="H24" s="88">
        <f>IF(B$20=0,0,G24/B$20)</f>
        <v>2.6420079260237781E-3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-8.1662790697674481</v>
      </c>
      <c r="Q24" s="77">
        <v>86</v>
      </c>
      <c r="R24" s="68">
        <v>-702.30000000000052</v>
      </c>
    </row>
    <row r="25" spans="1:18" x14ac:dyDescent="0.4">
      <c r="A25" s="19" t="s">
        <v>181</v>
      </c>
      <c r="B25" s="12">
        <v>250</v>
      </c>
      <c r="C25" s="6">
        <f>IF(B$20=0,0,B25/B$20)</f>
        <v>0.33025099075297226</v>
      </c>
      <c r="E25" s="27" t="s">
        <v>92</v>
      </c>
      <c r="F25" s="24" t="s">
        <v>47</v>
      </c>
      <c r="G25" s="12">
        <v>2</v>
      </c>
      <c r="H25" s="88">
        <f>IF(B$20=0,0,G25/B$20)</f>
        <v>2.6420079260237781E-3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195</v>
      </c>
      <c r="C26" s="6">
        <f>IF(B$20=0,0,B26/B$20)</f>
        <v>0.25759577278731838</v>
      </c>
      <c r="E26" s="27" t="s">
        <v>80</v>
      </c>
      <c r="F26" s="24" t="s">
        <v>35</v>
      </c>
      <c r="G26" s="12">
        <v>1</v>
      </c>
      <c r="H26" s="88">
        <f>IF(B$20=0,0,G26/B$20)</f>
        <v>1.321003963011889E-3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7997.0937912813743</v>
      </c>
      <c r="C27" s="8">
        <v>6053800</v>
      </c>
      <c r="E27" s="27" t="s">
        <v>90</v>
      </c>
      <c r="F27" s="24" t="s">
        <v>45</v>
      </c>
      <c r="G27" s="12">
        <v>1</v>
      </c>
      <c r="H27" s="88">
        <f>IF(B$20=0,0,G27/B$20)</f>
        <v>1.321003963011889E-3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8521.499013806706</v>
      </c>
      <c r="C28" s="96">
        <v>4320400</v>
      </c>
      <c r="E28" s="27" t="s">
        <v>93</v>
      </c>
      <c r="F28" s="24" t="s">
        <v>48</v>
      </c>
      <c r="G28" s="12">
        <v>1</v>
      </c>
      <c r="H28" s="88">
        <f>IF(B$20=0,0,G28/B$20)</f>
        <v>1.321003963011889E-3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6933.6</v>
      </c>
      <c r="C29" s="96">
        <v>1733400</v>
      </c>
      <c r="E29" s="27" t="s">
        <v>102</v>
      </c>
      <c r="F29" s="24" t="s">
        <v>57</v>
      </c>
      <c r="G29" s="12">
        <v>1</v>
      </c>
      <c r="H29" s="88">
        <f>IF(B$20=0,0,G29/B$20)</f>
        <v>1.321003963011889E-3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-7500.7194244604316</v>
      </c>
      <c r="C30" s="96">
        <v>-3127800</v>
      </c>
      <c r="E30" s="27" t="s">
        <v>106</v>
      </c>
      <c r="F30" s="24" t="s">
        <v>113</v>
      </c>
      <c r="G30" s="12">
        <v>1</v>
      </c>
      <c r="H30" s="88">
        <f>IF(B$20=0,0,G30/B$20)</f>
        <v>1.321003963011889E-3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7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2.7386541471048514E-3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63</v>
      </c>
      <c r="C37" s="98">
        <f t="shared" ref="C37:C49" si="2">IF(B$20=0,0,B37/B$20)</f>
        <v>8.3223249669749005E-2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143</v>
      </c>
      <c r="C38" s="6">
        <f t="shared" si="2"/>
        <v>0.18890356671070013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149</v>
      </c>
      <c r="C39" s="6">
        <f t="shared" si="2"/>
        <v>0.19682959048877147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145</v>
      </c>
      <c r="C40" s="6">
        <f t="shared" si="2"/>
        <v>0.19154557463672392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104</v>
      </c>
      <c r="C41" s="6">
        <f t="shared" si="2"/>
        <v>0.13738441215323646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68</v>
      </c>
      <c r="C42" s="6">
        <f t="shared" si="2"/>
        <v>8.982826948480846E-2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34</v>
      </c>
      <c r="C43" s="6">
        <f t="shared" si="2"/>
        <v>4.491413474240423E-2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21</v>
      </c>
      <c r="C44" s="6">
        <f t="shared" si="2"/>
        <v>2.7741083223249668E-2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14</v>
      </c>
      <c r="C45" s="6">
        <f t="shared" si="2"/>
        <v>1.8494055482166448E-2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9</v>
      </c>
      <c r="C46" s="6">
        <f t="shared" si="2"/>
        <v>1.1889035667107001E-2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2.6420079260237781E-3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5</v>
      </c>
      <c r="C49" s="9">
        <f t="shared" si="2"/>
        <v>6.6050198150594455E-3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82</v>
      </c>
      <c r="C2" s="134"/>
      <c r="E2" s="26" t="s">
        <v>66</v>
      </c>
      <c r="F2" s="23" t="s">
        <v>22</v>
      </c>
      <c r="G2" s="11">
        <v>172</v>
      </c>
      <c r="H2" s="87">
        <f>IF(B$20=0,0,G2/B$20)</f>
        <v>0.77828054298642535</v>
      </c>
      <c r="I2" s="57">
        <v>5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259.7560975609756</v>
      </c>
      <c r="Q2" s="76">
        <v>82</v>
      </c>
      <c r="R2" s="63">
        <v>21300</v>
      </c>
    </row>
    <row r="3" spans="1:18" x14ac:dyDescent="0.4">
      <c r="A3" s="19" t="s">
        <v>8</v>
      </c>
      <c r="B3" s="135">
        <v>681</v>
      </c>
      <c r="C3" s="136"/>
      <c r="E3" s="27" t="s">
        <v>72</v>
      </c>
      <c r="F3" s="24" t="s">
        <v>27</v>
      </c>
      <c r="G3" s="12">
        <v>126</v>
      </c>
      <c r="H3" s="88">
        <f>IF(B$20=0,0,G3/B$20)</f>
        <v>0.57013574660633481</v>
      </c>
      <c r="I3" s="58">
        <v>8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-597.46835443037969</v>
      </c>
      <c r="Q3" s="77">
        <v>79</v>
      </c>
      <c r="R3" s="64">
        <v>-47200</v>
      </c>
    </row>
    <row r="4" spans="1:18" x14ac:dyDescent="0.4">
      <c r="A4" s="19" t="s">
        <v>6</v>
      </c>
      <c r="B4" s="137">
        <v>157.09999999999997</v>
      </c>
      <c r="C4" s="138"/>
      <c r="E4" s="27" t="s">
        <v>64</v>
      </c>
      <c r="F4" s="24" t="s">
        <v>20</v>
      </c>
      <c r="G4" s="12">
        <v>87</v>
      </c>
      <c r="H4" s="88">
        <f>IF(B$20=0,0,G4/B$20)</f>
        <v>0.39366515837104071</v>
      </c>
      <c r="I4" s="58">
        <v>8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-487.34177215189874</v>
      </c>
      <c r="Q4" s="77">
        <v>79</v>
      </c>
      <c r="R4" s="64">
        <v>-38500</v>
      </c>
    </row>
    <row r="5" spans="1:18" x14ac:dyDescent="0.4">
      <c r="A5" s="19" t="s">
        <v>7</v>
      </c>
      <c r="B5" s="125">
        <f>IF(B$2=0,0,B$4/B$2)</f>
        <v>1.9158536585365848</v>
      </c>
      <c r="C5" s="126"/>
      <c r="E5" s="27" t="s">
        <v>159</v>
      </c>
      <c r="F5" s="24" t="s">
        <v>160</v>
      </c>
      <c r="G5" s="12">
        <v>80</v>
      </c>
      <c r="H5" s="88">
        <f>IF(B$20=0,0,G5/B$20)</f>
        <v>0.36199095022624433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855.26315789473688</v>
      </c>
      <c r="Q5" s="77">
        <v>76</v>
      </c>
      <c r="R5" s="64">
        <v>65000</v>
      </c>
    </row>
    <row r="6" spans="1:18" x14ac:dyDescent="0.4">
      <c r="A6" s="19" t="s">
        <v>196</v>
      </c>
      <c r="B6" s="129">
        <v>1778.0357725598371</v>
      </c>
      <c r="C6" s="130"/>
      <c r="E6" s="27" t="s">
        <v>68</v>
      </c>
      <c r="F6" s="24" t="s">
        <v>12</v>
      </c>
      <c r="G6" s="12">
        <v>66</v>
      </c>
      <c r="H6" s="88">
        <f>IF(B$20=0,0,G6/B$20)</f>
        <v>0.29864253393665158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428.57142857142856</v>
      </c>
      <c r="Q6" s="77">
        <v>70</v>
      </c>
      <c r="R6" s="64">
        <v>30000</v>
      </c>
    </row>
    <row r="7" spans="1:18" x14ac:dyDescent="0.4">
      <c r="A7" s="19" t="s">
        <v>1</v>
      </c>
      <c r="B7" s="139">
        <f>IF(B$2=0,0,(B$8*1+B$9*2+B$10*3)/B$2)</f>
        <v>2.024390243902439</v>
      </c>
      <c r="C7" s="140"/>
      <c r="E7" s="27" t="s">
        <v>67</v>
      </c>
      <c r="F7" s="24" t="s">
        <v>23</v>
      </c>
      <c r="G7" s="12">
        <v>45</v>
      </c>
      <c r="H7" s="88">
        <f>IF(B$20=0,0,G7/B$20)</f>
        <v>0.20361990950226244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121.66666666666667</v>
      </c>
      <c r="Q7" s="78">
        <v>60</v>
      </c>
      <c r="R7" s="65">
        <v>7300</v>
      </c>
    </row>
    <row r="8" spans="1:18" x14ac:dyDescent="0.4">
      <c r="A8" s="19" t="s">
        <v>2</v>
      </c>
      <c r="B8" s="12">
        <v>27</v>
      </c>
      <c r="C8" s="6">
        <f t="shared" ref="C8:C15" si="1">IF(B$2=0,0,B8/B$2)</f>
        <v>0.32926829268292684</v>
      </c>
      <c r="E8" s="27" t="s">
        <v>69</v>
      </c>
      <c r="F8" s="24" t="s">
        <v>24</v>
      </c>
      <c r="G8" s="12">
        <v>38</v>
      </c>
      <c r="H8" s="88">
        <f>IF(B$20=0,0,G8/B$20)</f>
        <v>0.17194570135746606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26</v>
      </c>
      <c r="C9" s="6">
        <f t="shared" si="1"/>
        <v>0.31707317073170732</v>
      </c>
      <c r="E9" s="27" t="s">
        <v>89</v>
      </c>
      <c r="F9" s="24" t="s">
        <v>44</v>
      </c>
      <c r="G9" s="12">
        <v>32</v>
      </c>
      <c r="H9" s="88">
        <f>IF(B$20=0,0,G9/B$20)</f>
        <v>0.14479638009049775</v>
      </c>
      <c r="I9" s="58">
        <v>6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29</v>
      </c>
      <c r="C10" s="7">
        <f t="shared" si="1"/>
        <v>0.35365853658536583</v>
      </c>
      <c r="E10" s="27" t="s">
        <v>70</v>
      </c>
      <c r="F10" s="24" t="s">
        <v>25</v>
      </c>
      <c r="G10" s="12">
        <v>31</v>
      </c>
      <c r="H10" s="88">
        <f>IF(B$20=0,0,G10/B$20)</f>
        <v>0.14027149321266968</v>
      </c>
      <c r="I10" s="58">
        <v>1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7.9724137931034482</v>
      </c>
      <c r="Q10" s="76">
        <v>29</v>
      </c>
      <c r="R10" s="67">
        <v>231.2</v>
      </c>
    </row>
    <row r="11" spans="1:18" x14ac:dyDescent="0.4">
      <c r="A11" s="20" t="s">
        <v>184</v>
      </c>
      <c r="B11" s="109">
        <f>IF(B8=0,0,C11/B8)</f>
        <v>38.737037037037041</v>
      </c>
      <c r="C11" s="110">
        <v>1045.9000000000001</v>
      </c>
      <c r="E11" s="27" t="s">
        <v>65</v>
      </c>
      <c r="F11" s="24" t="s">
        <v>21</v>
      </c>
      <c r="G11" s="12">
        <v>16</v>
      </c>
      <c r="H11" s="88">
        <f>IF(B$20=0,0,G11/B$20)</f>
        <v>7.2398190045248875E-2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-6.8033333333333328</v>
      </c>
      <c r="Q11" s="77">
        <v>30</v>
      </c>
      <c r="R11" s="68">
        <v>-204.1</v>
      </c>
    </row>
    <row r="12" spans="1:18" x14ac:dyDescent="0.4">
      <c r="A12" s="20" t="s">
        <v>185</v>
      </c>
      <c r="B12" s="109">
        <f>IF(B9=0,0,C12/B9)</f>
        <v>-1.7307692307692302</v>
      </c>
      <c r="C12" s="110">
        <v>-44.999999999999986</v>
      </c>
      <c r="E12" s="27" t="s">
        <v>86</v>
      </c>
      <c r="F12" s="24" t="s">
        <v>41</v>
      </c>
      <c r="G12" s="12">
        <v>15</v>
      </c>
      <c r="H12" s="88">
        <f>IF(B$20=0,0,G12/B$20)</f>
        <v>6.7873303167420809E-2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5.6521739130434794</v>
      </c>
      <c r="Q12" s="78">
        <v>23</v>
      </c>
      <c r="R12" s="69">
        <v>130.00000000000003</v>
      </c>
    </row>
    <row r="13" spans="1:18" x14ac:dyDescent="0.4">
      <c r="A13" s="20" t="s">
        <v>186</v>
      </c>
      <c r="B13" s="109">
        <f>IF(B10=0,0,C13/B10)</f>
        <v>-29.096551724137932</v>
      </c>
      <c r="C13" s="110">
        <v>-843.80000000000007</v>
      </c>
      <c r="E13" s="27" t="s">
        <v>83</v>
      </c>
      <c r="F13" s="24" t="s">
        <v>38</v>
      </c>
      <c r="G13" s="12">
        <v>12</v>
      </c>
      <c r="H13" s="88">
        <f>IF(B$20=0,0,G13/B$20)</f>
        <v>5.4298642533936653E-2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2.6365720273766251</v>
      </c>
      <c r="C14" s="126"/>
      <c r="E14" s="27" t="s">
        <v>71</v>
      </c>
      <c r="F14" s="24" t="s">
        <v>26</v>
      </c>
      <c r="G14" s="12">
        <v>11</v>
      </c>
      <c r="H14" s="88">
        <f>IF(B$20=0,0,G14/B$20)</f>
        <v>4.9773755656108594E-2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7.3170731707317069E-2</v>
      </c>
      <c r="E15" s="27" t="s">
        <v>155</v>
      </c>
      <c r="F15" s="24" t="s">
        <v>156</v>
      </c>
      <c r="G15" s="12">
        <v>10</v>
      </c>
      <c r="H15" s="88">
        <f>IF(B$20=0,0,G15/B$20)</f>
        <v>4.5248868778280542E-2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">
      <c r="A16" s="22" t="s">
        <v>121</v>
      </c>
      <c r="B16" s="15">
        <v>165</v>
      </c>
      <c r="C16" s="10">
        <f>IF(B$3=0,0,B16/B$3)</f>
        <v>0.24229074889867841</v>
      </c>
      <c r="E16" s="27" t="s">
        <v>91</v>
      </c>
      <c r="F16" s="24" t="s">
        <v>46</v>
      </c>
      <c r="G16" s="12">
        <v>6</v>
      </c>
      <c r="H16" s="88">
        <f>IF(B$20=0,0,G16/B$20)</f>
        <v>2.7149321266968326E-2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">
      <c r="A17" s="19" t="s">
        <v>118</v>
      </c>
      <c r="B17" s="12">
        <v>145</v>
      </c>
      <c r="C17" s="6">
        <f>IF(B$3=0,0,B17/B$3)</f>
        <v>0.21292217327459617</v>
      </c>
      <c r="E17" s="27" t="s">
        <v>81</v>
      </c>
      <c r="F17" s="24" t="s">
        <v>36</v>
      </c>
      <c r="G17" s="12">
        <v>4</v>
      </c>
      <c r="H17" s="88">
        <f>IF(B$20=0,0,G17/B$20)</f>
        <v>1.8099547511312219E-2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10.658823529411768</v>
      </c>
      <c r="Q17" s="77">
        <v>34</v>
      </c>
      <c r="R17" s="68">
        <v>362.40000000000009</v>
      </c>
    </row>
    <row r="18" spans="1:18" x14ac:dyDescent="0.4">
      <c r="A18" s="18" t="s">
        <v>123</v>
      </c>
      <c r="B18" s="11">
        <f>B24</f>
        <v>94</v>
      </c>
      <c r="C18" s="5">
        <f>IF(B$16=0,0,B18/B$16)</f>
        <v>0.5696969696969697</v>
      </c>
      <c r="E18" s="27" t="s">
        <v>73</v>
      </c>
      <c r="F18" s="24" t="s">
        <v>28</v>
      </c>
      <c r="G18" s="12">
        <v>3</v>
      </c>
      <c r="H18" s="88">
        <f>IF(B$20=0,0,G18/B$20)</f>
        <v>1.3574660633484163E-2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6.625</v>
      </c>
      <c r="Q18" s="77">
        <v>20</v>
      </c>
      <c r="R18" s="68">
        <v>132.5</v>
      </c>
    </row>
    <row r="19" spans="1:18" x14ac:dyDescent="0.4">
      <c r="A19" s="18" t="s">
        <v>124</v>
      </c>
      <c r="B19" s="11">
        <f>B25</f>
        <v>71</v>
      </c>
      <c r="C19" s="5">
        <f>IF(B$17=0,0,B19/B$17)</f>
        <v>0.48965517241379308</v>
      </c>
      <c r="E19" s="27" t="s">
        <v>78</v>
      </c>
      <c r="F19" s="24" t="s">
        <v>33</v>
      </c>
      <c r="G19" s="12">
        <v>3</v>
      </c>
      <c r="H19" s="88">
        <f>IF(B$20=0,0,G19/B$20)</f>
        <v>1.3574660633484163E-2</v>
      </c>
      <c r="I19" s="58">
        <v>8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4.1523809523809527</v>
      </c>
      <c r="Q19" s="77">
        <v>21</v>
      </c>
      <c r="R19" s="68">
        <v>87.2</v>
      </c>
    </row>
    <row r="20" spans="1:18" x14ac:dyDescent="0.4">
      <c r="A20" s="18" t="s">
        <v>10</v>
      </c>
      <c r="B20" s="11">
        <f>B23+B22</f>
        <v>221</v>
      </c>
      <c r="C20" s="5">
        <f>IF(B$3=0,0,B20/B$3)</f>
        <v>0.32452276064610869</v>
      </c>
      <c r="E20" s="27" t="s">
        <v>75</v>
      </c>
      <c r="F20" s="24" t="s">
        <v>30</v>
      </c>
      <c r="G20" s="12">
        <v>1</v>
      </c>
      <c r="H20" s="88">
        <f>IF(B$20=0,0,G20/B$20)</f>
        <v>4.5248868778280547E-3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-3.45</v>
      </c>
      <c r="Q20" s="77">
        <v>34</v>
      </c>
      <c r="R20" s="68">
        <v>-117.30000000000001</v>
      </c>
    </row>
    <row r="21" spans="1:18" x14ac:dyDescent="0.4">
      <c r="A21" s="19" t="s">
        <v>13</v>
      </c>
      <c r="B21" s="12">
        <v>125</v>
      </c>
      <c r="C21" s="6">
        <f>IF(B$3=0,0,B21/B$3)</f>
        <v>0.18355359765051396</v>
      </c>
      <c r="E21" s="27" t="s">
        <v>79</v>
      </c>
      <c r="F21" s="24" t="s">
        <v>34</v>
      </c>
      <c r="G21" s="12">
        <v>1</v>
      </c>
      <c r="H21" s="88">
        <f>IF(B$20=0,0,G21/B$20)</f>
        <v>4.5248868778280547E-3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192</v>
      </c>
      <c r="P21" s="83">
        <f>IF(Q21=0,0,R21/Q21)</f>
        <v>-3.7722222222222226</v>
      </c>
      <c r="Q21" s="77">
        <v>36</v>
      </c>
      <c r="R21" s="68">
        <v>-135.80000000000001</v>
      </c>
    </row>
    <row r="22" spans="1:18" x14ac:dyDescent="0.4">
      <c r="A22" s="19" t="s">
        <v>12</v>
      </c>
      <c r="B22" s="12">
        <v>104</v>
      </c>
      <c r="C22" s="6">
        <f>IF(B$20=0,0,B22/B$20)</f>
        <v>0.47058823529411764</v>
      </c>
      <c r="E22" s="27" t="s">
        <v>80</v>
      </c>
      <c r="F22" s="24" t="s">
        <v>35</v>
      </c>
      <c r="G22" s="12">
        <v>1</v>
      </c>
      <c r="H22" s="88">
        <f>IF(B$20=0,0,G22/B$20)</f>
        <v>4.5248868778280547E-3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195</v>
      </c>
      <c r="P22" s="83">
        <f>IF(Q22=0,0,R22/Q22)</f>
        <v>-4.8999999999999986</v>
      </c>
      <c r="Q22" s="77">
        <v>7</v>
      </c>
      <c r="R22" s="68">
        <v>-34.29999999999999</v>
      </c>
    </row>
    <row r="23" spans="1:18" x14ac:dyDescent="0.4">
      <c r="A23" s="19" t="s">
        <v>11</v>
      </c>
      <c r="B23" s="12">
        <v>117</v>
      </c>
      <c r="C23" s="6">
        <f>IF(B$20=0,0,B23/B$20)</f>
        <v>0.52941176470588236</v>
      </c>
      <c r="E23" s="27" t="s">
        <v>85</v>
      </c>
      <c r="F23" s="24" t="s">
        <v>40</v>
      </c>
      <c r="G23" s="12">
        <v>1</v>
      </c>
      <c r="H23" s="88">
        <f>IF(B$20=0,0,G23/B$20)</f>
        <v>4.5248868778280547E-3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">
      <c r="A24" s="19" t="s">
        <v>183</v>
      </c>
      <c r="B24" s="12">
        <v>94</v>
      </c>
      <c r="C24" s="6">
        <f>IF(B$20=0,0,B24/B$20)</f>
        <v>0.42533936651583709</v>
      </c>
      <c r="E24" s="27" t="s">
        <v>90</v>
      </c>
      <c r="F24" s="24" t="s">
        <v>45</v>
      </c>
      <c r="G24" s="12">
        <v>1</v>
      </c>
      <c r="H24" s="88">
        <f>IF(B$20=0,0,G24/B$20)</f>
        <v>4.5248868778280547E-3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71</v>
      </c>
      <c r="C25" s="6">
        <f>IF(B$20=0,0,B25/B$20)</f>
        <v>0.32126696832579188</v>
      </c>
      <c r="E25" s="27" t="s">
        <v>92</v>
      </c>
      <c r="F25" s="24" t="s">
        <v>47</v>
      </c>
      <c r="G25" s="12">
        <v>1</v>
      </c>
      <c r="H25" s="88">
        <f>IF(B$20=0,0,G25/B$20)</f>
        <v>4.5248868778280547E-3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56</v>
      </c>
      <c r="C26" s="6">
        <f>IF(B$20=0,0,B26/B$20)</f>
        <v>0.25339366515837103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8244.7963800904981</v>
      </c>
      <c r="C27" s="8">
        <v>1822100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8436.6666666666661</v>
      </c>
      <c r="C28" s="96">
        <v>1265500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7839.4366197183099</v>
      </c>
      <c r="C29" s="96">
        <v>556600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-7146.4</v>
      </c>
      <c r="C30" s="96">
        <v>-893300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3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18</v>
      </c>
      <c r="C32" s="90">
        <v>18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1.4684287812041115E-3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6.3348416289592757E-2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38</v>
      </c>
      <c r="C38" s="6">
        <f t="shared" si="2"/>
        <v>0.17194570135746606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46</v>
      </c>
      <c r="C39" s="6">
        <f t="shared" si="2"/>
        <v>0.20814479638009051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42</v>
      </c>
      <c r="C40" s="6">
        <f t="shared" si="2"/>
        <v>0.19004524886877827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36</v>
      </c>
      <c r="C41" s="6">
        <f t="shared" si="2"/>
        <v>0.16289592760180996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25</v>
      </c>
      <c r="C42" s="6">
        <f t="shared" si="2"/>
        <v>0.11312217194570136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2"/>
        <v>3.6199095022624438E-2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3</v>
      </c>
      <c r="C44" s="6">
        <f t="shared" si="2"/>
        <v>1.3574660633484163E-2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2.2624434389140271E-2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9.0497737556561094E-3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4.5248868778280547E-3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4.5248868778280547E-3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89</v>
      </c>
      <c r="H2" s="87">
        <f>IF(B$20=0,0,G2/B$20)</f>
        <v>0.94680851063829785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1743.9024390243903</v>
      </c>
      <c r="Q2" s="76">
        <v>41</v>
      </c>
      <c r="R2" s="63">
        <v>71500</v>
      </c>
    </row>
    <row r="3" spans="1:18" x14ac:dyDescent="0.4">
      <c r="A3" s="19" t="s">
        <v>8</v>
      </c>
      <c r="B3" s="135">
        <v>350</v>
      </c>
      <c r="C3" s="136"/>
      <c r="E3" s="27" t="s">
        <v>72</v>
      </c>
      <c r="F3" s="24" t="s">
        <v>27</v>
      </c>
      <c r="G3" s="12">
        <v>52</v>
      </c>
      <c r="H3" s="88">
        <f>IF(B$20=0,0,G3/B$20)</f>
        <v>0.55319148936170215</v>
      </c>
      <c r="I3" s="58">
        <v>9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-169.23076923076923</v>
      </c>
      <c r="Q3" s="77">
        <v>39</v>
      </c>
      <c r="R3" s="64">
        <v>-6600</v>
      </c>
    </row>
    <row r="4" spans="1:18" x14ac:dyDescent="0.4">
      <c r="A4" s="19" t="s">
        <v>6</v>
      </c>
      <c r="B4" s="137">
        <v>-150.20000000000002</v>
      </c>
      <c r="C4" s="138"/>
      <c r="E4" s="27" t="s">
        <v>64</v>
      </c>
      <c r="F4" s="24" t="s">
        <v>20</v>
      </c>
      <c r="G4" s="12">
        <v>40</v>
      </c>
      <c r="H4" s="88">
        <f>IF(B$20=0,0,G4/B$20)</f>
        <v>0.42553191489361702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-464.10256410256409</v>
      </c>
      <c r="Q4" s="77">
        <v>39</v>
      </c>
      <c r="R4" s="64">
        <v>-18100</v>
      </c>
    </row>
    <row r="5" spans="1:18" x14ac:dyDescent="0.4">
      <c r="A5" s="19" t="s">
        <v>7</v>
      </c>
      <c r="B5" s="125">
        <f>IF(B$2=0,0,B$4/B$2)</f>
        <v>-3.6634146341463421</v>
      </c>
      <c r="C5" s="126"/>
      <c r="E5" s="27" t="s">
        <v>159</v>
      </c>
      <c r="F5" s="24" t="s">
        <v>160</v>
      </c>
      <c r="G5" s="12">
        <v>39</v>
      </c>
      <c r="H5" s="88">
        <f>IF(B$20=0,0,G5/B$20)</f>
        <v>0.41489361702127658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-286.84210526315792</v>
      </c>
      <c r="Q5" s="77">
        <v>38</v>
      </c>
      <c r="R5" s="64">
        <v>-10900</v>
      </c>
    </row>
    <row r="6" spans="1:18" x14ac:dyDescent="0.4">
      <c r="A6" s="19" t="s">
        <v>196</v>
      </c>
      <c r="B6" s="129">
        <v>1623.0600080708391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0.34042553191489361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-31.428571428571427</v>
      </c>
      <c r="Q6" s="77">
        <v>35</v>
      </c>
      <c r="R6" s="64">
        <v>-1100</v>
      </c>
    </row>
    <row r="7" spans="1:18" x14ac:dyDescent="0.4">
      <c r="A7" s="19" t="s">
        <v>1</v>
      </c>
      <c r="B7" s="139">
        <f>IF(B$2=0,0,(B$8*1+B$9*2+B$10*3)/B$2)</f>
        <v>2.0975609756097562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0.21276595744680851</v>
      </c>
      <c r="I7" s="58">
        <v>6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-913.79310344827582</v>
      </c>
      <c r="Q7" s="78">
        <v>29</v>
      </c>
      <c r="R7" s="65">
        <v>-26500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0.26829268292682928</v>
      </c>
      <c r="E8" s="27" t="s">
        <v>89</v>
      </c>
      <c r="F8" s="24" t="s">
        <v>44</v>
      </c>
      <c r="G8" s="12">
        <v>16</v>
      </c>
      <c r="H8" s="88">
        <f>IF(B$20=0,0,G8/B$20)</f>
        <v>0.1702127659574468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0.36585365853658536</v>
      </c>
      <c r="E9" s="27" t="s">
        <v>69</v>
      </c>
      <c r="F9" s="24" t="s">
        <v>24</v>
      </c>
      <c r="G9" s="12">
        <v>11</v>
      </c>
      <c r="H9" s="88">
        <f>IF(B$20=0,0,G9/B$20)</f>
        <v>0.11702127659574468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0.36585365853658536</v>
      </c>
      <c r="E10" s="27" t="s">
        <v>65</v>
      </c>
      <c r="F10" s="24" t="s">
        <v>21</v>
      </c>
      <c r="G10" s="12">
        <v>8</v>
      </c>
      <c r="H10" s="88">
        <f>IF(B$20=0,0,G10/B$20)</f>
        <v>8.5106382978723402E-2</v>
      </c>
      <c r="I10" s="58">
        <v>6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-2.6058823529411761</v>
      </c>
      <c r="Q10" s="76">
        <v>17</v>
      </c>
      <c r="R10" s="67">
        <v>-44.3</v>
      </c>
    </row>
    <row r="11" spans="1:18" x14ac:dyDescent="0.4">
      <c r="A11" s="20" t="s">
        <v>184</v>
      </c>
      <c r="B11" s="109">
        <f>IF(B8=0,0,C11/B8)</f>
        <v>36.518181818181809</v>
      </c>
      <c r="C11" s="110">
        <v>401.69999999999993</v>
      </c>
      <c r="E11" s="27" t="s">
        <v>70</v>
      </c>
      <c r="F11" s="24" t="s">
        <v>25</v>
      </c>
      <c r="G11" s="12">
        <v>8</v>
      </c>
      <c r="H11" s="88">
        <f>IF(B$20=0,0,G11/B$20)</f>
        <v>8.5106382978723402E-2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-2.200000000000002</v>
      </c>
      <c r="Q11" s="77">
        <v>11</v>
      </c>
      <c r="R11" s="68">
        <v>-24.200000000000021</v>
      </c>
    </row>
    <row r="12" spans="1:18" x14ac:dyDescent="0.4">
      <c r="A12" s="20" t="s">
        <v>185</v>
      </c>
      <c r="B12" s="109">
        <f>IF(B9=0,0,C12/B9)</f>
        <v>1.4266666666666663</v>
      </c>
      <c r="C12" s="110">
        <v>21.399999999999995</v>
      </c>
      <c r="E12" s="27" t="s">
        <v>71</v>
      </c>
      <c r="F12" s="24" t="s">
        <v>26</v>
      </c>
      <c r="G12" s="12">
        <v>7</v>
      </c>
      <c r="H12" s="88">
        <f>IF(B$20=0,0,G12/B$20)</f>
        <v>7.4468085106382975E-2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-6.2846153846153845</v>
      </c>
      <c r="Q12" s="78">
        <v>13</v>
      </c>
      <c r="R12" s="69">
        <v>-81.7</v>
      </c>
    </row>
    <row r="13" spans="1:18" x14ac:dyDescent="0.4">
      <c r="A13" s="20" t="s">
        <v>186</v>
      </c>
      <c r="B13" s="109">
        <f>IF(B10=0,0,C13/B10)</f>
        <v>-38.220000000000006</v>
      </c>
      <c r="C13" s="110">
        <v>-573.30000000000007</v>
      </c>
      <c r="E13" s="27" t="s">
        <v>86</v>
      </c>
      <c r="F13" s="24" t="s">
        <v>41</v>
      </c>
      <c r="G13" s="12">
        <v>6</v>
      </c>
      <c r="H13" s="88">
        <f>IF(B$20=0,0,G13/B$20)</f>
        <v>6.3829787234042548E-2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-9.171717171717593E-2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5.3191489361702128E-2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0.12195121951219512</v>
      </c>
      <c r="E15" s="27" t="s">
        <v>83</v>
      </c>
      <c r="F15" s="24" t="s">
        <v>38</v>
      </c>
      <c r="G15" s="12">
        <v>4</v>
      </c>
      <c r="H15" s="88">
        <f>IF(B$20=0,0,G15/B$20)</f>
        <v>4.2553191489361701E-2</v>
      </c>
      <c r="I15" s="58">
        <v>6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89</v>
      </c>
      <c r="C16" s="10">
        <f>IF(B$3=0,0,B16/B$3)</f>
        <v>0.25428571428571428</v>
      </c>
      <c r="E16" s="27" t="s">
        <v>78</v>
      </c>
      <c r="F16" s="24" t="s">
        <v>33</v>
      </c>
      <c r="G16" s="12">
        <v>3</v>
      </c>
      <c r="H16" s="88">
        <f>IF(B$20=0,0,G16/B$20)</f>
        <v>3.1914893617021274E-2</v>
      </c>
      <c r="I16" s="58">
        <v>6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8.7333333333333361</v>
      </c>
      <c r="Q16" s="77">
        <v>6</v>
      </c>
      <c r="R16" s="68">
        <v>52.400000000000013</v>
      </c>
    </row>
    <row r="17" spans="1:18" x14ac:dyDescent="0.4">
      <c r="A17" s="19" t="s">
        <v>118</v>
      </c>
      <c r="B17" s="12">
        <v>84</v>
      </c>
      <c r="C17" s="6">
        <f>IF(B$3=0,0,B17/B$3)</f>
        <v>0.24</v>
      </c>
      <c r="E17" s="27" t="s">
        <v>155</v>
      </c>
      <c r="F17" s="24" t="s">
        <v>156</v>
      </c>
      <c r="G17" s="12">
        <v>3</v>
      </c>
      <c r="H17" s="88">
        <f>IF(B$20=0,0,G17/B$20)</f>
        <v>3.1914893617021274E-2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-3.9166666666666674</v>
      </c>
      <c r="Q17" s="77">
        <v>12</v>
      </c>
      <c r="R17" s="68">
        <v>-47.000000000000007</v>
      </c>
    </row>
    <row r="18" spans="1:18" x14ac:dyDescent="0.4">
      <c r="A18" s="18" t="s">
        <v>123</v>
      </c>
      <c r="B18" s="11">
        <f>B24</f>
        <v>41</v>
      </c>
      <c r="C18" s="5">
        <f>IF(B$16=0,0,B18/B$16)</f>
        <v>0.4606741573033708</v>
      </c>
      <c r="E18" s="27" t="s">
        <v>73</v>
      </c>
      <c r="F18" s="24" t="s">
        <v>28</v>
      </c>
      <c r="G18" s="12">
        <v>1</v>
      </c>
      <c r="H18" s="88">
        <f>IF(B$20=0,0,G18/B$20)</f>
        <v>1.0638297872340425E-2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-10.658823529411768</v>
      </c>
      <c r="Q18" s="77">
        <v>34</v>
      </c>
      <c r="R18" s="68">
        <v>-362.40000000000009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0.33333333333333331</v>
      </c>
      <c r="E19" s="27" t="s">
        <v>79</v>
      </c>
      <c r="F19" s="24" t="s">
        <v>34</v>
      </c>
      <c r="G19" s="12">
        <v>1</v>
      </c>
      <c r="H19" s="88">
        <f>IF(B$20=0,0,G19/B$20)</f>
        <v>1.0638297872340425E-2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-10.833333333333334</v>
      </c>
      <c r="Q19" s="77">
        <v>12</v>
      </c>
      <c r="R19" s="68">
        <v>-130</v>
      </c>
    </row>
    <row r="20" spans="1:18" x14ac:dyDescent="0.4">
      <c r="A20" s="18" t="s">
        <v>10</v>
      </c>
      <c r="B20" s="11">
        <f>B23+B22</f>
        <v>94</v>
      </c>
      <c r="C20" s="5">
        <f>IF(B$3=0,0,B20/B$3)</f>
        <v>0.26857142857142857</v>
      </c>
      <c r="E20" s="27" t="s">
        <v>85</v>
      </c>
      <c r="F20" s="24" t="s">
        <v>40</v>
      </c>
      <c r="G20" s="12">
        <v>1</v>
      </c>
      <c r="H20" s="88">
        <f>IF(B$20=0,0,G20/B$20)</f>
        <v>1.0638297872340425E-2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>IF(Q20=0,0,R20/Q20)</f>
        <v>-14.800000000000002</v>
      </c>
      <c r="Q20" s="77">
        <v>9</v>
      </c>
      <c r="R20" s="68">
        <v>-133.20000000000002</v>
      </c>
    </row>
    <row r="21" spans="1:18" x14ac:dyDescent="0.4">
      <c r="A21" s="19" t="s">
        <v>13</v>
      </c>
      <c r="B21" s="12">
        <v>66</v>
      </c>
      <c r="C21" s="6">
        <f>IF(B$3=0,0,B21/B$3)</f>
        <v>0.18857142857142858</v>
      </c>
      <c r="E21" s="27" t="s">
        <v>88</v>
      </c>
      <c r="F21" s="24" t="s">
        <v>43</v>
      </c>
      <c r="G21" s="12">
        <v>1</v>
      </c>
      <c r="H21" s="88">
        <f>IF(B$20=0,0,G21/B$20)</f>
        <v>1.0638297872340425E-2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">
      <c r="A22" s="19" t="s">
        <v>12</v>
      </c>
      <c r="B22" s="12">
        <v>43</v>
      </c>
      <c r="C22" s="6">
        <f>IF(B$20=0,0,B22/B$20)</f>
        <v>0.45744680851063829</v>
      </c>
      <c r="E22" s="27" t="s">
        <v>91</v>
      </c>
      <c r="F22" s="24" t="s">
        <v>46</v>
      </c>
      <c r="G22" s="12">
        <v>1</v>
      </c>
      <c r="H22" s="88">
        <f>IF(B$20=0,0,G22/B$20)</f>
        <v>1.0638297872340425E-2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">
      <c r="A23" s="19" t="s">
        <v>11</v>
      </c>
      <c r="B23" s="12">
        <v>51</v>
      </c>
      <c r="C23" s="6">
        <f>IF(B$20=0,0,B23/B$20)</f>
        <v>0.54255319148936165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">
      <c r="A24" s="19" t="s">
        <v>183</v>
      </c>
      <c r="B24" s="12">
        <v>41</v>
      </c>
      <c r="C24" s="6">
        <f>IF(B$20=0,0,B24/B$20)</f>
        <v>0.43617021276595747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28</v>
      </c>
      <c r="C25" s="6">
        <f>IF(B$20=0,0,B25/B$20)</f>
        <v>0.2978723404255319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25</v>
      </c>
      <c r="C26" s="6">
        <f>IF(B$20=0,0,B26/B$20)</f>
        <v>0.26595744680851063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8634.0425531914898</v>
      </c>
      <c r="C27" s="8">
        <v>811600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9045.454545454546</v>
      </c>
      <c r="C28" s="96">
        <v>597000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-8066.666666666667</v>
      </c>
      <c r="C30" s="96">
        <v>-532400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19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8.5106382978723402E-2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9</v>
      </c>
      <c r="C38" s="6">
        <f t="shared" si="2"/>
        <v>9.5744680851063829E-2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18</v>
      </c>
      <c r="C39" s="6">
        <f t="shared" si="2"/>
        <v>0.19148936170212766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20</v>
      </c>
      <c r="C40" s="6">
        <f t="shared" si="2"/>
        <v>0.21276595744680851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17</v>
      </c>
      <c r="C41" s="6">
        <f t="shared" si="2"/>
        <v>0.18085106382978725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10</v>
      </c>
      <c r="C42" s="6">
        <f t="shared" si="2"/>
        <v>0.10638297872340426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6</v>
      </c>
      <c r="C43" s="6">
        <f t="shared" si="2"/>
        <v>6.3829787234042548E-2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3</v>
      </c>
      <c r="C44" s="6">
        <f t="shared" si="2"/>
        <v>3.1914893617021274E-2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2</v>
      </c>
      <c r="C45" s="6">
        <f t="shared" si="2"/>
        <v>2.1276595744680851E-2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2"/>
        <v>1.0638297872340425E-2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72</v>
      </c>
      <c r="F2" s="23" t="s">
        <v>27</v>
      </c>
      <c r="G2" s="11">
        <v>70</v>
      </c>
      <c r="H2" s="87">
        <f>IF(B$20=0,0,G2/B$20)</f>
        <v>0.67961165048543692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233.33333333333334</v>
      </c>
      <c r="Q2" s="76">
        <v>39</v>
      </c>
      <c r="R2" s="63">
        <v>9100</v>
      </c>
    </row>
    <row r="3" spans="1:18" x14ac:dyDescent="0.4">
      <c r="A3" s="19" t="s">
        <v>8</v>
      </c>
      <c r="B3" s="135">
        <v>340</v>
      </c>
      <c r="C3" s="136"/>
      <c r="E3" s="27" t="s">
        <v>66</v>
      </c>
      <c r="F3" s="24" t="s">
        <v>22</v>
      </c>
      <c r="G3" s="12">
        <v>65</v>
      </c>
      <c r="H3" s="88">
        <f>IF(B$20=0,0,G3/B$20)</f>
        <v>0.6310679611650486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-864.10256410256409</v>
      </c>
      <c r="Q3" s="77">
        <v>39</v>
      </c>
      <c r="R3" s="64">
        <v>-33700</v>
      </c>
    </row>
    <row r="4" spans="1:18" x14ac:dyDescent="0.4">
      <c r="A4" s="19" t="s">
        <v>6</v>
      </c>
      <c r="B4" s="137">
        <v>53.800000000000004</v>
      </c>
      <c r="C4" s="138"/>
      <c r="E4" s="27" t="s">
        <v>64</v>
      </c>
      <c r="F4" s="24" t="s">
        <v>20</v>
      </c>
      <c r="G4" s="12">
        <v>42</v>
      </c>
      <c r="H4" s="88">
        <f>IF(B$20=0,0,G4/B$20)</f>
        <v>0.40776699029126212</v>
      </c>
      <c r="I4" s="58">
        <v>5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1144.7368421052631</v>
      </c>
      <c r="Q4" s="77">
        <v>38</v>
      </c>
      <c r="R4" s="64">
        <v>43500</v>
      </c>
    </row>
    <row r="5" spans="1:18" x14ac:dyDescent="0.4">
      <c r="A5" s="19" t="s">
        <v>7</v>
      </c>
      <c r="B5" s="125">
        <f>IF(B$2=0,0,B$4/B$2)</f>
        <v>1.3794871794871797</v>
      </c>
      <c r="C5" s="126"/>
      <c r="E5" s="27" t="s">
        <v>159</v>
      </c>
      <c r="F5" s="24" t="s">
        <v>160</v>
      </c>
      <c r="G5" s="12">
        <v>35</v>
      </c>
      <c r="H5" s="88">
        <f>IF(B$20=0,0,G5/B$20)</f>
        <v>0.33980582524271846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-673.68421052631584</v>
      </c>
      <c r="Q5" s="77">
        <v>38</v>
      </c>
      <c r="R5" s="64">
        <v>-25600</v>
      </c>
    </row>
    <row r="6" spans="1:18" x14ac:dyDescent="0.4">
      <c r="A6" s="19" t="s">
        <v>196</v>
      </c>
      <c r="B6" s="129">
        <v>1475.0557740819513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0.28155339805825241</v>
      </c>
      <c r="I6" s="58">
        <v>7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-871.0526315789474</v>
      </c>
      <c r="Q6" s="77">
        <v>38</v>
      </c>
      <c r="R6" s="64">
        <v>-33100</v>
      </c>
    </row>
    <row r="7" spans="1:18" x14ac:dyDescent="0.4">
      <c r="A7" s="19" t="s">
        <v>1</v>
      </c>
      <c r="B7" s="139">
        <f>IF(B$2=0,0,(B$8*1+B$9*2+B$10*3)/B$2)</f>
        <v>1.9487179487179487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0.27184466019417475</v>
      </c>
      <c r="I7" s="58">
        <v>2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674.19354838709683</v>
      </c>
      <c r="Q7" s="78">
        <v>31</v>
      </c>
      <c r="R7" s="65">
        <v>20900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0.38461538461538464</v>
      </c>
      <c r="E8" s="27" t="s">
        <v>89</v>
      </c>
      <c r="F8" s="24" t="s">
        <v>44</v>
      </c>
      <c r="G8" s="12">
        <v>11</v>
      </c>
      <c r="H8" s="88">
        <f>IF(B$20=0,0,G8/B$20)</f>
        <v>0.10679611650485436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0.28205128205128205</v>
      </c>
      <c r="E9" s="27" t="s">
        <v>65</v>
      </c>
      <c r="F9" s="24" t="s">
        <v>21</v>
      </c>
      <c r="G9" s="12">
        <v>9</v>
      </c>
      <c r="H9" s="88">
        <f>IF(B$20=0,0,G9/B$20)</f>
        <v>8.7378640776699032E-2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0.33333333333333331</v>
      </c>
      <c r="E10" s="27" t="s">
        <v>70</v>
      </c>
      <c r="F10" s="24" t="s">
        <v>25</v>
      </c>
      <c r="G10" s="12">
        <v>9</v>
      </c>
      <c r="H10" s="88">
        <f>IF(B$20=0,0,G10/B$20)</f>
        <v>8.7378640776699032E-2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8.64</v>
      </c>
      <c r="Q10" s="76">
        <v>10</v>
      </c>
      <c r="R10" s="67">
        <v>86.4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8</v>
      </c>
      <c r="H11" s="88">
        <f>IF(B$20=0,0,G11/B$20)</f>
        <v>7.7669902912621352E-2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-3.85</v>
      </c>
      <c r="Q11" s="77">
        <v>14</v>
      </c>
      <c r="R11" s="68">
        <v>-53.9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6.7961165048543687E-2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1.4199999999999988</v>
      </c>
      <c r="Q12" s="78">
        <v>15</v>
      </c>
      <c r="R12" s="69">
        <v>21.299999999999983</v>
      </c>
    </row>
    <row r="13" spans="1:18" x14ac:dyDescent="0.4">
      <c r="A13" s="20" t="s">
        <v>186</v>
      </c>
      <c r="B13" s="109">
        <f>IF(B10=0,0,C13/B10)</f>
        <v>-33.5</v>
      </c>
      <c r="C13" s="110">
        <v>-435.5</v>
      </c>
      <c r="E13" s="27" t="s">
        <v>71</v>
      </c>
      <c r="F13" s="24" t="s">
        <v>26</v>
      </c>
      <c r="G13" s="12">
        <v>4</v>
      </c>
      <c r="H13" s="88">
        <f>IF(B$20=0,0,G13/B$20)</f>
        <v>3.8834951456310676E-2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0.14383838383838565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3.8834951456310676E-2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5.128205128205128E-2</v>
      </c>
      <c r="E15" s="27" t="s">
        <v>81</v>
      </c>
      <c r="F15" s="24" t="s">
        <v>36</v>
      </c>
      <c r="G15" s="12">
        <v>4</v>
      </c>
      <c r="H15" s="88">
        <f>IF(B$20=0,0,G15/B$20)</f>
        <v>3.8834951456310676E-2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90</v>
      </c>
      <c r="C16" s="10">
        <f>IF(B$3=0,0,B16/B$3)</f>
        <v>0.26470588235294118</v>
      </c>
      <c r="E16" s="27" t="s">
        <v>79</v>
      </c>
      <c r="F16" s="24" t="s">
        <v>34</v>
      </c>
      <c r="G16" s="12">
        <v>3</v>
      </c>
      <c r="H16" s="88">
        <f>IF(B$20=0,0,G16/B$20)</f>
        <v>2.9126213592233011E-2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103</v>
      </c>
      <c r="C17" s="6">
        <f>IF(B$3=0,0,B17/B$3)</f>
        <v>0.30294117647058821</v>
      </c>
      <c r="E17" s="27" t="s">
        <v>86</v>
      </c>
      <c r="F17" s="24" t="s">
        <v>41</v>
      </c>
      <c r="G17" s="12">
        <v>2</v>
      </c>
      <c r="H17" s="88">
        <f>IF(B$20=0,0,G17/B$20)</f>
        <v>1.9417475728155338E-2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0.46666666666666667</v>
      </c>
      <c r="E18" s="27" t="s">
        <v>91</v>
      </c>
      <c r="F18" s="24" t="s">
        <v>46</v>
      </c>
      <c r="G18" s="12">
        <v>2</v>
      </c>
      <c r="H18" s="88">
        <f>IF(B$20=0,0,G18/B$20)</f>
        <v>1.9417475728155338E-2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14.125</v>
      </c>
      <c r="Q18" s="77">
        <v>8</v>
      </c>
      <c r="R18" s="68">
        <v>113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0.40776699029126212</v>
      </c>
      <c r="E19" s="27" t="s">
        <v>88</v>
      </c>
      <c r="F19" s="24" t="s">
        <v>43</v>
      </c>
      <c r="G19" s="12">
        <v>1</v>
      </c>
      <c r="H19" s="88">
        <f>IF(B$20=0,0,G19/B$20)</f>
        <v>9.7087378640776691E-3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163</v>
      </c>
      <c r="P19" s="83">
        <f>IF(Q19=0,0,R19/Q19)</f>
        <v>10.833333333333336</v>
      </c>
      <c r="Q19" s="77">
        <v>12</v>
      </c>
      <c r="R19" s="68">
        <v>130.00000000000003</v>
      </c>
    </row>
    <row r="20" spans="1:18" x14ac:dyDescent="0.4">
      <c r="A20" s="18" t="s">
        <v>10</v>
      </c>
      <c r="B20" s="11">
        <f>B23+B22</f>
        <v>103</v>
      </c>
      <c r="C20" s="5">
        <f>IF(B$3=0,0,B20/B$3)</f>
        <v>0.30294117647058821</v>
      </c>
      <c r="E20" s="27" t="s">
        <v>93</v>
      </c>
      <c r="F20" s="24" t="s">
        <v>48</v>
      </c>
      <c r="G20" s="12">
        <v>1</v>
      </c>
      <c r="H20" s="88">
        <f>IF(B$20=0,0,G20/B$20)</f>
        <v>9.7087378640776691E-3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126</v>
      </c>
      <c r="P20" s="83">
        <f>IF(Q20=0,0,R20/Q20)</f>
        <v>3.4499999999999993</v>
      </c>
      <c r="Q20" s="77">
        <v>34</v>
      </c>
      <c r="R20" s="68">
        <v>117.29999999999998</v>
      </c>
    </row>
    <row r="21" spans="1:18" x14ac:dyDescent="0.4">
      <c r="A21" s="19" t="s">
        <v>13</v>
      </c>
      <c r="B21" s="12">
        <v>59</v>
      </c>
      <c r="C21" s="6">
        <f>IF(B$3=0,0,B21/B$3)</f>
        <v>0.17352941176470588</v>
      </c>
      <c r="E21" s="27" t="s">
        <v>106</v>
      </c>
      <c r="F21" s="24" t="s">
        <v>113</v>
      </c>
      <c r="G21" s="12">
        <v>1</v>
      </c>
      <c r="H21" s="88">
        <f>IF(B$20=0,0,G21/B$20)</f>
        <v>9.7087378640776691E-3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>IF(Q21=0,0,R21/Q21)</f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48</v>
      </c>
      <c r="C22" s="6">
        <f>IF(B$20=0,0,B22/B$20)</f>
        <v>0.46601941747572817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55</v>
      </c>
      <c r="C23" s="6">
        <f>IF(B$20=0,0,B23/B$20)</f>
        <v>0.53398058252427183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42</v>
      </c>
      <c r="C24" s="6">
        <f>IF(B$20=0,0,B24/B$20)</f>
        <v>0.40776699029126212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42</v>
      </c>
      <c r="C25" s="6">
        <f>IF(B$20=0,0,B25/B$20)</f>
        <v>0.40776699029126212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19</v>
      </c>
      <c r="C26" s="6">
        <f>IF(B$20=0,0,B26/B$20)</f>
        <v>0.18446601941747573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7652.4271844660198</v>
      </c>
      <c r="C27" s="8">
        <v>788200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9288.5245901639337</v>
      </c>
      <c r="C28" s="96">
        <v>566600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5276.1904761904761</v>
      </c>
      <c r="C29" s="96">
        <v>221600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-7798.3050847457625</v>
      </c>
      <c r="C30" s="96">
        <v>-460100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21</v>
      </c>
      <c r="C32" s="90">
        <v>19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29">
        <v>89900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2.9411764705882353E-3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13</v>
      </c>
      <c r="C37" s="98">
        <f t="shared" ref="C37:C49" si="2">IF(B$20=0,0,B37/B$20)</f>
        <v>0.12621359223300971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24</v>
      </c>
      <c r="C38" s="6">
        <f t="shared" si="2"/>
        <v>0.23300970873786409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21</v>
      </c>
      <c r="C39" s="6">
        <f t="shared" si="2"/>
        <v>0.20388349514563106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19</v>
      </c>
      <c r="C40" s="6">
        <f t="shared" si="2"/>
        <v>0.18446601941747573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2"/>
        <v>4.8543689320388349E-2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4</v>
      </c>
      <c r="C42" s="6">
        <f t="shared" si="2"/>
        <v>3.8834951456310676E-2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13" x14ac:dyDescent="0.4">
      <c r="A43" s="19" t="s">
        <v>173</v>
      </c>
      <c r="B43" s="124">
        <v>5</v>
      </c>
      <c r="C43" s="6">
        <f t="shared" si="2"/>
        <v>4.8543689320388349E-2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2"/>
        <v>1.9417475728155338E-2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4</v>
      </c>
      <c r="C45" s="6">
        <f t="shared" si="2"/>
        <v>3.8834951456310676E-2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4</v>
      </c>
      <c r="C46" s="6">
        <f t="shared" si="2"/>
        <v>3.8834951456310676E-2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1.9417475728155338E-2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25</v>
      </c>
      <c r="C2" s="134"/>
      <c r="E2" s="26" t="s">
        <v>66</v>
      </c>
      <c r="F2" s="23" t="s">
        <v>22</v>
      </c>
      <c r="G2" s="11">
        <v>48</v>
      </c>
      <c r="H2" s="87">
        <f>IF(B$20=0,0,G2/B$20)</f>
        <v>0.90566037735849059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176</v>
      </c>
      <c r="Q2" s="76">
        <v>25</v>
      </c>
      <c r="R2" s="63">
        <v>4400</v>
      </c>
    </row>
    <row r="3" spans="1:18" x14ac:dyDescent="0.4">
      <c r="A3" s="19" t="s">
        <v>8</v>
      </c>
      <c r="B3" s="135">
        <v>206</v>
      </c>
      <c r="C3" s="136"/>
      <c r="E3" s="27" t="s">
        <v>72</v>
      </c>
      <c r="F3" s="24" t="s">
        <v>27</v>
      </c>
      <c r="G3" s="12">
        <v>32</v>
      </c>
      <c r="H3" s="88">
        <f>IF(B$20=0,0,G3/B$20)</f>
        <v>0.60377358490566035</v>
      </c>
      <c r="I3" s="58">
        <v>5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220</v>
      </c>
      <c r="Q3" s="77">
        <v>25</v>
      </c>
      <c r="R3" s="64">
        <v>5500</v>
      </c>
    </row>
    <row r="4" spans="1:18" x14ac:dyDescent="0.4">
      <c r="A4" s="19" t="s">
        <v>6</v>
      </c>
      <c r="B4" s="137">
        <v>-26.900000000000023</v>
      </c>
      <c r="C4" s="138"/>
      <c r="E4" s="27" t="s">
        <v>64</v>
      </c>
      <c r="F4" s="24" t="s">
        <v>20</v>
      </c>
      <c r="G4" s="12">
        <v>27</v>
      </c>
      <c r="H4" s="88">
        <f>IF(B$20=0,0,G4/B$20)</f>
        <v>0.50943396226415094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-87.5</v>
      </c>
      <c r="Q4" s="77">
        <v>24</v>
      </c>
      <c r="R4" s="64">
        <v>-2100</v>
      </c>
    </row>
    <row r="5" spans="1:18" x14ac:dyDescent="0.4">
      <c r="A5" s="19" t="s">
        <v>7</v>
      </c>
      <c r="B5" s="125">
        <f>IF(B$2=0,0,B$4/B$2)</f>
        <v>-1.076000000000001</v>
      </c>
      <c r="C5" s="126"/>
      <c r="E5" s="27" t="s">
        <v>159</v>
      </c>
      <c r="F5" s="24" t="s">
        <v>160</v>
      </c>
      <c r="G5" s="12">
        <v>24</v>
      </c>
      <c r="H5" s="88">
        <f>IF(B$20=0,0,G5/B$20)</f>
        <v>0.45283018867924529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-1942.8571428571429</v>
      </c>
      <c r="Q5" s="77">
        <v>21</v>
      </c>
      <c r="R5" s="64">
        <v>-40800</v>
      </c>
    </row>
    <row r="6" spans="1:18" x14ac:dyDescent="0.4">
      <c r="A6" s="19" t="s">
        <v>196</v>
      </c>
      <c r="B6" s="129">
        <v>1531.0608147403154</v>
      </c>
      <c r="C6" s="130"/>
      <c r="E6" s="27" t="s">
        <v>67</v>
      </c>
      <c r="F6" s="24" t="s">
        <v>23</v>
      </c>
      <c r="G6" s="12">
        <v>14</v>
      </c>
      <c r="H6" s="88">
        <f>IF(B$20=0,0,G6/B$20)</f>
        <v>0.26415094339622641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2045</v>
      </c>
      <c r="Q6" s="77">
        <v>20</v>
      </c>
      <c r="R6" s="64">
        <v>40900</v>
      </c>
    </row>
    <row r="7" spans="1:18" x14ac:dyDescent="0.4">
      <c r="A7" s="19" t="s">
        <v>1</v>
      </c>
      <c r="B7" s="139">
        <f>IF(B$2=0,0,(B$8*1+B$9*2+B$10*3)/B$2)</f>
        <v>1.96</v>
      </c>
      <c r="C7" s="140"/>
      <c r="E7" s="27" t="s">
        <v>68</v>
      </c>
      <c r="F7" s="24" t="s">
        <v>12</v>
      </c>
      <c r="G7" s="12">
        <v>12</v>
      </c>
      <c r="H7" s="88">
        <f>IF(B$20=0,0,G7/B$20)</f>
        <v>0.22641509433962265</v>
      </c>
      <c r="I7" s="58">
        <v>11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-341.1764705882353</v>
      </c>
      <c r="Q7" s="78">
        <v>17</v>
      </c>
      <c r="R7" s="65">
        <v>-5800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0.24</v>
      </c>
      <c r="E8" s="27" t="s">
        <v>65</v>
      </c>
      <c r="F8" s="24" t="s">
        <v>21</v>
      </c>
      <c r="G8" s="12">
        <v>11</v>
      </c>
      <c r="H8" s="88">
        <f>IF(B$20=0,0,G8/B$20)</f>
        <v>0.20754716981132076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0.56000000000000005</v>
      </c>
      <c r="E9" s="27" t="s">
        <v>69</v>
      </c>
      <c r="F9" s="24" t="s">
        <v>24</v>
      </c>
      <c r="G9" s="12">
        <v>6</v>
      </c>
      <c r="H9" s="88">
        <f>IF(B$20=0,0,G9/B$20)</f>
        <v>0.11320754716981132</v>
      </c>
      <c r="I9" s="58">
        <v>6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0.2</v>
      </c>
      <c r="E10" s="27" t="s">
        <v>89</v>
      </c>
      <c r="F10" s="24" t="s">
        <v>44</v>
      </c>
      <c r="G10" s="12">
        <v>6</v>
      </c>
      <c r="H10" s="88">
        <f>IF(B$20=0,0,G10/B$20)</f>
        <v>0.11320754716981132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9.4339622641509441E-2</v>
      </c>
      <c r="I11" s="58">
        <v>5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-5.1374999999999993</v>
      </c>
      <c r="Q11" s="77">
        <v>8</v>
      </c>
      <c r="R11" s="68">
        <v>-41.099999999999994</v>
      </c>
    </row>
    <row r="12" spans="1:18" x14ac:dyDescent="0.4">
      <c r="A12" s="20" t="s">
        <v>185</v>
      </c>
      <c r="B12" s="109">
        <f>IF(B9=0,0,C12/B9)</f>
        <v>-1.6142857142857141</v>
      </c>
      <c r="C12" s="110">
        <v>-22.599999999999998</v>
      </c>
      <c r="E12" s="27" t="s">
        <v>86</v>
      </c>
      <c r="F12" s="24" t="s">
        <v>41</v>
      </c>
      <c r="G12" s="12">
        <v>4</v>
      </c>
      <c r="H12" s="88">
        <f>IF(B$20=0,0,G12/B$20)</f>
        <v>7.5471698113207544E-2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7.1125000000000007</v>
      </c>
      <c r="Q12" s="78">
        <v>8</v>
      </c>
      <c r="R12" s="69">
        <v>56.900000000000006</v>
      </c>
    </row>
    <row r="13" spans="1:18" x14ac:dyDescent="0.4">
      <c r="A13" s="20" t="s">
        <v>186</v>
      </c>
      <c r="B13" s="109">
        <f>IF(B10=0,0,C13/B10)</f>
        <v>-40.4</v>
      </c>
      <c r="C13" s="110">
        <v>-202</v>
      </c>
      <c r="E13" s="27" t="s">
        <v>79</v>
      </c>
      <c r="F13" s="24" t="s">
        <v>34</v>
      </c>
      <c r="G13" s="12">
        <v>2</v>
      </c>
      <c r="H13" s="88">
        <f>IF(B$20=0,0,G13/B$20)</f>
        <v>3.7735849056603772E-2</v>
      </c>
      <c r="I13" s="58">
        <v>1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-3.0214285714285722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3.7735849056603772E-2</v>
      </c>
      <c r="I14" s="58">
        <v>5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0.08</v>
      </c>
      <c r="E15" s="27" t="s">
        <v>71</v>
      </c>
      <c r="F15" s="24" t="s">
        <v>26</v>
      </c>
      <c r="G15" s="12">
        <v>1</v>
      </c>
      <c r="H15" s="88">
        <f>IF(B$20=0,0,G15/B$20)</f>
        <v>1.8867924528301886E-2</v>
      </c>
      <c r="I15" s="58">
        <v>8</v>
      </c>
      <c r="K15" s="74">
        <v>13</v>
      </c>
      <c r="L15" s="119">
        <v>-93.500000000000014</v>
      </c>
      <c r="M15" s="117">
        <v>1513.7987256195274</v>
      </c>
      <c r="O15" s="73" t="s">
        <v>211</v>
      </c>
      <c r="P15" s="82">
        <f>IF(Q15=0,0,R15/Q15)</f>
        <v>15.600000000000001</v>
      </c>
      <c r="Q15" s="76">
        <v>8</v>
      </c>
      <c r="R15" s="67">
        <v>124.80000000000001</v>
      </c>
    </row>
    <row r="16" spans="1:18" x14ac:dyDescent="0.4">
      <c r="A16" s="22" t="s">
        <v>121</v>
      </c>
      <c r="B16" s="15">
        <v>47</v>
      </c>
      <c r="C16" s="10">
        <f>IF(B$3=0,0,B16/B$3)</f>
        <v>0.22815533980582525</v>
      </c>
      <c r="E16" s="27" t="s">
        <v>83</v>
      </c>
      <c r="F16" s="24" t="s">
        <v>38</v>
      </c>
      <c r="G16" s="12">
        <v>1</v>
      </c>
      <c r="H16" s="88">
        <f>IF(B$20=0,0,G16/B$20)</f>
        <v>1.8867924528301886E-2</v>
      </c>
      <c r="I16" s="58">
        <v>7</v>
      </c>
      <c r="K16" s="74">
        <v>14</v>
      </c>
      <c r="L16" s="119">
        <v>-79.200000000000017</v>
      </c>
      <c r="M16" s="117">
        <v>1517.1299332658102</v>
      </c>
      <c r="O16" s="74" t="s">
        <v>192</v>
      </c>
      <c r="P16" s="83">
        <f>IF(Q16=0,0,R16/Q16)</f>
        <v>9.2090909090909108</v>
      </c>
      <c r="Q16" s="77">
        <v>11</v>
      </c>
      <c r="R16" s="68">
        <v>101.30000000000001</v>
      </c>
    </row>
    <row r="17" spans="1:18" x14ac:dyDescent="0.4">
      <c r="A17" s="19" t="s">
        <v>118</v>
      </c>
      <c r="B17" s="12">
        <v>45</v>
      </c>
      <c r="C17" s="6">
        <f>IF(B$3=0,0,B17/B$3)</f>
        <v>0.21844660194174756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126</v>
      </c>
      <c r="P17" s="83">
        <f>IF(Q17=0,0,R17/Q17)</f>
        <v>-6.625</v>
      </c>
      <c r="Q17" s="77">
        <v>20</v>
      </c>
      <c r="R17" s="68">
        <v>-132.5</v>
      </c>
    </row>
    <row r="18" spans="1:18" x14ac:dyDescent="0.4">
      <c r="A18" s="18" t="s">
        <v>123</v>
      </c>
      <c r="B18" s="11">
        <f>B24</f>
        <v>27</v>
      </c>
      <c r="C18" s="5">
        <f>IF(B$16=0,0,B18/B$16)</f>
        <v>0.57446808510638303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>IF(Q18=0,0,R18/Q18)</f>
        <v>-8.7333333333333325</v>
      </c>
      <c r="Q18" s="77">
        <v>6</v>
      </c>
      <c r="R18" s="68">
        <v>-52.4</v>
      </c>
    </row>
    <row r="19" spans="1:18" x14ac:dyDescent="0.4">
      <c r="A19" s="18" t="s">
        <v>124</v>
      </c>
      <c r="B19" s="11">
        <f>B25</f>
        <v>17</v>
      </c>
      <c r="C19" s="5">
        <f>IF(B$17=0,0,B19/B$17)</f>
        <v>0.37777777777777777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>IF(Q19=0,0,R19/Q19)</f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53</v>
      </c>
      <c r="C20" s="5">
        <f>IF(B$3=0,0,B20/B$3)</f>
        <v>0.25728155339805825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22</v>
      </c>
      <c r="C21" s="6">
        <f>IF(B$3=0,0,B21/B$3)</f>
        <v>0.10679611650485436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16</v>
      </c>
      <c r="C22" s="6">
        <f>IF(B$20=0,0,B22/B$20)</f>
        <v>0.30188679245283018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37</v>
      </c>
      <c r="C23" s="6">
        <f>IF(B$20=0,0,B23/B$20)</f>
        <v>0.69811320754716977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27</v>
      </c>
      <c r="C24" s="6">
        <f>IF(B$20=0,0,B24/B$20)</f>
        <v>0.50943396226415094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17</v>
      </c>
      <c r="C25" s="6">
        <f>IF(B$20=0,0,B25/B$20)</f>
        <v>0.32075471698113206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9</v>
      </c>
      <c r="C26" s="6">
        <f>IF(B$20=0,0,B26/B$20)</f>
        <v>0.16981132075471697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7824.5283018867922</v>
      </c>
      <c r="C27" s="8">
        <v>414700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7666.666666666667</v>
      </c>
      <c r="C28" s="96">
        <v>276000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8158.8235294117649</v>
      </c>
      <c r="C29" s="96">
        <v>138700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-6495.454545454545</v>
      </c>
      <c r="C30" s="96">
        <v>-142900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1.8867924528301886E-2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2"/>
        <v>0.16981132075471697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13</v>
      </c>
      <c r="C39" s="6">
        <f t="shared" si="2"/>
        <v>0.24528301886792453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16</v>
      </c>
      <c r="C40" s="6">
        <f t="shared" si="2"/>
        <v>0.30188679245283018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2"/>
        <v>0.11320754716981132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2"/>
        <v>7.5471698113207544E-2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5.6603773584905662E-2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1.8867924528301886E-2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37</v>
      </c>
      <c r="C2" s="134"/>
      <c r="E2" s="26" t="s">
        <v>66</v>
      </c>
      <c r="F2" s="23" t="s">
        <v>22</v>
      </c>
      <c r="G2" s="11">
        <v>67</v>
      </c>
      <c r="H2" s="87">
        <f>IF(B$20=0,0,G2/B$20)</f>
        <v>0.72826086956521741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-8.1081081081081088</v>
      </c>
      <c r="Q2" s="76">
        <v>37</v>
      </c>
      <c r="R2" s="63">
        <v>-300</v>
      </c>
    </row>
    <row r="3" spans="1:18" x14ac:dyDescent="0.4">
      <c r="A3" s="19" t="s">
        <v>8</v>
      </c>
      <c r="B3" s="135">
        <v>309</v>
      </c>
      <c r="C3" s="136"/>
      <c r="E3" s="27" t="s">
        <v>72</v>
      </c>
      <c r="F3" s="24" t="s">
        <v>27</v>
      </c>
      <c r="G3" s="12">
        <v>53</v>
      </c>
      <c r="H3" s="88">
        <f>IF(B$20=0,0,G3/B$20)</f>
        <v>0.57608695652173914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1072.9729729729729</v>
      </c>
      <c r="Q3" s="77">
        <v>37</v>
      </c>
      <c r="R3" s="64">
        <v>39700</v>
      </c>
    </row>
    <row r="4" spans="1:18" x14ac:dyDescent="0.4">
      <c r="A4" s="19" t="s">
        <v>6</v>
      </c>
      <c r="B4" s="137">
        <v>17.09999999999998</v>
      </c>
      <c r="C4" s="138"/>
      <c r="E4" s="27" t="s">
        <v>64</v>
      </c>
      <c r="F4" s="24" t="s">
        <v>20</v>
      </c>
      <c r="G4" s="12">
        <v>37</v>
      </c>
      <c r="H4" s="88">
        <f>IF(B$20=0,0,G4/B$20)</f>
        <v>0.40217391304347827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1364.8648648648648</v>
      </c>
      <c r="Q4" s="77">
        <v>37</v>
      </c>
      <c r="R4" s="64">
        <v>50500</v>
      </c>
    </row>
    <row r="5" spans="1:18" x14ac:dyDescent="0.4">
      <c r="A5" s="19" t="s">
        <v>7</v>
      </c>
      <c r="B5" s="125">
        <f>IF(B$2=0,0,B$4/B$2)</f>
        <v>0.4621621621621616</v>
      </c>
      <c r="C5" s="126"/>
      <c r="E5" s="27" t="s">
        <v>159</v>
      </c>
      <c r="F5" s="24" t="s">
        <v>160</v>
      </c>
      <c r="G5" s="12">
        <v>26</v>
      </c>
      <c r="H5" s="88">
        <f>IF(B$20=0,0,G5/B$20)</f>
        <v>0.28260869565217389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-885.29411764705878</v>
      </c>
      <c r="Q5" s="77">
        <v>34</v>
      </c>
      <c r="R5" s="64">
        <v>-30100</v>
      </c>
    </row>
    <row r="6" spans="1:18" x14ac:dyDescent="0.4">
      <c r="A6" s="19" t="s">
        <v>196</v>
      </c>
      <c r="B6" s="129">
        <v>1506.4237748633886</v>
      </c>
      <c r="C6" s="130"/>
      <c r="E6" s="27" t="s">
        <v>67</v>
      </c>
      <c r="F6" s="24" t="s">
        <v>23</v>
      </c>
      <c r="G6" s="12">
        <v>24</v>
      </c>
      <c r="H6" s="88">
        <f>IF(B$20=0,0,G6/B$20)</f>
        <v>0.2608695652173913</v>
      </c>
      <c r="I6" s="58">
        <v>4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-1010</v>
      </c>
      <c r="Q6" s="77">
        <v>30</v>
      </c>
      <c r="R6" s="64">
        <v>-30300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24</v>
      </c>
      <c r="H7" s="88">
        <f>IF(B$20=0,0,G7/B$20)</f>
        <v>0.2608695652173913</v>
      </c>
      <c r="I7" s="58">
        <v>8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321.42857142857144</v>
      </c>
      <c r="Q7" s="78">
        <v>28</v>
      </c>
      <c r="R7" s="65">
        <v>9000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0.35135135135135137</v>
      </c>
      <c r="E8" s="27" t="s">
        <v>89</v>
      </c>
      <c r="F8" s="24" t="s">
        <v>44</v>
      </c>
      <c r="G8" s="12">
        <v>17</v>
      </c>
      <c r="H8" s="88">
        <f>IF(B$20=0,0,G8/B$20)</f>
        <v>0.18478260869565216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0.29729729729729731</v>
      </c>
      <c r="E9" s="27" t="s">
        <v>69</v>
      </c>
      <c r="F9" s="24" t="s">
        <v>24</v>
      </c>
      <c r="G9" s="12">
        <v>11</v>
      </c>
      <c r="H9" s="88">
        <f>IF(B$20=0,0,G9/B$20)</f>
        <v>0.11956521739130435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0.35135135135135137</v>
      </c>
      <c r="E10" s="27" t="s">
        <v>71</v>
      </c>
      <c r="F10" s="24" t="s">
        <v>26</v>
      </c>
      <c r="G10" s="12">
        <v>7</v>
      </c>
      <c r="H10" s="88">
        <f>IF(B$20=0,0,G10/B$20)</f>
        <v>7.6086956521739135E-2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-8.2555555555555546</v>
      </c>
      <c r="Q10" s="76">
        <v>9</v>
      </c>
      <c r="R10" s="67">
        <v>-74.3</v>
      </c>
    </row>
    <row r="11" spans="1:18" x14ac:dyDescent="0.4">
      <c r="A11" s="20" t="s">
        <v>184</v>
      </c>
      <c r="B11" s="109">
        <f>IF(B8=0,0,C11/B8)</f>
        <v>31.938461538461539</v>
      </c>
      <c r="C11" s="110">
        <v>415.2</v>
      </c>
      <c r="E11" s="27" t="s">
        <v>86</v>
      </c>
      <c r="F11" s="24" t="s">
        <v>41</v>
      </c>
      <c r="G11" s="12">
        <v>7</v>
      </c>
      <c r="H11" s="88">
        <f>IF(B$20=0,0,G11/B$20)</f>
        <v>7.6086956521739135E-2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0.78461538461538538</v>
      </c>
      <c r="Q11" s="77">
        <v>13</v>
      </c>
      <c r="R11" s="68">
        <v>10.20000000000001</v>
      </c>
    </row>
    <row r="12" spans="1:18" x14ac:dyDescent="0.4">
      <c r="A12" s="20" t="s">
        <v>185</v>
      </c>
      <c r="B12" s="109">
        <f>IF(B9=0,0,C12/B9)</f>
        <v>-1.5545454545454549</v>
      </c>
      <c r="C12" s="110">
        <v>-17.100000000000005</v>
      </c>
      <c r="E12" s="27" t="s">
        <v>83</v>
      </c>
      <c r="F12" s="24" t="s">
        <v>38</v>
      </c>
      <c r="G12" s="12">
        <v>6</v>
      </c>
      <c r="H12" s="88">
        <f>IF(B$20=0,0,G12/B$20)</f>
        <v>6.5217391304347824E-2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5.4133333333333331</v>
      </c>
      <c r="Q12" s="78">
        <v>15</v>
      </c>
      <c r="R12" s="69">
        <v>81.2</v>
      </c>
    </row>
    <row r="13" spans="1:18" x14ac:dyDescent="0.4">
      <c r="A13" s="20" t="s">
        <v>186</v>
      </c>
      <c r="B13" s="109">
        <f>IF(B10=0,0,C13/B10)</f>
        <v>-29.307692307692314</v>
      </c>
      <c r="C13" s="110">
        <v>-381.00000000000006</v>
      </c>
      <c r="E13" s="27" t="s">
        <v>65</v>
      </c>
      <c r="F13" s="24" t="s">
        <v>21</v>
      </c>
      <c r="G13" s="12">
        <v>5</v>
      </c>
      <c r="H13" s="88">
        <f>IF(B$20=0,0,G13/B$20)</f>
        <v>5.434782608695652E-2</v>
      </c>
      <c r="I13" s="58">
        <v>9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0.35874125874125679</v>
      </c>
      <c r="C14" s="126"/>
      <c r="E14" s="27" t="s">
        <v>91</v>
      </c>
      <c r="F14" s="24" t="s">
        <v>46</v>
      </c>
      <c r="G14" s="12">
        <v>5</v>
      </c>
      <c r="H14" s="88">
        <f>IF(B$20=0,0,G14/B$20)</f>
        <v>5.434782608695652E-2</v>
      </c>
      <c r="I14" s="58">
        <v>1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70</v>
      </c>
      <c r="F15" s="24" t="s">
        <v>25</v>
      </c>
      <c r="G15" s="12">
        <v>4</v>
      </c>
      <c r="H15" s="88">
        <f>IF(B$20=0,0,G15/B$20)</f>
        <v>4.3478260869565216E-2</v>
      </c>
      <c r="I15" s="58">
        <v>9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63</v>
      </c>
      <c r="C16" s="10">
        <f>IF(B$3=0,0,B16/B$3)</f>
        <v>0.20388349514563106</v>
      </c>
      <c r="E16" s="27" t="s">
        <v>81</v>
      </c>
      <c r="F16" s="24" t="s">
        <v>36</v>
      </c>
      <c r="G16" s="12">
        <v>4</v>
      </c>
      <c r="H16" s="88">
        <f>IF(B$20=0,0,G16/B$20)</f>
        <v>4.3478260869565216E-2</v>
      </c>
      <c r="I16" s="58">
        <v>3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>IF(Q16=0,0,R16/Q16)</f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67</v>
      </c>
      <c r="C17" s="6">
        <f>IF(B$3=0,0,B17/B$3)</f>
        <v>0.2168284789644013</v>
      </c>
      <c r="E17" s="27" t="s">
        <v>78</v>
      </c>
      <c r="F17" s="24" t="s">
        <v>33</v>
      </c>
      <c r="G17" s="12">
        <v>3</v>
      </c>
      <c r="H17" s="88">
        <f>IF(B$20=0,0,G17/B$20)</f>
        <v>3.2608695652173912E-2</v>
      </c>
      <c r="I17" s="58">
        <v>4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35</v>
      </c>
      <c r="C18" s="5">
        <f>IF(B$16=0,0,B18/B$16)</f>
        <v>0.55555555555555558</v>
      </c>
      <c r="E18" s="27" t="s">
        <v>73</v>
      </c>
      <c r="F18" s="24" t="s">
        <v>28</v>
      </c>
      <c r="G18" s="12">
        <v>2</v>
      </c>
      <c r="H18" s="88">
        <f>IF(B$20=0,0,G18/B$20)</f>
        <v>2.1739130434782608E-2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>IF(Q18=0,0,R18/Q18)</f>
        <v>3.9166666666666674</v>
      </c>
      <c r="Q18" s="77">
        <v>12</v>
      </c>
      <c r="R18" s="68">
        <v>47.000000000000007</v>
      </c>
    </row>
    <row r="19" spans="1:18" x14ac:dyDescent="0.4">
      <c r="A19" s="18" t="s">
        <v>124</v>
      </c>
      <c r="B19" s="11">
        <f>B25</f>
        <v>32</v>
      </c>
      <c r="C19" s="5">
        <f>IF(B$17=0,0,B19/B$17)</f>
        <v>0.47761194029850745</v>
      </c>
      <c r="E19" s="27" t="s">
        <v>75</v>
      </c>
      <c r="F19" s="24" t="s">
        <v>30</v>
      </c>
      <c r="G19" s="12">
        <v>1</v>
      </c>
      <c r="H19" s="88">
        <f>IF(B$20=0,0,G19/B$20)</f>
        <v>1.0869565217391304E-2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195</v>
      </c>
      <c r="P19" s="83">
        <f>IF(Q19=0,0,R19/Q19)</f>
        <v>-3.0750000000000011</v>
      </c>
      <c r="Q19" s="77">
        <v>4</v>
      </c>
      <c r="R19" s="68">
        <v>-12.300000000000004</v>
      </c>
    </row>
    <row r="20" spans="1:18" x14ac:dyDescent="0.4">
      <c r="A20" s="18" t="s">
        <v>10</v>
      </c>
      <c r="B20" s="11">
        <f>B23+B22</f>
        <v>92</v>
      </c>
      <c r="C20" s="5">
        <f>IF(B$3=0,0,B20/B$3)</f>
        <v>0.29773462783171523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-4.1523809523809518</v>
      </c>
      <c r="Q20" s="77">
        <v>21</v>
      </c>
      <c r="R20" s="68">
        <v>-87.199999999999989</v>
      </c>
    </row>
    <row r="21" spans="1:18" x14ac:dyDescent="0.4">
      <c r="A21" s="19" t="s">
        <v>13</v>
      </c>
      <c r="B21" s="12">
        <v>43</v>
      </c>
      <c r="C21" s="6">
        <f>IF(B$3=0,0,B21/B$3)</f>
        <v>0.13915857605177995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193</v>
      </c>
      <c r="P21" s="83">
        <f>IF(Q21=0,0,R21/Q21)</f>
        <v>-7.1999999999999993</v>
      </c>
      <c r="Q21" s="77">
        <v>2</v>
      </c>
      <c r="R21" s="68">
        <v>-14.399999999999999</v>
      </c>
    </row>
    <row r="22" spans="1:18" x14ac:dyDescent="0.4">
      <c r="A22" s="19" t="s">
        <v>12</v>
      </c>
      <c r="B22" s="12">
        <v>38</v>
      </c>
      <c r="C22" s="6">
        <f>IF(B$20=0,0,B22/B$20)</f>
        <v>0.41304347826086957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189</v>
      </c>
      <c r="P22" s="83">
        <f>IF(Q22=0,0,R22/Q22)</f>
        <v>-14.125</v>
      </c>
      <c r="Q22" s="77">
        <v>8</v>
      </c>
      <c r="R22" s="68">
        <v>-113</v>
      </c>
    </row>
    <row r="23" spans="1:18" x14ac:dyDescent="0.4">
      <c r="A23" s="19" t="s">
        <v>11</v>
      </c>
      <c r="B23" s="12">
        <v>54</v>
      </c>
      <c r="C23" s="6">
        <f>IF(B$20=0,0,B23/B$20)</f>
        <v>0.58695652173913049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190</v>
      </c>
      <c r="P23" s="83">
        <f>IF(Q23=0,0,R23/Q23)</f>
        <v>-15.600000000000001</v>
      </c>
      <c r="Q23" s="77">
        <v>8</v>
      </c>
      <c r="R23" s="68">
        <v>-124.80000000000001</v>
      </c>
    </row>
    <row r="24" spans="1:18" x14ac:dyDescent="0.4">
      <c r="A24" s="19" t="s">
        <v>183</v>
      </c>
      <c r="B24" s="12">
        <v>35</v>
      </c>
      <c r="C24" s="6">
        <f>IF(B$20=0,0,B24/B$20)</f>
        <v>0.38043478260869568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32</v>
      </c>
      <c r="C25" s="6">
        <f>IF(B$20=0,0,B25/B$20)</f>
        <v>0.34782608695652173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25</v>
      </c>
      <c r="C26" s="6">
        <f>IF(B$20=0,0,B26/B$20)</f>
        <v>0.27173913043478259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7730.434782608696</v>
      </c>
      <c r="C27" s="8">
        <v>711200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7938.333333333333</v>
      </c>
      <c r="C28" s="96">
        <v>476300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7340.625</v>
      </c>
      <c r="C29" s="96">
        <v>234900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-6369.7674418604647</v>
      </c>
      <c r="C30" s="96">
        <v>-273900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8.6956521739130432E-2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21</v>
      </c>
      <c r="C38" s="6">
        <f t="shared" si="2"/>
        <v>0.22826086956521738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17</v>
      </c>
      <c r="C39" s="6">
        <f t="shared" si="2"/>
        <v>0.18478260869565216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12</v>
      </c>
      <c r="C40" s="6">
        <f t="shared" si="2"/>
        <v>0.13043478260869565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11</v>
      </c>
      <c r="C41" s="6">
        <f t="shared" si="2"/>
        <v>0.11956521739130435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11</v>
      </c>
      <c r="C42" s="6">
        <f t="shared" si="2"/>
        <v>0.11956521739130435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5</v>
      </c>
      <c r="C43" s="6">
        <f t="shared" si="2"/>
        <v>5.434782608695652E-2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2"/>
        <v>4.3478260869565216E-2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1.0869565217391304E-2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1</v>
      </c>
      <c r="C46" s="6">
        <f t="shared" si="2"/>
        <v>1.0869565217391304E-2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2"/>
        <v>1.0869565217391304E-2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43</v>
      </c>
      <c r="C2" s="134"/>
      <c r="E2" s="26" t="s">
        <v>66</v>
      </c>
      <c r="F2" s="23" t="s">
        <v>22</v>
      </c>
      <c r="G2" s="11">
        <v>93</v>
      </c>
      <c r="H2" s="87">
        <f>IF(B$20=0,0,G2/B$20)</f>
        <v>0.75609756097560976</v>
      </c>
      <c r="I2" s="57">
        <v>7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-158.13953488372093</v>
      </c>
      <c r="Q2" s="76">
        <v>43</v>
      </c>
      <c r="R2" s="63">
        <v>-6800</v>
      </c>
    </row>
    <row r="3" spans="1:18" x14ac:dyDescent="0.4">
      <c r="A3" s="19" t="s">
        <v>8</v>
      </c>
      <c r="B3" s="135">
        <v>374</v>
      </c>
      <c r="C3" s="136"/>
      <c r="E3" s="27" t="s">
        <v>72</v>
      </c>
      <c r="F3" s="24" t="s">
        <v>27</v>
      </c>
      <c r="G3" s="12">
        <v>76</v>
      </c>
      <c r="H3" s="88">
        <f>IF(B$20=0,0,G3/B$20)</f>
        <v>0.61788617886178865</v>
      </c>
      <c r="I3" s="58">
        <v>4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850</v>
      </c>
      <c r="Q3" s="77">
        <v>40</v>
      </c>
      <c r="R3" s="64">
        <v>34000</v>
      </c>
    </row>
    <row r="4" spans="1:18" x14ac:dyDescent="0.4">
      <c r="A4" s="19" t="s">
        <v>6</v>
      </c>
      <c r="B4" s="137">
        <v>234.09999999999994</v>
      </c>
      <c r="C4" s="138"/>
      <c r="E4" s="27" t="s">
        <v>159</v>
      </c>
      <c r="F4" s="24" t="s">
        <v>160</v>
      </c>
      <c r="G4" s="12">
        <v>62</v>
      </c>
      <c r="H4" s="88">
        <f>IF(B$20=0,0,G4/B$20)</f>
        <v>0.50406504065040647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58.536585365853661</v>
      </c>
      <c r="Q4" s="77">
        <v>41</v>
      </c>
      <c r="R4" s="64">
        <v>2400</v>
      </c>
    </row>
    <row r="5" spans="1:18" x14ac:dyDescent="0.4">
      <c r="A5" s="19" t="s">
        <v>7</v>
      </c>
      <c r="B5" s="125">
        <f>IF(B$2=0,0,B$4/B$2)</f>
        <v>5.4441860465116267</v>
      </c>
      <c r="C5" s="126"/>
      <c r="E5" s="27" t="s">
        <v>64</v>
      </c>
      <c r="F5" s="24" t="s">
        <v>20</v>
      </c>
      <c r="G5" s="12">
        <v>41</v>
      </c>
      <c r="H5" s="88">
        <f>IF(B$20=0,0,G5/B$20)</f>
        <v>0.33333333333333331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2318.4210526315787</v>
      </c>
      <c r="Q5" s="77">
        <v>38</v>
      </c>
      <c r="R5" s="64">
        <v>88100</v>
      </c>
    </row>
    <row r="6" spans="1:18" x14ac:dyDescent="0.4">
      <c r="A6" s="19" t="s">
        <v>196</v>
      </c>
      <c r="B6" s="129">
        <v>1573.2920192249817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0.26016260162601629</v>
      </c>
      <c r="I6" s="58">
        <v>9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808.57142857142856</v>
      </c>
      <c r="Q6" s="77">
        <v>35</v>
      </c>
      <c r="R6" s="64">
        <v>28300</v>
      </c>
    </row>
    <row r="7" spans="1:18" x14ac:dyDescent="0.4">
      <c r="A7" s="19" t="s">
        <v>1</v>
      </c>
      <c r="B7" s="139">
        <f>IF(B$2=0,0,(B$8*1+B$9*2+B$10*3)/B$2)</f>
        <v>1.7906976744186047</v>
      </c>
      <c r="C7" s="140"/>
      <c r="E7" s="27" t="s">
        <v>70</v>
      </c>
      <c r="F7" s="24" t="s">
        <v>25</v>
      </c>
      <c r="G7" s="12">
        <v>17</v>
      </c>
      <c r="H7" s="88">
        <f>IF(B$20=0,0,G7/B$20)</f>
        <v>0.13821138211382114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79.310344827586206</v>
      </c>
      <c r="Q7" s="78">
        <v>29</v>
      </c>
      <c r="R7" s="65">
        <v>2300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0.44186046511627908</v>
      </c>
      <c r="E8" s="27" t="s">
        <v>67</v>
      </c>
      <c r="F8" s="24" t="s">
        <v>23</v>
      </c>
      <c r="G8" s="12">
        <v>16</v>
      </c>
      <c r="H8" s="88">
        <f>IF(B$20=0,0,G8/B$20)</f>
        <v>0.13008130081300814</v>
      </c>
      <c r="I8" s="58">
        <v>10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0.32558139534883723</v>
      </c>
      <c r="E9" s="27" t="s">
        <v>89</v>
      </c>
      <c r="F9" s="24" t="s">
        <v>44</v>
      </c>
      <c r="G9" s="12">
        <v>14</v>
      </c>
      <c r="H9" s="88">
        <f>IF(B$20=0,0,G9/B$20)</f>
        <v>0.11382113821138211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10</v>
      </c>
      <c r="C10" s="7">
        <f t="shared" si="1"/>
        <v>0.23255813953488372</v>
      </c>
      <c r="E10" s="27" t="s">
        <v>71</v>
      </c>
      <c r="F10" s="24" t="s">
        <v>26</v>
      </c>
      <c r="G10" s="12">
        <v>13</v>
      </c>
      <c r="H10" s="88">
        <f>IF(B$20=0,0,G10/B$20)</f>
        <v>0.10569105691056911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14.277777777777779</v>
      </c>
      <c r="Q10" s="76">
        <v>18</v>
      </c>
      <c r="R10" s="67">
        <v>257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8.943089430894309E-2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">
      <c r="A12" s="20" t="s">
        <v>185</v>
      </c>
      <c r="B12" s="109">
        <f>IF(B9=0,0,C12/B9)</f>
        <v>-4.7285714285714278</v>
      </c>
      <c r="C12" s="110">
        <v>-66.199999999999989</v>
      </c>
      <c r="E12" s="27" t="s">
        <v>65</v>
      </c>
      <c r="F12" s="24" t="s">
        <v>21</v>
      </c>
      <c r="G12" s="12">
        <v>5</v>
      </c>
      <c r="H12" s="88">
        <f>IF(B$20=0,0,G12/B$20)</f>
        <v>4.065040650406504E-2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-2.745454545454546</v>
      </c>
      <c r="Q12" s="78">
        <v>11</v>
      </c>
      <c r="R12" s="69">
        <v>-30.200000000000006</v>
      </c>
    </row>
    <row r="13" spans="1:18" x14ac:dyDescent="0.4">
      <c r="A13" s="20" t="s">
        <v>186</v>
      </c>
      <c r="B13" s="109">
        <f>IF(B10=0,0,C13/B10)</f>
        <v>-38.480000000000004</v>
      </c>
      <c r="C13" s="110">
        <v>-384.8</v>
      </c>
      <c r="E13" s="27" t="s">
        <v>78</v>
      </c>
      <c r="F13" s="24" t="s">
        <v>33</v>
      </c>
      <c r="G13" s="12">
        <v>4</v>
      </c>
      <c r="H13" s="88">
        <f>IF(B$20=0,0,G13/B$20)</f>
        <v>3.2520325203252036E-2</v>
      </c>
      <c r="I13" s="58">
        <v>5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-2.3835588972431077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3.2520325203252036E-2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9.3023255813953487E-2</v>
      </c>
      <c r="E15" s="27" t="s">
        <v>79</v>
      </c>
      <c r="F15" s="24" t="s">
        <v>34</v>
      </c>
      <c r="G15" s="12">
        <v>3</v>
      </c>
      <c r="H15" s="88">
        <f>IF(B$20=0,0,G15/B$20)</f>
        <v>2.4390243902439025E-2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76</v>
      </c>
      <c r="C16" s="10">
        <f>IF(B$3=0,0,B16/B$3)</f>
        <v>0.20320855614973263</v>
      </c>
      <c r="E16" s="27" t="s">
        <v>81</v>
      </c>
      <c r="F16" s="24" t="s">
        <v>36</v>
      </c>
      <c r="G16" s="12">
        <v>3</v>
      </c>
      <c r="H16" s="88">
        <f>IF(B$20=0,0,G16/B$20)</f>
        <v>2.4390243902439025E-2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100</v>
      </c>
      <c r="C17" s="6">
        <f>IF(B$3=0,0,B17/B$3)</f>
        <v>0.26737967914438504</v>
      </c>
      <c r="E17" s="27" t="s">
        <v>83</v>
      </c>
      <c r="F17" s="24" t="s">
        <v>38</v>
      </c>
      <c r="G17" s="12">
        <v>2</v>
      </c>
      <c r="H17" s="88">
        <f>IF(B$20=0,0,G17/B$20)</f>
        <v>1.6260162601626018E-2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0.52631578947368418</v>
      </c>
      <c r="E18" s="27" t="s">
        <v>73</v>
      </c>
      <c r="F18" s="24" t="s">
        <v>28</v>
      </c>
      <c r="G18" s="12">
        <v>1</v>
      </c>
      <c r="H18" s="88">
        <f>IF(B$20=0,0,G18/B$20)</f>
        <v>8.130081300813009E-3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0.42</v>
      </c>
      <c r="E19" s="27" t="s">
        <v>88</v>
      </c>
      <c r="F19" s="24" t="s">
        <v>43</v>
      </c>
      <c r="G19" s="12">
        <v>1</v>
      </c>
      <c r="H19" s="88">
        <f>IF(B$20=0,0,G19/B$20)</f>
        <v>8.130081300813009E-3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14.799999999999999</v>
      </c>
      <c r="Q19" s="77">
        <v>9</v>
      </c>
      <c r="R19" s="68">
        <v>133.19999999999999</v>
      </c>
    </row>
    <row r="20" spans="1:18" x14ac:dyDescent="0.4">
      <c r="A20" s="18" t="s">
        <v>10</v>
      </c>
      <c r="B20" s="11">
        <f>B23+B22</f>
        <v>123</v>
      </c>
      <c r="C20" s="5">
        <f>IF(B$3=0,0,B20/B$3)</f>
        <v>0.32887700534759357</v>
      </c>
      <c r="E20" s="27" t="s">
        <v>92</v>
      </c>
      <c r="F20" s="24" t="s">
        <v>47</v>
      </c>
      <c r="G20" s="12">
        <v>1</v>
      </c>
      <c r="H20" s="88">
        <f>IF(B$20=0,0,G20/B$20)</f>
        <v>8.130081300813009E-3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3.7722222222222195</v>
      </c>
      <c r="Q20" s="77">
        <v>36</v>
      </c>
      <c r="R20" s="68">
        <v>135.7999999999999</v>
      </c>
    </row>
    <row r="21" spans="1:18" x14ac:dyDescent="0.4">
      <c r="A21" s="19" t="s">
        <v>13</v>
      </c>
      <c r="B21" s="12">
        <v>45</v>
      </c>
      <c r="C21" s="6">
        <f>IF(B$3=0,0,B21/B$3)</f>
        <v>0.12032085561497326</v>
      </c>
      <c r="E21" s="27" t="s">
        <v>102</v>
      </c>
      <c r="F21" s="24" t="s">
        <v>57</v>
      </c>
      <c r="G21" s="12">
        <v>1</v>
      </c>
      <c r="H21" s="88">
        <f>IF(B$20=0,0,G21/B$20)</f>
        <v>8.130081300813009E-3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-9.2090909090909108</v>
      </c>
      <c r="Q21" s="77">
        <v>11</v>
      </c>
      <c r="R21" s="68">
        <v>-101.30000000000001</v>
      </c>
    </row>
    <row r="22" spans="1:18" x14ac:dyDescent="0.4">
      <c r="A22" s="19" t="s">
        <v>12</v>
      </c>
      <c r="B22" s="12">
        <v>51</v>
      </c>
      <c r="C22" s="6">
        <f>IF(B$20=0,0,B22/B$20)</f>
        <v>0.41463414634146339</v>
      </c>
      <c r="E22" s="27" t="s">
        <v>155</v>
      </c>
      <c r="F22" s="24" t="s">
        <v>156</v>
      </c>
      <c r="G22" s="12">
        <v>1</v>
      </c>
      <c r="H22" s="88">
        <f>IF(B$20=0,0,G22/B$20)</f>
        <v>8.130081300813009E-3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72</v>
      </c>
      <c r="C23" s="6">
        <f>IF(B$20=0,0,B23/B$20)</f>
        <v>0.58536585365853655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40</v>
      </c>
      <c r="C24" s="6">
        <f>IF(B$20=0,0,B24/B$20)</f>
        <v>0.32520325203252032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42</v>
      </c>
      <c r="C25" s="6">
        <f>IF(B$20=0,0,B25/B$20)</f>
        <v>0.34146341463414637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41</v>
      </c>
      <c r="C26" s="6">
        <f>IF(B$20=0,0,B26/B$20)</f>
        <v>0.33333333333333331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7573.1707317073169</v>
      </c>
      <c r="C27" s="8">
        <v>931500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8651.8518518518522</v>
      </c>
      <c r="C28" s="96">
        <v>700800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5492.8571428571431</v>
      </c>
      <c r="C29" s="96">
        <v>230700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-8017.7777777777774</v>
      </c>
      <c r="C30" s="96">
        <v>-360800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14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11</v>
      </c>
      <c r="C37" s="98">
        <f t="shared" ref="C37:C49" si="2">IF(B$20=0,0,B37/B$20)</f>
        <v>8.943089430894309E-2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30</v>
      </c>
      <c r="C38" s="6">
        <f t="shared" si="2"/>
        <v>0.24390243902439024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27</v>
      </c>
      <c r="C39" s="6">
        <f t="shared" si="2"/>
        <v>0.21951219512195122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18</v>
      </c>
      <c r="C40" s="6">
        <f t="shared" si="2"/>
        <v>0.14634146341463414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19</v>
      </c>
      <c r="C41" s="6">
        <f t="shared" si="2"/>
        <v>0.15447154471544716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2"/>
        <v>3.2520325203252036E-2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2"/>
        <v>6.5040650406504072E-2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2"/>
        <v>1.6260162601626018E-2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1</v>
      </c>
      <c r="C45" s="6">
        <f t="shared" si="2"/>
        <v>8.130081300813009E-3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2"/>
        <v>8.130081300813009E-3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1.6260162601626018E-2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4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>IF(Q17=0,0,R17/Q17)</f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>IF(Q20=0,0,R20/Q20)</f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2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10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5">
        <v>103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37">
        <v>-39.5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5">
        <f>IF(B$2=0,0,B$4/B$2)</f>
        <v>-3.2916666666666665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29">
        <v>1396.3170423346389</v>
      </c>
      <c r="C6" s="130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39">
        <f>IF(B$2=0,0,(B$8*1+B$9*2+B$10*3)/B$2)</f>
        <v>1.9166666666666667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3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-6.7477777777777765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>IF(Q16=0,0,R16/Q16)</f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>IF(Q18=0,0,R18/Q18)</f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  <c r="O19" s="74" t="s">
        <v>211</v>
      </c>
      <c r="P19" s="83">
        <f>IF(Q19=0,0,R19/Q19)</f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>IF(Q20=0,0,R20/Q20)</f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>IF(Q21=0,0,R21/Q21)</f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2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2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2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2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4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8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0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2020-11-22T08:41:45Z</dcterms:modified>
</cp:coreProperties>
</file>