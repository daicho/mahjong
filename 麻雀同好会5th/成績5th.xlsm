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6BDFF385-98F6-4DA8-8620-A079E89404D4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4" i="6982" l="1"/>
  <c r="P16" i="6984"/>
  <c r="P19" i="6980"/>
  <c r="P15" i="7004"/>
  <c r="P16" i="7004"/>
  <c r="C35" i="7004"/>
  <c r="B30" i="7004"/>
  <c r="C21" i="7004"/>
  <c r="B20" i="7004"/>
  <c r="H50" i="7004" s="1"/>
  <c r="C19" i="7004"/>
  <c r="B19" i="7004"/>
  <c r="B29" i="7004" s="1"/>
  <c r="C18" i="7004"/>
  <c r="B18" i="7004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H3" i="7004" l="1"/>
  <c r="H7" i="7004"/>
  <c r="H5" i="7004"/>
  <c r="H17" i="7004"/>
  <c r="C39" i="7004"/>
  <c r="H45" i="7004"/>
  <c r="H39" i="7004"/>
  <c r="H11" i="7004"/>
  <c r="H46" i="7004"/>
  <c r="H12" i="7004"/>
  <c r="H31" i="7004"/>
  <c r="C23" i="7004"/>
  <c r="H14" i="7004"/>
  <c r="C24" i="7004"/>
  <c r="H9" i="7004"/>
  <c r="H24" i="7004"/>
  <c r="C47" i="7004"/>
  <c r="H41" i="7004"/>
  <c r="H47" i="7004"/>
  <c r="H48" i="7004"/>
  <c r="H40" i="7004"/>
  <c r="H34" i="7004"/>
  <c r="H4" i="7004"/>
  <c r="C26" i="7004"/>
  <c r="H42" i="7004"/>
  <c r="H2" i="7004"/>
  <c r="H15" i="7004"/>
  <c r="H21" i="7004"/>
  <c r="C43" i="7004"/>
  <c r="H49" i="7004"/>
  <c r="H33" i="7004"/>
  <c r="H18" i="7004"/>
  <c r="H10" i="7004"/>
  <c r="H19" i="7004"/>
  <c r="B27" i="7004"/>
  <c r="H36" i="7004"/>
  <c r="H37" i="7004"/>
  <c r="H43" i="7004"/>
  <c r="H51" i="7004"/>
  <c r="H8" i="7004"/>
  <c r="C25" i="7004"/>
  <c r="C20" i="7004"/>
  <c r="B28" i="7004"/>
  <c r="H13" i="7004"/>
  <c r="H16" i="7004"/>
  <c r="C22" i="7004"/>
  <c r="H28" i="7004"/>
  <c r="H38" i="7004"/>
  <c r="H44" i="7004"/>
  <c r="H52" i="7004"/>
  <c r="H20" i="7004"/>
  <c r="H6" i="7004"/>
  <c r="H25" i="7004"/>
  <c r="H29" i="7004"/>
  <c r="H35" i="7004"/>
  <c r="C40" i="7004"/>
  <c r="C44" i="7004"/>
  <c r="C48" i="7004"/>
  <c r="H22" i="7004"/>
  <c r="H26" i="7004"/>
  <c r="H30" i="7004"/>
  <c r="C37" i="7004"/>
  <c r="C41" i="7004"/>
  <c r="C45" i="7004"/>
  <c r="C49" i="7004"/>
  <c r="H23" i="7004"/>
  <c r="H27" i="7004"/>
  <c r="H32" i="7004"/>
  <c r="C38" i="7004"/>
  <c r="C42" i="7004"/>
  <c r="C46" i="7004"/>
  <c r="P17" i="6992" l="1"/>
  <c r="P16" i="7002"/>
  <c r="P15" i="6982" l="1"/>
  <c r="P19" i="6984"/>
  <c r="P15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6" i="6998" l="1"/>
  <c r="P19" i="6988"/>
  <c r="P21" i="6984" l="1"/>
  <c r="P16" i="6988"/>
  <c r="P15" i="6998" l="1"/>
  <c r="P24" i="6984"/>
  <c r="P17" i="6986" l="1"/>
  <c r="P20" i="6988"/>
  <c r="P22" i="6992"/>
  <c r="P15" i="6988"/>
  <c r="P19" i="6994" l="1"/>
  <c r="P16" i="6986"/>
  <c r="P17" i="6998" l="1"/>
  <c r="P23" i="6982"/>
  <c r="P23" i="6990" l="1"/>
  <c r="P18" i="6986"/>
  <c r="P15" i="6992" l="1"/>
  <c r="P19" i="6992"/>
  <c r="P20" i="6998"/>
  <c r="P17" i="7000"/>
  <c r="P17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20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8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2" i="6984" l="1"/>
  <c r="P20" i="6992"/>
  <c r="P15" i="6990"/>
  <c r="P16" i="6992"/>
  <c r="P23" i="6992"/>
  <c r="P18" i="6994"/>
  <c r="P18" i="6990"/>
  <c r="P20" i="6994"/>
  <c r="P23" i="6984"/>
  <c r="P15" i="6984"/>
  <c r="P18" i="6996" l="1"/>
  <c r="P16" i="6994"/>
  <c r="P16" i="6982"/>
  <c r="P17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6" i="6990"/>
  <c r="P16" i="6980"/>
  <c r="P17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2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8" i="6992"/>
  <c r="H7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0" i="6982" l="1"/>
  <c r="P21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8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4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2" i="6990"/>
  <c r="C25" i="6990"/>
  <c r="H40" i="6990"/>
  <c r="H44" i="6990"/>
  <c r="H48" i="6990"/>
  <c r="H33" i="6990"/>
  <c r="C42" i="6990"/>
  <c r="H51" i="6990"/>
  <c r="H2" i="6990"/>
  <c r="H7" i="6990"/>
  <c r="H14" i="6990"/>
  <c r="H25" i="6990"/>
  <c r="H13" i="6990"/>
  <c r="H29" i="6990"/>
  <c r="H16" i="6990"/>
  <c r="H36" i="6990"/>
  <c r="C40" i="6990"/>
  <c r="C44" i="6990"/>
  <c r="C48" i="6990"/>
  <c r="H4" i="6990"/>
  <c r="H23" i="6990"/>
  <c r="C22" i="6990"/>
  <c r="C26" i="6990"/>
  <c r="H37" i="6990"/>
  <c r="H41" i="6990"/>
  <c r="H45" i="6990"/>
  <c r="H49" i="6990"/>
  <c r="H6" i="6990"/>
  <c r="H10" i="6990"/>
  <c r="H21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0" i="6990"/>
  <c r="H38" i="6990"/>
  <c r="H42" i="6990"/>
  <c r="H46" i="6990"/>
  <c r="C20" i="6988"/>
  <c r="H3" i="6988"/>
  <c r="H27" i="6988"/>
  <c r="H33" i="6988"/>
  <c r="C42" i="6988"/>
  <c r="H51" i="6988"/>
  <c r="H2" i="6988"/>
  <c r="H9" i="6988"/>
  <c r="H22" i="6988"/>
  <c r="H15" i="6988"/>
  <c r="C24" i="6988"/>
  <c r="B28" i="6988"/>
  <c r="H34" i="6988"/>
  <c r="H39" i="6988"/>
  <c r="H43" i="6988"/>
  <c r="H47" i="6988"/>
  <c r="H5" i="6988"/>
  <c r="H25" i="6988"/>
  <c r="H11" i="6988"/>
  <c r="H30" i="6988"/>
  <c r="H35" i="6988"/>
  <c r="C39" i="6988"/>
  <c r="C43" i="6988"/>
  <c r="C47" i="6988"/>
  <c r="H52" i="6988"/>
  <c r="H20" i="6988"/>
  <c r="H23" i="6988"/>
  <c r="C25" i="6988"/>
  <c r="H40" i="6988"/>
  <c r="H44" i="6988"/>
  <c r="H48" i="6988"/>
  <c r="H10" i="6988"/>
  <c r="C38" i="6988"/>
  <c r="C46" i="6988"/>
  <c r="H7" i="6988"/>
  <c r="H12" i="6988"/>
  <c r="H24" i="6988"/>
  <c r="H13" i="6988"/>
  <c r="H28" i="6988"/>
  <c r="H19" i="6988"/>
  <c r="H36" i="6988"/>
  <c r="C40" i="6988"/>
  <c r="C44" i="6988"/>
  <c r="C48" i="6988"/>
  <c r="H4" i="6988"/>
  <c r="H17" i="6988"/>
  <c r="C22" i="6988"/>
  <c r="C26" i="6988"/>
  <c r="H37" i="6988"/>
  <c r="H41" i="6988"/>
  <c r="H45" i="6988"/>
  <c r="H49" i="6988"/>
  <c r="H6" i="6988"/>
  <c r="H14" i="6988"/>
  <c r="H21" i="6988"/>
  <c r="H26" i="6988"/>
  <c r="H29" i="6988"/>
  <c r="H31" i="6988"/>
  <c r="C37" i="6988"/>
  <c r="C41" i="6988"/>
  <c r="C45" i="6988"/>
  <c r="C49" i="6988"/>
  <c r="H8" i="6988"/>
  <c r="H18" i="6988"/>
  <c r="H16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19" i="6982"/>
  <c r="P18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8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9" i="6984"/>
  <c r="H37" i="6984"/>
  <c r="C40" i="6984"/>
  <c r="C44" i="6984"/>
  <c r="C48" i="6984"/>
  <c r="H38" i="6984"/>
  <c r="H42" i="6984"/>
  <c r="H46" i="6984"/>
  <c r="H50" i="6984"/>
  <c r="H17" i="6984"/>
  <c r="H15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4" i="6982"/>
  <c r="H34" i="6982"/>
  <c r="C42" i="6982"/>
  <c r="H15" i="6982"/>
  <c r="H2" i="6982"/>
  <c r="H8" i="6982"/>
  <c r="H21" i="6982"/>
  <c r="H19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2" i="6982"/>
  <c r="H14" i="6982"/>
  <c r="H32" i="6982"/>
  <c r="H16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3" i="6982"/>
  <c r="H28" i="6982"/>
  <c r="H23" i="6982"/>
  <c r="H25" i="6982"/>
  <c r="H27" i="6982"/>
  <c r="C37" i="6982"/>
  <c r="C41" i="6982"/>
  <c r="C45" i="6982"/>
  <c r="C49" i="6982"/>
  <c r="H11" i="6982"/>
  <c r="H17" i="6982"/>
  <c r="H18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8" i="6980"/>
  <c r="C39" i="6980"/>
  <c r="C45" i="6980"/>
  <c r="H33" i="6980"/>
  <c r="H9" i="6980"/>
  <c r="H2" i="6980"/>
  <c r="H10" i="6980"/>
  <c r="H46" i="6980"/>
  <c r="H7" i="6980"/>
  <c r="H13" i="6980"/>
  <c r="H21" i="6980"/>
  <c r="H29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3" i="6980"/>
  <c r="H3" i="6980"/>
  <c r="H19" i="6980"/>
  <c r="B28" i="6980"/>
  <c r="H40" i="6980"/>
  <c r="C43" i="6980"/>
  <c r="H52" i="6980"/>
  <c r="H27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6" i="6980"/>
  <c r="H41" i="6980"/>
  <c r="H44" i="6980"/>
  <c r="H47" i="6980"/>
  <c r="H51" i="6980"/>
  <c r="H24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<sst xmlns="http://schemas.openxmlformats.org/spreadsheetml/2006/main" count="3502" uniqueCount="264">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</sst>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全体!$K$2:$K$383</c:f>
              <c:numCache>
                <c:formatCode>General</c:formatCode>
                <c:ptCount val="3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</c:numCache>
            </c:numRef>
          </c:xVal>
          <c:yVal>
            <c:numRef>
              <c:f>全体!$L$2:$L$383</c:f>
              <c:numCache>
                <c:formatCode>\+0.0;\-0.0;\±0</c:formatCode>
                <c:ptCount val="382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-39.370078740157481</c:v>
                </c:pt>
                <c:pt idx="1">
                  <c:v>18.817204301075268</c:v>
                </c:pt>
                <c:pt idx="2">
                  <c:v>0</c:v>
                </c:pt>
                <c:pt idx="3">
                  <c:v>-2.8248587570621471</c:v>
                </c:pt>
                <c:pt idx="4">
                  <c:v>15.432098765432098</c:v>
                </c:pt>
                <c:pt idx="5">
                  <c:v>14.336917562724015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72</c:v>
                </c:pt>
                <c:pt idx="1">
                  <c:v>179</c:v>
                </c:pt>
                <c:pt idx="2">
                  <c:v>189</c:v>
                </c:pt>
                <c:pt idx="3">
                  <c:v>187</c:v>
                </c:pt>
                <c:pt idx="4">
                  <c:v>136</c:v>
                </c:pt>
                <c:pt idx="5">
                  <c:v>86</c:v>
                </c:pt>
                <c:pt idx="6">
                  <c:v>41</c:v>
                </c:pt>
                <c:pt idx="7">
                  <c:v>30</c:v>
                </c:pt>
                <c:pt idx="8">
                  <c:v>16</c:v>
                </c:pt>
                <c:pt idx="9">
                  <c:v>11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全体!$K$2:$K$383</c:f>
              <c:numCache>
                <c:formatCode>General</c:formatCode>
                <c:ptCount val="3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</c:numCache>
            </c:numRef>
          </c:xVal>
          <c:yVal>
            <c:numRef>
              <c:f>全体!$M$2:$M$383</c:f>
              <c:numCache>
                <c:formatCode>0</c:formatCode>
                <c:ptCount val="382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だいち!$L$2:$L$105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590.29126213592235</c:v>
                </c:pt>
                <c:pt idx="1">
                  <c:v>-757</c:v>
                </c:pt>
                <c:pt idx="2">
                  <c:v>-821</c:v>
                </c:pt>
                <c:pt idx="3">
                  <c:v>1262.5</c:v>
                </c:pt>
                <c:pt idx="4">
                  <c:v>-12.64367816091954</c:v>
                </c:pt>
                <c:pt idx="5">
                  <c:v>-246.66666666666666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16</c:v>
                </c:pt>
                <c:pt idx="1">
                  <c:v>53</c:v>
                </c:pt>
                <c:pt idx="2">
                  <c:v>58</c:v>
                </c:pt>
                <c:pt idx="3">
                  <c:v>50</c:v>
                </c:pt>
                <c:pt idx="4">
                  <c:v>41</c:v>
                </c:pt>
                <c:pt idx="5">
                  <c:v>33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だいち!$M$2:$M$105</c:f>
              <c:numCache>
                <c:formatCode>0</c:formatCode>
                <c:ptCount val="104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れんたろう!$L$2:$L$69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1431.3432835820895</c:v>
                </c:pt>
                <c:pt idx="1">
                  <c:v>116.92307692307692</c:v>
                </c:pt>
                <c:pt idx="2">
                  <c:v>-689.23076923076928</c:v>
                </c:pt>
                <c:pt idx="3">
                  <c:v>-723.80952380952385</c:v>
                </c:pt>
                <c:pt idx="4">
                  <c:v>189.47368421052633</c:v>
                </c:pt>
                <c:pt idx="5">
                  <c:v>181.25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9</c:v>
                </c:pt>
                <c:pt idx="1">
                  <c:v>12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16</c:v>
                </c:pt>
                <c:pt idx="6">
                  <c:v>8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れんたろう!$M$2:$M$69</c:f>
              <c:numCache>
                <c:formatCode>0</c:formatCode>
                <c:ptCount val="68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-548.83720930232562</c:v>
                </c:pt>
                <c:pt idx="1">
                  <c:v>-927.90697674418607</c:v>
                </c:pt>
                <c:pt idx="2">
                  <c:v>314.28571428571428</c:v>
                </c:pt>
                <c:pt idx="3">
                  <c:v>-764.28571428571433</c:v>
                </c:pt>
                <c:pt idx="4">
                  <c:v>-1129.2682926829268</c:v>
                </c:pt>
                <c:pt idx="5">
                  <c:v>-414.70588235294116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27</c:v>
                </c:pt>
                <c:pt idx="2">
                  <c:v>22</c:v>
                </c:pt>
                <c:pt idx="3">
                  <c:v>20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たかの!$M$2:$M$45</c:f>
              <c:numCache>
                <c:formatCode>0</c:formatCode>
                <c:ptCount val="44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1285.2941176470588</c:v>
                </c:pt>
                <c:pt idx="1">
                  <c:v>682.35294117647061</c:v>
                </c:pt>
                <c:pt idx="2">
                  <c:v>1012.1212121212121</c:v>
                </c:pt>
                <c:pt idx="3">
                  <c:v>-2565.5172413793102</c:v>
                </c:pt>
                <c:pt idx="4">
                  <c:v>2296.1538461538462</c:v>
                </c:pt>
                <c:pt idx="5">
                  <c:v>-890.90909090909088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18</c:v>
                </c:pt>
                <c:pt idx="3">
                  <c:v>22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まっつん!$M$2:$M$36</c:f>
              <c:numCache>
                <c:formatCode>0</c:formatCode>
                <c:ptCount val="35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-554.5454545454545</c:v>
                </c:pt>
                <c:pt idx="1">
                  <c:v>686.36363636363637</c:v>
                </c:pt>
                <c:pt idx="2">
                  <c:v>1643.1818181818182</c:v>
                </c:pt>
                <c:pt idx="3">
                  <c:v>39.024390243902438</c:v>
                </c:pt>
                <c:pt idx="4">
                  <c:v>89.189189189189193</c:v>
                </c:pt>
                <c:pt idx="5">
                  <c:v>1474.2857142857142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21</c:v>
                </c:pt>
                <c:pt idx="3">
                  <c:v>19</c:v>
                </c:pt>
                <c:pt idx="4">
                  <c:v>15</c:v>
                </c:pt>
                <c:pt idx="5">
                  <c:v>12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いちかわ!$M$2:$M$46</c:f>
              <c:numCache>
                <c:formatCode>0</c:formatCode>
                <c:ptCount val="4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-181.25</c:v>
                </c:pt>
                <c:pt idx="1">
                  <c:v>691.11111111111109</c:v>
                </c:pt>
                <c:pt idx="2">
                  <c:v>793.47826086956525</c:v>
                </c:pt>
                <c:pt idx="3">
                  <c:v>2274.4186046511627</c:v>
                </c:pt>
                <c:pt idx="4">
                  <c:v>280</c:v>
                </c:pt>
                <c:pt idx="5">
                  <c:v>-18.75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30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ただ!$M$2:$M$50</c:f>
              <c:numCache>
                <c:formatCode>0</c:formatCode>
                <c:ptCount val="49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-10000</c:v>
                </c:pt>
                <c:pt idx="1">
                  <c:v>-5800</c:v>
                </c:pt>
                <c:pt idx="2">
                  <c:v>4000</c:v>
                </c:pt>
                <c:pt idx="3">
                  <c:v>0</c:v>
                </c:pt>
                <c:pt idx="4">
                  <c:v>-8700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(いっしー!$K$1,いっしー!$M$1)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(いっしー!$K$2,いっしー!$M$2)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(いっしー!$K$1,いっしー!$M$1)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(いっしー!$K$3,いっしー!$M$3)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1500.3933545700797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いっしー2!$C$3:$C$4</c:f>
              <c:numCache>
                <c:formatCode>\+0.0;\-0.0;\±0</c:formatCode>
                <c:ptCount val="2"/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24707818374018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3753280839894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958005249343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いっしー2!$G$3:$G$4</c:f>
              <c:numCache>
                <c:formatCode>0.0%</c:formatCode>
                <c:ptCount val="2"/>
                <c:pt idx="1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966360856269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いっしー2!$H$3:$H$4</c:f>
              <c:numCache>
                <c:formatCode>0.0%</c:formatCode>
                <c:ptCount val="2"/>
                <c:pt idx="1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856269113149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いっしー2!$I$3:$I$4</c:f>
              <c:numCache>
                <c:formatCode>0</c:formatCode>
                <c:ptCount val="2"/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24.3215031315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いっしー2!$J$3:$J$4</c:f>
              <c:numCache>
                <c:formatCode>0</c:formatCode>
                <c:ptCount val="2"/>
                <c:pt idx="1">
                  <c:v>-6750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40.1140684410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61417322834645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954128440366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いっしー2!$M$3:$M$4</c:f>
              <c:numCache>
                <c:formatCode>0.0%</c:formatCode>
                <c:ptCount val="2"/>
                <c:pt idx="1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599388379204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いっしー2!$N$3:$N$4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685393258426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307171853856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いっしー2!$P$3:$P$4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4676409185803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9ACA6E-17E6-4E24-8227-960FEC99B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ABE36C-42A2-4928-AC11-5C7D26AB6D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7B060BB-83BA-4B44-BA6E-EADEF57A28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EC59693-05BD-4251-B6BD-FAE767A8F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6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103</v>
      </c>
      <c r="C2" s="120">
        <v>1842.3339395535957</v>
      </c>
    </row>
    <row r="3" spans="1:3" x14ac:dyDescent="0.4">
      <c r="A3" t="s">
        <v>163</v>
      </c>
      <c r="B3" s="120">
        <v>67</v>
      </c>
      <c r="C3" s="120">
        <v>1653.1699313523677</v>
      </c>
    </row>
    <row r="4" spans="1:3" x14ac:dyDescent="0.4">
      <c r="A4" t="s">
        <v>139</v>
      </c>
      <c r="B4" s="120">
        <v>381</v>
      </c>
      <c r="C4" s="120">
        <v>1594.5463045050694</v>
      </c>
    </row>
    <row r="5" spans="1:3" x14ac:dyDescent="0.4">
      <c r="A5" t="s">
        <v>190</v>
      </c>
      <c r="B5" s="120">
        <v>34</v>
      </c>
      <c r="C5" s="120">
        <v>1524.3778689305989</v>
      </c>
    </row>
    <row r="6" spans="1:3" x14ac:dyDescent="0.4">
      <c r="A6" t="s">
        <v>192</v>
      </c>
      <c r="B6" s="120">
        <v>48</v>
      </c>
      <c r="C6" s="120">
        <v>1517.1288342047803</v>
      </c>
    </row>
    <row r="7" spans="1:3" x14ac:dyDescent="0.4">
      <c r="A7" t="s">
        <v>211</v>
      </c>
      <c r="B7" s="120">
        <v>44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43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5" t="s">
        <v>9</v>
      </c>
      <c r="C1" s="156"/>
      <c r="D1" s="149" t="s">
        <v>6</v>
      </c>
      <c r="E1" s="150"/>
      <c r="F1" s="149" t="s">
        <v>7</v>
      </c>
      <c r="G1" s="150"/>
      <c r="H1" s="155" t="s">
        <v>196</v>
      </c>
      <c r="I1" s="156"/>
      <c r="J1" s="149" t="s">
        <v>15</v>
      </c>
      <c r="K1" s="150"/>
      <c r="L1" s="149" t="s">
        <v>14</v>
      </c>
      <c r="M1" s="150"/>
      <c r="N1" s="149" t="s">
        <v>149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180</v>
      </c>
      <c r="AK1" s="150"/>
    </row>
    <row r="2" spans="1:37" x14ac:dyDescent="0.4">
      <c r="A2" s="36" t="s">
        <v>208</v>
      </c>
      <c r="B2" s="151">
        <v>0.92777079655493</v>
      </c>
      <c r="C2" s="152"/>
      <c r="D2" s="151">
        <v>0.43985484517512269</v>
      </c>
      <c r="E2" s="152"/>
      <c r="F2" s="151">
        <v>0.45199793018822471</v>
      </c>
      <c r="G2" s="152"/>
      <c r="H2" s="153"/>
      <c r="I2" s="154"/>
      <c r="J2" s="151">
        <v>7.3906739560589144E-2</v>
      </c>
      <c r="K2" s="152"/>
      <c r="L2" s="151">
        <v>-0.28772560875470493</v>
      </c>
      <c r="M2" s="152"/>
      <c r="N2" s="151">
        <v>0.39105582083262608</v>
      </c>
      <c r="O2" s="152"/>
      <c r="P2" s="151">
        <v>0.428993587054121</v>
      </c>
      <c r="Q2" s="152"/>
      <c r="R2" s="151">
        <v>-4.5890978932107366E-3</v>
      </c>
      <c r="S2" s="152"/>
      <c r="T2" s="151">
        <v>0.25465622380955916</v>
      </c>
      <c r="U2" s="152"/>
      <c r="V2" s="151">
        <v>0.20376720818901195</v>
      </c>
      <c r="W2" s="152"/>
      <c r="X2" s="151">
        <v>0.37897186678179701</v>
      </c>
      <c r="Y2" s="152"/>
      <c r="Z2" s="151">
        <v>0.29866021294337686</v>
      </c>
      <c r="AA2" s="152"/>
      <c r="AB2" s="151">
        <v>0.20603926048209925</v>
      </c>
      <c r="AC2" s="152"/>
      <c r="AD2" s="151">
        <v>-9.2923069585938989E-2</v>
      </c>
      <c r="AE2" s="152"/>
      <c r="AF2" s="151">
        <v>0.34144006321715498</v>
      </c>
      <c r="AG2" s="152"/>
      <c r="AH2" s="151">
        <v>-0.20988235088854015</v>
      </c>
      <c r="AI2" s="152"/>
      <c r="AJ2" s="151">
        <v>0.83549741948599443</v>
      </c>
      <c r="AK2" s="152"/>
    </row>
    <row r="3" spans="1:37" x14ac:dyDescent="0.4">
      <c r="A3" s="38">
        <v>1</v>
      </c>
      <c r="B3" s="41" t="s">
        <v>139</v>
      </c>
      <c r="C3" s="113">
        <v>127</v>
      </c>
      <c r="D3" s="39" t="s">
        <v>192</v>
      </c>
      <c r="E3" s="40">
        <v>261.89999999999992</v>
      </c>
      <c r="F3" s="41" t="s">
        <v>192</v>
      </c>
      <c r="G3" s="60">
        <v>5.456249999999998</v>
      </c>
      <c r="H3" s="41" t="s">
        <v>126</v>
      </c>
      <c r="I3" s="45">
        <v>1755.5727621432097</v>
      </c>
      <c r="J3" s="41" t="s">
        <v>192</v>
      </c>
      <c r="K3" s="42">
        <v>1.8125</v>
      </c>
      <c r="L3" s="41" t="s">
        <v>195</v>
      </c>
      <c r="M3" s="43">
        <v>0.5</v>
      </c>
      <c r="N3" s="41" t="s">
        <v>201</v>
      </c>
      <c r="O3" s="43">
        <v>0</v>
      </c>
      <c r="P3" s="41" t="s">
        <v>192</v>
      </c>
      <c r="Q3" s="44">
        <v>0.33574879227053139</v>
      </c>
      <c r="R3" s="41" t="s">
        <v>190</v>
      </c>
      <c r="S3" s="44">
        <v>9.1216216216216214E-2</v>
      </c>
      <c r="T3" s="41" t="s">
        <v>221</v>
      </c>
      <c r="U3" s="45">
        <v>10925</v>
      </c>
      <c r="V3" s="41" t="s">
        <v>190</v>
      </c>
      <c r="W3" s="45">
        <v>-6151.8518518518522</v>
      </c>
      <c r="X3" s="41" t="s">
        <v>193</v>
      </c>
      <c r="Y3" s="43">
        <v>0</v>
      </c>
      <c r="Z3" s="41" t="s">
        <v>163</v>
      </c>
      <c r="AA3" s="44">
        <v>0.2857142857142857</v>
      </c>
      <c r="AB3" s="41" t="s">
        <v>189</v>
      </c>
      <c r="AC3" s="44">
        <v>0.30026109660574413</v>
      </c>
      <c r="AD3" s="41" t="s">
        <v>195</v>
      </c>
      <c r="AE3" s="44">
        <v>0.69565217391304346</v>
      </c>
      <c r="AF3" s="41" t="s">
        <v>211</v>
      </c>
      <c r="AG3" s="44">
        <v>0.49367088607594939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103</v>
      </c>
      <c r="D4" s="47" t="s">
        <v>211</v>
      </c>
      <c r="E4" s="48">
        <v>143.19999999999999</v>
      </c>
      <c r="F4" s="49" t="s">
        <v>211</v>
      </c>
      <c r="G4" s="61">
        <v>3.2545454545454544</v>
      </c>
      <c r="H4" s="49" t="s">
        <v>163</v>
      </c>
      <c r="I4" s="53">
        <v>1628.830527484987</v>
      </c>
      <c r="J4" s="49" t="s">
        <v>190</v>
      </c>
      <c r="K4" s="50">
        <v>1.911764705882353</v>
      </c>
      <c r="L4" s="49" t="s">
        <v>192</v>
      </c>
      <c r="M4" s="51">
        <v>0.41666666666666669</v>
      </c>
      <c r="N4" s="49" t="s">
        <v>190</v>
      </c>
      <c r="O4" s="51">
        <v>0.20588235294117646</v>
      </c>
      <c r="P4" s="49" t="s">
        <v>126</v>
      </c>
      <c r="Q4" s="52">
        <v>0.32018561484918795</v>
      </c>
      <c r="R4" s="49" t="s">
        <v>192</v>
      </c>
      <c r="S4" s="52">
        <v>0.11352657004830918</v>
      </c>
      <c r="T4" s="49" t="s">
        <v>201</v>
      </c>
      <c r="U4" s="53">
        <v>10000</v>
      </c>
      <c r="V4" s="49" t="s">
        <v>211</v>
      </c>
      <c r="W4" s="53">
        <v>-6609.8039215686276</v>
      </c>
      <c r="X4" s="49" t="s">
        <v>201</v>
      </c>
      <c r="Y4" s="51">
        <v>0</v>
      </c>
      <c r="Z4" s="49" t="s">
        <v>190</v>
      </c>
      <c r="AA4" s="52">
        <v>0.26351351351351349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126</v>
      </c>
      <c r="AG4" s="52">
        <v>0.44808743169398907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67</v>
      </c>
      <c r="D5" s="47" t="s">
        <v>126</v>
      </c>
      <c r="E5" s="48">
        <v>123.79999999999994</v>
      </c>
      <c r="F5" s="49" t="s">
        <v>190</v>
      </c>
      <c r="G5" s="61">
        <v>1.761764705882352</v>
      </c>
      <c r="H5" s="49" t="s">
        <v>139</v>
      </c>
      <c r="I5" s="53">
        <v>1607.38565439224</v>
      </c>
      <c r="J5" s="49" t="s">
        <v>195</v>
      </c>
      <c r="K5" s="50">
        <v>1.9166666666666667</v>
      </c>
      <c r="L5" s="49" t="s">
        <v>211</v>
      </c>
      <c r="M5" s="51">
        <v>0.38636363636363635</v>
      </c>
      <c r="N5" s="49" t="s">
        <v>192</v>
      </c>
      <c r="O5" s="51">
        <v>0.22916666666666666</v>
      </c>
      <c r="P5" s="49" t="s">
        <v>211</v>
      </c>
      <c r="Q5" s="52">
        <v>0.30158730158730157</v>
      </c>
      <c r="R5" s="49" t="s">
        <v>211</v>
      </c>
      <c r="S5" s="52">
        <v>0.13492063492063491</v>
      </c>
      <c r="T5" s="49" t="s">
        <v>163</v>
      </c>
      <c r="U5" s="53">
        <v>9386.7088607594942</v>
      </c>
      <c r="V5" s="49" t="s">
        <v>201</v>
      </c>
      <c r="W5" s="53">
        <v>-6750</v>
      </c>
      <c r="X5" s="49" t="s">
        <v>221</v>
      </c>
      <c r="Y5" s="51">
        <v>0</v>
      </c>
      <c r="Z5" s="49" t="s">
        <v>189</v>
      </c>
      <c r="AA5" s="52">
        <v>0.26109660574412535</v>
      </c>
      <c r="AB5" s="49" t="s">
        <v>192</v>
      </c>
      <c r="AC5" s="52">
        <v>0.27294685990338163</v>
      </c>
      <c r="AD5" s="49" t="s">
        <v>211</v>
      </c>
      <c r="AE5" s="52">
        <v>0.58750000000000002</v>
      </c>
      <c r="AF5" s="49" t="s">
        <v>193</v>
      </c>
      <c r="AG5" s="52">
        <v>0.41666666666666669</v>
      </c>
      <c r="AH5" s="49" t="s">
        <v>201</v>
      </c>
      <c r="AI5" s="52">
        <v>0.5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48</v>
      </c>
      <c r="D6" s="47" t="s">
        <v>190</v>
      </c>
      <c r="E6" s="48">
        <v>59.89999999999997</v>
      </c>
      <c r="F6" s="49" t="s">
        <v>126</v>
      </c>
      <c r="G6" s="61">
        <v>1.2019417475728149</v>
      </c>
      <c r="H6" s="49" t="s">
        <v>192</v>
      </c>
      <c r="I6" s="53">
        <v>1580.3102788159663</v>
      </c>
      <c r="J6" s="49" t="s">
        <v>211</v>
      </c>
      <c r="K6" s="50">
        <v>1.9318181818181819</v>
      </c>
      <c r="L6" s="49" t="s">
        <v>189</v>
      </c>
      <c r="M6" s="51">
        <v>0.34883720930232559</v>
      </c>
      <c r="N6" s="49" t="s">
        <v>211</v>
      </c>
      <c r="O6" s="51">
        <v>0.31818181818181818</v>
      </c>
      <c r="P6" s="49" t="s">
        <v>139</v>
      </c>
      <c r="Q6" s="52">
        <v>0.29296636085626909</v>
      </c>
      <c r="R6" s="49" t="s">
        <v>139</v>
      </c>
      <c r="S6" s="52">
        <v>0.16085626911314985</v>
      </c>
      <c r="T6" s="49" t="s">
        <v>195</v>
      </c>
      <c r="U6" s="53">
        <v>8606.8965517241377</v>
      </c>
      <c r="V6" s="49" t="s">
        <v>126</v>
      </c>
      <c r="W6" s="53">
        <v>-7353.5483870967746</v>
      </c>
      <c r="X6" s="49" t="s">
        <v>259</v>
      </c>
      <c r="Y6" s="51">
        <v>0</v>
      </c>
      <c r="Z6" s="49" t="s">
        <v>126</v>
      </c>
      <c r="AA6" s="52">
        <v>0.25174013921113692</v>
      </c>
      <c r="AB6" s="49" t="s">
        <v>139</v>
      </c>
      <c r="AC6" s="52">
        <v>0.22599388379204893</v>
      </c>
      <c r="AD6" s="49" t="s">
        <v>126</v>
      </c>
      <c r="AE6" s="52">
        <v>0.56682027649769584</v>
      </c>
      <c r="AF6" s="49" t="s">
        <v>192</v>
      </c>
      <c r="AG6" s="52">
        <v>0.41592920353982299</v>
      </c>
      <c r="AH6" s="49" t="s">
        <v>259</v>
      </c>
      <c r="AI6" s="52">
        <v>0.5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44</v>
      </c>
      <c r="D7" s="47" t="s">
        <v>139</v>
      </c>
      <c r="E7" s="48">
        <v>3.5527136788005009E-14</v>
      </c>
      <c r="F7" s="49" t="s">
        <v>139</v>
      </c>
      <c r="G7" s="61">
        <v>9.3247078183740181E-17</v>
      </c>
      <c r="H7" s="49" t="s">
        <v>190</v>
      </c>
      <c r="I7" s="53">
        <v>1552.0582707777592</v>
      </c>
      <c r="J7" s="49" t="s">
        <v>139</v>
      </c>
      <c r="K7" s="50">
        <v>1.9973753280839894</v>
      </c>
      <c r="L7" s="49" t="s">
        <v>139</v>
      </c>
      <c r="M7" s="51">
        <v>0.33595800524934383</v>
      </c>
      <c r="N7" s="49" t="s">
        <v>139</v>
      </c>
      <c r="O7" s="51">
        <v>0.33333333333333331</v>
      </c>
      <c r="P7" s="49" t="s">
        <v>189</v>
      </c>
      <c r="Q7" s="52">
        <v>0.28720626631853785</v>
      </c>
      <c r="R7" s="49" t="s">
        <v>195</v>
      </c>
      <c r="S7" s="52">
        <v>0.1650485436893204</v>
      </c>
      <c r="T7" s="49" t="s">
        <v>126</v>
      </c>
      <c r="U7" s="53">
        <v>8200.36231884058</v>
      </c>
      <c r="V7" s="49" t="s">
        <v>195</v>
      </c>
      <c r="W7" s="53">
        <v>-7629.411764705882</v>
      </c>
      <c r="X7" s="49" t="s">
        <v>211</v>
      </c>
      <c r="Y7" s="51">
        <v>4.5454545454545456E-2</v>
      </c>
      <c r="Z7" s="49" t="s">
        <v>139</v>
      </c>
      <c r="AA7" s="52">
        <v>0.24495412844036699</v>
      </c>
      <c r="AB7" s="49" t="s">
        <v>193</v>
      </c>
      <c r="AC7" s="52">
        <v>0.22222222222222221</v>
      </c>
      <c r="AD7" s="49" t="s">
        <v>192</v>
      </c>
      <c r="AE7" s="52">
        <v>0.52380952380952384</v>
      </c>
      <c r="AF7" s="49" t="s">
        <v>189</v>
      </c>
      <c r="AG7" s="52">
        <v>0.40869565217391307</v>
      </c>
      <c r="AH7" s="49" t="s">
        <v>126</v>
      </c>
      <c r="AI7" s="52">
        <v>0.48550724637681159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43</v>
      </c>
      <c r="D8" s="47" t="s">
        <v>201</v>
      </c>
      <c r="E8" s="48">
        <v>-4.5</v>
      </c>
      <c r="F8" s="49" t="s">
        <v>163</v>
      </c>
      <c r="G8" s="61">
        <v>-1.682089552238806</v>
      </c>
      <c r="H8" s="49" t="s">
        <v>211</v>
      </c>
      <c r="I8" s="53">
        <v>1531.1784483849297</v>
      </c>
      <c r="J8" s="49" t="s">
        <v>201</v>
      </c>
      <c r="K8" s="50">
        <v>2</v>
      </c>
      <c r="L8" s="49" t="s">
        <v>126</v>
      </c>
      <c r="M8" s="51">
        <v>0.3300970873786408</v>
      </c>
      <c r="N8" s="49" t="s">
        <v>163</v>
      </c>
      <c r="O8" s="51">
        <v>0.34328358208955223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139</v>
      </c>
      <c r="U8" s="53">
        <v>8124.321503131524</v>
      </c>
      <c r="V8" s="49" t="s">
        <v>139</v>
      </c>
      <c r="W8" s="53">
        <v>-7640.1140684410648</v>
      </c>
      <c r="X8" s="49" t="s">
        <v>190</v>
      </c>
      <c r="Y8" s="51">
        <v>5.8823529411764705E-2</v>
      </c>
      <c r="Z8" s="49" t="s">
        <v>259</v>
      </c>
      <c r="AA8" s="52">
        <v>0.24</v>
      </c>
      <c r="AB8" s="49" t="s">
        <v>201</v>
      </c>
      <c r="AC8" s="52">
        <v>0.22222222222222221</v>
      </c>
      <c r="AD8" s="49" t="s">
        <v>139</v>
      </c>
      <c r="AE8" s="52">
        <v>0.5168539325842697</v>
      </c>
      <c r="AF8" s="49" t="s">
        <v>139</v>
      </c>
      <c r="AG8" s="52">
        <v>0.40730717185385656</v>
      </c>
      <c r="AH8" s="49" t="s">
        <v>189</v>
      </c>
      <c r="AI8" s="52">
        <v>0.47272727272727272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34</v>
      </c>
      <c r="D9" s="47" t="s">
        <v>221</v>
      </c>
      <c r="E9" s="48">
        <v>-13.5</v>
      </c>
      <c r="F9" s="49" t="s">
        <v>189</v>
      </c>
      <c r="G9" s="61">
        <v>-2.5604651162790697</v>
      </c>
      <c r="H9" s="49" t="s">
        <v>201</v>
      </c>
      <c r="I9" s="53">
        <v>1500.3933545700797</v>
      </c>
      <c r="J9" s="49" t="s">
        <v>126</v>
      </c>
      <c r="K9" s="50">
        <v>2.0194174757281553</v>
      </c>
      <c r="L9" s="49" t="s">
        <v>163</v>
      </c>
      <c r="M9" s="51">
        <v>0.31343283582089554</v>
      </c>
      <c r="N9" s="49" t="s">
        <v>126</v>
      </c>
      <c r="O9" s="51">
        <v>0.34951456310679613</v>
      </c>
      <c r="P9" s="49" t="s">
        <v>163</v>
      </c>
      <c r="Q9" s="52">
        <v>0.2687074829931973</v>
      </c>
      <c r="R9" s="49" t="s">
        <v>189</v>
      </c>
      <c r="S9" s="52">
        <v>0.16971279373368145</v>
      </c>
      <c r="T9" s="49" t="s">
        <v>190</v>
      </c>
      <c r="U9" s="53">
        <v>7982.0512820512822</v>
      </c>
      <c r="V9" s="49" t="s">
        <v>192</v>
      </c>
      <c r="W9" s="53">
        <v>-7774.4680851063831</v>
      </c>
      <c r="X9" s="49" t="s">
        <v>126</v>
      </c>
      <c r="Y9" s="51">
        <v>7.7669902912621352E-2</v>
      </c>
      <c r="Z9" s="49" t="s">
        <v>216</v>
      </c>
      <c r="AA9" s="52">
        <v>0.22857142857142856</v>
      </c>
      <c r="AB9" s="49" t="s">
        <v>163</v>
      </c>
      <c r="AC9" s="52">
        <v>0.22108843537414966</v>
      </c>
      <c r="AD9" s="49" t="s">
        <v>190</v>
      </c>
      <c r="AE9" s="52">
        <v>0.51282051282051277</v>
      </c>
      <c r="AF9" s="49" t="s">
        <v>221</v>
      </c>
      <c r="AG9" s="52">
        <v>0.4</v>
      </c>
      <c r="AH9" s="49" t="s">
        <v>163</v>
      </c>
      <c r="AI9" s="52">
        <v>0.44936708860759494</v>
      </c>
      <c r="AJ9" s="49" t="s">
        <v>190</v>
      </c>
      <c r="AK9" s="56">
        <v>85000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195</v>
      </c>
      <c r="E10" s="48">
        <v>-39.5</v>
      </c>
      <c r="F10" s="49" t="s">
        <v>195</v>
      </c>
      <c r="G10" s="61">
        <v>-3.2916666666666665</v>
      </c>
      <c r="H10" s="49" t="s">
        <v>221</v>
      </c>
      <c r="I10" s="53">
        <v>1497.379788</v>
      </c>
      <c r="J10" s="49" t="s">
        <v>163</v>
      </c>
      <c r="K10" s="50">
        <v>2.0298507462686568</v>
      </c>
      <c r="L10" s="49" t="s">
        <v>190</v>
      </c>
      <c r="M10" s="51">
        <v>0.29411764705882354</v>
      </c>
      <c r="N10" s="49" t="s">
        <v>189</v>
      </c>
      <c r="O10" s="51">
        <v>0.39534883720930231</v>
      </c>
      <c r="P10" s="49" t="s">
        <v>190</v>
      </c>
      <c r="Q10" s="52">
        <v>0.26351351351351349</v>
      </c>
      <c r="R10" s="49" t="s">
        <v>126</v>
      </c>
      <c r="S10" s="52">
        <v>0.17981438515081208</v>
      </c>
      <c r="T10" s="49" t="s">
        <v>211</v>
      </c>
      <c r="U10" s="53">
        <v>7921.9298245614036</v>
      </c>
      <c r="V10" s="49" t="s">
        <v>216</v>
      </c>
      <c r="W10" s="53">
        <v>-7886.2068965517237</v>
      </c>
      <c r="X10" s="49" t="s">
        <v>192</v>
      </c>
      <c r="Y10" s="51">
        <v>8.3333333333333329E-2</v>
      </c>
      <c r="Z10" s="49" t="s">
        <v>195</v>
      </c>
      <c r="AA10" s="52">
        <v>0.22330097087378642</v>
      </c>
      <c r="AB10" s="49" t="s">
        <v>126</v>
      </c>
      <c r="AC10" s="52">
        <v>0.21229698375870071</v>
      </c>
      <c r="AD10" s="49" t="s">
        <v>163</v>
      </c>
      <c r="AE10" s="52">
        <v>0.47619047619047616</v>
      </c>
      <c r="AF10" s="49" t="s">
        <v>190</v>
      </c>
      <c r="AG10" s="52">
        <v>0.37931034482758619</v>
      </c>
      <c r="AH10" s="49" t="s">
        <v>139</v>
      </c>
      <c r="AI10" s="52">
        <v>0.44467640918580376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259</v>
      </c>
      <c r="E11" s="48">
        <v>-50</v>
      </c>
      <c r="F11" s="49" t="s">
        <v>201</v>
      </c>
      <c r="G11" s="61">
        <v>-4.5</v>
      </c>
      <c r="H11" s="49" t="s">
        <v>259</v>
      </c>
      <c r="I11" s="53">
        <v>1493.0891304000002</v>
      </c>
      <c r="J11" s="49" t="s">
        <v>189</v>
      </c>
      <c r="K11" s="50">
        <v>2.0465116279069768</v>
      </c>
      <c r="L11" s="49" t="s">
        <v>216</v>
      </c>
      <c r="M11" s="51">
        <v>0.22222222222222221</v>
      </c>
      <c r="N11" s="49" t="s">
        <v>195</v>
      </c>
      <c r="O11" s="51">
        <v>0.41666666666666669</v>
      </c>
      <c r="P11" s="49" t="s">
        <v>259</v>
      </c>
      <c r="Q11" s="52">
        <v>0.24</v>
      </c>
      <c r="R11" s="49" t="s">
        <v>163</v>
      </c>
      <c r="S11" s="52">
        <v>0.19217687074829931</v>
      </c>
      <c r="T11" s="49" t="s">
        <v>193</v>
      </c>
      <c r="U11" s="53">
        <v>7866.666666666667</v>
      </c>
      <c r="V11" s="49" t="s">
        <v>163</v>
      </c>
      <c r="W11" s="53">
        <v>-7965.4867256637172</v>
      </c>
      <c r="X11" s="49" t="s">
        <v>139</v>
      </c>
      <c r="Y11" s="51">
        <v>8.6614173228346455E-2</v>
      </c>
      <c r="Z11" s="49" t="s">
        <v>221</v>
      </c>
      <c r="AA11" s="52">
        <v>0.22222222222222221</v>
      </c>
      <c r="AB11" s="49" t="s">
        <v>211</v>
      </c>
      <c r="AC11" s="52">
        <v>0.20899470899470898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216</v>
      </c>
      <c r="AI11" s="52">
        <v>0.43333333333333335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221</v>
      </c>
      <c r="G12" s="61">
        <v>-6.75</v>
      </c>
      <c r="H12" s="49" t="s">
        <v>216</v>
      </c>
      <c r="I12" s="53">
        <v>1475.2783888604056</v>
      </c>
      <c r="J12" s="49" t="s">
        <v>216</v>
      </c>
      <c r="K12" s="50">
        <v>2.2222222222222223</v>
      </c>
      <c r="L12" s="49" t="s">
        <v>193</v>
      </c>
      <c r="M12" s="51">
        <v>0.16666666666666666</v>
      </c>
      <c r="N12" s="49" t="s">
        <v>216</v>
      </c>
      <c r="O12" s="51">
        <v>0.44444444444444442</v>
      </c>
      <c r="P12" s="49" t="s">
        <v>193</v>
      </c>
      <c r="Q12" s="52">
        <v>0.22222222222222221</v>
      </c>
      <c r="R12" s="49" t="s">
        <v>259</v>
      </c>
      <c r="S12" s="52">
        <v>0.2</v>
      </c>
      <c r="T12" s="49" t="s">
        <v>189</v>
      </c>
      <c r="U12" s="53">
        <v>7535.454545454545</v>
      </c>
      <c r="V12" s="49" t="s">
        <v>189</v>
      </c>
      <c r="W12" s="53">
        <v>-8520</v>
      </c>
      <c r="X12" s="49" t="s">
        <v>189</v>
      </c>
      <c r="Y12" s="51">
        <v>9.3023255813953487E-2</v>
      </c>
      <c r="Z12" s="49" t="s">
        <v>211</v>
      </c>
      <c r="AA12" s="52">
        <v>0.21164021164021163</v>
      </c>
      <c r="AB12" s="49" t="s">
        <v>190</v>
      </c>
      <c r="AC12" s="52">
        <v>0.19594594594594594</v>
      </c>
      <c r="AD12" s="49" t="s">
        <v>189</v>
      </c>
      <c r="AE12" s="52">
        <v>0.43</v>
      </c>
      <c r="AF12" s="49" t="s">
        <v>163</v>
      </c>
      <c r="AG12" s="52">
        <v>0.33846153846153848</v>
      </c>
      <c r="AH12" s="49" t="s">
        <v>211</v>
      </c>
      <c r="AI12" s="52">
        <v>0.42982456140350878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259</v>
      </c>
      <c r="C13" s="114">
        <v>3</v>
      </c>
      <c r="D13" s="47" t="s">
        <v>189</v>
      </c>
      <c r="E13" s="48">
        <v>-110.1</v>
      </c>
      <c r="F13" s="49" t="s">
        <v>216</v>
      </c>
      <c r="G13" s="61">
        <v>-10.016666666666667</v>
      </c>
      <c r="H13" s="49" t="s">
        <v>189</v>
      </c>
      <c r="I13" s="53">
        <v>1448.7493412538377</v>
      </c>
      <c r="J13" s="49" t="s">
        <v>193</v>
      </c>
      <c r="K13" s="50">
        <v>2.3333333333333335</v>
      </c>
      <c r="L13" s="49" t="s">
        <v>201</v>
      </c>
      <c r="M13" s="51">
        <v>0</v>
      </c>
      <c r="N13" s="49" t="s">
        <v>193</v>
      </c>
      <c r="O13" s="51">
        <v>0.5</v>
      </c>
      <c r="P13" s="49" t="s">
        <v>201</v>
      </c>
      <c r="Q13" s="52">
        <v>0.22222222222222221</v>
      </c>
      <c r="R13" s="49" t="s">
        <v>216</v>
      </c>
      <c r="S13" s="52">
        <v>0.20714285714285716</v>
      </c>
      <c r="T13" s="49" t="s">
        <v>192</v>
      </c>
      <c r="U13" s="53">
        <v>7306.4748201438852</v>
      </c>
      <c r="V13" s="49" t="s">
        <v>193</v>
      </c>
      <c r="W13" s="53">
        <v>-8875</v>
      </c>
      <c r="X13" s="49" t="s">
        <v>216</v>
      </c>
      <c r="Y13" s="51">
        <v>0.1111111111111111</v>
      </c>
      <c r="Z13" s="49" t="s">
        <v>192</v>
      </c>
      <c r="AA13" s="52">
        <v>0.20289855072463769</v>
      </c>
      <c r="AB13" s="49" t="s">
        <v>216</v>
      </c>
      <c r="AC13" s="52">
        <v>0.17142857142857143</v>
      </c>
      <c r="AD13" s="49" t="s">
        <v>221</v>
      </c>
      <c r="AE13" s="52">
        <v>0.25</v>
      </c>
      <c r="AF13" s="49" t="s">
        <v>216</v>
      </c>
      <c r="AG13" s="52">
        <v>0.29166666666666669</v>
      </c>
      <c r="AH13" s="49" t="s">
        <v>192</v>
      </c>
      <c r="AI13" s="52">
        <v>0.39568345323741005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221</v>
      </c>
      <c r="C14" s="114">
        <v>2</v>
      </c>
      <c r="D14" s="47" t="s">
        <v>163</v>
      </c>
      <c r="E14" s="48">
        <v>-112.7</v>
      </c>
      <c r="F14" s="49" t="s">
        <v>193</v>
      </c>
      <c r="G14" s="61">
        <v>-13.033333333333331</v>
      </c>
      <c r="H14" s="49" t="s">
        <v>195</v>
      </c>
      <c r="I14" s="53">
        <v>1396.3170423346389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221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163</v>
      </c>
      <c r="Y14" s="51">
        <v>0.13432835820895522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193</v>
      </c>
      <c r="AE14" s="52">
        <v>0.22222222222222221</v>
      </c>
      <c r="AF14" s="49" t="s">
        <v>259</v>
      </c>
      <c r="AG14" s="52">
        <v>0.25</v>
      </c>
      <c r="AH14" s="49" t="s">
        <v>190</v>
      </c>
      <c r="AI14" s="52">
        <v>0.32051282051282054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201</v>
      </c>
      <c r="C15" s="114">
        <v>1</v>
      </c>
      <c r="D15" s="47" t="s">
        <v>216</v>
      </c>
      <c r="E15" s="48">
        <v>-180.3</v>
      </c>
      <c r="F15" s="49" t="s">
        <v>259</v>
      </c>
      <c r="G15" s="61">
        <v>-16.666666666666668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216</v>
      </c>
      <c r="Q15" s="52">
        <v>0.21428571428571427</v>
      </c>
      <c r="R15" s="49" t="s">
        <v>201</v>
      </c>
      <c r="S15" s="52">
        <v>0.22222222222222221</v>
      </c>
      <c r="T15" s="49" t="s">
        <v>216</v>
      </c>
      <c r="U15" s="53">
        <v>7183.333333333333</v>
      </c>
      <c r="V15" s="49" t="s">
        <v>221</v>
      </c>
      <c r="W15" s="53">
        <v>-10300</v>
      </c>
      <c r="X15" s="49" t="s">
        <v>195</v>
      </c>
      <c r="Y15" s="51">
        <v>0.16666666666666666</v>
      </c>
      <c r="Z15" s="49" t="s">
        <v>201</v>
      </c>
      <c r="AA15" s="52">
        <v>0</v>
      </c>
      <c r="AB15" s="49" t="s">
        <v>195</v>
      </c>
      <c r="AC15" s="52">
        <v>0.13592233009708737</v>
      </c>
      <c r="AD15" s="49" t="s">
        <v>201</v>
      </c>
      <c r="AE15" s="52">
        <v>0</v>
      </c>
      <c r="AF15" s="49" t="s">
        <v>201</v>
      </c>
      <c r="AG15" s="52">
        <v>0</v>
      </c>
      <c r="AH15" s="49" t="s">
        <v>193</v>
      </c>
      <c r="AI15" s="52">
        <v>0.25</v>
      </c>
      <c r="AJ15" s="49" t="s">
        <v>201</v>
      </c>
      <c r="AK15" s="56">
        <v>30500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8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381</v>
      </c>
      <c r="C2" s="142"/>
      <c r="E2" s="26" t="s">
        <v>66</v>
      </c>
      <c r="F2" s="23" t="s">
        <v>22</v>
      </c>
      <c r="G2" s="11">
        <v>749</v>
      </c>
      <c r="H2" s="87">
        <f>IF(B$20=0,0,G2/B$20)</f>
        <v>0.78183716075156573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-39.370078740157481</v>
      </c>
      <c r="Q2" s="76">
        <v>381</v>
      </c>
      <c r="R2" s="63">
        <v>-15000</v>
      </c>
    </row>
    <row r="3" spans="1:18" x14ac:dyDescent="0.4">
      <c r="A3" s="19" t="s">
        <v>8</v>
      </c>
      <c r="B3" s="143">
        <v>3270</v>
      </c>
      <c r="C3" s="144"/>
      <c r="E3" s="27" t="s">
        <v>72</v>
      </c>
      <c r="F3" s="24" t="s">
        <v>27</v>
      </c>
      <c r="G3" s="12">
        <v>574</v>
      </c>
      <c r="H3" s="88">
        <f>IF(B$20=0,0,G3/B$20)</f>
        <v>0.59916492693110646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18.817204301075268</v>
      </c>
      <c r="Q3" s="77">
        <v>372</v>
      </c>
      <c r="R3" s="64">
        <v>7000</v>
      </c>
    </row>
    <row r="4" spans="1:18" x14ac:dyDescent="0.4">
      <c r="A4" s="19" t="s">
        <v>6</v>
      </c>
      <c r="B4" s="145">
        <v>3.5527136788005009E-14</v>
      </c>
      <c r="C4" s="146"/>
      <c r="E4" s="27" t="s">
        <v>64</v>
      </c>
      <c r="F4" s="24" t="s">
        <v>20</v>
      </c>
      <c r="G4" s="12">
        <v>399</v>
      </c>
      <c r="H4" s="88">
        <f>IF(B$20=0,0,G4/B$20)</f>
        <v>0.41649269311064718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372</v>
      </c>
      <c r="R4" s="64">
        <v>0</v>
      </c>
    </row>
    <row r="5" spans="1:18" x14ac:dyDescent="0.4">
      <c r="A5" s="19" t="s">
        <v>7</v>
      </c>
      <c r="B5" s="133">
        <f>IF(B$2=0,0,B$4/B$2)</f>
        <v>9.3247078183740181E-17</v>
      </c>
      <c r="C5" s="134"/>
      <c r="E5" s="27" t="s">
        <v>159</v>
      </c>
      <c r="F5" s="24" t="s">
        <v>160</v>
      </c>
      <c r="G5" s="12">
        <v>383</v>
      </c>
      <c r="H5" s="88">
        <f>IF(B$20=0,0,G5/B$20)</f>
        <v>0.39979123173277664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-2.8248587570621471</v>
      </c>
      <c r="Q5" s="77">
        <v>354</v>
      </c>
      <c r="R5" s="64">
        <v>-1000</v>
      </c>
    </row>
    <row r="6" spans="1:18" x14ac:dyDescent="0.4">
      <c r="A6" s="19" t="s">
        <v>196</v>
      </c>
      <c r="B6" s="137">
        <v>1607.38565439224</v>
      </c>
      <c r="C6" s="138"/>
      <c r="E6" s="27" t="s">
        <v>68</v>
      </c>
      <c r="F6" s="24" t="s">
        <v>12</v>
      </c>
      <c r="G6" s="12">
        <v>290</v>
      </c>
      <c r="H6" s="88">
        <f>IF(B$20=0,0,G6/B$20)</f>
        <v>0.30271398747390399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15.432098765432098</v>
      </c>
      <c r="Q6" s="77">
        <v>324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1.9973753280839894</v>
      </c>
      <c r="C7" s="148"/>
      <c r="E7" s="27" t="s">
        <v>67</v>
      </c>
      <c r="F7" s="24" t="s">
        <v>23</v>
      </c>
      <c r="G7" s="12">
        <v>203</v>
      </c>
      <c r="H7" s="88">
        <f>IF(B$20=0,0,G7/B$20)</f>
        <v>0.21189979123173278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14.336917562724015</v>
      </c>
      <c r="Q7" s="78">
        <v>279</v>
      </c>
      <c r="R7" s="65">
        <v>4000</v>
      </c>
    </row>
    <row r="8" spans="1:18" x14ac:dyDescent="0.4">
      <c r="A8" s="19" t="s">
        <v>2</v>
      </c>
      <c r="B8" s="12">
        <v>128</v>
      </c>
      <c r="C8" s="6">
        <f t="shared" ref="C8:C15" si="1">IF(B$2=0,0,B8/B$2)</f>
        <v>0.33595800524934383</v>
      </c>
      <c r="E8" s="27" t="s">
        <v>89</v>
      </c>
      <c r="F8" s="24" t="s">
        <v>44</v>
      </c>
      <c r="G8" s="12">
        <v>130</v>
      </c>
      <c r="H8" s="88">
        <f>IF(B$20=0,0,G8/B$20)</f>
        <v>0.13569937369519833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126</v>
      </c>
      <c r="C9" s="6">
        <f t="shared" si="1"/>
        <v>0.33070866141732286</v>
      </c>
      <c r="E9" s="27" t="s">
        <v>69</v>
      </c>
      <c r="F9" s="24" t="s">
        <v>24</v>
      </c>
      <c r="G9" s="12">
        <v>127</v>
      </c>
      <c r="H9" s="88">
        <f>IF(B$20=0,0,G9/B$20)</f>
        <v>0.13256784968684759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127</v>
      </c>
      <c r="C10" s="7">
        <f t="shared" si="1"/>
        <v>0.33333333333333331</v>
      </c>
      <c r="E10" s="27" t="s">
        <v>70</v>
      </c>
      <c r="F10" s="24" t="s">
        <v>25</v>
      </c>
      <c r="G10" s="12">
        <v>97</v>
      </c>
      <c r="H10" s="88">
        <f>IF(B$20=0,0,G10/B$20)</f>
        <v>0.10125260960334029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2.2937007874015749</v>
      </c>
      <c r="Q10" s="76">
        <v>127</v>
      </c>
      <c r="R10" s="67">
        <v>291.3</v>
      </c>
    </row>
    <row r="11" spans="1:18" x14ac:dyDescent="0.4">
      <c r="A11" s="20" t="s">
        <v>184</v>
      </c>
      <c r="B11" s="109">
        <f>IF(B8=0,0,C11/B8)</f>
        <v>34.359374999999986</v>
      </c>
      <c r="C11" s="110">
        <v>4397.9999999999982</v>
      </c>
      <c r="E11" s="27" t="s">
        <v>65</v>
      </c>
      <c r="F11" s="24" t="s">
        <v>21</v>
      </c>
      <c r="G11" s="12">
        <v>90</v>
      </c>
      <c r="H11" s="88">
        <f>IF(B$20=0,0,G11/B$20)</f>
        <v>9.3945720250521919E-2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-3.25275590551181</v>
      </c>
      <c r="Q11" s="77">
        <v>127</v>
      </c>
      <c r="R11" s="68">
        <v>-413.09999999999985</v>
      </c>
    </row>
    <row r="12" spans="1:18" x14ac:dyDescent="0.4">
      <c r="A12" s="20" t="s">
        <v>185</v>
      </c>
      <c r="B12" s="109">
        <f>IF(B9=0,0,C12/B9)</f>
        <v>-0.77380952380952384</v>
      </c>
      <c r="C12" s="110">
        <v>-97.5</v>
      </c>
      <c r="E12" s="27" t="s">
        <v>71</v>
      </c>
      <c r="F12" s="24" t="s">
        <v>26</v>
      </c>
      <c r="G12" s="12">
        <v>61</v>
      </c>
      <c r="H12" s="88">
        <f>IF(B$20=0,0,G12/B$20)</f>
        <v>6.3674321503131528E-2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0.95905511811023647</v>
      </c>
      <c r="Q12" s="78">
        <v>127</v>
      </c>
      <c r="R12" s="69">
        <v>121.80000000000003</v>
      </c>
    </row>
    <row r="13" spans="1:18" x14ac:dyDescent="0.4">
      <c r="A13" s="20" t="s">
        <v>186</v>
      </c>
      <c r="B13" s="109">
        <f>IF(B10=0,0,C13/B10)</f>
        <v>-33.862204724409445</v>
      </c>
      <c r="C13" s="110">
        <v>-4300.4999999999991</v>
      </c>
      <c r="E13" s="27" t="s">
        <v>86</v>
      </c>
      <c r="F13" s="24" t="s">
        <v>41</v>
      </c>
      <c r="G13" s="12">
        <v>51</v>
      </c>
      <c r="H13" s="88">
        <f>IF(B$20=0,0,G13/B$20)</f>
        <v>5.3235908141962419E-2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-9.2213082739661445E-2</v>
      </c>
      <c r="C14" s="134"/>
      <c r="E14" s="27" t="s">
        <v>83</v>
      </c>
      <c r="F14" s="24" t="s">
        <v>38</v>
      </c>
      <c r="G14" s="12">
        <v>42</v>
      </c>
      <c r="H14" s="88">
        <f>IF(B$20=0,0,G14/B$20)</f>
        <v>4.3841336116910233E-2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33</v>
      </c>
      <c r="C15" s="9">
        <f t="shared" si="1"/>
        <v>8.6614173228346455E-2</v>
      </c>
      <c r="E15" s="27" t="s">
        <v>81</v>
      </c>
      <c r="F15" s="24" t="s">
        <v>36</v>
      </c>
      <c r="G15" s="12">
        <v>30</v>
      </c>
      <c r="H15" s="88">
        <f>IF(B$20=0,0,G15/B$20)</f>
        <v>3.1315240083507306E-2</v>
      </c>
      <c r="I15" s="58">
        <v>9</v>
      </c>
      <c r="K15" s="74">
        <v>13</v>
      </c>
      <c r="L15" s="119">
        <v>48.999999999999993</v>
      </c>
      <c r="M15" s="117">
        <v>1603.6953056015411</v>
      </c>
      <c r="O15" s="73" t="s">
        <v>259</v>
      </c>
      <c r="P15" s="82">
        <f>IF(Q15=0,0,R15/Q15)</f>
        <v>24.999999999999996</v>
      </c>
      <c r="Q15" s="76">
        <v>6</v>
      </c>
      <c r="R15" s="67">
        <v>149.99999999999997</v>
      </c>
    </row>
    <row r="16" spans="1:18" x14ac:dyDescent="0.4">
      <c r="A16" s="22" t="s">
        <v>121</v>
      </c>
      <c r="B16" s="15">
        <v>801</v>
      </c>
      <c r="C16" s="10">
        <f>IF(B$3=0,0,B16/B$3)</f>
        <v>0.24495412844036699</v>
      </c>
      <c r="E16" s="27" t="s">
        <v>78</v>
      </c>
      <c r="F16" s="24" t="s">
        <v>33</v>
      </c>
      <c r="G16" s="12">
        <v>24</v>
      </c>
      <c r="H16" s="88">
        <f>IF(B$20=0,0,G16/B$20)</f>
        <v>2.5052192066805846E-2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19.550000000000004</v>
      </c>
      <c r="Q16" s="77">
        <v>12</v>
      </c>
      <c r="R16" s="68">
        <v>234.60000000000005</v>
      </c>
    </row>
    <row r="17" spans="1:18" x14ac:dyDescent="0.4">
      <c r="A17" s="19" t="s">
        <v>118</v>
      </c>
      <c r="B17" s="12">
        <v>739</v>
      </c>
      <c r="C17" s="6">
        <f>IF(B$3=0,0,B17/B$3)</f>
        <v>0.22599388379204893</v>
      </c>
      <c r="E17" s="27" t="s">
        <v>91</v>
      </c>
      <c r="F17" s="24" t="s">
        <v>46</v>
      </c>
      <c r="G17" s="12">
        <v>18</v>
      </c>
      <c r="H17" s="88">
        <f>IF(B$20=0,0,G17/B$20)</f>
        <v>1.8789144050104383E-2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15.025000000000002</v>
      </c>
      <c r="Q17" s="77">
        <v>36</v>
      </c>
      <c r="R17" s="68">
        <v>540.90000000000009</v>
      </c>
    </row>
    <row r="18" spans="1:18" x14ac:dyDescent="0.4">
      <c r="A18" s="18" t="s">
        <v>123</v>
      </c>
      <c r="B18" s="11">
        <f>B24</f>
        <v>414</v>
      </c>
      <c r="C18" s="5">
        <f>IF(B$16=0,0,B18/B$16)</f>
        <v>0.5168539325842697</v>
      </c>
      <c r="E18" s="27" t="s">
        <v>155</v>
      </c>
      <c r="F18" s="24" t="s">
        <v>156</v>
      </c>
      <c r="G18" s="12">
        <v>18</v>
      </c>
      <c r="H18" s="88">
        <f>IF(B$20=0,0,G18/B$20)</f>
        <v>1.8789144050104383E-2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">
      <c r="A19" s="18" t="s">
        <v>124</v>
      </c>
      <c r="B19" s="11">
        <f>B25</f>
        <v>301</v>
      </c>
      <c r="C19" s="5">
        <f>IF(B$17=0,0,B19/B$17)</f>
        <v>0.40730717185385656</v>
      </c>
      <c r="E19" s="27" t="s">
        <v>79</v>
      </c>
      <c r="F19" s="24" t="s">
        <v>34</v>
      </c>
      <c r="G19" s="12">
        <v>13</v>
      </c>
      <c r="H19" s="88">
        <f>IF(B$20=0,0,G19/B$20)</f>
        <v>1.3569937369519834E-2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201</v>
      </c>
      <c r="P19" s="83">
        <f>IF(Q19=0,0,R19/Q19)</f>
        <v>6.7500000000000018</v>
      </c>
      <c r="Q19" s="77">
        <v>2</v>
      </c>
      <c r="R19" s="68">
        <v>13.500000000000004</v>
      </c>
    </row>
    <row r="20" spans="1:18" x14ac:dyDescent="0.4">
      <c r="A20" s="18" t="s">
        <v>10</v>
      </c>
      <c r="B20" s="11">
        <f>B23+B22</f>
        <v>958</v>
      </c>
      <c r="C20" s="5">
        <f>IF(B$3=0,0,B20/B$3)</f>
        <v>0.29296636085626909</v>
      </c>
      <c r="E20" s="27" t="s">
        <v>73</v>
      </c>
      <c r="F20" s="24" t="s">
        <v>28</v>
      </c>
      <c r="G20" s="12">
        <v>9</v>
      </c>
      <c r="H20" s="88">
        <f>IF(B$20=0,0,G20/B$20)</f>
        <v>9.3945720250521916E-3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4.9375000000000036</v>
      </c>
      <c r="Q20" s="77">
        <v>24</v>
      </c>
      <c r="R20" s="68">
        <v>118.50000000000009</v>
      </c>
    </row>
    <row r="21" spans="1:18" x14ac:dyDescent="0.4">
      <c r="A21" s="19" t="s">
        <v>13</v>
      </c>
      <c r="B21" s="12">
        <v>526</v>
      </c>
      <c r="C21" s="6">
        <f>IF(B$3=0,0,B21/B$3)</f>
        <v>0.16085626911314985</v>
      </c>
      <c r="E21" s="27" t="s">
        <v>75</v>
      </c>
      <c r="F21" s="24" t="s">
        <v>30</v>
      </c>
      <c r="G21" s="12">
        <v>4</v>
      </c>
      <c r="H21" s="88">
        <f>IF(B$20=0,0,G21/B$20)</f>
        <v>4.1753653444676405E-3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3.8406976744186054</v>
      </c>
      <c r="Q21" s="77">
        <v>86</v>
      </c>
      <c r="R21" s="68">
        <v>330.30000000000007</v>
      </c>
    </row>
    <row r="22" spans="1:18" x14ac:dyDescent="0.4">
      <c r="A22" s="19" t="s">
        <v>12</v>
      </c>
      <c r="B22" s="12">
        <v>426</v>
      </c>
      <c r="C22" s="6">
        <f>IF(B$20=0,0,B22/B$20)</f>
        <v>0.44467640918580376</v>
      </c>
      <c r="E22" s="27" t="s">
        <v>77</v>
      </c>
      <c r="F22" s="24" t="s">
        <v>32</v>
      </c>
      <c r="G22" s="12">
        <v>4</v>
      </c>
      <c r="H22" s="88">
        <f>IF(B$20=0,0,G22/B$20)</f>
        <v>4.1753653444676405E-3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2.5231343283582102</v>
      </c>
      <c r="Q22" s="77">
        <v>134</v>
      </c>
      <c r="R22" s="68">
        <v>338.10000000000014</v>
      </c>
    </row>
    <row r="23" spans="1:18" x14ac:dyDescent="0.4">
      <c r="A23" s="19" t="s">
        <v>11</v>
      </c>
      <c r="B23" s="12">
        <v>532</v>
      </c>
      <c r="C23" s="6">
        <f>IF(B$20=0,0,B23/B$20)</f>
        <v>0.55532359081419624</v>
      </c>
      <c r="E23" s="27" t="s">
        <v>88</v>
      </c>
      <c r="F23" s="24" t="s">
        <v>43</v>
      </c>
      <c r="G23" s="12">
        <v>4</v>
      </c>
      <c r="H23" s="88">
        <f>IF(B$20=0,0,G23/B$20)</f>
        <v>4.1753653444676405E-3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-1.8029126213592217</v>
      </c>
      <c r="Q23" s="77">
        <v>206</v>
      </c>
      <c r="R23" s="68">
        <v>-371.39999999999969</v>
      </c>
    </row>
    <row r="24" spans="1:18" x14ac:dyDescent="0.4">
      <c r="A24" s="19" t="s">
        <v>183</v>
      </c>
      <c r="B24" s="12">
        <v>414</v>
      </c>
      <c r="C24" s="6">
        <f>IF(B$20=0,0,B24/B$20)</f>
        <v>0.43215031315240082</v>
      </c>
      <c r="E24" s="27" t="s">
        <v>85</v>
      </c>
      <c r="F24" s="24" t="s">
        <v>40</v>
      </c>
      <c r="G24" s="12">
        <v>3</v>
      </c>
      <c r="H24" s="88">
        <f>IF(B$20=0,0,G24/B$20)</f>
        <v>3.1315240083507308E-3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-2.6426470588235293</v>
      </c>
      <c r="Q24" s="77">
        <v>68</v>
      </c>
      <c r="R24" s="68">
        <v>-179.7</v>
      </c>
    </row>
    <row r="25" spans="1:18" x14ac:dyDescent="0.4">
      <c r="A25" s="19" t="s">
        <v>181</v>
      </c>
      <c r="B25" s="12">
        <v>301</v>
      </c>
      <c r="C25" s="6">
        <f>IF(B$20=0,0,B25/B$20)</f>
        <v>0.31419624217118997</v>
      </c>
      <c r="E25" s="27" t="s">
        <v>92</v>
      </c>
      <c r="F25" s="24" t="s">
        <v>47</v>
      </c>
      <c r="G25" s="12">
        <v>3</v>
      </c>
      <c r="H25" s="88">
        <f>IF(B$20=0,0,G25/B$20)</f>
        <v>3.1315240083507308E-3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-4.8818181818181818</v>
      </c>
      <c r="Q25" s="77">
        <v>88</v>
      </c>
      <c r="R25" s="68">
        <v>-429.6</v>
      </c>
    </row>
    <row r="26" spans="1:18" x14ac:dyDescent="0.4">
      <c r="A26" s="19" t="s">
        <v>182</v>
      </c>
      <c r="B26" s="12">
        <v>243</v>
      </c>
      <c r="C26" s="6">
        <f>IF(B$20=0,0,B26/B$20)</f>
        <v>0.25365344467640921</v>
      </c>
      <c r="E26" s="27" t="s">
        <v>93</v>
      </c>
      <c r="F26" s="24" t="s">
        <v>48</v>
      </c>
      <c r="G26" s="12">
        <v>2</v>
      </c>
      <c r="H26" s="88">
        <f>IF(B$20=0,0,G26/B$20)</f>
        <v>2.0876826722338203E-3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-8.1843750000000046</v>
      </c>
      <c r="Q26" s="77">
        <v>96</v>
      </c>
      <c r="R26" s="68">
        <v>-785.7000000000005</v>
      </c>
    </row>
    <row r="27" spans="1:18" x14ac:dyDescent="0.4">
      <c r="A27" s="19" t="s">
        <v>5</v>
      </c>
      <c r="B27" s="16">
        <f>IF(B$20=0,0,C27/B$20)</f>
        <v>8124.321503131524</v>
      </c>
      <c r="C27" s="8">
        <v>7783100</v>
      </c>
      <c r="E27" s="27" t="s">
        <v>80</v>
      </c>
      <c r="F27" s="24" t="s">
        <v>35</v>
      </c>
      <c r="G27" s="12">
        <v>1</v>
      </c>
      <c r="H27" s="88">
        <f>IF(B$20=0,0,G27/B$20)</f>
        <v>1.0438413361169101E-3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8687.8234398782351</v>
      </c>
      <c r="C28" s="96">
        <v>5707900</v>
      </c>
      <c r="E28" s="27" t="s">
        <v>84</v>
      </c>
      <c r="F28" s="24" t="s">
        <v>39</v>
      </c>
      <c r="G28" s="12">
        <v>1</v>
      </c>
      <c r="H28" s="88">
        <f>IF(B$20=0,0,G28/B$20)</f>
        <v>1.0438413361169101E-3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6894.3521594684389</v>
      </c>
      <c r="C29" s="96">
        <v>2075200</v>
      </c>
      <c r="E29" s="27" t="s">
        <v>90</v>
      </c>
      <c r="F29" s="24" t="s">
        <v>45</v>
      </c>
      <c r="G29" s="12">
        <v>1</v>
      </c>
      <c r="H29" s="88">
        <f>IF(B$20=0,0,G29/B$20)</f>
        <v>1.0438413361169101E-3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-7640.1140684410648</v>
      </c>
      <c r="C30" s="96">
        <v>-4018700</v>
      </c>
      <c r="E30" s="27" t="s">
        <v>102</v>
      </c>
      <c r="F30" s="24" t="s">
        <v>57</v>
      </c>
      <c r="G30" s="12">
        <v>1</v>
      </c>
      <c r="H30" s="88">
        <f>IF(B$20=0,0,G30/B$20)</f>
        <v>1.0438413361169101E-3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1.0438413361169101E-3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3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2.1406727828746177E-3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72</v>
      </c>
      <c r="C37" s="98">
        <f t="shared" ref="C37:C49" si="2">IF(B$20=0,0,B37/B$20)</f>
        <v>7.5156576200417533E-2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179</v>
      </c>
      <c r="C38" s="6">
        <f t="shared" si="2"/>
        <v>0.18684759916492694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189</v>
      </c>
      <c r="C39" s="6">
        <f t="shared" si="2"/>
        <v>0.19728601252609604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187</v>
      </c>
      <c r="C40" s="6">
        <f t="shared" si="2"/>
        <v>0.19519832985386221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136</v>
      </c>
      <c r="C41" s="6">
        <f t="shared" si="2"/>
        <v>0.14196242171189979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86</v>
      </c>
      <c r="C42" s="6">
        <f t="shared" si="2"/>
        <v>8.9770354906054284E-2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41</v>
      </c>
      <c r="C43" s="6">
        <f t="shared" si="2"/>
        <v>4.2797494780793317E-2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30</v>
      </c>
      <c r="C44" s="6">
        <f t="shared" si="2"/>
        <v>3.1315240083507306E-2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16</v>
      </c>
      <c r="C45" s="6">
        <f t="shared" si="2"/>
        <v>1.6701461377870562E-2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1.1482254697286013E-2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2.0876826722338203E-3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1.0438413361169101E-3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8.350730688935281E-3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0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103</v>
      </c>
      <c r="C2" s="142"/>
      <c r="E2" s="26" t="s">
        <v>66</v>
      </c>
      <c r="F2" s="23" t="s">
        <v>22</v>
      </c>
      <c r="G2" s="11">
        <v>206</v>
      </c>
      <c r="H2" s="87">
        <f>IF(B$20=0,0,G2/B$20)</f>
        <v>0.74637681159420288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590.29126213592235</v>
      </c>
      <c r="Q2" s="76">
        <v>103</v>
      </c>
      <c r="R2" s="63">
        <v>60800</v>
      </c>
    </row>
    <row r="3" spans="1:18" x14ac:dyDescent="0.4">
      <c r="A3" s="19" t="s">
        <v>8</v>
      </c>
      <c r="B3" s="143">
        <v>862</v>
      </c>
      <c r="C3" s="144"/>
      <c r="E3" s="27" t="s">
        <v>72</v>
      </c>
      <c r="F3" s="24" t="s">
        <v>27</v>
      </c>
      <c r="G3" s="12">
        <v>147</v>
      </c>
      <c r="H3" s="88">
        <f>IF(B$20=0,0,G3/B$20)</f>
        <v>0.53260869565217395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-757</v>
      </c>
      <c r="Q3" s="77">
        <v>100</v>
      </c>
      <c r="R3" s="64">
        <v>-75700</v>
      </c>
    </row>
    <row r="4" spans="1:18" x14ac:dyDescent="0.4">
      <c r="A4" s="19" t="s">
        <v>6</v>
      </c>
      <c r="B4" s="145">
        <v>123.79999999999994</v>
      </c>
      <c r="C4" s="146"/>
      <c r="E4" s="27" t="s">
        <v>64</v>
      </c>
      <c r="F4" s="24" t="s">
        <v>20</v>
      </c>
      <c r="G4" s="12">
        <v>114</v>
      </c>
      <c r="H4" s="88">
        <f>IF(B$20=0,0,G4/B$20)</f>
        <v>0.41304347826086957</v>
      </c>
      <c r="I4" s="58">
        <v>8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-821</v>
      </c>
      <c r="Q4" s="77">
        <v>100</v>
      </c>
      <c r="R4" s="64">
        <v>-82100</v>
      </c>
    </row>
    <row r="5" spans="1:18" x14ac:dyDescent="0.4">
      <c r="A5" s="19" t="s">
        <v>7</v>
      </c>
      <c r="B5" s="133">
        <f>IF(B$2=0,0,B$4/B$2)</f>
        <v>1.2019417475728149</v>
      </c>
      <c r="C5" s="134"/>
      <c r="E5" s="27" t="s">
        <v>159</v>
      </c>
      <c r="F5" s="24" t="s">
        <v>160</v>
      </c>
      <c r="G5" s="12">
        <v>105</v>
      </c>
      <c r="H5" s="88">
        <f>IF(B$20=0,0,G5/B$20)</f>
        <v>0.38043478260869568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1262.5</v>
      </c>
      <c r="Q5" s="77">
        <v>96</v>
      </c>
      <c r="R5" s="64">
        <v>121200</v>
      </c>
    </row>
    <row r="6" spans="1:18" x14ac:dyDescent="0.4">
      <c r="A6" s="19" t="s">
        <v>196</v>
      </c>
      <c r="B6" s="137">
        <v>1755.5727621432097</v>
      </c>
      <c r="C6" s="138"/>
      <c r="E6" s="27" t="s">
        <v>68</v>
      </c>
      <c r="F6" s="24" t="s">
        <v>12</v>
      </c>
      <c r="G6" s="12">
        <v>89</v>
      </c>
      <c r="H6" s="88">
        <f>IF(B$20=0,0,G6/B$20)</f>
        <v>0.32246376811594202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-12.64367816091954</v>
      </c>
      <c r="Q6" s="77">
        <v>87</v>
      </c>
      <c r="R6" s="64">
        <v>-1100</v>
      </c>
    </row>
    <row r="7" spans="1:18" x14ac:dyDescent="0.4">
      <c r="A7" s="19" t="s">
        <v>1</v>
      </c>
      <c r="B7" s="147">
        <f>IF(B$2=0,0,(B$8*1+B$9*2+B$10*3)/B$2)</f>
        <v>2.0194174757281553</v>
      </c>
      <c r="C7" s="148"/>
      <c r="E7" s="27" t="s">
        <v>67</v>
      </c>
      <c r="F7" s="24" t="s">
        <v>23</v>
      </c>
      <c r="G7" s="12">
        <v>55</v>
      </c>
      <c r="H7" s="88">
        <f>IF(B$20=0,0,G7/B$20)</f>
        <v>0.19927536231884058</v>
      </c>
      <c r="I7" s="58">
        <v>9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-246.66666666666666</v>
      </c>
      <c r="Q7" s="78">
        <v>75</v>
      </c>
      <c r="R7" s="65">
        <v>-18500</v>
      </c>
    </row>
    <row r="8" spans="1:18" x14ac:dyDescent="0.4">
      <c r="A8" s="19" t="s">
        <v>2</v>
      </c>
      <c r="B8" s="12">
        <v>34</v>
      </c>
      <c r="C8" s="6">
        <f t="shared" ref="C8:C15" si="1">IF(B$2=0,0,B8/B$2)</f>
        <v>0.3300970873786408</v>
      </c>
      <c r="E8" s="27" t="s">
        <v>69</v>
      </c>
      <c r="F8" s="24" t="s">
        <v>24</v>
      </c>
      <c r="G8" s="12">
        <v>45</v>
      </c>
      <c r="H8" s="88">
        <f>IF(B$20=0,0,G8/B$20)</f>
        <v>0.16304347826086957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33</v>
      </c>
      <c r="C9" s="6">
        <f t="shared" si="1"/>
        <v>0.32038834951456313</v>
      </c>
      <c r="E9" s="27" t="s">
        <v>70</v>
      </c>
      <c r="F9" s="24" t="s">
        <v>25</v>
      </c>
      <c r="G9" s="12">
        <v>38</v>
      </c>
      <c r="H9" s="88">
        <f>IF(B$20=0,0,G9/B$20)</f>
        <v>0.13768115942028986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36</v>
      </c>
      <c r="C10" s="7">
        <f t="shared" si="1"/>
        <v>0.34951456310679613</v>
      </c>
      <c r="E10" s="27" t="s">
        <v>89</v>
      </c>
      <c r="F10" s="24" t="s">
        <v>44</v>
      </c>
      <c r="G10" s="12">
        <v>36</v>
      </c>
      <c r="H10" s="88">
        <f>IF(B$20=0,0,G10/B$20)</f>
        <v>0.13043478260869565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7.4722222222222223</v>
      </c>
      <c r="Q10" s="76">
        <v>36</v>
      </c>
      <c r="R10" s="67">
        <v>269</v>
      </c>
    </row>
    <row r="11" spans="1:18" x14ac:dyDescent="0.4">
      <c r="A11" s="20" t="s">
        <v>184</v>
      </c>
      <c r="B11" s="109">
        <f>IF(B8=0,0,C11/B8)</f>
        <v>37.620588235294122</v>
      </c>
      <c r="C11" s="110">
        <v>1279.1000000000001</v>
      </c>
      <c r="E11" s="27" t="s">
        <v>65</v>
      </c>
      <c r="F11" s="24" t="s">
        <v>21</v>
      </c>
      <c r="G11" s="12">
        <v>26</v>
      </c>
      <c r="H11" s="88">
        <f>IF(B$20=0,0,G11/B$20)</f>
        <v>9.420289855072464E-2</v>
      </c>
      <c r="I11" s="58">
        <v>6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-6.2617647058823529</v>
      </c>
      <c r="Q11" s="77">
        <v>34</v>
      </c>
      <c r="R11" s="68">
        <v>-212.9</v>
      </c>
    </row>
    <row r="12" spans="1:18" x14ac:dyDescent="0.4">
      <c r="A12" s="20" t="s">
        <v>185</v>
      </c>
      <c r="B12" s="109">
        <f>IF(B9=0,0,C12/B9)</f>
        <v>-1.7666666666666664</v>
      </c>
      <c r="C12" s="110">
        <v>-58.29999999999999</v>
      </c>
      <c r="E12" s="27" t="s">
        <v>86</v>
      </c>
      <c r="F12" s="24" t="s">
        <v>41</v>
      </c>
      <c r="G12" s="12">
        <v>18</v>
      </c>
      <c r="H12" s="88">
        <f>IF(B$20=0,0,G12/B$20)</f>
        <v>6.5217391304347824E-2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2.0515151515151526</v>
      </c>
      <c r="Q12" s="78">
        <v>33</v>
      </c>
      <c r="R12" s="69">
        <v>67.700000000000031</v>
      </c>
    </row>
    <row r="13" spans="1:18" x14ac:dyDescent="0.4">
      <c r="A13" s="20" t="s">
        <v>186</v>
      </c>
      <c r="B13" s="109">
        <f>IF(B10=0,0,C13/B10)</f>
        <v>-30.472222222222229</v>
      </c>
      <c r="C13" s="110">
        <v>-1097.0000000000002</v>
      </c>
      <c r="E13" s="27" t="s">
        <v>71</v>
      </c>
      <c r="F13" s="24" t="s">
        <v>26</v>
      </c>
      <c r="G13" s="12">
        <v>13</v>
      </c>
      <c r="H13" s="88">
        <f>IF(B$20=0,0,G13/B$20)</f>
        <v>4.710144927536232E-2</v>
      </c>
      <c r="I13" s="58">
        <v>8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1.7938997821350757</v>
      </c>
      <c r="C14" s="134"/>
      <c r="E14" s="27" t="s">
        <v>83</v>
      </c>
      <c r="F14" s="24" t="s">
        <v>38</v>
      </c>
      <c r="G14" s="12">
        <v>13</v>
      </c>
      <c r="H14" s="88">
        <f>IF(B$20=0,0,G14/B$20)</f>
        <v>4.710144927536232E-2</v>
      </c>
      <c r="I14" s="58">
        <v>7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7.7669902912621352E-2</v>
      </c>
      <c r="E15" s="27" t="s">
        <v>155</v>
      </c>
      <c r="F15" s="24" t="s">
        <v>156</v>
      </c>
      <c r="G15" s="12">
        <v>12</v>
      </c>
      <c r="H15" s="88">
        <f>IF(B$20=0,0,G15/B$20)</f>
        <v>4.3478260869565216E-2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217</v>
      </c>
      <c r="C16" s="10">
        <f>IF(B$3=0,0,B16/B$3)</f>
        <v>0.25174013921113692</v>
      </c>
      <c r="E16" s="27" t="s">
        <v>91</v>
      </c>
      <c r="F16" s="24" t="s">
        <v>46</v>
      </c>
      <c r="G16" s="12">
        <v>8</v>
      </c>
      <c r="H16" s="88">
        <f>IF(B$20=0,0,G16/B$20)</f>
        <v>2.8985507246376812E-2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">
      <c r="A17" s="19" t="s">
        <v>118</v>
      </c>
      <c r="B17" s="12">
        <v>183</v>
      </c>
      <c r="C17" s="6">
        <f>IF(B$3=0,0,B17/B$3)</f>
        <v>0.21229698375870071</v>
      </c>
      <c r="E17" s="27" t="s">
        <v>78</v>
      </c>
      <c r="F17" s="24" t="s">
        <v>33</v>
      </c>
      <c r="G17" s="12">
        <v>5</v>
      </c>
      <c r="H17" s="88">
        <f>IF(B$20=0,0,G17/B$20)</f>
        <v>1.8115942028985508E-2</v>
      </c>
      <c r="I17" s="58">
        <v>8</v>
      </c>
      <c r="K17" s="74">
        <v>15</v>
      </c>
      <c r="L17" s="119">
        <v>190.9</v>
      </c>
      <c r="M17" s="117">
        <v>1854.6511469287639</v>
      </c>
      <c r="O17" s="74" t="s">
        <v>216</v>
      </c>
      <c r="P17" s="83">
        <f>IF(Q17=0,0,R17/Q17)</f>
        <v>11.879999999999999</v>
      </c>
      <c r="Q17" s="77">
        <v>10</v>
      </c>
      <c r="R17" s="68">
        <v>118.79999999999998</v>
      </c>
    </row>
    <row r="18" spans="1:18" x14ac:dyDescent="0.4">
      <c r="A18" s="18" t="s">
        <v>123</v>
      </c>
      <c r="B18" s="11">
        <f>B24</f>
        <v>123</v>
      </c>
      <c r="C18" s="5">
        <f>IF(B$16=0,0,B18/B$16)</f>
        <v>0.56682027649769584</v>
      </c>
      <c r="E18" s="27" t="s">
        <v>81</v>
      </c>
      <c r="F18" s="24" t="s">
        <v>36</v>
      </c>
      <c r="G18" s="12">
        <v>5</v>
      </c>
      <c r="H18" s="88">
        <f>IF(B$20=0,0,G18/B$20)</f>
        <v>1.8115942028985508E-2</v>
      </c>
      <c r="I18" s="58">
        <v>12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3.7036363636363654</v>
      </c>
      <c r="Q18" s="77">
        <v>55</v>
      </c>
      <c r="R18" s="68">
        <v>203.7000000000001</v>
      </c>
    </row>
    <row r="19" spans="1:18" x14ac:dyDescent="0.4">
      <c r="A19" s="18" t="s">
        <v>124</v>
      </c>
      <c r="B19" s="11">
        <f>B25</f>
        <v>82</v>
      </c>
      <c r="C19" s="5">
        <f>IF(B$17=0,0,B19/B$17)</f>
        <v>0.44808743169398907</v>
      </c>
      <c r="E19" s="27" t="s">
        <v>79</v>
      </c>
      <c r="F19" s="24" t="s">
        <v>34</v>
      </c>
      <c r="G19" s="12">
        <v>4</v>
      </c>
      <c r="H19" s="88">
        <f>IF(B$20=0,0,G19/B$20)</f>
        <v>1.4492753623188406E-2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189</v>
      </c>
      <c r="P19" s="83">
        <f>IF(Q19=0,0,R19/Q19)</f>
        <v>1.813513513513513</v>
      </c>
      <c r="Q19" s="77">
        <v>37</v>
      </c>
      <c r="R19" s="68">
        <v>67.09999999999998</v>
      </c>
    </row>
    <row r="20" spans="1:18" x14ac:dyDescent="0.4">
      <c r="A20" s="18" t="s">
        <v>10</v>
      </c>
      <c r="B20" s="11">
        <f>B23+B22</f>
        <v>276</v>
      </c>
      <c r="C20" s="5">
        <f>IF(B$3=0,0,B20/B$3)</f>
        <v>0.32018561484918795</v>
      </c>
      <c r="E20" s="27" t="s">
        <v>73</v>
      </c>
      <c r="F20" s="24" t="s">
        <v>28</v>
      </c>
      <c r="G20" s="12">
        <v>3</v>
      </c>
      <c r="H20" s="88">
        <f>IF(B$20=0,0,G20/B$20)</f>
        <v>1.0869565217391304E-2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1.7208333333333332</v>
      </c>
      <c r="Q20" s="77">
        <v>24</v>
      </c>
      <c r="R20" s="68">
        <v>41.3</v>
      </c>
    </row>
    <row r="21" spans="1:18" x14ac:dyDescent="0.4">
      <c r="A21" s="19" t="s">
        <v>13</v>
      </c>
      <c r="B21" s="12">
        <v>155</v>
      </c>
      <c r="C21" s="6">
        <f>IF(B$3=0,0,B21/B$3)</f>
        <v>0.17981438515081208</v>
      </c>
      <c r="E21" s="27" t="s">
        <v>75</v>
      </c>
      <c r="F21" s="24" t="s">
        <v>30</v>
      </c>
      <c r="G21" s="12">
        <v>2</v>
      </c>
      <c r="H21" s="88">
        <f>IF(B$20=0,0,G21/B$20)</f>
        <v>7.246376811594203E-3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190</v>
      </c>
      <c r="P21" s="83">
        <f>IF(Q21=0,0,R21/Q21)</f>
        <v>-0.33928571428571352</v>
      </c>
      <c r="Q21" s="77">
        <v>28</v>
      </c>
      <c r="R21" s="68">
        <v>-9.4999999999999787</v>
      </c>
    </row>
    <row r="22" spans="1:18" x14ac:dyDescent="0.4">
      <c r="A22" s="19" t="s">
        <v>12</v>
      </c>
      <c r="B22" s="12">
        <v>134</v>
      </c>
      <c r="C22" s="6">
        <f>IF(B$20=0,0,B22/B$20)</f>
        <v>0.48550724637681159</v>
      </c>
      <c r="E22" s="27" t="s">
        <v>80</v>
      </c>
      <c r="F22" s="24" t="s">
        <v>35</v>
      </c>
      <c r="G22" s="12">
        <v>1</v>
      </c>
      <c r="H22" s="88">
        <f>IF(B$20=0,0,G22/B$20)</f>
        <v>3.6231884057971015E-3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-4.1500000000000004</v>
      </c>
      <c r="Q22" s="77">
        <v>40</v>
      </c>
      <c r="R22" s="68">
        <v>-166.00000000000003</v>
      </c>
    </row>
    <row r="23" spans="1:18" x14ac:dyDescent="0.4">
      <c r="A23" s="19" t="s">
        <v>11</v>
      </c>
      <c r="B23" s="12">
        <v>142</v>
      </c>
      <c r="C23" s="6">
        <f>IF(B$20=0,0,B23/B$20)</f>
        <v>0.51449275362318836</v>
      </c>
      <c r="E23" s="27" t="s">
        <v>84</v>
      </c>
      <c r="F23" s="24" t="s">
        <v>39</v>
      </c>
      <c r="G23" s="12">
        <v>1</v>
      </c>
      <c r="H23" s="88">
        <f>IF(B$20=0,0,G23/B$20)</f>
        <v>3.6231884057971015E-3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195</v>
      </c>
      <c r="P23" s="83">
        <f>IF(Q23=0,0,R23/Q23)</f>
        <v>-4.8999999999999986</v>
      </c>
      <c r="Q23" s="77">
        <v>7</v>
      </c>
      <c r="R23" s="68">
        <v>-34.29999999999999</v>
      </c>
    </row>
    <row r="24" spans="1:18" x14ac:dyDescent="0.4">
      <c r="A24" s="19" t="s">
        <v>183</v>
      </c>
      <c r="B24" s="12">
        <v>123</v>
      </c>
      <c r="C24" s="6">
        <f>IF(B$20=0,0,B24/B$20)</f>
        <v>0.44565217391304346</v>
      </c>
      <c r="E24" s="27" t="s">
        <v>85</v>
      </c>
      <c r="F24" s="24" t="s">
        <v>40</v>
      </c>
      <c r="G24" s="12">
        <v>1</v>
      </c>
      <c r="H24" s="88">
        <f>IF(B$20=0,0,G24/B$20)</f>
        <v>3.6231884057971015E-3</v>
      </c>
      <c r="I24" s="58">
        <v>3</v>
      </c>
      <c r="K24" s="74">
        <v>22</v>
      </c>
      <c r="L24" s="119">
        <v>106.3</v>
      </c>
      <c r="M24" s="117">
        <v>1829.4799049660398</v>
      </c>
      <c r="O24" s="74" t="s">
        <v>201</v>
      </c>
      <c r="P24" s="83">
        <f>IF(Q24=0,0,R24/Q24)</f>
        <v>-19.7</v>
      </c>
      <c r="Q24" s="77">
        <v>1</v>
      </c>
      <c r="R24" s="68">
        <v>-19.7</v>
      </c>
    </row>
    <row r="25" spans="1:18" x14ac:dyDescent="0.4">
      <c r="A25" s="19" t="s">
        <v>181</v>
      </c>
      <c r="B25" s="12">
        <v>82</v>
      </c>
      <c r="C25" s="6">
        <f>IF(B$20=0,0,B25/B$20)</f>
        <v>0.29710144927536231</v>
      </c>
      <c r="E25" s="27" t="s">
        <v>88</v>
      </c>
      <c r="F25" s="24" t="s">
        <v>43</v>
      </c>
      <c r="G25" s="12">
        <v>1</v>
      </c>
      <c r="H25" s="88">
        <f>IF(B$20=0,0,G25/B$20)</f>
        <v>3.6231884057971015E-3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71</v>
      </c>
      <c r="C26" s="6">
        <f>IF(B$20=0,0,B26/B$20)</f>
        <v>0.25724637681159418</v>
      </c>
      <c r="E26" s="27" t="s">
        <v>90</v>
      </c>
      <c r="F26" s="24" t="s">
        <v>45</v>
      </c>
      <c r="G26" s="12">
        <v>1</v>
      </c>
      <c r="H26" s="88">
        <f>IF(B$20=0,0,G26/B$20)</f>
        <v>3.6231884057971015E-3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8200.36231884058</v>
      </c>
      <c r="C27" s="8">
        <v>2263300</v>
      </c>
      <c r="E27" s="27" t="s">
        <v>92</v>
      </c>
      <c r="F27" s="24" t="s">
        <v>47</v>
      </c>
      <c r="G27" s="12">
        <v>1</v>
      </c>
      <c r="H27" s="88">
        <f>IF(B$20=0,0,G27/B$20)</f>
        <v>3.6231884057971015E-3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8486.0824742268032</v>
      </c>
      <c r="C28" s="96">
        <v>1646300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7524.3902439024387</v>
      </c>
      <c r="C29" s="96">
        <v>617000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-7353.5483870967746</v>
      </c>
      <c r="C30" s="96">
        <v>-1139800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3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1.1600928074245939E-3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16</v>
      </c>
      <c r="C37" s="98">
        <f t="shared" ref="C37:C49" si="2">IF(B$20=0,0,B37/B$20)</f>
        <v>5.7971014492753624E-2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53</v>
      </c>
      <c r="C38" s="6">
        <f t="shared" si="2"/>
        <v>0.19202898550724637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58</v>
      </c>
      <c r="C39" s="6">
        <f t="shared" si="2"/>
        <v>0.21014492753623187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50</v>
      </c>
      <c r="C40" s="6">
        <f t="shared" si="2"/>
        <v>0.18115942028985507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41</v>
      </c>
      <c r="C41" s="6">
        <f t="shared" si="2"/>
        <v>0.14855072463768115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33</v>
      </c>
      <c r="C42" s="6">
        <f t="shared" si="2"/>
        <v>0.11956521739130435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10</v>
      </c>
      <c r="C43" s="6">
        <f t="shared" si="2"/>
        <v>3.6231884057971016E-2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5</v>
      </c>
      <c r="C44" s="6">
        <f t="shared" si="2"/>
        <v>1.8115942028985508E-2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1.8115942028985508E-2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7.246376811594203E-3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3.6231884057971015E-3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3.6231884057971015E-3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3.6231884057971015E-3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6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67</v>
      </c>
      <c r="C2" s="142"/>
      <c r="E2" s="26" t="s">
        <v>66</v>
      </c>
      <c r="F2" s="23" t="s">
        <v>22</v>
      </c>
      <c r="G2" s="11">
        <v>154</v>
      </c>
      <c r="H2" s="87">
        <f>IF(B$20=0,0,G2/B$20)</f>
        <v>0.97468354430379744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1431.3432835820895</v>
      </c>
      <c r="Q2" s="76">
        <v>67</v>
      </c>
      <c r="R2" s="63">
        <v>95900</v>
      </c>
    </row>
    <row r="3" spans="1:18" x14ac:dyDescent="0.4">
      <c r="A3" s="19" t="s">
        <v>8</v>
      </c>
      <c r="B3" s="143">
        <v>588</v>
      </c>
      <c r="C3" s="144"/>
      <c r="E3" s="27" t="s">
        <v>72</v>
      </c>
      <c r="F3" s="24" t="s">
        <v>27</v>
      </c>
      <c r="G3" s="12">
        <v>105</v>
      </c>
      <c r="H3" s="88">
        <f>IF(B$20=0,0,G3/B$20)</f>
        <v>0.66455696202531644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116.92307692307692</v>
      </c>
      <c r="Q3" s="77">
        <v>65</v>
      </c>
      <c r="R3" s="64">
        <v>7600</v>
      </c>
    </row>
    <row r="4" spans="1:18" x14ac:dyDescent="0.4">
      <c r="A4" s="19" t="s">
        <v>6</v>
      </c>
      <c r="B4" s="145">
        <v>-112.7</v>
      </c>
      <c r="C4" s="146"/>
      <c r="E4" s="27" t="s">
        <v>64</v>
      </c>
      <c r="F4" s="24" t="s">
        <v>20</v>
      </c>
      <c r="G4" s="12">
        <v>75</v>
      </c>
      <c r="H4" s="88">
        <f>IF(B$20=0,0,G4/B$20)</f>
        <v>0.47468354430379744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-689.23076923076928</v>
      </c>
      <c r="Q4" s="77">
        <v>65</v>
      </c>
      <c r="R4" s="64">
        <v>-44800</v>
      </c>
    </row>
    <row r="5" spans="1:18" x14ac:dyDescent="0.4">
      <c r="A5" s="19" t="s">
        <v>7</v>
      </c>
      <c r="B5" s="133">
        <f>IF(B$2=0,0,B$4/B$2)</f>
        <v>-1.682089552238806</v>
      </c>
      <c r="C5" s="134"/>
      <c r="E5" s="27" t="s">
        <v>159</v>
      </c>
      <c r="F5" s="24" t="s">
        <v>160</v>
      </c>
      <c r="G5" s="12">
        <v>62</v>
      </c>
      <c r="H5" s="88">
        <f>IF(B$20=0,0,G5/B$20)</f>
        <v>0.39240506329113922</v>
      </c>
      <c r="I5" s="58">
        <v>7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-723.80952380952385</v>
      </c>
      <c r="Q5" s="77">
        <v>63</v>
      </c>
      <c r="R5" s="64">
        <v>-45600</v>
      </c>
    </row>
    <row r="6" spans="1:18" x14ac:dyDescent="0.4">
      <c r="A6" s="19" t="s">
        <v>196</v>
      </c>
      <c r="B6" s="137">
        <v>1628.830527484987</v>
      </c>
      <c r="C6" s="138"/>
      <c r="E6" s="27" t="s">
        <v>68</v>
      </c>
      <c r="F6" s="24" t="s">
        <v>12</v>
      </c>
      <c r="G6" s="12">
        <v>55</v>
      </c>
      <c r="H6" s="88">
        <f>IF(B$20=0,0,G6/B$20)</f>
        <v>0.34810126582278483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189.47368421052633</v>
      </c>
      <c r="Q6" s="77">
        <v>57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2.0298507462686568</v>
      </c>
      <c r="C7" s="148"/>
      <c r="E7" s="27" t="s">
        <v>67</v>
      </c>
      <c r="F7" s="24" t="s">
        <v>23</v>
      </c>
      <c r="G7" s="12">
        <v>41</v>
      </c>
      <c r="H7" s="88">
        <f>IF(B$20=0,0,G7/B$20)</f>
        <v>0.25949367088607594</v>
      </c>
      <c r="I7" s="58">
        <v>3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181.25</v>
      </c>
      <c r="Q7" s="78">
        <v>48</v>
      </c>
      <c r="R7" s="65">
        <v>8700</v>
      </c>
    </row>
    <row r="8" spans="1:18" x14ac:dyDescent="0.4">
      <c r="A8" s="19" t="s">
        <v>2</v>
      </c>
      <c r="B8" s="12">
        <v>21</v>
      </c>
      <c r="C8" s="6">
        <f t="shared" ref="C8:C15" si="1">IF(B$2=0,0,B8/B$2)</f>
        <v>0.31343283582089554</v>
      </c>
      <c r="E8" s="27" t="s">
        <v>89</v>
      </c>
      <c r="F8" s="24" t="s">
        <v>44</v>
      </c>
      <c r="G8" s="12">
        <v>26</v>
      </c>
      <c r="H8" s="88">
        <f>IF(B$20=0,0,G8/B$20)</f>
        <v>0.16455696202531644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23</v>
      </c>
      <c r="C9" s="6">
        <f t="shared" si="1"/>
        <v>0.34328358208955223</v>
      </c>
      <c r="E9" s="27" t="s">
        <v>69</v>
      </c>
      <c r="F9" s="24" t="s">
        <v>24</v>
      </c>
      <c r="G9" s="12">
        <v>20</v>
      </c>
      <c r="H9" s="88">
        <f>IF(B$20=0,0,G9/B$20)</f>
        <v>0.12658227848101267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23</v>
      </c>
      <c r="C10" s="7">
        <f t="shared" si="1"/>
        <v>0.34328358208955223</v>
      </c>
      <c r="E10" s="27" t="s">
        <v>65</v>
      </c>
      <c r="F10" s="24" t="s">
        <v>21</v>
      </c>
      <c r="G10" s="12">
        <v>18</v>
      </c>
      <c r="H10" s="88">
        <f>IF(B$20=0,0,G10/B$20)</f>
        <v>0.11392405063291139</v>
      </c>
      <c r="I10" s="58">
        <v>4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-3.2071428571428569</v>
      </c>
      <c r="Q10" s="76">
        <v>28</v>
      </c>
      <c r="R10" s="67">
        <v>-89.8</v>
      </c>
    </row>
    <row r="11" spans="1:18" x14ac:dyDescent="0.4">
      <c r="A11" s="20" t="s">
        <v>184</v>
      </c>
      <c r="B11" s="109">
        <f>IF(B8=0,0,C11/B8)</f>
        <v>34.357142857142854</v>
      </c>
      <c r="C11" s="110">
        <v>721.5</v>
      </c>
      <c r="E11" s="27" t="s">
        <v>70</v>
      </c>
      <c r="F11" s="24" t="s">
        <v>25</v>
      </c>
      <c r="G11" s="12">
        <v>13</v>
      </c>
      <c r="H11" s="88">
        <f>IF(B$20=0,0,G11/B$20)</f>
        <v>8.2278481012658222E-2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2.214999999999999</v>
      </c>
      <c r="Q11" s="77">
        <v>20</v>
      </c>
      <c r="R11" s="68">
        <v>44.299999999999983</v>
      </c>
    </row>
    <row r="12" spans="1:18" x14ac:dyDescent="0.4">
      <c r="A12" s="20" t="s">
        <v>185</v>
      </c>
      <c r="B12" s="109">
        <f>IF(B9=0,0,C12/B9)</f>
        <v>1.8913043478260869</v>
      </c>
      <c r="C12" s="110">
        <v>43.5</v>
      </c>
      <c r="E12" s="27" t="s">
        <v>71</v>
      </c>
      <c r="F12" s="24" t="s">
        <v>26</v>
      </c>
      <c r="G12" s="12">
        <v>12</v>
      </c>
      <c r="H12" s="88">
        <f>IF(B$20=0,0,G12/B$20)</f>
        <v>7.5949367088607597E-2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-3.5368421052631582</v>
      </c>
      <c r="Q12" s="78">
        <v>19</v>
      </c>
      <c r="R12" s="69">
        <v>-67.2</v>
      </c>
    </row>
    <row r="13" spans="1:18" x14ac:dyDescent="0.4">
      <c r="A13" s="20" t="s">
        <v>186</v>
      </c>
      <c r="B13" s="109">
        <f>IF(B10=0,0,C13/B10)</f>
        <v>-38.160869565217396</v>
      </c>
      <c r="C13" s="110">
        <v>-877.70000000000016</v>
      </c>
      <c r="E13" s="27" t="s">
        <v>86</v>
      </c>
      <c r="F13" s="24" t="s">
        <v>41</v>
      </c>
      <c r="G13" s="12">
        <v>9</v>
      </c>
      <c r="H13" s="88">
        <f>IF(B$20=0,0,G13/B$20)</f>
        <v>5.6962025316455694E-2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-0.63747412008281878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3.7974683544303799E-2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9</v>
      </c>
      <c r="C15" s="9">
        <f t="shared" si="1"/>
        <v>0.13432835820895522</v>
      </c>
      <c r="E15" s="27" t="s">
        <v>81</v>
      </c>
      <c r="F15" s="24" t="s">
        <v>36</v>
      </c>
      <c r="G15" s="12">
        <v>5</v>
      </c>
      <c r="H15" s="88">
        <f>IF(B$20=0,0,G15/B$20)</f>
        <v>3.1645569620253167E-2</v>
      </c>
      <c r="I15" s="58">
        <v>8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168</v>
      </c>
      <c r="C16" s="10">
        <f>IF(B$3=0,0,B16/B$3)</f>
        <v>0.2857142857142857</v>
      </c>
      <c r="E16" s="27" t="s">
        <v>155</v>
      </c>
      <c r="F16" s="24" t="s">
        <v>156</v>
      </c>
      <c r="G16" s="12">
        <v>5</v>
      </c>
      <c r="H16" s="88">
        <f>IF(B$20=0,0,G16/B$20)</f>
        <v>3.1645569620253167E-2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33.200000000000003</v>
      </c>
      <c r="Q16" s="77">
        <v>1</v>
      </c>
      <c r="R16" s="68">
        <v>33.200000000000003</v>
      </c>
    </row>
    <row r="17" spans="1:18" x14ac:dyDescent="0.4">
      <c r="A17" s="19" t="s">
        <v>118</v>
      </c>
      <c r="B17" s="12">
        <v>130</v>
      </c>
      <c r="C17" s="6">
        <f>IF(B$3=0,0,B17/B$3)</f>
        <v>0.22108843537414966</v>
      </c>
      <c r="E17" s="27" t="s">
        <v>78</v>
      </c>
      <c r="F17" s="24" t="s">
        <v>33</v>
      </c>
      <c r="G17" s="12">
        <v>4</v>
      </c>
      <c r="H17" s="88">
        <f>IF(B$20=0,0,G17/B$20)</f>
        <v>2.5316455696202531E-2</v>
      </c>
      <c r="I17" s="58">
        <v>6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80</v>
      </c>
      <c r="C18" s="5">
        <f>IF(B$16=0,0,B18/B$16)</f>
        <v>0.47619047619047616</v>
      </c>
      <c r="E18" s="27" t="s">
        <v>73</v>
      </c>
      <c r="F18" s="24" t="s">
        <v>28</v>
      </c>
      <c r="G18" s="12">
        <v>3</v>
      </c>
      <c r="H18" s="88">
        <f>IF(B$20=0,0,G18/B$20)</f>
        <v>1.8987341772151899E-2</v>
      </c>
      <c r="I18" s="58">
        <v>1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7.9</v>
      </c>
      <c r="Q18" s="77">
        <v>16</v>
      </c>
      <c r="R18" s="68">
        <v>126.4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0.33846153846153848</v>
      </c>
      <c r="E19" s="27" t="s">
        <v>91</v>
      </c>
      <c r="F19" s="24" t="s">
        <v>46</v>
      </c>
      <c r="G19" s="12">
        <v>2</v>
      </c>
      <c r="H19" s="88">
        <f>IF(B$20=0,0,G19/B$20)</f>
        <v>1.2658227848101266E-2</v>
      </c>
      <c r="I19" s="58">
        <v>6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158</v>
      </c>
      <c r="C20" s="5">
        <f>IF(B$3=0,0,B20/B$3)</f>
        <v>0.2687074829931973</v>
      </c>
      <c r="E20" s="27" t="s">
        <v>77</v>
      </c>
      <c r="F20" s="24" t="s">
        <v>32</v>
      </c>
      <c r="G20" s="12">
        <v>1</v>
      </c>
      <c r="H20" s="88">
        <f>IF(B$20=0,0,G20/B$20)</f>
        <v>6.3291139240506328E-3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-3.7036363636363645</v>
      </c>
      <c r="Q20" s="77">
        <v>55</v>
      </c>
      <c r="R20" s="68">
        <v>-203.70000000000005</v>
      </c>
    </row>
    <row r="21" spans="1:18" x14ac:dyDescent="0.4">
      <c r="A21" s="19" t="s">
        <v>13</v>
      </c>
      <c r="B21" s="12">
        <v>113</v>
      </c>
      <c r="C21" s="6">
        <f>IF(B$3=0,0,B21/B$3)</f>
        <v>0.19217687074829931</v>
      </c>
      <c r="E21" s="27" t="s">
        <v>79</v>
      </c>
      <c r="F21" s="24" t="s">
        <v>34</v>
      </c>
      <c r="G21" s="12">
        <v>1</v>
      </c>
      <c r="H21" s="88">
        <f>IF(B$20=0,0,G21/B$20)</f>
        <v>6.3291139240506328E-3</v>
      </c>
      <c r="I21" s="58">
        <v>6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>IF(Q21=0,0,R21/Q21)</f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71</v>
      </c>
      <c r="C22" s="6">
        <f>IF(B$20=0,0,B22/B$20)</f>
        <v>0.44936708860759494</v>
      </c>
      <c r="E22" s="27" t="s">
        <v>85</v>
      </c>
      <c r="F22" s="24" t="s">
        <v>40</v>
      </c>
      <c r="G22" s="12">
        <v>1</v>
      </c>
      <c r="H22" s="88">
        <f>IF(B$20=0,0,G22/B$20)</f>
        <v>6.3291139240506328E-3</v>
      </c>
      <c r="I22" s="58">
        <v>2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>IF(Q22=0,0,R22/Q22)</f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87</v>
      </c>
      <c r="C23" s="6">
        <f>IF(B$20=0,0,B23/B$20)</f>
        <v>0.55063291139240511</v>
      </c>
      <c r="E23" s="27" t="s">
        <v>88</v>
      </c>
      <c r="F23" s="24" t="s">
        <v>43</v>
      </c>
      <c r="G23" s="12">
        <v>1</v>
      </c>
      <c r="H23" s="88">
        <f>IF(B$20=0,0,G23/B$20)</f>
        <v>6.3291139240506328E-3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>IF(Q23=0,0,R23/Q23)</f>
        <v>-11.568421052631582</v>
      </c>
      <c r="Q23" s="77">
        <v>19</v>
      </c>
      <c r="R23" s="68">
        <v>-219.80000000000004</v>
      </c>
    </row>
    <row r="24" spans="1:18" x14ac:dyDescent="0.4">
      <c r="A24" s="19" t="s">
        <v>183</v>
      </c>
      <c r="B24" s="12">
        <v>80</v>
      </c>
      <c r="C24" s="6">
        <f>IF(B$20=0,0,B24/B$20)</f>
        <v>0.50632911392405067</v>
      </c>
      <c r="E24" s="27" t="s">
        <v>92</v>
      </c>
      <c r="F24" s="24" t="s">
        <v>47</v>
      </c>
      <c r="G24" s="12">
        <v>1</v>
      </c>
      <c r="H24" s="88">
        <f>IF(B$20=0,0,G24/B$20)</f>
        <v>6.3291139240506328E-3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>IF(Q24=0,0,R24/Q24)</f>
        <v>-39.85</v>
      </c>
      <c r="Q24" s="77">
        <v>2</v>
      </c>
      <c r="R24" s="68">
        <v>-79.7</v>
      </c>
    </row>
    <row r="25" spans="1:18" x14ac:dyDescent="0.4">
      <c r="A25" s="19" t="s">
        <v>181</v>
      </c>
      <c r="B25" s="12">
        <v>44</v>
      </c>
      <c r="C25" s="6">
        <f>IF(B$20=0,0,B25/B$20)</f>
        <v>0.27848101265822783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34</v>
      </c>
      <c r="C26" s="6">
        <f>IF(B$20=0,0,B26/B$20)</f>
        <v>0.21518987341772153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9386.7088607594942</v>
      </c>
      <c r="C27" s="8">
        <v>1483100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10029.82456140351</v>
      </c>
      <c r="C28" s="96">
        <v>1143400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7720.454545454545</v>
      </c>
      <c r="C29" s="96">
        <v>339700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-7965.4867256637172</v>
      </c>
      <c r="C30" s="96">
        <v>-900100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1.7006802721088435E-3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5.6962025316455694E-2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12</v>
      </c>
      <c r="C38" s="6">
        <f t="shared" si="2"/>
        <v>7.5949367088607597E-2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32</v>
      </c>
      <c r="C39" s="6">
        <f t="shared" si="2"/>
        <v>0.20253164556962025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33</v>
      </c>
      <c r="C40" s="6">
        <f t="shared" si="2"/>
        <v>0.20886075949367089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34</v>
      </c>
      <c r="C41" s="6">
        <f t="shared" si="2"/>
        <v>0.21518987341772153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16</v>
      </c>
      <c r="C42" s="6">
        <f t="shared" si="2"/>
        <v>0.10126582278481013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8</v>
      </c>
      <c r="C43" s="6">
        <f t="shared" si="2"/>
        <v>5.0632911392405063E-2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7</v>
      </c>
      <c r="C44" s="6">
        <f t="shared" si="2"/>
        <v>4.4303797468354431E-2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1.8987341772151899E-2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1.2658227848101266E-2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1.2658227848101266E-2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43</v>
      </c>
      <c r="C2" s="142"/>
      <c r="E2" s="26" t="s">
        <v>72</v>
      </c>
      <c r="F2" s="23" t="s">
        <v>27</v>
      </c>
      <c r="G2" s="11">
        <v>78</v>
      </c>
      <c r="H2" s="87">
        <f>IF(B$20=0,0,G2/B$20)</f>
        <v>0.70909090909090911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-548.83720930232562</v>
      </c>
      <c r="Q2" s="76">
        <v>43</v>
      </c>
      <c r="R2" s="63">
        <v>-23600</v>
      </c>
    </row>
    <row r="3" spans="1:18" x14ac:dyDescent="0.4">
      <c r="A3" s="19" t="s">
        <v>8</v>
      </c>
      <c r="B3" s="143">
        <v>383</v>
      </c>
      <c r="C3" s="144"/>
      <c r="E3" s="27" t="s">
        <v>66</v>
      </c>
      <c r="F3" s="24" t="s">
        <v>22</v>
      </c>
      <c r="G3" s="12">
        <v>69</v>
      </c>
      <c r="H3" s="88">
        <f>IF(B$20=0,0,G3/B$20)</f>
        <v>0.62727272727272732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-927.90697674418607</v>
      </c>
      <c r="Q3" s="77">
        <v>43</v>
      </c>
      <c r="R3" s="64">
        <v>-39900</v>
      </c>
    </row>
    <row r="4" spans="1:18" x14ac:dyDescent="0.4">
      <c r="A4" s="19" t="s">
        <v>6</v>
      </c>
      <c r="B4" s="145">
        <v>-110.1</v>
      </c>
      <c r="C4" s="146"/>
      <c r="E4" s="27" t="s">
        <v>64</v>
      </c>
      <c r="F4" s="24" t="s">
        <v>20</v>
      </c>
      <c r="G4" s="12">
        <v>43</v>
      </c>
      <c r="H4" s="88">
        <f>IF(B$20=0,0,G4/B$20)</f>
        <v>0.39090909090909093</v>
      </c>
      <c r="I4" s="58">
        <v>9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314.28571428571428</v>
      </c>
      <c r="Q4" s="77">
        <v>42</v>
      </c>
      <c r="R4" s="64">
        <v>13200</v>
      </c>
    </row>
    <row r="5" spans="1:18" x14ac:dyDescent="0.4">
      <c r="A5" s="19" t="s">
        <v>7</v>
      </c>
      <c r="B5" s="133">
        <f>IF(B$2=0,0,B$4/B$2)</f>
        <v>-2.5604651162790697</v>
      </c>
      <c r="C5" s="134"/>
      <c r="E5" s="27" t="s">
        <v>159</v>
      </c>
      <c r="F5" s="24" t="s">
        <v>160</v>
      </c>
      <c r="G5" s="12">
        <v>38</v>
      </c>
      <c r="H5" s="88">
        <f>IF(B$20=0,0,G5/B$20)</f>
        <v>0.34545454545454546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-764.28571428571433</v>
      </c>
      <c r="Q5" s="77">
        <v>42</v>
      </c>
      <c r="R5" s="64">
        <v>-32100</v>
      </c>
    </row>
    <row r="6" spans="1:18" x14ac:dyDescent="0.4">
      <c r="A6" s="19" t="s">
        <v>196</v>
      </c>
      <c r="B6" s="137">
        <v>1448.7493412538377</v>
      </c>
      <c r="C6" s="138"/>
      <c r="E6" s="27" t="s">
        <v>68</v>
      </c>
      <c r="F6" s="24" t="s">
        <v>12</v>
      </c>
      <c r="G6" s="12">
        <v>29</v>
      </c>
      <c r="H6" s="88">
        <f>IF(B$20=0,0,G6/B$20)</f>
        <v>0.26363636363636361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-1129.2682926829268</v>
      </c>
      <c r="Q6" s="77">
        <v>41</v>
      </c>
      <c r="R6" s="64">
        <v>-46300</v>
      </c>
    </row>
    <row r="7" spans="1:18" x14ac:dyDescent="0.4">
      <c r="A7" s="19" t="s">
        <v>1</v>
      </c>
      <c r="B7" s="147">
        <f>IF(B$2=0,0,(B$8*1+B$9*2+B$10*3)/B$2)</f>
        <v>2.0465116279069768</v>
      </c>
      <c r="C7" s="148"/>
      <c r="E7" s="27" t="s">
        <v>67</v>
      </c>
      <c r="F7" s="24" t="s">
        <v>23</v>
      </c>
      <c r="G7" s="12">
        <v>28</v>
      </c>
      <c r="H7" s="88">
        <f>IF(B$20=0,0,G7/B$20)</f>
        <v>0.25454545454545452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-414.70588235294116</v>
      </c>
      <c r="Q7" s="78">
        <v>34</v>
      </c>
      <c r="R7" s="65">
        <v>-14100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0.34883720930232559</v>
      </c>
      <c r="E8" s="27" t="s">
        <v>70</v>
      </c>
      <c r="F8" s="24" t="s">
        <v>25</v>
      </c>
      <c r="G8" s="12">
        <v>11</v>
      </c>
      <c r="H8" s="88">
        <f>IF(B$20=0,0,G8/B$20)</f>
        <v>0.1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0.2558139534883721</v>
      </c>
      <c r="E9" s="27" t="s">
        <v>89</v>
      </c>
      <c r="F9" s="24" t="s">
        <v>44</v>
      </c>
      <c r="G9" s="12">
        <v>11</v>
      </c>
      <c r="H9" s="88">
        <f>IF(B$20=0,0,G9/B$20)</f>
        <v>0.1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0.39534883720930231</v>
      </c>
      <c r="E10" s="27" t="s">
        <v>65</v>
      </c>
      <c r="F10" s="24" t="s">
        <v>21</v>
      </c>
      <c r="G10" s="12">
        <v>9</v>
      </c>
      <c r="H10" s="88">
        <f>IF(B$20=0,0,G10/B$20)</f>
        <v>8.1818181818181818E-2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8.1818181818181818E-2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-6.2600000000000007</v>
      </c>
      <c r="Q11" s="77">
        <v>15</v>
      </c>
      <c r="R11" s="68">
        <v>-93.9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6.363636363636363E-2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-4.382352941176471</v>
      </c>
      <c r="Q12" s="78">
        <v>17</v>
      </c>
      <c r="R12" s="69">
        <v>-74.500000000000014</v>
      </c>
    </row>
    <row r="13" spans="1:18" x14ac:dyDescent="0.4">
      <c r="A13" s="20" t="s">
        <v>186</v>
      </c>
      <c r="B13" s="109">
        <f>IF(B10=0,0,C13/B10)</f>
        <v>-35.258823529411764</v>
      </c>
      <c r="C13" s="110">
        <v>-599.4</v>
      </c>
      <c r="E13" s="27" t="s">
        <v>71</v>
      </c>
      <c r="F13" s="24" t="s">
        <v>26</v>
      </c>
      <c r="G13" s="12">
        <v>5</v>
      </c>
      <c r="H13" s="88">
        <f>IF(B$20=0,0,G13/B$20)</f>
        <v>4.5454545454545456E-2</v>
      </c>
      <c r="I13" s="58">
        <v>9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-0.44243612596553561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3.6363636363636362E-2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9.3023255813953487E-2</v>
      </c>
      <c r="E15" s="27" t="s">
        <v>81</v>
      </c>
      <c r="F15" s="24" t="s">
        <v>36</v>
      </c>
      <c r="G15" s="12">
        <v>4</v>
      </c>
      <c r="H15" s="88">
        <f>IF(B$20=0,0,G15/B$20)</f>
        <v>3.6363636363636362E-2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100</v>
      </c>
      <c r="C16" s="10">
        <f>IF(B$3=0,0,B16/B$3)</f>
        <v>0.26109660574412535</v>
      </c>
      <c r="E16" s="27" t="s">
        <v>79</v>
      </c>
      <c r="F16" s="24" t="s">
        <v>34</v>
      </c>
      <c r="G16" s="12">
        <v>3</v>
      </c>
      <c r="H16" s="88">
        <f>IF(B$20=0,0,G16/B$20)</f>
        <v>2.7272727272727271E-2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115</v>
      </c>
      <c r="C17" s="6">
        <f>IF(B$3=0,0,B17/B$3)</f>
        <v>0.30026109660574413</v>
      </c>
      <c r="E17" s="27" t="s">
        <v>86</v>
      </c>
      <c r="F17" s="24" t="s">
        <v>41</v>
      </c>
      <c r="G17" s="12">
        <v>2</v>
      </c>
      <c r="H17" s="88">
        <f>IF(B$20=0,0,G17/B$20)</f>
        <v>1.8181818181818181E-2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0.43</v>
      </c>
      <c r="E18" s="27" t="s">
        <v>91</v>
      </c>
      <c r="F18" s="24" t="s">
        <v>46</v>
      </c>
      <c r="G18" s="12">
        <v>2</v>
      </c>
      <c r="H18" s="88">
        <f>IF(B$20=0,0,G18/B$20)</f>
        <v>1.8181818181818181E-2</v>
      </c>
      <c r="I18" s="58">
        <v>4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0.40869565217391307</v>
      </c>
      <c r="E19" s="27" t="s">
        <v>88</v>
      </c>
      <c r="F19" s="24" t="s">
        <v>43</v>
      </c>
      <c r="G19" s="12">
        <v>1</v>
      </c>
      <c r="H19" s="88">
        <f>IF(B$20=0,0,G19/B$20)</f>
        <v>9.0909090909090905E-3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-1.8135135135135136</v>
      </c>
      <c r="Q19" s="77">
        <v>37</v>
      </c>
      <c r="R19" s="68">
        <v>-67.100000000000009</v>
      </c>
    </row>
    <row r="20" spans="1:18" x14ac:dyDescent="0.4">
      <c r="A20" s="18" t="s">
        <v>10</v>
      </c>
      <c r="B20" s="11">
        <f>B23+B22</f>
        <v>110</v>
      </c>
      <c r="C20" s="5">
        <f>IF(B$3=0,0,B20/B$3)</f>
        <v>0.28720626631853785</v>
      </c>
      <c r="E20" s="27" t="s">
        <v>93</v>
      </c>
      <c r="F20" s="24" t="s">
        <v>48</v>
      </c>
      <c r="G20" s="12">
        <v>1</v>
      </c>
      <c r="H20" s="88">
        <f>IF(B$20=0,0,G20/B$20)</f>
        <v>9.0909090909090905E-3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-7.8999999999999977</v>
      </c>
      <c r="Q20" s="77">
        <v>16</v>
      </c>
      <c r="R20" s="68">
        <v>-126.39999999999996</v>
      </c>
    </row>
    <row r="21" spans="1:18" x14ac:dyDescent="0.4">
      <c r="A21" s="19" t="s">
        <v>13</v>
      </c>
      <c r="B21" s="12">
        <v>65</v>
      </c>
      <c r="C21" s="6">
        <f>IF(B$3=0,0,B21/B$3)</f>
        <v>0.16971279373368145</v>
      </c>
      <c r="E21" s="27" t="s">
        <v>106</v>
      </c>
      <c r="F21" s="24" t="s">
        <v>113</v>
      </c>
      <c r="G21" s="12">
        <v>1</v>
      </c>
      <c r="H21" s="88">
        <f>IF(B$20=0,0,G21/B$20)</f>
        <v>9.0909090909090905E-3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52</v>
      </c>
      <c r="C22" s="6">
        <f>IF(B$20=0,0,B22/B$20)</f>
        <v>0.47272727272727272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58</v>
      </c>
      <c r="C23" s="6">
        <f>IF(B$20=0,0,B23/B$20)</f>
        <v>0.52727272727272723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43</v>
      </c>
      <c r="C24" s="6">
        <f>IF(B$20=0,0,B24/B$20)</f>
        <v>0.39090909090909093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47</v>
      </c>
      <c r="C25" s="6">
        <f>IF(B$20=0,0,B25/B$20)</f>
        <v>0.42727272727272725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0.18181818181818182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7535.454545454545</v>
      </c>
      <c r="C27" s="8">
        <v>828900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9374.6031746031749</v>
      </c>
      <c r="C28" s="96">
        <v>590600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5070.2127659574471</v>
      </c>
      <c r="C29" s="96">
        <v>238300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-8520</v>
      </c>
      <c r="C30" s="96">
        <v>-553800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2.6109660574412533E-3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0.12727272727272726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0.24545454545454545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22</v>
      </c>
      <c r="C39" s="6">
        <f t="shared" si="3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0.18181818181818182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4.5454545454545456E-2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4.5454545454545456E-2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4.5454545454545456E-2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1.8181818181818181E-2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3.6363636363636362E-2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3.6363636363636362E-2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1.8181818181818181E-2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34</v>
      </c>
      <c r="C2" s="142"/>
      <c r="E2" s="26" t="s">
        <v>66</v>
      </c>
      <c r="F2" s="23" t="s">
        <v>22</v>
      </c>
      <c r="G2" s="11">
        <v>68</v>
      </c>
      <c r="H2" s="87">
        <f>IF(B$20=0,0,G2/B$20)</f>
        <v>0.87179487179487181</v>
      </c>
      <c r="I2" s="57">
        <v>4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1285.2941176470588</v>
      </c>
      <c r="Q2" s="76">
        <v>34</v>
      </c>
      <c r="R2" s="63">
        <v>43700</v>
      </c>
    </row>
    <row r="3" spans="1:18" x14ac:dyDescent="0.4">
      <c r="A3" s="19" t="s">
        <v>8</v>
      </c>
      <c r="B3" s="143">
        <v>296</v>
      </c>
      <c r="C3" s="144"/>
      <c r="E3" s="27" t="s">
        <v>72</v>
      </c>
      <c r="F3" s="24" t="s">
        <v>27</v>
      </c>
      <c r="G3" s="12">
        <v>45</v>
      </c>
      <c r="H3" s="88">
        <f>IF(B$20=0,0,G3/B$20)</f>
        <v>0.57692307692307687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682.35294117647061</v>
      </c>
      <c r="Q3" s="77">
        <v>34</v>
      </c>
      <c r="R3" s="64">
        <v>23200</v>
      </c>
    </row>
    <row r="4" spans="1:18" x14ac:dyDescent="0.4">
      <c r="A4" s="19" t="s">
        <v>6</v>
      </c>
      <c r="B4" s="145">
        <v>59.89999999999997</v>
      </c>
      <c r="C4" s="146"/>
      <c r="E4" s="27" t="s">
        <v>64</v>
      </c>
      <c r="F4" s="24" t="s">
        <v>20</v>
      </c>
      <c r="G4" s="12">
        <v>38</v>
      </c>
      <c r="H4" s="88">
        <f>IF(B$20=0,0,G4/B$20)</f>
        <v>0.48717948717948717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1012.1212121212121</v>
      </c>
      <c r="Q4" s="77">
        <v>33</v>
      </c>
      <c r="R4" s="64">
        <v>33400</v>
      </c>
    </row>
    <row r="5" spans="1:18" x14ac:dyDescent="0.4">
      <c r="A5" s="19" t="s">
        <v>7</v>
      </c>
      <c r="B5" s="133">
        <f>IF(B$2=0,0,B$4/B$2)</f>
        <v>1.761764705882352</v>
      </c>
      <c r="C5" s="134"/>
      <c r="E5" s="27" t="s">
        <v>159</v>
      </c>
      <c r="F5" s="24" t="s">
        <v>160</v>
      </c>
      <c r="G5" s="12">
        <v>35</v>
      </c>
      <c r="H5" s="88">
        <f>IF(B$20=0,0,G5/B$20)</f>
        <v>0.44871794871794873</v>
      </c>
      <c r="I5" s="58">
        <v>4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-2565.5172413793102</v>
      </c>
      <c r="Q5" s="77">
        <v>29</v>
      </c>
      <c r="R5" s="64">
        <v>-74400</v>
      </c>
    </row>
    <row r="6" spans="1:18" x14ac:dyDescent="0.4">
      <c r="A6" s="19" t="s">
        <v>196</v>
      </c>
      <c r="B6" s="137">
        <v>1552.0582707777592</v>
      </c>
      <c r="C6" s="138"/>
      <c r="E6" s="27" t="s">
        <v>68</v>
      </c>
      <c r="F6" s="24" t="s">
        <v>12</v>
      </c>
      <c r="G6" s="12">
        <v>20</v>
      </c>
      <c r="H6" s="88">
        <f>IF(B$20=0,0,G6/B$20)</f>
        <v>0.25641025641025639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2296.1538461538462</v>
      </c>
      <c r="Q6" s="77">
        <v>26</v>
      </c>
      <c r="R6" s="64">
        <v>59700</v>
      </c>
    </row>
    <row r="7" spans="1:18" x14ac:dyDescent="0.4">
      <c r="A7" s="19" t="s">
        <v>1</v>
      </c>
      <c r="B7" s="147">
        <f>IF(B$2=0,0,(B$8*1+B$9*2+B$10*3)/B$2)</f>
        <v>1.911764705882353</v>
      </c>
      <c r="C7" s="148"/>
      <c r="E7" s="27" t="s">
        <v>67</v>
      </c>
      <c r="F7" s="24" t="s">
        <v>23</v>
      </c>
      <c r="G7" s="12">
        <v>17</v>
      </c>
      <c r="H7" s="88">
        <f>IF(B$20=0,0,G7/B$20)</f>
        <v>0.21794871794871795</v>
      </c>
      <c r="I7" s="58">
        <v>7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-890.90909090909088</v>
      </c>
      <c r="Q7" s="78">
        <v>22</v>
      </c>
      <c r="R7" s="65">
        <v>-19600</v>
      </c>
    </row>
    <row r="8" spans="1:18" x14ac:dyDescent="0.4">
      <c r="A8" s="19" t="s">
        <v>2</v>
      </c>
      <c r="B8" s="12">
        <v>10</v>
      </c>
      <c r="C8" s="6">
        <f t="shared" ref="C8:C15" si="1">IF(B$2=0,0,B8/B$2)</f>
        <v>0.29411764705882354</v>
      </c>
      <c r="E8" s="27" t="s">
        <v>65</v>
      </c>
      <c r="F8" s="24" t="s">
        <v>21</v>
      </c>
      <c r="G8" s="12">
        <v>14</v>
      </c>
      <c r="H8" s="88">
        <f>IF(B$20=0,0,G8/B$20)</f>
        <v>0.17948717948717949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0.5</v>
      </c>
      <c r="E9" s="27" t="s">
        <v>69</v>
      </c>
      <c r="F9" s="24" t="s">
        <v>24</v>
      </c>
      <c r="G9" s="12">
        <v>13</v>
      </c>
      <c r="H9" s="88">
        <f>IF(B$20=0,0,G9/B$20)</f>
        <v>0.16666666666666666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0.20588235294117646</v>
      </c>
      <c r="E10" s="27" t="s">
        <v>89</v>
      </c>
      <c r="F10" s="24" t="s">
        <v>44</v>
      </c>
      <c r="G10" s="12">
        <v>8</v>
      </c>
      <c r="H10" s="88">
        <f>IF(B$20=0,0,G10/B$20)</f>
        <v>0.10256410256410256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34.799999999999997</v>
      </c>
      <c r="C11" s="110">
        <v>348</v>
      </c>
      <c r="E11" s="27" t="s">
        <v>86</v>
      </c>
      <c r="F11" s="24" t="s">
        <v>41</v>
      </c>
      <c r="G11" s="12">
        <v>7</v>
      </c>
      <c r="H11" s="88">
        <f>IF(B$20=0,0,G11/B$20)</f>
        <v>8.9743589743589744E-2</v>
      </c>
      <c r="I11" s="58">
        <v>2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-3.35</v>
      </c>
      <c r="Q11" s="77">
        <v>14</v>
      </c>
      <c r="R11" s="68">
        <v>-46.9</v>
      </c>
    </row>
    <row r="12" spans="1:18" x14ac:dyDescent="0.4">
      <c r="A12" s="20" t="s">
        <v>185</v>
      </c>
      <c r="B12" s="109">
        <f>IF(B9=0,0,C12/B9)</f>
        <v>-1.9941176470588236</v>
      </c>
      <c r="C12" s="110">
        <v>-33.9</v>
      </c>
      <c r="E12" s="27" t="s">
        <v>70</v>
      </c>
      <c r="F12" s="24" t="s">
        <v>25</v>
      </c>
      <c r="G12" s="12">
        <v>6</v>
      </c>
      <c r="H12" s="88">
        <f>IF(B$20=0,0,G12/B$20)</f>
        <v>7.6923076923076927E-2</v>
      </c>
      <c r="I12" s="58">
        <v>7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14.919999999999998</v>
      </c>
      <c r="Q12" s="78">
        <v>10</v>
      </c>
      <c r="R12" s="69">
        <v>149.19999999999999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4</v>
      </c>
      <c r="H13" s="88">
        <f>IF(B$20=0,0,G13/B$20)</f>
        <v>5.128205128205128E-2</v>
      </c>
      <c r="I13" s="58">
        <v>6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-1.1694677871148471</v>
      </c>
      <c r="C14" s="134"/>
      <c r="E14" s="27" t="s">
        <v>71</v>
      </c>
      <c r="F14" s="24" t="s">
        <v>26</v>
      </c>
      <c r="G14" s="12">
        <v>2</v>
      </c>
      <c r="H14" s="88">
        <f>IF(B$20=0,0,G14/B$20)</f>
        <v>2.564102564102564E-2</v>
      </c>
      <c r="I14" s="58">
        <v>10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5.8823529411764705E-2</v>
      </c>
      <c r="E15" s="27" t="s">
        <v>79</v>
      </c>
      <c r="F15" s="24" t="s">
        <v>34</v>
      </c>
      <c r="G15" s="12">
        <v>2</v>
      </c>
      <c r="H15" s="88">
        <f>IF(B$20=0,0,G15/B$20)</f>
        <v>2.564102564102564E-2</v>
      </c>
      <c r="I15" s="58">
        <v>2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78</v>
      </c>
      <c r="C16" s="10">
        <f>IF(B$3=0,0,B16/B$3)</f>
        <v>0.26351351351351349</v>
      </c>
      <c r="E16" s="27" t="s">
        <v>81</v>
      </c>
      <c r="F16" s="24" t="s">
        <v>36</v>
      </c>
      <c r="G16" s="12">
        <v>2</v>
      </c>
      <c r="H16" s="88">
        <f>IF(B$20=0,0,G16/B$20)</f>
        <v>2.564102564102564E-2</v>
      </c>
      <c r="I16" s="58">
        <v>10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58</v>
      </c>
      <c r="C17" s="6">
        <f>IF(B$3=0,0,B17/B$3)</f>
        <v>0.19594594594594594</v>
      </c>
      <c r="E17" s="27" t="s">
        <v>77</v>
      </c>
      <c r="F17" s="24" t="s">
        <v>32</v>
      </c>
      <c r="G17" s="12">
        <v>1</v>
      </c>
      <c r="H17" s="88">
        <f>IF(B$20=0,0,G17/B$20)</f>
        <v>1.282051282051282E-2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0.51282051282051277</v>
      </c>
      <c r="E18" s="27" t="s">
        <v>78</v>
      </c>
      <c r="F18" s="24" t="s">
        <v>33</v>
      </c>
      <c r="G18" s="12">
        <v>1</v>
      </c>
      <c r="H18" s="88">
        <f>IF(B$20=0,0,G18/B$20)</f>
        <v>1.282051282051282E-2</v>
      </c>
      <c r="I18" s="58">
        <v>9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0.33928571428571352</v>
      </c>
      <c r="Q18" s="77">
        <v>28</v>
      </c>
      <c r="R18" s="68">
        <v>9.4999999999999787</v>
      </c>
    </row>
    <row r="19" spans="1:18" x14ac:dyDescent="0.4">
      <c r="A19" s="18" t="s">
        <v>124</v>
      </c>
      <c r="B19" s="11">
        <f>B25</f>
        <v>22</v>
      </c>
      <c r="C19" s="5">
        <f>IF(B$17=0,0,B19/B$17)</f>
        <v>0.37931034482758619</v>
      </c>
      <c r="E19" s="27" t="s">
        <v>91</v>
      </c>
      <c r="F19" s="24" t="s">
        <v>46</v>
      </c>
      <c r="G19" s="12">
        <v>1</v>
      </c>
      <c r="H19" s="88">
        <f>IF(B$20=0,0,G19/B$20)</f>
        <v>1.282051282051282E-2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78</v>
      </c>
      <c r="C20" s="5">
        <f>IF(B$3=0,0,B20/B$3)</f>
        <v>0.26351351351351349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27</v>
      </c>
      <c r="C21" s="6">
        <f>IF(B$3=0,0,B21/B$3)</f>
        <v>9.1216216216216214E-2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25</v>
      </c>
      <c r="C22" s="6">
        <f>IF(B$20=0,0,B22/B$20)</f>
        <v>0.32051282051282054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5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53</v>
      </c>
      <c r="C23" s="6">
        <f>IF(B$20=0,0,B23/B$20)</f>
        <v>0.67948717948717952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40</v>
      </c>
      <c r="C24" s="6">
        <f>IF(B$20=0,0,B24/B$20)</f>
        <v>0.51282051282051277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22</v>
      </c>
      <c r="C25" s="6">
        <f>IF(B$20=0,0,B25/B$20)</f>
        <v>0.28205128205128205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16</v>
      </c>
      <c r="C26" s="6">
        <f>IF(B$20=0,0,B26/B$20)</f>
        <v>0.20512820512820512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7982.0512820512822</v>
      </c>
      <c r="C27" s="8">
        <v>622600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7742.8571428571431</v>
      </c>
      <c r="C28" s="96">
        <v>433600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8590.9090909090901</v>
      </c>
      <c r="C29" s="96">
        <v>189000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-6151.8518518518522</v>
      </c>
      <c r="C30" s="96">
        <v>-166100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2</v>
      </c>
      <c r="C37" s="98">
        <f t="shared" ref="C37:C49" si="3">IF(B$20=0,0,B37/B$20)</f>
        <v>2.564102564102564E-2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">
      <c r="A38" s="19" t="s">
        <v>167</v>
      </c>
      <c r="B38" s="12">
        <v>13</v>
      </c>
      <c r="C38" s="6">
        <f t="shared" si="3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">
      <c r="A39" s="19" t="s">
        <v>168</v>
      </c>
      <c r="B39" s="124">
        <v>18</v>
      </c>
      <c r="C39" s="6">
        <f t="shared" si="3"/>
        <v>0.23076923076923078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22</v>
      </c>
      <c r="C40" s="6">
        <f t="shared" si="3"/>
        <v>0.28205128205128205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9</v>
      </c>
      <c r="C41" s="6">
        <f t="shared" si="3"/>
        <v>0.11538461538461539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6</v>
      </c>
      <c r="C42" s="6">
        <f t="shared" si="3"/>
        <v>7.6923076923076927E-2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3.8461538461538464E-2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3"/>
        <v>5.128205128205128E-2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1.282051282051282E-2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44</v>
      </c>
      <c r="C2" s="142"/>
      <c r="E2" s="26" t="s">
        <v>66</v>
      </c>
      <c r="F2" s="23" t="s">
        <v>22</v>
      </c>
      <c r="G2" s="11">
        <v>83</v>
      </c>
      <c r="H2" s="87">
        <f>IF(B$20=0,0,G2/B$20)</f>
        <v>0.72807017543859653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-554.5454545454545</v>
      </c>
      <c r="Q2" s="76">
        <v>44</v>
      </c>
      <c r="R2" s="63">
        <v>-24400</v>
      </c>
    </row>
    <row r="3" spans="1:18" x14ac:dyDescent="0.4">
      <c r="A3" s="19" t="s">
        <v>8</v>
      </c>
      <c r="B3" s="143">
        <v>378</v>
      </c>
      <c r="C3" s="144"/>
      <c r="E3" s="27" t="s">
        <v>72</v>
      </c>
      <c r="F3" s="24" t="s">
        <v>27</v>
      </c>
      <c r="G3" s="12">
        <v>67</v>
      </c>
      <c r="H3" s="88">
        <f>IF(B$20=0,0,G3/B$20)</f>
        <v>0.58771929824561409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686.36363636363637</v>
      </c>
      <c r="Q3" s="77">
        <v>44</v>
      </c>
      <c r="R3" s="64">
        <v>30200</v>
      </c>
    </row>
    <row r="4" spans="1:18" x14ac:dyDescent="0.4">
      <c r="A4" s="19" t="s">
        <v>6</v>
      </c>
      <c r="B4" s="145">
        <v>143.19999999999999</v>
      </c>
      <c r="C4" s="146"/>
      <c r="E4" s="27" t="s">
        <v>64</v>
      </c>
      <c r="F4" s="24" t="s">
        <v>20</v>
      </c>
      <c r="G4" s="12">
        <v>48</v>
      </c>
      <c r="H4" s="88">
        <f>IF(B$20=0,0,G4/B$20)</f>
        <v>0.42105263157894735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1643.1818181818182</v>
      </c>
      <c r="Q4" s="77">
        <v>44</v>
      </c>
      <c r="R4" s="64">
        <v>72300</v>
      </c>
    </row>
    <row r="5" spans="1:18" x14ac:dyDescent="0.4">
      <c r="A5" s="19" t="s">
        <v>7</v>
      </c>
      <c r="B5" s="133">
        <f>IF(B$2=0,0,B$4/B$2)</f>
        <v>3.2545454545454544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0.32456140350877194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39.024390243902438</v>
      </c>
      <c r="Q5" s="77">
        <v>41</v>
      </c>
      <c r="R5" s="64">
        <v>1600</v>
      </c>
    </row>
    <row r="6" spans="1:18" x14ac:dyDescent="0.4">
      <c r="A6" s="19" t="s">
        <v>196</v>
      </c>
      <c r="B6" s="137">
        <v>1531.1784483849297</v>
      </c>
      <c r="C6" s="138"/>
      <c r="E6" s="27" t="s">
        <v>68</v>
      </c>
      <c r="F6" s="24" t="s">
        <v>12</v>
      </c>
      <c r="G6" s="12">
        <v>30</v>
      </c>
      <c r="H6" s="88">
        <f>IF(B$20=0,0,G6/B$20)</f>
        <v>0.26315789473684209</v>
      </c>
      <c r="I6" s="58">
        <v>10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89.189189189189193</v>
      </c>
      <c r="Q6" s="77">
        <v>37</v>
      </c>
      <c r="R6" s="64">
        <v>3300</v>
      </c>
    </row>
    <row r="7" spans="1:18" x14ac:dyDescent="0.4">
      <c r="A7" s="19" t="s">
        <v>1</v>
      </c>
      <c r="B7" s="147">
        <f>IF(B$2=0,0,(B$8*1+B$9*2+B$10*3)/B$2)</f>
        <v>1.9318181818181819</v>
      </c>
      <c r="C7" s="148"/>
      <c r="E7" s="27" t="s">
        <v>67</v>
      </c>
      <c r="F7" s="24" t="s">
        <v>23</v>
      </c>
      <c r="G7" s="12">
        <v>29</v>
      </c>
      <c r="H7" s="88">
        <f>IF(B$20=0,0,G7/B$20)</f>
        <v>0.25438596491228072</v>
      </c>
      <c r="I7" s="58">
        <v>5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1474.2857142857142</v>
      </c>
      <c r="Q7" s="78">
        <v>35</v>
      </c>
      <c r="R7" s="65">
        <v>51600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0.38636363636363635</v>
      </c>
      <c r="E8" s="27" t="s">
        <v>89</v>
      </c>
      <c r="F8" s="24" t="s">
        <v>44</v>
      </c>
      <c r="G8" s="12">
        <v>20</v>
      </c>
      <c r="H8" s="88">
        <f>IF(B$20=0,0,G8/B$20)</f>
        <v>0.17543859649122806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0.29545454545454547</v>
      </c>
      <c r="E9" s="27" t="s">
        <v>69</v>
      </c>
      <c r="F9" s="24" t="s">
        <v>24</v>
      </c>
      <c r="G9" s="12">
        <v>16</v>
      </c>
      <c r="H9" s="88">
        <f>IF(B$20=0,0,G9/B$20)</f>
        <v>0.14035087719298245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0.31818181818181818</v>
      </c>
      <c r="E10" s="27" t="s">
        <v>71</v>
      </c>
      <c r="F10" s="24" t="s">
        <v>26</v>
      </c>
      <c r="G10" s="12">
        <v>9</v>
      </c>
      <c r="H10" s="88">
        <f>IF(B$20=0,0,G10/B$20)</f>
        <v>7.8947368421052627E-2</v>
      </c>
      <c r="I10" s="58">
        <v>4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-2.8999999999999995</v>
      </c>
      <c r="Q10" s="76">
        <v>11</v>
      </c>
      <c r="R10" s="67">
        <v>-31.899999999999995</v>
      </c>
    </row>
    <row r="11" spans="1:18" x14ac:dyDescent="0.4">
      <c r="A11" s="20" t="s">
        <v>184</v>
      </c>
      <c r="B11" s="109">
        <f>IF(B8=0,0,C11/B8)</f>
        <v>32.964705882352938</v>
      </c>
      <c r="C11" s="110">
        <v>560.4</v>
      </c>
      <c r="E11" s="27" t="s">
        <v>65</v>
      </c>
      <c r="F11" s="24" t="s">
        <v>21</v>
      </c>
      <c r="G11" s="12">
        <v>8</v>
      </c>
      <c r="H11" s="88">
        <f>IF(B$20=0,0,G11/B$20)</f>
        <v>7.0175438596491224E-2</v>
      </c>
      <c r="I11" s="58">
        <v>10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0.66875000000000095</v>
      </c>
      <c r="Q11" s="77">
        <v>16</v>
      </c>
      <c r="R11" s="68">
        <v>10.700000000000015</v>
      </c>
    </row>
    <row r="12" spans="1:18" x14ac:dyDescent="0.4">
      <c r="A12" s="20" t="s">
        <v>185</v>
      </c>
      <c r="B12" s="109">
        <f>IF(B9=0,0,C12/B9)</f>
        <v>-1.4615384615384621</v>
      </c>
      <c r="C12" s="110">
        <v>-19.000000000000007</v>
      </c>
      <c r="E12" s="27" t="s">
        <v>86</v>
      </c>
      <c r="F12" s="24" t="s">
        <v>41</v>
      </c>
      <c r="G12" s="12">
        <v>7</v>
      </c>
      <c r="H12" s="88">
        <f>IF(B$20=0,0,G12/B$20)</f>
        <v>6.1403508771929821E-2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5.2631578947368418E-2</v>
      </c>
      <c r="I13" s="58">
        <v>5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1.020103425985776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4.3859649122807015E-2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4.5454545454545456E-2</v>
      </c>
      <c r="E15" s="27" t="s">
        <v>81</v>
      </c>
      <c r="F15" s="24" t="s">
        <v>36</v>
      </c>
      <c r="G15" s="12">
        <v>5</v>
      </c>
      <c r="H15" s="88">
        <f>IF(B$20=0,0,G15/B$20)</f>
        <v>4.3859649122807015E-2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80</v>
      </c>
      <c r="C16" s="10">
        <f>IF(B$3=0,0,B16/B$3)</f>
        <v>0.21164021164021163</v>
      </c>
      <c r="E16" s="27" t="s">
        <v>91</v>
      </c>
      <c r="F16" s="24" t="s">
        <v>46</v>
      </c>
      <c r="G16" s="12">
        <v>5</v>
      </c>
      <c r="H16" s="88">
        <f>IF(B$20=0,0,G16/B$20)</f>
        <v>4.3859649122807015E-2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79</v>
      </c>
      <c r="C17" s="6">
        <f>IF(B$3=0,0,B17/B$3)</f>
        <v>0.20899470899470898</v>
      </c>
      <c r="E17" s="27" t="s">
        <v>78</v>
      </c>
      <c r="F17" s="24" t="s">
        <v>33</v>
      </c>
      <c r="G17" s="12">
        <v>4</v>
      </c>
      <c r="H17" s="88">
        <f>IF(B$20=0,0,G17/B$20)</f>
        <v>3.5087719298245612E-2</v>
      </c>
      <c r="I17" s="58">
        <v>3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0.58750000000000002</v>
      </c>
      <c r="E18" s="27" t="s">
        <v>73</v>
      </c>
      <c r="F18" s="24" t="s">
        <v>28</v>
      </c>
      <c r="G18" s="12">
        <v>2</v>
      </c>
      <c r="H18" s="88">
        <f>IF(B$20=0,0,G18/B$20)</f>
        <v>1.7543859649122806E-2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11.56842105263158</v>
      </c>
      <c r="Q18" s="77">
        <v>19</v>
      </c>
      <c r="R18" s="68">
        <v>219.8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0.49367088607594939</v>
      </c>
      <c r="E19" s="27" t="s">
        <v>75</v>
      </c>
      <c r="F19" s="24" t="s">
        <v>30</v>
      </c>
      <c r="G19" s="12">
        <v>1</v>
      </c>
      <c r="H19" s="88">
        <f>IF(B$20=0,0,G19/B$20)</f>
        <v>8.771929824561403E-3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114</v>
      </c>
      <c r="C20" s="5">
        <f>IF(B$3=0,0,B20/B$3)</f>
        <v>0.30158730158730157</v>
      </c>
      <c r="E20" s="27" t="s">
        <v>93</v>
      </c>
      <c r="F20" s="24" t="s">
        <v>48</v>
      </c>
      <c r="G20" s="12">
        <v>1</v>
      </c>
      <c r="H20" s="88">
        <f>IF(B$20=0,0,G20/B$20)</f>
        <v>8.771929824561403E-3</v>
      </c>
      <c r="I20" s="58">
        <v>2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-1.720833333333333</v>
      </c>
      <c r="Q20" s="77">
        <v>24</v>
      </c>
      <c r="R20" s="68">
        <v>-41.29999999999999</v>
      </c>
    </row>
    <row r="21" spans="1:18" x14ac:dyDescent="0.4">
      <c r="A21" s="19" t="s">
        <v>13</v>
      </c>
      <c r="B21" s="12">
        <v>51</v>
      </c>
      <c r="C21" s="6">
        <f>IF(B$3=0,0,B21/B$3)</f>
        <v>0.13492063492063491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49</v>
      </c>
      <c r="C22" s="6">
        <f>IF(B$20=0,0,B22/B$20)</f>
        <v>0.42982456140350878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65</v>
      </c>
      <c r="C23" s="6">
        <f>IF(B$20=0,0,B23/B$20)</f>
        <v>0.57017543859649122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47</v>
      </c>
      <c r="C24" s="6">
        <f>IF(B$20=0,0,B24/B$20)</f>
        <v>0.41228070175438597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39</v>
      </c>
      <c r="C25" s="6">
        <f>IF(B$20=0,0,B25/B$20)</f>
        <v>0.34210526315789475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0.24561403508771928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7921.9298245614036</v>
      </c>
      <c r="C27" s="8">
        <v>903100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8273.3333333333339</v>
      </c>
      <c r="C28" s="96">
        <v>620500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7246.1538461538457</v>
      </c>
      <c r="C29" s="96">
        <v>282600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-6609.8039215686276</v>
      </c>
      <c r="C30" s="96">
        <v>-337100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86700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7.9365079365079361E-3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7.0175438596491224E-2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25</v>
      </c>
      <c r="C38" s="6">
        <f t="shared" si="3"/>
        <v>0.21929824561403508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21</v>
      </c>
      <c r="C39" s="6">
        <f t="shared" si="3"/>
        <v>0.18421052631578946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15</v>
      </c>
      <c r="C41" s="6">
        <f t="shared" si="3"/>
        <v>0.13157894736842105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12</v>
      </c>
      <c r="C42" s="6">
        <f t="shared" si="3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4.3859649122807015E-2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3.5087719298245612E-2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8.771929824561403E-3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1.7543859649122806E-2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8.771929824561403E-3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8.771929824561403E-3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66</v>
      </c>
      <c r="F2" s="23" t="s">
        <v>22</v>
      </c>
      <c r="G2" s="11">
        <v>104</v>
      </c>
      <c r="H2" s="87">
        <f>IF(B$20=0,0,G2/B$20)</f>
        <v>0.74820143884892087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-181.25</v>
      </c>
      <c r="Q2" s="76">
        <v>48</v>
      </c>
      <c r="R2" s="63">
        <v>-8700</v>
      </c>
    </row>
    <row r="3" spans="1:18" x14ac:dyDescent="0.4">
      <c r="A3" s="19" t="s">
        <v>8</v>
      </c>
      <c r="B3" s="143">
        <v>414</v>
      </c>
      <c r="C3" s="144"/>
      <c r="E3" s="27" t="s">
        <v>72</v>
      </c>
      <c r="F3" s="24" t="s">
        <v>27</v>
      </c>
      <c r="G3" s="12">
        <v>88</v>
      </c>
      <c r="H3" s="88">
        <f>IF(B$20=0,0,G3/B$20)</f>
        <v>0.63309352517985606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691.11111111111109</v>
      </c>
      <c r="Q3" s="77">
        <v>45</v>
      </c>
      <c r="R3" s="64">
        <v>31100</v>
      </c>
    </row>
    <row r="4" spans="1:18" x14ac:dyDescent="0.4">
      <c r="A4" s="19" t="s">
        <v>6</v>
      </c>
      <c r="B4" s="145">
        <v>261.89999999999992</v>
      </c>
      <c r="C4" s="146"/>
      <c r="E4" s="27" t="s">
        <v>159</v>
      </c>
      <c r="F4" s="24" t="s">
        <v>160</v>
      </c>
      <c r="G4" s="12">
        <v>67</v>
      </c>
      <c r="H4" s="88">
        <f>IF(B$20=0,0,G4/B$20)</f>
        <v>0.48201438848920863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793.47826086956525</v>
      </c>
      <c r="Q4" s="77">
        <v>46</v>
      </c>
      <c r="R4" s="64">
        <v>36500</v>
      </c>
    </row>
    <row r="5" spans="1:18" x14ac:dyDescent="0.4">
      <c r="A5" s="19" t="s">
        <v>7</v>
      </c>
      <c r="B5" s="133">
        <f>IF(B$2=0,0,B$4/B$2)</f>
        <v>5.456249999999998</v>
      </c>
      <c r="C5" s="134"/>
      <c r="E5" s="27" t="s">
        <v>64</v>
      </c>
      <c r="F5" s="24" t="s">
        <v>20</v>
      </c>
      <c r="G5" s="12">
        <v>44</v>
      </c>
      <c r="H5" s="88">
        <f>IF(B$20=0,0,G5/B$20)</f>
        <v>0.31654676258992803</v>
      </c>
      <c r="I5" s="58">
        <v>10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2274.4186046511627</v>
      </c>
      <c r="Q5" s="77">
        <v>43</v>
      </c>
      <c r="R5" s="64">
        <v>97800</v>
      </c>
    </row>
    <row r="6" spans="1:18" x14ac:dyDescent="0.4">
      <c r="A6" s="19" t="s">
        <v>196</v>
      </c>
      <c r="B6" s="137">
        <v>1580.3102788159663</v>
      </c>
      <c r="C6" s="138"/>
      <c r="E6" s="27" t="s">
        <v>68</v>
      </c>
      <c r="F6" s="24" t="s">
        <v>12</v>
      </c>
      <c r="G6" s="12">
        <v>34</v>
      </c>
      <c r="H6" s="88">
        <f>IF(B$20=0,0,G6/B$20)</f>
        <v>0.2446043165467626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280</v>
      </c>
      <c r="Q6" s="77">
        <v>40</v>
      </c>
      <c r="R6" s="64">
        <v>11200</v>
      </c>
    </row>
    <row r="7" spans="1:18" x14ac:dyDescent="0.4">
      <c r="A7" s="19" t="s">
        <v>1</v>
      </c>
      <c r="B7" s="147">
        <f>IF(B$2=0,0,(B$8*1+B$9*2+B$10*3)/B$2)</f>
        <v>1.8125</v>
      </c>
      <c r="C7" s="148"/>
      <c r="E7" s="27" t="s">
        <v>70</v>
      </c>
      <c r="F7" s="24" t="s">
        <v>25</v>
      </c>
      <c r="G7" s="12">
        <v>18</v>
      </c>
      <c r="H7" s="88">
        <f>IF(B$20=0,0,G7/B$20)</f>
        <v>0.12949640287769784</v>
      </c>
      <c r="I7" s="58">
        <v>3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-18.75</v>
      </c>
      <c r="Q7" s="78">
        <v>32</v>
      </c>
      <c r="R7" s="65">
        <v>-600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0.41666666666666669</v>
      </c>
      <c r="E8" s="27" t="s">
        <v>67</v>
      </c>
      <c r="F8" s="24" t="s">
        <v>23</v>
      </c>
      <c r="G8" s="12">
        <v>17</v>
      </c>
      <c r="H8" s="88">
        <f>IF(B$20=0,0,G8/B$20)</f>
        <v>0.1223021582733813</v>
      </c>
      <c r="I8" s="58">
        <v>11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0.35416666666666669</v>
      </c>
      <c r="E9" s="27" t="s">
        <v>89</v>
      </c>
      <c r="F9" s="24" t="s">
        <v>44</v>
      </c>
      <c r="G9" s="12">
        <v>17</v>
      </c>
      <c r="H9" s="88">
        <f>IF(B$20=0,0,G9/B$20)</f>
        <v>0.1223021582733813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0.22916666666666666</v>
      </c>
      <c r="E10" s="27" t="s">
        <v>71</v>
      </c>
      <c r="F10" s="24" t="s">
        <v>26</v>
      </c>
      <c r="G10" s="12">
        <v>15</v>
      </c>
      <c r="H10" s="88">
        <f>IF(B$20=0,0,G10/B$20)</f>
        <v>0.1079136690647482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9.3525179856115109E-2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3.5971223021582732E-2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1.2307692307692302</v>
      </c>
      <c r="Q12" s="78">
        <v>13</v>
      </c>
      <c r="R12" s="69">
        <v>15.999999999999993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3.5971223021582732E-2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-1.2433155080213893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2.8776978417266189E-2</v>
      </c>
      <c r="I14" s="58">
        <v>5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79</v>
      </c>
      <c r="F15" s="24" t="s">
        <v>34</v>
      </c>
      <c r="G15" s="12">
        <v>3</v>
      </c>
      <c r="H15" s="88">
        <f>IF(B$20=0,0,G15/B$20)</f>
        <v>2.1582733812949641E-2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84</v>
      </c>
      <c r="C16" s="10">
        <f>IF(B$3=0,0,B16/B$3)</f>
        <v>0.20289855072463769</v>
      </c>
      <c r="E16" s="27" t="s">
        <v>81</v>
      </c>
      <c r="F16" s="24" t="s">
        <v>36</v>
      </c>
      <c r="G16" s="12">
        <v>3</v>
      </c>
      <c r="H16" s="88">
        <f>IF(B$20=0,0,G16/B$20)</f>
        <v>2.1582733812949641E-2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113</v>
      </c>
      <c r="C17" s="6">
        <f>IF(B$3=0,0,B17/B$3)</f>
        <v>0.27294685990338163</v>
      </c>
      <c r="E17" s="27" t="s">
        <v>83</v>
      </c>
      <c r="F17" s="24" t="s">
        <v>38</v>
      </c>
      <c r="G17" s="12">
        <v>3</v>
      </c>
      <c r="H17" s="88">
        <f>IF(B$20=0,0,G17/B$20)</f>
        <v>2.1582733812949641E-2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0.52380952380952384</v>
      </c>
      <c r="E18" s="27" t="s">
        <v>73</v>
      </c>
      <c r="F18" s="24" t="s">
        <v>28</v>
      </c>
      <c r="G18" s="12">
        <v>1</v>
      </c>
      <c r="H18" s="88">
        <f>IF(B$20=0,0,G18/B$20)</f>
        <v>7.1942446043165471E-3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0.41592920353982299</v>
      </c>
      <c r="E19" s="27" t="s">
        <v>88</v>
      </c>
      <c r="F19" s="24" t="s">
        <v>43</v>
      </c>
      <c r="G19" s="12">
        <v>1</v>
      </c>
      <c r="H19" s="88">
        <f>IF(B$20=0,0,G19/B$20)</f>
        <v>7.1942446043165471E-3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139</v>
      </c>
      <c r="C20" s="5">
        <f>IF(B$3=0,0,B20/B$3)</f>
        <v>0.33574879227053139</v>
      </c>
      <c r="E20" s="27" t="s">
        <v>92</v>
      </c>
      <c r="F20" s="24" t="s">
        <v>47</v>
      </c>
      <c r="G20" s="12">
        <v>1</v>
      </c>
      <c r="H20" s="88">
        <f>IF(B$20=0,0,G20/B$20)</f>
        <v>7.1942446043165471E-3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47</v>
      </c>
      <c r="C21" s="6">
        <f>IF(B$3=0,0,B21/B$3)</f>
        <v>0.11352657004830918</v>
      </c>
      <c r="E21" s="27" t="s">
        <v>102</v>
      </c>
      <c r="F21" s="24" t="s">
        <v>57</v>
      </c>
      <c r="G21" s="12">
        <v>1</v>
      </c>
      <c r="H21" s="88">
        <f>IF(B$20=0,0,G21/B$20)</f>
        <v>7.1942446043165471E-3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4.1499999999999968</v>
      </c>
      <c r="Q21" s="77">
        <v>40</v>
      </c>
      <c r="R21" s="68">
        <v>165.99999999999989</v>
      </c>
    </row>
    <row r="22" spans="1:18" x14ac:dyDescent="0.4">
      <c r="A22" s="19" t="s">
        <v>12</v>
      </c>
      <c r="B22" s="12">
        <v>55</v>
      </c>
      <c r="C22" s="6">
        <f>IF(B$20=0,0,B22/B$20)</f>
        <v>0.39568345323741005</v>
      </c>
      <c r="E22" s="27" t="s">
        <v>155</v>
      </c>
      <c r="F22" s="24" t="s">
        <v>156</v>
      </c>
      <c r="G22" s="12">
        <v>1</v>
      </c>
      <c r="H22" s="88">
        <f>IF(B$20=0,0,G22/B$20)</f>
        <v>7.1942446043165471E-3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84</v>
      </c>
      <c r="C23" s="6">
        <f>IF(B$20=0,0,B23/B$20)</f>
        <v>0.60431654676258995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-25.18</v>
      </c>
      <c r="Q23" s="77">
        <v>5</v>
      </c>
      <c r="R23" s="68">
        <v>-125.9</v>
      </c>
    </row>
    <row r="24" spans="1:18" x14ac:dyDescent="0.4">
      <c r="A24" s="19" t="s">
        <v>183</v>
      </c>
      <c r="B24" s="12">
        <v>44</v>
      </c>
      <c r="C24" s="6">
        <f>IF(B$20=0,0,B24/B$20)</f>
        <v>0.31654676258992803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47</v>
      </c>
      <c r="C25" s="6">
        <f>IF(B$20=0,0,B25/B$20)</f>
        <v>0.33812949640287771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0.34532374100719426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7306.4748201438852</v>
      </c>
      <c r="C27" s="8">
        <v>1015600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8179.347826086957</v>
      </c>
      <c r="C28" s="96">
        <v>752500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5597.8723404255315</v>
      </c>
      <c r="C29" s="96">
        <v>263100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-7774.4680851063831</v>
      </c>
      <c r="C30" s="96">
        <v>-365400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11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9.3525179856115109E-2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0.25899280575539568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30</v>
      </c>
      <c r="C39" s="6">
        <f t="shared" si="3"/>
        <v>0.21582733812949639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0.14388489208633093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3"/>
        <v>0.15107913669064749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2.8776978417266189E-2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5.7553956834532377E-2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1.4388489208633094E-2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1.4388489208633094E-2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7.1942446043165471E-3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1.4388489208633094E-2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18</v>
      </c>
      <c r="C2" s="142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140</v>
      </c>
      <c r="C3" s="144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-180.3</v>
      </c>
      <c r="C4" s="146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5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-10.016666666666667</v>
      </c>
      <c r="C5" s="134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1475.2783888604056</v>
      </c>
      <c r="C6" s="138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2.2222222222222223</v>
      </c>
      <c r="C7" s="148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6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-1.3125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10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74600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11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12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10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12</v>
      </c>
      <c r="C2" s="142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5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43">
        <v>103</v>
      </c>
      <c r="C3" s="144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45">
        <v>-39.5</v>
      </c>
      <c r="C4" s="146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33">
        <f>IF(B$2=0,0,B$4/B$2)</f>
        <v>-3.2916666666666665</v>
      </c>
      <c r="C5" s="134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37">
        <v>1396.3170423346389</v>
      </c>
      <c r="C6" s="138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47">
        <f>IF(B$2=0,0,(B$8*1+B$9*2+B$10*3)/B$2)</f>
        <v>1.9166666666666667</v>
      </c>
      <c r="C7" s="148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4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-6.7477777777777765</v>
      </c>
      <c r="C14" s="134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11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11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6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1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2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2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2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12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10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2.5</v>
      </c>
      <c r="I2" s="57">
        <v>1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-10000</v>
      </c>
      <c r="Q2" s="76">
        <v>1</v>
      </c>
      <c r="R2" s="63">
        <v>-10000</v>
      </c>
    </row>
    <row r="3" spans="1:18" x14ac:dyDescent="0.4">
      <c r="A3" s="19" t="s">
        <v>8</v>
      </c>
      <c r="B3" s="143">
        <v>9</v>
      </c>
      <c r="C3" s="144"/>
      <c r="E3" s="27" t="s">
        <v>68</v>
      </c>
      <c r="F3" s="24" t="s">
        <v>12</v>
      </c>
      <c r="G3" s="12">
        <v>1</v>
      </c>
      <c r="H3" s="88">
        <f>IF(B$20=0,0,G3/B$20)</f>
        <v>0.5</v>
      </c>
      <c r="I3" s="58">
        <v>2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-5800</v>
      </c>
      <c r="Q3" s="77">
        <v>1</v>
      </c>
      <c r="R3" s="64">
        <v>-5800</v>
      </c>
    </row>
    <row r="4" spans="1:18" x14ac:dyDescent="0.4">
      <c r="A4" s="19" t="s">
        <v>6</v>
      </c>
      <c r="B4" s="145">
        <v>-4.5</v>
      </c>
      <c r="C4" s="146"/>
      <c r="E4" s="27" t="s">
        <v>72</v>
      </c>
      <c r="F4" s="24" t="s">
        <v>27</v>
      </c>
      <c r="G4" s="12">
        <v>1</v>
      </c>
      <c r="H4" s="88">
        <f>IF(B$20=0,0,G4/B$20)</f>
        <v>0.5</v>
      </c>
      <c r="I4" s="58">
        <v>10</v>
      </c>
      <c r="O4" s="74" t="s">
        <v>130</v>
      </c>
      <c r="P4" s="80">
        <f t="shared" si="0"/>
        <v>4000</v>
      </c>
      <c r="Q4" s="77">
        <v>1</v>
      </c>
      <c r="R4" s="64">
        <v>4000</v>
      </c>
    </row>
    <row r="5" spans="1:18" x14ac:dyDescent="0.4">
      <c r="A5" s="19" t="s">
        <v>7</v>
      </c>
      <c r="B5" s="133">
        <f>IF(B$2=0,0,B$4/B$2)</f>
        <v>-4.5</v>
      </c>
      <c r="C5" s="134"/>
      <c r="E5" s="27" t="s">
        <v>81</v>
      </c>
      <c r="F5" s="24" t="s">
        <v>36</v>
      </c>
      <c r="G5" s="12">
        <v>1</v>
      </c>
      <c r="H5" s="88">
        <f>IF(B$20=0,0,G5/B$20)</f>
        <v>0.5</v>
      </c>
      <c r="I5" s="58">
        <v>1</v>
      </c>
      <c r="O5" s="74" t="s">
        <v>131</v>
      </c>
      <c r="P5" s="80">
        <f t="shared" si="0"/>
        <v>0</v>
      </c>
      <c r="Q5" s="77">
        <v>1</v>
      </c>
      <c r="R5" s="64">
        <v>0</v>
      </c>
    </row>
    <row r="6" spans="1:18" x14ac:dyDescent="0.4">
      <c r="A6" s="19" t="s">
        <v>196</v>
      </c>
      <c r="B6" s="137">
        <v>1500.3933545700797</v>
      </c>
      <c r="C6" s="138"/>
      <c r="E6" s="27" t="s">
        <v>83</v>
      </c>
      <c r="F6" s="24" t="s">
        <v>38</v>
      </c>
      <c r="G6" s="12">
        <v>1</v>
      </c>
      <c r="H6" s="88">
        <f>IF(B$20=0,0,G6/B$20)</f>
        <v>0.5</v>
      </c>
      <c r="I6" s="58">
        <v>1</v>
      </c>
      <c r="O6" s="74" t="s">
        <v>132</v>
      </c>
      <c r="P6" s="80">
        <f t="shared" si="0"/>
        <v>-8700</v>
      </c>
      <c r="Q6" s="77">
        <v>1</v>
      </c>
      <c r="R6" s="64">
        <v>-8700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64</v>
      </c>
      <c r="F7" s="24" t="s">
        <v>20</v>
      </c>
      <c r="G7" s="12">
        <v>0</v>
      </c>
      <c r="H7" s="88">
        <f>IF(B$20=0,0,G7/B$20)</f>
        <v>0</v>
      </c>
      <c r="I7" s="58">
        <v>13</v>
      </c>
      <c r="O7" s="75" t="s">
        <v>133</v>
      </c>
      <c r="P7" s="81">
        <f t="shared" si="0"/>
        <v>16000</v>
      </c>
      <c r="Q7" s="78">
        <v>1</v>
      </c>
      <c r="R7" s="65">
        <v>16000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65</v>
      </c>
      <c r="F8" s="24" t="s">
        <v>21</v>
      </c>
      <c r="G8" s="12">
        <v>0</v>
      </c>
      <c r="H8" s="88">
        <f>IF(B$20=0,0,G8/B$20)</f>
        <v>0</v>
      </c>
      <c r="I8" s="58">
        <v>12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1</v>
      </c>
      <c r="E9" s="27" t="s">
        <v>67</v>
      </c>
      <c r="F9" s="24" t="s">
        <v>23</v>
      </c>
      <c r="G9" s="12">
        <v>0</v>
      </c>
      <c r="H9" s="88">
        <f>IF(B$20=0,0,G9/B$20)</f>
        <v>0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1"/>
        <v>0</v>
      </c>
      <c r="E10" s="27" t="s">
        <v>69</v>
      </c>
      <c r="F10" s="24" t="s">
        <v>24</v>
      </c>
      <c r="G10" s="12">
        <v>0</v>
      </c>
      <c r="H10" s="88">
        <f>IF(B$20=0,0,G10/B$20)</f>
        <v>0</v>
      </c>
      <c r="I10" s="58">
        <v>10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70</v>
      </c>
      <c r="F11" s="24" t="s">
        <v>25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-4.5</v>
      </c>
      <c r="C12" s="110">
        <v>-4.5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-1.5</v>
      </c>
      <c r="C14" s="134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5</v>
      </c>
      <c r="O15" s="73" t="s">
        <v>126</v>
      </c>
      <c r="P15" s="82">
        <f>IF(Q15=0,0,R15/Q15)</f>
        <v>19.7</v>
      </c>
      <c r="Q15" s="76">
        <v>1</v>
      </c>
      <c r="R15" s="67">
        <v>19.7</v>
      </c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-33.200000000000003</v>
      </c>
      <c r="Q16" s="77">
        <v>1</v>
      </c>
      <c r="R16" s="68">
        <v>-33.200000000000003</v>
      </c>
    </row>
    <row r="17" spans="1:9" x14ac:dyDescent="0.4">
      <c r="A17" s="19" t="s">
        <v>118</v>
      </c>
      <c r="B17" s="12">
        <v>2</v>
      </c>
      <c r="C17" s="6">
        <f>IF(B$3=0,0,B17/B$3)</f>
        <v>0.22222222222222221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10</v>
      </c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9" x14ac:dyDescent="0.4">
      <c r="A21" s="19" t="s">
        <v>13</v>
      </c>
      <c r="B21" s="12">
        <v>2</v>
      </c>
      <c r="C21" s="6">
        <f>IF(B$3=0,0,B21/B$3)</f>
        <v>0.22222222222222221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84</v>
      </c>
      <c r="F22" s="24" t="s">
        <v>39</v>
      </c>
      <c r="G22" s="12">
        <v>0</v>
      </c>
      <c r="H22" s="88">
        <f>IF(B$20=0,0,G22/B$20)</f>
        <v>0</v>
      </c>
      <c r="I22" s="58">
        <v>3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85</v>
      </c>
      <c r="F23" s="24" t="s">
        <v>40</v>
      </c>
      <c r="G23" s="12">
        <v>0</v>
      </c>
      <c r="H23" s="88">
        <f>IF(B$20=0,0,G23/B$20)</f>
        <v>0</v>
      </c>
      <c r="I23" s="58">
        <v>5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>IF(B$20=0,0,G24/B$20)</f>
        <v>0</v>
      </c>
      <c r="I24" s="58">
        <v>9</v>
      </c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182</v>
      </c>
      <c r="B26" s="12">
        <v>2</v>
      </c>
      <c r="C26" s="6">
        <f>IF(B$20=0,0,B26/B$20)</f>
        <v>1</v>
      </c>
      <c r="E26" s="27" t="s">
        <v>88</v>
      </c>
      <c r="F26" s="24" t="s">
        <v>43</v>
      </c>
      <c r="G26" s="12">
        <v>0</v>
      </c>
      <c r="H26" s="88">
        <f>IF(B$20=0,0,G26/B$20)</f>
        <v>0</v>
      </c>
      <c r="I26" s="58">
        <v>6</v>
      </c>
    </row>
    <row r="27" spans="1:9" x14ac:dyDescent="0.4">
      <c r="A27" s="19" t="s">
        <v>5</v>
      </c>
      <c r="B27" s="16">
        <f>IF(B$20=0,0,C27/B$20)</f>
        <v>10000</v>
      </c>
      <c r="C27" s="8">
        <v>20000</v>
      </c>
      <c r="E27" s="27" t="s">
        <v>89</v>
      </c>
      <c r="F27" s="24" t="s">
        <v>44</v>
      </c>
      <c r="G27" s="12">
        <v>0</v>
      </c>
      <c r="H27" s="88">
        <f>IF(B$20=0,0,G27/B$20)</f>
        <v>0</v>
      </c>
      <c r="I27" s="58">
        <v>12</v>
      </c>
    </row>
    <row r="28" spans="1:9" x14ac:dyDescent="0.4">
      <c r="A28" s="20" t="s">
        <v>165</v>
      </c>
      <c r="B28" s="95">
        <f>IF($B$20-B$19=0,0,C28/($B$20-B$19))</f>
        <v>10000</v>
      </c>
      <c r="C28" s="96">
        <v>20000</v>
      </c>
      <c r="E28" s="27" t="s">
        <v>90</v>
      </c>
      <c r="F28" s="24" t="s">
        <v>45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>IF(B$20=0,0,G29/B$20)</f>
        <v>0</v>
      </c>
      <c r="I29" s="58">
        <v>7</v>
      </c>
    </row>
    <row r="30" spans="1:9" x14ac:dyDescent="0.4">
      <c r="A30" s="20" t="s">
        <v>164</v>
      </c>
      <c r="B30" s="95">
        <f>IF(B$21=0,0,C30/B$21)</f>
        <v>-6750</v>
      </c>
      <c r="C30" s="96">
        <v>-13500</v>
      </c>
      <c r="E30" s="27" t="s">
        <v>92</v>
      </c>
      <c r="F30" s="24" t="s">
        <v>47</v>
      </c>
      <c r="G30" s="12">
        <v>0</v>
      </c>
      <c r="H30" s="88">
        <f>IF(B$20=0,0,G30/B$20)</f>
        <v>0</v>
      </c>
      <c r="I30" s="58">
        <v>5</v>
      </c>
    </row>
    <row r="31" spans="1:9" x14ac:dyDescent="0.4">
      <c r="A31" s="19" t="s">
        <v>157</v>
      </c>
      <c r="B31" s="12">
        <v>1</v>
      </c>
      <c r="C31" s="90">
        <v>1</v>
      </c>
      <c r="E31" s="27" t="s">
        <v>93</v>
      </c>
      <c r="F31" s="24" t="s">
        <v>48</v>
      </c>
      <c r="G31" s="12">
        <v>0</v>
      </c>
      <c r="H31" s="88">
        <f>IF(B$20=0,0,G31/B$20)</f>
        <v>0</v>
      </c>
      <c r="I31" s="58">
        <v>4</v>
      </c>
    </row>
    <row r="32" spans="1:9" x14ac:dyDescent="0.4">
      <c r="A32" s="19" t="s">
        <v>158</v>
      </c>
      <c r="B32" s="12">
        <v>4</v>
      </c>
      <c r="C32" s="90">
        <v>2</v>
      </c>
      <c r="E32" s="27" t="s">
        <v>94</v>
      </c>
      <c r="F32" s="24" t="s">
        <v>49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35">
        <v>3</v>
      </c>
      <c r="C33" s="136"/>
      <c r="E33" s="27" t="s">
        <v>95</v>
      </c>
      <c r="F33" s="24" t="s">
        <v>50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30500</v>
      </c>
      <c r="C34" s="138"/>
      <c r="E34" s="27" t="s">
        <v>96</v>
      </c>
      <c r="F34" s="24" t="s">
        <v>51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99</v>
      </c>
      <c r="F37" s="24" t="s">
        <v>54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100</v>
      </c>
      <c r="F38" s="24" t="s">
        <v>55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1</v>
      </c>
      <c r="C39" s="6">
        <f t="shared" si="2"/>
        <v>0.5</v>
      </c>
      <c r="E39" s="27" t="s">
        <v>101</v>
      </c>
      <c r="F39" s="24" t="s">
        <v>56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0</v>
      </c>
      <c r="C40" s="6">
        <f t="shared" si="2"/>
        <v>0</v>
      </c>
      <c r="E40" s="27" t="s">
        <v>102</v>
      </c>
      <c r="F40" s="24" t="s">
        <v>57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103</v>
      </c>
      <c r="F41" s="24" t="s">
        <v>58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32">
        <v>0</v>
      </c>
      <c r="C42" s="6">
        <f t="shared" si="2"/>
        <v>0</v>
      </c>
      <c r="E42" s="27" t="s">
        <v>104</v>
      </c>
      <c r="F42" s="24" t="s">
        <v>59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105</v>
      </c>
      <c r="F43" s="24" t="s">
        <v>112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0.5</v>
      </c>
      <c r="E44" s="27" t="s">
        <v>106</v>
      </c>
      <c r="F44" s="24" t="s">
        <v>113</v>
      </c>
      <c r="G44" s="12">
        <v>0</v>
      </c>
      <c r="H44" s="88">
        <f>IF(B$20=0,0,G44/B$20)</f>
        <v>0</v>
      </c>
      <c r="I44" s="58">
        <v>3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107</v>
      </c>
      <c r="F45" s="24" t="s">
        <v>114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108</v>
      </c>
      <c r="F46" s="24" t="s">
        <v>60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109</v>
      </c>
      <c r="F47" s="24" t="s">
        <v>61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110</v>
      </c>
      <c r="F48" s="24" t="s">
        <v>62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111</v>
      </c>
      <c r="F49" s="24" t="s">
        <v>63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155</v>
      </c>
      <c r="F50" s="24" t="s">
        <v>156</v>
      </c>
      <c r="G50" s="12">
        <v>0</v>
      </c>
      <c r="H50" s="88">
        <f>IF(B$20=0,0,G50/B$20)</f>
        <v>0</v>
      </c>
      <c r="I50" s="58">
        <v>5</v>
      </c>
    </row>
    <row r="51" spans="1:9" x14ac:dyDescent="0.4">
      <c r="E51" s="91" t="s">
        <v>159</v>
      </c>
      <c r="F51" s="92" t="s">
        <v>160</v>
      </c>
      <c r="G51" s="13">
        <v>0</v>
      </c>
      <c r="H51" s="93">
        <f>IF(B$20=0,0,G51/B$20)</f>
        <v>0</v>
      </c>
      <c r="I51" s="94">
        <v>13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0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3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2020-12-08T10:57:03Z</dcterms:modified>
</cp:coreProperties>
</file>